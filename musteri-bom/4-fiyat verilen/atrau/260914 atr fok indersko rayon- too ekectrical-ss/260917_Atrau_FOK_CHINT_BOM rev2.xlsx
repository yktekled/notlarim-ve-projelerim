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atr fok indersko rayon- too ekectrical-ss\"/>
    </mc:Choice>
  </mc:AlternateContent>
  <xr:revisionPtr revIDLastSave="0" documentId="13_ncr:1_{774A6DA1-CAB8-4146-986F-7C63902A6977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</sheets>
  <definedNames>
    <definedName name="_xlnm._FilterDatabase" localSheetId="0" hidden="1">BOM!$A$1:$Q$174</definedName>
    <definedName name="_xlnm._FilterDatabase" localSheetId="1" hidden="1">FIYAT!$A$1:$AJ$111</definedName>
    <definedName name="AL_A">KURALLAR!$C$191:$C$199</definedName>
    <definedName name="AL_KOD">KURALLAR!$A$191:$A$199</definedName>
    <definedName name="AL_MM2">KURALLAR!$B$191:$B$199</definedName>
    <definedName name="BAG_ADET_M">KURALLAR!$C$130</definedName>
    <definedName name="BARA_DERATING">KURALLAR!$C$138</definedName>
    <definedName name="BARA_ESIK_A">KURALLAR!$C$137</definedName>
    <definedName name="BARA_FIRE">KURALLAR!$C$139</definedName>
    <definedName name="CU_A">KURALLAR!$C$180:$C$187</definedName>
    <definedName name="CU_KOD">KURALLAR!$A$180:$A$187</definedName>
    <definedName name="CU_MM2">KURALLAR!$B$180:$B$187</definedName>
    <definedName name="DK_UCRET">KURALLAR!$C$71</definedName>
    <definedName name="F_BK">FIYAT!$AC$2:$AC$310</definedName>
    <definedName name="F_G">FIYAT!$X$2:$X$310</definedName>
    <definedName name="F_IN">FIYAT!$AI$2:$AI$310</definedName>
    <definedName name="F_INKOR">FIYAT!$AJ$2:$AJ$310</definedName>
    <definedName name="F_KAP">FIYAT!$AA$2:$AA$310</definedName>
    <definedName name="F_KK">FIYAT!$AF$2:$AF$310</definedName>
    <definedName name="F_KLN">FIYAT!$AG$2:$AG$310</definedName>
    <definedName name="F_KPE">FIYAT!$AH$2:$AH$310</definedName>
    <definedName name="F_MODUL">FIYAT!$U$2:$U$310</definedName>
    <definedName name="F_PAKET">FIYAT!$V$2:$V$310</definedName>
    <definedName name="F_TEL">FIYAT!$AD$2:$AD$310</definedName>
    <definedName name="F_TELM">FIYAT!$AE$2:$AE$310</definedName>
    <definedName name="F_Y">FIYAT!$Y$2:$Y$310</definedName>
    <definedName name="FA">FIYAT!$C$2:$C$310</definedName>
    <definedName name="FIRMA">KURALLAR!$C$9</definedName>
    <definedName name="FIYAT_AD">FIYAT!$D$2:$D$310</definedName>
    <definedName name="FIYAT_BIRIM">FIYAT!$I$2:$I$310</definedName>
    <definedName name="FIYAT_DURUM">FIYAT!$Q$2:$Q$310</definedName>
    <definedName name="FIYAT_LISTE">FIYAT!$E$2:$E$310</definedName>
    <definedName name="FIYAT_MARKA">FIYAT!$J$2:$J$310</definedName>
    <definedName name="FIYAT_NET">FIYAT!$F$2:$F$310</definedName>
    <definedName name="GECERLILIK">KURALLAR!$C$10</definedName>
    <definedName name="ISCILIK_KAT">KURALLAR!$C$72</definedName>
    <definedName name="ISKONTO">KURALLAR!$C$14</definedName>
    <definedName name="IZOLATOR_ARALIK_M">KURALLAR!$C$142</definedName>
    <definedName name="KABLO_FIRE">KURALLAR!$C$126</definedName>
    <definedName name="KABLO_IN_ALT">KURALLAR!$A$149:$A$159</definedName>
    <definedName name="KABLO_KESIT">KURALLAR!$B$149:$B$159</definedName>
    <definedName name="KABLO_MAX_IN">KURALLAR!$C$133</definedName>
    <definedName name="KANAL_FIRE">KURALLAR!$C$141</definedName>
    <definedName name="KAPI_TOPRAK_M">KURALLAR!$C$143</definedName>
    <definedName name="KAR_ORANI">KURALLAR!$C$13</definedName>
    <definedName name="KAYNAK_KOD">KURALLAR!$A$51:$A$66</definedName>
    <definedName name="KAYNAK_TARIH">KURALLAR!$C$51:$C$66</definedName>
    <definedName name="KLEMENS_ALT">KURALLAR!$A$163:$A$168</definedName>
    <definedName name="KLEMENS_KES">KURALLAR!$B$163:$B$168</definedName>
    <definedName name="KLEMENS_MAX_KESIT">KURALLAR!$C$136</definedName>
    <definedName name="KLEMENS_YEDEK">KURALLAR!$C$127</definedName>
    <definedName name="KORPUS_IC_PAY_MM">KURALLAR!$C$140</definedName>
    <definedName name="KORPUS_YEDEK">KURALLAR!$C$145</definedName>
    <definedName name="KUMANDA_KESIT">KURALLAR!$C$131</definedName>
    <definedName name="KUR_AD">KURALLAR!$A$19:$A$23</definedName>
    <definedName name="KUR_DEG">KURALLAR!$B$19:$B$23</definedName>
    <definedName name="MARKA_AD">KURALLAR!$A$27:$A$47</definedName>
    <definedName name="MARKA_IZIN">KURALLAR!$D$27:$D$47</definedName>
    <definedName name="MARKA_KAT">KURALLAR!$C$27:$C$47</definedName>
    <definedName name="MARKA_PARA">KURALLAR!$B$27:$B$47</definedName>
    <definedName name="MODUL_MM">KURALLAR!$C$144</definedName>
    <definedName name="MONTAJ_MALZ_KAT">KURALLAR!$C$73</definedName>
    <definedName name="MUSTERI">KURALLAR!$C$6</definedName>
    <definedName name="NDS_ORANI">KURALLAR!$C$15</definedName>
    <definedName name="NORM_DK">KURALLAR!$E$77:$E$123</definedName>
    <definedName name="ODEME">KURALLAR!$C$12</definedName>
    <definedName name="OLCU_KESIT">KURALLAR!$C$132</definedName>
    <definedName name="PABUC_FIRE">KURALLAR!$C$129</definedName>
    <definedName name="PABUC_MIN_KESIT">KURALLAR!$C$135</definedName>
    <definedName name="PROJE">KURALLAR!$C$7</definedName>
    <definedName name="SEHIR">KURALLAR!$C$8</definedName>
    <definedName name="SNI_DELIK">KURALLAR!$B$172:$B$176</definedName>
    <definedName name="SNI_KOD">KURALLAR!$A$172:$A$176</definedName>
    <definedName name="TARIH">KURALLAR!$C$5</definedName>
    <definedName name="TEKLIF_NO">KURALLAR!$C$4</definedName>
    <definedName name="TESLIM">KURALLAR!$C$11</definedName>
    <definedName name="TIP_AD">KURALLAR!$A$77:$A$123</definedName>
    <definedName name="TIP_GRUP">KURALLAR!$B$77:$B$123</definedName>
    <definedName name="TIP_TEL">KURALLAR!$C$77:$C$123</definedName>
    <definedName name="TIP_TELM">KURALLAR!$D$77:$D$123</definedName>
    <definedName name="YAS_ESKI_AY">KURALLAR!$C$67</definedName>
    <definedName name="YAS_YASAK_AY">KURALLAR!$C$68</definedName>
    <definedName name="_xlnm.Print_Area" localSheetId="3">TEKLIF!$A$1:$F$24</definedName>
    <definedName name="YUKSUK_FIRE">KURALLAR!$C$128</definedName>
    <definedName name="YUKSUK_MAX_KESIT">KURALLAR!$C$134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7" i="1" l="1"/>
  <c r="AJ43" i="2"/>
  <c r="AI43" i="2"/>
  <c r="AB43" i="2"/>
  <c r="O43" i="2"/>
  <c r="P43" i="2" s="1"/>
  <c r="Q43" i="2" s="1"/>
  <c r="L43" i="2"/>
  <c r="K43" i="2"/>
  <c r="M43" i="2" s="1"/>
  <c r="A43" i="2"/>
  <c r="I97" i="1"/>
  <c r="K10" i="5"/>
  <c r="K11" i="5" s="1"/>
  <c r="K12" i="5" s="1"/>
  <c r="F3" i="5"/>
  <c r="F4" i="5"/>
  <c r="F5" i="5"/>
  <c r="F6" i="5"/>
  <c r="F7" i="5"/>
  <c r="F8" i="5"/>
  <c r="F9" i="5"/>
  <c r="F2" i="5"/>
  <c r="F10" i="5" s="1"/>
  <c r="I10" i="5"/>
  <c r="J11" i="5" s="1"/>
  <c r="J10" i="5"/>
  <c r="J101" i="1"/>
  <c r="F43" i="2" l="1"/>
  <c r="AC43" i="2"/>
  <c r="AD43" i="2" s="1"/>
  <c r="AE43" i="2" s="1"/>
  <c r="F11" i="5"/>
  <c r="F12" i="5" s="1"/>
  <c r="J7" i="1"/>
  <c r="F18" i="1"/>
  <c r="F14" i="1"/>
  <c r="G14" i="1" s="1"/>
  <c r="C23" i="4"/>
  <c r="C22" i="4"/>
  <c r="C21" i="4"/>
  <c r="H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B6" i="4"/>
  <c r="B5" i="4"/>
  <c r="A3" i="4"/>
  <c r="A1" i="4"/>
  <c r="C220" i="3"/>
  <c r="C217" i="3"/>
  <c r="P210" i="3"/>
  <c r="N210" i="3"/>
  <c r="M210" i="3"/>
  <c r="A210" i="3"/>
  <c r="N209" i="3"/>
  <c r="M209" i="3"/>
  <c r="P209" i="3" s="1"/>
  <c r="A209" i="3"/>
  <c r="N208" i="3"/>
  <c r="M208" i="3"/>
  <c r="P208" i="3" s="1"/>
  <c r="A208" i="3"/>
  <c r="N207" i="3"/>
  <c r="M207" i="3"/>
  <c r="P207" i="3" s="1"/>
  <c r="A207" i="3"/>
  <c r="N206" i="3"/>
  <c r="M206" i="3"/>
  <c r="P206" i="3" s="1"/>
  <c r="A206" i="3"/>
  <c r="N205" i="3"/>
  <c r="M205" i="3"/>
  <c r="P205" i="3" s="1"/>
  <c r="A205" i="3"/>
  <c r="P204" i="3"/>
  <c r="N204" i="3"/>
  <c r="M204" i="3"/>
  <c r="A204" i="3"/>
  <c r="N203" i="3"/>
  <c r="M203" i="3"/>
  <c r="A203" i="3"/>
  <c r="AJ110" i="2"/>
  <c r="AI110" i="2"/>
  <c r="AB110" i="2"/>
  <c r="AC110" i="2" s="1"/>
  <c r="AF110" i="2" s="1"/>
  <c r="O110" i="2"/>
  <c r="P110" i="2" s="1"/>
  <c r="Q110" i="2" s="1"/>
  <c r="L110" i="2"/>
  <c r="K110" i="2"/>
  <c r="M110" i="2" s="1"/>
  <c r="A110" i="2"/>
  <c r="AJ109" i="2"/>
  <c r="AI109" i="2"/>
  <c r="AB109" i="2"/>
  <c r="AC109" i="2" s="1"/>
  <c r="AF109" i="2" s="1"/>
  <c r="AH109" i="2" s="1"/>
  <c r="O109" i="2"/>
  <c r="P109" i="2" s="1"/>
  <c r="Q109" i="2" s="1"/>
  <c r="L109" i="2"/>
  <c r="K109" i="2"/>
  <c r="M109" i="2" s="1"/>
  <c r="A109" i="2"/>
  <c r="AJ108" i="2"/>
  <c r="AI108" i="2"/>
  <c r="AB108" i="2"/>
  <c r="O108" i="2"/>
  <c r="P108" i="2" s="1"/>
  <c r="Q108" i="2" s="1"/>
  <c r="L108" i="2"/>
  <c r="K108" i="2"/>
  <c r="M108" i="2" s="1"/>
  <c r="A108" i="2"/>
  <c r="AJ107" i="2"/>
  <c r="AI107" i="2"/>
  <c r="AB107" i="2"/>
  <c r="AC107" i="2" s="1"/>
  <c r="AD107" i="2" s="1"/>
  <c r="AE107" i="2" s="1"/>
  <c r="O107" i="2"/>
  <c r="P107" i="2" s="1"/>
  <c r="Q107" i="2" s="1"/>
  <c r="L107" i="2"/>
  <c r="K107" i="2"/>
  <c r="M107" i="2" s="1"/>
  <c r="A107" i="2"/>
  <c r="AJ106" i="2"/>
  <c r="AI106" i="2"/>
  <c r="AB106" i="2"/>
  <c r="AC106" i="2" s="1"/>
  <c r="AD106" i="2" s="1"/>
  <c r="AE106" i="2" s="1"/>
  <c r="O106" i="2"/>
  <c r="P106" i="2" s="1"/>
  <c r="Q106" i="2" s="1"/>
  <c r="L106" i="2"/>
  <c r="K106" i="2"/>
  <c r="M106" i="2" s="1"/>
  <c r="A106" i="2"/>
  <c r="AJ105" i="2"/>
  <c r="AI105" i="2"/>
  <c r="AB105" i="2"/>
  <c r="AC105" i="2" s="1"/>
  <c r="AD105" i="2" s="1"/>
  <c r="AE105" i="2" s="1"/>
  <c r="O105" i="2"/>
  <c r="P105" i="2" s="1"/>
  <c r="Q105" i="2" s="1"/>
  <c r="L105" i="2"/>
  <c r="K105" i="2"/>
  <c r="M105" i="2" s="1"/>
  <c r="A105" i="2"/>
  <c r="AJ104" i="2"/>
  <c r="AI104" i="2"/>
  <c r="AB104" i="2"/>
  <c r="AC104" i="2" s="1"/>
  <c r="AD104" i="2" s="1"/>
  <c r="AE104" i="2" s="1"/>
  <c r="O104" i="2"/>
  <c r="P104" i="2" s="1"/>
  <c r="Q104" i="2" s="1"/>
  <c r="L104" i="2"/>
  <c r="K104" i="2"/>
  <c r="M104" i="2" s="1"/>
  <c r="A104" i="2"/>
  <c r="AJ103" i="2"/>
  <c r="AI103" i="2"/>
  <c r="AB103" i="2"/>
  <c r="O103" i="2"/>
  <c r="P103" i="2" s="1"/>
  <c r="Q103" i="2" s="1"/>
  <c r="L103" i="2"/>
  <c r="K103" i="2"/>
  <c r="M103" i="2" s="1"/>
  <c r="A103" i="2"/>
  <c r="AJ102" i="2"/>
  <c r="AI102" i="2"/>
  <c r="AB102" i="2"/>
  <c r="AC102" i="2" s="1"/>
  <c r="O102" i="2"/>
  <c r="P102" i="2" s="1"/>
  <c r="Q102" i="2" s="1"/>
  <c r="L102" i="2"/>
  <c r="K102" i="2"/>
  <c r="M102" i="2" s="1"/>
  <c r="A102" i="2"/>
  <c r="AJ101" i="2"/>
  <c r="AI101" i="2"/>
  <c r="AB101" i="2"/>
  <c r="AC101" i="2" s="1"/>
  <c r="AF101" i="2" s="1"/>
  <c r="AH101" i="2" s="1"/>
  <c r="O101" i="2"/>
  <c r="P101" i="2" s="1"/>
  <c r="Q101" i="2" s="1"/>
  <c r="L101" i="2"/>
  <c r="K101" i="2"/>
  <c r="M101" i="2" s="1"/>
  <c r="A101" i="2"/>
  <c r="AJ100" i="2"/>
  <c r="AI100" i="2"/>
  <c r="AB100" i="2"/>
  <c r="O100" i="2"/>
  <c r="P100" i="2" s="1"/>
  <c r="Q100" i="2" s="1"/>
  <c r="L100" i="2"/>
  <c r="K100" i="2"/>
  <c r="M100" i="2" s="1"/>
  <c r="A100" i="2"/>
  <c r="AJ99" i="2"/>
  <c r="AI99" i="2"/>
  <c r="AB99" i="2"/>
  <c r="AC99" i="2" s="1"/>
  <c r="AD99" i="2" s="1"/>
  <c r="AE99" i="2" s="1"/>
  <c r="O99" i="2"/>
  <c r="P99" i="2" s="1"/>
  <c r="Q99" i="2" s="1"/>
  <c r="L99" i="2"/>
  <c r="K99" i="2"/>
  <c r="M99" i="2" s="1"/>
  <c r="A99" i="2"/>
  <c r="AJ98" i="2"/>
  <c r="AI98" i="2"/>
  <c r="AB98" i="2"/>
  <c r="AC98" i="2" s="1"/>
  <c r="O98" i="2"/>
  <c r="P98" i="2" s="1"/>
  <c r="Q98" i="2" s="1"/>
  <c r="L98" i="2"/>
  <c r="K98" i="2"/>
  <c r="M98" i="2" s="1"/>
  <c r="A98" i="2"/>
  <c r="AJ97" i="2"/>
  <c r="AI97" i="2"/>
  <c r="AB97" i="2"/>
  <c r="O97" i="2"/>
  <c r="P97" i="2" s="1"/>
  <c r="Q97" i="2" s="1"/>
  <c r="L97" i="2"/>
  <c r="K97" i="2"/>
  <c r="M97" i="2" s="1"/>
  <c r="A97" i="2"/>
  <c r="AJ96" i="2"/>
  <c r="AI96" i="2"/>
  <c r="AB96" i="2"/>
  <c r="AC96" i="2" s="1"/>
  <c r="O96" i="2"/>
  <c r="P96" i="2" s="1"/>
  <c r="Q96" i="2" s="1"/>
  <c r="L96" i="2"/>
  <c r="K96" i="2"/>
  <c r="M96" i="2" s="1"/>
  <c r="A96" i="2"/>
  <c r="AJ95" i="2"/>
  <c r="AI95" i="2"/>
  <c r="AB95" i="2"/>
  <c r="AC95" i="2" s="1"/>
  <c r="AD95" i="2" s="1"/>
  <c r="AE95" i="2" s="1"/>
  <c r="O95" i="2"/>
  <c r="P95" i="2" s="1"/>
  <c r="Q95" i="2" s="1"/>
  <c r="L95" i="2"/>
  <c r="K95" i="2"/>
  <c r="M95" i="2" s="1"/>
  <c r="A95" i="2"/>
  <c r="AJ94" i="2"/>
  <c r="AI94" i="2"/>
  <c r="AB94" i="2"/>
  <c r="AC94" i="2" s="1"/>
  <c r="AD94" i="2" s="1"/>
  <c r="AE94" i="2" s="1"/>
  <c r="O94" i="2"/>
  <c r="P94" i="2" s="1"/>
  <c r="Q94" i="2" s="1"/>
  <c r="L94" i="2"/>
  <c r="K94" i="2"/>
  <c r="M94" i="2" s="1"/>
  <c r="A94" i="2"/>
  <c r="AJ93" i="2"/>
  <c r="AI93" i="2"/>
  <c r="AB93" i="2"/>
  <c r="AC93" i="2" s="1"/>
  <c r="O93" i="2"/>
  <c r="P93" i="2" s="1"/>
  <c r="Q93" i="2" s="1"/>
  <c r="L93" i="2"/>
  <c r="K93" i="2"/>
  <c r="M93" i="2" s="1"/>
  <c r="A93" i="2"/>
  <c r="AJ92" i="2"/>
  <c r="AI92" i="2"/>
  <c r="AB92" i="2"/>
  <c r="AC92" i="2" s="1"/>
  <c r="AD92" i="2" s="1"/>
  <c r="AE92" i="2" s="1"/>
  <c r="O92" i="2"/>
  <c r="P92" i="2" s="1"/>
  <c r="Q92" i="2" s="1"/>
  <c r="L92" i="2"/>
  <c r="K92" i="2"/>
  <c r="M92" i="2" s="1"/>
  <c r="A92" i="2"/>
  <c r="AJ91" i="2"/>
  <c r="AI91" i="2"/>
  <c r="AB91" i="2"/>
  <c r="AC91" i="2" s="1"/>
  <c r="AD91" i="2" s="1"/>
  <c r="AE91" i="2" s="1"/>
  <c r="O91" i="2"/>
  <c r="P91" i="2" s="1"/>
  <c r="Q91" i="2" s="1"/>
  <c r="L91" i="2"/>
  <c r="K91" i="2"/>
  <c r="M91" i="2" s="1"/>
  <c r="A91" i="2"/>
  <c r="AJ90" i="2"/>
  <c r="AI90" i="2"/>
  <c r="AB90" i="2"/>
  <c r="AC90" i="2" s="1"/>
  <c r="O90" i="2"/>
  <c r="P90" i="2" s="1"/>
  <c r="Q90" i="2" s="1"/>
  <c r="L90" i="2"/>
  <c r="K90" i="2"/>
  <c r="M90" i="2" s="1"/>
  <c r="A90" i="2"/>
  <c r="AJ89" i="2"/>
  <c r="AI89" i="2"/>
  <c r="AB89" i="2"/>
  <c r="AC89" i="2" s="1"/>
  <c r="AF89" i="2" s="1"/>
  <c r="AH89" i="2" s="1"/>
  <c r="O89" i="2"/>
  <c r="P89" i="2" s="1"/>
  <c r="Q89" i="2" s="1"/>
  <c r="L89" i="2"/>
  <c r="K89" i="2"/>
  <c r="M89" i="2" s="1"/>
  <c r="A89" i="2"/>
  <c r="AJ88" i="2"/>
  <c r="AI88" i="2"/>
  <c r="AB88" i="2"/>
  <c r="AC88" i="2" s="1"/>
  <c r="AD88" i="2" s="1"/>
  <c r="AE88" i="2" s="1"/>
  <c r="O88" i="2"/>
  <c r="P88" i="2" s="1"/>
  <c r="Q88" i="2" s="1"/>
  <c r="L88" i="2"/>
  <c r="K88" i="2"/>
  <c r="M88" i="2" s="1"/>
  <c r="A88" i="2"/>
  <c r="AJ87" i="2"/>
  <c r="AI87" i="2"/>
  <c r="AB87" i="2"/>
  <c r="AC87" i="2" s="1"/>
  <c r="O87" i="2"/>
  <c r="P87" i="2" s="1"/>
  <c r="Q87" i="2" s="1"/>
  <c r="L87" i="2"/>
  <c r="K87" i="2"/>
  <c r="M87" i="2" s="1"/>
  <c r="A87" i="2"/>
  <c r="AJ86" i="2"/>
  <c r="AI86" i="2"/>
  <c r="AB86" i="2"/>
  <c r="AC86" i="2" s="1"/>
  <c r="O86" i="2"/>
  <c r="P86" i="2" s="1"/>
  <c r="Q86" i="2" s="1"/>
  <c r="L86" i="2"/>
  <c r="K86" i="2"/>
  <c r="M86" i="2" s="1"/>
  <c r="A86" i="2"/>
  <c r="AJ85" i="2"/>
  <c r="AI85" i="2"/>
  <c r="AB85" i="2"/>
  <c r="AC85" i="2" s="1"/>
  <c r="AD85" i="2" s="1"/>
  <c r="AE85" i="2" s="1"/>
  <c r="O85" i="2"/>
  <c r="P85" i="2" s="1"/>
  <c r="Q85" i="2" s="1"/>
  <c r="L85" i="2"/>
  <c r="K85" i="2"/>
  <c r="M85" i="2" s="1"/>
  <c r="A85" i="2"/>
  <c r="AJ84" i="2"/>
  <c r="AI84" i="2"/>
  <c r="AB84" i="2"/>
  <c r="AC84" i="2" s="1"/>
  <c r="O84" i="2"/>
  <c r="P84" i="2" s="1"/>
  <c r="Q84" i="2" s="1"/>
  <c r="L84" i="2"/>
  <c r="K84" i="2"/>
  <c r="M84" i="2" s="1"/>
  <c r="A84" i="2"/>
  <c r="AJ83" i="2"/>
  <c r="AI83" i="2"/>
  <c r="AB83" i="2"/>
  <c r="O83" i="2"/>
  <c r="P83" i="2" s="1"/>
  <c r="Q83" i="2" s="1"/>
  <c r="P32" i="1" s="1"/>
  <c r="L83" i="2"/>
  <c r="K83" i="2"/>
  <c r="M83" i="2" s="1"/>
  <c r="A83" i="2"/>
  <c r="AJ82" i="2"/>
  <c r="AI82" i="2"/>
  <c r="AB82" i="2"/>
  <c r="AC82" i="2" s="1"/>
  <c r="AD82" i="2" s="1"/>
  <c r="AE82" i="2" s="1"/>
  <c r="O82" i="2"/>
  <c r="P82" i="2" s="1"/>
  <c r="Q82" i="2" s="1"/>
  <c r="P31" i="1" s="1"/>
  <c r="L82" i="2"/>
  <c r="K82" i="2"/>
  <c r="M82" i="2" s="1"/>
  <c r="A82" i="2"/>
  <c r="AJ81" i="2"/>
  <c r="AI81" i="2"/>
  <c r="AB81" i="2"/>
  <c r="O81" i="2"/>
  <c r="P81" i="2" s="1"/>
  <c r="Q81" i="2" s="1"/>
  <c r="L81" i="2"/>
  <c r="K81" i="2"/>
  <c r="M81" i="2" s="1"/>
  <c r="A81" i="2"/>
  <c r="AJ80" i="2"/>
  <c r="AI80" i="2"/>
  <c r="AB80" i="2"/>
  <c r="AC80" i="2" s="1"/>
  <c r="AD80" i="2" s="1"/>
  <c r="AE80" i="2" s="1"/>
  <c r="O80" i="2"/>
  <c r="P80" i="2" s="1"/>
  <c r="Q80" i="2" s="1"/>
  <c r="L80" i="2"/>
  <c r="K80" i="2"/>
  <c r="M80" i="2" s="1"/>
  <c r="A80" i="2"/>
  <c r="AJ79" i="2"/>
  <c r="AI79" i="2"/>
  <c r="AB79" i="2"/>
  <c r="AC79" i="2" s="1"/>
  <c r="AD79" i="2" s="1"/>
  <c r="AE79" i="2" s="1"/>
  <c r="O79" i="2"/>
  <c r="P79" i="2" s="1"/>
  <c r="Q79" i="2" s="1"/>
  <c r="L79" i="2"/>
  <c r="K79" i="2"/>
  <c r="M79" i="2" s="1"/>
  <c r="A79" i="2"/>
  <c r="AJ78" i="2"/>
  <c r="AI78" i="2"/>
  <c r="AB78" i="2"/>
  <c r="AC78" i="2" s="1"/>
  <c r="AF78" i="2" s="1"/>
  <c r="AG78" i="2" s="1"/>
  <c r="O78" i="2"/>
  <c r="P78" i="2" s="1"/>
  <c r="Q78" i="2" s="1"/>
  <c r="L78" i="2"/>
  <c r="K78" i="2"/>
  <c r="M78" i="2" s="1"/>
  <c r="A78" i="2"/>
  <c r="AJ77" i="2"/>
  <c r="AI77" i="2"/>
  <c r="AB77" i="2"/>
  <c r="AC77" i="2" s="1"/>
  <c r="O77" i="2"/>
  <c r="P77" i="2" s="1"/>
  <c r="Q77" i="2" s="1"/>
  <c r="P54" i="1" s="1"/>
  <c r="L77" i="2"/>
  <c r="K77" i="2"/>
  <c r="M77" i="2" s="1"/>
  <c r="A77" i="2"/>
  <c r="AJ76" i="2"/>
  <c r="AI76" i="2"/>
  <c r="AB76" i="2"/>
  <c r="O76" i="2"/>
  <c r="P76" i="2" s="1"/>
  <c r="Q76" i="2" s="1"/>
  <c r="L76" i="2"/>
  <c r="K76" i="2"/>
  <c r="M76" i="2" s="1"/>
  <c r="A76" i="2"/>
  <c r="AJ75" i="2"/>
  <c r="AI75" i="2"/>
  <c r="AB75" i="2"/>
  <c r="O75" i="2"/>
  <c r="P75" i="2" s="1"/>
  <c r="Q75" i="2" s="1"/>
  <c r="L75" i="2"/>
  <c r="K75" i="2"/>
  <c r="M75" i="2" s="1"/>
  <c r="A75" i="2"/>
  <c r="AJ74" i="2"/>
  <c r="AI74" i="2"/>
  <c r="AB74" i="2"/>
  <c r="AC74" i="2" s="1"/>
  <c r="O74" i="2"/>
  <c r="P74" i="2" s="1"/>
  <c r="Q74" i="2" s="1"/>
  <c r="L74" i="2"/>
  <c r="K74" i="2"/>
  <c r="M74" i="2" s="1"/>
  <c r="A74" i="2"/>
  <c r="AJ73" i="2"/>
  <c r="AI73" i="2"/>
  <c r="AB73" i="2"/>
  <c r="AC73" i="2" s="1"/>
  <c r="AD73" i="2" s="1"/>
  <c r="AE73" i="2" s="1"/>
  <c r="O73" i="2"/>
  <c r="P73" i="2" s="1"/>
  <c r="Q73" i="2" s="1"/>
  <c r="P168" i="1" s="1"/>
  <c r="L73" i="2"/>
  <c r="K73" i="2"/>
  <c r="M73" i="2" s="1"/>
  <c r="A73" i="2"/>
  <c r="AJ72" i="2"/>
  <c r="AI72" i="2"/>
  <c r="AB72" i="2"/>
  <c r="AC72" i="2" s="1"/>
  <c r="AD72" i="2" s="1"/>
  <c r="AE72" i="2" s="1"/>
  <c r="O72" i="2"/>
  <c r="P72" i="2" s="1"/>
  <c r="Q72" i="2" s="1"/>
  <c r="L72" i="2"/>
  <c r="K72" i="2"/>
  <c r="M72" i="2" s="1"/>
  <c r="A72" i="2"/>
  <c r="AJ71" i="2"/>
  <c r="AI71" i="2"/>
  <c r="AB71" i="2"/>
  <c r="O71" i="2"/>
  <c r="P71" i="2" s="1"/>
  <c r="Q71" i="2" s="1"/>
  <c r="L71" i="2"/>
  <c r="K71" i="2"/>
  <c r="M71" i="2" s="1"/>
  <c r="A71" i="2"/>
  <c r="AJ70" i="2"/>
  <c r="AI70" i="2"/>
  <c r="AB70" i="2"/>
  <c r="AC70" i="2" s="1"/>
  <c r="AD70" i="2" s="1"/>
  <c r="AE70" i="2" s="1"/>
  <c r="O70" i="2"/>
  <c r="P70" i="2" s="1"/>
  <c r="Q70" i="2" s="1"/>
  <c r="L70" i="2"/>
  <c r="K70" i="2"/>
  <c r="M70" i="2" s="1"/>
  <c r="A70" i="2"/>
  <c r="AJ69" i="2"/>
  <c r="AI69" i="2"/>
  <c r="AB69" i="2"/>
  <c r="AC69" i="2" s="1"/>
  <c r="AD69" i="2" s="1"/>
  <c r="AE69" i="2" s="1"/>
  <c r="O69" i="2"/>
  <c r="P69" i="2" s="1"/>
  <c r="Q69" i="2" s="1"/>
  <c r="L69" i="2"/>
  <c r="K69" i="2"/>
  <c r="M69" i="2" s="1"/>
  <c r="A69" i="2"/>
  <c r="AJ68" i="2"/>
  <c r="AI68" i="2"/>
  <c r="AB68" i="2"/>
  <c r="O68" i="2"/>
  <c r="P68" i="2" s="1"/>
  <c r="Q68" i="2" s="1"/>
  <c r="L68" i="2"/>
  <c r="K68" i="2"/>
  <c r="M68" i="2" s="1"/>
  <c r="A68" i="2"/>
  <c r="AJ67" i="2"/>
  <c r="AI67" i="2"/>
  <c r="AB67" i="2"/>
  <c r="AC67" i="2" s="1"/>
  <c r="AD67" i="2" s="1"/>
  <c r="AE67" i="2" s="1"/>
  <c r="O67" i="2"/>
  <c r="P67" i="2" s="1"/>
  <c r="Q67" i="2" s="1"/>
  <c r="L67" i="2"/>
  <c r="K67" i="2"/>
  <c r="M67" i="2" s="1"/>
  <c r="A67" i="2"/>
  <c r="AJ66" i="2"/>
  <c r="AI66" i="2"/>
  <c r="AB66" i="2"/>
  <c r="O66" i="2"/>
  <c r="P66" i="2" s="1"/>
  <c r="Q66" i="2" s="1"/>
  <c r="L66" i="2"/>
  <c r="K66" i="2"/>
  <c r="M66" i="2" s="1"/>
  <c r="A66" i="2"/>
  <c r="AJ65" i="2"/>
  <c r="AI65" i="2"/>
  <c r="AB65" i="2"/>
  <c r="O65" i="2"/>
  <c r="P65" i="2" s="1"/>
  <c r="Q65" i="2" s="1"/>
  <c r="L65" i="2"/>
  <c r="K65" i="2"/>
  <c r="M65" i="2" s="1"/>
  <c r="A65" i="2"/>
  <c r="AJ64" i="2"/>
  <c r="AI64" i="2"/>
  <c r="AB64" i="2"/>
  <c r="AC64" i="2" s="1"/>
  <c r="AD64" i="2" s="1"/>
  <c r="AE64" i="2" s="1"/>
  <c r="O64" i="2"/>
  <c r="P64" i="2" s="1"/>
  <c r="Q64" i="2" s="1"/>
  <c r="L64" i="2"/>
  <c r="K64" i="2"/>
  <c r="M64" i="2" s="1"/>
  <c r="A64" i="2"/>
  <c r="AJ63" i="2"/>
  <c r="AI63" i="2"/>
  <c r="AB63" i="2"/>
  <c r="AC63" i="2" s="1"/>
  <c r="O63" i="2"/>
  <c r="P63" i="2" s="1"/>
  <c r="Q63" i="2" s="1"/>
  <c r="L63" i="2"/>
  <c r="K63" i="2"/>
  <c r="M63" i="2" s="1"/>
  <c r="A63" i="2"/>
  <c r="AJ62" i="2"/>
  <c r="AI62" i="2"/>
  <c r="AB62" i="2"/>
  <c r="AC62" i="2" s="1"/>
  <c r="AF62" i="2" s="1"/>
  <c r="O62" i="2"/>
  <c r="P62" i="2" s="1"/>
  <c r="Q62" i="2" s="1"/>
  <c r="L62" i="2"/>
  <c r="K62" i="2"/>
  <c r="M62" i="2" s="1"/>
  <c r="A62" i="2"/>
  <c r="AJ61" i="2"/>
  <c r="AI61" i="2"/>
  <c r="AB61" i="2"/>
  <c r="O61" i="2"/>
  <c r="P61" i="2" s="1"/>
  <c r="Q61" i="2" s="1"/>
  <c r="L61" i="2"/>
  <c r="K61" i="2"/>
  <c r="M61" i="2" s="1"/>
  <c r="A61" i="2"/>
  <c r="AJ60" i="2"/>
  <c r="AI60" i="2"/>
  <c r="AB60" i="2"/>
  <c r="O60" i="2"/>
  <c r="P60" i="2" s="1"/>
  <c r="Q60" i="2" s="1"/>
  <c r="L60" i="2"/>
  <c r="K60" i="2"/>
  <c r="M60" i="2" s="1"/>
  <c r="A60" i="2"/>
  <c r="AJ59" i="2"/>
  <c r="AI59" i="2"/>
  <c r="AB59" i="2"/>
  <c r="AC59" i="2" s="1"/>
  <c r="AD59" i="2" s="1"/>
  <c r="AE59" i="2" s="1"/>
  <c r="O59" i="2"/>
  <c r="P59" i="2" s="1"/>
  <c r="Q59" i="2" s="1"/>
  <c r="L59" i="2"/>
  <c r="K59" i="2"/>
  <c r="M59" i="2" s="1"/>
  <c r="A59" i="2"/>
  <c r="AJ58" i="2"/>
  <c r="AI58" i="2"/>
  <c r="AB58" i="2"/>
  <c r="O58" i="2"/>
  <c r="P58" i="2" s="1"/>
  <c r="Q58" i="2" s="1"/>
  <c r="L58" i="2"/>
  <c r="K58" i="2"/>
  <c r="M58" i="2" s="1"/>
  <c r="A58" i="2"/>
  <c r="AJ57" i="2"/>
  <c r="AI57" i="2"/>
  <c r="AB57" i="2"/>
  <c r="AC57" i="2" s="1"/>
  <c r="AD57" i="2" s="1"/>
  <c r="AE57" i="2" s="1"/>
  <c r="O57" i="2"/>
  <c r="P57" i="2" s="1"/>
  <c r="Q57" i="2" s="1"/>
  <c r="L57" i="2"/>
  <c r="K57" i="2"/>
  <c r="M57" i="2" s="1"/>
  <c r="A57" i="2"/>
  <c r="AJ56" i="2"/>
  <c r="AI56" i="2"/>
  <c r="AB56" i="2"/>
  <c r="AC56" i="2" s="1"/>
  <c r="AD56" i="2" s="1"/>
  <c r="AE56" i="2" s="1"/>
  <c r="O56" i="2"/>
  <c r="P56" i="2" s="1"/>
  <c r="Q56" i="2" s="1"/>
  <c r="P26" i="1" s="1"/>
  <c r="L56" i="2"/>
  <c r="K56" i="2"/>
  <c r="M56" i="2" s="1"/>
  <c r="A56" i="2"/>
  <c r="AJ55" i="2"/>
  <c r="AI55" i="2"/>
  <c r="AB55" i="2"/>
  <c r="AC55" i="2" s="1"/>
  <c r="AD55" i="2" s="1"/>
  <c r="AE55" i="2" s="1"/>
  <c r="O55" i="2"/>
  <c r="P55" i="2" s="1"/>
  <c r="Q55" i="2" s="1"/>
  <c r="P25" i="1" s="1"/>
  <c r="L55" i="2"/>
  <c r="K55" i="2"/>
  <c r="M55" i="2" s="1"/>
  <c r="A55" i="2"/>
  <c r="AJ54" i="2"/>
  <c r="AI54" i="2"/>
  <c r="AB54" i="2"/>
  <c r="AC54" i="2" s="1"/>
  <c r="O54" i="2"/>
  <c r="P54" i="2" s="1"/>
  <c r="Q54" i="2" s="1"/>
  <c r="L54" i="2"/>
  <c r="K54" i="2"/>
  <c r="M54" i="2" s="1"/>
  <c r="A54" i="2"/>
  <c r="AJ53" i="2"/>
  <c r="AI53" i="2"/>
  <c r="AB53" i="2"/>
  <c r="AC53" i="2" s="1"/>
  <c r="O53" i="2"/>
  <c r="P53" i="2" s="1"/>
  <c r="Q53" i="2" s="1"/>
  <c r="P107" i="1" s="1"/>
  <c r="L53" i="2"/>
  <c r="K53" i="2"/>
  <c r="M53" i="2" s="1"/>
  <c r="A53" i="2"/>
  <c r="AJ52" i="2"/>
  <c r="AI52" i="2"/>
  <c r="AB52" i="2"/>
  <c r="AC52" i="2" s="1"/>
  <c r="AD52" i="2" s="1"/>
  <c r="AE52" i="2" s="1"/>
  <c r="O52" i="2"/>
  <c r="P52" i="2" s="1"/>
  <c r="Q52" i="2" s="1"/>
  <c r="P49" i="1" s="1"/>
  <c r="L52" i="2"/>
  <c r="K52" i="2"/>
  <c r="M52" i="2" s="1"/>
  <c r="A52" i="2"/>
  <c r="AJ51" i="2"/>
  <c r="AI51" i="2"/>
  <c r="AB51" i="2"/>
  <c r="AC51" i="2" s="1"/>
  <c r="AD51" i="2" s="1"/>
  <c r="AE51" i="2" s="1"/>
  <c r="O51" i="2"/>
  <c r="P51" i="2" s="1"/>
  <c r="Q51" i="2" s="1"/>
  <c r="L51" i="2"/>
  <c r="K51" i="2"/>
  <c r="M51" i="2" s="1"/>
  <c r="A51" i="2"/>
  <c r="AJ50" i="2"/>
  <c r="AI50" i="2"/>
  <c r="AB50" i="2"/>
  <c r="AC50" i="2" s="1"/>
  <c r="AF50" i="2" s="1"/>
  <c r="O50" i="2"/>
  <c r="P50" i="2" s="1"/>
  <c r="Q50" i="2" s="1"/>
  <c r="P166" i="1" s="1"/>
  <c r="L50" i="2"/>
  <c r="K50" i="2"/>
  <c r="M50" i="2" s="1"/>
  <c r="A50" i="2"/>
  <c r="AJ49" i="2"/>
  <c r="AI49" i="2"/>
  <c r="AB49" i="2"/>
  <c r="AC49" i="2" s="1"/>
  <c r="AD49" i="2" s="1"/>
  <c r="AE49" i="2" s="1"/>
  <c r="O49" i="2"/>
  <c r="P49" i="2" s="1"/>
  <c r="Q49" i="2" s="1"/>
  <c r="P105" i="1" s="1"/>
  <c r="L49" i="2"/>
  <c r="K49" i="2"/>
  <c r="M49" i="2" s="1"/>
  <c r="A49" i="2"/>
  <c r="AJ48" i="2"/>
  <c r="AI48" i="2"/>
  <c r="AB48" i="2"/>
  <c r="O48" i="2"/>
  <c r="P48" i="2" s="1"/>
  <c r="Q48" i="2" s="1"/>
  <c r="L48" i="2"/>
  <c r="K48" i="2"/>
  <c r="M48" i="2" s="1"/>
  <c r="A48" i="2"/>
  <c r="AJ47" i="2"/>
  <c r="AI47" i="2"/>
  <c r="AB47" i="2"/>
  <c r="AC47" i="2" s="1"/>
  <c r="AD47" i="2" s="1"/>
  <c r="AE47" i="2" s="1"/>
  <c r="O47" i="2"/>
  <c r="P47" i="2" s="1"/>
  <c r="Q47" i="2" s="1"/>
  <c r="L47" i="2"/>
  <c r="K47" i="2"/>
  <c r="M47" i="2" s="1"/>
  <c r="A47" i="2"/>
  <c r="AJ46" i="2"/>
  <c r="AI46" i="2"/>
  <c r="AB46" i="2"/>
  <c r="O46" i="2"/>
  <c r="P46" i="2" s="1"/>
  <c r="Q46" i="2" s="1"/>
  <c r="L46" i="2"/>
  <c r="K46" i="2"/>
  <c r="M46" i="2" s="1"/>
  <c r="A46" i="2"/>
  <c r="AJ45" i="2"/>
  <c r="AI45" i="2"/>
  <c r="AB45" i="2"/>
  <c r="AC45" i="2" s="1"/>
  <c r="AD45" i="2" s="1"/>
  <c r="AE45" i="2" s="1"/>
  <c r="Q45" i="2"/>
  <c r="P18" i="1" s="1"/>
  <c r="O45" i="2"/>
  <c r="P45" i="2" s="1"/>
  <c r="L45" i="2"/>
  <c r="K45" i="2"/>
  <c r="M45" i="2" s="1"/>
  <c r="A45" i="2"/>
  <c r="AJ44" i="2"/>
  <c r="AI44" i="2"/>
  <c r="AB44" i="2"/>
  <c r="O44" i="2"/>
  <c r="P44" i="2" s="1"/>
  <c r="Q44" i="2" s="1"/>
  <c r="P154" i="1" s="1"/>
  <c r="L44" i="2"/>
  <c r="K44" i="2"/>
  <c r="M44" i="2" s="1"/>
  <c r="A44" i="2"/>
  <c r="AJ42" i="2"/>
  <c r="AI42" i="2"/>
  <c r="AB42" i="2"/>
  <c r="O42" i="2"/>
  <c r="P42" i="2" s="1"/>
  <c r="Q42" i="2" s="1"/>
  <c r="P137" i="1" s="1"/>
  <c r="L42" i="2"/>
  <c r="K42" i="2"/>
  <c r="M42" i="2" s="1"/>
  <c r="A42" i="2"/>
  <c r="AJ41" i="2"/>
  <c r="AI41" i="2"/>
  <c r="AB41" i="2"/>
  <c r="O41" i="2"/>
  <c r="P41" i="2" s="1"/>
  <c r="Q41" i="2" s="1"/>
  <c r="P119" i="1" s="1"/>
  <c r="L41" i="2"/>
  <c r="K41" i="2"/>
  <c r="M41" i="2" s="1"/>
  <c r="A41" i="2"/>
  <c r="AJ40" i="2"/>
  <c r="AI40" i="2"/>
  <c r="AB40" i="2"/>
  <c r="O40" i="2"/>
  <c r="P40" i="2" s="1"/>
  <c r="Q40" i="2" s="1"/>
  <c r="P78" i="1" s="1"/>
  <c r="L40" i="2"/>
  <c r="K40" i="2"/>
  <c r="M40" i="2" s="1"/>
  <c r="A40" i="2"/>
  <c r="AJ39" i="2"/>
  <c r="AI39" i="2"/>
  <c r="AB39" i="2"/>
  <c r="O39" i="2"/>
  <c r="P39" i="2" s="1"/>
  <c r="Q39" i="2" s="1"/>
  <c r="P39" i="1" s="1"/>
  <c r="L39" i="2"/>
  <c r="K39" i="2"/>
  <c r="M39" i="2" s="1"/>
  <c r="A39" i="2"/>
  <c r="AJ38" i="2"/>
  <c r="AI38" i="2"/>
  <c r="AB38" i="2"/>
  <c r="AC38" i="2" s="1"/>
  <c r="AF38" i="2" s="1"/>
  <c r="O38" i="2"/>
  <c r="P38" i="2" s="1"/>
  <c r="Q38" i="2" s="1"/>
  <c r="P3" i="1" s="1"/>
  <c r="L38" i="2"/>
  <c r="K38" i="2"/>
  <c r="M38" i="2" s="1"/>
  <c r="A38" i="2"/>
  <c r="AJ37" i="2"/>
  <c r="AI37" i="2"/>
  <c r="AB37" i="2"/>
  <c r="O37" i="2"/>
  <c r="P37" i="2" s="1"/>
  <c r="Q37" i="2" s="1"/>
  <c r="P6" i="1" s="1"/>
  <c r="L37" i="2"/>
  <c r="K37" i="2"/>
  <c r="M37" i="2" s="1"/>
  <c r="A37" i="2"/>
  <c r="AJ36" i="2"/>
  <c r="AI36" i="2"/>
  <c r="AB36" i="2"/>
  <c r="AC36" i="2" s="1"/>
  <c r="AD36" i="2" s="1"/>
  <c r="AE36" i="2" s="1"/>
  <c r="O36" i="2"/>
  <c r="P36" i="2" s="1"/>
  <c r="Q36" i="2" s="1"/>
  <c r="L36" i="2"/>
  <c r="K36" i="2"/>
  <c r="M36" i="2" s="1"/>
  <c r="A36" i="2"/>
  <c r="AJ35" i="2"/>
  <c r="AI35" i="2"/>
  <c r="AB35" i="2"/>
  <c r="AC35" i="2" s="1"/>
  <c r="O35" i="2"/>
  <c r="P35" i="2" s="1"/>
  <c r="Q35" i="2" s="1"/>
  <c r="P21" i="1" s="1"/>
  <c r="L35" i="2"/>
  <c r="K35" i="2"/>
  <c r="M35" i="2" s="1"/>
  <c r="A35" i="2"/>
  <c r="AJ34" i="2"/>
  <c r="AI34" i="2"/>
  <c r="AB34" i="2"/>
  <c r="O34" i="2"/>
  <c r="P34" i="2" s="1"/>
  <c r="Q34" i="2" s="1"/>
  <c r="P13" i="1" s="1"/>
  <c r="L34" i="2"/>
  <c r="K34" i="2"/>
  <c r="M34" i="2" s="1"/>
  <c r="A34" i="2"/>
  <c r="AJ33" i="2"/>
  <c r="AI33" i="2"/>
  <c r="AB33" i="2"/>
  <c r="AC33" i="2" s="1"/>
  <c r="O33" i="2"/>
  <c r="P33" i="2" s="1"/>
  <c r="Q33" i="2" s="1"/>
  <c r="L33" i="2"/>
  <c r="K33" i="2"/>
  <c r="M33" i="2" s="1"/>
  <c r="A33" i="2"/>
  <c r="AJ32" i="2"/>
  <c r="AI32" i="2"/>
  <c r="AB32" i="2"/>
  <c r="O32" i="2"/>
  <c r="P32" i="2" s="1"/>
  <c r="Q32" i="2" s="1"/>
  <c r="P155" i="1" s="1"/>
  <c r="L32" i="2"/>
  <c r="K32" i="2"/>
  <c r="M32" i="2" s="1"/>
  <c r="A32" i="2"/>
  <c r="AJ31" i="2"/>
  <c r="AI31" i="2"/>
  <c r="AB31" i="2"/>
  <c r="AC31" i="2" s="1"/>
  <c r="AD31" i="2" s="1"/>
  <c r="AE31" i="2" s="1"/>
  <c r="O31" i="2"/>
  <c r="P31" i="2" s="1"/>
  <c r="Q31" i="2" s="1"/>
  <c r="P161" i="1" s="1"/>
  <c r="L31" i="2"/>
  <c r="K31" i="2"/>
  <c r="M31" i="2" s="1"/>
  <c r="A31" i="2"/>
  <c r="AJ30" i="2"/>
  <c r="AI30" i="2"/>
  <c r="AB30" i="2"/>
  <c r="AC30" i="2" s="1"/>
  <c r="O30" i="2"/>
  <c r="P30" i="2" s="1"/>
  <c r="Q30" i="2" s="1"/>
  <c r="P160" i="1" s="1"/>
  <c r="L30" i="2"/>
  <c r="K30" i="2"/>
  <c r="M30" i="2" s="1"/>
  <c r="A30" i="2"/>
  <c r="AJ29" i="2"/>
  <c r="AI29" i="2"/>
  <c r="AB29" i="2"/>
  <c r="AC29" i="2" s="1"/>
  <c r="O29" i="2"/>
  <c r="P29" i="2" s="1"/>
  <c r="Q29" i="2" s="1"/>
  <c r="P159" i="1" s="1"/>
  <c r="L29" i="2"/>
  <c r="K29" i="2"/>
  <c r="M29" i="2" s="1"/>
  <c r="A29" i="2"/>
  <c r="AJ28" i="2"/>
  <c r="AI28" i="2"/>
  <c r="AB28" i="2"/>
  <c r="AC28" i="2" s="1"/>
  <c r="AD28" i="2" s="1"/>
  <c r="AE28" i="2" s="1"/>
  <c r="O28" i="2"/>
  <c r="P28" i="2" s="1"/>
  <c r="Q28" i="2" s="1"/>
  <c r="P158" i="1" s="1"/>
  <c r="L28" i="2"/>
  <c r="K28" i="2"/>
  <c r="M28" i="2" s="1"/>
  <c r="A28" i="2"/>
  <c r="AJ27" i="2"/>
  <c r="AI27" i="2"/>
  <c r="AB27" i="2"/>
  <c r="AC27" i="2" s="1"/>
  <c r="AD27" i="2" s="1"/>
  <c r="AE27" i="2" s="1"/>
  <c r="O27" i="2"/>
  <c r="P27" i="2" s="1"/>
  <c r="Q27" i="2" s="1"/>
  <c r="P157" i="1" s="1"/>
  <c r="L27" i="2"/>
  <c r="K27" i="2"/>
  <c r="M27" i="2" s="1"/>
  <c r="A27" i="2"/>
  <c r="AJ26" i="2"/>
  <c r="AI26" i="2"/>
  <c r="AB26" i="2"/>
  <c r="O26" i="2"/>
  <c r="P26" i="2" s="1"/>
  <c r="Q26" i="2" s="1"/>
  <c r="P156" i="1" s="1"/>
  <c r="L26" i="2"/>
  <c r="K26" i="2"/>
  <c r="M26" i="2" s="1"/>
  <c r="A26" i="2"/>
  <c r="AJ25" i="2"/>
  <c r="AI25" i="2"/>
  <c r="AB25" i="2"/>
  <c r="O25" i="2"/>
  <c r="P25" i="2" s="1"/>
  <c r="Q25" i="2" s="1"/>
  <c r="P122" i="1" s="1"/>
  <c r="L25" i="2"/>
  <c r="K25" i="2"/>
  <c r="M25" i="2" s="1"/>
  <c r="A25" i="2"/>
  <c r="AJ24" i="2"/>
  <c r="AI24" i="2"/>
  <c r="AB24" i="2"/>
  <c r="O24" i="2"/>
  <c r="P24" i="2" s="1"/>
  <c r="Q24" i="2" s="1"/>
  <c r="P100" i="1" s="1"/>
  <c r="L24" i="2"/>
  <c r="K24" i="2"/>
  <c r="M24" i="2" s="1"/>
  <c r="A24" i="2"/>
  <c r="AJ23" i="2"/>
  <c r="AI23" i="2"/>
  <c r="AB23" i="2"/>
  <c r="O23" i="2"/>
  <c r="P23" i="2" s="1"/>
  <c r="Q23" i="2" s="1"/>
  <c r="P99" i="1" s="1"/>
  <c r="L23" i="2"/>
  <c r="K23" i="2"/>
  <c r="M23" i="2" s="1"/>
  <c r="A23" i="2"/>
  <c r="AJ22" i="2"/>
  <c r="AI22" i="2"/>
  <c r="AB22" i="2"/>
  <c r="O22" i="2"/>
  <c r="P22" i="2" s="1"/>
  <c r="Q22" i="2" s="1"/>
  <c r="P80" i="1" s="1"/>
  <c r="L22" i="2"/>
  <c r="K22" i="2"/>
  <c r="M22" i="2" s="1"/>
  <c r="A22" i="2"/>
  <c r="AJ21" i="2"/>
  <c r="AI21" i="2"/>
  <c r="AB21" i="2"/>
  <c r="O21" i="2"/>
  <c r="P21" i="2" s="1"/>
  <c r="Q21" i="2" s="1"/>
  <c r="P101" i="1" s="1"/>
  <c r="L21" i="2"/>
  <c r="K21" i="2"/>
  <c r="M21" i="2" s="1"/>
  <c r="A21" i="2"/>
  <c r="AJ20" i="2"/>
  <c r="AI20" i="2"/>
  <c r="AB20" i="2"/>
  <c r="O20" i="2"/>
  <c r="P20" i="2" s="1"/>
  <c r="Q20" i="2" s="1"/>
  <c r="L20" i="2"/>
  <c r="K20" i="2"/>
  <c r="M20" i="2" s="1"/>
  <c r="A20" i="2"/>
  <c r="AJ19" i="2"/>
  <c r="AI19" i="2"/>
  <c r="AB19" i="2"/>
  <c r="O19" i="2"/>
  <c r="P19" i="2" s="1"/>
  <c r="Q19" i="2" s="1"/>
  <c r="P42" i="1" s="1"/>
  <c r="L19" i="2"/>
  <c r="K19" i="2"/>
  <c r="M19" i="2" s="1"/>
  <c r="A19" i="2"/>
  <c r="AJ18" i="2"/>
  <c r="AI18" i="2"/>
  <c r="AB18" i="2"/>
  <c r="O18" i="2"/>
  <c r="P18" i="2" s="1"/>
  <c r="Q18" i="2" s="1"/>
  <c r="P41" i="1" s="1"/>
  <c r="L18" i="2"/>
  <c r="K18" i="2"/>
  <c r="M18" i="2" s="1"/>
  <c r="A18" i="2"/>
  <c r="AJ17" i="2"/>
  <c r="AI17" i="2"/>
  <c r="AB17" i="2"/>
  <c r="O17" i="2"/>
  <c r="P17" i="2" s="1"/>
  <c r="Q17" i="2" s="1"/>
  <c r="P43" i="1" s="1"/>
  <c r="L17" i="2"/>
  <c r="K17" i="2"/>
  <c r="M17" i="2" s="1"/>
  <c r="A17" i="2"/>
  <c r="AJ16" i="2"/>
  <c r="AI16" i="2"/>
  <c r="AB16" i="2"/>
  <c r="O16" i="2"/>
  <c r="P16" i="2" s="1"/>
  <c r="Q16" i="2" s="1"/>
  <c r="P44" i="1" s="1"/>
  <c r="L16" i="2"/>
  <c r="K16" i="2"/>
  <c r="M16" i="2" s="1"/>
  <c r="A16" i="2"/>
  <c r="AJ15" i="2"/>
  <c r="AI15" i="2"/>
  <c r="AB15" i="2"/>
  <c r="O15" i="2"/>
  <c r="P15" i="2" s="1"/>
  <c r="Q15" i="2" s="1"/>
  <c r="L15" i="2"/>
  <c r="K15" i="2"/>
  <c r="M15" i="2" s="1"/>
  <c r="A15" i="2"/>
  <c r="AJ14" i="2"/>
  <c r="AI14" i="2"/>
  <c r="AB14" i="2"/>
  <c r="O14" i="2"/>
  <c r="P14" i="2" s="1"/>
  <c r="Q14" i="2" s="1"/>
  <c r="L14" i="2"/>
  <c r="K14" i="2"/>
  <c r="M14" i="2" s="1"/>
  <c r="A14" i="2"/>
  <c r="AJ13" i="2"/>
  <c r="AI13" i="2"/>
  <c r="AB13" i="2"/>
  <c r="O13" i="2"/>
  <c r="P13" i="2" s="1"/>
  <c r="Q13" i="2" s="1"/>
  <c r="P40" i="1" s="1"/>
  <c r="L13" i="2"/>
  <c r="K13" i="2"/>
  <c r="M13" i="2" s="1"/>
  <c r="A13" i="2"/>
  <c r="AJ12" i="2"/>
  <c r="AI12" i="2"/>
  <c r="AB12" i="2"/>
  <c r="O12" i="2"/>
  <c r="P12" i="2" s="1"/>
  <c r="Q12" i="2" s="1"/>
  <c r="P7" i="1" s="1"/>
  <c r="L12" i="2"/>
  <c r="K12" i="2"/>
  <c r="M12" i="2" s="1"/>
  <c r="A12" i="2"/>
  <c r="AJ11" i="2"/>
  <c r="AI11" i="2"/>
  <c r="AB11" i="2"/>
  <c r="O11" i="2"/>
  <c r="P11" i="2" s="1"/>
  <c r="Q11" i="2" s="1"/>
  <c r="L11" i="2"/>
  <c r="K11" i="2"/>
  <c r="M11" i="2" s="1"/>
  <c r="A11" i="2"/>
  <c r="AJ10" i="2"/>
  <c r="AI10" i="2"/>
  <c r="AB10" i="2"/>
  <c r="O10" i="2"/>
  <c r="P10" i="2" s="1"/>
  <c r="Q10" i="2" s="1"/>
  <c r="P16" i="1" s="1"/>
  <c r="L10" i="2"/>
  <c r="K10" i="2"/>
  <c r="M10" i="2" s="1"/>
  <c r="A10" i="2"/>
  <c r="AJ9" i="2"/>
  <c r="AI9" i="2"/>
  <c r="AB9" i="2"/>
  <c r="O9" i="2"/>
  <c r="P9" i="2" s="1"/>
  <c r="Q9" i="2" s="1"/>
  <c r="P15" i="1" s="1"/>
  <c r="L9" i="2"/>
  <c r="K9" i="2"/>
  <c r="M9" i="2" s="1"/>
  <c r="A9" i="2"/>
  <c r="AJ8" i="2"/>
  <c r="AI8" i="2"/>
  <c r="AB8" i="2"/>
  <c r="O8" i="2"/>
  <c r="P8" i="2" s="1"/>
  <c r="Q8" i="2" s="1"/>
  <c r="P10" i="1" s="1"/>
  <c r="L8" i="2"/>
  <c r="K8" i="2"/>
  <c r="M8" i="2" s="1"/>
  <c r="A8" i="2"/>
  <c r="AJ7" i="2"/>
  <c r="AI7" i="2"/>
  <c r="AB7" i="2"/>
  <c r="O7" i="2"/>
  <c r="P7" i="2" s="1"/>
  <c r="Q7" i="2" s="1"/>
  <c r="P9" i="1" s="1"/>
  <c r="L7" i="2"/>
  <c r="K7" i="2"/>
  <c r="M7" i="2" s="1"/>
  <c r="A7" i="2"/>
  <c r="AJ6" i="2"/>
  <c r="AI6" i="2"/>
  <c r="AB6" i="2"/>
  <c r="O6" i="2"/>
  <c r="P6" i="2" s="1"/>
  <c r="Q6" i="2" s="1"/>
  <c r="P8" i="1" s="1"/>
  <c r="L6" i="2"/>
  <c r="K6" i="2"/>
  <c r="M6" i="2" s="1"/>
  <c r="A6" i="2"/>
  <c r="AJ5" i="2"/>
  <c r="AI5" i="2"/>
  <c r="AB5" i="2"/>
  <c r="AC5" i="2" s="1"/>
  <c r="O5" i="2"/>
  <c r="P5" i="2" s="1"/>
  <c r="Q5" i="2" s="1"/>
  <c r="P5" i="1" s="1"/>
  <c r="L5" i="2"/>
  <c r="K5" i="2"/>
  <c r="M5" i="2" s="1"/>
  <c r="A5" i="2"/>
  <c r="AJ4" i="2"/>
  <c r="AI4" i="2"/>
  <c r="AB4" i="2"/>
  <c r="O4" i="2"/>
  <c r="P4" i="2" s="1"/>
  <c r="Q4" i="2" s="1"/>
  <c r="P12" i="1" s="1"/>
  <c r="L4" i="2"/>
  <c r="K4" i="2"/>
  <c r="M4" i="2" s="1"/>
  <c r="A4" i="2"/>
  <c r="AJ3" i="2"/>
  <c r="AI3" i="2"/>
  <c r="AB3" i="2"/>
  <c r="O3" i="2"/>
  <c r="P3" i="2" s="1"/>
  <c r="Q3" i="2" s="1"/>
  <c r="P11" i="1" s="1"/>
  <c r="L3" i="2"/>
  <c r="K3" i="2"/>
  <c r="M3" i="2" s="1"/>
  <c r="A3" i="2"/>
  <c r="AJ2" i="2"/>
  <c r="AI2" i="2"/>
  <c r="AB2" i="2"/>
  <c r="O2" i="2"/>
  <c r="P2" i="2" s="1"/>
  <c r="Q2" i="2" s="1"/>
  <c r="P4" i="1" s="1"/>
  <c r="L2" i="2"/>
  <c r="K2" i="2"/>
  <c r="A2" i="2"/>
  <c r="F173" i="1"/>
  <c r="J171" i="1"/>
  <c r="I171" i="1"/>
  <c r="E171" i="1"/>
  <c r="D171" i="1"/>
  <c r="J170" i="1"/>
  <c r="I170" i="1"/>
  <c r="H170" i="1"/>
  <c r="E170" i="1"/>
  <c r="D170" i="1"/>
  <c r="J169" i="1"/>
  <c r="I169" i="1"/>
  <c r="E169" i="1"/>
  <c r="D169" i="1"/>
  <c r="J168" i="1"/>
  <c r="I168" i="1"/>
  <c r="E168" i="1"/>
  <c r="D168" i="1"/>
  <c r="J167" i="1"/>
  <c r="I167" i="1"/>
  <c r="H167" i="1"/>
  <c r="E167" i="1"/>
  <c r="D167" i="1"/>
  <c r="J166" i="1"/>
  <c r="I166" i="1"/>
  <c r="E166" i="1"/>
  <c r="D166" i="1"/>
  <c r="J165" i="1"/>
  <c r="I165" i="1"/>
  <c r="E165" i="1"/>
  <c r="D165" i="1"/>
  <c r="H164" i="1"/>
  <c r="C164" i="1"/>
  <c r="J164" i="1" s="1"/>
  <c r="H163" i="1"/>
  <c r="C163" i="1"/>
  <c r="I163" i="1" s="1"/>
  <c r="J162" i="1"/>
  <c r="I162" i="1"/>
  <c r="E162" i="1"/>
  <c r="D162" i="1"/>
  <c r="J161" i="1"/>
  <c r="I161" i="1"/>
  <c r="E161" i="1"/>
  <c r="D161" i="1"/>
  <c r="J160" i="1"/>
  <c r="I160" i="1"/>
  <c r="E160" i="1"/>
  <c r="D160" i="1"/>
  <c r="J159" i="1"/>
  <c r="I159" i="1"/>
  <c r="E159" i="1"/>
  <c r="D159" i="1"/>
  <c r="J158" i="1"/>
  <c r="I158" i="1"/>
  <c r="E158" i="1"/>
  <c r="D158" i="1"/>
  <c r="J157" i="1"/>
  <c r="I157" i="1"/>
  <c r="E157" i="1"/>
  <c r="D157" i="1"/>
  <c r="J156" i="1"/>
  <c r="I156" i="1"/>
  <c r="E156" i="1"/>
  <c r="D156" i="1"/>
  <c r="J155" i="1"/>
  <c r="I155" i="1"/>
  <c r="E155" i="1"/>
  <c r="D155" i="1"/>
  <c r="K154" i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I154" i="1"/>
  <c r="M153" i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A153" i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F151" i="1"/>
  <c r="J149" i="1"/>
  <c r="I149" i="1"/>
  <c r="E149" i="1"/>
  <c r="D149" i="1"/>
  <c r="J148" i="1"/>
  <c r="I148" i="1"/>
  <c r="H148" i="1"/>
  <c r="E148" i="1"/>
  <c r="D148" i="1"/>
  <c r="J147" i="1"/>
  <c r="I147" i="1"/>
  <c r="E147" i="1"/>
  <c r="D147" i="1"/>
  <c r="J146" i="1"/>
  <c r="I146" i="1"/>
  <c r="E146" i="1"/>
  <c r="D146" i="1"/>
  <c r="J145" i="1"/>
  <c r="I145" i="1"/>
  <c r="H145" i="1"/>
  <c r="E145" i="1"/>
  <c r="D145" i="1"/>
  <c r="J144" i="1"/>
  <c r="I144" i="1"/>
  <c r="E144" i="1"/>
  <c r="D144" i="1"/>
  <c r="J143" i="1"/>
  <c r="I143" i="1"/>
  <c r="E143" i="1"/>
  <c r="D143" i="1"/>
  <c r="H142" i="1"/>
  <c r="C142" i="1"/>
  <c r="J142" i="1" s="1"/>
  <c r="H141" i="1"/>
  <c r="C141" i="1"/>
  <c r="J140" i="1"/>
  <c r="I140" i="1"/>
  <c r="E140" i="1"/>
  <c r="D140" i="1"/>
  <c r="J139" i="1"/>
  <c r="I139" i="1"/>
  <c r="E139" i="1"/>
  <c r="D139" i="1"/>
  <c r="J138" i="1"/>
  <c r="I138" i="1"/>
  <c r="E138" i="1"/>
  <c r="D138" i="1"/>
  <c r="K137" i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I137" i="1"/>
  <c r="M136" i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F134" i="1"/>
  <c r="J132" i="1"/>
  <c r="I132" i="1"/>
  <c r="E132" i="1"/>
  <c r="D132" i="1"/>
  <c r="J131" i="1"/>
  <c r="I131" i="1"/>
  <c r="H131" i="1"/>
  <c r="E131" i="1"/>
  <c r="D131" i="1"/>
  <c r="J130" i="1"/>
  <c r="I130" i="1"/>
  <c r="E130" i="1"/>
  <c r="D130" i="1"/>
  <c r="J129" i="1"/>
  <c r="I129" i="1"/>
  <c r="E129" i="1"/>
  <c r="D129" i="1"/>
  <c r="J128" i="1"/>
  <c r="I128" i="1"/>
  <c r="H128" i="1"/>
  <c r="E128" i="1"/>
  <c r="D128" i="1"/>
  <c r="J127" i="1"/>
  <c r="I127" i="1"/>
  <c r="E127" i="1"/>
  <c r="D127" i="1"/>
  <c r="J126" i="1"/>
  <c r="I126" i="1"/>
  <c r="E126" i="1"/>
  <c r="D126" i="1"/>
  <c r="H125" i="1"/>
  <c r="C125" i="1"/>
  <c r="E125" i="1" s="1"/>
  <c r="H124" i="1"/>
  <c r="C124" i="1"/>
  <c r="J123" i="1"/>
  <c r="I123" i="1"/>
  <c r="J122" i="1"/>
  <c r="I122" i="1"/>
  <c r="E122" i="1"/>
  <c r="D122" i="1"/>
  <c r="J121" i="1"/>
  <c r="I121" i="1"/>
  <c r="E121" i="1"/>
  <c r="D121" i="1"/>
  <c r="J120" i="1"/>
  <c r="I120" i="1"/>
  <c r="E120" i="1"/>
  <c r="D120" i="1"/>
  <c r="K119" i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I119" i="1"/>
  <c r="M118" i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A118" i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F116" i="1"/>
  <c r="J114" i="1"/>
  <c r="I114" i="1"/>
  <c r="E114" i="1"/>
  <c r="D114" i="1"/>
  <c r="J113" i="1"/>
  <c r="I113" i="1"/>
  <c r="H113" i="1"/>
  <c r="E113" i="1"/>
  <c r="D113" i="1"/>
  <c r="J112" i="1"/>
  <c r="I112" i="1"/>
  <c r="E112" i="1"/>
  <c r="D112" i="1"/>
  <c r="J111" i="1"/>
  <c r="I111" i="1"/>
  <c r="E111" i="1"/>
  <c r="D111" i="1"/>
  <c r="J110" i="1"/>
  <c r="I110" i="1"/>
  <c r="E110" i="1"/>
  <c r="D110" i="1"/>
  <c r="J109" i="1"/>
  <c r="I109" i="1"/>
  <c r="E109" i="1"/>
  <c r="D109" i="1"/>
  <c r="J108" i="1"/>
  <c r="I108" i="1"/>
  <c r="H108" i="1"/>
  <c r="E108" i="1"/>
  <c r="D108" i="1"/>
  <c r="J107" i="1"/>
  <c r="I107" i="1"/>
  <c r="E107" i="1"/>
  <c r="D107" i="1"/>
  <c r="J106" i="1"/>
  <c r="I106" i="1"/>
  <c r="E106" i="1"/>
  <c r="D106" i="1"/>
  <c r="J105" i="1"/>
  <c r="I105" i="1"/>
  <c r="E105" i="1"/>
  <c r="D105" i="1"/>
  <c r="J104" i="1"/>
  <c r="I104" i="1"/>
  <c r="E104" i="1"/>
  <c r="D104" i="1"/>
  <c r="H103" i="1"/>
  <c r="C103" i="1"/>
  <c r="H102" i="1"/>
  <c r="C102" i="1"/>
  <c r="D102" i="1" s="1"/>
  <c r="I101" i="1"/>
  <c r="J100" i="1"/>
  <c r="I100" i="1"/>
  <c r="E100" i="1"/>
  <c r="D100" i="1"/>
  <c r="J99" i="1"/>
  <c r="I99" i="1"/>
  <c r="E99" i="1"/>
  <c r="D99" i="1"/>
  <c r="J98" i="1"/>
  <c r="I98" i="1"/>
  <c r="E98" i="1"/>
  <c r="D98" i="1"/>
  <c r="K97" i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M96" i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F94" i="1"/>
  <c r="J92" i="1"/>
  <c r="I92" i="1"/>
  <c r="E92" i="1"/>
  <c r="D92" i="1"/>
  <c r="J91" i="1"/>
  <c r="I91" i="1"/>
  <c r="H91" i="1"/>
  <c r="E91" i="1"/>
  <c r="D91" i="1"/>
  <c r="J90" i="1"/>
  <c r="I90" i="1"/>
  <c r="E90" i="1"/>
  <c r="D90" i="1"/>
  <c r="J89" i="1"/>
  <c r="I89" i="1"/>
  <c r="E89" i="1"/>
  <c r="D89" i="1"/>
  <c r="J88" i="1"/>
  <c r="I88" i="1"/>
  <c r="E88" i="1"/>
  <c r="D88" i="1"/>
  <c r="J87" i="1"/>
  <c r="I87" i="1"/>
  <c r="H87" i="1"/>
  <c r="E87" i="1"/>
  <c r="D87" i="1"/>
  <c r="J86" i="1"/>
  <c r="I86" i="1"/>
  <c r="E86" i="1"/>
  <c r="D86" i="1"/>
  <c r="J85" i="1"/>
  <c r="I85" i="1"/>
  <c r="E85" i="1"/>
  <c r="D85" i="1"/>
  <c r="J84" i="1"/>
  <c r="I84" i="1"/>
  <c r="E84" i="1"/>
  <c r="D84" i="1"/>
  <c r="H83" i="1"/>
  <c r="C83" i="1"/>
  <c r="E83" i="1" s="1"/>
  <c r="H82" i="1"/>
  <c r="C82" i="1"/>
  <c r="J82" i="1" s="1"/>
  <c r="J81" i="1"/>
  <c r="I81" i="1"/>
  <c r="J80" i="1"/>
  <c r="I80" i="1"/>
  <c r="E80" i="1"/>
  <c r="D80" i="1"/>
  <c r="J79" i="1"/>
  <c r="I79" i="1"/>
  <c r="E79" i="1"/>
  <c r="D79" i="1"/>
  <c r="K78" i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I78" i="1"/>
  <c r="M77" i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F75" i="1"/>
  <c r="J73" i="1"/>
  <c r="I73" i="1"/>
  <c r="E73" i="1"/>
  <c r="D73" i="1"/>
  <c r="J72" i="1"/>
  <c r="I72" i="1"/>
  <c r="H72" i="1"/>
  <c r="E72" i="1"/>
  <c r="D72" i="1"/>
  <c r="J71" i="1"/>
  <c r="I71" i="1"/>
  <c r="E71" i="1"/>
  <c r="D71" i="1"/>
  <c r="J70" i="1"/>
  <c r="I70" i="1"/>
  <c r="E70" i="1"/>
  <c r="D70" i="1"/>
  <c r="J69" i="1"/>
  <c r="I69" i="1"/>
  <c r="H69" i="1"/>
  <c r="E69" i="1"/>
  <c r="D69" i="1"/>
  <c r="J68" i="1"/>
  <c r="I68" i="1"/>
  <c r="E68" i="1"/>
  <c r="D68" i="1"/>
  <c r="J67" i="1"/>
  <c r="I67" i="1"/>
  <c r="E67" i="1"/>
  <c r="D67" i="1"/>
  <c r="H66" i="1"/>
  <c r="C66" i="1"/>
  <c r="D66" i="1" s="1"/>
  <c r="H65" i="1"/>
  <c r="C65" i="1"/>
  <c r="I65" i="1" s="1"/>
  <c r="J64" i="1"/>
  <c r="I64" i="1"/>
  <c r="J63" i="1"/>
  <c r="I63" i="1"/>
  <c r="E63" i="1"/>
  <c r="D63" i="1"/>
  <c r="K62" i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I62" i="1"/>
  <c r="M61" i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F59" i="1"/>
  <c r="J57" i="1"/>
  <c r="I57" i="1"/>
  <c r="E57" i="1"/>
  <c r="D57" i="1"/>
  <c r="J56" i="1"/>
  <c r="I56" i="1"/>
  <c r="H56" i="1"/>
  <c r="E56" i="1"/>
  <c r="D56" i="1"/>
  <c r="J55" i="1"/>
  <c r="I55" i="1"/>
  <c r="E55" i="1"/>
  <c r="D55" i="1"/>
  <c r="J54" i="1"/>
  <c r="I54" i="1"/>
  <c r="E54" i="1"/>
  <c r="D54" i="1"/>
  <c r="J53" i="1"/>
  <c r="I53" i="1"/>
  <c r="E53" i="1"/>
  <c r="D53" i="1"/>
  <c r="J52" i="1"/>
  <c r="I52" i="1"/>
  <c r="E52" i="1"/>
  <c r="D52" i="1"/>
  <c r="J51" i="1"/>
  <c r="I51" i="1"/>
  <c r="H51" i="1"/>
  <c r="E51" i="1"/>
  <c r="D51" i="1"/>
  <c r="J50" i="1"/>
  <c r="I50" i="1"/>
  <c r="E50" i="1"/>
  <c r="D50" i="1"/>
  <c r="J49" i="1"/>
  <c r="I49" i="1"/>
  <c r="E49" i="1"/>
  <c r="D49" i="1"/>
  <c r="J48" i="1"/>
  <c r="I48" i="1"/>
  <c r="E48" i="1"/>
  <c r="D48" i="1"/>
  <c r="J47" i="1"/>
  <c r="I47" i="1"/>
  <c r="E47" i="1"/>
  <c r="D47" i="1"/>
  <c r="H46" i="1"/>
  <c r="C46" i="1"/>
  <c r="J46" i="1" s="1"/>
  <c r="H45" i="1"/>
  <c r="C45" i="1"/>
  <c r="J45" i="1" s="1"/>
  <c r="J44" i="1"/>
  <c r="I44" i="1"/>
  <c r="E44" i="1"/>
  <c r="D44" i="1"/>
  <c r="J43" i="1"/>
  <c r="I43" i="1"/>
  <c r="E43" i="1"/>
  <c r="D43" i="1"/>
  <c r="J42" i="1"/>
  <c r="I42" i="1"/>
  <c r="E42" i="1"/>
  <c r="D42" i="1"/>
  <c r="J41" i="1"/>
  <c r="I41" i="1"/>
  <c r="E41" i="1"/>
  <c r="D41" i="1"/>
  <c r="J40" i="1"/>
  <c r="I40" i="1"/>
  <c r="E40" i="1"/>
  <c r="D40" i="1"/>
  <c r="K39" i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I39" i="1"/>
  <c r="E39" i="1"/>
  <c r="M38" i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F36" i="1"/>
  <c r="J34" i="1"/>
  <c r="I34" i="1"/>
  <c r="E34" i="1"/>
  <c r="D34" i="1"/>
  <c r="J33" i="1"/>
  <c r="I33" i="1"/>
  <c r="H33" i="1"/>
  <c r="E33" i="1"/>
  <c r="D33" i="1"/>
  <c r="J32" i="1"/>
  <c r="I32" i="1"/>
  <c r="E32" i="1"/>
  <c r="D32" i="1"/>
  <c r="J31" i="1"/>
  <c r="I31" i="1"/>
  <c r="E31" i="1"/>
  <c r="D31" i="1"/>
  <c r="J30" i="1"/>
  <c r="I30" i="1"/>
  <c r="E30" i="1"/>
  <c r="D30" i="1"/>
  <c r="J29" i="1"/>
  <c r="I29" i="1"/>
  <c r="E29" i="1"/>
  <c r="D29" i="1"/>
  <c r="J28" i="1"/>
  <c r="I28" i="1"/>
  <c r="E28" i="1"/>
  <c r="D28" i="1"/>
  <c r="J27" i="1"/>
  <c r="I27" i="1"/>
  <c r="H27" i="1"/>
  <c r="E27" i="1"/>
  <c r="D27" i="1"/>
  <c r="J26" i="1"/>
  <c r="I26" i="1"/>
  <c r="E26" i="1"/>
  <c r="D26" i="1"/>
  <c r="J25" i="1"/>
  <c r="I25" i="1"/>
  <c r="E25" i="1"/>
  <c r="D25" i="1"/>
  <c r="J24" i="1"/>
  <c r="I24" i="1"/>
  <c r="E24" i="1"/>
  <c r="D24" i="1"/>
  <c r="J23" i="1"/>
  <c r="I23" i="1"/>
  <c r="E23" i="1"/>
  <c r="D23" i="1"/>
  <c r="J22" i="1"/>
  <c r="I22" i="1"/>
  <c r="E22" i="1"/>
  <c r="D22" i="1"/>
  <c r="J21" i="1"/>
  <c r="I21" i="1"/>
  <c r="E21" i="1"/>
  <c r="D21" i="1"/>
  <c r="H20" i="1"/>
  <c r="C20" i="1"/>
  <c r="H19" i="1"/>
  <c r="C19" i="1"/>
  <c r="I19" i="1" s="1"/>
  <c r="J18" i="1"/>
  <c r="I18" i="1"/>
  <c r="D18" i="1"/>
  <c r="J17" i="1"/>
  <c r="I17" i="1"/>
  <c r="E17" i="1"/>
  <c r="D17" i="1"/>
  <c r="J16" i="1"/>
  <c r="I16" i="1"/>
  <c r="E16" i="1"/>
  <c r="D16" i="1"/>
  <c r="J15" i="1"/>
  <c r="I15" i="1"/>
  <c r="E15" i="1"/>
  <c r="D15" i="1"/>
  <c r="P14" i="1"/>
  <c r="I14" i="1"/>
  <c r="J13" i="1"/>
  <c r="I13" i="1"/>
  <c r="E13" i="1"/>
  <c r="D13" i="1"/>
  <c r="J12" i="1"/>
  <c r="I12" i="1"/>
  <c r="E12" i="1"/>
  <c r="D12" i="1"/>
  <c r="J11" i="1"/>
  <c r="I11" i="1"/>
  <c r="E11" i="1"/>
  <c r="D11" i="1"/>
  <c r="J10" i="1"/>
  <c r="I10" i="1"/>
  <c r="E10" i="1"/>
  <c r="D10" i="1"/>
  <c r="J9" i="1"/>
  <c r="I9" i="1"/>
  <c r="E9" i="1"/>
  <c r="D9" i="1"/>
  <c r="J8" i="1"/>
  <c r="I8" i="1"/>
  <c r="E8" i="1"/>
  <c r="D8" i="1"/>
  <c r="I7" i="1"/>
  <c r="E7" i="1"/>
  <c r="D7" i="1"/>
  <c r="I6" i="1"/>
  <c r="E6" i="1"/>
  <c r="D6" i="1"/>
  <c r="J5" i="1"/>
  <c r="I5" i="1"/>
  <c r="E5" i="1"/>
  <c r="D5" i="1"/>
  <c r="J4" i="1"/>
  <c r="I4" i="1"/>
  <c r="E4" i="1"/>
  <c r="D4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I3" i="1"/>
  <c r="E3" i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F43" i="2" l="1"/>
  <c r="I83" i="1"/>
  <c r="J163" i="1"/>
  <c r="P97" i="1"/>
  <c r="P20" i="1"/>
  <c r="P67" i="1"/>
  <c r="P85" i="1"/>
  <c r="P23" i="1"/>
  <c r="P86" i="1"/>
  <c r="P47" i="1"/>
  <c r="J19" i="1"/>
  <c r="P19" i="1"/>
  <c r="J83" i="1"/>
  <c r="I66" i="1"/>
  <c r="I125" i="1"/>
  <c r="J125" i="1"/>
  <c r="P125" i="1"/>
  <c r="D142" i="1"/>
  <c r="E164" i="1"/>
  <c r="D164" i="1"/>
  <c r="P83" i="1"/>
  <c r="D82" i="1"/>
  <c r="E142" i="1"/>
  <c r="E82" i="1"/>
  <c r="I164" i="1"/>
  <c r="I142" i="1"/>
  <c r="D46" i="1"/>
  <c r="I82" i="1"/>
  <c r="P164" i="1"/>
  <c r="E46" i="1"/>
  <c r="P46" i="1"/>
  <c r="I46" i="1"/>
  <c r="D83" i="1"/>
  <c r="D125" i="1"/>
  <c r="P82" i="1"/>
  <c r="J20" i="1"/>
  <c r="I20" i="1"/>
  <c r="P146" i="1"/>
  <c r="P89" i="1"/>
  <c r="P70" i="1"/>
  <c r="P88" i="1"/>
  <c r="AC2" i="2"/>
  <c r="AD2" i="2" s="1"/>
  <c r="AE2" i="2" s="1"/>
  <c r="P91" i="1"/>
  <c r="P72" i="1"/>
  <c r="P170" i="1"/>
  <c r="P148" i="1"/>
  <c r="P56" i="1"/>
  <c r="P121" i="1"/>
  <c r="P68" i="1"/>
  <c r="AF79" i="2"/>
  <c r="AG79" i="2" s="1"/>
  <c r="P140" i="1"/>
  <c r="AC17" i="2"/>
  <c r="AF17" i="2" s="1"/>
  <c r="AG17" i="2" s="1"/>
  <c r="P103" i="1"/>
  <c r="F8" i="2"/>
  <c r="F10" i="1" s="1"/>
  <c r="G10" i="1" s="1"/>
  <c r="L10" i="1" s="1"/>
  <c r="F28" i="2"/>
  <c r="AC75" i="2"/>
  <c r="AD75" i="2" s="1"/>
  <c r="AE75" i="2" s="1"/>
  <c r="F46" i="2"/>
  <c r="F102" i="2"/>
  <c r="P139" i="1"/>
  <c r="AC3" i="2"/>
  <c r="AF3" i="2" s="1"/>
  <c r="AH3" i="2" s="1"/>
  <c r="AC23" i="2"/>
  <c r="AD23" i="2" s="1"/>
  <c r="AE23" i="2" s="1"/>
  <c r="P112" i="1"/>
  <c r="P90" i="1"/>
  <c r="P71" i="1"/>
  <c r="P149" i="1"/>
  <c r="P73" i="1"/>
  <c r="P34" i="1"/>
  <c r="P114" i="1"/>
  <c r="P92" i="1"/>
  <c r="P132" i="1"/>
  <c r="P57" i="1"/>
  <c r="P171" i="1"/>
  <c r="AF74" i="2"/>
  <c r="AD74" i="2"/>
  <c r="AE74" i="2" s="1"/>
  <c r="AF92" i="2"/>
  <c r="AH92" i="2" s="1"/>
  <c r="P28" i="1"/>
  <c r="F44" i="2"/>
  <c r="F154" i="1" s="1"/>
  <c r="G154" i="1" s="1"/>
  <c r="L154" i="1" s="1"/>
  <c r="F61" i="2"/>
  <c r="F97" i="2"/>
  <c r="AF56" i="2"/>
  <c r="AH56" i="2" s="1"/>
  <c r="H21" i="1"/>
  <c r="F13" i="2"/>
  <c r="F40" i="1" s="1"/>
  <c r="G40" i="1" s="1"/>
  <c r="L40" i="1" s="1"/>
  <c r="P109" i="1"/>
  <c r="AF49" i="2"/>
  <c r="AG49" i="2" s="1"/>
  <c r="F25" i="2"/>
  <c r="F121" i="1" s="1"/>
  <c r="G121" i="1" s="1"/>
  <c r="L121" i="1" s="1"/>
  <c r="AF99" i="2"/>
  <c r="AG99" i="2" s="1"/>
  <c r="F73" i="2"/>
  <c r="F168" i="1" s="1"/>
  <c r="F6" i="2"/>
  <c r="F8" i="1" s="1"/>
  <c r="G8" i="1" s="1"/>
  <c r="L8" i="1" s="1"/>
  <c r="AC15" i="2"/>
  <c r="AF15" i="2" s="1"/>
  <c r="AH15" i="2" s="1"/>
  <c r="F70" i="2"/>
  <c r="F89" i="2"/>
  <c r="F164" i="1" s="1"/>
  <c r="G164" i="1" s="1"/>
  <c r="L164" i="1" s="1"/>
  <c r="F106" i="2"/>
  <c r="F109" i="2"/>
  <c r="AF98" i="2"/>
  <c r="AD98" i="2"/>
  <c r="AE98" i="2" s="1"/>
  <c r="AD53" i="2"/>
  <c r="AE53" i="2" s="1"/>
  <c r="AF53" i="2"/>
  <c r="AH53" i="2" s="1"/>
  <c r="AD87" i="2"/>
  <c r="AE87" i="2" s="1"/>
  <c r="AF87" i="2"/>
  <c r="AH87" i="2" s="1"/>
  <c r="P162" i="1"/>
  <c r="P17" i="1"/>
  <c r="P98" i="1"/>
  <c r="P63" i="1"/>
  <c r="P79" i="1"/>
  <c r="P144" i="1"/>
  <c r="P69" i="1"/>
  <c r="P167" i="1"/>
  <c r="P108" i="1"/>
  <c r="P127" i="1"/>
  <c r="P27" i="1"/>
  <c r="P51" i="1"/>
  <c r="P145" i="1"/>
  <c r="P48" i="1"/>
  <c r="P128" i="1"/>
  <c r="P87" i="1"/>
  <c r="P106" i="1"/>
  <c r="AF33" i="2"/>
  <c r="AD33" i="2"/>
  <c r="AE33" i="2" s="1"/>
  <c r="AH38" i="2"/>
  <c r="AG38" i="2"/>
  <c r="F85" i="2"/>
  <c r="AF86" i="2"/>
  <c r="AD86" i="2"/>
  <c r="AE86" i="2" s="1"/>
  <c r="AF5" i="2"/>
  <c r="AH5" i="2" s="1"/>
  <c r="AD5" i="2"/>
  <c r="AE5" i="2" s="1"/>
  <c r="F15" i="2"/>
  <c r="F138" i="1" s="1"/>
  <c r="G138" i="1" s="1"/>
  <c r="L138" i="1" s="1"/>
  <c r="P169" i="1"/>
  <c r="P52" i="1"/>
  <c r="P165" i="1"/>
  <c r="P84" i="1"/>
  <c r="P22" i="1"/>
  <c r="P104" i="1"/>
  <c r="P50" i="1"/>
  <c r="P24" i="1"/>
  <c r="P30" i="1"/>
  <c r="P55" i="1"/>
  <c r="P163" i="1"/>
  <c r="P45" i="1"/>
  <c r="P142" i="1"/>
  <c r="AF93" i="2"/>
  <c r="AH93" i="2" s="1"/>
  <c r="AD93" i="2"/>
  <c r="AE93" i="2" s="1"/>
  <c r="P53" i="1"/>
  <c r="P147" i="1"/>
  <c r="P130" i="1"/>
  <c r="P111" i="1"/>
  <c r="P120" i="1"/>
  <c r="P138" i="1"/>
  <c r="P64" i="1"/>
  <c r="P123" i="1"/>
  <c r="P81" i="1"/>
  <c r="AF54" i="2"/>
  <c r="AD54" i="2"/>
  <c r="AE54" i="2" s="1"/>
  <c r="F65" i="2"/>
  <c r="AF90" i="2"/>
  <c r="AG90" i="2" s="1"/>
  <c r="AD90" i="2"/>
  <c r="AE90" i="2" s="1"/>
  <c r="F59" i="2"/>
  <c r="F71" i="2"/>
  <c r="P62" i="1"/>
  <c r="P33" i="1"/>
  <c r="P113" i="1"/>
  <c r="AC6" i="2"/>
  <c r="AF6" i="2" s="1"/>
  <c r="AC19" i="2"/>
  <c r="AF27" i="2"/>
  <c r="AG27" i="2" s="1"/>
  <c r="F30" i="2"/>
  <c r="F160" i="1" s="1"/>
  <c r="G160" i="1" s="1"/>
  <c r="L160" i="1" s="1"/>
  <c r="AF57" i="2"/>
  <c r="AH57" i="2" s="1"/>
  <c r="F64" i="2"/>
  <c r="F107" i="2"/>
  <c r="P29" i="1"/>
  <c r="P65" i="1"/>
  <c r="AC4" i="2"/>
  <c r="AD4" i="2" s="1"/>
  <c r="AE4" i="2" s="1"/>
  <c r="AF31" i="2"/>
  <c r="AH31" i="2" s="1"/>
  <c r="AF73" i="2"/>
  <c r="AH73" i="2" s="1"/>
  <c r="AF82" i="2"/>
  <c r="AG82" i="2" s="1"/>
  <c r="AF94" i="2"/>
  <c r="AG94" i="2" s="1"/>
  <c r="F103" i="2"/>
  <c r="AC81" i="2"/>
  <c r="AD81" i="2" s="1"/>
  <c r="AE81" i="2" s="1"/>
  <c r="F86" i="2"/>
  <c r="F110" i="2"/>
  <c r="AC18" i="2"/>
  <c r="F58" i="2"/>
  <c r="P203" i="3"/>
  <c r="P66" i="1"/>
  <c r="AC46" i="2"/>
  <c r="AD46" i="2" s="1"/>
  <c r="AE46" i="2" s="1"/>
  <c r="F62" i="2"/>
  <c r="AF80" i="2"/>
  <c r="AH80" i="2" s="1"/>
  <c r="AD89" i="2"/>
  <c r="AE89" i="2" s="1"/>
  <c r="AF106" i="2"/>
  <c r="AG106" i="2" s="1"/>
  <c r="P110" i="1"/>
  <c r="P131" i="1"/>
  <c r="F14" i="2"/>
  <c r="F74" i="2"/>
  <c r="P129" i="1"/>
  <c r="AC7" i="2"/>
  <c r="AD7" i="2" s="1"/>
  <c r="AE7" i="2" s="1"/>
  <c r="F36" i="2"/>
  <c r="F40" i="2"/>
  <c r="F48" i="2"/>
  <c r="AF67" i="2"/>
  <c r="AG67" i="2" s="1"/>
  <c r="AD78" i="2"/>
  <c r="AE78" i="2" s="1"/>
  <c r="AF88" i="2"/>
  <c r="AH88" i="2" s="1"/>
  <c r="AF28" i="2"/>
  <c r="AG28" i="2" s="1"/>
  <c r="AC66" i="2"/>
  <c r="AD66" i="2" s="1"/>
  <c r="AE66" i="2" s="1"/>
  <c r="AF70" i="2"/>
  <c r="AH70" i="2" s="1"/>
  <c r="AH78" i="2"/>
  <c r="F95" i="2"/>
  <c r="F3" i="2"/>
  <c r="F11" i="1" s="1"/>
  <c r="G11" i="1" s="1"/>
  <c r="L11" i="1" s="1"/>
  <c r="F4" i="2"/>
  <c r="F12" i="1" s="1"/>
  <c r="G12" i="1" s="1"/>
  <c r="L12" i="1" s="1"/>
  <c r="F26" i="2"/>
  <c r="F156" i="1" s="1"/>
  <c r="G156" i="1" s="1"/>
  <c r="L156" i="1" s="1"/>
  <c r="F47" i="2"/>
  <c r="F82" i="2"/>
  <c r="F31" i="1" s="1"/>
  <c r="F94" i="2"/>
  <c r="AD110" i="2"/>
  <c r="AE110" i="2" s="1"/>
  <c r="F18" i="2"/>
  <c r="F41" i="1" s="1"/>
  <c r="G41" i="1" s="1"/>
  <c r="L41" i="1" s="1"/>
  <c r="F77" i="2"/>
  <c r="F54" i="1" s="1"/>
  <c r="F78" i="2"/>
  <c r="F113" i="1" s="1"/>
  <c r="G113" i="1" s="1"/>
  <c r="L113" i="1" s="1"/>
  <c r="F75" i="2"/>
  <c r="F63" i="2"/>
  <c r="F50" i="2"/>
  <c r="F20" i="2"/>
  <c r="F79" i="2"/>
  <c r="F35" i="2"/>
  <c r="F21" i="1" s="1"/>
  <c r="F7" i="2"/>
  <c r="F9" i="1" s="1"/>
  <c r="G9" i="1" s="1"/>
  <c r="L9" i="1" s="1"/>
  <c r="F22" i="2"/>
  <c r="F80" i="1" s="1"/>
  <c r="G80" i="1" s="1"/>
  <c r="L80" i="1" s="1"/>
  <c r="F55" i="2"/>
  <c r="F25" i="1" s="1"/>
  <c r="F60" i="2"/>
  <c r="F38" i="2"/>
  <c r="F3" i="1" s="1"/>
  <c r="G3" i="1" s="1"/>
  <c r="L3" i="1" s="1"/>
  <c r="F108" i="2"/>
  <c r="F99" i="2"/>
  <c r="F100" i="2"/>
  <c r="F16" i="2"/>
  <c r="F44" i="1" s="1"/>
  <c r="G44" i="1" s="1"/>
  <c r="L44" i="1" s="1"/>
  <c r="F49" i="2"/>
  <c r="F90" i="2"/>
  <c r="F142" i="1" s="1"/>
  <c r="G142" i="1" s="1"/>
  <c r="L142" i="1" s="1"/>
  <c r="F23" i="2"/>
  <c r="F99" i="1" s="1"/>
  <c r="G99" i="1" s="1"/>
  <c r="L99" i="1" s="1"/>
  <c r="F31" i="2"/>
  <c r="F161" i="1" s="1"/>
  <c r="G161" i="1" s="1"/>
  <c r="L161" i="1" s="1"/>
  <c r="F52" i="2"/>
  <c r="F49" i="1" s="1"/>
  <c r="F66" i="2"/>
  <c r="F84" i="2"/>
  <c r="F10" i="2"/>
  <c r="F16" i="1" s="1"/>
  <c r="G16" i="1" s="1"/>
  <c r="L16" i="1" s="1"/>
  <c r="F27" i="2"/>
  <c r="F157" i="1" s="1"/>
  <c r="G157" i="1" s="1"/>
  <c r="L157" i="1" s="1"/>
  <c r="F39" i="2"/>
  <c r="F39" i="1" s="1"/>
  <c r="G39" i="1" s="1"/>
  <c r="L39" i="1" s="1"/>
  <c r="F51" i="2"/>
  <c r="F96" i="2"/>
  <c r="E65" i="1"/>
  <c r="D65" i="1"/>
  <c r="E66" i="1"/>
  <c r="J102" i="1"/>
  <c r="E102" i="1"/>
  <c r="D45" i="1"/>
  <c r="E45" i="1"/>
  <c r="D141" i="1"/>
  <c r="P141" i="1"/>
  <c r="J141" i="1"/>
  <c r="I141" i="1"/>
  <c r="E141" i="1"/>
  <c r="J65" i="1"/>
  <c r="J66" i="1"/>
  <c r="I102" i="1"/>
  <c r="P102" i="1"/>
  <c r="D19" i="1"/>
  <c r="D20" i="1"/>
  <c r="E19" i="1"/>
  <c r="E20" i="1"/>
  <c r="I45" i="1"/>
  <c r="D124" i="1"/>
  <c r="P124" i="1"/>
  <c r="J124" i="1"/>
  <c r="I124" i="1"/>
  <c r="E124" i="1"/>
  <c r="J103" i="1"/>
  <c r="I103" i="1"/>
  <c r="E103" i="1"/>
  <c r="D103" i="1"/>
  <c r="F5" i="2"/>
  <c r="F17" i="2"/>
  <c r="AD19" i="2"/>
  <c r="AE19" i="2" s="1"/>
  <c r="AF19" i="2"/>
  <c r="F53" i="2"/>
  <c r="AG50" i="2"/>
  <c r="AH50" i="2"/>
  <c r="C215" i="3"/>
  <c r="C214" i="3"/>
  <c r="C213" i="3"/>
  <c r="AC11" i="2"/>
  <c r="AD11" i="2" s="1"/>
  <c r="AE11" i="2" s="1"/>
  <c r="AF29" i="2"/>
  <c r="AD29" i="2"/>
  <c r="AE29" i="2" s="1"/>
  <c r="AC9" i="2"/>
  <c r="AD9" i="2" s="1"/>
  <c r="AE9" i="2" s="1"/>
  <c r="F21" i="2"/>
  <c r="F101" i="1" s="1"/>
  <c r="F158" i="1"/>
  <c r="G158" i="1" s="1"/>
  <c r="L158" i="1" s="1"/>
  <c r="AD6" i="2"/>
  <c r="AH62" i="2"/>
  <c r="AG62" i="2"/>
  <c r="L207" i="3"/>
  <c r="L205" i="3"/>
  <c r="L210" i="3"/>
  <c r="L206" i="3"/>
  <c r="L204" i="3"/>
  <c r="L209" i="3"/>
  <c r="L203" i="3"/>
  <c r="L208" i="3"/>
  <c r="F42" i="2"/>
  <c r="E163" i="1"/>
  <c r="D163" i="1"/>
  <c r="C218" i="3"/>
  <c r="M2" i="2"/>
  <c r="F2" i="2" s="1"/>
  <c r="F19" i="2"/>
  <c r="AD35" i="2"/>
  <c r="AE35" i="2" s="1"/>
  <c r="AF35" i="2"/>
  <c r="F11" i="2"/>
  <c r="F34" i="2"/>
  <c r="P126" i="1"/>
  <c r="F9" i="2"/>
  <c r="F29" i="2"/>
  <c r="AD30" i="2"/>
  <c r="AE30" i="2" s="1"/>
  <c r="AF30" i="2"/>
  <c r="F41" i="2"/>
  <c r="P143" i="1"/>
  <c r="F33" i="2"/>
  <c r="F37" i="2"/>
  <c r="AC65" i="2"/>
  <c r="AD65" i="2" s="1"/>
  <c r="AE65" i="2" s="1"/>
  <c r="AF2" i="2"/>
  <c r="AC41" i="2"/>
  <c r="AD41" i="2" s="1"/>
  <c r="AE41" i="2" s="1"/>
  <c r="AC8" i="2"/>
  <c r="AD8" i="2" s="1"/>
  <c r="AE8" i="2" s="1"/>
  <c r="AC10" i="2"/>
  <c r="AD10" i="2" s="1"/>
  <c r="AE10" i="2" s="1"/>
  <c r="AC12" i="2"/>
  <c r="AD12" i="2" s="1"/>
  <c r="AE12" i="2" s="1"/>
  <c r="AC14" i="2"/>
  <c r="AD14" i="2" s="1"/>
  <c r="AE14" i="2" s="1"/>
  <c r="AC20" i="2"/>
  <c r="AD20" i="2" s="1"/>
  <c r="AE20" i="2" s="1"/>
  <c r="AC22" i="2"/>
  <c r="AD22" i="2" s="1"/>
  <c r="AE22" i="2" s="1"/>
  <c r="AC24" i="2"/>
  <c r="AD24" i="2" s="1"/>
  <c r="AE24" i="2" s="1"/>
  <c r="AC26" i="2"/>
  <c r="AD26" i="2" s="1"/>
  <c r="AE26" i="2" s="1"/>
  <c r="AD38" i="2"/>
  <c r="AE38" i="2" s="1"/>
  <c r="AC48" i="2"/>
  <c r="AD48" i="2" s="1"/>
  <c r="AE48" i="2" s="1"/>
  <c r="F54" i="2"/>
  <c r="AD84" i="2"/>
  <c r="AE84" i="2" s="1"/>
  <c r="AF84" i="2"/>
  <c r="F91" i="2"/>
  <c r="AC16" i="2"/>
  <c r="AD16" i="2" s="1"/>
  <c r="AE16" i="2" s="1"/>
  <c r="AC42" i="2"/>
  <c r="AD42" i="2" s="1"/>
  <c r="AE42" i="2" s="1"/>
  <c r="AF64" i="2"/>
  <c r="AC83" i="2"/>
  <c r="AD83" i="2" s="1"/>
  <c r="AE83" i="2" s="1"/>
  <c r="AC34" i="2"/>
  <c r="AD34" i="2" s="1"/>
  <c r="AE34" i="2" s="1"/>
  <c r="AC39" i="2"/>
  <c r="AD39" i="2" s="1"/>
  <c r="AE39" i="2" s="1"/>
  <c r="AD50" i="2"/>
  <c r="AE50" i="2" s="1"/>
  <c r="AF63" i="2"/>
  <c r="AD63" i="2"/>
  <c r="AE63" i="2" s="1"/>
  <c r="F12" i="2"/>
  <c r="F24" i="2"/>
  <c r="AF36" i="2"/>
  <c r="AC44" i="2"/>
  <c r="AD44" i="2" s="1"/>
  <c r="AE44" i="2" s="1"/>
  <c r="AD62" i="2"/>
  <c r="AE62" i="2" s="1"/>
  <c r="F67" i="2"/>
  <c r="AF69" i="2"/>
  <c r="AC13" i="2"/>
  <c r="AD13" i="2" s="1"/>
  <c r="AE13" i="2" s="1"/>
  <c r="AC25" i="2"/>
  <c r="AD25" i="2" s="1"/>
  <c r="AE25" i="2" s="1"/>
  <c r="AC32" i="2"/>
  <c r="AD32" i="2" s="1"/>
  <c r="AE32" i="2" s="1"/>
  <c r="AC37" i="2"/>
  <c r="AD37" i="2" s="1"/>
  <c r="AE37" i="2" s="1"/>
  <c r="AF45" i="2"/>
  <c r="AC58" i="2"/>
  <c r="AD58" i="2" s="1"/>
  <c r="AE58" i="2" s="1"/>
  <c r="AF51" i="2"/>
  <c r="AF52" i="2"/>
  <c r="AC61" i="2"/>
  <c r="AD61" i="2" s="1"/>
  <c r="AE61" i="2" s="1"/>
  <c r="AC68" i="2"/>
  <c r="AD68" i="2" s="1"/>
  <c r="AE68" i="2" s="1"/>
  <c r="AD96" i="2"/>
  <c r="AE96" i="2" s="1"/>
  <c r="AF96" i="2"/>
  <c r="AD15" i="2"/>
  <c r="AE15" i="2" s="1"/>
  <c r="AC21" i="2"/>
  <c r="AD21" i="2" s="1"/>
  <c r="AE21" i="2" s="1"/>
  <c r="AC40" i="2"/>
  <c r="AD40" i="2" s="1"/>
  <c r="AE40" i="2" s="1"/>
  <c r="AC60" i="2"/>
  <c r="AD60" i="2" s="1"/>
  <c r="AE60" i="2" s="1"/>
  <c r="AF77" i="2"/>
  <c r="AD77" i="2"/>
  <c r="AE77" i="2" s="1"/>
  <c r="AF55" i="2"/>
  <c r="AF47" i="2"/>
  <c r="F57" i="2"/>
  <c r="F104" i="2"/>
  <c r="F105" i="2"/>
  <c r="AG80" i="2"/>
  <c r="F92" i="2"/>
  <c r="F93" i="2"/>
  <c r="F124" i="1" s="1"/>
  <c r="G124" i="1" s="1"/>
  <c r="L124" i="1" s="1"/>
  <c r="F101" i="2"/>
  <c r="AF72" i="2"/>
  <c r="AC76" i="2"/>
  <c r="AD76" i="2" s="1"/>
  <c r="AE76" i="2" s="1"/>
  <c r="F98" i="2"/>
  <c r="AF59" i="2"/>
  <c r="F68" i="2"/>
  <c r="F72" i="2"/>
  <c r="AH82" i="2"/>
  <c r="AG89" i="2"/>
  <c r="AH110" i="2"/>
  <c r="AG110" i="2"/>
  <c r="AC103" i="2"/>
  <c r="AD103" i="2" s="1"/>
  <c r="AE103" i="2" s="1"/>
  <c r="AC108" i="2"/>
  <c r="AD108" i="2" s="1"/>
  <c r="AE108" i="2" s="1"/>
  <c r="AG109" i="2"/>
  <c r="F80" i="2"/>
  <c r="F81" i="2"/>
  <c r="AF85" i="2"/>
  <c r="F87" i="2"/>
  <c r="AC97" i="2"/>
  <c r="AD97" i="2" s="1"/>
  <c r="AE97" i="2" s="1"/>
  <c r="AC100" i="2"/>
  <c r="AD100" i="2" s="1"/>
  <c r="AE100" i="2" s="1"/>
  <c r="AD101" i="2"/>
  <c r="AE101" i="2" s="1"/>
  <c r="AF104" i="2"/>
  <c r="AF105" i="2"/>
  <c r="F56" i="2"/>
  <c r="F69" i="2"/>
  <c r="AF91" i="2"/>
  <c r="AG101" i="2"/>
  <c r="AF102" i="2"/>
  <c r="AD102" i="2"/>
  <c r="AE102" i="2" s="1"/>
  <c r="F32" i="2"/>
  <c r="F45" i="2"/>
  <c r="AC71" i="2"/>
  <c r="AD71" i="2" s="1"/>
  <c r="AE71" i="2" s="1"/>
  <c r="F76" i="2"/>
  <c r="F83" i="2"/>
  <c r="AG92" i="2"/>
  <c r="F88" i="2"/>
  <c r="AF95" i="2"/>
  <c r="AF107" i="2"/>
  <c r="AD109" i="2"/>
  <c r="AE109" i="2" s="1"/>
  <c r="AG43" i="2" l="1"/>
  <c r="AH43" i="2"/>
  <c r="F141" i="1"/>
  <c r="G141" i="1" s="1"/>
  <c r="L141" i="1" s="1"/>
  <c r="F20" i="1"/>
  <c r="G20" i="1" s="1"/>
  <c r="L20" i="1" s="1"/>
  <c r="AG93" i="2"/>
  <c r="AG56" i="2"/>
  <c r="AH90" i="2"/>
  <c r="AH49" i="2"/>
  <c r="AG31" i="2"/>
  <c r="F28" i="1"/>
  <c r="AD17" i="2"/>
  <c r="AE17" i="2" s="1"/>
  <c r="AG73" i="2"/>
  <c r="AG5" i="2"/>
  <c r="F45" i="1"/>
  <c r="G45" i="1" s="1"/>
  <c r="L45" i="1" s="1"/>
  <c r="AH67" i="2"/>
  <c r="F163" i="1"/>
  <c r="G163" i="1" s="1"/>
  <c r="L163" i="1" s="1"/>
  <c r="F88" i="1"/>
  <c r="AG70" i="2"/>
  <c r="AH99" i="2"/>
  <c r="AH79" i="2"/>
  <c r="AH17" i="2"/>
  <c r="AG87" i="2"/>
  <c r="F33" i="1"/>
  <c r="G33" i="1" s="1"/>
  <c r="L33" i="1" s="1"/>
  <c r="AH27" i="2"/>
  <c r="AH94" i="2"/>
  <c r="F109" i="1"/>
  <c r="AH106" i="2"/>
  <c r="G21" i="1"/>
  <c r="L21" i="1" s="1"/>
  <c r="P174" i="1"/>
  <c r="AF23" i="2"/>
  <c r="AH23" i="2" s="1"/>
  <c r="F140" i="1"/>
  <c r="G140" i="1" s="1"/>
  <c r="L140" i="1" s="1"/>
  <c r="AG57" i="2"/>
  <c r="F122" i="1"/>
  <c r="G122" i="1" s="1"/>
  <c r="L122" i="1" s="1"/>
  <c r="F139" i="1"/>
  <c r="G139" i="1" s="1"/>
  <c r="L139" i="1" s="1"/>
  <c r="AG53" i="2"/>
  <c r="AF34" i="2"/>
  <c r="AH34" i="2" s="1"/>
  <c r="AF75" i="2"/>
  <c r="AG75" i="2" s="1"/>
  <c r="AF4" i="2"/>
  <c r="AH4" i="2" s="1"/>
  <c r="AG3" i="2"/>
  <c r="AF9" i="2"/>
  <c r="AH9" i="2" s="1"/>
  <c r="AD3" i="2"/>
  <c r="AE3" i="2" s="1"/>
  <c r="AG15" i="2"/>
  <c r="AF46" i="2"/>
  <c r="P95" i="1"/>
  <c r="AF83" i="2"/>
  <c r="AH83" i="2" s="1"/>
  <c r="P37" i="1"/>
  <c r="AF25" i="2"/>
  <c r="AG25" i="2" s="1"/>
  <c r="AG74" i="2"/>
  <c r="AH74" i="2"/>
  <c r="AF37" i="2"/>
  <c r="AH37" i="2" s="1"/>
  <c r="AF39" i="2"/>
  <c r="AG39" i="2" s="1"/>
  <c r="AF22" i="2"/>
  <c r="AH22" i="2" s="1"/>
  <c r="AF21" i="2"/>
  <c r="AH21" i="2" s="1"/>
  <c r="AF11" i="2"/>
  <c r="AG11" i="2" s="1"/>
  <c r="AF7" i="2"/>
  <c r="P117" i="1"/>
  <c r="F131" i="1"/>
  <c r="G131" i="1" s="1"/>
  <c r="L131" i="1" s="1"/>
  <c r="AF81" i="2"/>
  <c r="AH81" i="2" s="1"/>
  <c r="AH28" i="2"/>
  <c r="P60" i="1"/>
  <c r="F170" i="1"/>
  <c r="G170" i="1" s="1"/>
  <c r="L170" i="1" s="1"/>
  <c r="AF32" i="2"/>
  <c r="AH32" i="2" s="1"/>
  <c r="AF44" i="2"/>
  <c r="AH44" i="2" s="1"/>
  <c r="P135" i="1"/>
  <c r="AF100" i="2"/>
  <c r="AH100" i="2" s="1"/>
  <c r="F104" i="1"/>
  <c r="F165" i="1"/>
  <c r="F84" i="1"/>
  <c r="F22" i="1"/>
  <c r="AF20" i="2"/>
  <c r="AG20" i="2" s="1"/>
  <c r="P152" i="1"/>
  <c r="F78" i="1"/>
  <c r="G78" i="1" s="1"/>
  <c r="L78" i="1" s="1"/>
  <c r="F62" i="1"/>
  <c r="G62" i="1" s="1"/>
  <c r="L62" i="1" s="1"/>
  <c r="AF42" i="2"/>
  <c r="AG42" i="2" s="1"/>
  <c r="F90" i="1"/>
  <c r="F112" i="1"/>
  <c r="F71" i="1"/>
  <c r="AG86" i="2"/>
  <c r="AH86" i="2"/>
  <c r="F120" i="1"/>
  <c r="G120" i="1" s="1"/>
  <c r="L120" i="1" s="1"/>
  <c r="AG54" i="2"/>
  <c r="AH54" i="2"/>
  <c r="AG6" i="2"/>
  <c r="AH6" i="2"/>
  <c r="AG88" i="2"/>
  <c r="AF24" i="2"/>
  <c r="AH24" i="2" s="1"/>
  <c r="F146" i="1"/>
  <c r="F89" i="1"/>
  <c r="F129" i="1"/>
  <c r="F110" i="1"/>
  <c r="F70" i="1"/>
  <c r="F29" i="1"/>
  <c r="AF68" i="2"/>
  <c r="AH68" i="2" s="1"/>
  <c r="F79" i="1"/>
  <c r="G79" i="1" s="1"/>
  <c r="L79" i="1" s="1"/>
  <c r="F98" i="1"/>
  <c r="G98" i="1" s="1"/>
  <c r="L98" i="1" s="1"/>
  <c r="F63" i="1"/>
  <c r="G63" i="1" s="1"/>
  <c r="L63" i="1" s="1"/>
  <c r="AF18" i="2"/>
  <c r="AD18" i="2"/>
  <c r="AE18" i="2" s="1"/>
  <c r="P76" i="1"/>
  <c r="AG33" i="2"/>
  <c r="AH33" i="2"/>
  <c r="AF71" i="2"/>
  <c r="AG71" i="2" s="1"/>
  <c r="AF13" i="2"/>
  <c r="AG13" i="2" s="1"/>
  <c r="AF66" i="2"/>
  <c r="AH98" i="2"/>
  <c r="AG98" i="2"/>
  <c r="F52" i="1"/>
  <c r="F169" i="1"/>
  <c r="F148" i="1"/>
  <c r="G148" i="1" s="1"/>
  <c r="L148" i="1" s="1"/>
  <c r="F56" i="1"/>
  <c r="G56" i="1" s="1"/>
  <c r="L56" i="1" s="1"/>
  <c r="F72" i="1"/>
  <c r="G72" i="1" s="1"/>
  <c r="L72" i="1" s="1"/>
  <c r="F91" i="1"/>
  <c r="G91" i="1" s="1"/>
  <c r="L91" i="1" s="1"/>
  <c r="F64" i="1"/>
  <c r="G64" i="1" s="1"/>
  <c r="L64" i="1" s="1"/>
  <c r="F123" i="1"/>
  <c r="G123" i="1" s="1"/>
  <c r="L123" i="1" s="1"/>
  <c r="F81" i="1"/>
  <c r="G81" i="1" s="1"/>
  <c r="L81" i="1" s="1"/>
  <c r="F47" i="1"/>
  <c r="F166" i="1"/>
  <c r="F67" i="1"/>
  <c r="F23" i="1"/>
  <c r="F85" i="1"/>
  <c r="F143" i="1"/>
  <c r="F105" i="1"/>
  <c r="F126" i="1"/>
  <c r="F87" i="1"/>
  <c r="G87" i="1" s="1"/>
  <c r="L87" i="1" s="1"/>
  <c r="F69" i="1"/>
  <c r="G69" i="1" s="1"/>
  <c r="L69" i="1" s="1"/>
  <c r="F106" i="1"/>
  <c r="F144" i="1"/>
  <c r="F127" i="1"/>
  <c r="F108" i="1"/>
  <c r="G108" i="1" s="1"/>
  <c r="L108" i="1" s="1"/>
  <c r="F51" i="1"/>
  <c r="G51" i="1" s="1"/>
  <c r="L51" i="1" s="1"/>
  <c r="F27" i="1"/>
  <c r="G27" i="1" s="1"/>
  <c r="L27" i="1" s="1"/>
  <c r="F167" i="1"/>
  <c r="G167" i="1" s="1"/>
  <c r="L167" i="1" s="1"/>
  <c r="F48" i="1"/>
  <c r="F145" i="1"/>
  <c r="G145" i="1" s="1"/>
  <c r="L145" i="1" s="1"/>
  <c r="F128" i="1"/>
  <c r="G128" i="1" s="1"/>
  <c r="L128" i="1" s="1"/>
  <c r="AG59" i="2"/>
  <c r="AH59" i="2"/>
  <c r="F159" i="1"/>
  <c r="G159" i="1" s="1"/>
  <c r="L159" i="1" s="1"/>
  <c r="AF103" i="2"/>
  <c r="F137" i="1"/>
  <c r="G137" i="1" s="1"/>
  <c r="AF58" i="2"/>
  <c r="F6" i="1"/>
  <c r="G6" i="1" s="1"/>
  <c r="L6" i="1" s="1"/>
  <c r="AH35" i="2"/>
  <c r="AG35" i="2"/>
  <c r="AF8" i="2"/>
  <c r="AH45" i="2"/>
  <c r="AG45" i="2"/>
  <c r="AF76" i="2"/>
  <c r="AG36" i="2"/>
  <c r="AH36" i="2"/>
  <c r="F82" i="1"/>
  <c r="G82" i="1" s="1"/>
  <c r="F125" i="1"/>
  <c r="G125" i="1" s="1"/>
  <c r="L125" i="1" s="1"/>
  <c r="F66" i="1"/>
  <c r="G66" i="1" s="1"/>
  <c r="L66" i="1" s="1"/>
  <c r="F65" i="1"/>
  <c r="G65" i="1" s="1"/>
  <c r="AF26" i="2"/>
  <c r="F119" i="1"/>
  <c r="G119" i="1" s="1"/>
  <c r="F55" i="1"/>
  <c r="F30" i="1"/>
  <c r="AG51" i="2"/>
  <c r="AH51" i="2"/>
  <c r="F147" i="1"/>
  <c r="F130" i="1"/>
  <c r="F111" i="1"/>
  <c r="F53" i="1"/>
  <c r="AH55" i="2"/>
  <c r="AG55" i="2"/>
  <c r="AH69" i="2"/>
  <c r="AG69" i="2"/>
  <c r="AF41" i="2"/>
  <c r="F83" i="1"/>
  <c r="G83" i="1" s="1"/>
  <c r="L83" i="1" s="1"/>
  <c r="F103" i="1"/>
  <c r="G103" i="1" s="1"/>
  <c r="L103" i="1" s="1"/>
  <c r="G101" i="1"/>
  <c r="L101" i="1" s="1"/>
  <c r="AH29" i="2"/>
  <c r="AG29" i="2"/>
  <c r="AF12" i="2"/>
  <c r="AF10" i="2"/>
  <c r="F19" i="1"/>
  <c r="G19" i="1" s="1"/>
  <c r="L19" i="1" s="1"/>
  <c r="F102" i="1"/>
  <c r="G102" i="1" s="1"/>
  <c r="L102" i="1" s="1"/>
  <c r="F86" i="1"/>
  <c r="F107" i="1"/>
  <c r="F68" i="1"/>
  <c r="AH105" i="2"/>
  <c r="AG105" i="2"/>
  <c r="AH104" i="2"/>
  <c r="AG104" i="2"/>
  <c r="F46" i="1"/>
  <c r="G46" i="1" s="1"/>
  <c r="L46" i="1" s="1"/>
  <c r="AH96" i="2"/>
  <c r="AG96" i="2"/>
  <c r="F155" i="1"/>
  <c r="G155" i="1" s="1"/>
  <c r="AH77" i="2"/>
  <c r="AG77" i="2"/>
  <c r="AG91" i="2"/>
  <c r="AH91" i="2"/>
  <c r="F171" i="1"/>
  <c r="F149" i="1"/>
  <c r="F114" i="1"/>
  <c r="F92" i="1"/>
  <c r="F132" i="1"/>
  <c r="F57" i="1"/>
  <c r="F34" i="1"/>
  <c r="F73" i="1"/>
  <c r="AH47" i="2"/>
  <c r="AG47" i="2"/>
  <c r="AF60" i="2"/>
  <c r="AF61" i="2"/>
  <c r="F7" i="1"/>
  <c r="G7" i="1" s="1"/>
  <c r="L7" i="1" s="1"/>
  <c r="AG64" i="2"/>
  <c r="AH64" i="2"/>
  <c r="F13" i="1"/>
  <c r="G13" i="1" s="1"/>
  <c r="L13" i="1" s="1"/>
  <c r="F42" i="1"/>
  <c r="G42" i="1" s="1"/>
  <c r="AG19" i="2"/>
  <c r="AH19" i="2"/>
  <c r="G45" i="2"/>
  <c r="G18" i="1"/>
  <c r="L18" i="1" s="1"/>
  <c r="AG44" i="2"/>
  <c r="AG63" i="2"/>
  <c r="AH63" i="2"/>
  <c r="AH84" i="2"/>
  <c r="AG84" i="2"/>
  <c r="AH107" i="2"/>
  <c r="AG107" i="2"/>
  <c r="F24" i="1"/>
  <c r="F50" i="1"/>
  <c r="L14" i="1"/>
  <c r="F15" i="1"/>
  <c r="G15" i="1" s="1"/>
  <c r="L15" i="1" s="1"/>
  <c r="AH95" i="2"/>
  <c r="AG95" i="2"/>
  <c r="AG102" i="2"/>
  <c r="AH102" i="2"/>
  <c r="AH72" i="2"/>
  <c r="AG72" i="2"/>
  <c r="AF48" i="2"/>
  <c r="AF97" i="2"/>
  <c r="F100" i="1"/>
  <c r="G100" i="1" s="1"/>
  <c r="L100" i="1" s="1"/>
  <c r="AH85" i="2"/>
  <c r="AG85" i="2"/>
  <c r="AG52" i="2"/>
  <c r="AH52" i="2"/>
  <c r="AH20" i="2"/>
  <c r="AF14" i="2"/>
  <c r="F4" i="1"/>
  <c r="G4" i="1" s="1"/>
  <c r="AF16" i="2"/>
  <c r="F43" i="1"/>
  <c r="G43" i="1" s="1"/>
  <c r="L43" i="1" s="1"/>
  <c r="F32" i="1"/>
  <c r="F26" i="1"/>
  <c r="AF40" i="2"/>
  <c r="AF108" i="2"/>
  <c r="AH2" i="2"/>
  <c r="AG2" i="2"/>
  <c r="AF65" i="2"/>
  <c r="AG30" i="2"/>
  <c r="AH30" i="2"/>
  <c r="F17" i="1"/>
  <c r="G17" i="1" s="1"/>
  <c r="L17" i="1" s="1"/>
  <c r="F162" i="1"/>
  <c r="G162" i="1" s="1"/>
  <c r="L162" i="1" s="1"/>
  <c r="AE6" i="2"/>
  <c r="H169" i="1"/>
  <c r="H31" i="1"/>
  <c r="G31" i="1" s="1"/>
  <c r="L31" i="1" s="1"/>
  <c r="H28" i="1"/>
  <c r="H146" i="1"/>
  <c r="H29" i="1"/>
  <c r="H32" i="1"/>
  <c r="H88" i="1"/>
  <c r="G88" i="1" s="1"/>
  <c r="L88" i="1" s="1"/>
  <c r="H55" i="1"/>
  <c r="H30" i="1"/>
  <c r="F5" i="1"/>
  <c r="G5" i="1" s="1"/>
  <c r="L5" i="1" s="1"/>
  <c r="G29" i="1" l="1"/>
  <c r="L29" i="1" s="1"/>
  <c r="G28" i="1"/>
  <c r="L28" i="1" s="1"/>
  <c r="AG83" i="2"/>
  <c r="AG22" i="2"/>
  <c r="G169" i="1"/>
  <c r="L169" i="1" s="1"/>
  <c r="H90" i="1"/>
  <c r="G90" i="1" s="1"/>
  <c r="L90" i="1" s="1"/>
  <c r="H129" i="1"/>
  <c r="G129" i="1" s="1"/>
  <c r="L129" i="1" s="1"/>
  <c r="H54" i="1"/>
  <c r="G54" i="1" s="1"/>
  <c r="L54" i="1" s="1"/>
  <c r="H53" i="1"/>
  <c r="G53" i="1" s="1"/>
  <c r="L53" i="1" s="1"/>
  <c r="H147" i="1"/>
  <c r="G147" i="1" s="1"/>
  <c r="L147" i="1" s="1"/>
  <c r="H52" i="1"/>
  <c r="G52" i="1" s="1"/>
  <c r="L52" i="1" s="1"/>
  <c r="H130" i="1"/>
  <c r="G130" i="1" s="1"/>
  <c r="L130" i="1" s="1"/>
  <c r="H109" i="1"/>
  <c r="G109" i="1" s="1"/>
  <c r="L109" i="1" s="1"/>
  <c r="H89" i="1"/>
  <c r="G89" i="1" s="1"/>
  <c r="L89" i="1" s="1"/>
  <c r="AH42" i="2"/>
  <c r="H168" i="1"/>
  <c r="G168" i="1" s="1"/>
  <c r="L168" i="1" s="1"/>
  <c r="H70" i="1"/>
  <c r="G70" i="1" s="1"/>
  <c r="L70" i="1" s="1"/>
  <c r="AG37" i="2"/>
  <c r="H71" i="1"/>
  <c r="G71" i="1" s="1"/>
  <c r="L71" i="1" s="1"/>
  <c r="H110" i="1"/>
  <c r="G110" i="1" s="1"/>
  <c r="L110" i="1" s="1"/>
  <c r="H112" i="1"/>
  <c r="G112" i="1" s="1"/>
  <c r="L112" i="1" s="1"/>
  <c r="H111" i="1"/>
  <c r="G111" i="1" s="1"/>
  <c r="L111" i="1" s="1"/>
  <c r="AG34" i="2"/>
  <c r="AG23" i="2"/>
  <c r="G146" i="1"/>
  <c r="L146" i="1" s="1"/>
  <c r="AH11" i="2"/>
  <c r="AG68" i="2"/>
  <c r="AH71" i="2"/>
  <c r="AG100" i="2"/>
  <c r="AG21" i="2"/>
  <c r="AH39" i="2"/>
  <c r="AG24" i="2"/>
  <c r="AG4" i="2"/>
  <c r="AG9" i="2"/>
  <c r="AH75" i="2"/>
  <c r="AG81" i="2"/>
  <c r="AH25" i="2"/>
  <c r="AG32" i="2"/>
  <c r="AG46" i="2"/>
  <c r="AH46" i="2"/>
  <c r="AG7" i="2"/>
  <c r="AH7" i="2"/>
  <c r="C216" i="3"/>
  <c r="AH66" i="2"/>
  <c r="AG66" i="2"/>
  <c r="AH13" i="2"/>
  <c r="AH18" i="2"/>
  <c r="AG18" i="2"/>
  <c r="AH8" i="2"/>
  <c r="AG8" i="2"/>
  <c r="AG65" i="2"/>
  <c r="AH65" i="2"/>
  <c r="AG103" i="2"/>
  <c r="AH103" i="2"/>
  <c r="AH16" i="2"/>
  <c r="AG16" i="2"/>
  <c r="L119" i="1"/>
  <c r="L4" i="1"/>
  <c r="AH108" i="2"/>
  <c r="AG108" i="2"/>
  <c r="AG40" i="2"/>
  <c r="AH40" i="2"/>
  <c r="AH14" i="2"/>
  <c r="AG14" i="2"/>
  <c r="AH10" i="2"/>
  <c r="AG10" i="2"/>
  <c r="AH41" i="2"/>
  <c r="AG41" i="2"/>
  <c r="AH26" i="2"/>
  <c r="AG26" i="2"/>
  <c r="L65" i="1"/>
  <c r="AH76" i="2"/>
  <c r="AG76" i="2"/>
  <c r="AG58" i="2"/>
  <c r="AH58" i="2"/>
  <c r="AH61" i="2"/>
  <c r="AG61" i="2"/>
  <c r="H105" i="1"/>
  <c r="G105" i="1" s="1"/>
  <c r="L105" i="1" s="1"/>
  <c r="H104" i="1"/>
  <c r="H106" i="1"/>
  <c r="G106" i="1" s="1"/>
  <c r="L106" i="1" s="1"/>
  <c r="H165" i="1"/>
  <c r="H143" i="1"/>
  <c r="H144" i="1"/>
  <c r="G144" i="1" s="1"/>
  <c r="L144" i="1" s="1"/>
  <c r="H127" i="1"/>
  <c r="G127" i="1" s="1"/>
  <c r="L127" i="1" s="1"/>
  <c r="H166" i="1"/>
  <c r="G166" i="1" s="1"/>
  <c r="L166" i="1" s="1"/>
  <c r="H126" i="1"/>
  <c r="H47" i="1"/>
  <c r="H50" i="1"/>
  <c r="G50" i="1" s="1"/>
  <c r="L50" i="1" s="1"/>
  <c r="H22" i="1"/>
  <c r="H26" i="1"/>
  <c r="G26" i="1" s="1"/>
  <c r="L26" i="1" s="1"/>
  <c r="H48" i="1"/>
  <c r="G48" i="1" s="1"/>
  <c r="L48" i="1" s="1"/>
  <c r="H23" i="1"/>
  <c r="G23" i="1" s="1"/>
  <c r="L23" i="1" s="1"/>
  <c r="H107" i="1"/>
  <c r="G107" i="1" s="1"/>
  <c r="L107" i="1" s="1"/>
  <c r="H49" i="1"/>
  <c r="G49" i="1" s="1"/>
  <c r="L49" i="1" s="1"/>
  <c r="H24" i="1"/>
  <c r="G24" i="1" s="1"/>
  <c r="L24" i="1" s="1"/>
  <c r="H84" i="1"/>
  <c r="H25" i="1"/>
  <c r="G25" i="1" s="1"/>
  <c r="L25" i="1" s="1"/>
  <c r="H85" i="1"/>
  <c r="G85" i="1" s="1"/>
  <c r="L85" i="1" s="1"/>
  <c r="H68" i="1"/>
  <c r="G68" i="1" s="1"/>
  <c r="L68" i="1" s="1"/>
  <c r="H67" i="1"/>
  <c r="H86" i="1"/>
  <c r="G86" i="1" s="1"/>
  <c r="L86" i="1" s="1"/>
  <c r="AH97" i="2"/>
  <c r="AG97" i="2"/>
  <c r="AG60" i="2"/>
  <c r="AH60" i="2"/>
  <c r="L155" i="1"/>
  <c r="AH48" i="2"/>
  <c r="AG48" i="2"/>
  <c r="AH12" i="2"/>
  <c r="AG12" i="2"/>
  <c r="G30" i="1"/>
  <c r="L30" i="1" s="1"/>
  <c r="L82" i="1"/>
  <c r="L137" i="1"/>
  <c r="G32" i="1"/>
  <c r="L32" i="1" s="1"/>
  <c r="L42" i="1"/>
  <c r="G55" i="1"/>
  <c r="L55" i="1" s="1"/>
  <c r="H92" i="1" l="1"/>
  <c r="G92" i="1" s="1"/>
  <c r="L92" i="1" s="1"/>
  <c r="G84" i="1"/>
  <c r="E94" i="1"/>
  <c r="H94" i="1" s="1"/>
  <c r="G94" i="1" s="1"/>
  <c r="O206" i="3"/>
  <c r="Q206" i="3" s="1"/>
  <c r="Q95" i="1" s="1"/>
  <c r="H12" i="4" s="1"/>
  <c r="H114" i="1"/>
  <c r="G114" i="1" s="1"/>
  <c r="L114" i="1" s="1"/>
  <c r="G104" i="1"/>
  <c r="H34" i="1"/>
  <c r="G34" i="1" s="1"/>
  <c r="L34" i="1" s="1"/>
  <c r="O203" i="3"/>
  <c r="Q203" i="3" s="1"/>
  <c r="G22" i="1"/>
  <c r="E36" i="1"/>
  <c r="H36" i="1" s="1"/>
  <c r="G36" i="1" s="1"/>
  <c r="H73" i="1"/>
  <c r="G73" i="1" s="1"/>
  <c r="L73" i="1" s="1"/>
  <c r="G67" i="1"/>
  <c r="H171" i="1"/>
  <c r="G171" i="1" s="1"/>
  <c r="L171" i="1" s="1"/>
  <c r="G165" i="1"/>
  <c r="E173" i="1"/>
  <c r="H173" i="1" s="1"/>
  <c r="G173" i="1" s="1"/>
  <c r="O210" i="3"/>
  <c r="Q210" i="3" s="1"/>
  <c r="Q174" i="1" s="1"/>
  <c r="H16" i="4" s="1"/>
  <c r="H57" i="1"/>
  <c r="G57" i="1" s="1"/>
  <c r="L57" i="1" s="1"/>
  <c r="G47" i="1"/>
  <c r="H149" i="1"/>
  <c r="G149" i="1" s="1"/>
  <c r="L149" i="1" s="1"/>
  <c r="G143" i="1"/>
  <c r="O209" i="3"/>
  <c r="Q209" i="3" s="1"/>
  <c r="Q152" i="1" s="1"/>
  <c r="H15" i="4" s="1"/>
  <c r="H132" i="1"/>
  <c r="G132" i="1" s="1"/>
  <c r="L132" i="1" s="1"/>
  <c r="G126" i="1"/>
  <c r="O208" i="3"/>
  <c r="Q208" i="3" s="1"/>
  <c r="Q135" i="1" s="1"/>
  <c r="H14" i="4" s="1"/>
  <c r="E134" i="1" l="1"/>
  <c r="H134" i="1" s="1"/>
  <c r="G134" i="1" s="1"/>
  <c r="E133" i="1" s="1"/>
  <c r="F133" i="1" s="1"/>
  <c r="G133" i="1" s="1"/>
  <c r="E75" i="1"/>
  <c r="H75" i="1" s="1"/>
  <c r="G75" i="1" s="1"/>
  <c r="L75" i="1" s="1"/>
  <c r="E35" i="1"/>
  <c r="F35" i="1" s="1"/>
  <c r="G35" i="1" s="1"/>
  <c r="L35" i="1" s="1"/>
  <c r="L36" i="1"/>
  <c r="L104" i="1"/>
  <c r="L165" i="1"/>
  <c r="E116" i="1"/>
  <c r="H116" i="1" s="1"/>
  <c r="G116" i="1" s="1"/>
  <c r="L143" i="1"/>
  <c r="E151" i="1"/>
  <c r="H151" i="1" s="1"/>
  <c r="G151" i="1" s="1"/>
  <c r="L67" i="1"/>
  <c r="E172" i="1"/>
  <c r="F172" i="1" s="1"/>
  <c r="G172" i="1" s="1"/>
  <c r="L172" i="1" s="1"/>
  <c r="L173" i="1"/>
  <c r="L94" i="1"/>
  <c r="E93" i="1"/>
  <c r="F93" i="1" s="1"/>
  <c r="G93" i="1" s="1"/>
  <c r="L93" i="1" s="1"/>
  <c r="L47" i="1"/>
  <c r="L84" i="1"/>
  <c r="O204" i="3"/>
  <c r="Q204" i="3" s="1"/>
  <c r="Q60" i="1" s="1"/>
  <c r="H10" i="4" s="1"/>
  <c r="L126" i="1"/>
  <c r="E59" i="1"/>
  <c r="H59" i="1" s="1"/>
  <c r="L22" i="1"/>
  <c r="Q37" i="1"/>
  <c r="H9" i="4" s="1"/>
  <c r="O207" i="3"/>
  <c r="Q207" i="3" s="1"/>
  <c r="Q117" i="1" s="1"/>
  <c r="H13" i="4" s="1"/>
  <c r="O205" i="3"/>
  <c r="Q205" i="3" s="1"/>
  <c r="Q76" i="1" s="1"/>
  <c r="H11" i="4" s="1"/>
  <c r="H43" i="2" l="1"/>
  <c r="G43" i="2" s="1"/>
  <c r="H76" i="2"/>
  <c r="G76" i="2" s="1"/>
  <c r="L133" i="1"/>
  <c r="G135" i="1"/>
  <c r="E14" i="4" s="1"/>
  <c r="F14" i="4" s="1"/>
  <c r="E74" i="1"/>
  <c r="F74" i="1" s="1"/>
  <c r="G74" i="1" s="1"/>
  <c r="L74" i="1" s="1"/>
  <c r="L76" i="1" s="1"/>
  <c r="L134" i="1"/>
  <c r="H13" i="2"/>
  <c r="G13" i="2" s="1"/>
  <c r="H92" i="2"/>
  <c r="G92" i="2" s="1"/>
  <c r="H53" i="2"/>
  <c r="G53" i="2" s="1"/>
  <c r="H39" i="2"/>
  <c r="G39" i="2" s="1"/>
  <c r="H38" i="2"/>
  <c r="G38" i="2" s="1"/>
  <c r="H32" i="2"/>
  <c r="G32" i="2" s="1"/>
  <c r="H101" i="2"/>
  <c r="G101" i="2" s="1"/>
  <c r="H87" i="2"/>
  <c r="G87" i="2" s="1"/>
  <c r="L95" i="1"/>
  <c r="H88" i="2"/>
  <c r="G88" i="2" s="1"/>
  <c r="G95" i="1"/>
  <c r="E12" i="4" s="1"/>
  <c r="F12" i="4" s="1"/>
  <c r="G37" i="1"/>
  <c r="E9" i="4" s="1"/>
  <c r="F9" i="4" s="1"/>
  <c r="L37" i="1"/>
  <c r="H31" i="2"/>
  <c r="G31" i="2" s="1"/>
  <c r="H98" i="2"/>
  <c r="G98" i="2" s="1"/>
  <c r="H34" i="2"/>
  <c r="G34" i="2" s="1"/>
  <c r="H90" i="2"/>
  <c r="G90" i="2" s="1"/>
  <c r="H36" i="2"/>
  <c r="G36" i="2" s="1"/>
  <c r="H3" i="2"/>
  <c r="G3" i="2" s="1"/>
  <c r="H99" i="2"/>
  <c r="G99" i="2" s="1"/>
  <c r="H91" i="2"/>
  <c r="G91" i="2" s="1"/>
  <c r="H56" i="2"/>
  <c r="G56" i="2" s="1"/>
  <c r="H74" i="2"/>
  <c r="G74" i="2" s="1"/>
  <c r="G174" i="1"/>
  <c r="E16" i="4" s="1"/>
  <c r="F16" i="4" s="1"/>
  <c r="H48" i="2"/>
  <c r="G48" i="2" s="1"/>
  <c r="H5" i="2"/>
  <c r="G5" i="2" s="1"/>
  <c r="H62" i="2"/>
  <c r="G62" i="2" s="1"/>
  <c r="H12" i="2"/>
  <c r="G12" i="2" s="1"/>
  <c r="H40" i="2"/>
  <c r="G40" i="2" s="1"/>
  <c r="H97" i="2"/>
  <c r="G97" i="2" s="1"/>
  <c r="H24" i="2"/>
  <c r="G24" i="2" s="1"/>
  <c r="H75" i="2"/>
  <c r="G75" i="2" s="1"/>
  <c r="H86" i="2"/>
  <c r="G86" i="2" s="1"/>
  <c r="L174" i="1"/>
  <c r="H106" i="2"/>
  <c r="G106" i="2" s="1"/>
  <c r="H22" i="2"/>
  <c r="G22" i="2" s="1"/>
  <c r="H65" i="2"/>
  <c r="G65" i="2" s="1"/>
  <c r="H100" i="2"/>
  <c r="G100" i="2" s="1"/>
  <c r="H35" i="2"/>
  <c r="G35" i="2" s="1"/>
  <c r="H15" i="2"/>
  <c r="G15" i="2" s="1"/>
  <c r="H102" i="2"/>
  <c r="G102" i="2" s="1"/>
  <c r="L116" i="1"/>
  <c r="E115" i="1"/>
  <c r="F115" i="1" s="1"/>
  <c r="G115" i="1" s="1"/>
  <c r="H37" i="2"/>
  <c r="G37" i="2" s="1"/>
  <c r="H95" i="2"/>
  <c r="G95" i="2" s="1"/>
  <c r="H8" i="2"/>
  <c r="G8" i="2" s="1"/>
  <c r="H51" i="2"/>
  <c r="G51" i="2" s="1"/>
  <c r="H73" i="2"/>
  <c r="G73" i="2" s="1"/>
  <c r="H81" i="2"/>
  <c r="G81" i="2" s="1"/>
  <c r="H46" i="2"/>
  <c r="G46" i="2" s="1"/>
  <c r="H26" i="2"/>
  <c r="G26" i="2" s="1"/>
  <c r="H4" i="2"/>
  <c r="G4" i="2" s="1"/>
  <c r="H10" i="2"/>
  <c r="G10" i="2" s="1"/>
  <c r="C219" i="3"/>
  <c r="G59" i="1"/>
  <c r="H96" i="2"/>
  <c r="G96" i="2" s="1"/>
  <c r="H107" i="2"/>
  <c r="G107" i="2" s="1"/>
  <c r="H11" i="2"/>
  <c r="G11" i="2" s="1"/>
  <c r="H44" i="2"/>
  <c r="G44" i="2" s="1"/>
  <c r="H54" i="2"/>
  <c r="G54" i="2" s="1"/>
  <c r="H23" i="2"/>
  <c r="G23" i="2" s="1"/>
  <c r="H28" i="2"/>
  <c r="G28" i="2" s="1"/>
  <c r="H33" i="2"/>
  <c r="G33" i="2" s="1"/>
  <c r="H57" i="2"/>
  <c r="G57" i="2" s="1"/>
  <c r="H103" i="2"/>
  <c r="G103" i="2" s="1"/>
  <c r="H58" i="2"/>
  <c r="G58" i="2" s="1"/>
  <c r="H49" i="2"/>
  <c r="G49" i="2" s="1"/>
  <c r="H70" i="2"/>
  <c r="G70" i="2" s="1"/>
  <c r="H77" i="2"/>
  <c r="G77" i="2" s="1"/>
  <c r="H59" i="2"/>
  <c r="G59" i="2" s="1"/>
  <c r="H80" i="2"/>
  <c r="G80" i="2" s="1"/>
  <c r="H19" i="2"/>
  <c r="G19" i="2" s="1"/>
  <c r="H25" i="2"/>
  <c r="G25" i="2" s="1"/>
  <c r="H94" i="2"/>
  <c r="G94" i="2" s="1"/>
  <c r="H83" i="2"/>
  <c r="G83" i="2" s="1"/>
  <c r="H66" i="2"/>
  <c r="G66" i="2" s="1"/>
  <c r="H52" i="2"/>
  <c r="G52" i="2" s="1"/>
  <c r="H68" i="2"/>
  <c r="G68" i="2" s="1"/>
  <c r="H41" i="2"/>
  <c r="G41" i="2" s="1"/>
  <c r="H78" i="2"/>
  <c r="G78" i="2" s="1"/>
  <c r="H69" i="2"/>
  <c r="G69" i="2" s="1"/>
  <c r="H9" i="2"/>
  <c r="G9" i="2" s="1"/>
  <c r="H104" i="2"/>
  <c r="G104" i="2" s="1"/>
  <c r="H93" i="2"/>
  <c r="G93" i="2" s="1"/>
  <c r="H50" i="2"/>
  <c r="G50" i="2" s="1"/>
  <c r="H105" i="2"/>
  <c r="G105" i="2" s="1"/>
  <c r="H7" i="2"/>
  <c r="G7" i="2" s="1"/>
  <c r="H18" i="2"/>
  <c r="G18" i="2" s="1"/>
  <c r="H6" i="2"/>
  <c r="G6" i="2" s="1"/>
  <c r="H84" i="2"/>
  <c r="G84" i="2" s="1"/>
  <c r="H42" i="2"/>
  <c r="G42" i="2" s="1"/>
  <c r="H29" i="2"/>
  <c r="G29" i="2" s="1"/>
  <c r="H14" i="2"/>
  <c r="G14" i="2" s="1"/>
  <c r="H60" i="2"/>
  <c r="G60" i="2" s="1"/>
  <c r="H71" i="2"/>
  <c r="G71" i="2" s="1"/>
  <c r="H61" i="2"/>
  <c r="G61" i="2" s="1"/>
  <c r="H108" i="2"/>
  <c r="G108" i="2" s="1"/>
  <c r="H30" i="2"/>
  <c r="G30" i="2" s="1"/>
  <c r="H89" i="2"/>
  <c r="G89" i="2" s="1"/>
  <c r="H47" i="2"/>
  <c r="G47" i="2" s="1"/>
  <c r="H85" i="2"/>
  <c r="G85" i="2" s="1"/>
  <c r="H82" i="2"/>
  <c r="G82" i="2" s="1"/>
  <c r="H109" i="2"/>
  <c r="G109" i="2" s="1"/>
  <c r="H110" i="2"/>
  <c r="G110" i="2" s="1"/>
  <c r="H21" i="2"/>
  <c r="G21" i="2" s="1"/>
  <c r="H67" i="2"/>
  <c r="G67" i="2" s="1"/>
  <c r="L151" i="1"/>
  <c r="E150" i="1"/>
  <c r="F150" i="1" s="1"/>
  <c r="G150" i="1" s="1"/>
  <c r="H27" i="2"/>
  <c r="G27" i="2" s="1"/>
  <c r="H72" i="2"/>
  <c r="G72" i="2" s="1"/>
  <c r="H45" i="2"/>
  <c r="H17" i="2"/>
  <c r="G17" i="2" s="1"/>
  <c r="H64" i="2"/>
  <c r="G64" i="2" s="1"/>
  <c r="H2" i="2"/>
  <c r="G2" i="2" s="1"/>
  <c r="H63" i="2"/>
  <c r="G63" i="2" s="1"/>
  <c r="H16" i="2"/>
  <c r="G16" i="2" s="1"/>
  <c r="H79" i="2"/>
  <c r="G79" i="2" s="1"/>
  <c r="H20" i="2"/>
  <c r="G20" i="2" s="1"/>
  <c r="H55" i="2"/>
  <c r="G55" i="2" s="1"/>
  <c r="L135" i="1" l="1"/>
  <c r="G76" i="1"/>
  <c r="E11" i="4" s="1"/>
  <c r="F11" i="4" s="1"/>
  <c r="G111" i="2"/>
  <c r="L59" i="1"/>
  <c r="E58" i="1"/>
  <c r="F58" i="1" s="1"/>
  <c r="G58" i="1" s="1"/>
  <c r="L115" i="1"/>
  <c r="L150" i="1"/>
  <c r="L152" i="1" s="1"/>
  <c r="G152" i="1"/>
  <c r="E15" i="4" s="1"/>
  <c r="F15" i="4" s="1"/>
  <c r="L58" i="1" l="1"/>
  <c r="L60" i="1" s="1"/>
  <c r="G60" i="1"/>
  <c r="E10" i="4" s="1"/>
  <c r="F10" i="4" s="1"/>
  <c r="G97" i="1" l="1"/>
  <c r="G117" i="1" s="1"/>
  <c r="E13" i="4" s="1"/>
  <c r="F13" i="4" s="1"/>
  <c r="F17" i="4" s="1"/>
  <c r="F18" i="4" l="1"/>
  <c r="F19" i="4" s="1"/>
  <c r="L97" i="1"/>
  <c r="L117" i="1" s="1"/>
</calcChain>
</file>

<file path=xl/sharedStrings.xml><?xml version="1.0" encoding="utf-8"?>
<sst xmlns="http://schemas.openxmlformats.org/spreadsheetml/2006/main" count="2109" uniqueCount="662">
  <si>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</si>
  <si>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</si>
  <si>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</si>
  <si>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</si>
  <si>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</si>
  <si>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</si>
  <si>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</si>
  <si>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</si>
  <si>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</si>
  <si>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</si>
  <si>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</si>
  <si>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</si>
  <si>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</si>
  <si>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</si>
  <si>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</si>
  <si>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</si>
  <si>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ВРУ-1</t>
  </si>
  <si>
    <t>комплект</t>
  </si>
  <si>
    <t>260917</t>
  </si>
  <si>
    <t>korpus</t>
  </si>
  <si>
    <t>719-15696</t>
  </si>
  <si>
    <t>KORPUS</t>
  </si>
  <si>
    <t>KORPUS_AYAKLI</t>
  </si>
  <si>
    <t>ОЛ: ВРУ-2 20.80.45 IP31 TITAN (YKM2-C3-2084-31) 2000x800x450 — KAZTEK muadil, taban 100 mm</t>
  </si>
  <si>
    <t>mccb</t>
  </si>
  <si>
    <t>844326</t>
  </si>
  <si>
    <t>GIRIS</t>
  </si>
  <si>
    <t>ОЛ QF1,QF2 ВА88-32 3P 125A 35kA → NXM-160S 36kA</t>
  </si>
  <si>
    <t>kilit</t>
  </si>
  <si>
    <t>263761</t>
  </si>
  <si>
    <t>KUMANDA</t>
  </si>
  <si>
    <t>projede yok — АВР kontaktör mekanik kilidi için eklendi</t>
  </si>
  <si>
    <t>sayac</t>
  </si>
  <si>
    <t>989-190-0114</t>
  </si>
  <si>
    <t>OLCU</t>
  </si>
  <si>
    <t>Меркурий 230 ART-03 трансф.</t>
  </si>
  <si>
    <t>tt</t>
  </si>
  <si>
    <t>256478</t>
  </si>
  <si>
    <t>ТТИ-А 125/5 → 150/5, bir üst kademe (125/5 listede yok)</t>
  </si>
  <si>
    <t>oto</t>
  </si>
  <si>
    <t>816141</t>
  </si>
  <si>
    <t>CIKIS</t>
  </si>
  <si>
    <t>şema ВА47-100 3П 100А → МС-1 ЩР-1</t>
  </si>
  <si>
    <t>296825</t>
  </si>
  <si>
    <t>projede yok — giriş başına faz sinyal lambası grubu koruması için eklendi</t>
  </si>
  <si>
    <t>296708</t>
  </si>
  <si>
    <t>ОЛ QF3,QF4 ВА47-29 1P 6A (HL1,HL2) ×2 + projede yok — АВР kaynak başına kumanda koruması için ×2 eklendi</t>
  </si>
  <si>
    <t>contactor</t>
  </si>
  <si>
    <t>836515</t>
  </si>
  <si>
    <t>ОЛ KM1.1,KM1.2 КМИ-49512 — АВР kuralı: koruma 125 A bir üst kademe</t>
  </si>
  <si>
    <t>kontak</t>
  </si>
  <si>
    <t>938256</t>
  </si>
  <si>
    <t>projede yok — АВР kontaktör yardımcı kontağı için eklendi</t>
  </si>
  <si>
    <t>aksesuar</t>
  </si>
  <si>
    <t>200100060</t>
  </si>
  <si>
    <t>projede yok — trafo bağlantılı sayaç için test klemens kutusu eklendi</t>
  </si>
  <si>
    <t>avr_rele</t>
  </si>
  <si>
    <t>311100864</t>
  </si>
  <si>
    <t>ОЛ Реле фаз ORF ×2 yerine АВР kuralı: F&amp;F АВР rölesi</t>
  </si>
  <si>
    <t>lamb</t>
  </si>
  <si>
    <t>593076</t>
  </si>
  <si>
    <t>projede yok — giriş başına L1 faz sinyal lambası için eklendi</t>
  </si>
  <si>
    <t>593077</t>
  </si>
  <si>
    <t>projede yok — giriş başına L2 faz sinyal lambası için eklendi</t>
  </si>
  <si>
    <t>593075</t>
  </si>
  <si>
    <t>projede yok — giriş başına L3 faz sinyal lambası için eklendi</t>
  </si>
  <si>
    <t>PYS-001</t>
  </si>
  <si>
    <t>ОЛ HL1,HL2 ЛПО 2001 8Вт — listede yok</t>
  </si>
  <si>
    <t>nbara</t>
  </si>
  <si>
    <t>SARF</t>
  </si>
  <si>
    <t>N barası (otomatik)</t>
  </si>
  <si>
    <t>PE barası (otomatik)</t>
  </si>
  <si>
    <t>kanal</t>
  </si>
  <si>
    <t>280100020</t>
  </si>
  <si>
    <t>plastik perforeli kanal</t>
  </si>
  <si>
    <t>kablo</t>
  </si>
  <si>
    <t>151.01.PV3.01,5</t>
  </si>
  <si>
    <t>ПВ3 1.5 mm² pano içi</t>
  </si>
  <si>
    <t>151.01.PV3.02,5</t>
  </si>
  <si>
    <t>ПВ3 2.5 mm² pano içi</t>
  </si>
  <si>
    <t>151.01.PV3.25</t>
  </si>
  <si>
    <t>ПВ3 25 mm² pano içi</t>
  </si>
  <si>
    <t>151.01.PV3.35</t>
  </si>
  <si>
    <t>ПВ3 35 mm² pano içi</t>
  </si>
  <si>
    <t>151.01.PV3.50</t>
  </si>
  <si>
    <t>ПВ3 50 mm² pano içi</t>
  </si>
  <si>
    <t>151.01.PV3.06</t>
  </si>
  <si>
    <t>kapak topraklama iletkeni 6 mm²</t>
  </si>
  <si>
    <t>yuksuk</t>
  </si>
  <si>
    <t>311100817</t>
  </si>
  <si>
    <t>yüksük 1.5 mm² · tel başına 2 uç</t>
  </si>
  <si>
    <t>311100820</t>
  </si>
  <si>
    <t>yüksük 2.5 mm² · tel başına 2 uç</t>
  </si>
  <si>
    <t>pabuc</t>
  </si>
  <si>
    <t>260100167</t>
  </si>
  <si>
    <t>kablo pabucu 25 mm² · tel başına 2 uç</t>
  </si>
  <si>
    <t>260100158</t>
  </si>
  <si>
    <t>kablo pabucu 35 mm² · tel başına 2 uç</t>
  </si>
  <si>
    <t>260100168</t>
  </si>
  <si>
    <t>kablo pabucu 50 mm² · tel başına 2 uç</t>
  </si>
  <si>
    <t>260100138</t>
  </si>
  <si>
    <t>kapak topraklama pabucu</t>
  </si>
  <si>
    <t>bag</t>
  </si>
  <si>
    <t>240100162</t>
  </si>
  <si>
    <t>kablo bağı</t>
  </si>
  <si>
    <t>монтажный материал</t>
  </si>
  <si>
    <t>шт</t>
  </si>
  <si>
    <t>монтажная работа</t>
  </si>
  <si>
    <t>мин</t>
  </si>
  <si>
    <t>ЩР-1</t>
  </si>
  <si>
    <t>714-15040</t>
  </si>
  <si>
    <t>KORPUS_KUCUK</t>
  </si>
  <si>
    <t>projede ЩРн-36з — 3 sıra × 150 mm iç yüksekliğe sığmıyor, büyütüldü</t>
  </si>
  <si>
    <t>bh</t>
  </si>
  <si>
    <t>193185</t>
  </si>
  <si>
    <t>ВН-32 3П 100А</t>
  </si>
  <si>
    <t>813875</t>
  </si>
  <si>
    <t>ВА47-100 3П 40А (ЩС-1, ЩВ-1) · 10 kA için NXB-63H</t>
  </si>
  <si>
    <t>813876</t>
  </si>
  <si>
    <t>ВА47-100 3П 50А (ЩС-2) · 10 kA için NXB-63H</t>
  </si>
  <si>
    <t>813874</t>
  </si>
  <si>
    <t>ВА47-100 3П 32А (ЩО-1) · 10 kA için NXB-63H</t>
  </si>
  <si>
    <t>813873</t>
  </si>
  <si>
    <t>ВА47-100 3П 25А (ЩАО-1, ПКП-1) · 10 kA için NXB-63H</t>
  </si>
  <si>
    <t>151.01.PV3.04</t>
  </si>
  <si>
    <t>ПВ3 4 mm² pano içi</t>
  </si>
  <si>
    <t>ПВ3 6 mm² pano içi</t>
  </si>
  <si>
    <t>151.01.PV3.10</t>
  </si>
  <si>
    <t>ПВ3 10 mm² pano içi</t>
  </si>
  <si>
    <t>311100823</t>
  </si>
  <si>
    <t>yüksük 4 mm² · tel başına 2 uç</t>
  </si>
  <si>
    <t>311100826</t>
  </si>
  <si>
    <t>yüksük 6 mm² · tel başına 2 uç</t>
  </si>
  <si>
    <t>311100828</t>
  </si>
  <si>
    <t>yüksük 10 mm² · tel başına 2 uç</t>
  </si>
  <si>
    <t>ЩС-1</t>
  </si>
  <si>
    <t>projede ЩРВ-18з — modül yetersiz (29 modül), büyütüldü</t>
  </si>
  <si>
    <t>193183</t>
  </si>
  <si>
    <t>ВН-32 3П 63А</t>
  </si>
  <si>
    <t>dif</t>
  </si>
  <si>
    <t>819977</t>
  </si>
  <si>
    <t>АД12 2Р 16А 30мА (А1…А11)</t>
  </si>
  <si>
    <t>151.01.PV3.16</t>
  </si>
  <si>
    <t>ПВ3 16 mm² pano içi</t>
  </si>
  <si>
    <t>311100829</t>
  </si>
  <si>
    <t>yüksük 16 mm² · NXHB kafes klemensi (JG-16 yerine)</t>
  </si>
  <si>
    <t>ЩС-2</t>
  </si>
  <si>
    <t>projede ЩРВ-36з — modül yetersiz (42 modül), büyütüldü</t>
  </si>
  <si>
    <t>ВН-32 3П 63А (СО: ВА47-29 3Р 25А — şema uygulandı)</t>
  </si>
  <si>
    <t>296826</t>
  </si>
  <si>
    <t>ВА47-29 3П 10А — Н3 дренажный насос</t>
  </si>
  <si>
    <t>АД12 2Р 16А 30мА (НА1…НА18)</t>
  </si>
  <si>
    <t>ЩВ-1</t>
  </si>
  <si>
    <t>713-15030</t>
  </si>
  <si>
    <t>projede ЩРВ-12з — modül yetersiz (16 modül), büyütüldü</t>
  </si>
  <si>
    <t>296709</t>
  </si>
  <si>
    <t>ВА47-29 1П 10А — П1, П2 (ШУ компл.)</t>
  </si>
  <si>
    <t>296710</t>
  </si>
  <si>
    <t>ВА47-29 1П 16А — В1…В7</t>
  </si>
  <si>
    <t>982161</t>
  </si>
  <si>
    <t>АД12 3Р 40А 30мА → 3P+N (4P) — НТП1 тепловой пункт</t>
  </si>
  <si>
    <t>ЩО-1</t>
  </si>
  <si>
    <t>projede ЩРв-П-36 (plastik) — metal ЩРВ-36</t>
  </si>
  <si>
    <t>193181</t>
  </si>
  <si>
    <t>ВН-32 3П 25А → 32А, bir üst kademe</t>
  </si>
  <si>
    <t>296697</t>
  </si>
  <si>
    <t>ВА47-29В 1П 16А — Гр1…Гр11, eğri B (şemada "В")</t>
  </si>
  <si>
    <t>YEDEK</t>
  </si>
  <si>
    <t>ВА47-29В 1П 16А — резерв</t>
  </si>
  <si>
    <t>АД12 16А-2Р 30мА — Гр12…Гр16</t>
  </si>
  <si>
    <t>ЩАО-1</t>
  </si>
  <si>
    <t>projede ЩРв-П-8 — modül yetersiz (8 modül + %20), büyütüldü</t>
  </si>
  <si>
    <t>ВА47-29В 1П 16А — ГрА1…ГрА4, eğri B</t>
  </si>
  <si>
    <t>КТ-КМИ-22510 (отключение вентиляции ЩВ-1)</t>
  </si>
  <si>
    <t>EOM-15 kutu tipi/ölçüsü yok — robot seçimi</t>
  </si>
  <si>
    <t>296829</t>
  </si>
  <si>
    <t>EOM-15 QF — In yazılı değil, KM 25 A ile eşlendi</t>
  </si>
  <si>
    <t>836851</t>
  </si>
  <si>
    <t>EOM-15 KM КМИ-22510 25А 230В</t>
  </si>
  <si>
    <t>rele</t>
  </si>
  <si>
    <t>837118</t>
  </si>
  <si>
    <t>EOM-15 KK тепловое реле — ЩВ-1 Ip 14,7 А</t>
  </si>
  <si>
    <t>520441</t>
  </si>
  <si>
    <t>EOM-15 FU1</t>
  </si>
  <si>
    <t>520248</t>
  </si>
  <si>
    <t>EOM-15 FU1 вставка</t>
  </si>
  <si>
    <t>button</t>
  </si>
  <si>
    <t>574843</t>
  </si>
  <si>
    <t>EOM-15 SB1 стоп</t>
  </si>
  <si>
    <t>574842</t>
  </si>
  <si>
    <t>EOM-15 SB2 пуск</t>
  </si>
  <si>
    <t>EOM-15 HLR</t>
  </si>
  <si>
    <t>SIRA</t>
  </si>
  <si>
    <t>завод</t>
  </si>
  <si>
    <t>LİSTE FİYATI</t>
  </si>
  <si>
    <t>PARA</t>
  </si>
  <si>
    <t>KATSAYI</t>
  </si>
  <si>
    <t>KUR</t>
  </si>
  <si>
    <t>NET, тг</t>
  </si>
  <si>
    <t>TOPLAM ADET</t>
  </si>
  <si>
    <t>TOPLAM, тг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</si>
  <si>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</si>
  <si>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</si>
  <si>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</si>
  <si>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</si>
  <si>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</si>
  <si>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</si>
  <si>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</si>
  <si>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</si>
  <si>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</si>
  <si>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</si>
  <si>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</si>
  <si>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</si>
  <si>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</si>
  <si>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</si>
  <si>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</si>
  <si>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</si>
  <si>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</si>
  <si>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</si>
  <si>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</si>
  <si>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</si>
  <si>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KORUMA IN</t>
  </si>
  <si>
    <t>Авт. выкл. NXM-160S/3Р 125A 36кА (R)</t>
  </si>
  <si>
    <t>chint</t>
  </si>
  <si>
    <t>CHINT2608</t>
  </si>
  <si>
    <t>Контактор NXC-160 160A 220В/АС3 2НО+2НЗ 50Гц (R)</t>
  </si>
  <si>
    <t>Приставка доп.контакты AX-3X/11 к контактору NXC-06~630 (R)</t>
  </si>
  <si>
    <t>Механическая блокировка MI-9 для NXC-120-225 (R)</t>
  </si>
  <si>
    <t>Авт. выкл. NXB-125 3P 100A 10кА х-ка C (R)</t>
  </si>
  <si>
    <t>Авт. выкл. NXB-63S 3P 6А 4.5kA х-ка C (R)</t>
  </si>
  <si>
    <t>Авт. выкл. NXB-63S 1P 6А 4.5kA х-ка C (R)</t>
  </si>
  <si>
    <t>Индикатор ND16-22D/2 желтый AC/DC230В (R)</t>
  </si>
  <si>
    <t>Индикатор ND16-22D/2 зеленый AC/DC230В (R)</t>
  </si>
  <si>
    <t>Индикатор ND16-22D/2 красный AC/DC230В (R)</t>
  </si>
  <si>
    <t>Трансформатор тока BH-0.66 30 | B 150/5A класс точности 0.5-1 ®</t>
  </si>
  <si>
    <t>Выключатель нагрузки NXHB-125 3P 100A (R)</t>
  </si>
  <si>
    <t>Выключатель нагрузки NXHB-125 3P 63A (R)</t>
  </si>
  <si>
    <t>Выключатель нагрузки NXHB-125 3P 32A (R)</t>
  </si>
  <si>
    <t>Авт. выкл. NXB-63H 3P 25A 10кА х-ка C (R)</t>
  </si>
  <si>
    <t>Авт. выкл. NXB-63H 3P 32A 10кА х-ка C (R)</t>
  </si>
  <si>
    <t>Авт. выкл. NXB-63H 3P 40A 10кА х-ка C (R)</t>
  </si>
  <si>
    <t>Авт. выкл. NXB-63H 3P 50A 10кА х-ка C (R)</t>
  </si>
  <si>
    <t>Авт. выкл. NXB-63S 3P 10А 4.5kA х-ка C (R)</t>
  </si>
  <si>
    <t>Авт. выкл. NXB-63S 1P 10А 4.5kA х-ка C (R)</t>
  </si>
  <si>
    <t>Авт. выкл. NXB-63S 1P 16А 4.5kA х-ка C (R)</t>
  </si>
  <si>
    <t>Авт. выкл. NXB-63S 1P 16А 4.5kA х-ка B (R)</t>
  </si>
  <si>
    <t>Контактор NXC-25 25A 220В/АС3 1НО+1НЗ 50Гц (R)</t>
  </si>
  <si>
    <t>Тепловое реле NXR-25 12-18A (R)</t>
  </si>
  <si>
    <t>Держатель плавких вставок с индикацией RT28N-32X 10х38 1П (R)</t>
  </si>
  <si>
    <t>Плавкая вставка цилиндрическая RT28-32 2A 10х38</t>
  </si>
  <si>
    <t>Кнопка управления NP2-BA42 без подсветки красная 1НЗ IP40</t>
  </si>
  <si>
    <t>Кнопка управления NP2-BA31 без подсветки зеленая 1НО IP40</t>
  </si>
  <si>
    <t>Авт. выкл. NXB-63S 3P 25А 4.5kA х-ка C (R)</t>
  </si>
  <si>
    <t>ekt</t>
  </si>
  <si>
    <t>EKT2506</t>
  </si>
  <si>
    <t>Кабель.канал перф. 40х40 ИМПАКТ IEK (36)</t>
  </si>
  <si>
    <t>м</t>
  </si>
  <si>
    <t>Наконечник НШВИ 16-12 изолированный 79452 (100шт) КВТ NEW</t>
  </si>
  <si>
    <t>упак</t>
  </si>
  <si>
    <t>Счет.элек Меркурий 3ф 5 (7,5)A 230 ART-03 PQRSIDN многотариф/трансф</t>
  </si>
  <si>
    <t>teksan f</t>
  </si>
  <si>
    <t>KAZTEK2607</t>
  </si>
  <si>
    <t>Shit 2000x800x450+100mm</t>
  </si>
  <si>
    <t>Мет. Корпус ЩРН- 48 (660x310x120) IP31 (TS)</t>
  </si>
  <si>
    <t>Мет. ЩРВ-36 (550x320x120)</t>
  </si>
  <si>
    <t>Светильник ЛПО 2001 8Вт IEK</t>
  </si>
  <si>
    <t>pys</t>
  </si>
  <si>
    <t>PYS</t>
  </si>
  <si>
    <t>151.01.PV3.0,75</t>
  </si>
  <si>
    <t>HARMONY ПВ3 1*0,75</t>
  </si>
  <si>
    <t>harmony</t>
  </si>
  <si>
    <t>HARMONY</t>
  </si>
  <si>
    <t>151.01.PV3.01</t>
  </si>
  <si>
    <t>HARMONY ПВ3 1*1</t>
  </si>
  <si>
    <t>HARMONY ПВ3 1*1,5</t>
  </si>
  <si>
    <t>HARMONY ПВ3 1*2,5</t>
  </si>
  <si>
    <t>HARMONY ПВ3 1*4</t>
  </si>
  <si>
    <t>HARMONY ПВ3 1*6</t>
  </si>
  <si>
    <t>HARMONY ПВ3 1*10</t>
  </si>
  <si>
    <t>HARMONY ПВ3 1*16</t>
  </si>
  <si>
    <t>HARMONY ПВ3 1*25</t>
  </si>
  <si>
    <t>HARMONY ПВ3 1*35</t>
  </si>
  <si>
    <t>HARMONY ПВ3 1*50</t>
  </si>
  <si>
    <t>151.01.PV3.70</t>
  </si>
  <si>
    <t>HARMONY ПВ3 1*70</t>
  </si>
  <si>
    <t>151.01.PV3.95</t>
  </si>
  <si>
    <t>HARMONY ПВ3 1*95</t>
  </si>
  <si>
    <t>130300223</t>
  </si>
  <si>
    <t>ЗНИ 2.5мм ² (24А) серый IEK (50)</t>
  </si>
  <si>
    <t>klemens</t>
  </si>
  <si>
    <t>130300041</t>
  </si>
  <si>
    <t>ЗНИ 4мм ² (35А) серый IEK(60)</t>
  </si>
  <si>
    <t>130300042</t>
  </si>
  <si>
    <t>ЗНИ 6мм ² серый IEK (20)</t>
  </si>
  <si>
    <t>130300039</t>
  </si>
  <si>
    <t>ЗНИ 10мм ² (70А) серый IEK (40)</t>
  </si>
  <si>
    <t>130300193</t>
  </si>
  <si>
    <t>ЗНИ 16мм ² (100А) серый IEK (30) !!!</t>
  </si>
  <si>
    <t>130300040</t>
  </si>
  <si>
    <t>ЗНИ 35мм ² (125) серый IEK (30)</t>
  </si>
  <si>
    <t>5130300225</t>
  </si>
  <si>
    <t>Зажим наборный ЗНИ - 4PEN 4мм2 (JXB-земля) IEK</t>
  </si>
  <si>
    <t>130300227</t>
  </si>
  <si>
    <t>ЗНИ 10PEN 10мм2 (JXB-земля) IEK E-PRO</t>
  </si>
  <si>
    <t>130300228</t>
  </si>
  <si>
    <t>Зажим наборный ЗНИ-16PEN 16мм2 (JXB-земля) IEK</t>
  </si>
  <si>
    <t>130300365</t>
  </si>
  <si>
    <t>Зажим наборный ЗНИ-70PEN 70мм2 (JXB-земля) IEK</t>
  </si>
  <si>
    <t>130300142</t>
  </si>
  <si>
    <t>Заглушка для ЗНИ4-6мм2 (JXB35-50A) серый IEK!!!</t>
  </si>
  <si>
    <t>130300143</t>
  </si>
  <si>
    <t>Заглушка для ЗНИ-10мм ² серый IEK * (1000)</t>
  </si>
  <si>
    <t>311100813</t>
  </si>
  <si>
    <t>Наконечник НШВИ 0,75-8 изолированный 79436 (100шт) КВТ NEW</t>
  </si>
  <si>
    <t>311100815</t>
  </si>
  <si>
    <t>Наконечник НШВИ 1,0-8 изолированный 79438 (100шт) КВТ NEW</t>
  </si>
  <si>
    <t>Наконечник НШВИ 1,5-8 изолированный 79440 (100шт) КВТ NEW</t>
  </si>
  <si>
    <t>Наконечник НШВИ 2,5-8 изолированный 79443 (100шт) КВТ NEW</t>
  </si>
  <si>
    <t>Наконечник НШВИ 4,0-9 изолированный 79446 (100шт) КВТ NEW</t>
  </si>
  <si>
    <t>Наконечник НШВИ 6,0-12 изолированный 79449 (100шт) КВТ NEW</t>
  </si>
  <si>
    <t>Наконечник НШВИ 10-12 изолированный 79451 (100шт) КВТ NEW</t>
  </si>
  <si>
    <t>Наконечник медно-луженный JG - 6 IEK (600)</t>
  </si>
  <si>
    <t>260100153</t>
  </si>
  <si>
    <t>Наконечник медно-луженный JG - 10 IEK (400)</t>
  </si>
  <si>
    <t>260100165</t>
  </si>
  <si>
    <t>Наконечник медно-луженный JG - 16 IEK (200)</t>
  </si>
  <si>
    <t>Наконечник медно-луженный JG - 25 IEK (200)</t>
  </si>
  <si>
    <t>Наконечник медно-луженный JG - 35 IEK (100)</t>
  </si>
  <si>
    <t>Наконечник медно-луженный JG - 50 IEK (100)</t>
  </si>
  <si>
    <t>260100169</t>
  </si>
  <si>
    <t>Наконечник медно-луженный JG - 70 IEK (50)</t>
  </si>
  <si>
    <t>260100140</t>
  </si>
  <si>
    <t>Наконечник медно-луженный JG - 95 IEK (50)</t>
  </si>
  <si>
    <t>YZN11DF-003-K03</t>
  </si>
  <si>
    <t>Концевой стопор (ограничитель с маркировкой) на DIN-рейку IEK E-PRO</t>
  </si>
  <si>
    <t>Хомут 2,5х100 черный UNIT (100/500)</t>
  </si>
  <si>
    <t>32101DEK</t>
  </si>
  <si>
    <t>32101 Изолятор шинный опорный ИО101-30 Кв8 Макс.роб.ток 380А Dekraft</t>
  </si>
  <si>
    <t>izolator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</si>
  <si>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</si>
  <si>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</si>
  <si>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</si>
  <si>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</si>
  <si>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</si>
  <si>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</si>
  <si>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</si>
  <si>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</si>
  <si>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</si>
  <si>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</si>
  <si>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</si>
  <si>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</si>
  <si>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bara</t>
  </si>
  <si>
    <t>130300321</t>
  </si>
  <si>
    <t>Шина медн.3х25х4000</t>
  </si>
  <si>
    <t>130300554</t>
  </si>
  <si>
    <t>Шина медн.4х30х4000</t>
  </si>
  <si>
    <t>130300323</t>
  </si>
  <si>
    <t>Шина медн.4х40х4000</t>
  </si>
  <si>
    <t>130300810</t>
  </si>
  <si>
    <t>Шина медн.5х40х4000</t>
  </si>
  <si>
    <t>130200208</t>
  </si>
  <si>
    <t>Шина медн.5х50х4000</t>
  </si>
  <si>
    <t>130300811</t>
  </si>
  <si>
    <t>Шина медн.6х60х4000</t>
  </si>
  <si>
    <t>130301396</t>
  </si>
  <si>
    <t>Шина медн.6х80х4000</t>
  </si>
  <si>
    <t>130200188</t>
  </si>
  <si>
    <t>Шина алюм АД31Т 3х20х4000</t>
  </si>
  <si>
    <t>130200143</t>
  </si>
  <si>
    <t>Шина алюм. АД31Т4х30х4000 (1пол/4м)</t>
  </si>
  <si>
    <t>130200153</t>
  </si>
  <si>
    <t>Шина алюм АД31Т 4х40х4000</t>
  </si>
  <si>
    <t>130200009</t>
  </si>
  <si>
    <t>Шина алюм АД31Т 5х40х4000</t>
  </si>
  <si>
    <t>130200058</t>
  </si>
  <si>
    <t>Шина алюм АД31Т 5х50х4000</t>
  </si>
  <si>
    <t>130200330</t>
  </si>
  <si>
    <t>Шина алюм АД31Т 6х60х4000</t>
  </si>
  <si>
    <t>130200069</t>
  </si>
  <si>
    <t>Шина алюм АД31Т 6х80х4000</t>
  </si>
  <si>
    <t>130200057</t>
  </si>
  <si>
    <t>Шина алюм АД31Т 8х80х4000!!!</t>
  </si>
  <si>
    <t>130200052</t>
  </si>
  <si>
    <t>Шина алюм АД31Т 10х100х4000</t>
  </si>
  <si>
    <t>TOPLAM</t>
  </si>
  <si>
    <t>KURALLAR — sarı hücreler elle değiştirilir; BOM, FIYAT ve TEKLIF buna göre hesaplanır</t>
  </si>
  <si>
    <t>PROJE / TEKLİF</t>
  </si>
  <si>
    <t>TEKLIF_NO</t>
  </si>
  <si>
    <t>№ КП</t>
  </si>
  <si>
    <t>TARIH</t>
  </si>
  <si>
    <t>Дата</t>
  </si>
  <si>
    <t>MUSTERI</t>
  </si>
  <si>
    <t>Заказчик</t>
  </si>
  <si>
    <t>Rahmi bey</t>
  </si>
  <si>
    <t>PROJE</t>
  </si>
  <si>
    <t>Объект</t>
  </si>
  <si>
    <t>ФОК Спортивный комплекс 01-2024-ЭОМ</t>
  </si>
  <si>
    <t>SEHIR</t>
  </si>
  <si>
    <t>Город</t>
  </si>
  <si>
    <t>Aktau</t>
  </si>
  <si>
    <t>FIRMA</t>
  </si>
  <si>
    <t>Поставщик</t>
  </si>
  <si>
    <t>YSF HICH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</si>
  <si>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</si>
  <si>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</si>
  <si>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</si>
  <si>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</si>
  <si>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</si>
  <si>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</si>
  <si>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</si>
  <si>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</si>
  <si>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</si>
  <si>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</si>
  <si>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</si>
  <si>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</si>
  <si>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</si>
  <si>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</si>
  <si>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</si>
  <si>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</si>
  <si>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</si>
  <si>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</si>
  <si>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(BOM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</si>
  <si>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</si>
  <si>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</si>
  <si>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</si>
  <si>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</si>
  <si>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</si>
  <si>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</si>
  <si>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</si>
  <si>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</si>
  <si>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</si>
  <si>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</si>
  <si>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</si>
  <si>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</si>
  <si>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</si>
  <si>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</si>
  <si>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</si>
  <si>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</si>
  <si>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</si>
  <si>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</si>
  <si>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</si>
  <si>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</si>
  <si>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</si>
  <si>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</si>
  <si>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</si>
  <si>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</si>
  <si>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</si>
  <si>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</si>
  <si>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</si>
  <si>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KOD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</si>
  <si>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</si>
  <si>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</si>
  <si>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</si>
  <si>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</si>
  <si>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</si>
  <si>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</si>
  <si>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</si>
  <si>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</si>
  <si>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</si>
  <si>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</si>
  <si>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</si>
  <si>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</si>
  <si>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</si>
  <si>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</si>
  <si>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</si>
  <si>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</si>
  <si>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</si>
  <si>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</si>
  <si>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</si>
  <si>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</si>
  <si>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</si>
  <si>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</si>
  <si>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İŞÇİLİK</t>
  </si>
  <si>
    <t>DK_UCRET</t>
  </si>
  <si>
    <t>KZT / dk</t>
  </si>
  <si>
    <t>ISCILIK_KAT</t>
  </si>
  <si>
    <t>norm çarpanı</t>
  </si>
  <si>
    <t>MONTAJ_MALZ_KAT</t>
  </si>
  <si>
    <t>монтажный материал satırı = işçilik tutarı ×</t>
  </si>
  <si>
    <t>TİP TABLOSU (BOM B / O değerleri) · norm kaynağı: 260901 Samgau 113 pano · tel boyları başlangıç değeri — KONTROL, ölçerek kalibre et</t>
  </si>
  <si>
    <t>TİP</t>
  </si>
  <si>
    <t>TEL/adet (boş=2×kutup+N)</t>
  </si>
  <si>
    <t>TEL m</t>
  </si>
  <si>
    <t>NORM dk/adet</t>
  </si>
  <si>
    <t>rubilnik</t>
  </si>
  <si>
    <t>GUC</t>
  </si>
  <si>
    <t>ppn</t>
  </si>
  <si>
    <t>ats</t>
  </si>
  <si>
    <t>motor</t>
  </si>
  <si>
    <t>shunt</t>
  </si>
  <si>
    <t>AKSESUAR</t>
  </si>
  <si>
    <t>rn</t>
  </si>
  <si>
    <t>fotorele</t>
  </si>
  <si>
    <t>uzo</t>
  </si>
  <si>
    <t>condencator</t>
  </si>
  <si>
    <t>krm</t>
  </si>
  <si>
    <t>timer</t>
  </si>
  <si>
    <t>indicator</t>
  </si>
  <si>
    <t>perekluchatel</t>
  </si>
  <si>
    <t>rozetka</t>
  </si>
  <si>
    <t>stable</t>
  </si>
  <si>
    <t>KORPUS_ORTA</t>
  </si>
  <si>
    <t>PARAMETRELER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</si>
  <si>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</si>
  <si>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</si>
  <si>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</si>
  <si>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</si>
  <si>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</si>
  <si>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</si>
  <si>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</si>
  <si>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</si>
  <si>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</si>
  <si>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</si>
  <si>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</si>
  <si>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YUKSUK_MAX_KESIT</t>
  </si>
  <si>
    <t>PABUC_MIN_KESIT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</si>
  <si>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</si>
  <si>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</si>
  <si>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</si>
  <si>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</si>
  <si>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</si>
  <si>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</si>
  <si>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</si>
  <si>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</si>
  <si>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</si>
  <si>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</si>
  <si>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</si>
  <si>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</si>
  <si>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</si>
  <si>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</si>
  <si>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</si>
  <si>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</si>
  <si>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KABLO KESİT TABLOSU (ПВ3, pano içi)</t>
  </si>
  <si>
    <t>IN alt sınır A</t>
  </si>
  <si>
    <t>KLEMENS TABLOSU</t>
  </si>
  <si>
    <t>bağlantı kesiti alt</t>
  </si>
  <si>
    <t>KLEMENS mm²</t>
  </si>
  <si>
    <t>genişlik mm</t>
  </si>
  <si>
    <t>N / PE BARASI (ШНИ, delik sayısına göre, küçükten büyüğe)</t>
  </si>
  <si>
    <t>ARTİKÜL</t>
  </si>
  <si>
    <t>DELİK</t>
  </si>
  <si>
    <t>BARA — BAKIR (akım küçükten büyüğe, ПУЭ 1.3.31)</t>
  </si>
  <si>
    <t>A</t>
  </si>
  <si>
    <t>BARA — ALÜMİNYUM</t>
  </si>
  <si>
    <t>PANO PARAMETRELERİ (her pano bir satır)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</si>
  <si>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</si>
  <si>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</si>
  <si>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</si>
  <si>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</si>
  <si>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</si>
  <si>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</si>
  <si>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</si>
  <si>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</si>
  <si>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</si>
  <si>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KAPI</t>
  </si>
  <si>
    <t>KLEMENS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</si>
  <si>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</si>
  <si>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</si>
  <si>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</si>
  <si>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</si>
  <si>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</si>
  <si>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</si>
  <si>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DİKİLİ</t>
  </si>
  <si>
    <t>31</t>
  </si>
  <si>
    <t>250+300+300+150+150</t>
  </si>
  <si>
    <t>CU</t>
  </si>
  <si>
    <t>DUVAR</t>
  </si>
  <si>
    <t>BUYUTULDU</t>
  </si>
  <si>
    <t>150+150+150</t>
  </si>
  <si>
    <t>SIVA ALTI</t>
  </si>
  <si>
    <t>150+150</t>
  </si>
  <si>
    <t>150</t>
  </si>
  <si>
    <t>54</t>
  </si>
  <si>
    <t>ROBOT</t>
  </si>
  <si>
    <t>200</t>
  </si>
  <si>
    <t>OTOMATİK KONTROL</t>
  </si>
  <si>
    <t>Markası KURALLAR'da olmayan kalem</t>
  </si>
  <si>
    <t>Fiyatı olmayan / yasak kalem</t>
  </si>
  <si>
    <t>Eski fiyat</t>
  </si>
  <si>
    <t>BOM artikülü FIYAT'ta yok</t>
  </si>
  <si>
    <t>Normu boş tip kullanımı</t>
  </si>
  <si>
    <t>Kur boş para birimi kullanımı</t>
  </si>
  <si>
    <t>Pano kontrolü OK olmayan</t>
  </si>
  <si>
    <t>KONTROL LİSTESİ (mühendis kararı gereken kalemler)</t>
  </si>
  <si>
    <t>KONU</t>
  </si>
  <si>
    <t>СО: ВА47-100 3Р 125А ×2; ОЛ: ВА88-32 125А 35кА ×2 — ОЛ uygulandı</t>
  </si>
  <si>
    <t>Projede КМИ-49512 (95 А); АВР kuralı gereği NXC-160 seçildi — kontaktör akımı teyit</t>
  </si>
  <si>
    <t>CHINT hazır 2NO yardımcı kontak yok — AX-3X/11 seçildi, teyit</t>
  </si>
  <si>
    <t>ОЛ Реле фаз ORF ×2 yerine F&amp;F AVR-01-K; 2 giriş modeli teyit</t>
  </si>
  <si>
    <t>ТТИ-А 125/5 listede yok — BH-0.66 150/5 (0.5-1) seçildi, oran ve sınıf teyit</t>
  </si>
  <si>
    <t>ЛПО 2001 8Вт listede yok — fiyat yok</t>
  </si>
  <si>
    <t>KAZTEK 2000x800x450+100 — montaj panelleri / uğolkler dahil mi teyit</t>
  </si>
  <si>
    <t>СО: 25А ×5, 40А ×2, 50А ×1; şema: 40×2, 50×1, 32×1, 25×2 — şema uygulandı</t>
  </si>
  <si>
    <t>ВА47-100 10 кА → NXB-63H (izin listesinde NXB-63S/NXB-63/NXB-125; 63 A altı 10 кА yalnız NXB-63H) — teyit</t>
  </si>
  <si>
    <t>СО'da giriş cihazı yok; şema ВН-32 63А uygulandı</t>
  </si>
  <si>
    <t>EOM-7 Электрозадвижка Я1 "от ЩС-1" — ЩС-1 şemasında çıkış yok; Я1 Я5141 ящик kapsam dışı</t>
  </si>
  <si>
    <t>СО: вводной ВА47-29 3Р 25А; şema: ВН-32 3П 63А — şema uygulandı; Н3 3П 10А СО'da yok</t>
  </si>
  <si>
    <t>АД12 3Р 40А 30мА → NXBLE-63 4P; СО'da "вводной" yazılı, şemada НТП1 çıkışı</t>
  </si>
  <si>
    <t>СО: 1Р 16А ×9; şema 16А ×7 + 10А ×2 — şema uygulandı</t>
  </si>
  <si>
    <t>ВА47-29В — eğri B okundu (СО'da eğri yok), teyit</t>
  </si>
  <si>
    <t>ЩРв-П-36 plastik; metal ЩРВ-36 seçildi</t>
  </si>
  <si>
    <t>Sayfa 8 (ЩО-1), 9 (ЩАО-1), 10 (EOM-15) metin katmanı yok — raster okundu</t>
  </si>
  <si>
    <t>ВА47-29В — eğri B okundu, teyit</t>
  </si>
  <si>
    <t>NXBLE-63 2P modül genişliği ayrıştırmadan (2) — üretici katalogu ile teyit; korpus kapasitesi buna bağlı</t>
  </si>
  <si>
    <t>EOM-15 "По месту" kutu ayrı pano olarak eklendi; QF In, FU1 vstavka, NXR ayar aralığı, IP ve korpus teyit</t>
  </si>
  <si>
    <t>Kanal 40х40 (kumanda/ölçü telleri); 35/50 mm² güç telleri kanal dışı. Modüler panolarda kanal yok</t>
  </si>
  <si>
    <t>Çıkış 5х50 kablo doğrudan NXB-125 / N-PE barasına — klemens yok</t>
  </si>
  <si>
    <t>NXB-125 kafes klemensi 25 mm²: НШВИ 25 listede yok — JG-25 bırakıldı, pin/НШВИ teyit</t>
  </si>
  <si>
    <t>NXHB-125 63A kafes klemensi 16 mm² → JG-16 yerine НШВИ 16 (ЩС-1, ЩС-2, ЩВ-1)</t>
  </si>
  <si>
    <t>NXHB-125 100A kafes klemensi 25 mm²: НШВИ 25 listede yok — JG-25 bırakıldı, teyit</t>
  </si>
  <si>
    <t>KURALLAR › TİP TABLOSU kalibrasyonu (260917 kullanıcı talebi): mccb 3 tel×0,5 m · contactor 3 tel×0,6 m · bh 3 tel×0,3 m · oto 0,1 m · dif 0,15 m (çıkış doğrudan saha kablosuna) · tt 0 tel (sekonder sayaç satırında) — atölye ölçümüyle teyit</t>
  </si>
  <si>
    <t>Modüler panolarda klemens yok (doğrudan cihaza bağlantı) — klemens isteniyorsa KURALLAR › PANO klemens EVET ve korpus kontrolü</t>
  </si>
  <si>
    <t>kontak / kilit / aksesuar tiplerinde işçilik normu boş (KURALLAR › TİP TABLOSU)</t>
  </si>
  <si>
    <t>ШУ-П1/П2, Я1, ПКП-1 komple/dış tedarik — kapsam dışı</t>
  </si>
  <si>
    <t>Proje yeri Елтай (Атырау обл.); kullanıcı: Aktau — şehir Aktau yazıldı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</si>
  <si>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</si>
  <si>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</si>
  <si>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</si>
  <si>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</si>
  <si>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</si>
  <si>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</si>
  <si>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</si>
  <si>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</si>
  <si>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</si>
  <si>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</si>
  <si>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</si>
  <si>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</si>
  <si>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</si>
  <si>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311100898_</t>
  </si>
  <si>
    <t>Устройство управления резервным питанием F&amp;F AVR-02-G NEW</t>
  </si>
  <si>
    <t xml:space="preserve">Испытательная клеммная коробка(колодка) для счетчиков электроэнергии </t>
  </si>
  <si>
    <t>719-15925</t>
  </si>
  <si>
    <t>Щит ЩРв-48з-3 620х310х120мм)</t>
  </si>
  <si>
    <t>515381</t>
  </si>
  <si>
    <t>Диф. авт. выкл. NXBLE-63YH 1P+N C16 30mA тип A, 6kA (R)</t>
  </si>
  <si>
    <t>539872</t>
  </si>
  <si>
    <t>Диф. авт. выкл. NXBLE-63YH 3P+N C40 30mA тип A, 6kA (R)</t>
  </si>
  <si>
    <t>malzeme tutari</t>
  </si>
  <si>
    <t>isclik tutari</t>
  </si>
  <si>
    <t>korpus kodu</t>
  </si>
  <si>
    <t>korpus adi</t>
  </si>
  <si>
    <t>iscilik adam/dk</t>
  </si>
  <si>
    <t>TEKLED electric</t>
  </si>
  <si>
    <t>ВРУ-1 (260917 fok atr)</t>
  </si>
  <si>
    <t>ЩР-1 (260917 fok atr)</t>
  </si>
  <si>
    <t>ЩС-1 (260917 fok atr)</t>
  </si>
  <si>
    <t>ЩС-2 (260917 fok atr)</t>
  </si>
  <si>
    <t>ЩВ-1 (260917 fok atr)</t>
  </si>
  <si>
    <t>ЩО-1 (260917 fok atr)</t>
  </si>
  <si>
    <t>ЩАО-1 (260917 fok atr)</t>
  </si>
  <si>
    <t>КТ-КМИ-22510 (отключение вентиляции ЩВ-1) (260917 fok atr)</t>
  </si>
  <si>
    <t>dk</t>
  </si>
  <si>
    <t>saat</t>
  </si>
  <si>
    <t>gun</t>
  </si>
  <si>
    <t>719-15410</t>
  </si>
  <si>
    <t>Мет.Корпус ЩМП-1 (395х310х150) УХЛ3 IP54</t>
  </si>
  <si>
    <t>711-03056</t>
  </si>
  <si>
    <t>Щит расп. x32, пластик., c/у, крышка черн., IP40, корп. черный,  серия NEXUS (TEKLED ELECTRIC)5</t>
  </si>
  <si>
    <t>711-03052</t>
  </si>
  <si>
    <t>Щит расп. x18, пластик., c/у, крышка черн., IP40, корп. черный,  серия NEXUS (TEKLED ELECTRIC)5</t>
  </si>
  <si>
    <t>719-15926</t>
  </si>
  <si>
    <t>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</si>
</sst>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\-??_-;_-@_-"/>
    <numFmt numFmtId="165" formatCode="dd\.mm\.yyyy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1" fillId="3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1" fillId="4" borderId="1" xfId="0" applyFont="1" applyFill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2" borderId="1" xfId="0" applyNumberFormat="1" applyFill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0" xfId="0" applyNumberFormat="1"/>
    <xf numFmtId="0" fontId="1" fillId="0" borderId="2" xfId="0" applyFont="1" applyBorder="1"/>
    <xf numFmtId="3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"/>
  <sheetViews>
    <sheetView zoomScaleNormal="100" workbookViewId="0">
      <pane ySplit="1" topLeftCell="A2" activePane="bottomLeft" state="frozen"/>
      <selection pane="bottomLeft" activeCell="D172" sqref="D172"/>
    </sheetView>
  </sheetViews>
  <sheetFormatPr defaultColWidth="8.7109375" defaultRowHeight="15" outlineLevelCol="1" x14ac:dyDescent="0.25"/>
  <cols>
    <col min="1" max="1" width="13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customWidth="1" outlineLevel="1"/>
    <col min="17" max="17" width="90.7109375" customWidth="1"/>
  </cols>
  <sheetData>
    <row r="1" spans="1:17" s="30" customFormat="1" ht="29.2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</row>
    <row r="2" spans="1:17" ht="15" customHeight="1" x14ac:dyDescent="0.25">
      <c r="A2" s="1" t="str">
        <f>D2</f>
        <v>ВРУ-1 (260917 fok atr)</v>
      </c>
      <c r="B2" s="2"/>
      <c r="C2" s="2"/>
      <c r="D2" s="1" t="s">
        <v>643</v>
      </c>
      <c r="E2" s="2"/>
      <c r="F2" s="2"/>
      <c r="G2" s="2"/>
      <c r="H2" s="1">
        <v>1</v>
      </c>
      <c r="I2" s="1" t="s">
        <v>17</v>
      </c>
      <c r="J2" s="1" t="s">
        <v>642</v>
      </c>
      <c r="K2" s="1" t="s">
        <v>18</v>
      </c>
      <c r="M2" s="3">
        <f>H2</f>
        <v>1</v>
      </c>
    </row>
    <row r="3" spans="1:17" ht="15" customHeight="1" x14ac:dyDescent="0.25">
      <c r="A3" s="4" t="str">
        <f t="shared" ref="A3:A37" si="0">A2</f>
        <v>ВРУ-1 (260917 fok atr)</v>
      </c>
      <c r="B3" s="4" t="s">
        <v>19</v>
      </c>
      <c r="C3" s="4" t="s">
        <v>20</v>
      </c>
      <c r="D3" s="4" t="s">
        <v>262</v>
      </c>
      <c r="E3" s="5">
        <f t="shared" ref="E3:E34" si="1">IF(ISNA(MATCH($C3,FA,0)),"",IF(INDEX(FIYAT_LISTE,MATCH($C3,FA,0))="","",INDEX(FIYAT_LISTE,MATCH($C3,FA,0))))</f>
        <v>172785</v>
      </c>
      <c r="F3" s="5">
        <f t="shared" ref="F3:F34" si="2">IF(ISNA(MATCH($C3,FA,0)),"",IF(INDEX(FIYAT_NET,MATCH($C3,FA,0))="","",INDEX(FIYAT_NET,MATCH($C3,FA,0))))</f>
        <v>103671</v>
      </c>
      <c r="G3" s="5">
        <f t="shared" ref="G3:G34" si="3">IF(OR(F3="",H3=""),"",H3*F3)</f>
        <v>103671</v>
      </c>
      <c r="H3" s="4">
        <v>1</v>
      </c>
      <c r="I3" s="4" t="str">
        <f t="shared" ref="I3:I34" si="4">IF(ISNA(MATCH($C3,FA,0)),"",IF(INDEX(FIYAT_BIRIM,MATCH($C3,FA,0))="","",INDEX(FIYAT_BIRIM,MATCH($C3,FA,0))))</f>
        <v>шт</v>
      </c>
      <c r="J3" s="4" t="s">
        <v>427</v>
      </c>
      <c r="K3" s="4" t="str">
        <f t="shared" ref="K3:K37" si="5">K2</f>
        <v>260917</v>
      </c>
      <c r="L3" s="6">
        <f t="shared" ref="L3:L36" si="6">G3</f>
        <v>103671</v>
      </c>
      <c r="M3" s="7">
        <f t="shared" ref="M3:M37" si="7">M2</f>
        <v>1</v>
      </c>
      <c r="N3" s="7" t="s">
        <v>21</v>
      </c>
      <c r="O3" s="7" t="s">
        <v>22</v>
      </c>
      <c r="P3" s="8" t="str">
        <f t="shared" ref="P3:P34" si="8">IF(ISNA(MATCH($C3,FA,0)),"ARTİKÜL YOK",INDEX(FIYAT_DURUM,MATCH($C3,FA,0)))</f>
        <v>OK</v>
      </c>
      <c r="Q3" s="8" t="s">
        <v>23</v>
      </c>
    </row>
    <row r="4" spans="1:17" ht="15" customHeight="1" x14ac:dyDescent="0.25">
      <c r="A4" s="4" t="str">
        <f t="shared" si="0"/>
        <v>ВРУ-1 (260917 fok atr)</v>
      </c>
      <c r="B4" s="4" t="s">
        <v>24</v>
      </c>
      <c r="C4" s="4" t="s">
        <v>25</v>
      </c>
      <c r="D4" s="4" t="str">
        <f t="shared" ref="D4:D34" si="9">IF(ISNA(MATCH($C4,FA,0)),"ARTİKÜL FIYAT SAYFASINDA YOK",INDEX(FIYAT_AD,MATCH($C4,FA,0)))</f>
        <v>Авт. выкл. NXM-160S/3Р 125A 36кА (R)</v>
      </c>
      <c r="E4" s="5">
        <f t="shared" si="1"/>
        <v>27656</v>
      </c>
      <c r="F4" s="5">
        <f t="shared" si="2"/>
        <v>16593.599999999999</v>
      </c>
      <c r="G4" s="5">
        <f t="shared" si="3"/>
        <v>33187.199999999997</v>
      </c>
      <c r="H4" s="4">
        <v>2</v>
      </c>
      <c r="I4" s="4" t="str">
        <f t="shared" si="4"/>
        <v>шт</v>
      </c>
      <c r="J4" s="4" t="str">
        <f t="shared" ref="J4:J34" si="10">IF(ISNA(MATCH($C4,FA,0)),"",IF(INDEX(FIYAT_MARKA,MATCH($C4,FA,0))="","",INDEX(FIYAT_MARKA,MATCH($C4,FA,0))))</f>
        <v>chint</v>
      </c>
      <c r="K4" s="4" t="str">
        <f t="shared" si="5"/>
        <v>260917</v>
      </c>
      <c r="L4" s="6">
        <f t="shared" si="6"/>
        <v>33187.199999999997</v>
      </c>
      <c r="M4" s="7">
        <f t="shared" si="7"/>
        <v>1</v>
      </c>
      <c r="N4" s="7" t="s">
        <v>26</v>
      </c>
      <c r="O4" s="7" t="s">
        <v>24</v>
      </c>
      <c r="P4" s="8" t="str">
        <f t="shared" si="8"/>
        <v>OK</v>
      </c>
      <c r="Q4" s="8" t="s">
        <v>27</v>
      </c>
    </row>
    <row r="5" spans="1:17" ht="15" customHeight="1" x14ac:dyDescent="0.25">
      <c r="A5" s="4" t="str">
        <f t="shared" si="0"/>
        <v>ВРУ-1 (260917 fok atr)</v>
      </c>
      <c r="B5" s="4" t="s">
        <v>28</v>
      </c>
      <c r="C5" s="4" t="s">
        <v>29</v>
      </c>
      <c r="D5" s="4" t="str">
        <f t="shared" si="9"/>
        <v>Механическая блокировка MI-9 для NXC-120-225 (R)</v>
      </c>
      <c r="E5" s="5">
        <f t="shared" si="1"/>
        <v>3506</v>
      </c>
      <c r="F5" s="5">
        <f t="shared" si="2"/>
        <v>2103.6</v>
      </c>
      <c r="G5" s="5">
        <f t="shared" si="3"/>
        <v>2103.6</v>
      </c>
      <c r="H5" s="4">
        <v>1</v>
      </c>
      <c r="I5" s="4" t="str">
        <f t="shared" si="4"/>
        <v>шт</v>
      </c>
      <c r="J5" s="4" t="str">
        <f t="shared" si="10"/>
        <v>chint</v>
      </c>
      <c r="K5" s="4" t="str">
        <f t="shared" si="5"/>
        <v>260917</v>
      </c>
      <c r="L5" s="6">
        <f t="shared" si="6"/>
        <v>2103.6</v>
      </c>
      <c r="M5" s="7">
        <f t="shared" si="7"/>
        <v>1</v>
      </c>
      <c r="N5" s="7" t="s">
        <v>30</v>
      </c>
      <c r="O5" s="7" t="s">
        <v>28</v>
      </c>
      <c r="P5" s="8" t="str">
        <f t="shared" si="8"/>
        <v>OK</v>
      </c>
      <c r="Q5" s="8" t="s">
        <v>31</v>
      </c>
    </row>
    <row r="6" spans="1:17" ht="15" customHeight="1" x14ac:dyDescent="0.25">
      <c r="A6" s="4" t="str">
        <f t="shared" si="0"/>
        <v>ВРУ-1 (260917 fok atr)</v>
      </c>
      <c r="B6" s="4" t="s">
        <v>32</v>
      </c>
      <c r="C6" s="4" t="s">
        <v>33</v>
      </c>
      <c r="D6" s="4" t="str">
        <f t="shared" si="9"/>
        <v>Счет.элек Меркурий 3ф 5 (7,5)A 230 ART-03 PQRSIDN многотариф/трансф</v>
      </c>
      <c r="E6" s="5">
        <f t="shared" si="1"/>
        <v>105000</v>
      </c>
      <c r="F6" s="5">
        <f t="shared" si="2"/>
        <v>105000</v>
      </c>
      <c r="G6" s="5">
        <f t="shared" si="3"/>
        <v>105000</v>
      </c>
      <c r="H6" s="4">
        <v>1</v>
      </c>
      <c r="I6" s="4" t="str">
        <f t="shared" si="4"/>
        <v>шт</v>
      </c>
      <c r="J6" s="4" t="s">
        <v>427</v>
      </c>
      <c r="K6" s="4" t="str">
        <f t="shared" si="5"/>
        <v>260917</v>
      </c>
      <c r="L6" s="6">
        <f t="shared" si="6"/>
        <v>105000</v>
      </c>
      <c r="M6" s="7">
        <f t="shared" si="7"/>
        <v>1</v>
      </c>
      <c r="N6" s="7" t="s">
        <v>34</v>
      </c>
      <c r="O6" s="7" t="s">
        <v>32</v>
      </c>
      <c r="P6" s="8" t="str">
        <f t="shared" si="8"/>
        <v>OK</v>
      </c>
      <c r="Q6" s="8" t="s">
        <v>35</v>
      </c>
    </row>
    <row r="7" spans="1:17" ht="15" customHeight="1" x14ac:dyDescent="0.25">
      <c r="A7" s="4" t="str">
        <f t="shared" si="0"/>
        <v>ВРУ-1 (260917 fok atr)</v>
      </c>
      <c r="B7" s="4" t="s">
        <v>36</v>
      </c>
      <c r="C7" s="4" t="s">
        <v>37</v>
      </c>
      <c r="D7" s="4" t="str">
        <f t="shared" si="9"/>
        <v>Трансформатор тока BH-0.66 30 | B 150/5A класс точности 0.5-1 ®</v>
      </c>
      <c r="E7" s="5">
        <f t="shared" si="1"/>
        <v>5682</v>
      </c>
      <c r="F7" s="5">
        <f t="shared" si="2"/>
        <v>3409.2</v>
      </c>
      <c r="G7" s="5">
        <f t="shared" si="3"/>
        <v>10227.599999999999</v>
      </c>
      <c r="H7" s="4">
        <v>3</v>
      </c>
      <c r="I7" s="4" t="str">
        <f t="shared" si="4"/>
        <v>шт</v>
      </c>
      <c r="J7" s="4" t="str">
        <f t="shared" si="10"/>
        <v>chint</v>
      </c>
      <c r="K7" s="4" t="str">
        <f t="shared" si="5"/>
        <v>260917</v>
      </c>
      <c r="L7" s="6">
        <f t="shared" si="6"/>
        <v>10227.599999999999</v>
      </c>
      <c r="M7" s="7">
        <f t="shared" si="7"/>
        <v>1</v>
      </c>
      <c r="N7" s="7" t="s">
        <v>34</v>
      </c>
      <c r="O7" s="7" t="s">
        <v>36</v>
      </c>
      <c r="P7" s="8" t="str">
        <f t="shared" si="8"/>
        <v>OK</v>
      </c>
      <c r="Q7" s="8" t="s">
        <v>38</v>
      </c>
    </row>
    <row r="8" spans="1:17" ht="15" customHeight="1" x14ac:dyDescent="0.25">
      <c r="A8" s="4" t="str">
        <f t="shared" si="0"/>
        <v>ВРУ-1 (260917 fok atr)</v>
      </c>
      <c r="B8" s="4" t="s">
        <v>39</v>
      </c>
      <c r="C8" s="4" t="s">
        <v>40</v>
      </c>
      <c r="D8" s="4" t="str">
        <f t="shared" si="9"/>
        <v>Авт. выкл. NXB-125 3P 100A 10кА х-ка C (R)</v>
      </c>
      <c r="E8" s="5">
        <f t="shared" si="1"/>
        <v>11015</v>
      </c>
      <c r="F8" s="5">
        <f t="shared" si="2"/>
        <v>6609</v>
      </c>
      <c r="G8" s="5">
        <f t="shared" si="3"/>
        <v>6609</v>
      </c>
      <c r="H8" s="4">
        <v>1</v>
      </c>
      <c r="I8" s="4" t="str">
        <f t="shared" si="4"/>
        <v>шт</v>
      </c>
      <c r="J8" s="4" t="str">
        <f t="shared" si="10"/>
        <v>chint</v>
      </c>
      <c r="K8" s="4" t="str">
        <f t="shared" si="5"/>
        <v>260917</v>
      </c>
      <c r="L8" s="6">
        <f t="shared" si="6"/>
        <v>6609</v>
      </c>
      <c r="M8" s="7">
        <f t="shared" si="7"/>
        <v>1</v>
      </c>
      <c r="N8" s="7" t="s">
        <v>41</v>
      </c>
      <c r="O8" s="7" t="s">
        <v>39</v>
      </c>
      <c r="P8" s="8" t="str">
        <f t="shared" si="8"/>
        <v>OK</v>
      </c>
      <c r="Q8" s="8" t="s">
        <v>42</v>
      </c>
    </row>
    <row r="9" spans="1:17" ht="15" customHeight="1" x14ac:dyDescent="0.25">
      <c r="A9" s="4" t="str">
        <f t="shared" si="0"/>
        <v>ВРУ-1 (260917 fok atr)</v>
      </c>
      <c r="B9" s="4" t="s">
        <v>39</v>
      </c>
      <c r="C9" s="4" t="s">
        <v>43</v>
      </c>
      <c r="D9" s="4" t="str">
        <f t="shared" si="9"/>
        <v>Авт. выкл. NXB-63S 3P 6А 4.5kA х-ка C (R)</v>
      </c>
      <c r="E9" s="5">
        <f t="shared" si="1"/>
        <v>2873</v>
      </c>
      <c r="F9" s="5">
        <f t="shared" si="2"/>
        <v>1723.8</v>
      </c>
      <c r="G9" s="5">
        <f t="shared" si="3"/>
        <v>3447.6</v>
      </c>
      <c r="H9" s="4">
        <v>2</v>
      </c>
      <c r="I9" s="4" t="str">
        <f t="shared" si="4"/>
        <v>шт</v>
      </c>
      <c r="J9" s="4" t="str">
        <f t="shared" si="10"/>
        <v>chint</v>
      </c>
      <c r="K9" s="4" t="str">
        <f t="shared" si="5"/>
        <v>260917</v>
      </c>
      <c r="L9" s="6">
        <f t="shared" si="6"/>
        <v>3447.6</v>
      </c>
      <c r="M9" s="7">
        <f t="shared" si="7"/>
        <v>1</v>
      </c>
      <c r="N9" s="7" t="s">
        <v>30</v>
      </c>
      <c r="O9" s="7" t="s">
        <v>39</v>
      </c>
      <c r="P9" s="8" t="str">
        <f t="shared" si="8"/>
        <v>OK</v>
      </c>
      <c r="Q9" s="8" t="s">
        <v>44</v>
      </c>
    </row>
    <row r="10" spans="1:17" ht="15" customHeight="1" x14ac:dyDescent="0.25">
      <c r="A10" s="4" t="str">
        <f t="shared" si="0"/>
        <v>ВРУ-1 (260917 fok atr)</v>
      </c>
      <c r="B10" s="4" t="s">
        <v>39</v>
      </c>
      <c r="C10" s="4" t="s">
        <v>45</v>
      </c>
      <c r="D10" s="4" t="str">
        <f t="shared" si="9"/>
        <v>Авт. выкл. NXB-63S 1P 6А 4.5kA х-ка C (R)</v>
      </c>
      <c r="E10" s="5">
        <f t="shared" si="1"/>
        <v>975</v>
      </c>
      <c r="F10" s="5">
        <f t="shared" si="2"/>
        <v>585</v>
      </c>
      <c r="G10" s="5">
        <f t="shared" si="3"/>
        <v>1170</v>
      </c>
      <c r="H10" s="4">
        <v>2</v>
      </c>
      <c r="I10" s="4" t="str">
        <f t="shared" si="4"/>
        <v>шт</v>
      </c>
      <c r="J10" s="4" t="str">
        <f t="shared" si="10"/>
        <v>chint</v>
      </c>
      <c r="K10" s="4" t="str">
        <f t="shared" si="5"/>
        <v>260917</v>
      </c>
      <c r="L10" s="6">
        <f t="shared" si="6"/>
        <v>1170</v>
      </c>
      <c r="M10" s="7">
        <f t="shared" si="7"/>
        <v>1</v>
      </c>
      <c r="N10" s="7" t="s">
        <v>30</v>
      </c>
      <c r="O10" s="7" t="s">
        <v>39</v>
      </c>
      <c r="P10" s="8" t="str">
        <f t="shared" si="8"/>
        <v>OK</v>
      </c>
      <c r="Q10" s="8" t="s">
        <v>46</v>
      </c>
    </row>
    <row r="11" spans="1:17" ht="15" customHeight="1" x14ac:dyDescent="0.25">
      <c r="A11" s="4" t="str">
        <f t="shared" si="0"/>
        <v>ВРУ-1 (260917 fok atr)</v>
      </c>
      <c r="B11" s="4" t="s">
        <v>47</v>
      </c>
      <c r="C11" s="4" t="s">
        <v>48</v>
      </c>
      <c r="D11" s="4" t="str">
        <f t="shared" si="9"/>
        <v>Контактор NXC-160 160A 220В/АС3 2НО+2НЗ 50Гц (R)</v>
      </c>
      <c r="E11" s="5">
        <f t="shared" si="1"/>
        <v>100471</v>
      </c>
      <c r="F11" s="5">
        <f t="shared" si="2"/>
        <v>60282.6</v>
      </c>
      <c r="G11" s="5">
        <f t="shared" si="3"/>
        <v>120565.2</v>
      </c>
      <c r="H11" s="4">
        <v>2</v>
      </c>
      <c r="I11" s="4" t="str">
        <f t="shared" si="4"/>
        <v>шт</v>
      </c>
      <c r="J11" s="4" t="str">
        <f t="shared" si="10"/>
        <v>chint</v>
      </c>
      <c r="K11" s="4" t="str">
        <f t="shared" si="5"/>
        <v>260917</v>
      </c>
      <c r="L11" s="6">
        <f t="shared" si="6"/>
        <v>120565.2</v>
      </c>
      <c r="M11" s="7">
        <f t="shared" si="7"/>
        <v>1</v>
      </c>
      <c r="N11" s="7" t="s">
        <v>26</v>
      </c>
      <c r="O11" s="7" t="s">
        <v>47</v>
      </c>
      <c r="P11" s="8" t="str">
        <f t="shared" si="8"/>
        <v>OK</v>
      </c>
      <c r="Q11" s="8" t="s">
        <v>49</v>
      </c>
    </row>
    <row r="12" spans="1:17" ht="15" customHeight="1" x14ac:dyDescent="0.25">
      <c r="A12" s="4" t="str">
        <f t="shared" si="0"/>
        <v>ВРУ-1 (260917 fok atr)</v>
      </c>
      <c r="B12" s="4" t="s">
        <v>50</v>
      </c>
      <c r="C12" s="4" t="s">
        <v>51</v>
      </c>
      <c r="D12" s="4" t="str">
        <f t="shared" si="9"/>
        <v>Приставка доп.контакты AX-3X/11 к контактору NXC-06~630 (R)</v>
      </c>
      <c r="E12" s="5">
        <f t="shared" si="1"/>
        <v>1306</v>
      </c>
      <c r="F12" s="5">
        <f t="shared" si="2"/>
        <v>783.6</v>
      </c>
      <c r="G12" s="5">
        <f t="shared" si="3"/>
        <v>1567.2</v>
      </c>
      <c r="H12" s="4">
        <v>2</v>
      </c>
      <c r="I12" s="4" t="str">
        <f t="shared" si="4"/>
        <v>шт</v>
      </c>
      <c r="J12" s="4" t="str">
        <f t="shared" si="10"/>
        <v>chint</v>
      </c>
      <c r="K12" s="4" t="str">
        <f t="shared" si="5"/>
        <v>260917</v>
      </c>
      <c r="L12" s="6">
        <f t="shared" si="6"/>
        <v>1567.2</v>
      </c>
      <c r="M12" s="7">
        <f t="shared" si="7"/>
        <v>1</v>
      </c>
      <c r="N12" s="7" t="s">
        <v>30</v>
      </c>
      <c r="O12" s="7" t="s">
        <v>50</v>
      </c>
      <c r="P12" s="8" t="str">
        <f t="shared" si="8"/>
        <v>OK</v>
      </c>
      <c r="Q12" s="8" t="s">
        <v>52</v>
      </c>
    </row>
    <row r="13" spans="1:17" ht="15" customHeight="1" x14ac:dyDescent="0.25">
      <c r="A13" s="4" t="str">
        <f t="shared" si="0"/>
        <v>ВРУ-1 (260917 fok atr)</v>
      </c>
      <c r="B13" s="4" t="s">
        <v>53</v>
      </c>
      <c r="C13" s="4" t="s">
        <v>54</v>
      </c>
      <c r="D13" s="4" t="str">
        <f t="shared" si="9"/>
        <v xml:space="preserve">Испытательная клеммная коробка(колодка) для счетчиков электроэнергии </v>
      </c>
      <c r="E13" s="5">
        <f t="shared" si="1"/>
        <v>5999</v>
      </c>
      <c r="F13" s="5">
        <f t="shared" si="2"/>
        <v>5999</v>
      </c>
      <c r="G13" s="5">
        <f t="shared" si="3"/>
        <v>5999</v>
      </c>
      <c r="H13" s="4">
        <v>1</v>
      </c>
      <c r="I13" s="4" t="str">
        <f t="shared" si="4"/>
        <v>шт</v>
      </c>
      <c r="J13" s="4" t="str">
        <f t="shared" si="10"/>
        <v>ekt</v>
      </c>
      <c r="K13" s="4" t="str">
        <f t="shared" si="5"/>
        <v>260917</v>
      </c>
      <c r="L13" s="6">
        <f t="shared" si="6"/>
        <v>5999</v>
      </c>
      <c r="M13" s="7">
        <f t="shared" si="7"/>
        <v>1</v>
      </c>
      <c r="N13" s="7" t="s">
        <v>34</v>
      </c>
      <c r="O13" s="7" t="s">
        <v>53</v>
      </c>
      <c r="P13" s="8" t="str">
        <f t="shared" si="8"/>
        <v>ESKİ</v>
      </c>
      <c r="Q13" s="8" t="s">
        <v>55</v>
      </c>
    </row>
    <row r="14" spans="1:17" ht="15" customHeight="1" x14ac:dyDescent="0.25">
      <c r="A14" s="4" t="str">
        <f t="shared" si="0"/>
        <v>ВРУ-1 (260917 fok atr)</v>
      </c>
      <c r="B14" s="4" t="s">
        <v>56</v>
      </c>
      <c r="C14" s="4" t="s">
        <v>57</v>
      </c>
      <c r="D14" s="13" t="s">
        <v>629</v>
      </c>
      <c r="E14" s="5">
        <v>59554</v>
      </c>
      <c r="F14" s="5">
        <f>E14</f>
        <v>59554</v>
      </c>
      <c r="G14" s="5">
        <f t="shared" si="3"/>
        <v>59554</v>
      </c>
      <c r="H14" s="4">
        <v>1</v>
      </c>
      <c r="I14" s="4" t="str">
        <f t="shared" si="4"/>
        <v/>
      </c>
      <c r="J14" s="4" t="s">
        <v>266</v>
      </c>
      <c r="K14" s="4" t="str">
        <f t="shared" si="5"/>
        <v>260917</v>
      </c>
      <c r="L14" s="6">
        <f t="shared" si="6"/>
        <v>59554</v>
      </c>
      <c r="M14" s="7">
        <f t="shared" si="7"/>
        <v>1</v>
      </c>
      <c r="N14" s="7" t="s">
        <v>30</v>
      </c>
      <c r="O14" s="7" t="s">
        <v>56</v>
      </c>
      <c r="P14" s="8" t="str">
        <f t="shared" si="8"/>
        <v>ARTİKÜL YOK</v>
      </c>
      <c r="Q14" s="8" t="s">
        <v>58</v>
      </c>
    </row>
    <row r="15" spans="1:17" ht="15" customHeight="1" x14ac:dyDescent="0.25">
      <c r="A15" s="4" t="str">
        <f t="shared" si="0"/>
        <v>ВРУ-1 (260917 fok atr)</v>
      </c>
      <c r="B15" s="4" t="s">
        <v>59</v>
      </c>
      <c r="C15" s="4" t="s">
        <v>60</v>
      </c>
      <c r="D15" s="4" t="str">
        <f t="shared" si="9"/>
        <v>Индикатор ND16-22D/2 желтый AC/DC230В (R)</v>
      </c>
      <c r="E15" s="5">
        <f t="shared" si="1"/>
        <v>571</v>
      </c>
      <c r="F15" s="5">
        <f t="shared" si="2"/>
        <v>342.59999999999997</v>
      </c>
      <c r="G15" s="5">
        <f t="shared" si="3"/>
        <v>685.19999999999993</v>
      </c>
      <c r="H15" s="4">
        <v>2</v>
      </c>
      <c r="I15" s="4" t="str">
        <f t="shared" si="4"/>
        <v>шт</v>
      </c>
      <c r="J15" s="4" t="str">
        <f t="shared" si="10"/>
        <v>chint</v>
      </c>
      <c r="K15" s="4" t="str">
        <f t="shared" si="5"/>
        <v>260917</v>
      </c>
      <c r="L15" s="6">
        <f t="shared" si="6"/>
        <v>685.19999999999993</v>
      </c>
      <c r="M15" s="7">
        <f t="shared" si="7"/>
        <v>1</v>
      </c>
      <c r="N15" s="7" t="s">
        <v>30</v>
      </c>
      <c r="O15" s="7" t="s">
        <v>59</v>
      </c>
      <c r="P15" s="8" t="str">
        <f t="shared" si="8"/>
        <v>OK</v>
      </c>
      <c r="Q15" s="8" t="s">
        <v>61</v>
      </c>
    </row>
    <row r="16" spans="1:17" ht="15" customHeight="1" x14ac:dyDescent="0.25">
      <c r="A16" s="4" t="str">
        <f t="shared" si="0"/>
        <v>ВРУ-1 (260917 fok atr)</v>
      </c>
      <c r="B16" s="4" t="s">
        <v>59</v>
      </c>
      <c r="C16" s="4" t="s">
        <v>62</v>
      </c>
      <c r="D16" s="4" t="str">
        <f t="shared" si="9"/>
        <v>Индикатор ND16-22D/2 зеленый AC/DC230В (R)</v>
      </c>
      <c r="E16" s="5">
        <f t="shared" si="1"/>
        <v>589</v>
      </c>
      <c r="F16" s="5">
        <f t="shared" si="2"/>
        <v>353.4</v>
      </c>
      <c r="G16" s="5">
        <f t="shared" si="3"/>
        <v>706.8</v>
      </c>
      <c r="H16" s="4">
        <v>2</v>
      </c>
      <c r="I16" s="4" t="str">
        <f t="shared" si="4"/>
        <v>шт</v>
      </c>
      <c r="J16" s="4" t="str">
        <f t="shared" si="10"/>
        <v>chint</v>
      </c>
      <c r="K16" s="4" t="str">
        <f t="shared" si="5"/>
        <v>260917</v>
      </c>
      <c r="L16" s="6">
        <f t="shared" si="6"/>
        <v>706.8</v>
      </c>
      <c r="M16" s="7">
        <f t="shared" si="7"/>
        <v>1</v>
      </c>
      <c r="N16" s="7" t="s">
        <v>30</v>
      </c>
      <c r="O16" s="7" t="s">
        <v>59</v>
      </c>
      <c r="P16" s="8" t="str">
        <f t="shared" si="8"/>
        <v>OK</v>
      </c>
      <c r="Q16" s="8" t="s">
        <v>63</v>
      </c>
    </row>
    <row r="17" spans="1:17" ht="15" customHeight="1" x14ac:dyDescent="0.25">
      <c r="A17" s="4" t="str">
        <f t="shared" si="0"/>
        <v>ВРУ-1 (260917 fok atr)</v>
      </c>
      <c r="B17" s="4" t="s">
        <v>59</v>
      </c>
      <c r="C17" s="4" t="s">
        <v>64</v>
      </c>
      <c r="D17" s="4" t="str">
        <f t="shared" si="9"/>
        <v>Индикатор ND16-22D/2 красный AC/DC230В (R)</v>
      </c>
      <c r="E17" s="5">
        <f t="shared" si="1"/>
        <v>571</v>
      </c>
      <c r="F17" s="5">
        <f t="shared" si="2"/>
        <v>342.59999999999997</v>
      </c>
      <c r="G17" s="5">
        <f t="shared" si="3"/>
        <v>685.19999999999993</v>
      </c>
      <c r="H17" s="4">
        <v>2</v>
      </c>
      <c r="I17" s="4" t="str">
        <f t="shared" si="4"/>
        <v>шт</v>
      </c>
      <c r="J17" s="4" t="str">
        <f t="shared" si="10"/>
        <v>chint</v>
      </c>
      <c r="K17" s="4" t="str">
        <f t="shared" si="5"/>
        <v>260917</v>
      </c>
      <c r="L17" s="6">
        <f t="shared" si="6"/>
        <v>685.19999999999993</v>
      </c>
      <c r="M17" s="7">
        <f t="shared" si="7"/>
        <v>1</v>
      </c>
      <c r="N17" s="7" t="s">
        <v>30</v>
      </c>
      <c r="O17" s="7" t="s">
        <v>59</v>
      </c>
      <c r="P17" s="8" t="str">
        <f t="shared" si="8"/>
        <v>OK</v>
      </c>
      <c r="Q17" s="8" t="s">
        <v>65</v>
      </c>
    </row>
    <row r="18" spans="1:17" ht="15" customHeight="1" x14ac:dyDescent="0.25">
      <c r="A18" s="4" t="str">
        <f t="shared" si="0"/>
        <v>ВРУ-1 (260917 fok atr)</v>
      </c>
      <c r="B18" s="4" t="s">
        <v>59</v>
      </c>
      <c r="C18" s="4" t="s">
        <v>66</v>
      </c>
      <c r="D18" s="4" t="str">
        <f t="shared" si="9"/>
        <v>Светильник ЛПО 2001 8Вт IEK</v>
      </c>
      <c r="E18" s="5">
        <v>1000</v>
      </c>
      <c r="F18" s="5">
        <f>E18</f>
        <v>1000</v>
      </c>
      <c r="G18" s="5">
        <f t="shared" si="3"/>
        <v>1000</v>
      </c>
      <c r="H18" s="4">
        <v>1</v>
      </c>
      <c r="I18" s="4" t="str">
        <f t="shared" si="4"/>
        <v>шт</v>
      </c>
      <c r="J18" s="4" t="str">
        <f t="shared" si="10"/>
        <v>pys</v>
      </c>
      <c r="K18" s="4" t="str">
        <f t="shared" si="5"/>
        <v>260917</v>
      </c>
      <c r="L18" s="6">
        <f t="shared" si="6"/>
        <v>1000</v>
      </c>
      <c r="M18" s="7">
        <f t="shared" si="7"/>
        <v>1</v>
      </c>
      <c r="N18" s="7" t="s">
        <v>30</v>
      </c>
      <c r="O18" s="7" t="s">
        <v>59</v>
      </c>
      <c r="P18" s="8" t="str">
        <f t="shared" si="8"/>
        <v>FİYAT YOK</v>
      </c>
      <c r="Q18" s="8" t="s">
        <v>67</v>
      </c>
    </row>
    <row r="19" spans="1:17" ht="15" customHeight="1" x14ac:dyDescent="0.25">
      <c r="A19" s="4" t="str">
        <f t="shared" si="0"/>
        <v>ВРУ-1 (260917 fok atr)</v>
      </c>
      <c r="B19" s="4" t="s">
        <v>68</v>
      </c>
      <c r="C19" s="4" t="str">
        <f>IF((SUMIFS($H$3:$H$18,$N$3:$N$18,"CIKIS")+SUMIFS($H$3:$H$18,$N$3:$N$18,"KUMANDA")+1)&gt;MAX(SNI_DELIK),INDEX(SNI_KOD,ROWS(SNI_KOD)),INDEX(SNI_KOD,COUNTIF(SNI_DELIK,"&lt;"&amp;(SUMIFS($H$3:$H$18,$N$3:$N$18,"CIKIS")+SUMIFS($H$3:$H$18,$N$3:$N$18,"KUMANDA")+1))+1))</f>
        <v>130200363</v>
      </c>
      <c r="D19" s="4" t="str">
        <f t="shared" si="9"/>
        <v>Шина "N" нулевая 8х12мм комб с изол "Стойка" ШНИ 14-КС-С UNIT (20/200)</v>
      </c>
      <c r="E19" s="5">
        <f t="shared" si="1"/>
        <v>1049</v>
      </c>
      <c r="F19" s="5">
        <f t="shared" si="2"/>
        <v>1049</v>
      </c>
      <c r="G19" s="5">
        <f t="shared" si="3"/>
        <v>2098</v>
      </c>
      <c r="H19" s="4">
        <f>IF((SUMIFS($H$3:$H$18,$N$3:$N$18,"CIKIS")+SUMIFS($H$3:$H$18,$N$3:$N$18,"KUMANDA")+1)&gt;MAX(SNI_DELIK),ROUNDUP((SUMIFS($H$3:$H$18,$N$3:$N$18,"CIKIS")+SUMIFS($H$3:$H$18,$N$3:$N$18,"KUMANDA")+1)/MAX(SNI_DELIK),0),1)</f>
        <v>2</v>
      </c>
      <c r="I19" s="4" t="str">
        <f t="shared" si="4"/>
        <v>шт</v>
      </c>
      <c r="J19" s="4" t="str">
        <f t="shared" si="10"/>
        <v>ekt</v>
      </c>
      <c r="K19" s="4" t="str">
        <f t="shared" si="5"/>
        <v>260917</v>
      </c>
      <c r="L19" s="6">
        <f t="shared" si="6"/>
        <v>2098</v>
      </c>
      <c r="M19" s="7">
        <f t="shared" si="7"/>
        <v>1</v>
      </c>
      <c r="N19" s="7" t="s">
        <v>69</v>
      </c>
      <c r="O19" s="7" t="s">
        <v>68</v>
      </c>
      <c r="P19" s="8" t="str">
        <f t="shared" si="8"/>
        <v>ESKİ</v>
      </c>
      <c r="Q19" s="8" t="s">
        <v>70</v>
      </c>
    </row>
    <row r="20" spans="1:17" ht="15" customHeight="1" x14ac:dyDescent="0.25">
      <c r="A20" s="4" t="str">
        <f t="shared" si="0"/>
        <v>ВРУ-1 (260917 fok atr)</v>
      </c>
      <c r="B20" s="4" t="s">
        <v>68</v>
      </c>
      <c r="C20" s="4" t="str">
        <f>IF((SUMIFS($H$3:$H$18,$N$3:$N$18,"CIKIS")+2+N(KURALLAR!$J$203))&gt;MAX(SNI_DELIK),INDEX(SNI_KOD,ROWS(SNI_KOD)),INDEX(SNI_KOD,COUNTIF(SNI_DELIK,"&lt;"&amp;(SUMIFS($H$3:$H$18,$N$3:$N$18,"CIKIS")+2+N(KURALLAR!$J$203)))+1))</f>
        <v>130200364</v>
      </c>
      <c r="D20" s="4" t="str">
        <f t="shared" si="9"/>
        <v>Шина "N" нулевая 8х12мм комб с изол "Стойка" ШНИ 6-КС-С UNIT (20/300)</v>
      </c>
      <c r="E20" s="5">
        <f t="shared" si="1"/>
        <v>560</v>
      </c>
      <c r="F20" s="5">
        <f t="shared" si="2"/>
        <v>560</v>
      </c>
      <c r="G20" s="5">
        <f t="shared" si="3"/>
        <v>560</v>
      </c>
      <c r="H20" s="4">
        <f>IF((SUMIFS($H$3:$H$18,$N$3:$N$18,"CIKIS")+2+N(KURALLAR!$J$203))&gt;MAX(SNI_DELIK),ROUNDUP((SUMIFS($H$3:$H$18,$N$3:$N$18,"CIKIS")+2+N(KURALLAR!$J$203))/MAX(SNI_DELIK),0),1)</f>
        <v>1</v>
      </c>
      <c r="I20" s="4" t="str">
        <f t="shared" si="4"/>
        <v>шт</v>
      </c>
      <c r="J20" s="4" t="str">
        <f t="shared" si="10"/>
        <v>ekt</v>
      </c>
      <c r="K20" s="4" t="str">
        <f t="shared" si="5"/>
        <v>260917</v>
      </c>
      <c r="L20" s="6">
        <f t="shared" si="6"/>
        <v>560</v>
      </c>
      <c r="M20" s="7">
        <f t="shared" si="7"/>
        <v>1</v>
      </c>
      <c r="N20" s="7" t="s">
        <v>69</v>
      </c>
      <c r="O20" s="7" t="s">
        <v>68</v>
      </c>
      <c r="P20" s="8" t="str">
        <f t="shared" si="8"/>
        <v>ESKİ</v>
      </c>
      <c r="Q20" s="8" t="s">
        <v>71</v>
      </c>
    </row>
    <row r="21" spans="1:17" ht="15" customHeight="1" x14ac:dyDescent="0.25">
      <c r="A21" s="4" t="str">
        <f t="shared" si="0"/>
        <v>ВРУ-1 (260917 fok atr)</v>
      </c>
      <c r="B21" s="4" t="s">
        <v>72</v>
      </c>
      <c r="C21" s="4" t="s">
        <v>73</v>
      </c>
      <c r="D21" s="4" t="str">
        <f t="shared" si="9"/>
        <v>Кабель.канал перф. 40х40 ИМПАКТ IEK (36)</v>
      </c>
      <c r="E21" s="5">
        <f t="shared" si="1"/>
        <v>1486</v>
      </c>
      <c r="F21" s="5">
        <f t="shared" si="2"/>
        <v>1486</v>
      </c>
      <c r="G21" s="5">
        <f t="shared" si="3"/>
        <v>13076.800000000001</v>
      </c>
      <c r="H21" s="4">
        <f>ROUND(((N(KURALLAR!$E$203)+1)*KURALLAR!$M$203/1000+2*KURALLAR!$N$203/1000)*KANAL_FIRE,1)</f>
        <v>8.8000000000000007</v>
      </c>
      <c r="I21" s="4" t="str">
        <f t="shared" si="4"/>
        <v>м</v>
      </c>
      <c r="J21" s="4" t="str">
        <f t="shared" si="10"/>
        <v>ekt</v>
      </c>
      <c r="K21" s="4" t="str">
        <f t="shared" si="5"/>
        <v>260917</v>
      </c>
      <c r="L21" s="6">
        <f t="shared" si="6"/>
        <v>13076.800000000001</v>
      </c>
      <c r="M21" s="7">
        <f t="shared" si="7"/>
        <v>1</v>
      </c>
      <c r="N21" s="7" t="s">
        <v>69</v>
      </c>
      <c r="O21" s="7" t="s">
        <v>72</v>
      </c>
      <c r="P21" s="8" t="str">
        <f t="shared" si="8"/>
        <v>ESKİ</v>
      </c>
      <c r="Q21" s="8" t="s">
        <v>74</v>
      </c>
    </row>
    <row r="22" spans="1:17" ht="15" customHeight="1" x14ac:dyDescent="0.25">
      <c r="A22" s="4" t="str">
        <f t="shared" si="0"/>
        <v>ВРУ-1 (260917 fok atr)</v>
      </c>
      <c r="B22" s="4" t="s">
        <v>75</v>
      </c>
      <c r="C22" s="4" t="s">
        <v>76</v>
      </c>
      <c r="D22" s="4" t="str">
        <f t="shared" si="9"/>
        <v>HARMONY ПВ3 1*1,5</v>
      </c>
      <c r="E22" s="5">
        <f t="shared" si="1"/>
        <v>105</v>
      </c>
      <c r="F22" s="5">
        <f t="shared" si="2"/>
        <v>105</v>
      </c>
      <c r="G22" s="5">
        <f t="shared" si="3"/>
        <v>1890</v>
      </c>
      <c r="H22" s="4">
        <f>ROUND(SUMPRODUCT(SUMIFS($H$3:$H$18,$C$3:$C$18,FA,$N$3:$N$18,"&lt;&gt;YEDEK")*(F_BK=1.5)*F_TELM)*KABLO_FIRE,1)</f>
        <v>18</v>
      </c>
      <c r="I22" s="4" t="str">
        <f t="shared" si="4"/>
        <v>м</v>
      </c>
      <c r="J22" s="4" t="str">
        <f t="shared" si="10"/>
        <v>harmony</v>
      </c>
      <c r="K22" s="4" t="str">
        <f t="shared" si="5"/>
        <v>260917</v>
      </c>
      <c r="L22" s="6">
        <f t="shared" si="6"/>
        <v>1890</v>
      </c>
      <c r="M22" s="7">
        <f t="shared" si="7"/>
        <v>1</v>
      </c>
      <c r="N22" s="7" t="s">
        <v>69</v>
      </c>
      <c r="O22" s="7" t="s">
        <v>75</v>
      </c>
      <c r="P22" s="8" t="str">
        <f t="shared" si="8"/>
        <v>TARİH YOK</v>
      </c>
      <c r="Q22" s="8" t="s">
        <v>77</v>
      </c>
    </row>
    <row r="23" spans="1:17" ht="15" customHeight="1" x14ac:dyDescent="0.25">
      <c r="A23" s="4" t="str">
        <f t="shared" si="0"/>
        <v>ВРУ-1 (260917 fok atr)</v>
      </c>
      <c r="B23" s="4" t="s">
        <v>75</v>
      </c>
      <c r="C23" s="4" t="s">
        <v>78</v>
      </c>
      <c r="D23" s="4" t="str">
        <f t="shared" si="9"/>
        <v>HARMONY ПВ3 1*2,5</v>
      </c>
      <c r="E23" s="5">
        <f t="shared" si="1"/>
        <v>174</v>
      </c>
      <c r="F23" s="5">
        <f t="shared" si="2"/>
        <v>174</v>
      </c>
      <c r="G23" s="5">
        <f t="shared" si="3"/>
        <v>2296.7999999999997</v>
      </c>
      <c r="H23" s="4">
        <f>ROUND(SUMPRODUCT(SUMIFS($H$3:$H$18,$C$3:$C$18,FA,$N$3:$N$18,"&lt;&gt;YEDEK")*(F_BK=2.5)*F_TELM)*KABLO_FIRE,1)</f>
        <v>13.2</v>
      </c>
      <c r="I23" s="4" t="str">
        <f t="shared" si="4"/>
        <v>м</v>
      </c>
      <c r="J23" s="4" t="str">
        <f t="shared" si="10"/>
        <v>harmony</v>
      </c>
      <c r="K23" s="4" t="str">
        <f t="shared" si="5"/>
        <v>260917</v>
      </c>
      <c r="L23" s="6">
        <f t="shared" si="6"/>
        <v>2296.7999999999997</v>
      </c>
      <c r="M23" s="7">
        <f t="shared" si="7"/>
        <v>1</v>
      </c>
      <c r="N23" s="7" t="s">
        <v>69</v>
      </c>
      <c r="O23" s="7" t="s">
        <v>75</v>
      </c>
      <c r="P23" s="8" t="str">
        <f t="shared" si="8"/>
        <v>TARİH YOK</v>
      </c>
      <c r="Q23" s="8" t="s">
        <v>79</v>
      </c>
    </row>
    <row r="24" spans="1:17" ht="15" customHeight="1" x14ac:dyDescent="0.25">
      <c r="A24" s="4" t="str">
        <f t="shared" si="0"/>
        <v>ВРУ-1 (260917 fok atr)</v>
      </c>
      <c r="B24" s="4" t="s">
        <v>75</v>
      </c>
      <c r="C24" s="4" t="s">
        <v>80</v>
      </c>
      <c r="D24" s="4" t="str">
        <f t="shared" si="9"/>
        <v>HARMONY ПВ3 1*25</v>
      </c>
      <c r="E24" s="5">
        <f t="shared" si="1"/>
        <v>1688</v>
      </c>
      <c r="F24" s="5">
        <f t="shared" si="2"/>
        <v>1688</v>
      </c>
      <c r="G24" s="5">
        <f t="shared" si="3"/>
        <v>1350.4</v>
      </c>
      <c r="H24" s="4">
        <f>ROUND(SUMPRODUCT(SUMIFS($H$3:$H$18,$C$3:$C$18,FA,$N$3:$N$18,"&lt;&gt;YEDEK")*(F_BK=25)*F_TELM)*KABLO_FIRE,1)</f>
        <v>0.8</v>
      </c>
      <c r="I24" s="4" t="str">
        <f t="shared" si="4"/>
        <v>м</v>
      </c>
      <c r="J24" s="4" t="str">
        <f t="shared" si="10"/>
        <v>harmony</v>
      </c>
      <c r="K24" s="4" t="str">
        <f t="shared" si="5"/>
        <v>260917</v>
      </c>
      <c r="L24" s="6">
        <f t="shared" si="6"/>
        <v>1350.4</v>
      </c>
      <c r="M24" s="7">
        <f t="shared" si="7"/>
        <v>1</v>
      </c>
      <c r="N24" s="7" t="s">
        <v>69</v>
      </c>
      <c r="O24" s="7" t="s">
        <v>75</v>
      </c>
      <c r="P24" s="8" t="str">
        <f t="shared" si="8"/>
        <v>TARİH YOK</v>
      </c>
      <c r="Q24" s="8" t="s">
        <v>81</v>
      </c>
    </row>
    <row r="25" spans="1:17" ht="15" customHeight="1" x14ac:dyDescent="0.25">
      <c r="A25" s="4" t="str">
        <f t="shared" si="0"/>
        <v>ВРУ-1 (260917 fok atr)</v>
      </c>
      <c r="B25" s="4" t="s">
        <v>75</v>
      </c>
      <c r="C25" s="4" t="s">
        <v>82</v>
      </c>
      <c r="D25" s="4" t="str">
        <f t="shared" si="9"/>
        <v>HARMONY ПВ3 1*35</v>
      </c>
      <c r="E25" s="5">
        <f t="shared" si="1"/>
        <v>2399</v>
      </c>
      <c r="F25" s="5">
        <f t="shared" si="2"/>
        <v>2399</v>
      </c>
      <c r="G25" s="5">
        <f t="shared" si="3"/>
        <v>7916.7</v>
      </c>
      <c r="H25" s="4">
        <f>ROUND(SUMPRODUCT(SUMIFS($H$3:$H$18,$C$3:$C$18,FA,$N$3:$N$18,"&lt;&gt;YEDEK")*(F_BK=35)*F_TELM)*KABLO_FIRE,1)</f>
        <v>3.3</v>
      </c>
      <c r="I25" s="4" t="str">
        <f t="shared" si="4"/>
        <v>м</v>
      </c>
      <c r="J25" s="4" t="str">
        <f t="shared" si="10"/>
        <v>harmony</v>
      </c>
      <c r="K25" s="4" t="str">
        <f t="shared" si="5"/>
        <v>260917</v>
      </c>
      <c r="L25" s="6">
        <f t="shared" si="6"/>
        <v>7916.7</v>
      </c>
      <c r="M25" s="7">
        <f t="shared" si="7"/>
        <v>1</v>
      </c>
      <c r="N25" s="7" t="s">
        <v>69</v>
      </c>
      <c r="O25" s="7" t="s">
        <v>75</v>
      </c>
      <c r="P25" s="8" t="str">
        <f t="shared" si="8"/>
        <v>TARİH YOK</v>
      </c>
      <c r="Q25" s="8" t="s">
        <v>83</v>
      </c>
    </row>
    <row r="26" spans="1:17" ht="15" customHeight="1" x14ac:dyDescent="0.25">
      <c r="A26" s="4" t="str">
        <f t="shared" si="0"/>
        <v>ВРУ-1 (260917 fok atr)</v>
      </c>
      <c r="B26" s="4" t="s">
        <v>75</v>
      </c>
      <c r="C26" s="4" t="s">
        <v>84</v>
      </c>
      <c r="D26" s="4" t="str">
        <f t="shared" si="9"/>
        <v>HARMONY ПВ3 1*50</v>
      </c>
      <c r="E26" s="5">
        <f t="shared" si="1"/>
        <v>3455</v>
      </c>
      <c r="F26" s="5">
        <f t="shared" si="2"/>
        <v>3455</v>
      </c>
      <c r="G26" s="5">
        <f t="shared" si="3"/>
        <v>13820</v>
      </c>
      <c r="H26" s="4">
        <f>ROUND(SUMPRODUCT(SUMIFS($H$3:$H$18,$C$3:$C$18,FA,$N$3:$N$18,"&lt;&gt;YEDEK")*(F_BK=50)*F_TELM)*KABLO_FIRE,1)</f>
        <v>4</v>
      </c>
      <c r="I26" s="4" t="str">
        <f t="shared" si="4"/>
        <v>м</v>
      </c>
      <c r="J26" s="4" t="str">
        <f t="shared" si="10"/>
        <v>harmony</v>
      </c>
      <c r="K26" s="4" t="str">
        <f t="shared" si="5"/>
        <v>260917</v>
      </c>
      <c r="L26" s="6">
        <f t="shared" si="6"/>
        <v>13820</v>
      </c>
      <c r="M26" s="7">
        <f t="shared" si="7"/>
        <v>1</v>
      </c>
      <c r="N26" s="7" t="s">
        <v>69</v>
      </c>
      <c r="O26" s="7" t="s">
        <v>75</v>
      </c>
      <c r="P26" s="8" t="str">
        <f t="shared" si="8"/>
        <v>TARİH YOK</v>
      </c>
      <c r="Q26" s="8" t="s">
        <v>85</v>
      </c>
    </row>
    <row r="27" spans="1:17" ht="15" customHeight="1" x14ac:dyDescent="0.25">
      <c r="A27" s="4" t="str">
        <f t="shared" si="0"/>
        <v>ВРУ-1 (260917 fok atr)</v>
      </c>
      <c r="B27" s="4" t="s">
        <v>75</v>
      </c>
      <c r="C27" s="4" t="s">
        <v>86</v>
      </c>
      <c r="D27" s="4" t="str">
        <f t="shared" si="9"/>
        <v>HARMONY ПВ3 1*6</v>
      </c>
      <c r="E27" s="5">
        <f t="shared" si="1"/>
        <v>398</v>
      </c>
      <c r="F27" s="5">
        <f t="shared" si="2"/>
        <v>398</v>
      </c>
      <c r="G27" s="5">
        <f t="shared" si="3"/>
        <v>398</v>
      </c>
      <c r="H27" s="4">
        <f>N(KURALLAR!$J$203)*KAPI_TOPRAK_M</f>
        <v>1</v>
      </c>
      <c r="I27" s="4" t="str">
        <f t="shared" si="4"/>
        <v>м</v>
      </c>
      <c r="J27" s="4" t="str">
        <f t="shared" si="10"/>
        <v>harmony</v>
      </c>
      <c r="K27" s="4" t="str">
        <f t="shared" si="5"/>
        <v>260917</v>
      </c>
      <c r="L27" s="6">
        <f t="shared" si="6"/>
        <v>398</v>
      </c>
      <c r="M27" s="7">
        <f t="shared" si="7"/>
        <v>1</v>
      </c>
      <c r="N27" s="7" t="s">
        <v>69</v>
      </c>
      <c r="O27" s="7" t="s">
        <v>75</v>
      </c>
      <c r="P27" s="8" t="str">
        <f t="shared" si="8"/>
        <v>TARİH YOK</v>
      </c>
      <c r="Q27" s="8" t="s">
        <v>87</v>
      </c>
    </row>
    <row r="28" spans="1:17" ht="15" customHeight="1" x14ac:dyDescent="0.25">
      <c r="A28" s="4" t="str">
        <f t="shared" si="0"/>
        <v>ВРУ-1 (260917 fok atr)</v>
      </c>
      <c r="B28" s="4" t="s">
        <v>88</v>
      </c>
      <c r="C28" s="4" t="s">
        <v>89</v>
      </c>
      <c r="D28" s="4" t="str">
        <f t="shared" si="9"/>
        <v>Наконечник НШВИ 1,5-8 изолированный 79440 (100шт) КВТ NEW</v>
      </c>
      <c r="E28" s="5">
        <f t="shared" si="1"/>
        <v>428</v>
      </c>
      <c r="F28" s="5">
        <f t="shared" si="2"/>
        <v>428</v>
      </c>
      <c r="G28" s="5">
        <f t="shared" si="3"/>
        <v>428</v>
      </c>
      <c r="H28" s="4">
        <f>ROUNDUP(SUMPRODUCT(SUMIFS($H$3:$H$18,$C$3:$C$18,FA,$N$3:$N$18,"&lt;&gt;YEDEK")*(F_BK=1.5)*F_TEL)*2*YUKSUK_FIRE/MAX(1,IF(ISNA(MATCH($C28,FA,0)),1,N(INDEX(F_PAKET,MATCH($C28,FA,0))))),0)</f>
        <v>1</v>
      </c>
      <c r="I28" s="4" t="str">
        <f t="shared" si="4"/>
        <v>упак</v>
      </c>
      <c r="J28" s="4" t="str">
        <f t="shared" si="10"/>
        <v>ekt</v>
      </c>
      <c r="K28" s="4" t="str">
        <f t="shared" si="5"/>
        <v>260917</v>
      </c>
      <c r="L28" s="6">
        <f t="shared" si="6"/>
        <v>428</v>
      </c>
      <c r="M28" s="7">
        <f t="shared" si="7"/>
        <v>1</v>
      </c>
      <c r="N28" s="7" t="s">
        <v>69</v>
      </c>
      <c r="O28" s="7" t="s">
        <v>88</v>
      </c>
      <c r="P28" s="8" t="str">
        <f t="shared" si="8"/>
        <v>ESKİ</v>
      </c>
      <c r="Q28" s="8" t="s">
        <v>90</v>
      </c>
    </row>
    <row r="29" spans="1:17" ht="15" customHeight="1" x14ac:dyDescent="0.25">
      <c r="A29" s="4" t="str">
        <f t="shared" si="0"/>
        <v>ВРУ-1 (260917 fok atr)</v>
      </c>
      <c r="B29" s="4" t="s">
        <v>88</v>
      </c>
      <c r="C29" s="4" t="s">
        <v>91</v>
      </c>
      <c r="D29" s="4" t="str">
        <f t="shared" si="9"/>
        <v>Наконечник НШВИ 2,5-8 изолированный 79443 (100шт) КВТ NEW</v>
      </c>
      <c r="E29" s="5">
        <f t="shared" si="1"/>
        <v>540</v>
      </c>
      <c r="F29" s="5">
        <f t="shared" si="2"/>
        <v>540</v>
      </c>
      <c r="G29" s="5">
        <f t="shared" si="3"/>
        <v>540</v>
      </c>
      <c r="H29" s="4">
        <f>ROUNDUP(SUMPRODUCT(SUMIFS($H$3:$H$18,$C$3:$C$18,FA,$N$3:$N$18,"&lt;&gt;YEDEK")*(F_BK=2.5)*F_TEL)*2*YUKSUK_FIRE/MAX(1,IF(ISNA(MATCH($C29,FA,0)),1,N(INDEX(F_PAKET,MATCH($C29,FA,0))))),0)</f>
        <v>1</v>
      </c>
      <c r="I29" s="4" t="str">
        <f t="shared" si="4"/>
        <v>упак</v>
      </c>
      <c r="J29" s="4" t="str">
        <f t="shared" si="10"/>
        <v>ekt</v>
      </c>
      <c r="K29" s="4" t="str">
        <f t="shared" si="5"/>
        <v>260917</v>
      </c>
      <c r="L29" s="6">
        <f t="shared" si="6"/>
        <v>540</v>
      </c>
      <c r="M29" s="7">
        <f t="shared" si="7"/>
        <v>1</v>
      </c>
      <c r="N29" s="7" t="s">
        <v>69</v>
      </c>
      <c r="O29" s="7" t="s">
        <v>88</v>
      </c>
      <c r="P29" s="8" t="str">
        <f t="shared" si="8"/>
        <v>ESKİ</v>
      </c>
      <c r="Q29" s="8" t="s">
        <v>92</v>
      </c>
    </row>
    <row r="30" spans="1:17" ht="15" customHeight="1" x14ac:dyDescent="0.25">
      <c r="A30" s="4" t="str">
        <f t="shared" si="0"/>
        <v>ВРУ-1 (260917 fok atr)</v>
      </c>
      <c r="B30" s="4" t="s">
        <v>93</v>
      </c>
      <c r="C30" s="4" t="s">
        <v>94</v>
      </c>
      <c r="D30" s="4" t="str">
        <f t="shared" si="9"/>
        <v>Наконечник медно-луженный JG - 25 IEK (200)</v>
      </c>
      <c r="E30" s="5">
        <f t="shared" si="1"/>
        <v>156</v>
      </c>
      <c r="F30" s="5">
        <f t="shared" si="2"/>
        <v>156</v>
      </c>
      <c r="G30" s="5">
        <f t="shared" si="3"/>
        <v>2184</v>
      </c>
      <c r="H30" s="4">
        <f>ROUNDUP(SUMPRODUCT(SUMIFS($H$3:$H$18,$C$3:$C$18,FA,$N$3:$N$18,"&lt;&gt;YEDEK")*(F_BK=25)*F_TEL)*2*PABUC_FIRE,0)</f>
        <v>14</v>
      </c>
      <c r="I30" s="4" t="str">
        <f t="shared" si="4"/>
        <v>шт</v>
      </c>
      <c r="J30" s="4" t="str">
        <f t="shared" si="10"/>
        <v>ekt</v>
      </c>
      <c r="K30" s="4" t="str">
        <f t="shared" si="5"/>
        <v>260917</v>
      </c>
      <c r="L30" s="6">
        <f t="shared" si="6"/>
        <v>2184</v>
      </c>
      <c r="M30" s="7">
        <f t="shared" si="7"/>
        <v>1</v>
      </c>
      <c r="N30" s="7" t="s">
        <v>69</v>
      </c>
      <c r="O30" s="7" t="s">
        <v>93</v>
      </c>
      <c r="P30" s="8" t="str">
        <f t="shared" si="8"/>
        <v>ESKİ</v>
      </c>
      <c r="Q30" s="8" t="s">
        <v>95</v>
      </c>
    </row>
    <row r="31" spans="1:17" ht="15" customHeight="1" x14ac:dyDescent="0.25">
      <c r="A31" s="4" t="str">
        <f t="shared" si="0"/>
        <v>ВРУ-1 (260917 fok atr)</v>
      </c>
      <c r="B31" s="4" t="s">
        <v>93</v>
      </c>
      <c r="C31" s="4" t="s">
        <v>96</v>
      </c>
      <c r="D31" s="4" t="str">
        <f t="shared" si="9"/>
        <v>Наконечник медно-луженный JG - 35 IEK (100)</v>
      </c>
      <c r="E31" s="5">
        <f t="shared" si="1"/>
        <v>206</v>
      </c>
      <c r="F31" s="5">
        <f t="shared" si="2"/>
        <v>206</v>
      </c>
      <c r="G31" s="5">
        <f t="shared" si="3"/>
        <v>2472</v>
      </c>
      <c r="H31" s="4">
        <f>ROUNDUP(SUMPRODUCT(SUMIFS($H$3:$H$18,$C$3:$C$18,FA,$N$3:$N$18,"&lt;&gt;YEDEK")*(F_BK=35)*F_TEL)*2*PABUC_FIRE,0)</f>
        <v>12</v>
      </c>
      <c r="I31" s="4" t="str">
        <f t="shared" si="4"/>
        <v>шт</v>
      </c>
      <c r="J31" s="4" t="str">
        <f t="shared" si="10"/>
        <v>ekt</v>
      </c>
      <c r="K31" s="4" t="str">
        <f t="shared" si="5"/>
        <v>260917</v>
      </c>
      <c r="L31" s="6">
        <f t="shared" si="6"/>
        <v>2472</v>
      </c>
      <c r="M31" s="7">
        <f t="shared" si="7"/>
        <v>1</v>
      </c>
      <c r="N31" s="7" t="s">
        <v>69</v>
      </c>
      <c r="O31" s="7" t="s">
        <v>93</v>
      </c>
      <c r="P31" s="8" t="str">
        <f t="shared" si="8"/>
        <v>ESKİ</v>
      </c>
      <c r="Q31" s="8" t="s">
        <v>97</v>
      </c>
    </row>
    <row r="32" spans="1:17" ht="15" customHeight="1" x14ac:dyDescent="0.25">
      <c r="A32" s="4" t="str">
        <f t="shared" si="0"/>
        <v>ВРУ-1 (260917 fok atr)</v>
      </c>
      <c r="B32" s="4" t="s">
        <v>93</v>
      </c>
      <c r="C32" s="4" t="s">
        <v>98</v>
      </c>
      <c r="D32" s="4" t="str">
        <f t="shared" si="9"/>
        <v>Наконечник медно-луженный JG - 50 IEK (100)</v>
      </c>
      <c r="E32" s="5">
        <f t="shared" si="1"/>
        <v>262</v>
      </c>
      <c r="F32" s="5">
        <f t="shared" si="2"/>
        <v>262</v>
      </c>
      <c r="G32" s="5">
        <f t="shared" si="3"/>
        <v>3144</v>
      </c>
      <c r="H32" s="4">
        <f>ROUNDUP(SUMPRODUCT(SUMIFS($H$3:$H$18,$C$3:$C$18,FA,$N$3:$N$18,"&lt;&gt;YEDEK")*(F_BK=50)*F_TEL)*2*PABUC_FIRE,0)</f>
        <v>12</v>
      </c>
      <c r="I32" s="4" t="str">
        <f t="shared" si="4"/>
        <v>шт</v>
      </c>
      <c r="J32" s="4" t="str">
        <f t="shared" si="10"/>
        <v>ekt</v>
      </c>
      <c r="K32" s="4" t="str">
        <f t="shared" si="5"/>
        <v>260917</v>
      </c>
      <c r="L32" s="6">
        <f t="shared" si="6"/>
        <v>3144</v>
      </c>
      <c r="M32" s="7">
        <f t="shared" si="7"/>
        <v>1</v>
      </c>
      <c r="N32" s="7" t="s">
        <v>69</v>
      </c>
      <c r="O32" s="7" t="s">
        <v>93</v>
      </c>
      <c r="P32" s="8" t="str">
        <f t="shared" si="8"/>
        <v>ESKİ</v>
      </c>
      <c r="Q32" s="8" t="s">
        <v>99</v>
      </c>
    </row>
    <row r="33" spans="1:17" ht="15" customHeight="1" x14ac:dyDescent="0.25">
      <c r="A33" s="4" t="str">
        <f t="shared" si="0"/>
        <v>ВРУ-1 (260917 fok atr)</v>
      </c>
      <c r="B33" s="4" t="s">
        <v>93</v>
      </c>
      <c r="C33" s="4" t="s">
        <v>100</v>
      </c>
      <c r="D33" s="4" t="str">
        <f t="shared" si="9"/>
        <v>Наконечник медно-луженный JG - 6 IEK (600)</v>
      </c>
      <c r="E33" s="5">
        <f t="shared" si="1"/>
        <v>76</v>
      </c>
      <c r="F33" s="5">
        <f t="shared" si="2"/>
        <v>76</v>
      </c>
      <c r="G33" s="5">
        <f t="shared" si="3"/>
        <v>304</v>
      </c>
      <c r="H33" s="4">
        <f>2*N(KURALLAR!$J$203)</f>
        <v>4</v>
      </c>
      <c r="I33" s="4" t="str">
        <f t="shared" si="4"/>
        <v>шт</v>
      </c>
      <c r="J33" s="4" t="str">
        <f t="shared" si="10"/>
        <v>ekt</v>
      </c>
      <c r="K33" s="4" t="str">
        <f t="shared" si="5"/>
        <v>260917</v>
      </c>
      <c r="L33" s="6">
        <f t="shared" si="6"/>
        <v>304</v>
      </c>
      <c r="M33" s="7">
        <f t="shared" si="7"/>
        <v>1</v>
      </c>
      <c r="N33" s="7" t="s">
        <v>69</v>
      </c>
      <c r="O33" s="7" t="s">
        <v>93</v>
      </c>
      <c r="P33" s="8" t="str">
        <f t="shared" si="8"/>
        <v>ESKİ</v>
      </c>
      <c r="Q33" s="8" t="s">
        <v>101</v>
      </c>
    </row>
    <row r="34" spans="1:17" ht="15" customHeight="1" x14ac:dyDescent="0.25">
      <c r="A34" s="4" t="str">
        <f t="shared" si="0"/>
        <v>ВРУ-1 (260917 fok atr)</v>
      </c>
      <c r="B34" s="4" t="s">
        <v>102</v>
      </c>
      <c r="C34" s="4" t="s">
        <v>103</v>
      </c>
      <c r="D34" s="4" t="str">
        <f t="shared" si="9"/>
        <v>Хомут 2,5х100 черный UNIT (100/500)</v>
      </c>
      <c r="E34" s="5">
        <f t="shared" si="1"/>
        <v>182</v>
      </c>
      <c r="F34" s="5">
        <f t="shared" si="2"/>
        <v>182</v>
      </c>
      <c r="G34" s="5">
        <f t="shared" si="3"/>
        <v>182</v>
      </c>
      <c r="H34" s="4">
        <f>ROUNDUP((N(H22)+N(H23)+N(H24)+N(H25)+N(H26)+N(H27))*BAG_ADET_M/MAX(1,IF(ISNA(MATCH($C34,FA,0)),1,N(INDEX(F_PAKET,MATCH($C34,FA,0))))),0)</f>
        <v>1</v>
      </c>
      <c r="I34" s="4" t="str">
        <f t="shared" si="4"/>
        <v>упак</v>
      </c>
      <c r="J34" s="4" t="str">
        <f t="shared" si="10"/>
        <v>ekt</v>
      </c>
      <c r="K34" s="4" t="str">
        <f t="shared" si="5"/>
        <v>260917</v>
      </c>
      <c r="L34" s="6">
        <f t="shared" si="6"/>
        <v>182</v>
      </c>
      <c r="M34" s="7">
        <f t="shared" si="7"/>
        <v>1</v>
      </c>
      <c r="N34" s="7" t="s">
        <v>69</v>
      </c>
      <c r="O34" s="7" t="s">
        <v>102</v>
      </c>
      <c r="P34" s="8" t="str">
        <f t="shared" si="8"/>
        <v>ESKİ</v>
      </c>
      <c r="Q34" s="8" t="s">
        <v>104</v>
      </c>
    </row>
    <row r="35" spans="1:17" ht="15" customHeight="1" x14ac:dyDescent="0.25">
      <c r="A35" s="4" t="str">
        <f t="shared" si="0"/>
        <v>ВРУ-1 (260917 fok atr)</v>
      </c>
      <c r="B35" s="4" t="s">
        <v>105</v>
      </c>
      <c r="C35" s="4" t="s">
        <v>105</v>
      </c>
      <c r="D35" s="4" t="s">
        <v>105</v>
      </c>
      <c r="E35" s="5">
        <f>G36*MONTAJ_MALZ_KAT</f>
        <v>27744</v>
      </c>
      <c r="F35" s="5">
        <f>E35</f>
        <v>27744</v>
      </c>
      <c r="G35" s="5">
        <f>H35*F35</f>
        <v>27744</v>
      </c>
      <c r="H35" s="4">
        <v>1</v>
      </c>
      <c r="I35" s="4" t="s">
        <v>106</v>
      </c>
      <c r="J35" s="4" t="s">
        <v>105</v>
      </c>
      <c r="K35" s="4" t="str">
        <f t="shared" si="5"/>
        <v>260917</v>
      </c>
      <c r="L35" s="6">
        <f t="shared" si="6"/>
        <v>27744</v>
      </c>
      <c r="M35" s="7">
        <f t="shared" si="7"/>
        <v>1</v>
      </c>
    </row>
    <row r="36" spans="1:17" ht="15" customHeight="1" x14ac:dyDescent="0.25">
      <c r="A36" s="4" t="str">
        <f t="shared" si="0"/>
        <v>ВРУ-1 (260917 fok atr)</v>
      </c>
      <c r="B36" s="4" t="s">
        <v>107</v>
      </c>
      <c r="C36" s="4" t="s">
        <v>107</v>
      </c>
      <c r="D36" s="4" t="s">
        <v>107</v>
      </c>
      <c r="E36" s="4">
        <f>ROUND(SUMPRODUCT(SUMIFS(H3:H35,O3:O35,TIP_AD)*NORM_DK)*ISCILIK_KAT/60,2)</f>
        <v>11.56</v>
      </c>
      <c r="F36" s="4">
        <f>DK_UCRET</f>
        <v>100</v>
      </c>
      <c r="G36" s="5">
        <f>H36*F36</f>
        <v>69360</v>
      </c>
      <c r="H36" s="4">
        <f>60*E36</f>
        <v>693.6</v>
      </c>
      <c r="I36" s="4" t="s">
        <v>108</v>
      </c>
      <c r="J36" s="4" t="s">
        <v>107</v>
      </c>
      <c r="K36" s="4" t="str">
        <f t="shared" si="5"/>
        <v>260917</v>
      </c>
      <c r="L36" s="6">
        <f t="shared" si="6"/>
        <v>69360</v>
      </c>
      <c r="M36" s="7">
        <f t="shared" si="7"/>
        <v>1</v>
      </c>
    </row>
    <row r="37" spans="1:17" ht="15" customHeight="1" x14ac:dyDescent="0.25">
      <c r="A37" s="4" t="str">
        <f t="shared" si="0"/>
        <v>ВРУ-1 (260917 fok atr)</v>
      </c>
      <c r="B37" s="9"/>
      <c r="C37" s="9"/>
      <c r="D37" s="9"/>
      <c r="E37" s="9"/>
      <c r="F37" s="9"/>
      <c r="G37" s="10">
        <f>SUM(G3:G36)</f>
        <v>605943.30000000005</v>
      </c>
      <c r="H37" s="9"/>
      <c r="I37" s="9"/>
      <c r="J37" s="9"/>
      <c r="K37" s="4" t="str">
        <f t="shared" si="5"/>
        <v>260917</v>
      </c>
      <c r="L37" s="11">
        <f>SUM(L3:L36)</f>
        <v>605943.30000000005</v>
      </c>
      <c r="M37" s="7">
        <f t="shared" si="7"/>
        <v>1</v>
      </c>
      <c r="P37" s="7" t="str">
        <f>IF(COUNTIF(P3:P36,"FİYAT YOK")+COUNTIF(P3:P36,"YASAK")+COUNTIF(P3:P36,"MARKA YOK")+COUNTIF(P3:P36,"ARTİKÜL YOK")&gt;0,"EKSİK FİYAT","")</f>
        <v>EKSİK FİYAT</v>
      </c>
      <c r="Q37" s="7" t="str">
        <f>IF(KURALLAR!$Q$203="OK","","PANO: "&amp;KURALLAR!$Q$203)</f>
        <v/>
      </c>
    </row>
    <row r="38" spans="1:17" ht="15" customHeight="1" x14ac:dyDescent="0.25">
      <c r="A38" s="1" t="str">
        <f>D38</f>
        <v>ЩР-1 (260917 fok atr)</v>
      </c>
      <c r="B38" s="2"/>
      <c r="C38" s="2"/>
      <c r="D38" s="1" t="s">
        <v>644</v>
      </c>
      <c r="E38" s="2"/>
      <c r="F38" s="2"/>
      <c r="G38" s="2"/>
      <c r="H38" s="1">
        <v>1</v>
      </c>
      <c r="I38" s="1" t="s">
        <v>17</v>
      </c>
      <c r="J38" s="1" t="s">
        <v>642</v>
      </c>
      <c r="K38" s="1" t="s">
        <v>18</v>
      </c>
      <c r="M38" s="3">
        <f>H38</f>
        <v>1</v>
      </c>
    </row>
    <row r="39" spans="1:17" ht="15" customHeight="1" x14ac:dyDescent="0.25">
      <c r="A39" s="4" t="str">
        <f t="shared" ref="A39:A60" si="11">A38</f>
        <v>ЩР-1 (260917 fok atr)</v>
      </c>
      <c r="B39" s="4" t="s">
        <v>19</v>
      </c>
      <c r="C39" s="4" t="s">
        <v>110</v>
      </c>
      <c r="D39" s="4" t="s">
        <v>263</v>
      </c>
      <c r="E39" s="5">
        <f t="shared" ref="E39:E57" si="12">IF(ISNA(MATCH($C39,FA,0)),"",IF(INDEX(FIYAT_LISTE,MATCH($C39,FA,0))="","",INDEX(FIYAT_LISTE,MATCH($C39,FA,0))))</f>
        <v>24000</v>
      </c>
      <c r="F39" s="5">
        <f t="shared" ref="F39:F57" si="13">IF(ISNA(MATCH($C39,FA,0)),"",IF(INDEX(FIYAT_NET,MATCH($C39,FA,0))="","",INDEX(FIYAT_NET,MATCH($C39,FA,0))))</f>
        <v>14400</v>
      </c>
      <c r="G39" s="5">
        <f t="shared" ref="G39:G57" si="14">IF(OR(F39="",H39=""),"",H39*F39)</f>
        <v>14400</v>
      </c>
      <c r="H39" s="4">
        <v>1</v>
      </c>
      <c r="I39" s="4" t="str">
        <f t="shared" ref="I39:I57" si="15">IF(ISNA(MATCH($C39,FA,0)),"",IF(INDEX(FIYAT_BIRIM,MATCH($C39,FA,0))="","",INDEX(FIYAT_BIRIM,MATCH($C39,FA,0))))</f>
        <v>шт</v>
      </c>
      <c r="J39" s="4" t="s">
        <v>427</v>
      </c>
      <c r="K39" s="4" t="str">
        <f t="shared" ref="K39:K60" si="16">K38</f>
        <v>260917</v>
      </c>
      <c r="L39" s="6">
        <f t="shared" ref="L39:L59" si="17">G39</f>
        <v>14400</v>
      </c>
      <c r="M39" s="7">
        <f t="shared" ref="M39:M60" si="18">M38</f>
        <v>1</v>
      </c>
      <c r="N39" s="7" t="s">
        <v>21</v>
      </c>
      <c r="O39" s="7" t="s">
        <v>111</v>
      </c>
      <c r="P39" s="8" t="str">
        <f t="shared" ref="P39:P57" si="19">IF(ISNA(MATCH($C39,FA,0)),"ARTİKÜL YOK",INDEX(FIYAT_DURUM,MATCH($C39,FA,0)))</f>
        <v>OK</v>
      </c>
      <c r="Q39" s="8" t="s">
        <v>112</v>
      </c>
    </row>
    <row r="40" spans="1:17" ht="15" customHeight="1" x14ac:dyDescent="0.25">
      <c r="A40" s="4" t="str">
        <f t="shared" si="11"/>
        <v>ЩР-1 (260917 fok atr)</v>
      </c>
      <c r="B40" s="4" t="s">
        <v>113</v>
      </c>
      <c r="C40" s="4" t="s">
        <v>114</v>
      </c>
      <c r="D40" s="4" t="str">
        <f t="shared" ref="D40:D57" si="20">IF(ISNA(MATCH($C40,FA,0)),"ARTİKÜL FIYAT SAYFASINDA YOK",INDEX(FIYAT_AD,MATCH($C40,FA,0)))</f>
        <v>Выключатель нагрузки NXHB-125 3P 100A (R)</v>
      </c>
      <c r="E40" s="5">
        <f t="shared" si="12"/>
        <v>4334</v>
      </c>
      <c r="F40" s="5">
        <f t="shared" si="13"/>
        <v>2600.4</v>
      </c>
      <c r="G40" s="5">
        <f t="shared" si="14"/>
        <v>2600.4</v>
      </c>
      <c r="H40" s="4">
        <v>1</v>
      </c>
      <c r="I40" s="4" t="str">
        <f t="shared" si="15"/>
        <v>шт</v>
      </c>
      <c r="J40" s="4" t="str">
        <f t="shared" ref="J40:J57" si="21">IF(ISNA(MATCH($C40,FA,0)),"",IF(INDEX(FIYAT_MARKA,MATCH($C40,FA,0))="","",INDEX(FIYAT_MARKA,MATCH($C40,FA,0))))</f>
        <v>chint</v>
      </c>
      <c r="K40" s="4" t="str">
        <f t="shared" si="16"/>
        <v>260917</v>
      </c>
      <c r="L40" s="6">
        <f t="shared" si="17"/>
        <v>2600.4</v>
      </c>
      <c r="M40" s="7">
        <f t="shared" si="18"/>
        <v>1</v>
      </c>
      <c r="N40" s="7" t="s">
        <v>26</v>
      </c>
      <c r="O40" s="7" t="s">
        <v>113</v>
      </c>
      <c r="P40" s="8" t="str">
        <f t="shared" si="19"/>
        <v>OK</v>
      </c>
      <c r="Q40" s="8" t="s">
        <v>115</v>
      </c>
    </row>
    <row r="41" spans="1:17" ht="15" customHeight="1" x14ac:dyDescent="0.25">
      <c r="A41" s="4" t="str">
        <f t="shared" si="11"/>
        <v>ЩР-1 (260917 fok atr)</v>
      </c>
      <c r="B41" s="4" t="s">
        <v>39</v>
      </c>
      <c r="C41" s="4" t="s">
        <v>116</v>
      </c>
      <c r="D41" s="4" t="str">
        <f t="shared" si="20"/>
        <v>Авт. выкл. NXB-63H 3P 40A 10кА х-ка C (R)</v>
      </c>
      <c r="E41" s="5">
        <f t="shared" si="12"/>
        <v>11002</v>
      </c>
      <c r="F41" s="5">
        <f t="shared" si="13"/>
        <v>6601.2</v>
      </c>
      <c r="G41" s="5">
        <f t="shared" si="14"/>
        <v>13202.4</v>
      </c>
      <c r="H41" s="4">
        <v>2</v>
      </c>
      <c r="I41" s="4" t="str">
        <f t="shared" si="15"/>
        <v>шт</v>
      </c>
      <c r="J41" s="4" t="str">
        <f t="shared" si="21"/>
        <v>chint</v>
      </c>
      <c r="K41" s="4" t="str">
        <f t="shared" si="16"/>
        <v>260917</v>
      </c>
      <c r="L41" s="6">
        <f t="shared" si="17"/>
        <v>13202.4</v>
      </c>
      <c r="M41" s="7">
        <f t="shared" si="18"/>
        <v>1</v>
      </c>
      <c r="N41" s="7" t="s">
        <v>41</v>
      </c>
      <c r="O41" s="7" t="s">
        <v>39</v>
      </c>
      <c r="P41" s="8" t="str">
        <f t="shared" si="19"/>
        <v>OK</v>
      </c>
      <c r="Q41" s="8" t="s">
        <v>117</v>
      </c>
    </row>
    <row r="42" spans="1:17" ht="15" customHeight="1" x14ac:dyDescent="0.25">
      <c r="A42" s="4" t="str">
        <f t="shared" si="11"/>
        <v>ЩР-1 (260917 fok atr)</v>
      </c>
      <c r="B42" s="4" t="s">
        <v>39</v>
      </c>
      <c r="C42" s="4" t="s">
        <v>118</v>
      </c>
      <c r="D42" s="4" t="str">
        <f t="shared" si="20"/>
        <v>Авт. выкл. NXB-63H 3P 50A 10кА х-ка C (R)</v>
      </c>
      <c r="E42" s="5">
        <f t="shared" si="12"/>
        <v>11254</v>
      </c>
      <c r="F42" s="5">
        <f t="shared" si="13"/>
        <v>6752.4</v>
      </c>
      <c r="G42" s="5">
        <f t="shared" si="14"/>
        <v>6752.4</v>
      </c>
      <c r="H42" s="4">
        <v>1</v>
      </c>
      <c r="I42" s="4" t="str">
        <f t="shared" si="15"/>
        <v>шт</v>
      </c>
      <c r="J42" s="4" t="str">
        <f t="shared" si="21"/>
        <v>chint</v>
      </c>
      <c r="K42" s="4" t="str">
        <f t="shared" si="16"/>
        <v>260917</v>
      </c>
      <c r="L42" s="6">
        <f t="shared" si="17"/>
        <v>6752.4</v>
      </c>
      <c r="M42" s="7">
        <f t="shared" si="18"/>
        <v>1</v>
      </c>
      <c r="N42" s="7" t="s">
        <v>41</v>
      </c>
      <c r="O42" s="7" t="s">
        <v>39</v>
      </c>
      <c r="P42" s="8" t="str">
        <f t="shared" si="19"/>
        <v>OK</v>
      </c>
      <c r="Q42" s="8" t="s">
        <v>119</v>
      </c>
    </row>
    <row r="43" spans="1:17" ht="15" customHeight="1" x14ac:dyDescent="0.25">
      <c r="A43" s="4" t="str">
        <f t="shared" si="11"/>
        <v>ЩР-1 (260917 fok atr)</v>
      </c>
      <c r="B43" s="4" t="s">
        <v>39</v>
      </c>
      <c r="C43" s="4" t="s">
        <v>120</v>
      </c>
      <c r="D43" s="4" t="str">
        <f t="shared" si="20"/>
        <v>Авт. выкл. NXB-63H 3P 32A 10кА х-ка C (R)</v>
      </c>
      <c r="E43" s="5">
        <f t="shared" si="12"/>
        <v>11771</v>
      </c>
      <c r="F43" s="5">
        <f t="shared" si="13"/>
        <v>7062.5999999999995</v>
      </c>
      <c r="G43" s="5">
        <f t="shared" si="14"/>
        <v>7062.5999999999995</v>
      </c>
      <c r="H43" s="4">
        <v>1</v>
      </c>
      <c r="I43" s="4" t="str">
        <f t="shared" si="15"/>
        <v>шт</v>
      </c>
      <c r="J43" s="4" t="str">
        <f t="shared" si="21"/>
        <v>chint</v>
      </c>
      <c r="K43" s="4" t="str">
        <f t="shared" si="16"/>
        <v>260917</v>
      </c>
      <c r="L43" s="6">
        <f t="shared" si="17"/>
        <v>7062.5999999999995</v>
      </c>
      <c r="M43" s="7">
        <f t="shared" si="18"/>
        <v>1</v>
      </c>
      <c r="N43" s="7" t="s">
        <v>41</v>
      </c>
      <c r="O43" s="7" t="s">
        <v>39</v>
      </c>
      <c r="P43" s="8" t="str">
        <f t="shared" si="19"/>
        <v>OK</v>
      </c>
      <c r="Q43" s="8" t="s">
        <v>121</v>
      </c>
    </row>
    <row r="44" spans="1:17" ht="15" customHeight="1" x14ac:dyDescent="0.25">
      <c r="A44" s="4" t="str">
        <f t="shared" si="11"/>
        <v>ЩР-1 (260917 fok atr)</v>
      </c>
      <c r="B44" s="4" t="s">
        <v>39</v>
      </c>
      <c r="C44" s="4" t="s">
        <v>122</v>
      </c>
      <c r="D44" s="4" t="str">
        <f t="shared" si="20"/>
        <v>Авт. выкл. NXB-63H 3P 25A 10кА х-ка C (R)</v>
      </c>
      <c r="E44" s="5">
        <f t="shared" si="12"/>
        <v>10552</v>
      </c>
      <c r="F44" s="5">
        <f t="shared" si="13"/>
        <v>6331.2</v>
      </c>
      <c r="G44" s="5">
        <f t="shared" si="14"/>
        <v>12662.4</v>
      </c>
      <c r="H44" s="4">
        <v>2</v>
      </c>
      <c r="I44" s="4" t="str">
        <f t="shared" si="15"/>
        <v>шт</v>
      </c>
      <c r="J44" s="4" t="str">
        <f t="shared" si="21"/>
        <v>chint</v>
      </c>
      <c r="K44" s="4" t="str">
        <f t="shared" si="16"/>
        <v>260917</v>
      </c>
      <c r="L44" s="6">
        <f t="shared" si="17"/>
        <v>12662.4</v>
      </c>
      <c r="M44" s="7">
        <f t="shared" si="18"/>
        <v>1</v>
      </c>
      <c r="N44" s="7" t="s">
        <v>41</v>
      </c>
      <c r="O44" s="7" t="s">
        <v>39</v>
      </c>
      <c r="P44" s="8" t="str">
        <f t="shared" si="19"/>
        <v>OK</v>
      </c>
      <c r="Q44" s="8" t="s">
        <v>123</v>
      </c>
    </row>
    <row r="45" spans="1:17" ht="15" customHeight="1" x14ac:dyDescent="0.25">
      <c r="A45" s="4" t="str">
        <f t="shared" si="11"/>
        <v>ЩР-1 (260917 fok atr)</v>
      </c>
      <c r="B45" s="4" t="s">
        <v>68</v>
      </c>
      <c r="C45" s="4" t="str">
        <f>IF((SUMIFS($H$39:$H$44,$N$39:$N$44,"CIKIS")+SUMIFS($H$39:$H$44,$N$39:$N$44,"KUMANDA")+1)&gt;MAX(SNI_DELIK),INDEX(SNI_KOD,ROWS(SNI_KOD)),INDEX(SNI_KOD,COUNTIF(SNI_DELIK,"&lt;"&amp;(SUMIFS($H$39:$H$44,$N$39:$N$44,"CIKIS")+SUMIFS($H$39:$H$44,$N$39:$N$44,"KUMANDA")+1))+1))</f>
        <v>130200365</v>
      </c>
      <c r="D45" s="4" t="str">
        <f t="shared" si="20"/>
        <v>Шина "N" нулевая 8х12мм комб с изол "Стойка" ШНИ 8-КС-С UNIT (20/300)</v>
      </c>
      <c r="E45" s="5">
        <f t="shared" si="12"/>
        <v>630</v>
      </c>
      <c r="F45" s="5">
        <f t="shared" si="13"/>
        <v>630</v>
      </c>
      <c r="G45" s="5">
        <f t="shared" si="14"/>
        <v>630</v>
      </c>
      <c r="H45" s="4">
        <f>IF((SUMIFS($H$39:$H$44,$N$39:$N$44,"CIKIS")+SUMIFS($H$39:$H$44,$N$39:$N$44,"KUMANDA")+1)&gt;MAX(SNI_DELIK),ROUNDUP((SUMIFS($H$39:$H$44,$N$39:$N$44,"CIKIS")+SUMIFS($H$39:$H$44,$N$39:$N$44,"KUMANDA")+1)/MAX(SNI_DELIK),0),1)</f>
        <v>1</v>
      </c>
      <c r="I45" s="4" t="str">
        <f t="shared" si="15"/>
        <v>шт</v>
      </c>
      <c r="J45" s="4" t="str">
        <f t="shared" si="21"/>
        <v>ekt</v>
      </c>
      <c r="K45" s="4" t="str">
        <f t="shared" si="16"/>
        <v>260917</v>
      </c>
      <c r="L45" s="6">
        <f t="shared" si="17"/>
        <v>630</v>
      </c>
      <c r="M45" s="7">
        <f t="shared" si="18"/>
        <v>1</v>
      </c>
      <c r="N45" s="7" t="s">
        <v>69</v>
      </c>
      <c r="O45" s="7" t="s">
        <v>68</v>
      </c>
      <c r="P45" s="8" t="str">
        <f t="shared" si="19"/>
        <v>ESKİ</v>
      </c>
      <c r="Q45" s="8" t="s">
        <v>70</v>
      </c>
    </row>
    <row r="46" spans="1:17" ht="15" customHeight="1" x14ac:dyDescent="0.25">
      <c r="A46" s="4" t="str">
        <f t="shared" si="11"/>
        <v>ЩР-1 (260917 fok atr)</v>
      </c>
      <c r="B46" s="4" t="s">
        <v>68</v>
      </c>
      <c r="C46" s="4" t="str">
        <f>IF((SUMIFS($H$39:$H$44,$N$39:$N$44,"CIKIS")+2+N(KURALLAR!$J$204))&gt;MAX(SNI_DELIK),INDEX(SNI_KOD,ROWS(SNI_KOD)),INDEX(SNI_KOD,COUNTIF(SNI_DELIK,"&lt;"&amp;(SUMIFS($H$39:$H$44,$N$39:$N$44,"CIKIS")+2+N(KURALLAR!$J$204)))+1))</f>
        <v>130200361</v>
      </c>
      <c r="D46" s="4" t="str">
        <f t="shared" si="20"/>
        <v>Шина "N" нулевая 8х12мм комб с изол "Стойка" ШНИ 10-КС-С UNIT (20/300)</v>
      </c>
      <c r="E46" s="5">
        <f t="shared" si="12"/>
        <v>780</v>
      </c>
      <c r="F46" s="5">
        <f t="shared" si="13"/>
        <v>780</v>
      </c>
      <c r="G46" s="5">
        <f t="shared" si="14"/>
        <v>780</v>
      </c>
      <c r="H46" s="4">
        <f>IF((SUMIFS($H$39:$H$44,$N$39:$N$44,"CIKIS")+2+N(KURALLAR!$J$204))&gt;MAX(SNI_DELIK),ROUNDUP((SUMIFS($H$39:$H$44,$N$39:$N$44,"CIKIS")+2+N(KURALLAR!$J$204))/MAX(SNI_DELIK),0),1)</f>
        <v>1</v>
      </c>
      <c r="I46" s="4" t="str">
        <f t="shared" si="15"/>
        <v>шт</v>
      </c>
      <c r="J46" s="4" t="str">
        <f t="shared" si="21"/>
        <v>ekt</v>
      </c>
      <c r="K46" s="4" t="str">
        <f t="shared" si="16"/>
        <v>260917</v>
      </c>
      <c r="L46" s="6">
        <f t="shared" si="17"/>
        <v>780</v>
      </c>
      <c r="M46" s="7">
        <f t="shared" si="18"/>
        <v>1</v>
      </c>
      <c r="N46" s="7" t="s">
        <v>69</v>
      </c>
      <c r="O46" s="7" t="s">
        <v>68</v>
      </c>
      <c r="P46" s="8" t="str">
        <f t="shared" si="19"/>
        <v>ESKİ</v>
      </c>
      <c r="Q46" s="8" t="s">
        <v>71</v>
      </c>
    </row>
    <row r="47" spans="1:17" ht="15" customHeight="1" x14ac:dyDescent="0.25">
      <c r="A47" s="4" t="str">
        <f t="shared" si="11"/>
        <v>ЩР-1 (260917 fok atr)</v>
      </c>
      <c r="B47" s="4" t="s">
        <v>75</v>
      </c>
      <c r="C47" s="4" t="s">
        <v>124</v>
      </c>
      <c r="D47" s="4" t="str">
        <f t="shared" si="20"/>
        <v>HARMONY ПВ3 1*4</v>
      </c>
      <c r="E47" s="5">
        <f t="shared" si="12"/>
        <v>274</v>
      </c>
      <c r="F47" s="5">
        <f t="shared" si="13"/>
        <v>274</v>
      </c>
      <c r="G47" s="5">
        <f t="shared" si="14"/>
        <v>411</v>
      </c>
      <c r="H47" s="4">
        <f>ROUND(SUMPRODUCT(SUMIFS($H$39:$H$44,$C$39:$C$44,FA,$N$39:$N$44,"&lt;&gt;YEDEK")*(F_BK=4)*F_TELM)*KABLO_FIRE,1)</f>
        <v>1.5</v>
      </c>
      <c r="I47" s="4" t="str">
        <f t="shared" si="15"/>
        <v>м</v>
      </c>
      <c r="J47" s="4" t="str">
        <f t="shared" si="21"/>
        <v>harmony</v>
      </c>
      <c r="K47" s="4" t="str">
        <f t="shared" si="16"/>
        <v>260917</v>
      </c>
      <c r="L47" s="6">
        <f t="shared" si="17"/>
        <v>411</v>
      </c>
      <c r="M47" s="7">
        <f t="shared" si="18"/>
        <v>1</v>
      </c>
      <c r="N47" s="7" t="s">
        <v>69</v>
      </c>
      <c r="O47" s="7" t="s">
        <v>75</v>
      </c>
      <c r="P47" s="8" t="str">
        <f t="shared" si="19"/>
        <v>TARİH YOK</v>
      </c>
      <c r="Q47" s="8" t="s">
        <v>125</v>
      </c>
    </row>
    <row r="48" spans="1:17" ht="15" customHeight="1" x14ac:dyDescent="0.25">
      <c r="A48" s="4" t="str">
        <f t="shared" si="11"/>
        <v>ЩР-1 (260917 fok atr)</v>
      </c>
      <c r="B48" s="4" t="s">
        <v>75</v>
      </c>
      <c r="C48" s="4" t="s">
        <v>86</v>
      </c>
      <c r="D48" s="4" t="str">
        <f t="shared" si="20"/>
        <v>HARMONY ПВ3 1*6</v>
      </c>
      <c r="E48" s="5">
        <f t="shared" si="12"/>
        <v>398</v>
      </c>
      <c r="F48" s="5">
        <f t="shared" si="13"/>
        <v>398</v>
      </c>
      <c r="G48" s="5">
        <f t="shared" si="14"/>
        <v>915.4</v>
      </c>
      <c r="H48" s="4">
        <f>ROUND(SUMPRODUCT(SUMIFS($H$39:$H$44,$C$39:$C$44,FA,$N$39:$N$44,"&lt;&gt;YEDEK")*(F_BK=6)*F_TELM)*KABLO_FIRE,1)</f>
        <v>2.2999999999999998</v>
      </c>
      <c r="I48" s="4" t="str">
        <f t="shared" si="15"/>
        <v>м</v>
      </c>
      <c r="J48" s="4" t="str">
        <f t="shared" si="21"/>
        <v>harmony</v>
      </c>
      <c r="K48" s="4" t="str">
        <f t="shared" si="16"/>
        <v>260917</v>
      </c>
      <c r="L48" s="6">
        <f t="shared" si="17"/>
        <v>915.4</v>
      </c>
      <c r="M48" s="7">
        <f t="shared" si="18"/>
        <v>1</v>
      </c>
      <c r="N48" s="7" t="s">
        <v>69</v>
      </c>
      <c r="O48" s="7" t="s">
        <v>75</v>
      </c>
      <c r="P48" s="8" t="str">
        <f t="shared" si="19"/>
        <v>TARİH YOK</v>
      </c>
      <c r="Q48" s="8" t="s">
        <v>126</v>
      </c>
    </row>
    <row r="49" spans="1:17" ht="15" customHeight="1" x14ac:dyDescent="0.25">
      <c r="A49" s="4" t="str">
        <f t="shared" si="11"/>
        <v>ЩР-1 (260917 fok atr)</v>
      </c>
      <c r="B49" s="4" t="s">
        <v>75</v>
      </c>
      <c r="C49" s="4" t="s">
        <v>127</v>
      </c>
      <c r="D49" s="4" t="str">
        <f t="shared" si="20"/>
        <v>HARMONY ПВ3 1*10</v>
      </c>
      <c r="E49" s="5">
        <f t="shared" si="12"/>
        <v>697</v>
      </c>
      <c r="F49" s="5">
        <f t="shared" si="13"/>
        <v>697</v>
      </c>
      <c r="G49" s="5">
        <f t="shared" si="14"/>
        <v>557.6</v>
      </c>
      <c r="H49" s="4">
        <f>ROUND(SUMPRODUCT(SUMIFS($H$39:$H$44,$C$39:$C$44,FA,$N$39:$N$44,"&lt;&gt;YEDEK")*(F_BK=10)*F_TELM)*KABLO_FIRE,1)</f>
        <v>0.8</v>
      </c>
      <c r="I49" s="4" t="str">
        <f t="shared" si="15"/>
        <v>м</v>
      </c>
      <c r="J49" s="4" t="str">
        <f t="shared" si="21"/>
        <v>harmony</v>
      </c>
      <c r="K49" s="4" t="str">
        <f t="shared" si="16"/>
        <v>260917</v>
      </c>
      <c r="L49" s="6">
        <f t="shared" si="17"/>
        <v>557.6</v>
      </c>
      <c r="M49" s="7">
        <f t="shared" si="18"/>
        <v>1</v>
      </c>
      <c r="N49" s="7" t="s">
        <v>69</v>
      </c>
      <c r="O49" s="7" t="s">
        <v>75</v>
      </c>
      <c r="P49" s="8" t="str">
        <f t="shared" si="19"/>
        <v>TARİH YOK</v>
      </c>
      <c r="Q49" s="8" t="s">
        <v>128</v>
      </c>
    </row>
    <row r="50" spans="1:17" ht="15" customHeight="1" x14ac:dyDescent="0.25">
      <c r="A50" s="4" t="str">
        <f t="shared" si="11"/>
        <v>ЩР-1 (260917 fok atr)</v>
      </c>
      <c r="B50" s="4" t="s">
        <v>75</v>
      </c>
      <c r="C50" s="4" t="s">
        <v>80</v>
      </c>
      <c r="D50" s="4" t="str">
        <f t="shared" si="20"/>
        <v>HARMONY ПВ3 1*25</v>
      </c>
      <c r="E50" s="5">
        <f t="shared" si="12"/>
        <v>1688</v>
      </c>
      <c r="F50" s="5">
        <f t="shared" si="13"/>
        <v>1688</v>
      </c>
      <c r="G50" s="5">
        <f t="shared" si="14"/>
        <v>1688</v>
      </c>
      <c r="H50" s="4">
        <f>ROUND(SUMPRODUCT(SUMIFS($H$39:$H$44,$C$39:$C$44,FA,$N$39:$N$44,"&lt;&gt;YEDEK")*(F_BK=25)*F_TELM)*KABLO_FIRE,1)</f>
        <v>1</v>
      </c>
      <c r="I50" s="4" t="str">
        <f t="shared" si="15"/>
        <v>м</v>
      </c>
      <c r="J50" s="4" t="str">
        <f t="shared" si="21"/>
        <v>harmony</v>
      </c>
      <c r="K50" s="4" t="str">
        <f t="shared" si="16"/>
        <v>260917</v>
      </c>
      <c r="L50" s="6">
        <f t="shared" si="17"/>
        <v>1688</v>
      </c>
      <c r="M50" s="7">
        <f t="shared" si="18"/>
        <v>1</v>
      </c>
      <c r="N50" s="7" t="s">
        <v>69</v>
      </c>
      <c r="O50" s="7" t="s">
        <v>75</v>
      </c>
      <c r="P50" s="8" t="str">
        <f t="shared" si="19"/>
        <v>TARİH YOK</v>
      </c>
      <c r="Q50" s="8" t="s">
        <v>81</v>
      </c>
    </row>
    <row r="51" spans="1:17" ht="15" customHeight="1" x14ac:dyDescent="0.25">
      <c r="A51" s="4" t="str">
        <f t="shared" si="11"/>
        <v>ЩР-1 (260917 fok atr)</v>
      </c>
      <c r="B51" s="4" t="s">
        <v>75</v>
      </c>
      <c r="C51" s="4" t="s">
        <v>86</v>
      </c>
      <c r="D51" s="4" t="str">
        <f t="shared" si="20"/>
        <v>HARMONY ПВ3 1*6</v>
      </c>
      <c r="E51" s="5">
        <f t="shared" si="12"/>
        <v>398</v>
      </c>
      <c r="F51" s="5">
        <f t="shared" si="13"/>
        <v>398</v>
      </c>
      <c r="G51" s="5">
        <f t="shared" si="14"/>
        <v>199</v>
      </c>
      <c r="H51" s="4">
        <f>N(KURALLAR!$J$204)*KAPI_TOPRAK_M</f>
        <v>0.5</v>
      </c>
      <c r="I51" s="4" t="str">
        <f t="shared" si="15"/>
        <v>м</v>
      </c>
      <c r="J51" s="4" t="str">
        <f t="shared" si="21"/>
        <v>harmony</v>
      </c>
      <c r="K51" s="4" t="str">
        <f t="shared" si="16"/>
        <v>260917</v>
      </c>
      <c r="L51" s="6">
        <f t="shared" si="17"/>
        <v>199</v>
      </c>
      <c r="M51" s="7">
        <f t="shared" si="18"/>
        <v>1</v>
      </c>
      <c r="N51" s="7" t="s">
        <v>69</v>
      </c>
      <c r="O51" s="7" t="s">
        <v>75</v>
      </c>
      <c r="P51" s="8" t="str">
        <f t="shared" si="19"/>
        <v>TARİH YOK</v>
      </c>
      <c r="Q51" s="8" t="s">
        <v>87</v>
      </c>
    </row>
    <row r="52" spans="1:17" ht="15" customHeight="1" x14ac:dyDescent="0.25">
      <c r="A52" s="4" t="str">
        <f t="shared" si="11"/>
        <v>ЩР-1 (260917 fok atr)</v>
      </c>
      <c r="B52" s="4" t="s">
        <v>88</v>
      </c>
      <c r="C52" s="4" t="s">
        <v>129</v>
      </c>
      <c r="D52" s="4" t="str">
        <f t="shared" si="20"/>
        <v>Наконечник НШВИ 4,0-9 изолированный 79446 (100шт) КВТ NEW</v>
      </c>
      <c r="E52" s="5">
        <f t="shared" si="12"/>
        <v>818</v>
      </c>
      <c r="F52" s="5">
        <f t="shared" si="13"/>
        <v>818</v>
      </c>
      <c r="G52" s="5">
        <f t="shared" si="14"/>
        <v>818</v>
      </c>
      <c r="H52" s="4">
        <f>ROUNDUP(SUMPRODUCT(SUMIFS($H$39:$H$44,$C$39:$C$44,FA,$N$39:$N$44,"&lt;&gt;YEDEK")*(F_BK=4)*F_TEL)*2*YUKSUK_FIRE/MAX(1,IF(ISNA(MATCH($C52,FA,0)),1,N(INDEX(F_PAKET,MATCH($C52,FA,0))))),0)</f>
        <v>1</v>
      </c>
      <c r="I52" s="4" t="str">
        <f t="shared" si="15"/>
        <v>упак</v>
      </c>
      <c r="J52" s="4" t="str">
        <f t="shared" si="21"/>
        <v>ekt</v>
      </c>
      <c r="K52" s="4" t="str">
        <f t="shared" si="16"/>
        <v>260917</v>
      </c>
      <c r="L52" s="6">
        <f t="shared" si="17"/>
        <v>818</v>
      </c>
      <c r="M52" s="7">
        <f t="shared" si="18"/>
        <v>1</v>
      </c>
      <c r="N52" s="7" t="s">
        <v>69</v>
      </c>
      <c r="O52" s="7" t="s">
        <v>88</v>
      </c>
      <c r="P52" s="8" t="str">
        <f t="shared" si="19"/>
        <v>ESKİ</v>
      </c>
      <c r="Q52" s="8" t="s">
        <v>130</v>
      </c>
    </row>
    <row r="53" spans="1:17" ht="15" customHeight="1" x14ac:dyDescent="0.25">
      <c r="A53" s="4" t="str">
        <f t="shared" si="11"/>
        <v>ЩР-1 (260917 fok atr)</v>
      </c>
      <c r="B53" s="4" t="s">
        <v>88</v>
      </c>
      <c r="C53" s="4" t="s">
        <v>131</v>
      </c>
      <c r="D53" s="4" t="str">
        <f t="shared" si="20"/>
        <v>Наконечник НШВИ 6,0-12 изолированный 79449 (100шт) КВТ NEW</v>
      </c>
      <c r="E53" s="5">
        <f t="shared" si="12"/>
        <v>1240</v>
      </c>
      <c r="F53" s="5">
        <f t="shared" si="13"/>
        <v>1240</v>
      </c>
      <c r="G53" s="5">
        <f t="shared" si="14"/>
        <v>1240</v>
      </c>
      <c r="H53" s="4">
        <f>ROUNDUP(SUMPRODUCT(SUMIFS($H$39:$H$44,$C$39:$C$44,FA,$N$39:$N$44,"&lt;&gt;YEDEK")*(F_BK=6)*F_TEL)*2*YUKSUK_FIRE/MAX(1,IF(ISNA(MATCH($C53,FA,0)),1,N(INDEX(F_PAKET,MATCH($C53,FA,0))))),0)</f>
        <v>1</v>
      </c>
      <c r="I53" s="4" t="str">
        <f t="shared" si="15"/>
        <v>упак</v>
      </c>
      <c r="J53" s="4" t="str">
        <f t="shared" si="21"/>
        <v>ekt</v>
      </c>
      <c r="K53" s="4" t="str">
        <f t="shared" si="16"/>
        <v>260917</v>
      </c>
      <c r="L53" s="6">
        <f t="shared" si="17"/>
        <v>1240</v>
      </c>
      <c r="M53" s="7">
        <f t="shared" si="18"/>
        <v>1</v>
      </c>
      <c r="N53" s="7" t="s">
        <v>69</v>
      </c>
      <c r="O53" s="7" t="s">
        <v>88</v>
      </c>
      <c r="P53" s="8" t="str">
        <f t="shared" si="19"/>
        <v>ESKİ</v>
      </c>
      <c r="Q53" s="8" t="s">
        <v>132</v>
      </c>
    </row>
    <row r="54" spans="1:17" ht="15" customHeight="1" x14ac:dyDescent="0.25">
      <c r="A54" s="4" t="str">
        <f t="shared" si="11"/>
        <v>ЩР-1 (260917 fok atr)</v>
      </c>
      <c r="B54" s="4" t="s">
        <v>88</v>
      </c>
      <c r="C54" s="4" t="s">
        <v>133</v>
      </c>
      <c r="D54" s="4" t="str">
        <f t="shared" si="20"/>
        <v>Наконечник НШВИ 10-12 изолированный 79451 (100шт) КВТ NEW</v>
      </c>
      <c r="E54" s="5">
        <f t="shared" si="12"/>
        <v>1550</v>
      </c>
      <c r="F54" s="5">
        <f t="shared" si="13"/>
        <v>1550</v>
      </c>
      <c r="G54" s="5">
        <f t="shared" si="14"/>
        <v>1550</v>
      </c>
      <c r="H54" s="4">
        <f>ROUNDUP(SUMPRODUCT(SUMIFS($H$39:$H$44,$C$39:$C$44,FA,$N$39:$N$44,"&lt;&gt;YEDEK")*(F_BK=10)*F_TEL)*2*YUKSUK_FIRE/MAX(1,IF(ISNA(MATCH($C54,FA,0)),1,N(INDEX(F_PAKET,MATCH($C54,FA,0))))),0)</f>
        <v>1</v>
      </c>
      <c r="I54" s="4" t="str">
        <f t="shared" si="15"/>
        <v>упак</v>
      </c>
      <c r="J54" s="4" t="str">
        <f t="shared" si="21"/>
        <v>ekt</v>
      </c>
      <c r="K54" s="4" t="str">
        <f t="shared" si="16"/>
        <v>260917</v>
      </c>
      <c r="L54" s="6">
        <f t="shared" si="17"/>
        <v>1550</v>
      </c>
      <c r="M54" s="7">
        <f t="shared" si="18"/>
        <v>1</v>
      </c>
      <c r="N54" s="7" t="s">
        <v>69</v>
      </c>
      <c r="O54" s="7" t="s">
        <v>88</v>
      </c>
      <c r="P54" s="8" t="str">
        <f t="shared" si="19"/>
        <v>ESKİ</v>
      </c>
      <c r="Q54" s="8" t="s">
        <v>134</v>
      </c>
    </row>
    <row r="55" spans="1:17" ht="15" customHeight="1" x14ac:dyDescent="0.25">
      <c r="A55" s="4" t="str">
        <f t="shared" si="11"/>
        <v>ЩР-1 (260917 fok atr)</v>
      </c>
      <c r="B55" s="4" t="s">
        <v>93</v>
      </c>
      <c r="C55" s="4" t="s">
        <v>94</v>
      </c>
      <c r="D55" s="4" t="str">
        <f t="shared" si="20"/>
        <v>Наконечник медно-луженный JG - 25 IEK (200)</v>
      </c>
      <c r="E55" s="5">
        <f t="shared" si="12"/>
        <v>156</v>
      </c>
      <c r="F55" s="5">
        <f t="shared" si="13"/>
        <v>156</v>
      </c>
      <c r="G55" s="5">
        <f t="shared" si="14"/>
        <v>936</v>
      </c>
      <c r="H55" s="4">
        <f>ROUNDUP(SUMPRODUCT(SUMIFS($H$39:$H$44,$C$39:$C$44,FA,$N$39:$N$44,"&lt;&gt;YEDEK")*(F_BK=25)*F_TEL)*2*PABUC_FIRE,0)</f>
        <v>6</v>
      </c>
      <c r="I55" s="4" t="str">
        <f t="shared" si="15"/>
        <v>шт</v>
      </c>
      <c r="J55" s="4" t="str">
        <f t="shared" si="21"/>
        <v>ekt</v>
      </c>
      <c r="K55" s="4" t="str">
        <f t="shared" si="16"/>
        <v>260917</v>
      </c>
      <c r="L55" s="6">
        <f t="shared" si="17"/>
        <v>936</v>
      </c>
      <c r="M55" s="7">
        <f t="shared" si="18"/>
        <v>1</v>
      </c>
      <c r="N55" s="7" t="s">
        <v>69</v>
      </c>
      <c r="O55" s="7" t="s">
        <v>93</v>
      </c>
      <c r="P55" s="8" t="str">
        <f t="shared" si="19"/>
        <v>ESKİ</v>
      </c>
      <c r="Q55" s="8" t="s">
        <v>95</v>
      </c>
    </row>
    <row r="56" spans="1:17" ht="15" customHeight="1" x14ac:dyDescent="0.25">
      <c r="A56" s="4" t="str">
        <f t="shared" si="11"/>
        <v>ЩР-1 (260917 fok atr)</v>
      </c>
      <c r="B56" s="4" t="s">
        <v>93</v>
      </c>
      <c r="C56" s="4" t="s">
        <v>100</v>
      </c>
      <c r="D56" s="4" t="str">
        <f t="shared" si="20"/>
        <v>Наконечник медно-луженный JG - 6 IEK (600)</v>
      </c>
      <c r="E56" s="5">
        <f t="shared" si="12"/>
        <v>76</v>
      </c>
      <c r="F56" s="5">
        <f t="shared" si="13"/>
        <v>76</v>
      </c>
      <c r="G56" s="5">
        <f t="shared" si="14"/>
        <v>152</v>
      </c>
      <c r="H56" s="4">
        <f>2*N(KURALLAR!$J$204)</f>
        <v>2</v>
      </c>
      <c r="I56" s="4" t="str">
        <f t="shared" si="15"/>
        <v>шт</v>
      </c>
      <c r="J56" s="4" t="str">
        <f t="shared" si="21"/>
        <v>ekt</v>
      </c>
      <c r="K56" s="4" t="str">
        <f t="shared" si="16"/>
        <v>260917</v>
      </c>
      <c r="L56" s="6">
        <f t="shared" si="17"/>
        <v>152</v>
      </c>
      <c r="M56" s="7">
        <f t="shared" si="18"/>
        <v>1</v>
      </c>
      <c r="N56" s="7" t="s">
        <v>69</v>
      </c>
      <c r="O56" s="7" t="s">
        <v>93</v>
      </c>
      <c r="P56" s="8" t="str">
        <f t="shared" si="19"/>
        <v>ESKİ</v>
      </c>
      <c r="Q56" s="8" t="s">
        <v>101</v>
      </c>
    </row>
    <row r="57" spans="1:17" ht="15" customHeight="1" x14ac:dyDescent="0.25">
      <c r="A57" s="4" t="str">
        <f t="shared" si="11"/>
        <v>ЩР-1 (260917 fok atr)</v>
      </c>
      <c r="B57" s="4" t="s">
        <v>102</v>
      </c>
      <c r="C57" s="4" t="s">
        <v>103</v>
      </c>
      <c r="D57" s="4" t="str">
        <f t="shared" si="20"/>
        <v>Хомут 2,5х100 черный UNIT (100/500)</v>
      </c>
      <c r="E57" s="5">
        <f t="shared" si="12"/>
        <v>182</v>
      </c>
      <c r="F57" s="5">
        <f t="shared" si="13"/>
        <v>182</v>
      </c>
      <c r="G57" s="5">
        <f t="shared" si="14"/>
        <v>182</v>
      </c>
      <c r="H57" s="4">
        <f>ROUNDUP((N(H47)+N(H48)+N(H49)+N(H50)+N(H51))*BAG_ADET_M/MAX(1,IF(ISNA(MATCH($C57,FA,0)),1,N(INDEX(F_PAKET,MATCH($C57,FA,0))))),0)</f>
        <v>1</v>
      </c>
      <c r="I57" s="4" t="str">
        <f t="shared" si="15"/>
        <v>упак</v>
      </c>
      <c r="J57" s="4" t="str">
        <f t="shared" si="21"/>
        <v>ekt</v>
      </c>
      <c r="K57" s="4" t="str">
        <f t="shared" si="16"/>
        <v>260917</v>
      </c>
      <c r="L57" s="6">
        <f t="shared" si="17"/>
        <v>182</v>
      </c>
      <c r="M57" s="7">
        <f t="shared" si="18"/>
        <v>1</v>
      </c>
      <c r="N57" s="7" t="s">
        <v>69</v>
      </c>
      <c r="O57" s="7" t="s">
        <v>102</v>
      </c>
      <c r="P57" s="8" t="str">
        <f t="shared" si="19"/>
        <v>ESKİ</v>
      </c>
      <c r="Q57" s="8" t="s">
        <v>104</v>
      </c>
    </row>
    <row r="58" spans="1:17" ht="15" customHeight="1" x14ac:dyDescent="0.25">
      <c r="A58" s="4" t="str">
        <f t="shared" si="11"/>
        <v>ЩР-1 (260917 fok atr)</v>
      </c>
      <c r="B58" s="4" t="s">
        <v>105</v>
      </c>
      <c r="C58" s="4" t="s">
        <v>105</v>
      </c>
      <c r="D58" s="4" t="s">
        <v>105</v>
      </c>
      <c r="E58" s="5">
        <f>G59*MONTAJ_MALZ_KAT</f>
        <v>3024</v>
      </c>
      <c r="F58" s="5">
        <f>E58</f>
        <v>3024</v>
      </c>
      <c r="G58" s="5">
        <f>H58*F58</f>
        <v>3024</v>
      </c>
      <c r="H58" s="4">
        <v>1</v>
      </c>
      <c r="I58" s="4" t="s">
        <v>106</v>
      </c>
      <c r="J58" s="4" t="s">
        <v>105</v>
      </c>
      <c r="K58" s="4" t="str">
        <f t="shared" si="16"/>
        <v>260917</v>
      </c>
      <c r="L58" s="6">
        <f t="shared" si="17"/>
        <v>3024</v>
      </c>
      <c r="M58" s="7">
        <f t="shared" si="18"/>
        <v>1</v>
      </c>
    </row>
    <row r="59" spans="1:17" ht="15" customHeight="1" x14ac:dyDescent="0.25">
      <c r="A59" s="4" t="str">
        <f t="shared" si="11"/>
        <v>ЩР-1 (260917 fok atr)</v>
      </c>
      <c r="B59" s="4" t="s">
        <v>107</v>
      </c>
      <c r="C59" s="4" t="s">
        <v>107</v>
      </c>
      <c r="D59" s="4" t="s">
        <v>107</v>
      </c>
      <c r="E59" s="4">
        <f>ROUND(SUMPRODUCT(SUMIFS(H39:H58,O39:O58,TIP_AD)*NORM_DK)*ISCILIK_KAT/60,2)</f>
        <v>1.26</v>
      </c>
      <c r="F59" s="4">
        <f>DK_UCRET</f>
        <v>100</v>
      </c>
      <c r="G59" s="5">
        <f>H59*F59</f>
        <v>7559.9999999999991</v>
      </c>
      <c r="H59" s="4">
        <f>60*E59</f>
        <v>75.599999999999994</v>
      </c>
      <c r="I59" s="4" t="s">
        <v>108</v>
      </c>
      <c r="J59" s="4" t="s">
        <v>107</v>
      </c>
      <c r="K59" s="4" t="str">
        <f t="shared" si="16"/>
        <v>260917</v>
      </c>
      <c r="L59" s="6">
        <f t="shared" si="17"/>
        <v>7559.9999999999991</v>
      </c>
      <c r="M59" s="7">
        <f t="shared" si="18"/>
        <v>1</v>
      </c>
    </row>
    <row r="60" spans="1:17" ht="15" customHeight="1" x14ac:dyDescent="0.25">
      <c r="A60" s="4" t="str">
        <f t="shared" si="11"/>
        <v>ЩР-1 (260917 fok atr)</v>
      </c>
      <c r="B60" s="9"/>
      <c r="C60" s="9"/>
      <c r="D60" s="9"/>
      <c r="E60" s="9"/>
      <c r="F60" s="9"/>
      <c r="G60" s="10">
        <f>SUM(G39:G59)</f>
        <v>77323.200000000012</v>
      </c>
      <c r="H60" s="9"/>
      <c r="I60" s="9"/>
      <c r="J60" s="9"/>
      <c r="K60" s="4" t="str">
        <f t="shared" si="16"/>
        <v>260917</v>
      </c>
      <c r="L60" s="11">
        <f>SUM(L39:L59)</f>
        <v>77323.200000000012</v>
      </c>
      <c r="M60" s="7">
        <f t="shared" si="18"/>
        <v>1</v>
      </c>
      <c r="P60" s="7" t="str">
        <f>IF(COUNTIF(P39:P59,"FİYAT YOK")+COUNTIF(P39:P59,"YASAK")+COUNTIF(P39:P59,"MARKA YOK")+COUNTIF(P39:P59,"ARTİKÜL YOK")&gt;0,"EKSİK FİYAT","")</f>
        <v/>
      </c>
      <c r="Q60" s="7" t="str">
        <f>IF(KURALLAR!$Q$204="OK","","PANO: "&amp;KURALLAR!$Q$204)</f>
        <v/>
      </c>
    </row>
    <row r="61" spans="1:17" ht="15" customHeight="1" x14ac:dyDescent="0.25">
      <c r="A61" s="1" t="str">
        <f>D61</f>
        <v>ЩС-1 (260917 fok atr)</v>
      </c>
      <c r="B61" s="2"/>
      <c r="C61" s="2"/>
      <c r="D61" s="1" t="s">
        <v>645</v>
      </c>
      <c r="E61" s="2"/>
      <c r="F61" s="2"/>
      <c r="G61" s="2"/>
      <c r="H61" s="1">
        <v>1</v>
      </c>
      <c r="I61" s="1" t="s">
        <v>17</v>
      </c>
      <c r="J61" s="1" t="s">
        <v>642</v>
      </c>
      <c r="K61" s="1" t="s">
        <v>18</v>
      </c>
      <c r="M61" s="3">
        <f>H61</f>
        <v>1</v>
      </c>
    </row>
    <row r="62" spans="1:17" ht="15" customHeight="1" x14ac:dyDescent="0.25">
      <c r="A62" s="4" t="str">
        <f t="shared" ref="A62:A76" si="22">A61</f>
        <v>ЩС-1 (260917 fok atr)</v>
      </c>
      <c r="B62" s="4" t="s">
        <v>19</v>
      </c>
      <c r="C62" s="4" t="s">
        <v>631</v>
      </c>
      <c r="D62" s="4" t="s">
        <v>632</v>
      </c>
      <c r="E62" s="5">
        <v>24490</v>
      </c>
      <c r="F62" s="5">
        <f t="shared" ref="F62:F73" si="23">IF(ISNA(MATCH($C62,FA,0)),"",IF(INDEX(FIYAT_NET,MATCH($C62,FA,0))="","",INDEX(FIYAT_NET,MATCH($C62,FA,0))))</f>
        <v>14694</v>
      </c>
      <c r="G62" s="5">
        <f t="shared" ref="G62:G73" si="24">IF(OR(F62="",H62=""),"",H62*F62)</f>
        <v>14694</v>
      </c>
      <c r="H62" s="4">
        <v>1</v>
      </c>
      <c r="I62" s="4" t="str">
        <f t="shared" ref="I62:I73" si="25">IF(ISNA(MATCH($C62,FA,0)),"",IF(INDEX(FIYAT_BIRIM,MATCH($C62,FA,0))="","",INDEX(FIYAT_BIRIM,MATCH($C62,FA,0))))</f>
        <v>шт</v>
      </c>
      <c r="J62" s="4" t="s">
        <v>427</v>
      </c>
      <c r="K62" s="4" t="str">
        <f t="shared" ref="K62:K76" si="26">K61</f>
        <v>260917</v>
      </c>
      <c r="L62" s="6">
        <f t="shared" ref="L62:L75" si="27">G62</f>
        <v>14694</v>
      </c>
      <c r="M62" s="7">
        <f t="shared" ref="M62:M76" si="28">M61</f>
        <v>1</v>
      </c>
      <c r="N62" s="7" t="s">
        <v>21</v>
      </c>
      <c r="O62" s="7" t="s">
        <v>111</v>
      </c>
      <c r="P62" s="8" t="str">
        <f t="shared" ref="P62:P73" si="29">IF(ISNA(MATCH($C62,FA,0)),"ARTİKÜL YOK",INDEX(FIYAT_DURUM,MATCH($C62,FA,0)))</f>
        <v>OK</v>
      </c>
      <c r="Q62" s="8" t="s">
        <v>136</v>
      </c>
    </row>
    <row r="63" spans="1:17" ht="15" customHeight="1" x14ac:dyDescent="0.25">
      <c r="A63" s="4" t="str">
        <f t="shared" si="22"/>
        <v>ЩС-1 (260917 fok atr)</v>
      </c>
      <c r="B63" s="4" t="s">
        <v>113</v>
      </c>
      <c r="C63" s="4" t="s">
        <v>137</v>
      </c>
      <c r="D63" s="4" t="str">
        <f t="shared" ref="D63:D73" si="30">IF(ISNA(MATCH($C63,FA,0)),"ARTİKÜL FIYAT SAYFASINDA YOK",INDEX(FIYAT_AD,MATCH($C63,FA,0)))</f>
        <v>Выключатель нагрузки NXHB-125 3P 63A (R)</v>
      </c>
      <c r="E63" s="5">
        <f t="shared" ref="E63:E73" si="31">IF(ISNA(MATCH($C63,FA,0)),"",IF(INDEX(FIYAT_LISTE,MATCH($C63,FA,0))="","",INDEX(FIYAT_LISTE,MATCH($C63,FA,0))))</f>
        <v>4217</v>
      </c>
      <c r="F63" s="5">
        <f t="shared" si="23"/>
        <v>2530.1999999999998</v>
      </c>
      <c r="G63" s="5">
        <f t="shared" si="24"/>
        <v>2530.1999999999998</v>
      </c>
      <c r="H63" s="4">
        <v>1</v>
      </c>
      <c r="I63" s="4" t="str">
        <f t="shared" si="25"/>
        <v>шт</v>
      </c>
      <c r="J63" s="4" t="str">
        <f t="shared" ref="J63:J73" si="32">IF(ISNA(MATCH($C63,FA,0)),"",IF(INDEX(FIYAT_MARKA,MATCH($C63,FA,0))="","",INDEX(FIYAT_MARKA,MATCH($C63,FA,0))))</f>
        <v>chint</v>
      </c>
      <c r="K63" s="4" t="str">
        <f t="shared" si="26"/>
        <v>260917</v>
      </c>
      <c r="L63" s="6">
        <f t="shared" si="27"/>
        <v>2530.1999999999998</v>
      </c>
      <c r="M63" s="7">
        <f t="shared" si="28"/>
        <v>1</v>
      </c>
      <c r="N63" s="7" t="s">
        <v>26</v>
      </c>
      <c r="O63" s="7" t="s">
        <v>113</v>
      </c>
      <c r="P63" s="8" t="str">
        <f t="shared" si="29"/>
        <v>OK</v>
      </c>
      <c r="Q63" s="8" t="s">
        <v>138</v>
      </c>
    </row>
    <row r="64" spans="1:17" ht="15" customHeight="1" x14ac:dyDescent="0.25">
      <c r="A64" s="4" t="str">
        <f t="shared" si="22"/>
        <v>ЩС-1 (260917 fok atr)</v>
      </c>
      <c r="B64" s="4" t="s">
        <v>139</v>
      </c>
      <c r="C64" s="4" t="s">
        <v>633</v>
      </c>
      <c r="D64" s="4" t="s">
        <v>634</v>
      </c>
      <c r="E64" s="5">
        <v>5104</v>
      </c>
      <c r="F64" s="5">
        <f t="shared" si="23"/>
        <v>3062.4</v>
      </c>
      <c r="G64" s="5">
        <f t="shared" si="24"/>
        <v>39811.200000000004</v>
      </c>
      <c r="H64" s="4">
        <v>13</v>
      </c>
      <c r="I64" s="4" t="str">
        <f t="shared" si="25"/>
        <v>шт</v>
      </c>
      <c r="J64" s="4" t="str">
        <f t="shared" si="32"/>
        <v>chint</v>
      </c>
      <c r="K64" s="4" t="str">
        <f t="shared" si="26"/>
        <v>260917</v>
      </c>
      <c r="L64" s="6">
        <f t="shared" si="27"/>
        <v>39811.200000000004</v>
      </c>
      <c r="M64" s="7">
        <f t="shared" si="28"/>
        <v>1</v>
      </c>
      <c r="N64" s="7" t="s">
        <v>41</v>
      </c>
      <c r="O64" s="7" t="s">
        <v>139</v>
      </c>
      <c r="P64" s="8" t="str">
        <f t="shared" si="29"/>
        <v>OK</v>
      </c>
      <c r="Q64" s="8" t="s">
        <v>141</v>
      </c>
    </row>
    <row r="65" spans="1:17" ht="15" customHeight="1" x14ac:dyDescent="0.25">
      <c r="A65" s="4" t="str">
        <f t="shared" si="22"/>
        <v>ЩС-1 (260917 fok atr)</v>
      </c>
      <c r="B65" s="4" t="s">
        <v>68</v>
      </c>
      <c r="C65" s="4" t="str">
        <f>IF((SUMIFS($H$62:$H$64,$N$62:$N$64,"CIKIS")+SUMIFS($H$62:$H$64,$N$62:$N$64,"KUMANDA")+1)&gt;MAX(SNI_DELIK),INDEX(SNI_KOD,ROWS(SNI_KOD)),INDEX(SNI_KOD,COUNTIF(SNI_DELIK,"&lt;"&amp;(SUMIFS($H$62:$H$64,$N$62:$N$64,"CIKIS")+SUMIFS($H$62:$H$64,$N$62:$N$64,"KUMANDA")+1))+1))</f>
        <v>130200363</v>
      </c>
      <c r="D65" s="4" t="str">
        <f t="shared" si="30"/>
        <v>Шина "N" нулевая 8х12мм комб с изол "Стойка" ШНИ 14-КС-С UNIT (20/200)</v>
      </c>
      <c r="E65" s="5">
        <f t="shared" si="31"/>
        <v>1049</v>
      </c>
      <c r="F65" s="5">
        <f t="shared" si="23"/>
        <v>1049</v>
      </c>
      <c r="G65" s="5">
        <f t="shared" si="24"/>
        <v>1049</v>
      </c>
      <c r="H65" s="4">
        <f>IF((SUMIFS($H$62:$H$64,$N$62:$N$64,"CIKIS")+SUMIFS($H$62:$H$64,$N$62:$N$64,"KUMANDA")+1)&gt;MAX(SNI_DELIK),ROUNDUP((SUMIFS($H$62:$H$64,$N$62:$N$64,"CIKIS")+SUMIFS($H$62:$H$64,$N$62:$N$64,"KUMANDA")+1)/MAX(SNI_DELIK),0),1)</f>
        <v>1</v>
      </c>
      <c r="I65" s="4" t="str">
        <f t="shared" si="25"/>
        <v>шт</v>
      </c>
      <c r="J65" s="4" t="str">
        <f t="shared" si="32"/>
        <v>ekt</v>
      </c>
      <c r="K65" s="4" t="str">
        <f t="shared" si="26"/>
        <v>260917</v>
      </c>
      <c r="L65" s="6">
        <f t="shared" si="27"/>
        <v>1049</v>
      </c>
      <c r="M65" s="7">
        <f t="shared" si="28"/>
        <v>1</v>
      </c>
      <c r="N65" s="7" t="s">
        <v>69</v>
      </c>
      <c r="O65" s="7" t="s">
        <v>68</v>
      </c>
      <c r="P65" s="8" t="str">
        <f t="shared" si="29"/>
        <v>ESKİ</v>
      </c>
      <c r="Q65" s="8" t="s">
        <v>70</v>
      </c>
    </row>
    <row r="66" spans="1:17" ht="15" customHeight="1" x14ac:dyDescent="0.25">
      <c r="A66" s="4" t="str">
        <f t="shared" si="22"/>
        <v>ЩС-1 (260917 fok atr)</v>
      </c>
      <c r="B66" s="4" t="s">
        <v>68</v>
      </c>
      <c r="C66" s="4" t="str">
        <f>IF((SUMIFS($H$62:$H$64,$N$62:$N$64,"CIKIS")+2+N(KURALLAR!$J$205))&gt;MAX(SNI_DELIK),INDEX(SNI_KOD,ROWS(SNI_KOD)),INDEX(SNI_KOD,COUNTIF(SNI_DELIK,"&lt;"&amp;(SUMIFS($H$62:$H$64,$N$62:$N$64,"CIKIS")+2+N(KURALLAR!$J$205)))+1))</f>
        <v>130200363</v>
      </c>
      <c r="D66" s="4" t="str">
        <f t="shared" si="30"/>
        <v>Шина "N" нулевая 8х12мм комб с изол "Стойка" ШНИ 14-КС-С UNIT (20/200)</v>
      </c>
      <c r="E66" s="5">
        <f t="shared" si="31"/>
        <v>1049</v>
      </c>
      <c r="F66" s="5">
        <f t="shared" si="23"/>
        <v>1049</v>
      </c>
      <c r="G66" s="5">
        <f t="shared" si="24"/>
        <v>2098</v>
      </c>
      <c r="H66" s="4">
        <f>IF((SUMIFS($H$62:$H$64,$N$62:$N$64,"CIKIS")+2+N(KURALLAR!$J$205))&gt;MAX(SNI_DELIK),ROUNDUP((SUMIFS($H$62:$H$64,$N$62:$N$64,"CIKIS")+2+N(KURALLAR!$J$205))/MAX(SNI_DELIK),0),1)</f>
        <v>2</v>
      </c>
      <c r="I66" s="4" t="str">
        <f t="shared" si="25"/>
        <v>шт</v>
      </c>
      <c r="J66" s="4" t="str">
        <f t="shared" si="32"/>
        <v>ekt</v>
      </c>
      <c r="K66" s="4" t="str">
        <f t="shared" si="26"/>
        <v>260917</v>
      </c>
      <c r="L66" s="6">
        <f t="shared" si="27"/>
        <v>2098</v>
      </c>
      <c r="M66" s="7">
        <f t="shared" si="28"/>
        <v>1</v>
      </c>
      <c r="N66" s="7" t="s">
        <v>69</v>
      </c>
      <c r="O66" s="7" t="s">
        <v>68</v>
      </c>
      <c r="P66" s="8" t="str">
        <f t="shared" si="29"/>
        <v>ESKİ</v>
      </c>
      <c r="Q66" s="8" t="s">
        <v>71</v>
      </c>
    </row>
    <row r="67" spans="1:17" ht="15" customHeight="1" x14ac:dyDescent="0.25">
      <c r="A67" s="4" t="str">
        <f t="shared" si="22"/>
        <v>ЩС-1 (260917 fok atr)</v>
      </c>
      <c r="B67" s="4" t="s">
        <v>75</v>
      </c>
      <c r="C67" s="4" t="s">
        <v>78</v>
      </c>
      <c r="D67" s="4" t="str">
        <f t="shared" si="30"/>
        <v>HARMONY ПВ3 1*2,5</v>
      </c>
      <c r="E67" s="5">
        <f t="shared" si="31"/>
        <v>174</v>
      </c>
      <c r="F67" s="5">
        <f t="shared" si="23"/>
        <v>174</v>
      </c>
      <c r="G67" s="5">
        <f t="shared" si="24"/>
        <v>1496.3999999999999</v>
      </c>
      <c r="H67" s="4">
        <f>ROUND(SUMPRODUCT(SUMIFS($H$62:$H$64,$C$62:$C$64,FA,$N$62:$N$64,"&lt;&gt;YEDEK")*(F_BK=2.5)*F_TELM)*KABLO_FIRE,1)</f>
        <v>8.6</v>
      </c>
      <c r="I67" s="4" t="str">
        <f t="shared" si="25"/>
        <v>м</v>
      </c>
      <c r="J67" s="4" t="str">
        <f t="shared" si="32"/>
        <v>harmony</v>
      </c>
      <c r="K67" s="4" t="str">
        <f t="shared" si="26"/>
        <v>260917</v>
      </c>
      <c r="L67" s="6">
        <f t="shared" si="27"/>
        <v>1496.3999999999999</v>
      </c>
      <c r="M67" s="7">
        <f t="shared" si="28"/>
        <v>1</v>
      </c>
      <c r="N67" s="7" t="s">
        <v>69</v>
      </c>
      <c r="O67" s="7" t="s">
        <v>75</v>
      </c>
      <c r="P67" s="8" t="str">
        <f t="shared" si="29"/>
        <v>TARİH YOK</v>
      </c>
      <c r="Q67" s="8" t="s">
        <v>79</v>
      </c>
    </row>
    <row r="68" spans="1:17" ht="15" customHeight="1" x14ac:dyDescent="0.25">
      <c r="A68" s="4" t="str">
        <f t="shared" si="22"/>
        <v>ЩС-1 (260917 fok atr)</v>
      </c>
      <c r="B68" s="4" t="s">
        <v>75</v>
      </c>
      <c r="C68" s="4" t="s">
        <v>142</v>
      </c>
      <c r="D68" s="4" t="str">
        <f t="shared" si="30"/>
        <v>HARMONY ПВ3 1*16</v>
      </c>
      <c r="E68" s="5">
        <f t="shared" si="31"/>
        <v>1084</v>
      </c>
      <c r="F68" s="5">
        <f t="shared" si="23"/>
        <v>1084</v>
      </c>
      <c r="G68" s="5">
        <f t="shared" si="24"/>
        <v>1084</v>
      </c>
      <c r="H68" s="4">
        <f>ROUND(SUMPRODUCT(SUMIFS($H$62:$H$64,$C$62:$C$64,FA,$N$62:$N$64,"&lt;&gt;YEDEK")*(F_BK=16)*F_TELM)*KABLO_FIRE,1)</f>
        <v>1</v>
      </c>
      <c r="I68" s="4" t="str">
        <f t="shared" si="25"/>
        <v>м</v>
      </c>
      <c r="J68" s="4" t="str">
        <f t="shared" si="32"/>
        <v>harmony</v>
      </c>
      <c r="K68" s="4" t="str">
        <f t="shared" si="26"/>
        <v>260917</v>
      </c>
      <c r="L68" s="6">
        <f t="shared" si="27"/>
        <v>1084</v>
      </c>
      <c r="M68" s="7">
        <f t="shared" si="28"/>
        <v>1</v>
      </c>
      <c r="N68" s="7" t="s">
        <v>69</v>
      </c>
      <c r="O68" s="7" t="s">
        <v>75</v>
      </c>
      <c r="P68" s="8" t="str">
        <f t="shared" si="29"/>
        <v>TARİH YOK</v>
      </c>
      <c r="Q68" s="8" t="s">
        <v>143</v>
      </c>
    </row>
    <row r="69" spans="1:17" ht="15" customHeight="1" x14ac:dyDescent="0.25">
      <c r="A69" s="4" t="str">
        <f t="shared" si="22"/>
        <v>ЩС-1 (260917 fok atr)</v>
      </c>
      <c r="B69" s="4" t="s">
        <v>75</v>
      </c>
      <c r="C69" s="4" t="s">
        <v>86</v>
      </c>
      <c r="D69" s="4" t="str">
        <f t="shared" si="30"/>
        <v>HARMONY ПВ3 1*6</v>
      </c>
      <c r="E69" s="5">
        <f t="shared" si="31"/>
        <v>398</v>
      </c>
      <c r="F69" s="5">
        <f t="shared" si="23"/>
        <v>398</v>
      </c>
      <c r="G69" s="5">
        <f t="shared" si="24"/>
        <v>199</v>
      </c>
      <c r="H69" s="4">
        <f>N(KURALLAR!$J$205)*KAPI_TOPRAK_M</f>
        <v>0.5</v>
      </c>
      <c r="I69" s="4" t="str">
        <f t="shared" si="25"/>
        <v>м</v>
      </c>
      <c r="J69" s="4" t="str">
        <f t="shared" si="32"/>
        <v>harmony</v>
      </c>
      <c r="K69" s="4" t="str">
        <f t="shared" si="26"/>
        <v>260917</v>
      </c>
      <c r="L69" s="6">
        <f t="shared" si="27"/>
        <v>199</v>
      </c>
      <c r="M69" s="7">
        <f t="shared" si="28"/>
        <v>1</v>
      </c>
      <c r="N69" s="7" t="s">
        <v>69</v>
      </c>
      <c r="O69" s="7" t="s">
        <v>75</v>
      </c>
      <c r="P69" s="8" t="str">
        <f t="shared" si="29"/>
        <v>TARİH YOK</v>
      </c>
      <c r="Q69" s="8" t="s">
        <v>87</v>
      </c>
    </row>
    <row r="70" spans="1:17" ht="15" customHeight="1" x14ac:dyDescent="0.25">
      <c r="A70" s="4" t="str">
        <f t="shared" si="22"/>
        <v>ЩС-1 (260917 fok atr)</v>
      </c>
      <c r="B70" s="4" t="s">
        <v>88</v>
      </c>
      <c r="C70" s="4" t="s">
        <v>91</v>
      </c>
      <c r="D70" s="4" t="str">
        <f t="shared" si="30"/>
        <v>Наконечник НШВИ 2,5-8 изолированный 79443 (100шт) КВТ NEW</v>
      </c>
      <c r="E70" s="5">
        <f t="shared" si="31"/>
        <v>540</v>
      </c>
      <c r="F70" s="5">
        <f t="shared" si="23"/>
        <v>540</v>
      </c>
      <c r="G70" s="5">
        <f t="shared" si="24"/>
        <v>1080</v>
      </c>
      <c r="H70" s="4">
        <f>ROUNDUP(SUMPRODUCT(SUMIFS($H$62:$H$64,$C$62:$C$64,FA,$N$62:$N$64,"&lt;&gt;YEDEK")*(F_BK=2.5)*F_TEL)*2*YUKSUK_FIRE/MAX(1,IF(ISNA(MATCH($C70,FA,0)),1,N(INDEX(F_PAKET,MATCH($C70,FA,0))))),0)</f>
        <v>2</v>
      </c>
      <c r="I70" s="4" t="str">
        <f t="shared" si="25"/>
        <v>упак</v>
      </c>
      <c r="J70" s="4" t="str">
        <f t="shared" si="32"/>
        <v>ekt</v>
      </c>
      <c r="K70" s="4" t="str">
        <f t="shared" si="26"/>
        <v>260917</v>
      </c>
      <c r="L70" s="6">
        <f t="shared" si="27"/>
        <v>1080</v>
      </c>
      <c r="M70" s="7">
        <f t="shared" si="28"/>
        <v>1</v>
      </c>
      <c r="N70" s="7" t="s">
        <v>69</v>
      </c>
      <c r="O70" s="7" t="s">
        <v>88</v>
      </c>
      <c r="P70" s="8" t="str">
        <f t="shared" si="29"/>
        <v>ESKİ</v>
      </c>
      <c r="Q70" s="8" t="s">
        <v>92</v>
      </c>
    </row>
    <row r="71" spans="1:17" ht="15" customHeight="1" x14ac:dyDescent="0.25">
      <c r="A71" s="4" t="str">
        <f t="shared" si="22"/>
        <v>ЩС-1 (260917 fok atr)</v>
      </c>
      <c r="B71" s="4" t="s">
        <v>88</v>
      </c>
      <c r="C71" s="4" t="s">
        <v>144</v>
      </c>
      <c r="D71" s="4" t="str">
        <f t="shared" si="30"/>
        <v>Наконечник НШВИ 16-12 изолированный 79452 (100шт) КВТ NEW</v>
      </c>
      <c r="E71" s="5">
        <f t="shared" si="31"/>
        <v>1919</v>
      </c>
      <c r="F71" s="5">
        <f t="shared" si="23"/>
        <v>1919</v>
      </c>
      <c r="G71" s="5">
        <f t="shared" si="24"/>
        <v>1919</v>
      </c>
      <c r="H71" s="4">
        <f>ROUNDUP((ROUNDUP(SUMPRODUCT(SUMIFS($H$62:$H$64,$C$62:$C$64,FA,$N$62:$N$64,"&lt;&gt;YEDEK")*(F_BK=16)*F_TEL)*2*PABUC_FIRE,0))/MAX(1,IF(ISNA(MATCH($C71,FA,0)),1,N(INDEX(F_PAKET,MATCH($C71,FA,0))))),0)</f>
        <v>1</v>
      </c>
      <c r="I71" s="4" t="str">
        <f t="shared" si="25"/>
        <v>упак</v>
      </c>
      <c r="J71" s="4" t="str">
        <f t="shared" si="32"/>
        <v>ekt</v>
      </c>
      <c r="K71" s="4" t="str">
        <f t="shared" si="26"/>
        <v>260917</v>
      </c>
      <c r="L71" s="6">
        <f t="shared" si="27"/>
        <v>1919</v>
      </c>
      <c r="M71" s="7">
        <f t="shared" si="28"/>
        <v>1</v>
      </c>
      <c r="N71" s="7" t="s">
        <v>69</v>
      </c>
      <c r="O71" s="7" t="s">
        <v>88</v>
      </c>
      <c r="P71" s="8" t="str">
        <f t="shared" si="29"/>
        <v>ESKİ</v>
      </c>
      <c r="Q71" s="8" t="s">
        <v>145</v>
      </c>
    </row>
    <row r="72" spans="1:17" ht="15" customHeight="1" x14ac:dyDescent="0.25">
      <c r="A72" s="4" t="str">
        <f t="shared" si="22"/>
        <v>ЩС-1 (260917 fok atr)</v>
      </c>
      <c r="B72" s="4" t="s">
        <v>93</v>
      </c>
      <c r="C72" s="4" t="s">
        <v>100</v>
      </c>
      <c r="D72" s="4" t="str">
        <f t="shared" si="30"/>
        <v>Наконечник медно-луженный JG - 6 IEK (600)</v>
      </c>
      <c r="E72" s="5">
        <f t="shared" si="31"/>
        <v>76</v>
      </c>
      <c r="F72" s="5">
        <f t="shared" si="23"/>
        <v>76</v>
      </c>
      <c r="G72" s="5">
        <f t="shared" si="24"/>
        <v>152</v>
      </c>
      <c r="H72" s="4">
        <f>2*N(KURALLAR!$J$205)</f>
        <v>2</v>
      </c>
      <c r="I72" s="4" t="str">
        <f t="shared" si="25"/>
        <v>шт</v>
      </c>
      <c r="J72" s="4" t="str">
        <f t="shared" si="32"/>
        <v>ekt</v>
      </c>
      <c r="K72" s="4" t="str">
        <f t="shared" si="26"/>
        <v>260917</v>
      </c>
      <c r="L72" s="6">
        <f t="shared" si="27"/>
        <v>152</v>
      </c>
      <c r="M72" s="7">
        <f t="shared" si="28"/>
        <v>1</v>
      </c>
      <c r="N72" s="7" t="s">
        <v>69</v>
      </c>
      <c r="O72" s="7" t="s">
        <v>93</v>
      </c>
      <c r="P72" s="8" t="str">
        <f t="shared" si="29"/>
        <v>ESKİ</v>
      </c>
      <c r="Q72" s="8" t="s">
        <v>101</v>
      </c>
    </row>
    <row r="73" spans="1:17" ht="15" customHeight="1" x14ac:dyDescent="0.25">
      <c r="A73" s="4" t="str">
        <f t="shared" si="22"/>
        <v>ЩС-1 (260917 fok atr)</v>
      </c>
      <c r="B73" s="4" t="s">
        <v>102</v>
      </c>
      <c r="C73" s="4" t="s">
        <v>103</v>
      </c>
      <c r="D73" s="4" t="str">
        <f t="shared" si="30"/>
        <v>Хомут 2,5х100 черный UNIT (100/500)</v>
      </c>
      <c r="E73" s="5">
        <f t="shared" si="31"/>
        <v>182</v>
      </c>
      <c r="F73" s="5">
        <f t="shared" si="23"/>
        <v>182</v>
      </c>
      <c r="G73" s="5">
        <f t="shared" si="24"/>
        <v>182</v>
      </c>
      <c r="H73" s="4">
        <f>ROUNDUP((N(H67)+N(H68)+N(H69))*BAG_ADET_M/MAX(1,IF(ISNA(MATCH($C73,FA,0)),1,N(INDEX(F_PAKET,MATCH($C73,FA,0))))),0)</f>
        <v>1</v>
      </c>
      <c r="I73" s="4" t="str">
        <f t="shared" si="25"/>
        <v>упак</v>
      </c>
      <c r="J73" s="4" t="str">
        <f t="shared" si="32"/>
        <v>ekt</v>
      </c>
      <c r="K73" s="4" t="str">
        <f t="shared" si="26"/>
        <v>260917</v>
      </c>
      <c r="L73" s="6">
        <f t="shared" si="27"/>
        <v>182</v>
      </c>
      <c r="M73" s="7">
        <f t="shared" si="28"/>
        <v>1</v>
      </c>
      <c r="N73" s="7" t="s">
        <v>69</v>
      </c>
      <c r="O73" s="7" t="s">
        <v>102</v>
      </c>
      <c r="P73" s="8" t="str">
        <f t="shared" si="29"/>
        <v>ESKİ</v>
      </c>
      <c r="Q73" s="8" t="s">
        <v>104</v>
      </c>
    </row>
    <row r="74" spans="1:17" ht="15" customHeight="1" x14ac:dyDescent="0.25">
      <c r="A74" s="4" t="str">
        <f t="shared" si="22"/>
        <v>ЩС-1 (260917 fok atr)</v>
      </c>
      <c r="B74" s="4" t="s">
        <v>105</v>
      </c>
      <c r="C74" s="4" t="s">
        <v>105</v>
      </c>
      <c r="D74" s="4" t="s">
        <v>105</v>
      </c>
      <c r="E74" s="5">
        <f>G75*MONTAJ_MALZ_KAT</f>
        <v>3912</v>
      </c>
      <c r="F74" s="5">
        <f>E74</f>
        <v>3912</v>
      </c>
      <c r="G74" s="5">
        <f>H74*F74</f>
        <v>3912</v>
      </c>
      <c r="H74" s="4">
        <v>1</v>
      </c>
      <c r="I74" s="4" t="s">
        <v>106</v>
      </c>
      <c r="J74" s="4" t="s">
        <v>105</v>
      </c>
      <c r="K74" s="4" t="str">
        <f t="shared" si="26"/>
        <v>260917</v>
      </c>
      <c r="L74" s="6">
        <f t="shared" si="27"/>
        <v>3912</v>
      </c>
      <c r="M74" s="7">
        <f t="shared" si="28"/>
        <v>1</v>
      </c>
    </row>
    <row r="75" spans="1:17" ht="15" customHeight="1" x14ac:dyDescent="0.25">
      <c r="A75" s="4" t="str">
        <f t="shared" si="22"/>
        <v>ЩС-1 (260917 fok atr)</v>
      </c>
      <c r="B75" s="4" t="s">
        <v>107</v>
      </c>
      <c r="C75" s="4" t="s">
        <v>107</v>
      </c>
      <c r="D75" s="4" t="s">
        <v>107</v>
      </c>
      <c r="E75" s="4">
        <f>ROUND(SUMPRODUCT(SUMIFS(H62:H74,O62:O74,TIP_AD)*NORM_DK)*ISCILIK_KAT/60,2)</f>
        <v>1.63</v>
      </c>
      <c r="F75" s="4">
        <f>DK_UCRET</f>
        <v>100</v>
      </c>
      <c r="G75" s="5">
        <f>H75*F75</f>
        <v>9780</v>
      </c>
      <c r="H75" s="4">
        <f>60*E75</f>
        <v>97.8</v>
      </c>
      <c r="I75" s="4" t="s">
        <v>108</v>
      </c>
      <c r="J75" s="4" t="s">
        <v>107</v>
      </c>
      <c r="K75" s="4" t="str">
        <f t="shared" si="26"/>
        <v>260917</v>
      </c>
      <c r="L75" s="6">
        <f t="shared" si="27"/>
        <v>9780</v>
      </c>
      <c r="M75" s="7">
        <f t="shared" si="28"/>
        <v>1</v>
      </c>
    </row>
    <row r="76" spans="1:17" ht="15" customHeight="1" x14ac:dyDescent="0.25">
      <c r="A76" s="4" t="str">
        <f t="shared" si="22"/>
        <v>ЩС-1 (260917 fok atr)</v>
      </c>
      <c r="B76" s="9"/>
      <c r="C76" s="9"/>
      <c r="D76" s="9"/>
      <c r="E76" s="9"/>
      <c r="F76" s="9"/>
      <c r="G76" s="10">
        <f>SUM(G62:G75)</f>
        <v>79986.800000000017</v>
      </c>
      <c r="H76" s="9"/>
      <c r="I76" s="9"/>
      <c r="J76" s="9"/>
      <c r="K76" s="4" t="str">
        <f t="shared" si="26"/>
        <v>260917</v>
      </c>
      <c r="L76" s="11">
        <f>SUM(L62:L75)</f>
        <v>79986.800000000017</v>
      </c>
      <c r="M76" s="7">
        <f t="shared" si="28"/>
        <v>1</v>
      </c>
      <c r="P76" s="7" t="str">
        <f>IF(COUNTIF(P62:P75,"FİYAT YOK")+COUNTIF(P62:P75,"YASAK")+COUNTIF(P62:P75,"MARKA YOK")+COUNTIF(P62:P75,"ARTİKÜL YOK")&gt;0,"EKSİK FİYAT","")</f>
        <v/>
      </c>
      <c r="Q76" s="7" t="str">
        <f>IF(KURALLAR!$Q$205="OK","","PANO: "&amp;KURALLAR!$Q$205)</f>
        <v/>
      </c>
    </row>
    <row r="77" spans="1:17" ht="15" customHeight="1" x14ac:dyDescent="0.25">
      <c r="A77" s="1" t="str">
        <f>D77</f>
        <v>ЩС-2 (260917 fok atr)</v>
      </c>
      <c r="B77" s="2"/>
      <c r="C77" s="2"/>
      <c r="D77" s="1" t="s">
        <v>646</v>
      </c>
      <c r="E77" s="2"/>
      <c r="F77" s="2"/>
      <c r="G77" s="2"/>
      <c r="H77" s="1">
        <v>1</v>
      </c>
      <c r="I77" s="1" t="s">
        <v>17</v>
      </c>
      <c r="J77" s="1" t="s">
        <v>642</v>
      </c>
      <c r="K77" s="1" t="s">
        <v>18</v>
      </c>
      <c r="M77" s="3">
        <f>H77</f>
        <v>1</v>
      </c>
    </row>
    <row r="78" spans="1:17" ht="15" customHeight="1" x14ac:dyDescent="0.25">
      <c r="A78" s="4" t="str">
        <f t="shared" ref="A78:A95" si="33">A77</f>
        <v>ЩС-2 (260917 fok atr)</v>
      </c>
      <c r="B78" s="4" t="s">
        <v>19</v>
      </c>
      <c r="C78" s="4" t="s">
        <v>631</v>
      </c>
      <c r="D78" s="4" t="s">
        <v>632</v>
      </c>
      <c r="E78" s="5">
        <v>24490</v>
      </c>
      <c r="F78" s="5">
        <f t="shared" ref="F78:F92" si="34">IF(ISNA(MATCH($C78,FA,0)),"",IF(INDEX(FIYAT_NET,MATCH($C78,FA,0))="","",INDEX(FIYAT_NET,MATCH($C78,FA,0))))</f>
        <v>14694</v>
      </c>
      <c r="G78" s="5">
        <f t="shared" ref="G78:G92" si="35">IF(OR(F78="",H78=""),"",H78*F78)</f>
        <v>14694</v>
      </c>
      <c r="H78" s="4">
        <v>1</v>
      </c>
      <c r="I78" s="4" t="str">
        <f t="shared" ref="I78:I92" si="36">IF(ISNA(MATCH($C78,FA,0)),"",IF(INDEX(FIYAT_BIRIM,MATCH($C78,FA,0))="","",INDEX(FIYAT_BIRIM,MATCH($C78,FA,0))))</f>
        <v>шт</v>
      </c>
      <c r="J78" s="4" t="s">
        <v>427</v>
      </c>
      <c r="K78" s="4" t="str">
        <f t="shared" ref="K78:K95" si="37">K77</f>
        <v>260917</v>
      </c>
      <c r="L78" s="6">
        <f t="shared" ref="L78:L94" si="38">G78</f>
        <v>14694</v>
      </c>
      <c r="M78" s="7">
        <f t="shared" ref="M78:M95" si="39">M77</f>
        <v>1</v>
      </c>
      <c r="N78" s="7" t="s">
        <v>21</v>
      </c>
      <c r="O78" s="7" t="s">
        <v>111</v>
      </c>
      <c r="P78" s="8" t="str">
        <f t="shared" ref="P78:P92" si="40">IF(ISNA(MATCH($C78,FA,0)),"ARTİKÜL YOK",INDEX(FIYAT_DURUM,MATCH($C78,FA,0)))</f>
        <v>OK</v>
      </c>
      <c r="Q78" s="8" t="s">
        <v>147</v>
      </c>
    </row>
    <row r="79" spans="1:17" ht="15" customHeight="1" x14ac:dyDescent="0.25">
      <c r="A79" s="4" t="str">
        <f t="shared" si="33"/>
        <v>ЩС-2 (260917 fok atr)</v>
      </c>
      <c r="B79" s="4" t="s">
        <v>113</v>
      </c>
      <c r="C79" s="4" t="s">
        <v>137</v>
      </c>
      <c r="D79" s="4" t="str">
        <f t="shared" ref="D79:D92" si="41">IF(ISNA(MATCH($C79,FA,0)),"ARTİKÜL FIYAT SAYFASINDA YOK",INDEX(FIYAT_AD,MATCH($C79,FA,0)))</f>
        <v>Выключатель нагрузки NXHB-125 3P 63A (R)</v>
      </c>
      <c r="E79" s="5">
        <f t="shared" ref="E79:E92" si="42">IF(ISNA(MATCH($C79,FA,0)),"",IF(INDEX(FIYAT_LISTE,MATCH($C79,FA,0))="","",INDEX(FIYAT_LISTE,MATCH($C79,FA,0))))</f>
        <v>4217</v>
      </c>
      <c r="F79" s="5">
        <f t="shared" si="34"/>
        <v>2530.1999999999998</v>
      </c>
      <c r="G79" s="5">
        <f t="shared" si="35"/>
        <v>2530.1999999999998</v>
      </c>
      <c r="H79" s="4">
        <v>1</v>
      </c>
      <c r="I79" s="4" t="str">
        <f t="shared" si="36"/>
        <v>шт</v>
      </c>
      <c r="J79" s="4" t="str">
        <f t="shared" ref="J79:J92" si="43">IF(ISNA(MATCH($C79,FA,0)),"",IF(INDEX(FIYAT_MARKA,MATCH($C79,FA,0))="","",INDEX(FIYAT_MARKA,MATCH($C79,FA,0))))</f>
        <v>chint</v>
      </c>
      <c r="K79" s="4" t="str">
        <f t="shared" si="37"/>
        <v>260917</v>
      </c>
      <c r="L79" s="6">
        <f t="shared" si="38"/>
        <v>2530.1999999999998</v>
      </c>
      <c r="M79" s="7">
        <f t="shared" si="39"/>
        <v>1</v>
      </c>
      <c r="N79" s="7" t="s">
        <v>26</v>
      </c>
      <c r="O79" s="7" t="s">
        <v>113</v>
      </c>
      <c r="P79" s="8" t="str">
        <f t="shared" si="40"/>
        <v>OK</v>
      </c>
      <c r="Q79" s="8" t="s">
        <v>148</v>
      </c>
    </row>
    <row r="80" spans="1:17" ht="15" customHeight="1" x14ac:dyDescent="0.25">
      <c r="A80" s="4" t="str">
        <f t="shared" si="33"/>
        <v>ЩС-2 (260917 fok atr)</v>
      </c>
      <c r="B80" s="4" t="s">
        <v>39</v>
      </c>
      <c r="C80" s="4" t="s">
        <v>149</v>
      </c>
      <c r="D80" s="4" t="str">
        <f t="shared" si="41"/>
        <v>Авт. выкл. NXB-63S 3P 10А 4.5kA х-ка C (R)</v>
      </c>
      <c r="E80" s="5">
        <f t="shared" si="42"/>
        <v>2447</v>
      </c>
      <c r="F80" s="5">
        <f t="shared" si="34"/>
        <v>1468.2</v>
      </c>
      <c r="G80" s="5">
        <f t="shared" si="35"/>
        <v>1468.2</v>
      </c>
      <c r="H80" s="4">
        <v>1</v>
      </c>
      <c r="I80" s="4" t="str">
        <f t="shared" si="36"/>
        <v>шт</v>
      </c>
      <c r="J80" s="4" t="str">
        <f t="shared" si="43"/>
        <v>chint</v>
      </c>
      <c r="K80" s="4" t="str">
        <f t="shared" si="37"/>
        <v>260917</v>
      </c>
      <c r="L80" s="6">
        <f t="shared" si="38"/>
        <v>1468.2</v>
      </c>
      <c r="M80" s="7">
        <f t="shared" si="39"/>
        <v>1</v>
      </c>
      <c r="N80" s="7" t="s">
        <v>41</v>
      </c>
      <c r="O80" s="7" t="s">
        <v>39</v>
      </c>
      <c r="P80" s="8" t="str">
        <f t="shared" si="40"/>
        <v>OK</v>
      </c>
      <c r="Q80" s="8" t="s">
        <v>150</v>
      </c>
    </row>
    <row r="81" spans="1:17" ht="15" customHeight="1" x14ac:dyDescent="0.25">
      <c r="A81" s="4" t="str">
        <f t="shared" si="33"/>
        <v>ЩС-2 (260917 fok atr)</v>
      </c>
      <c r="B81" s="4" t="s">
        <v>139</v>
      </c>
      <c r="C81" s="4" t="s">
        <v>633</v>
      </c>
      <c r="D81" s="4" t="s">
        <v>634</v>
      </c>
      <c r="E81" s="5">
        <v>5104</v>
      </c>
      <c r="F81" s="5">
        <f t="shared" si="34"/>
        <v>3062.4</v>
      </c>
      <c r="G81" s="5">
        <f t="shared" si="35"/>
        <v>55123.200000000004</v>
      </c>
      <c r="H81" s="4">
        <v>18</v>
      </c>
      <c r="I81" s="4" t="str">
        <f t="shared" si="36"/>
        <v>шт</v>
      </c>
      <c r="J81" s="4" t="str">
        <f t="shared" si="43"/>
        <v>chint</v>
      </c>
      <c r="K81" s="4" t="str">
        <f t="shared" si="37"/>
        <v>260917</v>
      </c>
      <c r="L81" s="6">
        <f t="shared" si="38"/>
        <v>55123.200000000004</v>
      </c>
      <c r="M81" s="7">
        <f t="shared" si="39"/>
        <v>1</v>
      </c>
      <c r="N81" s="7" t="s">
        <v>41</v>
      </c>
      <c r="O81" s="7" t="s">
        <v>139</v>
      </c>
      <c r="P81" s="8" t="str">
        <f t="shared" si="40"/>
        <v>OK</v>
      </c>
      <c r="Q81" s="8" t="s">
        <v>151</v>
      </c>
    </row>
    <row r="82" spans="1:17" ht="15" customHeight="1" x14ac:dyDescent="0.25">
      <c r="A82" s="4" t="str">
        <f t="shared" si="33"/>
        <v>ЩС-2 (260917 fok atr)</v>
      </c>
      <c r="B82" s="4" t="s">
        <v>68</v>
      </c>
      <c r="C82" s="4" t="str">
        <f>IF((SUMIFS($H$78:$H$81,$N$78:$N$81,"CIKIS")+SUMIFS($H$78:$H$81,$N$78:$N$81,"KUMANDA")+1)&gt;MAX(SNI_DELIK),INDEX(SNI_KOD,ROWS(SNI_KOD)),INDEX(SNI_KOD,COUNTIF(SNI_DELIK,"&lt;"&amp;(SUMIFS($H$78:$H$81,$N$78:$N$81,"CIKIS")+SUMIFS($H$78:$H$81,$N$78:$N$81,"KUMANDA")+1))+1))</f>
        <v>130200363</v>
      </c>
      <c r="D82" s="4" t="str">
        <f t="shared" si="41"/>
        <v>Шина "N" нулевая 8х12мм комб с изол "Стойка" ШНИ 14-КС-С UNIT (20/200)</v>
      </c>
      <c r="E82" s="5">
        <f t="shared" si="42"/>
        <v>1049</v>
      </c>
      <c r="F82" s="5">
        <f t="shared" si="34"/>
        <v>1049</v>
      </c>
      <c r="G82" s="5">
        <f t="shared" si="35"/>
        <v>2098</v>
      </c>
      <c r="H82" s="4">
        <f>IF((SUMIFS($H$78:$H$81,$N$78:$N$81,"CIKIS")+SUMIFS($H$78:$H$81,$N$78:$N$81,"KUMANDA")+1)&gt;MAX(SNI_DELIK),ROUNDUP((SUMIFS($H$78:$H$81,$N$78:$N$81,"CIKIS")+SUMIFS($H$78:$H$81,$N$78:$N$81,"KUMANDA")+1)/MAX(SNI_DELIK),0),1)</f>
        <v>2</v>
      </c>
      <c r="I82" s="4" t="str">
        <f t="shared" si="36"/>
        <v>шт</v>
      </c>
      <c r="J82" s="4" t="str">
        <f t="shared" si="43"/>
        <v>ekt</v>
      </c>
      <c r="K82" s="4" t="str">
        <f t="shared" si="37"/>
        <v>260917</v>
      </c>
      <c r="L82" s="6">
        <f t="shared" si="38"/>
        <v>2098</v>
      </c>
      <c r="M82" s="7">
        <f t="shared" si="39"/>
        <v>1</v>
      </c>
      <c r="N82" s="7" t="s">
        <v>69</v>
      </c>
      <c r="O82" s="7" t="s">
        <v>68</v>
      </c>
      <c r="P82" s="8" t="str">
        <f t="shared" si="40"/>
        <v>ESKİ</v>
      </c>
      <c r="Q82" s="8" t="s">
        <v>70</v>
      </c>
    </row>
    <row r="83" spans="1:17" ht="15" customHeight="1" x14ac:dyDescent="0.25">
      <c r="A83" s="4" t="str">
        <f t="shared" si="33"/>
        <v>ЩС-2 (260917 fok atr)</v>
      </c>
      <c r="B83" s="4" t="s">
        <v>68</v>
      </c>
      <c r="C83" s="4" t="str">
        <f>IF((SUMIFS($H$78:$H$81,$N$78:$N$81,"CIKIS")+2+N(KURALLAR!$J$206))&gt;MAX(SNI_DELIK),INDEX(SNI_KOD,ROWS(SNI_KOD)),INDEX(SNI_KOD,COUNTIF(SNI_DELIK,"&lt;"&amp;(SUMIFS($H$78:$H$81,$N$78:$N$81,"CIKIS")+2+N(KURALLAR!$J$206)))+1))</f>
        <v>130200363</v>
      </c>
      <c r="D83" s="4" t="str">
        <f t="shared" si="41"/>
        <v>Шина "N" нулевая 8х12мм комб с изол "Стойка" ШНИ 14-КС-С UNIT (20/200)</v>
      </c>
      <c r="E83" s="5">
        <f t="shared" si="42"/>
        <v>1049</v>
      </c>
      <c r="F83" s="5">
        <f t="shared" si="34"/>
        <v>1049</v>
      </c>
      <c r="G83" s="5">
        <f t="shared" si="35"/>
        <v>2098</v>
      </c>
      <c r="H83" s="4">
        <f>IF((SUMIFS($H$78:$H$81,$N$78:$N$81,"CIKIS")+2+N(KURALLAR!$J$206))&gt;MAX(SNI_DELIK),ROUNDUP((SUMIFS($H$78:$H$81,$N$78:$N$81,"CIKIS")+2+N(KURALLAR!$J$206))/MAX(SNI_DELIK),0),1)</f>
        <v>2</v>
      </c>
      <c r="I83" s="4" t="str">
        <f t="shared" si="36"/>
        <v>шт</v>
      </c>
      <c r="J83" s="4" t="str">
        <f t="shared" si="43"/>
        <v>ekt</v>
      </c>
      <c r="K83" s="4" t="str">
        <f t="shared" si="37"/>
        <v>260917</v>
      </c>
      <c r="L83" s="6">
        <f t="shared" si="38"/>
        <v>2098</v>
      </c>
      <c r="M83" s="7">
        <f t="shared" si="39"/>
        <v>1</v>
      </c>
      <c r="N83" s="7" t="s">
        <v>69</v>
      </c>
      <c r="O83" s="7" t="s">
        <v>68</v>
      </c>
      <c r="P83" s="8" t="str">
        <f t="shared" si="40"/>
        <v>ESKİ</v>
      </c>
      <c r="Q83" s="8" t="s">
        <v>71</v>
      </c>
    </row>
    <row r="84" spans="1:17" ht="15" customHeight="1" x14ac:dyDescent="0.25">
      <c r="A84" s="4" t="str">
        <f t="shared" si="33"/>
        <v>ЩС-2 (260917 fok atr)</v>
      </c>
      <c r="B84" s="4" t="s">
        <v>75</v>
      </c>
      <c r="C84" s="4" t="s">
        <v>76</v>
      </c>
      <c r="D84" s="4" t="str">
        <f t="shared" si="41"/>
        <v>HARMONY ПВ3 1*1,5</v>
      </c>
      <c r="E84" s="5">
        <f t="shared" si="42"/>
        <v>105</v>
      </c>
      <c r="F84" s="5">
        <f t="shared" si="34"/>
        <v>105</v>
      </c>
      <c r="G84" s="5">
        <f t="shared" si="35"/>
        <v>84</v>
      </c>
      <c r="H84" s="4">
        <f>ROUND(SUMPRODUCT(SUMIFS($H$78:$H$81,$C$78:$C$81,FA,$N$78:$N$81,"&lt;&gt;YEDEK")*(F_BK=1.5)*F_TELM)*KABLO_FIRE,1)</f>
        <v>0.8</v>
      </c>
      <c r="I84" s="4" t="str">
        <f t="shared" si="36"/>
        <v>м</v>
      </c>
      <c r="J84" s="4" t="str">
        <f t="shared" si="43"/>
        <v>harmony</v>
      </c>
      <c r="K84" s="4" t="str">
        <f t="shared" si="37"/>
        <v>260917</v>
      </c>
      <c r="L84" s="6">
        <f t="shared" si="38"/>
        <v>84</v>
      </c>
      <c r="M84" s="7">
        <f t="shared" si="39"/>
        <v>1</v>
      </c>
      <c r="N84" s="7" t="s">
        <v>69</v>
      </c>
      <c r="O84" s="7" t="s">
        <v>75</v>
      </c>
      <c r="P84" s="8" t="str">
        <f t="shared" si="40"/>
        <v>TARİH YOK</v>
      </c>
      <c r="Q84" s="8" t="s">
        <v>77</v>
      </c>
    </row>
    <row r="85" spans="1:17" ht="15" customHeight="1" x14ac:dyDescent="0.25">
      <c r="A85" s="4" t="str">
        <f t="shared" si="33"/>
        <v>ЩС-2 (260917 fok atr)</v>
      </c>
      <c r="B85" s="4" t="s">
        <v>75</v>
      </c>
      <c r="C85" s="4" t="s">
        <v>78</v>
      </c>
      <c r="D85" s="4" t="str">
        <f t="shared" si="41"/>
        <v>HARMONY ПВ3 1*2,5</v>
      </c>
      <c r="E85" s="5">
        <f t="shared" si="42"/>
        <v>174</v>
      </c>
      <c r="F85" s="5">
        <f t="shared" si="34"/>
        <v>174</v>
      </c>
      <c r="G85" s="5">
        <f t="shared" si="35"/>
        <v>2070.6</v>
      </c>
      <c r="H85" s="4">
        <f>ROUND(SUMPRODUCT(SUMIFS($H$78:$H$81,$C$78:$C$81,FA,$N$78:$N$81,"&lt;&gt;YEDEK")*(F_BK=2.5)*F_TELM)*KABLO_FIRE,1)</f>
        <v>11.9</v>
      </c>
      <c r="I85" s="4" t="str">
        <f t="shared" si="36"/>
        <v>м</v>
      </c>
      <c r="J85" s="4" t="str">
        <f t="shared" si="43"/>
        <v>harmony</v>
      </c>
      <c r="K85" s="4" t="str">
        <f t="shared" si="37"/>
        <v>260917</v>
      </c>
      <c r="L85" s="6">
        <f t="shared" si="38"/>
        <v>2070.6</v>
      </c>
      <c r="M85" s="7">
        <f t="shared" si="39"/>
        <v>1</v>
      </c>
      <c r="N85" s="7" t="s">
        <v>69</v>
      </c>
      <c r="O85" s="7" t="s">
        <v>75</v>
      </c>
      <c r="P85" s="8" t="str">
        <f t="shared" si="40"/>
        <v>TARİH YOK</v>
      </c>
      <c r="Q85" s="8" t="s">
        <v>79</v>
      </c>
    </row>
    <row r="86" spans="1:17" ht="15" customHeight="1" x14ac:dyDescent="0.25">
      <c r="A86" s="4" t="str">
        <f t="shared" si="33"/>
        <v>ЩС-2 (260917 fok atr)</v>
      </c>
      <c r="B86" s="4" t="s">
        <v>75</v>
      </c>
      <c r="C86" s="4" t="s">
        <v>142</v>
      </c>
      <c r="D86" s="4" t="str">
        <f t="shared" si="41"/>
        <v>HARMONY ПВ3 1*16</v>
      </c>
      <c r="E86" s="5">
        <f t="shared" si="42"/>
        <v>1084</v>
      </c>
      <c r="F86" s="5">
        <f t="shared" si="34"/>
        <v>1084</v>
      </c>
      <c r="G86" s="5">
        <f t="shared" si="35"/>
        <v>1084</v>
      </c>
      <c r="H86" s="4">
        <f>ROUND(SUMPRODUCT(SUMIFS($H$78:$H$81,$C$78:$C$81,FA,$N$78:$N$81,"&lt;&gt;YEDEK")*(F_BK=16)*F_TELM)*KABLO_FIRE,1)</f>
        <v>1</v>
      </c>
      <c r="I86" s="4" t="str">
        <f t="shared" si="36"/>
        <v>м</v>
      </c>
      <c r="J86" s="4" t="str">
        <f t="shared" si="43"/>
        <v>harmony</v>
      </c>
      <c r="K86" s="4" t="str">
        <f t="shared" si="37"/>
        <v>260917</v>
      </c>
      <c r="L86" s="6">
        <f t="shared" si="38"/>
        <v>1084</v>
      </c>
      <c r="M86" s="7">
        <f t="shared" si="39"/>
        <v>1</v>
      </c>
      <c r="N86" s="7" t="s">
        <v>69</v>
      </c>
      <c r="O86" s="7" t="s">
        <v>75</v>
      </c>
      <c r="P86" s="8" t="str">
        <f t="shared" si="40"/>
        <v>TARİH YOK</v>
      </c>
      <c r="Q86" s="8" t="s">
        <v>143</v>
      </c>
    </row>
    <row r="87" spans="1:17" ht="15" customHeight="1" x14ac:dyDescent="0.25">
      <c r="A87" s="4" t="str">
        <f t="shared" si="33"/>
        <v>ЩС-2 (260917 fok atr)</v>
      </c>
      <c r="B87" s="4" t="s">
        <v>75</v>
      </c>
      <c r="C87" s="4" t="s">
        <v>86</v>
      </c>
      <c r="D87" s="4" t="str">
        <f t="shared" si="41"/>
        <v>HARMONY ПВ3 1*6</v>
      </c>
      <c r="E87" s="5">
        <f t="shared" si="42"/>
        <v>398</v>
      </c>
      <c r="F87" s="5">
        <f t="shared" si="34"/>
        <v>398</v>
      </c>
      <c r="G87" s="5">
        <f t="shared" si="35"/>
        <v>199</v>
      </c>
      <c r="H87" s="4">
        <f>N(KURALLAR!$J$206)*KAPI_TOPRAK_M</f>
        <v>0.5</v>
      </c>
      <c r="I87" s="4" t="str">
        <f t="shared" si="36"/>
        <v>м</v>
      </c>
      <c r="J87" s="4" t="str">
        <f t="shared" si="43"/>
        <v>harmony</v>
      </c>
      <c r="K87" s="4" t="str">
        <f t="shared" si="37"/>
        <v>260917</v>
      </c>
      <c r="L87" s="6">
        <f t="shared" si="38"/>
        <v>199</v>
      </c>
      <c r="M87" s="7">
        <f t="shared" si="39"/>
        <v>1</v>
      </c>
      <c r="N87" s="7" t="s">
        <v>69</v>
      </c>
      <c r="O87" s="7" t="s">
        <v>75</v>
      </c>
      <c r="P87" s="8" t="str">
        <f t="shared" si="40"/>
        <v>TARİH YOK</v>
      </c>
      <c r="Q87" s="8" t="s">
        <v>87</v>
      </c>
    </row>
    <row r="88" spans="1:17" ht="15" customHeight="1" x14ac:dyDescent="0.25">
      <c r="A88" s="4" t="str">
        <f t="shared" si="33"/>
        <v>ЩС-2 (260917 fok atr)</v>
      </c>
      <c r="B88" s="4" t="s">
        <v>88</v>
      </c>
      <c r="C88" s="4" t="s">
        <v>89</v>
      </c>
      <c r="D88" s="4" t="str">
        <f t="shared" si="41"/>
        <v>Наконечник НШВИ 1,5-8 изолированный 79440 (100шт) КВТ NEW</v>
      </c>
      <c r="E88" s="5">
        <f t="shared" si="42"/>
        <v>428</v>
      </c>
      <c r="F88" s="5">
        <f t="shared" si="34"/>
        <v>428</v>
      </c>
      <c r="G88" s="5">
        <f t="shared" si="35"/>
        <v>428</v>
      </c>
      <c r="H88" s="4">
        <f>ROUNDUP(SUMPRODUCT(SUMIFS($H$78:$H$81,$C$78:$C$81,FA,$N$78:$N$81,"&lt;&gt;YEDEK")*(F_BK=1.5)*F_TEL)*2*YUKSUK_FIRE/MAX(1,IF(ISNA(MATCH($C88,FA,0)),1,N(INDEX(F_PAKET,MATCH($C88,FA,0))))),0)</f>
        <v>1</v>
      </c>
      <c r="I88" s="4" t="str">
        <f t="shared" si="36"/>
        <v>упак</v>
      </c>
      <c r="J88" s="4" t="str">
        <f t="shared" si="43"/>
        <v>ekt</v>
      </c>
      <c r="K88" s="4" t="str">
        <f t="shared" si="37"/>
        <v>260917</v>
      </c>
      <c r="L88" s="6">
        <f t="shared" si="38"/>
        <v>428</v>
      </c>
      <c r="M88" s="7">
        <f t="shared" si="39"/>
        <v>1</v>
      </c>
      <c r="N88" s="7" t="s">
        <v>69</v>
      </c>
      <c r="O88" s="7" t="s">
        <v>88</v>
      </c>
      <c r="P88" s="8" t="str">
        <f t="shared" si="40"/>
        <v>ESKİ</v>
      </c>
      <c r="Q88" s="8" t="s">
        <v>90</v>
      </c>
    </row>
    <row r="89" spans="1:17" ht="15" customHeight="1" x14ac:dyDescent="0.25">
      <c r="A89" s="4" t="str">
        <f t="shared" si="33"/>
        <v>ЩС-2 (260917 fok atr)</v>
      </c>
      <c r="B89" s="4" t="s">
        <v>88</v>
      </c>
      <c r="C89" s="4" t="s">
        <v>91</v>
      </c>
      <c r="D89" s="4" t="str">
        <f t="shared" si="41"/>
        <v>Наконечник НШВИ 2,5-8 изолированный 79443 (100шт) КВТ NEW</v>
      </c>
      <c r="E89" s="5">
        <f t="shared" si="42"/>
        <v>540</v>
      </c>
      <c r="F89" s="5">
        <f t="shared" si="34"/>
        <v>540</v>
      </c>
      <c r="G89" s="5">
        <f t="shared" si="35"/>
        <v>1080</v>
      </c>
      <c r="H89" s="4">
        <f>ROUNDUP(SUMPRODUCT(SUMIFS($H$78:$H$81,$C$78:$C$81,FA,$N$78:$N$81,"&lt;&gt;YEDEK")*(F_BK=2.5)*F_TEL)*2*YUKSUK_FIRE/MAX(1,IF(ISNA(MATCH($C89,FA,0)),1,N(INDEX(F_PAKET,MATCH($C89,FA,0))))),0)</f>
        <v>2</v>
      </c>
      <c r="I89" s="4" t="str">
        <f t="shared" si="36"/>
        <v>упак</v>
      </c>
      <c r="J89" s="4" t="str">
        <f t="shared" si="43"/>
        <v>ekt</v>
      </c>
      <c r="K89" s="4" t="str">
        <f t="shared" si="37"/>
        <v>260917</v>
      </c>
      <c r="L89" s="6">
        <f t="shared" si="38"/>
        <v>1080</v>
      </c>
      <c r="M89" s="7">
        <f t="shared" si="39"/>
        <v>1</v>
      </c>
      <c r="N89" s="7" t="s">
        <v>69</v>
      </c>
      <c r="O89" s="7" t="s">
        <v>88</v>
      </c>
      <c r="P89" s="8" t="str">
        <f t="shared" si="40"/>
        <v>ESKİ</v>
      </c>
      <c r="Q89" s="8" t="s">
        <v>92</v>
      </c>
    </row>
    <row r="90" spans="1:17" ht="15" customHeight="1" x14ac:dyDescent="0.25">
      <c r="A90" s="4" t="str">
        <f t="shared" si="33"/>
        <v>ЩС-2 (260917 fok atr)</v>
      </c>
      <c r="B90" s="4" t="s">
        <v>88</v>
      </c>
      <c r="C90" s="4" t="s">
        <v>144</v>
      </c>
      <c r="D90" s="4" t="str">
        <f t="shared" si="41"/>
        <v>Наконечник НШВИ 16-12 изолированный 79452 (100шт) КВТ NEW</v>
      </c>
      <c r="E90" s="5">
        <f t="shared" si="42"/>
        <v>1919</v>
      </c>
      <c r="F90" s="5">
        <f t="shared" si="34"/>
        <v>1919</v>
      </c>
      <c r="G90" s="5">
        <f t="shared" si="35"/>
        <v>1919</v>
      </c>
      <c r="H90" s="4">
        <f>ROUNDUP((ROUNDUP(SUMPRODUCT(SUMIFS($H$78:$H$81,$C$78:$C$81,FA,$N$78:$N$81,"&lt;&gt;YEDEK")*(F_BK=16)*F_TEL)*2*PABUC_FIRE,0))/MAX(1,IF(ISNA(MATCH($C90,FA,0)),1,N(INDEX(F_PAKET,MATCH($C90,FA,0))))),0)</f>
        <v>1</v>
      </c>
      <c r="I90" s="4" t="str">
        <f t="shared" si="36"/>
        <v>упак</v>
      </c>
      <c r="J90" s="4" t="str">
        <f t="shared" si="43"/>
        <v>ekt</v>
      </c>
      <c r="K90" s="4" t="str">
        <f t="shared" si="37"/>
        <v>260917</v>
      </c>
      <c r="L90" s="6">
        <f t="shared" si="38"/>
        <v>1919</v>
      </c>
      <c r="M90" s="7">
        <f t="shared" si="39"/>
        <v>1</v>
      </c>
      <c r="N90" s="7" t="s">
        <v>69</v>
      </c>
      <c r="O90" s="7" t="s">
        <v>88</v>
      </c>
      <c r="P90" s="8" t="str">
        <f t="shared" si="40"/>
        <v>ESKİ</v>
      </c>
      <c r="Q90" s="8" t="s">
        <v>145</v>
      </c>
    </row>
    <row r="91" spans="1:17" ht="15" customHeight="1" x14ac:dyDescent="0.25">
      <c r="A91" s="4" t="str">
        <f t="shared" si="33"/>
        <v>ЩС-2 (260917 fok atr)</v>
      </c>
      <c r="B91" s="4" t="s">
        <v>93</v>
      </c>
      <c r="C91" s="4" t="s">
        <v>100</v>
      </c>
      <c r="D91" s="4" t="str">
        <f t="shared" si="41"/>
        <v>Наконечник медно-луженный JG - 6 IEK (600)</v>
      </c>
      <c r="E91" s="5">
        <f t="shared" si="42"/>
        <v>76</v>
      </c>
      <c r="F91" s="5">
        <f t="shared" si="34"/>
        <v>76</v>
      </c>
      <c r="G91" s="5">
        <f t="shared" si="35"/>
        <v>152</v>
      </c>
      <c r="H91" s="4">
        <f>2*N(KURALLAR!$J$206)</f>
        <v>2</v>
      </c>
      <c r="I91" s="4" t="str">
        <f t="shared" si="36"/>
        <v>шт</v>
      </c>
      <c r="J91" s="4" t="str">
        <f t="shared" si="43"/>
        <v>ekt</v>
      </c>
      <c r="K91" s="4" t="str">
        <f t="shared" si="37"/>
        <v>260917</v>
      </c>
      <c r="L91" s="6">
        <f t="shared" si="38"/>
        <v>152</v>
      </c>
      <c r="M91" s="7">
        <f t="shared" si="39"/>
        <v>1</v>
      </c>
      <c r="N91" s="7" t="s">
        <v>69</v>
      </c>
      <c r="O91" s="7" t="s">
        <v>93</v>
      </c>
      <c r="P91" s="8" t="str">
        <f t="shared" si="40"/>
        <v>ESKİ</v>
      </c>
      <c r="Q91" s="8" t="s">
        <v>101</v>
      </c>
    </row>
    <row r="92" spans="1:17" ht="15" customHeight="1" x14ac:dyDescent="0.25">
      <c r="A92" s="4" t="str">
        <f t="shared" si="33"/>
        <v>ЩС-2 (260917 fok atr)</v>
      </c>
      <c r="B92" s="4" t="s">
        <v>102</v>
      </c>
      <c r="C92" s="4" t="s">
        <v>103</v>
      </c>
      <c r="D92" s="4" t="str">
        <f t="shared" si="41"/>
        <v>Хомут 2,5х100 черный UNIT (100/500)</v>
      </c>
      <c r="E92" s="5">
        <f t="shared" si="42"/>
        <v>182</v>
      </c>
      <c r="F92" s="5">
        <f t="shared" si="34"/>
        <v>182</v>
      </c>
      <c r="G92" s="5">
        <f t="shared" si="35"/>
        <v>182</v>
      </c>
      <c r="H92" s="4">
        <f>ROUNDUP((N(H84)+N(H85)+N(H86)+N(H87))*BAG_ADET_M/MAX(1,IF(ISNA(MATCH($C92,FA,0)),1,N(INDEX(F_PAKET,MATCH($C92,FA,0))))),0)</f>
        <v>1</v>
      </c>
      <c r="I92" s="4" t="str">
        <f t="shared" si="36"/>
        <v>упак</v>
      </c>
      <c r="J92" s="4" t="str">
        <f t="shared" si="43"/>
        <v>ekt</v>
      </c>
      <c r="K92" s="4" t="str">
        <f t="shared" si="37"/>
        <v>260917</v>
      </c>
      <c r="L92" s="6">
        <f t="shared" si="38"/>
        <v>182</v>
      </c>
      <c r="M92" s="7">
        <f t="shared" si="39"/>
        <v>1</v>
      </c>
      <c r="N92" s="7" t="s">
        <v>69</v>
      </c>
      <c r="O92" s="7" t="s">
        <v>102</v>
      </c>
      <c r="P92" s="8" t="str">
        <f t="shared" si="40"/>
        <v>ESKİ</v>
      </c>
      <c r="Q92" s="8" t="s">
        <v>104</v>
      </c>
    </row>
    <row r="93" spans="1:17" ht="15" customHeight="1" x14ac:dyDescent="0.25">
      <c r="A93" s="4" t="str">
        <f t="shared" si="33"/>
        <v>ЩС-2 (260917 fok atr)</v>
      </c>
      <c r="B93" s="4" t="s">
        <v>105</v>
      </c>
      <c r="C93" s="4" t="s">
        <v>105</v>
      </c>
      <c r="D93" s="4" t="s">
        <v>105</v>
      </c>
      <c r="E93" s="5">
        <f>G94*MONTAJ_MALZ_KAT</f>
        <v>5112</v>
      </c>
      <c r="F93" s="5">
        <f>E93</f>
        <v>5112</v>
      </c>
      <c r="G93" s="5">
        <f>H93*F93</f>
        <v>5112</v>
      </c>
      <c r="H93" s="4">
        <v>1</v>
      </c>
      <c r="I93" s="4" t="s">
        <v>106</v>
      </c>
      <c r="J93" s="4" t="s">
        <v>105</v>
      </c>
      <c r="K93" s="4" t="str">
        <f t="shared" si="37"/>
        <v>260917</v>
      </c>
      <c r="L93" s="6">
        <f t="shared" si="38"/>
        <v>5112</v>
      </c>
      <c r="M93" s="7">
        <f t="shared" si="39"/>
        <v>1</v>
      </c>
    </row>
    <row r="94" spans="1:17" ht="15" customHeight="1" x14ac:dyDescent="0.25">
      <c r="A94" s="4" t="str">
        <f t="shared" si="33"/>
        <v>ЩС-2 (260917 fok atr)</v>
      </c>
      <c r="B94" s="4" t="s">
        <v>107</v>
      </c>
      <c r="C94" s="4" t="s">
        <v>107</v>
      </c>
      <c r="D94" s="4" t="s">
        <v>107</v>
      </c>
      <c r="E94" s="4">
        <f>ROUND(SUMPRODUCT(SUMIFS(H78:H93,O78:O93,TIP_AD)*NORM_DK)*ISCILIK_KAT/60,2)</f>
        <v>2.13</v>
      </c>
      <c r="F94" s="4">
        <f>DK_UCRET</f>
        <v>100</v>
      </c>
      <c r="G94" s="5">
        <f>H94*F94</f>
        <v>12780</v>
      </c>
      <c r="H94" s="4">
        <f>60*E94</f>
        <v>127.8</v>
      </c>
      <c r="I94" s="4" t="s">
        <v>108</v>
      </c>
      <c r="J94" s="4" t="s">
        <v>107</v>
      </c>
      <c r="K94" s="4" t="str">
        <f t="shared" si="37"/>
        <v>260917</v>
      </c>
      <c r="L94" s="6">
        <f t="shared" si="38"/>
        <v>12780</v>
      </c>
      <c r="M94" s="7">
        <f t="shared" si="39"/>
        <v>1</v>
      </c>
    </row>
    <row r="95" spans="1:17" ht="15" customHeight="1" x14ac:dyDescent="0.25">
      <c r="A95" s="4" t="str">
        <f t="shared" si="33"/>
        <v>ЩС-2 (260917 fok atr)</v>
      </c>
      <c r="B95" s="9"/>
      <c r="C95" s="9"/>
      <c r="D95" s="9"/>
      <c r="E95" s="9"/>
      <c r="F95" s="9"/>
      <c r="G95" s="10">
        <f>SUM(G78:G94)</f>
        <v>103102.20000000001</v>
      </c>
      <c r="H95" s="9"/>
      <c r="I95" s="9"/>
      <c r="J95" s="9"/>
      <c r="K95" s="4" t="str">
        <f t="shared" si="37"/>
        <v>260917</v>
      </c>
      <c r="L95" s="11">
        <f>SUM(L78:L94)</f>
        <v>103102.20000000001</v>
      </c>
      <c r="M95" s="7">
        <f t="shared" si="39"/>
        <v>1</v>
      </c>
      <c r="P95" s="7" t="str">
        <f>IF(COUNTIF(P78:P94,"FİYAT YOK")+COUNTIF(P78:P94,"YASAK")+COUNTIF(P78:P94,"MARKA YOK")+COUNTIF(P78:P94,"ARTİKÜL YOK")&gt;0,"EKSİK FİYAT","")</f>
        <v/>
      </c>
      <c r="Q95" s="7" t="str">
        <f>IF(KURALLAR!$Q$206="OK","","PANO: "&amp;KURALLAR!$Q$206)</f>
        <v/>
      </c>
    </row>
    <row r="96" spans="1:17" ht="15" customHeight="1" x14ac:dyDescent="0.25">
      <c r="A96" s="1" t="str">
        <f>D96</f>
        <v>ЩВ-1 (260917 fok atr)</v>
      </c>
      <c r="B96" s="2"/>
      <c r="C96" s="2"/>
      <c r="D96" s="1" t="s">
        <v>647</v>
      </c>
      <c r="E96" s="2"/>
      <c r="F96" s="2"/>
      <c r="G96" s="2"/>
      <c r="H96" s="1">
        <v>1</v>
      </c>
      <c r="I96" s="1" t="s">
        <v>17</v>
      </c>
      <c r="J96" s="1" t="s">
        <v>642</v>
      </c>
      <c r="K96" s="1" t="s">
        <v>18</v>
      </c>
      <c r="M96" s="3">
        <f>H96</f>
        <v>1</v>
      </c>
    </row>
    <row r="97" spans="1:17" ht="15" customHeight="1" x14ac:dyDescent="0.25">
      <c r="A97" s="4" t="str">
        <f t="shared" ref="A97:A117" si="44">A96</f>
        <v>ЩВ-1 (260917 fok atr)</v>
      </c>
      <c r="B97" s="4" t="s">
        <v>19</v>
      </c>
      <c r="C97" s="4" t="s">
        <v>153</v>
      </c>
      <c r="D97" s="4" t="s">
        <v>264</v>
      </c>
      <c r="E97" s="5">
        <v>19500</v>
      </c>
      <c r="F97" s="5">
        <f>0.6*E97</f>
        <v>11700</v>
      </c>
      <c r="G97" s="5">
        <f t="shared" ref="G97:G114" si="45">IF(OR(F97="",H97=""),"",H97*F97)</f>
        <v>11700</v>
      </c>
      <c r="H97" s="4">
        <v>1</v>
      </c>
      <c r="I97" s="4" t="str">
        <f t="shared" ref="I97" si="46">IF(ISNA(MATCH($C97,FA,0)),"",IF(INDEX(FIYAT_BIRIM,MATCH($C97,FA,0))="","",INDEX(FIYAT_BIRIM,MATCH($C97,FA,0))))</f>
        <v>шт</v>
      </c>
      <c r="J97" s="4" t="s">
        <v>427</v>
      </c>
      <c r="K97" s="4" t="str">
        <f t="shared" ref="K97:K117" si="47">K96</f>
        <v>260917</v>
      </c>
      <c r="L97" s="6">
        <f t="shared" ref="L97:L116" si="48">G97</f>
        <v>11700</v>
      </c>
      <c r="M97" s="7">
        <f t="shared" ref="M97:M117" si="49">M96</f>
        <v>1</v>
      </c>
      <c r="N97" s="7" t="s">
        <v>21</v>
      </c>
      <c r="O97" s="7" t="s">
        <v>111</v>
      </c>
      <c r="P97" s="8" t="str">
        <f t="shared" ref="P97:P114" si="50">IF(ISNA(MATCH($C97,FA,0)),"ARTİKÜL YOK",INDEX(FIYAT_DURUM,MATCH($C97,FA,0)))</f>
        <v>OK</v>
      </c>
      <c r="Q97" s="8" t="s">
        <v>154</v>
      </c>
    </row>
    <row r="98" spans="1:17" ht="15" customHeight="1" x14ac:dyDescent="0.25">
      <c r="A98" s="4" t="str">
        <f t="shared" si="44"/>
        <v>ЩВ-1 (260917 fok atr)</v>
      </c>
      <c r="B98" s="4" t="s">
        <v>113</v>
      </c>
      <c r="C98" s="4" t="s">
        <v>137</v>
      </c>
      <c r="D98" s="4" t="str">
        <f t="shared" ref="D97:D114" si="51">IF(ISNA(MATCH($C98,FA,0)),"ARTİKÜL FIYAT SAYFASINDA YOK",INDEX(FIYAT_AD,MATCH($C98,FA,0)))</f>
        <v>Выключатель нагрузки NXHB-125 3P 63A (R)</v>
      </c>
      <c r="E98" s="5">
        <f t="shared" ref="E97:E114" si="52">IF(ISNA(MATCH($C98,FA,0)),"",IF(INDEX(FIYAT_LISTE,MATCH($C98,FA,0))="","",INDEX(FIYAT_LISTE,MATCH($C98,FA,0))))</f>
        <v>4217</v>
      </c>
      <c r="F98" s="5">
        <f t="shared" ref="F97:F114" si="53">IF(ISNA(MATCH($C98,FA,0)),"",IF(INDEX(FIYAT_NET,MATCH($C98,FA,0))="","",INDEX(FIYAT_NET,MATCH($C98,FA,0))))</f>
        <v>2530.1999999999998</v>
      </c>
      <c r="G98" s="5">
        <f t="shared" si="45"/>
        <v>2530.1999999999998</v>
      </c>
      <c r="H98" s="4">
        <v>1</v>
      </c>
      <c r="I98" s="4" t="str">
        <f t="shared" ref="I97:I114" si="54">IF(ISNA(MATCH($C98,FA,0)),"",IF(INDEX(FIYAT_BIRIM,MATCH($C98,FA,0))="","",INDEX(FIYAT_BIRIM,MATCH($C98,FA,0))))</f>
        <v>шт</v>
      </c>
      <c r="J98" s="4" t="str">
        <f t="shared" ref="J98:J114" si="55">IF(ISNA(MATCH($C98,FA,0)),"",IF(INDEX(FIYAT_MARKA,MATCH($C98,FA,0))="","",INDEX(FIYAT_MARKA,MATCH($C98,FA,0))))</f>
        <v>chint</v>
      </c>
      <c r="K98" s="4" t="str">
        <f t="shared" si="47"/>
        <v>260917</v>
      </c>
      <c r="L98" s="6">
        <f t="shared" si="48"/>
        <v>2530.1999999999998</v>
      </c>
      <c r="M98" s="7">
        <f t="shared" si="49"/>
        <v>1</v>
      </c>
      <c r="N98" s="7" t="s">
        <v>26</v>
      </c>
      <c r="O98" s="7" t="s">
        <v>113</v>
      </c>
      <c r="P98" s="8" t="str">
        <f t="shared" si="50"/>
        <v>OK</v>
      </c>
      <c r="Q98" s="8" t="s">
        <v>138</v>
      </c>
    </row>
    <row r="99" spans="1:17" ht="15" customHeight="1" x14ac:dyDescent="0.25">
      <c r="A99" s="4" t="str">
        <f t="shared" si="44"/>
        <v>ЩВ-1 (260917 fok atr)</v>
      </c>
      <c r="B99" s="4" t="s">
        <v>39</v>
      </c>
      <c r="C99" s="4" t="s">
        <v>155</v>
      </c>
      <c r="D99" s="4" t="str">
        <f t="shared" si="51"/>
        <v>Авт. выкл. NXB-63S 1P 10А 4.5kA х-ка C (R)</v>
      </c>
      <c r="E99" s="5">
        <f t="shared" si="52"/>
        <v>783</v>
      </c>
      <c r="F99" s="5">
        <f t="shared" si="53"/>
        <v>469.79999999999995</v>
      </c>
      <c r="G99" s="5">
        <f t="shared" si="45"/>
        <v>939.59999999999991</v>
      </c>
      <c r="H99" s="4">
        <v>2</v>
      </c>
      <c r="I99" s="4" t="str">
        <f t="shared" si="54"/>
        <v>шт</v>
      </c>
      <c r="J99" s="4" t="str">
        <f t="shared" si="55"/>
        <v>chint</v>
      </c>
      <c r="K99" s="4" t="str">
        <f t="shared" si="47"/>
        <v>260917</v>
      </c>
      <c r="L99" s="6">
        <f t="shared" si="48"/>
        <v>939.59999999999991</v>
      </c>
      <c r="M99" s="7">
        <f t="shared" si="49"/>
        <v>1</v>
      </c>
      <c r="N99" s="7" t="s">
        <v>41</v>
      </c>
      <c r="O99" s="7" t="s">
        <v>39</v>
      </c>
      <c r="P99" s="8" t="str">
        <f t="shared" si="50"/>
        <v>OK</v>
      </c>
      <c r="Q99" s="8" t="s">
        <v>156</v>
      </c>
    </row>
    <row r="100" spans="1:17" ht="15" customHeight="1" x14ac:dyDescent="0.25">
      <c r="A100" s="4" t="str">
        <f t="shared" si="44"/>
        <v>ЩВ-1 (260917 fok atr)</v>
      </c>
      <c r="B100" s="4" t="s">
        <v>39</v>
      </c>
      <c r="C100" s="4" t="s">
        <v>157</v>
      </c>
      <c r="D100" s="4" t="str">
        <f t="shared" si="51"/>
        <v>Авт. выкл. NXB-63S 1P 16А 4.5kA х-ка C (R)</v>
      </c>
      <c r="E100" s="5">
        <f t="shared" si="52"/>
        <v>783</v>
      </c>
      <c r="F100" s="5">
        <f t="shared" si="53"/>
        <v>469.79999999999995</v>
      </c>
      <c r="G100" s="5">
        <f t="shared" si="45"/>
        <v>3288.5999999999995</v>
      </c>
      <c r="H100" s="4">
        <v>7</v>
      </c>
      <c r="I100" s="4" t="str">
        <f t="shared" si="54"/>
        <v>шт</v>
      </c>
      <c r="J100" s="4" t="str">
        <f t="shared" si="55"/>
        <v>chint</v>
      </c>
      <c r="K100" s="4" t="str">
        <f t="shared" si="47"/>
        <v>260917</v>
      </c>
      <c r="L100" s="6">
        <f t="shared" si="48"/>
        <v>3288.5999999999995</v>
      </c>
      <c r="M100" s="7">
        <f t="shared" si="49"/>
        <v>1</v>
      </c>
      <c r="N100" s="7" t="s">
        <v>41</v>
      </c>
      <c r="O100" s="7" t="s">
        <v>39</v>
      </c>
      <c r="P100" s="8" t="str">
        <f t="shared" si="50"/>
        <v>OK</v>
      </c>
      <c r="Q100" s="8" t="s">
        <v>158</v>
      </c>
    </row>
    <row r="101" spans="1:17" ht="15" customHeight="1" x14ac:dyDescent="0.25">
      <c r="A101" s="4" t="str">
        <f t="shared" si="44"/>
        <v>ЩВ-1 (260917 fok atr)</v>
      </c>
      <c r="B101" s="4" t="s">
        <v>139</v>
      </c>
      <c r="C101" s="4" t="s">
        <v>635</v>
      </c>
      <c r="D101" s="4" t="s">
        <v>636</v>
      </c>
      <c r="E101" s="5">
        <v>11071</v>
      </c>
      <c r="F101" s="5">
        <f t="shared" si="53"/>
        <v>6642.5999999999995</v>
      </c>
      <c r="G101" s="5">
        <f t="shared" si="45"/>
        <v>6642.5999999999995</v>
      </c>
      <c r="H101" s="4">
        <v>1</v>
      </c>
      <c r="I101" s="4" t="str">
        <f t="shared" si="54"/>
        <v>шт</v>
      </c>
      <c r="J101" s="4" t="str">
        <f t="shared" si="55"/>
        <v>chint</v>
      </c>
      <c r="K101" s="4" t="str">
        <f t="shared" si="47"/>
        <v>260917</v>
      </c>
      <c r="L101" s="6">
        <f t="shared" si="48"/>
        <v>6642.5999999999995</v>
      </c>
      <c r="M101" s="7">
        <f t="shared" si="49"/>
        <v>1</v>
      </c>
      <c r="N101" s="7" t="s">
        <v>41</v>
      </c>
      <c r="O101" s="7" t="s">
        <v>139</v>
      </c>
      <c r="P101" s="8" t="str">
        <f t="shared" si="50"/>
        <v>OK</v>
      </c>
      <c r="Q101" s="8" t="s">
        <v>160</v>
      </c>
    </row>
    <row r="102" spans="1:17" ht="15" customHeight="1" x14ac:dyDescent="0.25">
      <c r="A102" s="4" t="str">
        <f t="shared" si="44"/>
        <v>ЩВ-1 (260917 fok atr)</v>
      </c>
      <c r="B102" s="4" t="s">
        <v>68</v>
      </c>
      <c r="C102" s="4" t="str">
        <f>IF((SUMIFS($H$97:$H$101,$N$97:$N$101,"CIKIS")+SUMIFS($H$97:$H$101,$N$97:$N$101,"KUMANDA")+1)&gt;MAX(SNI_DELIK),INDEX(SNI_KOD,ROWS(SNI_KOD)),INDEX(SNI_KOD,COUNTIF(SNI_DELIK,"&lt;"&amp;(SUMIFS($H$97:$H$101,$N$97:$N$101,"CIKIS")+SUMIFS($H$97:$H$101,$N$97:$N$101,"KUMANDA")+1))+1))</f>
        <v>130200362</v>
      </c>
      <c r="D102" s="4" t="str">
        <f t="shared" si="51"/>
        <v>Шина "N" нулевая 8х12мм комб с изол "Стойка" ШНИ 12-КС-С UNIT (20/200)</v>
      </c>
      <c r="E102" s="5">
        <f t="shared" si="52"/>
        <v>903</v>
      </c>
      <c r="F102" s="5">
        <f t="shared" si="53"/>
        <v>903</v>
      </c>
      <c r="G102" s="5">
        <f t="shared" si="45"/>
        <v>903</v>
      </c>
      <c r="H102" s="4">
        <f>IF((SUMIFS($H$97:$H$101,$N$97:$N$101,"CIKIS")+SUMIFS($H$97:$H$101,$N$97:$N$101,"KUMANDA")+1)&gt;MAX(SNI_DELIK),ROUNDUP((SUMIFS($H$97:$H$101,$N$97:$N$101,"CIKIS")+SUMIFS($H$97:$H$101,$N$97:$N$101,"KUMANDA")+1)/MAX(SNI_DELIK),0),1)</f>
        <v>1</v>
      </c>
      <c r="I102" s="4" t="str">
        <f t="shared" si="54"/>
        <v>шт</v>
      </c>
      <c r="J102" s="4" t="str">
        <f t="shared" si="55"/>
        <v>ekt</v>
      </c>
      <c r="K102" s="4" t="str">
        <f t="shared" si="47"/>
        <v>260917</v>
      </c>
      <c r="L102" s="6">
        <f t="shared" si="48"/>
        <v>903</v>
      </c>
      <c r="M102" s="7">
        <f t="shared" si="49"/>
        <v>1</v>
      </c>
      <c r="N102" s="7" t="s">
        <v>69</v>
      </c>
      <c r="O102" s="7" t="s">
        <v>68</v>
      </c>
      <c r="P102" s="8" t="str">
        <f t="shared" si="50"/>
        <v>ESKİ</v>
      </c>
      <c r="Q102" s="8" t="s">
        <v>70</v>
      </c>
    </row>
    <row r="103" spans="1:17" ht="15" customHeight="1" x14ac:dyDescent="0.25">
      <c r="A103" s="4" t="str">
        <f t="shared" si="44"/>
        <v>ЩВ-1 (260917 fok atr)</v>
      </c>
      <c r="B103" s="4" t="s">
        <v>68</v>
      </c>
      <c r="C103" s="4" t="str">
        <f>IF((SUMIFS($H$97:$H$101,$N$97:$N$101,"CIKIS")+2+N(KURALLAR!$J$207))&gt;MAX(SNI_DELIK),INDEX(SNI_KOD,ROWS(SNI_KOD)),INDEX(SNI_KOD,COUNTIF(SNI_DELIK,"&lt;"&amp;(SUMIFS($H$97:$H$101,$N$97:$N$101,"CIKIS")+2+N(KURALLAR!$J$207)))+1))</f>
        <v>130200363</v>
      </c>
      <c r="D103" s="4" t="str">
        <f t="shared" si="51"/>
        <v>Шина "N" нулевая 8х12мм комб с изол "Стойка" ШНИ 14-КС-С UNIT (20/200)</v>
      </c>
      <c r="E103" s="5">
        <f t="shared" si="52"/>
        <v>1049</v>
      </c>
      <c r="F103" s="5">
        <f t="shared" si="53"/>
        <v>1049</v>
      </c>
      <c r="G103" s="5">
        <f t="shared" si="45"/>
        <v>1049</v>
      </c>
      <c r="H103" s="4">
        <f>IF((SUMIFS($H$97:$H$101,$N$97:$N$101,"CIKIS")+2+N(KURALLAR!$J$207))&gt;MAX(SNI_DELIK),ROUNDUP((SUMIFS($H$97:$H$101,$N$97:$N$101,"CIKIS")+2+N(KURALLAR!$J$207))/MAX(SNI_DELIK),0),1)</f>
        <v>1</v>
      </c>
      <c r="I103" s="4" t="str">
        <f t="shared" si="54"/>
        <v>шт</v>
      </c>
      <c r="J103" s="4" t="str">
        <f t="shared" si="55"/>
        <v>ekt</v>
      </c>
      <c r="K103" s="4" t="str">
        <f t="shared" si="47"/>
        <v>260917</v>
      </c>
      <c r="L103" s="6">
        <f t="shared" si="48"/>
        <v>1049</v>
      </c>
      <c r="M103" s="7">
        <f t="shared" si="49"/>
        <v>1</v>
      </c>
      <c r="N103" s="7" t="s">
        <v>69</v>
      </c>
      <c r="O103" s="7" t="s">
        <v>68</v>
      </c>
      <c r="P103" s="8" t="str">
        <f t="shared" si="50"/>
        <v>ESKİ</v>
      </c>
      <c r="Q103" s="8" t="s">
        <v>71</v>
      </c>
    </row>
    <row r="104" spans="1:17" ht="15" customHeight="1" x14ac:dyDescent="0.25">
      <c r="A104" s="4" t="str">
        <f t="shared" si="44"/>
        <v>ЩВ-1 (260917 fok atr)</v>
      </c>
      <c r="B104" s="4" t="s">
        <v>75</v>
      </c>
      <c r="C104" s="4" t="s">
        <v>76</v>
      </c>
      <c r="D104" s="4" t="str">
        <f t="shared" si="51"/>
        <v>HARMONY ПВ3 1*1,5</v>
      </c>
      <c r="E104" s="5">
        <f t="shared" si="52"/>
        <v>105</v>
      </c>
      <c r="F104" s="5">
        <f t="shared" si="53"/>
        <v>105</v>
      </c>
      <c r="G104" s="5">
        <f t="shared" si="45"/>
        <v>73.5</v>
      </c>
      <c r="H104" s="4">
        <f>ROUND(SUMPRODUCT(SUMIFS($H$97:$H$101,$C$97:$C$101,FA,$N$97:$N$101,"&lt;&gt;YEDEK")*(F_BK=1.5)*F_TELM)*KABLO_FIRE,1)</f>
        <v>0.7</v>
      </c>
      <c r="I104" s="4" t="str">
        <f t="shared" si="54"/>
        <v>м</v>
      </c>
      <c r="J104" s="4" t="str">
        <f t="shared" si="55"/>
        <v>harmony</v>
      </c>
      <c r="K104" s="4" t="str">
        <f t="shared" si="47"/>
        <v>260917</v>
      </c>
      <c r="L104" s="6">
        <f t="shared" si="48"/>
        <v>73.5</v>
      </c>
      <c r="M104" s="7">
        <f t="shared" si="49"/>
        <v>1</v>
      </c>
      <c r="N104" s="7" t="s">
        <v>69</v>
      </c>
      <c r="O104" s="7" t="s">
        <v>75</v>
      </c>
      <c r="P104" s="8" t="str">
        <f t="shared" si="50"/>
        <v>TARİH YOK</v>
      </c>
      <c r="Q104" s="8" t="s">
        <v>77</v>
      </c>
    </row>
    <row r="105" spans="1:17" ht="15" customHeight="1" x14ac:dyDescent="0.25">
      <c r="A105" s="4" t="str">
        <f t="shared" si="44"/>
        <v>ЩВ-1 (260917 fok atr)</v>
      </c>
      <c r="B105" s="4" t="s">
        <v>75</v>
      </c>
      <c r="C105" s="4" t="s">
        <v>78</v>
      </c>
      <c r="D105" s="4" t="str">
        <f t="shared" si="51"/>
        <v>HARMONY ПВ3 1*2,5</v>
      </c>
      <c r="E105" s="5">
        <f t="shared" si="52"/>
        <v>174</v>
      </c>
      <c r="F105" s="5">
        <f t="shared" si="53"/>
        <v>174</v>
      </c>
      <c r="G105" s="5">
        <f t="shared" si="45"/>
        <v>400.2</v>
      </c>
      <c r="H105" s="4">
        <f>ROUND(SUMPRODUCT(SUMIFS($H$97:$H$101,$C$97:$C$101,FA,$N$97:$N$101,"&lt;&gt;YEDEK")*(F_BK=2.5)*F_TELM)*KABLO_FIRE,1)</f>
        <v>2.2999999999999998</v>
      </c>
      <c r="I105" s="4" t="str">
        <f t="shared" si="54"/>
        <v>м</v>
      </c>
      <c r="J105" s="4" t="str">
        <f t="shared" si="55"/>
        <v>harmony</v>
      </c>
      <c r="K105" s="4" t="str">
        <f t="shared" si="47"/>
        <v>260917</v>
      </c>
      <c r="L105" s="6">
        <f t="shared" si="48"/>
        <v>400.2</v>
      </c>
      <c r="M105" s="7">
        <f t="shared" si="49"/>
        <v>1</v>
      </c>
      <c r="N105" s="7" t="s">
        <v>69</v>
      </c>
      <c r="O105" s="7" t="s">
        <v>75</v>
      </c>
      <c r="P105" s="8" t="str">
        <f t="shared" si="50"/>
        <v>TARİH YOK</v>
      </c>
      <c r="Q105" s="8" t="s">
        <v>79</v>
      </c>
    </row>
    <row r="106" spans="1:17" ht="15" customHeight="1" x14ac:dyDescent="0.25">
      <c r="A106" s="4" t="str">
        <f t="shared" si="44"/>
        <v>ЩВ-1 (260917 fok atr)</v>
      </c>
      <c r="B106" s="4" t="s">
        <v>75</v>
      </c>
      <c r="C106" s="4" t="s">
        <v>86</v>
      </c>
      <c r="D106" s="4" t="str">
        <f t="shared" si="51"/>
        <v>HARMONY ПВ3 1*6</v>
      </c>
      <c r="E106" s="5">
        <f t="shared" si="52"/>
        <v>398</v>
      </c>
      <c r="F106" s="5">
        <f t="shared" si="53"/>
        <v>398</v>
      </c>
      <c r="G106" s="5">
        <f t="shared" si="45"/>
        <v>517.4</v>
      </c>
      <c r="H106" s="4">
        <f>ROUND(SUMPRODUCT(SUMIFS($H$97:$H$101,$C$97:$C$101,FA,$N$97:$N$101,"&lt;&gt;YEDEK")*(F_BK=6)*F_TELM)*KABLO_FIRE,1)</f>
        <v>1.3</v>
      </c>
      <c r="I106" s="4" t="str">
        <f t="shared" si="54"/>
        <v>м</v>
      </c>
      <c r="J106" s="4" t="str">
        <f t="shared" si="55"/>
        <v>harmony</v>
      </c>
      <c r="K106" s="4" t="str">
        <f t="shared" si="47"/>
        <v>260917</v>
      </c>
      <c r="L106" s="6">
        <f t="shared" si="48"/>
        <v>517.4</v>
      </c>
      <c r="M106" s="7">
        <f t="shared" si="49"/>
        <v>1</v>
      </c>
      <c r="N106" s="7" t="s">
        <v>69</v>
      </c>
      <c r="O106" s="7" t="s">
        <v>75</v>
      </c>
      <c r="P106" s="8" t="str">
        <f t="shared" si="50"/>
        <v>TARİH YOK</v>
      </c>
      <c r="Q106" s="8" t="s">
        <v>126</v>
      </c>
    </row>
    <row r="107" spans="1:17" ht="15" customHeight="1" x14ac:dyDescent="0.25">
      <c r="A107" s="4" t="str">
        <f t="shared" si="44"/>
        <v>ЩВ-1 (260917 fok atr)</v>
      </c>
      <c r="B107" s="4" t="s">
        <v>75</v>
      </c>
      <c r="C107" s="4" t="s">
        <v>142</v>
      </c>
      <c r="D107" s="4" t="str">
        <f t="shared" si="51"/>
        <v>HARMONY ПВ3 1*16</v>
      </c>
      <c r="E107" s="5">
        <f t="shared" si="52"/>
        <v>1084</v>
      </c>
      <c r="F107" s="5">
        <f t="shared" si="53"/>
        <v>1084</v>
      </c>
      <c r="G107" s="5">
        <f t="shared" si="45"/>
        <v>1084</v>
      </c>
      <c r="H107" s="4">
        <f>ROUND(SUMPRODUCT(SUMIFS($H$97:$H$101,$C$97:$C$101,FA,$N$97:$N$101,"&lt;&gt;YEDEK")*(F_BK=16)*F_TELM)*KABLO_FIRE,1)</f>
        <v>1</v>
      </c>
      <c r="I107" s="4" t="str">
        <f t="shared" si="54"/>
        <v>м</v>
      </c>
      <c r="J107" s="4" t="str">
        <f t="shared" si="55"/>
        <v>harmony</v>
      </c>
      <c r="K107" s="4" t="str">
        <f t="shared" si="47"/>
        <v>260917</v>
      </c>
      <c r="L107" s="6">
        <f t="shared" si="48"/>
        <v>1084</v>
      </c>
      <c r="M107" s="7">
        <f t="shared" si="49"/>
        <v>1</v>
      </c>
      <c r="N107" s="7" t="s">
        <v>69</v>
      </c>
      <c r="O107" s="7" t="s">
        <v>75</v>
      </c>
      <c r="P107" s="8" t="str">
        <f t="shared" si="50"/>
        <v>TARİH YOK</v>
      </c>
      <c r="Q107" s="8" t="s">
        <v>143</v>
      </c>
    </row>
    <row r="108" spans="1:17" ht="15" customHeight="1" x14ac:dyDescent="0.25">
      <c r="A108" s="4" t="str">
        <f t="shared" si="44"/>
        <v>ЩВ-1 (260917 fok atr)</v>
      </c>
      <c r="B108" s="4" t="s">
        <v>75</v>
      </c>
      <c r="C108" s="4" t="s">
        <v>86</v>
      </c>
      <c r="D108" s="4" t="str">
        <f t="shared" si="51"/>
        <v>HARMONY ПВ3 1*6</v>
      </c>
      <c r="E108" s="5">
        <f t="shared" si="52"/>
        <v>398</v>
      </c>
      <c r="F108" s="5">
        <f t="shared" si="53"/>
        <v>398</v>
      </c>
      <c r="G108" s="5">
        <f t="shared" si="45"/>
        <v>199</v>
      </c>
      <c r="H108" s="4">
        <f>N(KURALLAR!$J$207)*KAPI_TOPRAK_M</f>
        <v>0.5</v>
      </c>
      <c r="I108" s="4" t="str">
        <f t="shared" si="54"/>
        <v>м</v>
      </c>
      <c r="J108" s="4" t="str">
        <f t="shared" si="55"/>
        <v>harmony</v>
      </c>
      <c r="K108" s="4" t="str">
        <f t="shared" si="47"/>
        <v>260917</v>
      </c>
      <c r="L108" s="6">
        <f t="shared" si="48"/>
        <v>199</v>
      </c>
      <c r="M108" s="7">
        <f t="shared" si="49"/>
        <v>1</v>
      </c>
      <c r="N108" s="7" t="s">
        <v>69</v>
      </c>
      <c r="O108" s="7" t="s">
        <v>75</v>
      </c>
      <c r="P108" s="8" t="str">
        <f t="shared" si="50"/>
        <v>TARİH YOK</v>
      </c>
      <c r="Q108" s="8" t="s">
        <v>87</v>
      </c>
    </row>
    <row r="109" spans="1:17" ht="15" customHeight="1" x14ac:dyDescent="0.25">
      <c r="A109" s="4" t="str">
        <f t="shared" si="44"/>
        <v>ЩВ-1 (260917 fok atr)</v>
      </c>
      <c r="B109" s="4" t="s">
        <v>88</v>
      </c>
      <c r="C109" s="4" t="s">
        <v>89</v>
      </c>
      <c r="D109" s="4" t="str">
        <f t="shared" si="51"/>
        <v>Наконечник НШВИ 1,5-8 изолированный 79440 (100шт) КВТ NEW</v>
      </c>
      <c r="E109" s="5">
        <f t="shared" si="52"/>
        <v>428</v>
      </c>
      <c r="F109" s="5">
        <f t="shared" si="53"/>
        <v>428</v>
      </c>
      <c r="G109" s="5">
        <f t="shared" si="45"/>
        <v>428</v>
      </c>
      <c r="H109" s="4">
        <f>ROUNDUP(SUMPRODUCT(SUMIFS($H$97:$H$101,$C$97:$C$101,FA,$N$97:$N$101,"&lt;&gt;YEDEK")*(F_BK=1.5)*F_TEL)*2*YUKSUK_FIRE/MAX(1,IF(ISNA(MATCH($C109,FA,0)),1,N(INDEX(F_PAKET,MATCH($C109,FA,0))))),0)</f>
        <v>1</v>
      </c>
      <c r="I109" s="4" t="str">
        <f t="shared" si="54"/>
        <v>упак</v>
      </c>
      <c r="J109" s="4" t="str">
        <f t="shared" si="55"/>
        <v>ekt</v>
      </c>
      <c r="K109" s="4" t="str">
        <f t="shared" si="47"/>
        <v>260917</v>
      </c>
      <c r="L109" s="6">
        <f t="shared" si="48"/>
        <v>428</v>
      </c>
      <c r="M109" s="7">
        <f t="shared" si="49"/>
        <v>1</v>
      </c>
      <c r="N109" s="7" t="s">
        <v>69</v>
      </c>
      <c r="O109" s="7" t="s">
        <v>88</v>
      </c>
      <c r="P109" s="8" t="str">
        <f t="shared" si="50"/>
        <v>ESKİ</v>
      </c>
      <c r="Q109" s="8" t="s">
        <v>90</v>
      </c>
    </row>
    <row r="110" spans="1:17" ht="15" customHeight="1" x14ac:dyDescent="0.25">
      <c r="A110" s="4" t="str">
        <f t="shared" si="44"/>
        <v>ЩВ-1 (260917 fok atr)</v>
      </c>
      <c r="B110" s="4" t="s">
        <v>88</v>
      </c>
      <c r="C110" s="4" t="s">
        <v>91</v>
      </c>
      <c r="D110" s="4" t="str">
        <f t="shared" si="51"/>
        <v>Наконечник НШВИ 2,5-8 изолированный 79443 (100шт) КВТ NEW</v>
      </c>
      <c r="E110" s="5">
        <f t="shared" si="52"/>
        <v>540</v>
      </c>
      <c r="F110" s="5">
        <f t="shared" si="53"/>
        <v>540</v>
      </c>
      <c r="G110" s="5">
        <f t="shared" si="45"/>
        <v>540</v>
      </c>
      <c r="H110" s="4">
        <f>ROUNDUP(SUMPRODUCT(SUMIFS($H$97:$H$101,$C$97:$C$101,FA,$N$97:$N$101,"&lt;&gt;YEDEK")*(F_BK=2.5)*F_TEL)*2*YUKSUK_FIRE/MAX(1,IF(ISNA(MATCH($C110,FA,0)),1,N(INDEX(F_PAKET,MATCH($C110,FA,0))))),0)</f>
        <v>1</v>
      </c>
      <c r="I110" s="4" t="str">
        <f t="shared" si="54"/>
        <v>упак</v>
      </c>
      <c r="J110" s="4" t="str">
        <f t="shared" si="55"/>
        <v>ekt</v>
      </c>
      <c r="K110" s="4" t="str">
        <f t="shared" si="47"/>
        <v>260917</v>
      </c>
      <c r="L110" s="6">
        <f t="shared" si="48"/>
        <v>540</v>
      </c>
      <c r="M110" s="7">
        <f t="shared" si="49"/>
        <v>1</v>
      </c>
      <c r="N110" s="7" t="s">
        <v>69</v>
      </c>
      <c r="O110" s="7" t="s">
        <v>88</v>
      </c>
      <c r="P110" s="8" t="str">
        <f t="shared" si="50"/>
        <v>ESKİ</v>
      </c>
      <c r="Q110" s="8" t="s">
        <v>92</v>
      </c>
    </row>
    <row r="111" spans="1:17" ht="15" customHeight="1" x14ac:dyDescent="0.25">
      <c r="A111" s="4" t="str">
        <f t="shared" si="44"/>
        <v>ЩВ-1 (260917 fok atr)</v>
      </c>
      <c r="B111" s="4" t="s">
        <v>88</v>
      </c>
      <c r="C111" s="4" t="s">
        <v>131</v>
      </c>
      <c r="D111" s="4" t="str">
        <f t="shared" si="51"/>
        <v>Наконечник НШВИ 6,0-12 изолированный 79449 (100шт) КВТ NEW</v>
      </c>
      <c r="E111" s="5">
        <f t="shared" si="52"/>
        <v>1240</v>
      </c>
      <c r="F111" s="5">
        <f t="shared" si="53"/>
        <v>1240</v>
      </c>
      <c r="G111" s="5">
        <f t="shared" si="45"/>
        <v>1240</v>
      </c>
      <c r="H111" s="4">
        <f>ROUNDUP(SUMPRODUCT(SUMIFS($H$97:$H$101,$C$97:$C$101,FA,$N$97:$N$101,"&lt;&gt;YEDEK")*(F_BK=6)*F_TEL)*2*YUKSUK_FIRE/MAX(1,IF(ISNA(MATCH($C111,FA,0)),1,N(INDEX(F_PAKET,MATCH($C111,FA,0))))),0)</f>
        <v>1</v>
      </c>
      <c r="I111" s="4" t="str">
        <f t="shared" si="54"/>
        <v>упак</v>
      </c>
      <c r="J111" s="4" t="str">
        <f t="shared" si="55"/>
        <v>ekt</v>
      </c>
      <c r="K111" s="4" t="str">
        <f t="shared" si="47"/>
        <v>260917</v>
      </c>
      <c r="L111" s="6">
        <f t="shared" si="48"/>
        <v>1240</v>
      </c>
      <c r="M111" s="7">
        <f t="shared" si="49"/>
        <v>1</v>
      </c>
      <c r="N111" s="7" t="s">
        <v>69</v>
      </c>
      <c r="O111" s="7" t="s">
        <v>88</v>
      </c>
      <c r="P111" s="8" t="str">
        <f t="shared" si="50"/>
        <v>ESKİ</v>
      </c>
      <c r="Q111" s="8" t="s">
        <v>132</v>
      </c>
    </row>
    <row r="112" spans="1:17" ht="15" customHeight="1" x14ac:dyDescent="0.25">
      <c r="A112" s="4" t="str">
        <f t="shared" si="44"/>
        <v>ЩВ-1 (260917 fok atr)</v>
      </c>
      <c r="B112" s="4" t="s">
        <v>88</v>
      </c>
      <c r="C112" s="4" t="s">
        <v>144</v>
      </c>
      <c r="D112" s="4" t="str">
        <f t="shared" si="51"/>
        <v>Наконечник НШВИ 16-12 изолированный 79452 (100шт) КВТ NEW</v>
      </c>
      <c r="E112" s="5">
        <f t="shared" si="52"/>
        <v>1919</v>
      </c>
      <c r="F112" s="5">
        <f t="shared" si="53"/>
        <v>1919</v>
      </c>
      <c r="G112" s="5">
        <f t="shared" si="45"/>
        <v>1919</v>
      </c>
      <c r="H112" s="4">
        <f>ROUNDUP((ROUNDUP(SUMPRODUCT(SUMIFS($H$97:$H$101,$C$97:$C$101,FA,$N$97:$N$101,"&lt;&gt;YEDEK")*(F_BK=16)*F_TEL)*2*PABUC_FIRE,0))/MAX(1,IF(ISNA(MATCH($C112,FA,0)),1,N(INDEX(F_PAKET,MATCH($C112,FA,0))))),0)</f>
        <v>1</v>
      </c>
      <c r="I112" s="4" t="str">
        <f t="shared" si="54"/>
        <v>упак</v>
      </c>
      <c r="J112" s="4" t="str">
        <f t="shared" si="55"/>
        <v>ekt</v>
      </c>
      <c r="K112" s="4" t="str">
        <f t="shared" si="47"/>
        <v>260917</v>
      </c>
      <c r="L112" s="6">
        <f t="shared" si="48"/>
        <v>1919</v>
      </c>
      <c r="M112" s="7">
        <f t="shared" si="49"/>
        <v>1</v>
      </c>
      <c r="N112" s="7" t="s">
        <v>69</v>
      </c>
      <c r="O112" s="7" t="s">
        <v>88</v>
      </c>
      <c r="P112" s="8" t="str">
        <f t="shared" si="50"/>
        <v>ESKİ</v>
      </c>
      <c r="Q112" s="8" t="s">
        <v>145</v>
      </c>
    </row>
    <row r="113" spans="1:17" ht="15" customHeight="1" x14ac:dyDescent="0.25">
      <c r="A113" s="4" t="str">
        <f t="shared" si="44"/>
        <v>ЩВ-1 (260917 fok atr)</v>
      </c>
      <c r="B113" s="4" t="s">
        <v>93</v>
      </c>
      <c r="C113" s="4" t="s">
        <v>100</v>
      </c>
      <c r="D113" s="4" t="str">
        <f t="shared" si="51"/>
        <v>Наконечник медно-луженный JG - 6 IEK (600)</v>
      </c>
      <c r="E113" s="5">
        <f t="shared" si="52"/>
        <v>76</v>
      </c>
      <c r="F113" s="5">
        <f t="shared" si="53"/>
        <v>76</v>
      </c>
      <c r="G113" s="5">
        <f t="shared" si="45"/>
        <v>152</v>
      </c>
      <c r="H113" s="4">
        <f>2*N(KURALLAR!$J$207)</f>
        <v>2</v>
      </c>
      <c r="I113" s="4" t="str">
        <f t="shared" si="54"/>
        <v>шт</v>
      </c>
      <c r="J113" s="4" t="str">
        <f t="shared" si="55"/>
        <v>ekt</v>
      </c>
      <c r="K113" s="4" t="str">
        <f t="shared" si="47"/>
        <v>260917</v>
      </c>
      <c r="L113" s="6">
        <f t="shared" si="48"/>
        <v>152</v>
      </c>
      <c r="M113" s="7">
        <f t="shared" si="49"/>
        <v>1</v>
      </c>
      <c r="N113" s="7" t="s">
        <v>69</v>
      </c>
      <c r="O113" s="7" t="s">
        <v>93</v>
      </c>
      <c r="P113" s="8" t="str">
        <f t="shared" si="50"/>
        <v>ESKİ</v>
      </c>
      <c r="Q113" s="8" t="s">
        <v>101</v>
      </c>
    </row>
    <row r="114" spans="1:17" ht="15" customHeight="1" x14ac:dyDescent="0.25">
      <c r="A114" s="4" t="str">
        <f t="shared" si="44"/>
        <v>ЩВ-1 (260917 fok atr)</v>
      </c>
      <c r="B114" s="4" t="s">
        <v>102</v>
      </c>
      <c r="C114" s="4" t="s">
        <v>103</v>
      </c>
      <c r="D114" s="4" t="str">
        <f t="shared" si="51"/>
        <v>Хомут 2,5х100 черный UNIT (100/500)</v>
      </c>
      <c r="E114" s="5">
        <f t="shared" si="52"/>
        <v>182</v>
      </c>
      <c r="F114" s="5">
        <f t="shared" si="53"/>
        <v>182</v>
      </c>
      <c r="G114" s="5">
        <f t="shared" si="45"/>
        <v>182</v>
      </c>
      <c r="H114" s="4">
        <f>ROUNDUP((N(H104)+N(H105)+N(H106)+N(H107)+N(H108))*BAG_ADET_M/MAX(1,IF(ISNA(MATCH($C114,FA,0)),1,N(INDEX(F_PAKET,MATCH($C114,FA,0))))),0)</f>
        <v>1</v>
      </c>
      <c r="I114" s="4" t="str">
        <f t="shared" si="54"/>
        <v>упак</v>
      </c>
      <c r="J114" s="4" t="str">
        <f t="shared" si="55"/>
        <v>ekt</v>
      </c>
      <c r="K114" s="4" t="str">
        <f t="shared" si="47"/>
        <v>260917</v>
      </c>
      <c r="L114" s="6">
        <f t="shared" si="48"/>
        <v>182</v>
      </c>
      <c r="M114" s="7">
        <f t="shared" si="49"/>
        <v>1</v>
      </c>
      <c r="N114" s="7" t="s">
        <v>69</v>
      </c>
      <c r="O114" s="7" t="s">
        <v>102</v>
      </c>
      <c r="P114" s="8" t="str">
        <f t="shared" si="50"/>
        <v>ESKİ</v>
      </c>
      <c r="Q114" s="8" t="s">
        <v>104</v>
      </c>
    </row>
    <row r="115" spans="1:17" ht="15" customHeight="1" x14ac:dyDescent="0.25">
      <c r="A115" s="4" t="str">
        <f t="shared" si="44"/>
        <v>ЩВ-1 (260917 fok atr)</v>
      </c>
      <c r="B115" s="4" t="s">
        <v>105</v>
      </c>
      <c r="C115" s="4" t="s">
        <v>105</v>
      </c>
      <c r="D115" s="4" t="s">
        <v>105</v>
      </c>
      <c r="E115" s="5">
        <f>G116*MONTAJ_MALZ_KAT</f>
        <v>3192.0000000000005</v>
      </c>
      <c r="F115" s="5">
        <f>E115</f>
        <v>3192.0000000000005</v>
      </c>
      <c r="G115" s="5">
        <f>H115*F115</f>
        <v>3192.0000000000005</v>
      </c>
      <c r="H115" s="4">
        <v>1</v>
      </c>
      <c r="I115" s="4" t="s">
        <v>106</v>
      </c>
      <c r="J115" s="4" t="s">
        <v>105</v>
      </c>
      <c r="K115" s="4" t="str">
        <f t="shared" si="47"/>
        <v>260917</v>
      </c>
      <c r="L115" s="6">
        <f t="shared" si="48"/>
        <v>3192.0000000000005</v>
      </c>
      <c r="M115" s="7">
        <f t="shared" si="49"/>
        <v>1</v>
      </c>
    </row>
    <row r="116" spans="1:17" ht="15" customHeight="1" x14ac:dyDescent="0.25">
      <c r="A116" s="4" t="str">
        <f t="shared" si="44"/>
        <v>ЩВ-1 (260917 fok atr)</v>
      </c>
      <c r="B116" s="4" t="s">
        <v>107</v>
      </c>
      <c r="C116" s="4" t="s">
        <v>107</v>
      </c>
      <c r="D116" s="4" t="s">
        <v>107</v>
      </c>
      <c r="E116" s="4">
        <f>ROUND(SUMPRODUCT(SUMIFS(H97:H115,O97:O115,TIP_AD)*NORM_DK)*ISCILIK_KAT/60,2)</f>
        <v>1.33</v>
      </c>
      <c r="F116" s="4">
        <f>DK_UCRET</f>
        <v>100</v>
      </c>
      <c r="G116" s="5">
        <f>H116*F116</f>
        <v>7980.0000000000009</v>
      </c>
      <c r="H116" s="4">
        <f>60*E116</f>
        <v>79.800000000000011</v>
      </c>
      <c r="I116" s="4" t="s">
        <v>108</v>
      </c>
      <c r="J116" s="4" t="s">
        <v>107</v>
      </c>
      <c r="K116" s="4" t="str">
        <f t="shared" si="47"/>
        <v>260917</v>
      </c>
      <c r="L116" s="6">
        <f t="shared" si="48"/>
        <v>7980.0000000000009</v>
      </c>
      <c r="M116" s="7">
        <f t="shared" si="49"/>
        <v>1</v>
      </c>
    </row>
    <row r="117" spans="1:17" ht="15" customHeight="1" x14ac:dyDescent="0.25">
      <c r="A117" s="4" t="str">
        <f t="shared" si="44"/>
        <v>ЩВ-1 (260917 fok atr)</v>
      </c>
      <c r="B117" s="9"/>
      <c r="C117" s="9"/>
      <c r="D117" s="9"/>
      <c r="E117" s="9"/>
      <c r="F117" s="9"/>
      <c r="G117" s="10">
        <f>SUM(G97:G116)</f>
        <v>44960.100000000006</v>
      </c>
      <c r="H117" s="9"/>
      <c r="I117" s="9"/>
      <c r="J117" s="9"/>
      <c r="K117" s="4" t="str">
        <f t="shared" si="47"/>
        <v>260917</v>
      </c>
      <c r="L117" s="11">
        <f>SUM(L97:L116)</f>
        <v>44960.100000000006</v>
      </c>
      <c r="M117" s="7">
        <f t="shared" si="49"/>
        <v>1</v>
      </c>
      <c r="P117" s="7" t="str">
        <f>IF(COUNTIF(P97:P116,"FİYAT YOK")+COUNTIF(P97:P116,"YASAK")+COUNTIF(P97:P116,"MARKA YOK")+COUNTIF(P97:P116,"ARTİKÜL YOK")&gt;0,"EKSİK FİYAT","")</f>
        <v/>
      </c>
      <c r="Q117" s="7" t="str">
        <f>IF(KURALLAR!$Q$207="OK","","PANO: "&amp;KURALLAR!$Q$207)</f>
        <v>PANO: SIRA YÜKSEKLİĞİ AŞIYOR</v>
      </c>
    </row>
    <row r="118" spans="1:17" ht="15" customHeight="1" x14ac:dyDescent="0.25">
      <c r="A118" s="1" t="str">
        <f>D118</f>
        <v>ЩО-1 (260917 fok atr)</v>
      </c>
      <c r="B118" s="2"/>
      <c r="C118" s="2"/>
      <c r="D118" s="1" t="s">
        <v>648</v>
      </c>
      <c r="E118" s="2"/>
      <c r="F118" s="2"/>
      <c r="G118" s="2"/>
      <c r="H118" s="1">
        <v>1</v>
      </c>
      <c r="I118" s="1" t="s">
        <v>17</v>
      </c>
      <c r="J118" s="1" t="s">
        <v>642</v>
      </c>
      <c r="K118" s="1" t="s">
        <v>18</v>
      </c>
      <c r="M118" s="3">
        <f>H118</f>
        <v>1</v>
      </c>
    </row>
    <row r="119" spans="1:17" ht="15" customHeight="1" x14ac:dyDescent="0.25">
      <c r="A119" s="4" t="str">
        <f t="shared" ref="A119:A135" si="56">A118</f>
        <v>ЩО-1 (260917 fok atr)</v>
      </c>
      <c r="B119" s="4" t="s">
        <v>19</v>
      </c>
      <c r="C119" s="4" t="s">
        <v>656</v>
      </c>
      <c r="D119" s="4" t="s">
        <v>657</v>
      </c>
      <c r="E119" s="5">
        <v>17500</v>
      </c>
      <c r="F119" s="5">
        <f t="shared" ref="F119:F132" si="57">IF(ISNA(MATCH($C119,FA,0)),"",IF(INDEX(FIYAT_NET,MATCH($C119,FA,0))="","",INDEX(FIYAT_NET,MATCH($C119,FA,0))))</f>
        <v>10500</v>
      </c>
      <c r="G119" s="5">
        <f t="shared" ref="G119:G132" si="58">IF(OR(F119="",H119=""),"",H119*F119)</f>
        <v>10500</v>
      </c>
      <c r="H119" s="4">
        <v>1</v>
      </c>
      <c r="I119" s="4" t="str">
        <f t="shared" ref="I119:I132" si="59">IF(ISNA(MATCH($C119,FA,0)),"",IF(INDEX(FIYAT_BIRIM,MATCH($C119,FA,0))="","",INDEX(FIYAT_BIRIM,MATCH($C119,FA,0))))</f>
        <v>шт</v>
      </c>
      <c r="J119" s="4" t="s">
        <v>428</v>
      </c>
      <c r="K119" s="4" t="str">
        <f t="shared" ref="K119:K135" si="60">K118</f>
        <v>260917</v>
      </c>
      <c r="L119" s="6">
        <f t="shared" ref="L119:L134" si="61">G119</f>
        <v>10500</v>
      </c>
      <c r="M119" s="7">
        <f t="shared" ref="M119:M135" si="62">M118</f>
        <v>1</v>
      </c>
      <c r="N119" s="7" t="s">
        <v>21</v>
      </c>
      <c r="O119" s="7" t="s">
        <v>111</v>
      </c>
      <c r="P119" s="8" t="str">
        <f t="shared" ref="P119:P132" si="63">IF(ISNA(MATCH($C119,FA,0)),"ARTİKÜL YOK",INDEX(FIYAT_DURUM,MATCH($C119,FA,0)))</f>
        <v>OK</v>
      </c>
      <c r="Q119" s="8" t="s">
        <v>162</v>
      </c>
    </row>
    <row r="120" spans="1:17" ht="15" customHeight="1" x14ac:dyDescent="0.25">
      <c r="A120" s="4" t="str">
        <f t="shared" si="56"/>
        <v>ЩО-1 (260917 fok atr)</v>
      </c>
      <c r="B120" s="4" t="s">
        <v>113</v>
      </c>
      <c r="C120" s="4" t="s">
        <v>163</v>
      </c>
      <c r="D120" s="4" t="str">
        <f t="shared" ref="D119:D132" si="64">IF(ISNA(MATCH($C120,FA,0)),"ARTİKÜL FIYAT SAYFASINDA YOK",INDEX(FIYAT_AD,MATCH($C120,FA,0)))</f>
        <v>Выключатель нагрузки NXHB-125 3P 32A (R)</v>
      </c>
      <c r="E120" s="5">
        <f t="shared" ref="E119:E132" si="65">IF(ISNA(MATCH($C120,FA,0)),"",IF(INDEX(FIYAT_LISTE,MATCH($C120,FA,0))="","",INDEX(FIYAT_LISTE,MATCH($C120,FA,0))))</f>
        <v>3372</v>
      </c>
      <c r="F120" s="5">
        <f t="shared" si="57"/>
        <v>2023.1999999999998</v>
      </c>
      <c r="G120" s="5">
        <f t="shared" si="58"/>
        <v>2023.1999999999998</v>
      </c>
      <c r="H120" s="4">
        <v>1</v>
      </c>
      <c r="I120" s="4" t="str">
        <f t="shared" si="59"/>
        <v>шт</v>
      </c>
      <c r="J120" s="4" t="str">
        <f t="shared" ref="J120:J132" si="66">IF(ISNA(MATCH($C120,FA,0)),"",IF(INDEX(FIYAT_MARKA,MATCH($C120,FA,0))="","",INDEX(FIYAT_MARKA,MATCH($C120,FA,0))))</f>
        <v>chint</v>
      </c>
      <c r="K120" s="4" t="str">
        <f t="shared" si="60"/>
        <v>260917</v>
      </c>
      <c r="L120" s="6">
        <f t="shared" si="61"/>
        <v>2023.1999999999998</v>
      </c>
      <c r="M120" s="7">
        <f t="shared" si="62"/>
        <v>1</v>
      </c>
      <c r="N120" s="7" t="s">
        <v>26</v>
      </c>
      <c r="O120" s="7" t="s">
        <v>113</v>
      </c>
      <c r="P120" s="8" t="str">
        <f t="shared" si="63"/>
        <v>OK</v>
      </c>
      <c r="Q120" s="8" t="s">
        <v>164</v>
      </c>
    </row>
    <row r="121" spans="1:17" ht="15" customHeight="1" x14ac:dyDescent="0.25">
      <c r="A121" s="4" t="str">
        <f t="shared" si="56"/>
        <v>ЩО-1 (260917 fok atr)</v>
      </c>
      <c r="B121" s="4" t="s">
        <v>39</v>
      </c>
      <c r="C121" s="4" t="s">
        <v>165</v>
      </c>
      <c r="D121" s="4" t="str">
        <f t="shared" si="64"/>
        <v>Авт. выкл. NXB-63S 1P 16А 4.5kA х-ка B (R)</v>
      </c>
      <c r="E121" s="5">
        <f t="shared" si="65"/>
        <v>878</v>
      </c>
      <c r="F121" s="5">
        <f t="shared" si="57"/>
        <v>526.79999999999995</v>
      </c>
      <c r="G121" s="5">
        <f t="shared" si="58"/>
        <v>5794.7999999999993</v>
      </c>
      <c r="H121" s="4">
        <v>11</v>
      </c>
      <c r="I121" s="4" t="str">
        <f t="shared" si="59"/>
        <v>шт</v>
      </c>
      <c r="J121" s="4" t="str">
        <f t="shared" si="66"/>
        <v>chint</v>
      </c>
      <c r="K121" s="4" t="str">
        <f t="shared" si="60"/>
        <v>260917</v>
      </c>
      <c r="L121" s="6">
        <f t="shared" si="61"/>
        <v>5794.7999999999993</v>
      </c>
      <c r="M121" s="7">
        <f t="shared" si="62"/>
        <v>1</v>
      </c>
      <c r="N121" s="7" t="s">
        <v>41</v>
      </c>
      <c r="O121" s="7" t="s">
        <v>39</v>
      </c>
      <c r="P121" s="8" t="str">
        <f t="shared" si="63"/>
        <v>OK</v>
      </c>
      <c r="Q121" s="8" t="s">
        <v>166</v>
      </c>
    </row>
    <row r="122" spans="1:17" ht="15" customHeight="1" x14ac:dyDescent="0.25">
      <c r="A122" s="4" t="str">
        <f t="shared" si="56"/>
        <v>ЩО-1 (260917 fok atr)</v>
      </c>
      <c r="B122" s="4" t="s">
        <v>39</v>
      </c>
      <c r="C122" s="4" t="s">
        <v>165</v>
      </c>
      <c r="D122" s="4" t="str">
        <f t="shared" si="64"/>
        <v>Авт. выкл. NXB-63S 1P 16А 4.5kA х-ка B (R)</v>
      </c>
      <c r="E122" s="5">
        <f t="shared" si="65"/>
        <v>878</v>
      </c>
      <c r="F122" s="5">
        <f t="shared" si="57"/>
        <v>526.79999999999995</v>
      </c>
      <c r="G122" s="5">
        <f t="shared" si="58"/>
        <v>526.79999999999995</v>
      </c>
      <c r="H122" s="4">
        <v>1</v>
      </c>
      <c r="I122" s="4" t="str">
        <f t="shared" si="59"/>
        <v>шт</v>
      </c>
      <c r="J122" s="4" t="str">
        <f t="shared" si="66"/>
        <v>chint</v>
      </c>
      <c r="K122" s="4" t="str">
        <f t="shared" si="60"/>
        <v>260917</v>
      </c>
      <c r="L122" s="6">
        <f t="shared" si="61"/>
        <v>526.79999999999995</v>
      </c>
      <c r="M122" s="7">
        <f t="shared" si="62"/>
        <v>1</v>
      </c>
      <c r="N122" s="7" t="s">
        <v>167</v>
      </c>
      <c r="O122" s="7" t="s">
        <v>39</v>
      </c>
      <c r="P122" s="8" t="str">
        <f t="shared" si="63"/>
        <v>OK</v>
      </c>
      <c r="Q122" s="8" t="s">
        <v>168</v>
      </c>
    </row>
    <row r="123" spans="1:17" ht="15" customHeight="1" x14ac:dyDescent="0.25">
      <c r="A123" s="4" t="str">
        <f t="shared" si="56"/>
        <v>ЩО-1 (260917 fok atr)</v>
      </c>
      <c r="B123" s="4" t="s">
        <v>139</v>
      </c>
      <c r="C123" s="4" t="s">
        <v>633</v>
      </c>
      <c r="D123" s="4" t="s">
        <v>634</v>
      </c>
      <c r="E123" s="5">
        <v>5104</v>
      </c>
      <c r="F123" s="5">
        <f t="shared" si="57"/>
        <v>3062.4</v>
      </c>
      <c r="G123" s="5">
        <f t="shared" si="58"/>
        <v>15312</v>
      </c>
      <c r="H123" s="4">
        <v>5</v>
      </c>
      <c r="I123" s="4" t="str">
        <f t="shared" si="59"/>
        <v>шт</v>
      </c>
      <c r="J123" s="4" t="str">
        <f t="shared" si="66"/>
        <v>chint</v>
      </c>
      <c r="K123" s="4" t="str">
        <f t="shared" si="60"/>
        <v>260917</v>
      </c>
      <c r="L123" s="6">
        <f t="shared" si="61"/>
        <v>15312</v>
      </c>
      <c r="M123" s="7">
        <f t="shared" si="62"/>
        <v>1</v>
      </c>
      <c r="N123" s="7" t="s">
        <v>41</v>
      </c>
      <c r="O123" s="7" t="s">
        <v>139</v>
      </c>
      <c r="P123" s="8" t="str">
        <f t="shared" si="63"/>
        <v>OK</v>
      </c>
      <c r="Q123" s="8" t="s">
        <v>169</v>
      </c>
    </row>
    <row r="124" spans="1:17" ht="15" customHeight="1" x14ac:dyDescent="0.25">
      <c r="A124" s="4" t="str">
        <f t="shared" si="56"/>
        <v>ЩО-1 (260917 fok atr)</v>
      </c>
      <c r="B124" s="4" t="s">
        <v>68</v>
      </c>
      <c r="C124" s="4" t="str">
        <f>IF((SUMIFS($H$119:$H$123,$N$119:$N$123,"CIKIS")+SUMIFS($H$119:$H$123,$N$119:$N$123,"KUMANDA")+1)&gt;MAX(SNI_DELIK),INDEX(SNI_KOD,ROWS(SNI_KOD)),INDEX(SNI_KOD,COUNTIF(SNI_DELIK,"&lt;"&amp;(SUMIFS($H$119:$H$123,$N$119:$N$123,"CIKIS")+SUMIFS($H$119:$H$123,$N$119:$N$123,"KUMANDA")+1))+1))</f>
        <v>130200363</v>
      </c>
      <c r="D124" s="4" t="str">
        <f t="shared" si="64"/>
        <v>Шина "N" нулевая 8х12мм комб с изол "Стойка" ШНИ 14-КС-С UNIT (20/200)</v>
      </c>
      <c r="E124" s="5">
        <f t="shared" si="65"/>
        <v>1049</v>
      </c>
      <c r="F124" s="5">
        <f t="shared" si="57"/>
        <v>1049</v>
      </c>
      <c r="G124" s="5">
        <f t="shared" si="58"/>
        <v>2098</v>
      </c>
      <c r="H124" s="4">
        <f>IF((SUMIFS($H$119:$H$123,$N$119:$N$123,"CIKIS")+SUMIFS($H$119:$H$123,$N$119:$N$123,"KUMANDA")+1)&gt;MAX(SNI_DELIK),ROUNDUP((SUMIFS($H$119:$H$123,$N$119:$N$123,"CIKIS")+SUMIFS($H$119:$H$123,$N$119:$N$123,"KUMANDA")+1)/MAX(SNI_DELIK),0),1)</f>
        <v>2</v>
      </c>
      <c r="I124" s="4" t="str">
        <f t="shared" si="59"/>
        <v>шт</v>
      </c>
      <c r="J124" s="4" t="str">
        <f t="shared" si="66"/>
        <v>ekt</v>
      </c>
      <c r="K124" s="4" t="str">
        <f t="shared" si="60"/>
        <v>260917</v>
      </c>
      <c r="L124" s="6">
        <f t="shared" si="61"/>
        <v>2098</v>
      </c>
      <c r="M124" s="7">
        <f t="shared" si="62"/>
        <v>1</v>
      </c>
      <c r="N124" s="7" t="s">
        <v>69</v>
      </c>
      <c r="O124" s="7" t="s">
        <v>68</v>
      </c>
      <c r="P124" s="8" t="str">
        <f t="shared" si="63"/>
        <v>ESKİ</v>
      </c>
      <c r="Q124" s="8" t="s">
        <v>70</v>
      </c>
    </row>
    <row r="125" spans="1:17" ht="15" customHeight="1" x14ac:dyDescent="0.25">
      <c r="A125" s="4" t="str">
        <f t="shared" si="56"/>
        <v>ЩО-1 (260917 fok atr)</v>
      </c>
      <c r="B125" s="4" t="s">
        <v>68</v>
      </c>
      <c r="C125" s="4" t="str">
        <f>IF((SUMIFS($H$119:$H$123,$N$119:$N$123,"CIKIS")+2+N(KURALLAR!$J$208))&gt;MAX(SNI_DELIK),INDEX(SNI_KOD,ROWS(SNI_KOD)),INDEX(SNI_KOD,COUNTIF(SNI_DELIK,"&lt;"&amp;(SUMIFS($H$119:$H$123,$N$119:$N$123,"CIKIS")+2+N(KURALLAR!$J$208)))+1))</f>
        <v>130200363</v>
      </c>
      <c r="D125" s="4" t="str">
        <f t="shared" si="64"/>
        <v>Шина "N" нулевая 8х12мм комб с изол "Стойка" ШНИ 14-КС-С UNIT (20/200)</v>
      </c>
      <c r="E125" s="5">
        <f t="shared" si="65"/>
        <v>1049</v>
      </c>
      <c r="F125" s="5">
        <f t="shared" si="57"/>
        <v>1049</v>
      </c>
      <c r="G125" s="5">
        <f t="shared" si="58"/>
        <v>2098</v>
      </c>
      <c r="H125" s="4">
        <f>IF((SUMIFS($H$119:$H$123,$N$119:$N$123,"CIKIS")+2+N(KURALLAR!$J$208))&gt;MAX(SNI_DELIK),ROUNDUP((SUMIFS($H$119:$H$123,$N$119:$N$123,"CIKIS")+2+N(KURALLAR!$J$208))/MAX(SNI_DELIK),0),1)</f>
        <v>2</v>
      </c>
      <c r="I125" s="4" t="str">
        <f t="shared" si="59"/>
        <v>шт</v>
      </c>
      <c r="J125" s="4" t="str">
        <f t="shared" si="66"/>
        <v>ekt</v>
      </c>
      <c r="K125" s="4" t="str">
        <f t="shared" si="60"/>
        <v>260917</v>
      </c>
      <c r="L125" s="6">
        <f t="shared" si="61"/>
        <v>2098</v>
      </c>
      <c r="M125" s="7">
        <f t="shared" si="62"/>
        <v>1</v>
      </c>
      <c r="N125" s="7" t="s">
        <v>69</v>
      </c>
      <c r="O125" s="7" t="s">
        <v>68</v>
      </c>
      <c r="P125" s="8" t="str">
        <f t="shared" si="63"/>
        <v>ESKİ</v>
      </c>
      <c r="Q125" s="8" t="s">
        <v>71</v>
      </c>
    </row>
    <row r="126" spans="1:17" ht="15" customHeight="1" x14ac:dyDescent="0.25">
      <c r="A126" s="4" t="str">
        <f t="shared" si="56"/>
        <v>ЩО-1 (260917 fok atr)</v>
      </c>
      <c r="B126" s="4" t="s">
        <v>75</v>
      </c>
      <c r="C126" s="4" t="s">
        <v>78</v>
      </c>
      <c r="D126" s="4" t="str">
        <f t="shared" si="64"/>
        <v>HARMONY ПВ3 1*2,5</v>
      </c>
      <c r="E126" s="5">
        <f t="shared" si="65"/>
        <v>174</v>
      </c>
      <c r="F126" s="5">
        <f t="shared" si="57"/>
        <v>174</v>
      </c>
      <c r="G126" s="5">
        <f t="shared" si="58"/>
        <v>1200.6000000000001</v>
      </c>
      <c r="H126" s="4">
        <f>ROUND(SUMPRODUCT(SUMIFS($H$119:$H$123,$C$119:$C$123,FA,$N$119:$N$123,"&lt;&gt;YEDEK")*(F_BK=2.5)*F_TELM)*KABLO_FIRE,1)</f>
        <v>6.9</v>
      </c>
      <c r="I126" s="4" t="str">
        <f t="shared" si="59"/>
        <v>м</v>
      </c>
      <c r="J126" s="4" t="str">
        <f t="shared" si="66"/>
        <v>harmony</v>
      </c>
      <c r="K126" s="4" t="str">
        <f t="shared" si="60"/>
        <v>260917</v>
      </c>
      <c r="L126" s="6">
        <f t="shared" si="61"/>
        <v>1200.6000000000001</v>
      </c>
      <c r="M126" s="7">
        <f t="shared" si="62"/>
        <v>1</v>
      </c>
      <c r="N126" s="7" t="s">
        <v>69</v>
      </c>
      <c r="O126" s="7" t="s">
        <v>75</v>
      </c>
      <c r="P126" s="8" t="str">
        <f t="shared" si="63"/>
        <v>TARİH YOK</v>
      </c>
      <c r="Q126" s="8" t="s">
        <v>79</v>
      </c>
    </row>
    <row r="127" spans="1:17" ht="15" customHeight="1" x14ac:dyDescent="0.25">
      <c r="A127" s="4" t="str">
        <f t="shared" si="56"/>
        <v>ЩО-1 (260917 fok atr)</v>
      </c>
      <c r="B127" s="4" t="s">
        <v>75</v>
      </c>
      <c r="C127" s="4" t="s">
        <v>86</v>
      </c>
      <c r="D127" s="4" t="str">
        <f t="shared" si="64"/>
        <v>HARMONY ПВ3 1*6</v>
      </c>
      <c r="E127" s="5">
        <f t="shared" si="65"/>
        <v>398</v>
      </c>
      <c r="F127" s="5">
        <f t="shared" si="57"/>
        <v>398</v>
      </c>
      <c r="G127" s="5">
        <f t="shared" si="58"/>
        <v>398</v>
      </c>
      <c r="H127" s="4">
        <f>ROUND(SUMPRODUCT(SUMIFS($H$119:$H$123,$C$119:$C$123,FA,$N$119:$N$123,"&lt;&gt;YEDEK")*(F_BK=6)*F_TELM)*KABLO_FIRE,1)</f>
        <v>1</v>
      </c>
      <c r="I127" s="4" t="str">
        <f t="shared" si="59"/>
        <v>м</v>
      </c>
      <c r="J127" s="4" t="str">
        <f t="shared" si="66"/>
        <v>harmony</v>
      </c>
      <c r="K127" s="4" t="str">
        <f t="shared" si="60"/>
        <v>260917</v>
      </c>
      <c r="L127" s="6">
        <f t="shared" si="61"/>
        <v>398</v>
      </c>
      <c r="M127" s="7">
        <f t="shared" si="62"/>
        <v>1</v>
      </c>
      <c r="N127" s="7" t="s">
        <v>69</v>
      </c>
      <c r="O127" s="7" t="s">
        <v>75</v>
      </c>
      <c r="P127" s="8" t="str">
        <f t="shared" si="63"/>
        <v>TARİH YOK</v>
      </c>
      <c r="Q127" s="8" t="s">
        <v>126</v>
      </c>
    </row>
    <row r="128" spans="1:17" ht="15" customHeight="1" x14ac:dyDescent="0.25">
      <c r="A128" s="4" t="str">
        <f t="shared" si="56"/>
        <v>ЩО-1 (260917 fok atr)</v>
      </c>
      <c r="B128" s="4" t="s">
        <v>75</v>
      </c>
      <c r="C128" s="4" t="s">
        <v>86</v>
      </c>
      <c r="D128" s="4" t="str">
        <f t="shared" si="64"/>
        <v>HARMONY ПВ3 1*6</v>
      </c>
      <c r="E128" s="5">
        <f t="shared" si="65"/>
        <v>398</v>
      </c>
      <c r="F128" s="5">
        <f t="shared" si="57"/>
        <v>398</v>
      </c>
      <c r="G128" s="5">
        <f t="shared" si="58"/>
        <v>199</v>
      </c>
      <c r="H128" s="4">
        <f>N(KURALLAR!$J$208)*KAPI_TOPRAK_M</f>
        <v>0.5</v>
      </c>
      <c r="I128" s="4" t="str">
        <f t="shared" si="59"/>
        <v>м</v>
      </c>
      <c r="J128" s="4" t="str">
        <f t="shared" si="66"/>
        <v>harmony</v>
      </c>
      <c r="K128" s="4" t="str">
        <f t="shared" si="60"/>
        <v>260917</v>
      </c>
      <c r="L128" s="6">
        <f t="shared" si="61"/>
        <v>199</v>
      </c>
      <c r="M128" s="7">
        <f t="shared" si="62"/>
        <v>1</v>
      </c>
      <c r="N128" s="7" t="s">
        <v>69</v>
      </c>
      <c r="O128" s="7" t="s">
        <v>75</v>
      </c>
      <c r="P128" s="8" t="str">
        <f t="shared" si="63"/>
        <v>TARİH YOK</v>
      </c>
      <c r="Q128" s="8" t="s">
        <v>87</v>
      </c>
    </row>
    <row r="129" spans="1:17" ht="15" customHeight="1" x14ac:dyDescent="0.25">
      <c r="A129" s="4" t="str">
        <f t="shared" si="56"/>
        <v>ЩО-1 (260917 fok atr)</v>
      </c>
      <c r="B129" s="4" t="s">
        <v>88</v>
      </c>
      <c r="C129" s="4" t="s">
        <v>91</v>
      </c>
      <c r="D129" s="4" t="str">
        <f t="shared" si="64"/>
        <v>Наконечник НШВИ 2,5-8 изолированный 79443 (100шт) КВТ NEW</v>
      </c>
      <c r="E129" s="5">
        <f t="shared" si="65"/>
        <v>540</v>
      </c>
      <c r="F129" s="5">
        <f t="shared" si="57"/>
        <v>540</v>
      </c>
      <c r="G129" s="5">
        <f t="shared" si="58"/>
        <v>1080</v>
      </c>
      <c r="H129" s="4">
        <f>ROUNDUP(SUMPRODUCT(SUMIFS($H$119:$H$123,$C$119:$C$123,FA,$N$119:$N$123,"&lt;&gt;YEDEK")*(F_BK=2.5)*F_TEL)*2*YUKSUK_FIRE/MAX(1,IF(ISNA(MATCH($C129,FA,0)),1,N(INDEX(F_PAKET,MATCH($C129,FA,0))))),0)</f>
        <v>2</v>
      </c>
      <c r="I129" s="4" t="str">
        <f t="shared" si="59"/>
        <v>упак</v>
      </c>
      <c r="J129" s="4" t="str">
        <f t="shared" si="66"/>
        <v>ekt</v>
      </c>
      <c r="K129" s="4" t="str">
        <f t="shared" si="60"/>
        <v>260917</v>
      </c>
      <c r="L129" s="6">
        <f t="shared" si="61"/>
        <v>1080</v>
      </c>
      <c r="M129" s="7">
        <f t="shared" si="62"/>
        <v>1</v>
      </c>
      <c r="N129" s="7" t="s">
        <v>69</v>
      </c>
      <c r="O129" s="7" t="s">
        <v>88</v>
      </c>
      <c r="P129" s="8" t="str">
        <f t="shared" si="63"/>
        <v>ESKİ</v>
      </c>
      <c r="Q129" s="8" t="s">
        <v>92</v>
      </c>
    </row>
    <row r="130" spans="1:17" ht="15" customHeight="1" x14ac:dyDescent="0.25">
      <c r="A130" s="4" t="str">
        <f t="shared" si="56"/>
        <v>ЩО-1 (260917 fok atr)</v>
      </c>
      <c r="B130" s="4" t="s">
        <v>88</v>
      </c>
      <c r="C130" s="4" t="s">
        <v>131</v>
      </c>
      <c r="D130" s="4" t="str">
        <f t="shared" si="64"/>
        <v>Наконечник НШВИ 6,0-12 изолированный 79449 (100шт) КВТ NEW</v>
      </c>
      <c r="E130" s="5">
        <f t="shared" si="65"/>
        <v>1240</v>
      </c>
      <c r="F130" s="5">
        <f t="shared" si="57"/>
        <v>1240</v>
      </c>
      <c r="G130" s="5">
        <f t="shared" si="58"/>
        <v>1240</v>
      </c>
      <c r="H130" s="4">
        <f>ROUNDUP(SUMPRODUCT(SUMIFS($H$119:$H$123,$C$119:$C$123,FA,$N$119:$N$123,"&lt;&gt;YEDEK")*(F_BK=6)*F_TEL)*2*YUKSUK_FIRE/MAX(1,IF(ISNA(MATCH($C130,FA,0)),1,N(INDEX(F_PAKET,MATCH($C130,FA,0))))),0)</f>
        <v>1</v>
      </c>
      <c r="I130" s="4" t="str">
        <f t="shared" si="59"/>
        <v>упак</v>
      </c>
      <c r="J130" s="4" t="str">
        <f t="shared" si="66"/>
        <v>ekt</v>
      </c>
      <c r="K130" s="4" t="str">
        <f t="shared" si="60"/>
        <v>260917</v>
      </c>
      <c r="L130" s="6">
        <f t="shared" si="61"/>
        <v>1240</v>
      </c>
      <c r="M130" s="7">
        <f t="shared" si="62"/>
        <v>1</v>
      </c>
      <c r="N130" s="7" t="s">
        <v>69</v>
      </c>
      <c r="O130" s="7" t="s">
        <v>88</v>
      </c>
      <c r="P130" s="8" t="str">
        <f t="shared" si="63"/>
        <v>ESKİ</v>
      </c>
      <c r="Q130" s="8" t="s">
        <v>132</v>
      </c>
    </row>
    <row r="131" spans="1:17" ht="15" customHeight="1" x14ac:dyDescent="0.25">
      <c r="A131" s="4" t="str">
        <f t="shared" si="56"/>
        <v>ЩО-1 (260917 fok atr)</v>
      </c>
      <c r="B131" s="4" t="s">
        <v>93</v>
      </c>
      <c r="C131" s="4" t="s">
        <v>100</v>
      </c>
      <c r="D131" s="4" t="str">
        <f t="shared" si="64"/>
        <v>Наконечник медно-луженный JG - 6 IEK (600)</v>
      </c>
      <c r="E131" s="5">
        <f t="shared" si="65"/>
        <v>76</v>
      </c>
      <c r="F131" s="5">
        <f t="shared" si="57"/>
        <v>76</v>
      </c>
      <c r="G131" s="5">
        <f t="shared" si="58"/>
        <v>152</v>
      </c>
      <c r="H131" s="4">
        <f>2*N(KURALLAR!$J$208)</f>
        <v>2</v>
      </c>
      <c r="I131" s="4" t="str">
        <f t="shared" si="59"/>
        <v>шт</v>
      </c>
      <c r="J131" s="4" t="str">
        <f t="shared" si="66"/>
        <v>ekt</v>
      </c>
      <c r="K131" s="4" t="str">
        <f t="shared" si="60"/>
        <v>260917</v>
      </c>
      <c r="L131" s="6">
        <f t="shared" si="61"/>
        <v>152</v>
      </c>
      <c r="M131" s="7">
        <f t="shared" si="62"/>
        <v>1</v>
      </c>
      <c r="N131" s="7" t="s">
        <v>69</v>
      </c>
      <c r="O131" s="7" t="s">
        <v>93</v>
      </c>
      <c r="P131" s="8" t="str">
        <f t="shared" si="63"/>
        <v>ESKİ</v>
      </c>
      <c r="Q131" s="8" t="s">
        <v>101</v>
      </c>
    </row>
    <row r="132" spans="1:17" ht="15" customHeight="1" x14ac:dyDescent="0.25">
      <c r="A132" s="4" t="str">
        <f t="shared" si="56"/>
        <v>ЩО-1 (260917 fok atr)</v>
      </c>
      <c r="B132" s="4" t="s">
        <v>102</v>
      </c>
      <c r="C132" s="4" t="s">
        <v>103</v>
      </c>
      <c r="D132" s="4" t="str">
        <f t="shared" si="64"/>
        <v>Хомут 2,5х100 черный UNIT (100/500)</v>
      </c>
      <c r="E132" s="5">
        <f t="shared" si="65"/>
        <v>182</v>
      </c>
      <c r="F132" s="5">
        <f t="shared" si="57"/>
        <v>182</v>
      </c>
      <c r="G132" s="5">
        <f t="shared" si="58"/>
        <v>182</v>
      </c>
      <c r="H132" s="4">
        <f>ROUNDUP((N(H126)+N(H127)+N(H128))*BAG_ADET_M/MAX(1,IF(ISNA(MATCH($C132,FA,0)),1,N(INDEX(F_PAKET,MATCH($C132,FA,0))))),0)</f>
        <v>1</v>
      </c>
      <c r="I132" s="4" t="str">
        <f t="shared" si="59"/>
        <v>упак</v>
      </c>
      <c r="J132" s="4" t="str">
        <f t="shared" si="66"/>
        <v>ekt</v>
      </c>
      <c r="K132" s="4" t="str">
        <f t="shared" si="60"/>
        <v>260917</v>
      </c>
      <c r="L132" s="6">
        <f t="shared" si="61"/>
        <v>182</v>
      </c>
      <c r="M132" s="7">
        <f t="shared" si="62"/>
        <v>1</v>
      </c>
      <c r="N132" s="7" t="s">
        <v>69</v>
      </c>
      <c r="O132" s="7" t="s">
        <v>102</v>
      </c>
      <c r="P132" s="8" t="str">
        <f t="shared" si="63"/>
        <v>ESKİ</v>
      </c>
      <c r="Q132" s="8" t="s">
        <v>104</v>
      </c>
    </row>
    <row r="133" spans="1:17" ht="15" customHeight="1" x14ac:dyDescent="0.25">
      <c r="A133" s="4" t="str">
        <f t="shared" si="56"/>
        <v>ЩО-1 (260917 fok atr)</v>
      </c>
      <c r="B133" s="4" t="s">
        <v>105</v>
      </c>
      <c r="C133" s="4" t="s">
        <v>105</v>
      </c>
      <c r="D133" s="4" t="s">
        <v>105</v>
      </c>
      <c r="E133" s="5">
        <f>G134*MONTAJ_MALZ_KAT</f>
        <v>4560</v>
      </c>
      <c r="F133" s="5">
        <f>E133</f>
        <v>4560</v>
      </c>
      <c r="G133" s="5">
        <f>H133*F133</f>
        <v>4560</v>
      </c>
      <c r="H133" s="4">
        <v>1</v>
      </c>
      <c r="I133" s="4" t="s">
        <v>106</v>
      </c>
      <c r="J133" s="4" t="s">
        <v>105</v>
      </c>
      <c r="K133" s="4" t="str">
        <f t="shared" si="60"/>
        <v>260917</v>
      </c>
      <c r="L133" s="6">
        <f t="shared" si="61"/>
        <v>4560</v>
      </c>
      <c r="M133" s="7">
        <f t="shared" si="62"/>
        <v>1</v>
      </c>
    </row>
    <row r="134" spans="1:17" ht="15" customHeight="1" x14ac:dyDescent="0.25">
      <c r="A134" s="4" t="str">
        <f t="shared" si="56"/>
        <v>ЩО-1 (260917 fok atr)</v>
      </c>
      <c r="B134" s="4" t="s">
        <v>107</v>
      </c>
      <c r="C134" s="4" t="s">
        <v>107</v>
      </c>
      <c r="D134" s="4" t="s">
        <v>107</v>
      </c>
      <c r="E134" s="4">
        <f>ROUND(SUMPRODUCT(SUMIFS(H119:H133,O119:O133,TIP_AD)*NORM_DK)*ISCILIK_KAT/60,2)</f>
        <v>1.9</v>
      </c>
      <c r="F134" s="4">
        <f>DK_UCRET</f>
        <v>100</v>
      </c>
      <c r="G134" s="5">
        <f>H134*F134</f>
        <v>11400</v>
      </c>
      <c r="H134" s="4">
        <f>60*E134</f>
        <v>114</v>
      </c>
      <c r="I134" s="4" t="s">
        <v>108</v>
      </c>
      <c r="J134" s="4" t="s">
        <v>107</v>
      </c>
      <c r="K134" s="4" t="str">
        <f t="shared" si="60"/>
        <v>260917</v>
      </c>
      <c r="L134" s="6">
        <f t="shared" si="61"/>
        <v>11400</v>
      </c>
      <c r="M134" s="7">
        <f t="shared" si="62"/>
        <v>1</v>
      </c>
    </row>
    <row r="135" spans="1:17" ht="15" customHeight="1" x14ac:dyDescent="0.25">
      <c r="A135" s="4" t="str">
        <f t="shared" si="56"/>
        <v>ЩО-1 (260917 fok atr)</v>
      </c>
      <c r="B135" s="9"/>
      <c r="C135" s="9"/>
      <c r="D135" s="9"/>
      <c r="E135" s="9"/>
      <c r="F135" s="9"/>
      <c r="G135" s="10">
        <f>SUM(G119:G134)</f>
        <v>58764.4</v>
      </c>
      <c r="H135" s="9"/>
      <c r="I135" s="9"/>
      <c r="J135" s="9"/>
      <c r="K135" s="4" t="str">
        <f t="shared" si="60"/>
        <v>260917</v>
      </c>
      <c r="L135" s="11">
        <f>SUM(L119:L134)</f>
        <v>58764.4</v>
      </c>
      <c r="M135" s="7">
        <f t="shared" si="62"/>
        <v>1</v>
      </c>
      <c r="P135" s="7" t="str">
        <f>IF(COUNTIF(P119:P134,"FİYAT YOK")+COUNTIF(P119:P134,"YASAK")+COUNTIF(P119:P134,"MARKA YOK")+COUNTIF(P119:P134,"ARTİKÜL YOK")&gt;0,"EKSİK FİYAT","")</f>
        <v/>
      </c>
      <c r="Q135" s="7" t="str">
        <f>IF(KURALLAR!$Q$208="OK","","PANO: "&amp;KURALLAR!$Q$208)</f>
        <v/>
      </c>
    </row>
    <row r="136" spans="1:17" ht="15" customHeight="1" x14ac:dyDescent="0.25">
      <c r="A136" s="1" t="str">
        <f>D136</f>
        <v>ЩАО-1 (260917 fok atr)</v>
      </c>
      <c r="B136" s="2"/>
      <c r="C136" s="2"/>
      <c r="D136" s="1" t="s">
        <v>649</v>
      </c>
      <c r="E136" s="2"/>
      <c r="F136" s="2"/>
      <c r="G136" s="2"/>
      <c r="H136" s="1">
        <v>1</v>
      </c>
      <c r="I136" s="1" t="s">
        <v>17</v>
      </c>
      <c r="J136" s="1" t="s">
        <v>642</v>
      </c>
      <c r="K136" s="1" t="s">
        <v>18</v>
      </c>
      <c r="M136" s="3">
        <f>H136</f>
        <v>1</v>
      </c>
    </row>
    <row r="137" spans="1:17" ht="15" customHeight="1" x14ac:dyDescent="0.25">
      <c r="A137" s="4" t="str">
        <f t="shared" ref="A137:A152" si="67">A136</f>
        <v>ЩАО-1 (260917 fok atr)</v>
      </c>
      <c r="B137" s="4" t="s">
        <v>19</v>
      </c>
      <c r="C137" s="4" t="s">
        <v>658</v>
      </c>
      <c r="D137" s="4" t="s">
        <v>659</v>
      </c>
      <c r="E137" s="5">
        <v>11000</v>
      </c>
      <c r="F137" s="5">
        <f t="shared" ref="F137:F149" si="68">IF(ISNA(MATCH($C137,FA,0)),"",IF(INDEX(FIYAT_NET,MATCH($C137,FA,0))="","",INDEX(FIYAT_NET,MATCH($C137,FA,0))))</f>
        <v>6600</v>
      </c>
      <c r="G137" s="5">
        <f t="shared" ref="G137:G149" si="69">IF(OR(F137="",H137=""),"",H137*F137)</f>
        <v>6600</v>
      </c>
      <c r="H137" s="4">
        <v>1</v>
      </c>
      <c r="I137" s="4" t="str">
        <f t="shared" ref="I137:I149" si="70">IF(ISNA(MATCH($C137,FA,0)),"",IF(INDEX(FIYAT_BIRIM,MATCH($C137,FA,0))="","",INDEX(FIYAT_BIRIM,MATCH($C137,FA,0))))</f>
        <v>шт</v>
      </c>
      <c r="J137" s="4" t="s">
        <v>428</v>
      </c>
      <c r="K137" s="4" t="str">
        <f t="shared" ref="K137:K152" si="71">K136</f>
        <v>260917</v>
      </c>
      <c r="L137" s="6">
        <f t="shared" ref="L137:L151" si="72">G137</f>
        <v>6600</v>
      </c>
      <c r="M137" s="7">
        <f t="shared" ref="M137:M152" si="73">M136</f>
        <v>1</v>
      </c>
      <c r="N137" s="7" t="s">
        <v>21</v>
      </c>
      <c r="O137" s="7" t="s">
        <v>111</v>
      </c>
      <c r="P137" s="8" t="str">
        <f t="shared" ref="P137:P149" si="74">IF(ISNA(MATCH($C137,FA,0)),"ARTİKÜL YOK",INDEX(FIYAT_DURUM,MATCH($C137,FA,0)))</f>
        <v>OK</v>
      </c>
      <c r="Q137" s="8" t="s">
        <v>171</v>
      </c>
    </row>
    <row r="138" spans="1:17" ht="15" customHeight="1" x14ac:dyDescent="0.25">
      <c r="A138" s="4" t="str">
        <f t="shared" si="67"/>
        <v>ЩАО-1 (260917 fok atr)</v>
      </c>
      <c r="B138" s="4" t="s">
        <v>113</v>
      </c>
      <c r="C138" s="4" t="s">
        <v>163</v>
      </c>
      <c r="D138" s="4" t="str">
        <f t="shared" ref="D138:D149" si="75">IF(ISNA(MATCH($C138,FA,0)),"ARTİKÜL FIYAT SAYFASINDA YOK",INDEX(FIYAT_AD,MATCH($C138,FA,0)))</f>
        <v>Выключатель нагрузки NXHB-125 3P 32A (R)</v>
      </c>
      <c r="E138" s="5">
        <f t="shared" ref="E138:E149" si="76">IF(ISNA(MATCH($C138,FA,0)),"",IF(INDEX(FIYAT_LISTE,MATCH($C138,FA,0))="","",INDEX(FIYAT_LISTE,MATCH($C138,FA,0))))</f>
        <v>3372</v>
      </c>
      <c r="F138" s="5">
        <f t="shared" si="68"/>
        <v>2023.1999999999998</v>
      </c>
      <c r="G138" s="5">
        <f t="shared" si="69"/>
        <v>2023.1999999999998</v>
      </c>
      <c r="H138" s="4">
        <v>1</v>
      </c>
      <c r="I138" s="4" t="str">
        <f t="shared" si="70"/>
        <v>шт</v>
      </c>
      <c r="J138" s="4" t="str">
        <f t="shared" ref="J138:J149" si="77">IF(ISNA(MATCH($C138,FA,0)),"",IF(INDEX(FIYAT_MARKA,MATCH($C138,FA,0))="","",INDEX(FIYAT_MARKA,MATCH($C138,FA,0))))</f>
        <v>chint</v>
      </c>
      <c r="K138" s="4" t="str">
        <f t="shared" si="71"/>
        <v>260917</v>
      </c>
      <c r="L138" s="6">
        <f t="shared" si="72"/>
        <v>2023.1999999999998</v>
      </c>
      <c r="M138" s="7">
        <f t="shared" si="73"/>
        <v>1</v>
      </c>
      <c r="N138" s="7" t="s">
        <v>26</v>
      </c>
      <c r="O138" s="7" t="s">
        <v>113</v>
      </c>
      <c r="P138" s="8" t="str">
        <f t="shared" si="74"/>
        <v>OK</v>
      </c>
      <c r="Q138" s="8" t="s">
        <v>164</v>
      </c>
    </row>
    <row r="139" spans="1:17" ht="15" customHeight="1" x14ac:dyDescent="0.25">
      <c r="A139" s="4" t="str">
        <f t="shared" si="67"/>
        <v>ЩАО-1 (260917 fok atr)</v>
      </c>
      <c r="B139" s="4" t="s">
        <v>39</v>
      </c>
      <c r="C139" s="4" t="s">
        <v>165</v>
      </c>
      <c r="D139" s="4" t="str">
        <f t="shared" si="75"/>
        <v>Авт. выкл. NXB-63S 1P 16А 4.5kA х-ка B (R)</v>
      </c>
      <c r="E139" s="5">
        <f t="shared" si="76"/>
        <v>878</v>
      </c>
      <c r="F139" s="5">
        <f t="shared" si="68"/>
        <v>526.79999999999995</v>
      </c>
      <c r="G139" s="5">
        <f t="shared" si="69"/>
        <v>2107.1999999999998</v>
      </c>
      <c r="H139" s="4">
        <v>4</v>
      </c>
      <c r="I139" s="4" t="str">
        <f t="shared" si="70"/>
        <v>шт</v>
      </c>
      <c r="J139" s="4" t="str">
        <f t="shared" si="77"/>
        <v>chint</v>
      </c>
      <c r="K139" s="4" t="str">
        <f t="shared" si="71"/>
        <v>260917</v>
      </c>
      <c r="L139" s="6">
        <f t="shared" si="72"/>
        <v>2107.1999999999998</v>
      </c>
      <c r="M139" s="7">
        <f t="shared" si="73"/>
        <v>1</v>
      </c>
      <c r="N139" s="7" t="s">
        <v>41</v>
      </c>
      <c r="O139" s="7" t="s">
        <v>39</v>
      </c>
      <c r="P139" s="8" t="str">
        <f t="shared" si="74"/>
        <v>OK</v>
      </c>
      <c r="Q139" s="8" t="s">
        <v>172</v>
      </c>
    </row>
    <row r="140" spans="1:17" ht="15" customHeight="1" x14ac:dyDescent="0.25">
      <c r="A140" s="4" t="str">
        <f t="shared" si="67"/>
        <v>ЩАО-1 (260917 fok atr)</v>
      </c>
      <c r="B140" s="4" t="s">
        <v>39</v>
      </c>
      <c r="C140" s="4" t="s">
        <v>165</v>
      </c>
      <c r="D140" s="4" t="str">
        <f t="shared" si="75"/>
        <v>Авт. выкл. NXB-63S 1P 16А 4.5kA х-ка B (R)</v>
      </c>
      <c r="E140" s="5">
        <f t="shared" si="76"/>
        <v>878</v>
      </c>
      <c r="F140" s="5">
        <f t="shared" si="68"/>
        <v>526.79999999999995</v>
      </c>
      <c r="G140" s="5">
        <f t="shared" si="69"/>
        <v>526.79999999999995</v>
      </c>
      <c r="H140" s="4">
        <v>1</v>
      </c>
      <c r="I140" s="4" t="str">
        <f t="shared" si="70"/>
        <v>шт</v>
      </c>
      <c r="J140" s="4" t="str">
        <f t="shared" si="77"/>
        <v>chint</v>
      </c>
      <c r="K140" s="4" t="str">
        <f t="shared" si="71"/>
        <v>260917</v>
      </c>
      <c r="L140" s="6">
        <f t="shared" si="72"/>
        <v>526.79999999999995</v>
      </c>
      <c r="M140" s="7">
        <f t="shared" si="73"/>
        <v>1</v>
      </c>
      <c r="N140" s="7" t="s">
        <v>167</v>
      </c>
      <c r="O140" s="7" t="s">
        <v>39</v>
      </c>
      <c r="P140" s="8" t="str">
        <f t="shared" si="74"/>
        <v>OK</v>
      </c>
      <c r="Q140" s="8" t="s">
        <v>168</v>
      </c>
    </row>
    <row r="141" spans="1:17" ht="15" customHeight="1" x14ac:dyDescent="0.25">
      <c r="A141" s="4" t="str">
        <f t="shared" si="67"/>
        <v>ЩАО-1 (260917 fok atr)</v>
      </c>
      <c r="B141" s="4" t="s">
        <v>68</v>
      </c>
      <c r="C141" s="4" t="str">
        <f>IF((SUMIFS($H$137:$H$140,$N$137:$N$140,"CIKIS")+SUMIFS($H$137:$H$140,$N$137:$N$140,"KUMANDA")+1)&gt;MAX(SNI_DELIK),INDEX(SNI_KOD,ROWS(SNI_KOD)),INDEX(SNI_KOD,COUNTIF(SNI_DELIK,"&lt;"&amp;(SUMIFS($H$137:$H$140,$N$137:$N$140,"CIKIS")+SUMIFS($H$137:$H$140,$N$137:$N$140,"KUMANDA")+1))+1))</f>
        <v>130200364</v>
      </c>
      <c r="D141" s="4" t="str">
        <f t="shared" si="75"/>
        <v>Шина "N" нулевая 8х12мм комб с изол "Стойка" ШНИ 6-КС-С UNIT (20/300)</v>
      </c>
      <c r="E141" s="5">
        <f t="shared" si="76"/>
        <v>560</v>
      </c>
      <c r="F141" s="5">
        <f t="shared" si="68"/>
        <v>560</v>
      </c>
      <c r="G141" s="5">
        <f t="shared" si="69"/>
        <v>560</v>
      </c>
      <c r="H141" s="4">
        <f>IF((SUMIFS($H$137:$H$140,$N$137:$N$140,"CIKIS")+SUMIFS($H$137:$H$140,$N$137:$N$140,"KUMANDA")+1)&gt;MAX(SNI_DELIK),ROUNDUP((SUMIFS($H$137:$H$140,$N$137:$N$140,"CIKIS")+SUMIFS($H$137:$H$140,$N$137:$N$140,"KUMANDA")+1)/MAX(SNI_DELIK),0),1)</f>
        <v>1</v>
      </c>
      <c r="I141" s="4" t="str">
        <f t="shared" si="70"/>
        <v>шт</v>
      </c>
      <c r="J141" s="4" t="str">
        <f t="shared" si="77"/>
        <v>ekt</v>
      </c>
      <c r="K141" s="4" t="str">
        <f t="shared" si="71"/>
        <v>260917</v>
      </c>
      <c r="L141" s="6">
        <f t="shared" si="72"/>
        <v>560</v>
      </c>
      <c r="M141" s="7">
        <f t="shared" si="73"/>
        <v>1</v>
      </c>
      <c r="N141" s="7" t="s">
        <v>69</v>
      </c>
      <c r="O141" s="7" t="s">
        <v>68</v>
      </c>
      <c r="P141" s="8" t="str">
        <f t="shared" si="74"/>
        <v>ESKİ</v>
      </c>
      <c r="Q141" s="8" t="s">
        <v>70</v>
      </c>
    </row>
    <row r="142" spans="1:17" ht="15" customHeight="1" x14ac:dyDescent="0.25">
      <c r="A142" s="4" t="str">
        <f t="shared" si="67"/>
        <v>ЩАО-1 (260917 fok atr)</v>
      </c>
      <c r="B142" s="4" t="s">
        <v>68</v>
      </c>
      <c r="C142" s="4" t="str">
        <f>IF((SUMIFS($H$137:$H$140,$N$137:$N$140,"CIKIS")+2+N(KURALLAR!$J$209))&gt;MAX(SNI_DELIK),INDEX(SNI_KOD,ROWS(SNI_KOD)),INDEX(SNI_KOD,COUNTIF(SNI_DELIK,"&lt;"&amp;(SUMIFS($H$137:$H$140,$N$137:$N$140,"CIKIS")+2+N(KURALLAR!$J$209)))+1))</f>
        <v>130200365</v>
      </c>
      <c r="D142" s="4" t="str">
        <f t="shared" si="75"/>
        <v>Шина "N" нулевая 8х12мм комб с изол "Стойка" ШНИ 8-КС-С UNIT (20/300)</v>
      </c>
      <c r="E142" s="5">
        <f t="shared" si="76"/>
        <v>630</v>
      </c>
      <c r="F142" s="5">
        <f t="shared" si="68"/>
        <v>630</v>
      </c>
      <c r="G142" s="5">
        <f t="shared" si="69"/>
        <v>630</v>
      </c>
      <c r="H142" s="4">
        <f>IF((SUMIFS($H$137:$H$140,$N$137:$N$140,"CIKIS")+2+N(KURALLAR!$J$209))&gt;MAX(SNI_DELIK),ROUNDUP((SUMIFS($H$137:$H$140,$N$137:$N$140,"CIKIS")+2+N(KURALLAR!$J$209))/MAX(SNI_DELIK),0),1)</f>
        <v>1</v>
      </c>
      <c r="I142" s="4" t="str">
        <f t="shared" si="70"/>
        <v>шт</v>
      </c>
      <c r="J142" s="4" t="str">
        <f t="shared" si="77"/>
        <v>ekt</v>
      </c>
      <c r="K142" s="4" t="str">
        <f t="shared" si="71"/>
        <v>260917</v>
      </c>
      <c r="L142" s="6">
        <f t="shared" si="72"/>
        <v>630</v>
      </c>
      <c r="M142" s="7">
        <f t="shared" si="73"/>
        <v>1</v>
      </c>
      <c r="N142" s="7" t="s">
        <v>69</v>
      </c>
      <c r="O142" s="7" t="s">
        <v>68</v>
      </c>
      <c r="P142" s="8" t="str">
        <f t="shared" si="74"/>
        <v>ESKİ</v>
      </c>
      <c r="Q142" s="8" t="s">
        <v>71</v>
      </c>
    </row>
    <row r="143" spans="1:17" ht="15" customHeight="1" x14ac:dyDescent="0.25">
      <c r="A143" s="4" t="str">
        <f t="shared" si="67"/>
        <v>ЩАО-1 (260917 fok atr)</v>
      </c>
      <c r="B143" s="4" t="s">
        <v>75</v>
      </c>
      <c r="C143" s="4" t="s">
        <v>78</v>
      </c>
      <c r="D143" s="4" t="str">
        <f t="shared" si="75"/>
        <v>HARMONY ПВ3 1*2,5</v>
      </c>
      <c r="E143" s="5">
        <f t="shared" si="76"/>
        <v>174</v>
      </c>
      <c r="F143" s="5">
        <f t="shared" si="68"/>
        <v>174</v>
      </c>
      <c r="G143" s="5">
        <f t="shared" si="69"/>
        <v>226.20000000000002</v>
      </c>
      <c r="H143" s="4">
        <f>ROUND(SUMPRODUCT(SUMIFS($H$137:$H$140,$C$137:$C$140,FA,$N$137:$N$140,"&lt;&gt;YEDEK")*(F_BK=2.5)*F_TELM)*KABLO_FIRE,1)</f>
        <v>1.3</v>
      </c>
      <c r="I143" s="4" t="str">
        <f t="shared" si="70"/>
        <v>м</v>
      </c>
      <c r="J143" s="4" t="str">
        <f t="shared" si="77"/>
        <v>harmony</v>
      </c>
      <c r="K143" s="4" t="str">
        <f t="shared" si="71"/>
        <v>260917</v>
      </c>
      <c r="L143" s="6">
        <f t="shared" si="72"/>
        <v>226.20000000000002</v>
      </c>
      <c r="M143" s="7">
        <f t="shared" si="73"/>
        <v>1</v>
      </c>
      <c r="N143" s="7" t="s">
        <v>69</v>
      </c>
      <c r="O143" s="7" t="s">
        <v>75</v>
      </c>
      <c r="P143" s="8" t="str">
        <f t="shared" si="74"/>
        <v>TARİH YOK</v>
      </c>
      <c r="Q143" s="8" t="s">
        <v>79</v>
      </c>
    </row>
    <row r="144" spans="1:17" ht="15" customHeight="1" x14ac:dyDescent="0.25">
      <c r="A144" s="4" t="str">
        <f t="shared" si="67"/>
        <v>ЩАО-1 (260917 fok atr)</v>
      </c>
      <c r="B144" s="4" t="s">
        <v>75</v>
      </c>
      <c r="C144" s="4" t="s">
        <v>86</v>
      </c>
      <c r="D144" s="4" t="str">
        <f t="shared" si="75"/>
        <v>HARMONY ПВ3 1*6</v>
      </c>
      <c r="E144" s="5">
        <f t="shared" si="76"/>
        <v>398</v>
      </c>
      <c r="F144" s="5">
        <f t="shared" si="68"/>
        <v>398</v>
      </c>
      <c r="G144" s="5">
        <f t="shared" si="69"/>
        <v>398</v>
      </c>
      <c r="H144" s="4">
        <f>ROUND(SUMPRODUCT(SUMIFS($H$137:$H$140,$C$137:$C$140,FA,$N$137:$N$140,"&lt;&gt;YEDEK")*(F_BK=6)*F_TELM)*KABLO_FIRE,1)</f>
        <v>1</v>
      </c>
      <c r="I144" s="4" t="str">
        <f t="shared" si="70"/>
        <v>м</v>
      </c>
      <c r="J144" s="4" t="str">
        <f t="shared" si="77"/>
        <v>harmony</v>
      </c>
      <c r="K144" s="4" t="str">
        <f t="shared" si="71"/>
        <v>260917</v>
      </c>
      <c r="L144" s="6">
        <f t="shared" si="72"/>
        <v>398</v>
      </c>
      <c r="M144" s="7">
        <f t="shared" si="73"/>
        <v>1</v>
      </c>
      <c r="N144" s="7" t="s">
        <v>69</v>
      </c>
      <c r="O144" s="7" t="s">
        <v>75</v>
      </c>
      <c r="P144" s="8" t="str">
        <f t="shared" si="74"/>
        <v>TARİH YOK</v>
      </c>
      <c r="Q144" s="8" t="s">
        <v>126</v>
      </c>
    </row>
    <row r="145" spans="1:17" ht="15" customHeight="1" x14ac:dyDescent="0.25">
      <c r="A145" s="4" t="str">
        <f t="shared" si="67"/>
        <v>ЩАО-1 (260917 fok atr)</v>
      </c>
      <c r="B145" s="4" t="s">
        <v>75</v>
      </c>
      <c r="C145" s="4" t="s">
        <v>86</v>
      </c>
      <c r="D145" s="4" t="str">
        <f t="shared" si="75"/>
        <v>HARMONY ПВ3 1*6</v>
      </c>
      <c r="E145" s="5">
        <f t="shared" si="76"/>
        <v>398</v>
      </c>
      <c r="F145" s="5">
        <f t="shared" si="68"/>
        <v>398</v>
      </c>
      <c r="G145" s="5">
        <f t="shared" si="69"/>
        <v>199</v>
      </c>
      <c r="H145" s="4">
        <f>N(KURALLAR!$J$209)*KAPI_TOPRAK_M</f>
        <v>0.5</v>
      </c>
      <c r="I145" s="4" t="str">
        <f t="shared" si="70"/>
        <v>м</v>
      </c>
      <c r="J145" s="4" t="str">
        <f t="shared" si="77"/>
        <v>harmony</v>
      </c>
      <c r="K145" s="4" t="str">
        <f t="shared" si="71"/>
        <v>260917</v>
      </c>
      <c r="L145" s="6">
        <f t="shared" si="72"/>
        <v>199</v>
      </c>
      <c r="M145" s="7">
        <f t="shared" si="73"/>
        <v>1</v>
      </c>
      <c r="N145" s="7" t="s">
        <v>69</v>
      </c>
      <c r="O145" s="7" t="s">
        <v>75</v>
      </c>
      <c r="P145" s="8" t="str">
        <f t="shared" si="74"/>
        <v>TARİH YOK</v>
      </c>
      <c r="Q145" s="8" t="s">
        <v>87</v>
      </c>
    </row>
    <row r="146" spans="1:17" ht="15" customHeight="1" x14ac:dyDescent="0.25">
      <c r="A146" s="4" t="str">
        <f t="shared" si="67"/>
        <v>ЩАО-1 (260917 fok atr)</v>
      </c>
      <c r="B146" s="4" t="s">
        <v>88</v>
      </c>
      <c r="C146" s="4" t="s">
        <v>91</v>
      </c>
      <c r="D146" s="4" t="str">
        <f t="shared" si="75"/>
        <v>Наконечник НШВИ 2,5-8 изолированный 79443 (100шт) КВТ NEW</v>
      </c>
      <c r="E146" s="5">
        <f t="shared" si="76"/>
        <v>540</v>
      </c>
      <c r="F146" s="5">
        <f t="shared" si="68"/>
        <v>540</v>
      </c>
      <c r="G146" s="5">
        <f t="shared" si="69"/>
        <v>540</v>
      </c>
      <c r="H146" s="4">
        <f>ROUNDUP(SUMPRODUCT(SUMIFS($H$137:$H$140,$C$137:$C$140,FA,$N$137:$N$140,"&lt;&gt;YEDEK")*(F_BK=2.5)*F_TEL)*2*YUKSUK_FIRE/MAX(1,IF(ISNA(MATCH($C146,FA,0)),1,N(INDEX(F_PAKET,MATCH($C146,FA,0))))),0)</f>
        <v>1</v>
      </c>
      <c r="I146" s="4" t="str">
        <f t="shared" si="70"/>
        <v>упак</v>
      </c>
      <c r="J146" s="4" t="str">
        <f t="shared" si="77"/>
        <v>ekt</v>
      </c>
      <c r="K146" s="4" t="str">
        <f t="shared" si="71"/>
        <v>260917</v>
      </c>
      <c r="L146" s="6">
        <f t="shared" si="72"/>
        <v>540</v>
      </c>
      <c r="M146" s="7">
        <f t="shared" si="73"/>
        <v>1</v>
      </c>
      <c r="N146" s="7" t="s">
        <v>69</v>
      </c>
      <c r="O146" s="7" t="s">
        <v>88</v>
      </c>
      <c r="P146" s="8" t="str">
        <f t="shared" si="74"/>
        <v>ESKİ</v>
      </c>
      <c r="Q146" s="8" t="s">
        <v>92</v>
      </c>
    </row>
    <row r="147" spans="1:17" ht="15" customHeight="1" x14ac:dyDescent="0.25">
      <c r="A147" s="4" t="str">
        <f t="shared" si="67"/>
        <v>ЩАО-1 (260917 fok atr)</v>
      </c>
      <c r="B147" s="4" t="s">
        <v>88</v>
      </c>
      <c r="C147" s="4" t="s">
        <v>131</v>
      </c>
      <c r="D147" s="4" t="str">
        <f t="shared" si="75"/>
        <v>Наконечник НШВИ 6,0-12 изолированный 79449 (100шт) КВТ NEW</v>
      </c>
      <c r="E147" s="5">
        <f t="shared" si="76"/>
        <v>1240</v>
      </c>
      <c r="F147" s="5">
        <f t="shared" si="68"/>
        <v>1240</v>
      </c>
      <c r="G147" s="5">
        <f t="shared" si="69"/>
        <v>1240</v>
      </c>
      <c r="H147" s="4">
        <f>ROUNDUP(SUMPRODUCT(SUMIFS($H$137:$H$140,$C$137:$C$140,FA,$N$137:$N$140,"&lt;&gt;YEDEK")*(F_BK=6)*F_TEL)*2*YUKSUK_FIRE/MAX(1,IF(ISNA(MATCH($C147,FA,0)),1,N(INDEX(F_PAKET,MATCH($C147,FA,0))))),0)</f>
        <v>1</v>
      </c>
      <c r="I147" s="4" t="str">
        <f t="shared" si="70"/>
        <v>упак</v>
      </c>
      <c r="J147" s="4" t="str">
        <f t="shared" si="77"/>
        <v>ekt</v>
      </c>
      <c r="K147" s="4" t="str">
        <f t="shared" si="71"/>
        <v>260917</v>
      </c>
      <c r="L147" s="6">
        <f t="shared" si="72"/>
        <v>1240</v>
      </c>
      <c r="M147" s="7">
        <f t="shared" si="73"/>
        <v>1</v>
      </c>
      <c r="N147" s="7" t="s">
        <v>69</v>
      </c>
      <c r="O147" s="7" t="s">
        <v>88</v>
      </c>
      <c r="P147" s="8" t="str">
        <f t="shared" si="74"/>
        <v>ESKİ</v>
      </c>
      <c r="Q147" s="8" t="s">
        <v>132</v>
      </c>
    </row>
    <row r="148" spans="1:17" ht="15" customHeight="1" x14ac:dyDescent="0.25">
      <c r="A148" s="4" t="str">
        <f t="shared" si="67"/>
        <v>ЩАО-1 (260917 fok atr)</v>
      </c>
      <c r="B148" s="4" t="s">
        <v>93</v>
      </c>
      <c r="C148" s="4" t="s">
        <v>100</v>
      </c>
      <c r="D148" s="4" t="str">
        <f t="shared" si="75"/>
        <v>Наконечник медно-луженный JG - 6 IEK (600)</v>
      </c>
      <c r="E148" s="5">
        <f t="shared" si="76"/>
        <v>76</v>
      </c>
      <c r="F148" s="5">
        <f t="shared" si="68"/>
        <v>76</v>
      </c>
      <c r="G148" s="5">
        <f t="shared" si="69"/>
        <v>152</v>
      </c>
      <c r="H148" s="4">
        <f>2*N(KURALLAR!$J$209)</f>
        <v>2</v>
      </c>
      <c r="I148" s="4" t="str">
        <f t="shared" si="70"/>
        <v>шт</v>
      </c>
      <c r="J148" s="4" t="str">
        <f t="shared" si="77"/>
        <v>ekt</v>
      </c>
      <c r="K148" s="4" t="str">
        <f t="shared" si="71"/>
        <v>260917</v>
      </c>
      <c r="L148" s="6">
        <f t="shared" si="72"/>
        <v>152</v>
      </c>
      <c r="M148" s="7">
        <f t="shared" si="73"/>
        <v>1</v>
      </c>
      <c r="N148" s="7" t="s">
        <v>69</v>
      </c>
      <c r="O148" s="7" t="s">
        <v>93</v>
      </c>
      <c r="P148" s="8" t="str">
        <f t="shared" si="74"/>
        <v>ESKİ</v>
      </c>
      <c r="Q148" s="8" t="s">
        <v>101</v>
      </c>
    </row>
    <row r="149" spans="1:17" ht="15" customHeight="1" x14ac:dyDescent="0.25">
      <c r="A149" s="4" t="str">
        <f t="shared" si="67"/>
        <v>ЩАО-1 (260917 fok atr)</v>
      </c>
      <c r="B149" s="4" t="s">
        <v>102</v>
      </c>
      <c r="C149" s="4" t="s">
        <v>103</v>
      </c>
      <c r="D149" s="4" t="str">
        <f t="shared" si="75"/>
        <v>Хомут 2,5х100 черный UNIT (100/500)</v>
      </c>
      <c r="E149" s="5">
        <f t="shared" si="76"/>
        <v>182</v>
      </c>
      <c r="F149" s="5">
        <f t="shared" si="68"/>
        <v>182</v>
      </c>
      <c r="G149" s="5">
        <f t="shared" si="69"/>
        <v>182</v>
      </c>
      <c r="H149" s="4">
        <f>ROUNDUP((N(H143)+N(H144)+N(H145))*BAG_ADET_M/MAX(1,IF(ISNA(MATCH($C149,FA,0)),1,N(INDEX(F_PAKET,MATCH($C149,FA,0))))),0)</f>
        <v>1</v>
      </c>
      <c r="I149" s="4" t="str">
        <f t="shared" si="70"/>
        <v>упак</v>
      </c>
      <c r="J149" s="4" t="str">
        <f t="shared" si="77"/>
        <v>ekt</v>
      </c>
      <c r="K149" s="4" t="str">
        <f t="shared" si="71"/>
        <v>260917</v>
      </c>
      <c r="L149" s="6">
        <f t="shared" si="72"/>
        <v>182</v>
      </c>
      <c r="M149" s="7">
        <f t="shared" si="73"/>
        <v>1</v>
      </c>
      <c r="N149" s="7" t="s">
        <v>69</v>
      </c>
      <c r="O149" s="7" t="s">
        <v>102</v>
      </c>
      <c r="P149" s="8" t="str">
        <f t="shared" si="74"/>
        <v>ESKİ</v>
      </c>
      <c r="Q149" s="8" t="s">
        <v>104</v>
      </c>
    </row>
    <row r="150" spans="1:17" ht="15" customHeight="1" x14ac:dyDescent="0.25">
      <c r="A150" s="4" t="str">
        <f t="shared" si="67"/>
        <v>ЩАО-1 (260917 fok atr)</v>
      </c>
      <c r="B150" s="4" t="s">
        <v>105</v>
      </c>
      <c r="C150" s="4" t="s">
        <v>105</v>
      </c>
      <c r="D150" s="4" t="s">
        <v>105</v>
      </c>
      <c r="E150" s="5">
        <f>G151*MONTAJ_MALZ_KAT</f>
        <v>2256</v>
      </c>
      <c r="F150" s="5">
        <f>E150</f>
        <v>2256</v>
      </c>
      <c r="G150" s="5">
        <f>H150*F150</f>
        <v>2256</v>
      </c>
      <c r="H150" s="4">
        <v>1</v>
      </c>
      <c r="I150" s="4" t="s">
        <v>106</v>
      </c>
      <c r="J150" s="4" t="s">
        <v>105</v>
      </c>
      <c r="K150" s="4" t="str">
        <f t="shared" si="71"/>
        <v>260917</v>
      </c>
      <c r="L150" s="6">
        <f t="shared" si="72"/>
        <v>2256</v>
      </c>
      <c r="M150" s="7">
        <f t="shared" si="73"/>
        <v>1</v>
      </c>
    </row>
    <row r="151" spans="1:17" ht="15" customHeight="1" x14ac:dyDescent="0.25">
      <c r="A151" s="4" t="str">
        <f t="shared" si="67"/>
        <v>ЩАО-1 (260917 fok atr)</v>
      </c>
      <c r="B151" s="4" t="s">
        <v>107</v>
      </c>
      <c r="C151" s="4" t="s">
        <v>107</v>
      </c>
      <c r="D151" s="4" t="s">
        <v>107</v>
      </c>
      <c r="E151" s="4">
        <f>ROUND(SUMPRODUCT(SUMIFS(H137:H150,O137:O150,TIP_AD)*NORM_DK)*ISCILIK_KAT/60,2)</f>
        <v>0.94</v>
      </c>
      <c r="F151" s="4">
        <f>DK_UCRET</f>
        <v>100</v>
      </c>
      <c r="G151" s="5">
        <f>H151*F151</f>
        <v>5640</v>
      </c>
      <c r="H151" s="4">
        <f>60*E151</f>
        <v>56.4</v>
      </c>
      <c r="I151" s="4" t="s">
        <v>108</v>
      </c>
      <c r="J151" s="4" t="s">
        <v>107</v>
      </c>
      <c r="K151" s="4" t="str">
        <f t="shared" si="71"/>
        <v>260917</v>
      </c>
      <c r="L151" s="6">
        <f t="shared" si="72"/>
        <v>5640</v>
      </c>
      <c r="M151" s="7">
        <f t="shared" si="73"/>
        <v>1</v>
      </c>
    </row>
    <row r="152" spans="1:17" ht="15" customHeight="1" x14ac:dyDescent="0.25">
      <c r="A152" s="4" t="str">
        <f t="shared" si="67"/>
        <v>ЩАО-1 (260917 fok atr)</v>
      </c>
      <c r="B152" s="9"/>
      <c r="C152" s="9"/>
      <c r="D152" s="9"/>
      <c r="E152" s="9"/>
      <c r="F152" s="9"/>
      <c r="G152" s="10">
        <f>SUM(G137:G151)</f>
        <v>23280.400000000001</v>
      </c>
      <c r="H152" s="9"/>
      <c r="I152" s="9"/>
      <c r="J152" s="9"/>
      <c r="K152" s="4" t="str">
        <f t="shared" si="71"/>
        <v>260917</v>
      </c>
      <c r="L152" s="11">
        <f>SUM(L137:L151)</f>
        <v>23280.400000000001</v>
      </c>
      <c r="M152" s="7">
        <f t="shared" si="73"/>
        <v>1</v>
      </c>
      <c r="P152" s="7" t="str">
        <f>IF(COUNTIF(P137:P151,"FİYAT YOK")+COUNTIF(P137:P151,"YASAK")+COUNTIF(P137:P151,"MARKA YOK")+COUNTIF(P137:P151,"ARTİKÜL YOK")&gt;0,"EKSİK FİYAT","")</f>
        <v/>
      </c>
      <c r="Q152" s="7" t="str">
        <f>IF(KURALLAR!$Q$209="OK","","PANO: "&amp;KURALLAR!$Q$209)</f>
        <v/>
      </c>
    </row>
    <row r="153" spans="1:17" ht="15" customHeight="1" x14ac:dyDescent="0.25">
      <c r="A153" s="1" t="str">
        <f>D153</f>
        <v>КТ-КМИ-22510 (отключение вентиляции ЩВ-1) (260917 fok atr)</v>
      </c>
      <c r="B153" s="2"/>
      <c r="C153" s="2"/>
      <c r="D153" s="1" t="s">
        <v>650</v>
      </c>
      <c r="E153" s="2"/>
      <c r="F153" s="2"/>
      <c r="G153" s="2"/>
      <c r="H153" s="1">
        <v>1</v>
      </c>
      <c r="I153" s="1" t="s">
        <v>17</v>
      </c>
      <c r="J153" s="1" t="s">
        <v>642</v>
      </c>
      <c r="K153" s="1" t="s">
        <v>18</v>
      </c>
      <c r="M153" s="3">
        <f>H153</f>
        <v>1</v>
      </c>
    </row>
    <row r="154" spans="1:17" ht="15" customHeight="1" x14ac:dyDescent="0.25">
      <c r="A154" s="4" t="str">
        <f t="shared" ref="A154:A174" si="78">A153</f>
        <v>КТ-КМИ-22510 (отключение вентиляции ЩВ-1) (260917 fok atr)</v>
      </c>
      <c r="B154" s="4" t="s">
        <v>19</v>
      </c>
      <c r="C154" s="4" t="s">
        <v>654</v>
      </c>
      <c r="D154" s="4" t="s">
        <v>655</v>
      </c>
      <c r="E154" s="5">
        <v>10620</v>
      </c>
      <c r="F154" s="5">
        <f t="shared" ref="F154:F171" si="79">IF(ISNA(MATCH($C154,FA,0)),"",IF(INDEX(FIYAT_NET,MATCH($C154,FA,0))="","",INDEX(FIYAT_NET,MATCH($C154,FA,0))))</f>
        <v>6372</v>
      </c>
      <c r="G154" s="5">
        <f t="shared" ref="G154:G171" si="80">IF(OR(F154="",H154=""),"",H154*F154)</f>
        <v>6372</v>
      </c>
      <c r="H154" s="4">
        <v>1</v>
      </c>
      <c r="I154" s="4" t="str">
        <f t="shared" ref="I154:I171" si="81">IF(ISNA(MATCH($C154,FA,0)),"",IF(INDEX(FIYAT_BIRIM,MATCH($C154,FA,0))="","",INDEX(FIYAT_BIRIM,MATCH($C154,FA,0))))</f>
        <v>шт</v>
      </c>
      <c r="J154" s="4" t="s">
        <v>427</v>
      </c>
      <c r="K154" s="4" t="str">
        <f t="shared" ref="K154:K174" si="82">K153</f>
        <v>260917</v>
      </c>
      <c r="L154" s="6">
        <f t="shared" ref="L154:L173" si="83">G154</f>
        <v>6372</v>
      </c>
      <c r="M154" s="7">
        <f t="shared" ref="M154:M174" si="84">M153</f>
        <v>1</v>
      </c>
      <c r="N154" s="7" t="s">
        <v>21</v>
      </c>
      <c r="O154" s="7" t="s">
        <v>111</v>
      </c>
      <c r="P154" s="8" t="str">
        <f t="shared" ref="P154:P171" si="85">IF(ISNA(MATCH($C154,FA,0)),"ARTİKÜL YOK",INDEX(FIYAT_DURUM,MATCH($C154,FA,0)))</f>
        <v>OK</v>
      </c>
      <c r="Q154" s="8" t="s">
        <v>174</v>
      </c>
    </row>
    <row r="155" spans="1:17" ht="15" customHeight="1" x14ac:dyDescent="0.25">
      <c r="A155" s="4" t="str">
        <f t="shared" si="78"/>
        <v>КТ-КМИ-22510 (отключение вентиляции ЩВ-1) (260917 fok atr)</v>
      </c>
      <c r="B155" s="4" t="s">
        <v>39</v>
      </c>
      <c r="C155" s="4" t="s">
        <v>175</v>
      </c>
      <c r="D155" s="4" t="str">
        <f t="shared" ref="D154:D171" si="86">IF(ISNA(MATCH($C155,FA,0)),"ARTİKÜL FIYAT SAYFASINDA YOK",INDEX(FIYAT_AD,MATCH($C155,FA,0)))</f>
        <v>Авт. выкл. NXB-63S 3P 25А 4.5kA х-ка C (R)</v>
      </c>
      <c r="E155" s="5">
        <f t="shared" ref="E154:E171" si="87">IF(ISNA(MATCH($C155,FA,0)),"",IF(INDEX(FIYAT_LISTE,MATCH($C155,FA,0))="","",INDEX(FIYAT_LISTE,MATCH($C155,FA,0))))</f>
        <v>2429</v>
      </c>
      <c r="F155" s="5">
        <f t="shared" si="79"/>
        <v>1457.3999999999999</v>
      </c>
      <c r="G155" s="5">
        <f t="shared" si="80"/>
        <v>1457.3999999999999</v>
      </c>
      <c r="H155" s="4">
        <v>1</v>
      </c>
      <c r="I155" s="4" t="str">
        <f t="shared" si="81"/>
        <v>шт</v>
      </c>
      <c r="J155" s="4" t="str">
        <f t="shared" ref="J155:J171" si="88">IF(ISNA(MATCH($C155,FA,0)),"",IF(INDEX(FIYAT_MARKA,MATCH($C155,FA,0))="","",INDEX(FIYAT_MARKA,MATCH($C155,FA,0))))</f>
        <v>chint</v>
      </c>
      <c r="K155" s="4" t="str">
        <f t="shared" si="82"/>
        <v>260917</v>
      </c>
      <c r="L155" s="6">
        <f t="shared" si="83"/>
        <v>1457.3999999999999</v>
      </c>
      <c r="M155" s="7">
        <f t="shared" si="84"/>
        <v>1</v>
      </c>
      <c r="N155" s="7" t="s">
        <v>26</v>
      </c>
      <c r="O155" s="7" t="s">
        <v>39</v>
      </c>
      <c r="P155" s="8" t="str">
        <f t="shared" si="85"/>
        <v>OK</v>
      </c>
      <c r="Q155" s="8" t="s">
        <v>176</v>
      </c>
    </row>
    <row r="156" spans="1:17" ht="15" customHeight="1" x14ac:dyDescent="0.25">
      <c r="A156" s="4" t="str">
        <f t="shared" si="78"/>
        <v>КТ-КМИ-22510 (отключение вентиляции ЩВ-1) (260917 fok atr)</v>
      </c>
      <c r="B156" s="4" t="s">
        <v>47</v>
      </c>
      <c r="C156" s="4" t="s">
        <v>177</v>
      </c>
      <c r="D156" s="4" t="str">
        <f t="shared" si="86"/>
        <v>Контактор NXC-25 25A 220В/АС3 1НО+1НЗ 50Гц (R)</v>
      </c>
      <c r="E156" s="5">
        <f t="shared" si="87"/>
        <v>9149</v>
      </c>
      <c r="F156" s="5">
        <f t="shared" si="79"/>
        <v>5489.4</v>
      </c>
      <c r="G156" s="5">
        <f t="shared" si="80"/>
        <v>5489.4</v>
      </c>
      <c r="H156" s="4">
        <v>1</v>
      </c>
      <c r="I156" s="4" t="str">
        <f t="shared" si="81"/>
        <v>шт</v>
      </c>
      <c r="J156" s="4" t="str">
        <f t="shared" si="88"/>
        <v>chint</v>
      </c>
      <c r="K156" s="4" t="str">
        <f t="shared" si="82"/>
        <v>260917</v>
      </c>
      <c r="L156" s="6">
        <f t="shared" si="83"/>
        <v>5489.4</v>
      </c>
      <c r="M156" s="7">
        <f t="shared" si="84"/>
        <v>1</v>
      </c>
      <c r="N156" s="7" t="s">
        <v>41</v>
      </c>
      <c r="O156" s="7" t="s">
        <v>47</v>
      </c>
      <c r="P156" s="8" t="str">
        <f t="shared" si="85"/>
        <v>OK</v>
      </c>
      <c r="Q156" s="8" t="s">
        <v>178</v>
      </c>
    </row>
    <row r="157" spans="1:17" ht="15" customHeight="1" x14ac:dyDescent="0.25">
      <c r="A157" s="4" t="str">
        <f t="shared" si="78"/>
        <v>КТ-КМИ-22510 (отключение вентиляции ЩВ-1) (260917 fok atr)</v>
      </c>
      <c r="B157" s="4" t="s">
        <v>179</v>
      </c>
      <c r="C157" s="4" t="s">
        <v>180</v>
      </c>
      <c r="D157" s="4" t="str">
        <f t="shared" si="86"/>
        <v>Тепловое реле NXR-25 12-18A (R)</v>
      </c>
      <c r="E157" s="5">
        <f t="shared" si="87"/>
        <v>4315</v>
      </c>
      <c r="F157" s="5">
        <f t="shared" si="79"/>
        <v>2589</v>
      </c>
      <c r="G157" s="5">
        <f t="shared" si="80"/>
        <v>2589</v>
      </c>
      <c r="H157" s="4">
        <v>1</v>
      </c>
      <c r="I157" s="4" t="str">
        <f t="shared" si="81"/>
        <v>шт</v>
      </c>
      <c r="J157" s="4" t="str">
        <f t="shared" si="88"/>
        <v>chint</v>
      </c>
      <c r="K157" s="4" t="str">
        <f t="shared" si="82"/>
        <v>260917</v>
      </c>
      <c r="L157" s="6">
        <f t="shared" si="83"/>
        <v>2589</v>
      </c>
      <c r="M157" s="7">
        <f t="shared" si="84"/>
        <v>1</v>
      </c>
      <c r="N157" s="7" t="s">
        <v>30</v>
      </c>
      <c r="O157" s="7" t="s">
        <v>179</v>
      </c>
      <c r="P157" s="8" t="str">
        <f t="shared" si="85"/>
        <v>OK</v>
      </c>
      <c r="Q157" s="8" t="s">
        <v>181</v>
      </c>
    </row>
    <row r="158" spans="1:17" ht="15" customHeight="1" x14ac:dyDescent="0.25">
      <c r="A158" s="4" t="str">
        <f t="shared" si="78"/>
        <v>КТ-КМИ-22510 (отключение вентиляции ЩВ-1) (260917 fok atr)</v>
      </c>
      <c r="B158" s="4" t="s">
        <v>53</v>
      </c>
      <c r="C158" s="4" t="s">
        <v>182</v>
      </c>
      <c r="D158" s="4" t="str">
        <f t="shared" si="86"/>
        <v>Держатель плавких вставок с индикацией RT28N-32X 10х38 1П (R)</v>
      </c>
      <c r="E158" s="5">
        <f t="shared" si="87"/>
        <v>750</v>
      </c>
      <c r="F158" s="5">
        <f t="shared" si="79"/>
        <v>450</v>
      </c>
      <c r="G158" s="5">
        <f t="shared" si="80"/>
        <v>450</v>
      </c>
      <c r="H158" s="4">
        <v>1</v>
      </c>
      <c r="I158" s="4" t="str">
        <f t="shared" si="81"/>
        <v>шт</v>
      </c>
      <c r="J158" s="4" t="str">
        <f t="shared" si="88"/>
        <v>chint</v>
      </c>
      <c r="K158" s="4" t="str">
        <f t="shared" si="82"/>
        <v>260917</v>
      </c>
      <c r="L158" s="6">
        <f t="shared" si="83"/>
        <v>450</v>
      </c>
      <c r="M158" s="7">
        <f t="shared" si="84"/>
        <v>1</v>
      </c>
      <c r="N158" s="7" t="s">
        <v>30</v>
      </c>
      <c r="O158" s="7" t="s">
        <v>53</v>
      </c>
      <c r="P158" s="8" t="str">
        <f t="shared" si="85"/>
        <v>OK</v>
      </c>
      <c r="Q158" s="8" t="s">
        <v>183</v>
      </c>
    </row>
    <row r="159" spans="1:17" ht="15" customHeight="1" x14ac:dyDescent="0.25">
      <c r="A159" s="4" t="str">
        <f t="shared" si="78"/>
        <v>КТ-КМИ-22510 (отключение вентиляции ЩВ-1) (260917 fok atr)</v>
      </c>
      <c r="B159" s="4" t="s">
        <v>53</v>
      </c>
      <c r="C159" s="4" t="s">
        <v>184</v>
      </c>
      <c r="D159" s="4" t="str">
        <f t="shared" si="86"/>
        <v>Плавкая вставка цилиндрическая RT28-32 2A 10х38</v>
      </c>
      <c r="E159" s="5">
        <f t="shared" si="87"/>
        <v>141</v>
      </c>
      <c r="F159" s="5">
        <f t="shared" si="79"/>
        <v>84.6</v>
      </c>
      <c r="G159" s="5">
        <f t="shared" si="80"/>
        <v>84.6</v>
      </c>
      <c r="H159" s="4">
        <v>1</v>
      </c>
      <c r="I159" s="4" t="str">
        <f t="shared" si="81"/>
        <v>шт</v>
      </c>
      <c r="J159" s="4" t="str">
        <f t="shared" si="88"/>
        <v>chint</v>
      </c>
      <c r="K159" s="4" t="str">
        <f t="shared" si="82"/>
        <v>260917</v>
      </c>
      <c r="L159" s="6">
        <f t="shared" si="83"/>
        <v>84.6</v>
      </c>
      <c r="M159" s="7">
        <f t="shared" si="84"/>
        <v>1</v>
      </c>
      <c r="N159" s="7" t="s">
        <v>30</v>
      </c>
      <c r="O159" s="7" t="s">
        <v>53</v>
      </c>
      <c r="P159" s="8" t="str">
        <f t="shared" si="85"/>
        <v>OK</v>
      </c>
      <c r="Q159" s="8" t="s">
        <v>185</v>
      </c>
    </row>
    <row r="160" spans="1:17" ht="15" customHeight="1" x14ac:dyDescent="0.25">
      <c r="A160" s="4" t="str">
        <f t="shared" si="78"/>
        <v>КТ-КМИ-22510 (отключение вентиляции ЩВ-1) (260917 fok atr)</v>
      </c>
      <c r="B160" s="4" t="s">
        <v>186</v>
      </c>
      <c r="C160" s="4" t="s">
        <v>187</v>
      </c>
      <c r="D160" s="4" t="str">
        <f t="shared" si="86"/>
        <v>Кнопка управления NP2-BA42 без подсветки красная 1НЗ IP40</v>
      </c>
      <c r="E160" s="5">
        <f t="shared" si="87"/>
        <v>1621</v>
      </c>
      <c r="F160" s="5">
        <f t="shared" si="79"/>
        <v>972.59999999999991</v>
      </c>
      <c r="G160" s="5">
        <f t="shared" si="80"/>
        <v>972.59999999999991</v>
      </c>
      <c r="H160" s="4">
        <v>1</v>
      </c>
      <c r="I160" s="4" t="str">
        <f t="shared" si="81"/>
        <v>шт</v>
      </c>
      <c r="J160" s="4" t="str">
        <f t="shared" si="88"/>
        <v>chint</v>
      </c>
      <c r="K160" s="4" t="str">
        <f t="shared" si="82"/>
        <v>260917</v>
      </c>
      <c r="L160" s="6">
        <f t="shared" si="83"/>
        <v>972.59999999999991</v>
      </c>
      <c r="M160" s="7">
        <f t="shared" si="84"/>
        <v>1</v>
      </c>
      <c r="N160" s="7" t="s">
        <v>30</v>
      </c>
      <c r="O160" s="7" t="s">
        <v>186</v>
      </c>
      <c r="P160" s="8" t="str">
        <f t="shared" si="85"/>
        <v>OK</v>
      </c>
      <c r="Q160" s="8" t="s">
        <v>188</v>
      </c>
    </row>
    <row r="161" spans="1:17" ht="15" customHeight="1" x14ac:dyDescent="0.25">
      <c r="A161" s="4" t="str">
        <f t="shared" si="78"/>
        <v>КТ-КМИ-22510 (отключение вентиляции ЩВ-1) (260917 fok atr)</v>
      </c>
      <c r="B161" s="4" t="s">
        <v>186</v>
      </c>
      <c r="C161" s="4" t="s">
        <v>189</v>
      </c>
      <c r="D161" s="4" t="str">
        <f t="shared" si="86"/>
        <v>Кнопка управления NP2-BA31 без подсветки зеленая 1НО IP40</v>
      </c>
      <c r="E161" s="5">
        <f t="shared" si="87"/>
        <v>1602</v>
      </c>
      <c r="F161" s="5">
        <f t="shared" si="79"/>
        <v>961.19999999999993</v>
      </c>
      <c r="G161" s="5">
        <f t="shared" si="80"/>
        <v>961.19999999999993</v>
      </c>
      <c r="H161" s="4">
        <v>1</v>
      </c>
      <c r="I161" s="4" t="str">
        <f t="shared" si="81"/>
        <v>шт</v>
      </c>
      <c r="J161" s="4" t="str">
        <f t="shared" si="88"/>
        <v>chint</v>
      </c>
      <c r="K161" s="4" t="str">
        <f t="shared" si="82"/>
        <v>260917</v>
      </c>
      <c r="L161" s="6">
        <f t="shared" si="83"/>
        <v>961.19999999999993</v>
      </c>
      <c r="M161" s="7">
        <f t="shared" si="84"/>
        <v>1</v>
      </c>
      <c r="N161" s="7" t="s">
        <v>30</v>
      </c>
      <c r="O161" s="7" t="s">
        <v>186</v>
      </c>
      <c r="P161" s="8" t="str">
        <f t="shared" si="85"/>
        <v>OK</v>
      </c>
      <c r="Q161" s="8" t="s">
        <v>190</v>
      </c>
    </row>
    <row r="162" spans="1:17" ht="15" customHeight="1" x14ac:dyDescent="0.25">
      <c r="A162" s="4" t="str">
        <f t="shared" si="78"/>
        <v>КТ-КМИ-22510 (отключение вентиляции ЩВ-1) (260917 fok atr)</v>
      </c>
      <c r="B162" s="4" t="s">
        <v>59</v>
      </c>
      <c r="C162" s="4" t="s">
        <v>64</v>
      </c>
      <c r="D162" s="4" t="str">
        <f t="shared" si="86"/>
        <v>Индикатор ND16-22D/2 красный AC/DC230В (R)</v>
      </c>
      <c r="E162" s="5">
        <f t="shared" si="87"/>
        <v>571</v>
      </c>
      <c r="F162" s="5">
        <f t="shared" si="79"/>
        <v>342.59999999999997</v>
      </c>
      <c r="G162" s="5">
        <f t="shared" si="80"/>
        <v>342.59999999999997</v>
      </c>
      <c r="H162" s="4">
        <v>1</v>
      </c>
      <c r="I162" s="4" t="str">
        <f t="shared" si="81"/>
        <v>шт</v>
      </c>
      <c r="J162" s="4" t="str">
        <f t="shared" si="88"/>
        <v>chint</v>
      </c>
      <c r="K162" s="4" t="str">
        <f t="shared" si="82"/>
        <v>260917</v>
      </c>
      <c r="L162" s="6">
        <f t="shared" si="83"/>
        <v>342.59999999999997</v>
      </c>
      <c r="M162" s="7">
        <f t="shared" si="84"/>
        <v>1</v>
      </c>
      <c r="N162" s="7" t="s">
        <v>30</v>
      </c>
      <c r="O162" s="7" t="s">
        <v>59</v>
      </c>
      <c r="P162" s="8" t="str">
        <f t="shared" si="85"/>
        <v>OK</v>
      </c>
      <c r="Q162" s="8" t="s">
        <v>191</v>
      </c>
    </row>
    <row r="163" spans="1:17" ht="15" customHeight="1" x14ac:dyDescent="0.25">
      <c r="A163" s="4" t="str">
        <f t="shared" si="78"/>
        <v>КТ-КМИ-22510 (отключение вентиляции ЩВ-1) (260917 fok atr)</v>
      </c>
      <c r="B163" s="4" t="s">
        <v>68</v>
      </c>
      <c r="C163" s="4" t="str">
        <f>IF((SUMIFS($H$154:$H$162,$N$154:$N$162,"CIKIS")+SUMIFS($H$154:$H$162,$N$154:$N$162,"KUMANDA")+1)&gt;MAX(SNI_DELIK),INDEX(SNI_KOD,ROWS(SNI_KOD)),INDEX(SNI_KOD,COUNTIF(SNI_DELIK,"&lt;"&amp;(SUMIFS($H$154:$H$162,$N$154:$N$162,"CIKIS")+SUMIFS($H$154:$H$162,$N$154:$N$162,"KUMANDA")+1))+1))</f>
        <v>130200365</v>
      </c>
      <c r="D163" s="4" t="str">
        <f t="shared" si="86"/>
        <v>Шина "N" нулевая 8х12мм комб с изол "Стойка" ШНИ 8-КС-С UNIT (20/300)</v>
      </c>
      <c r="E163" s="5">
        <f t="shared" si="87"/>
        <v>630</v>
      </c>
      <c r="F163" s="5">
        <f t="shared" si="79"/>
        <v>630</v>
      </c>
      <c r="G163" s="5">
        <f t="shared" si="80"/>
        <v>630</v>
      </c>
      <c r="H163" s="4">
        <f>IF((SUMIFS($H$154:$H$162,$N$154:$N$162,"CIKIS")+SUMIFS($H$154:$H$162,$N$154:$N$162,"KUMANDA")+1)&gt;MAX(SNI_DELIK),ROUNDUP((SUMIFS($H$154:$H$162,$N$154:$N$162,"CIKIS")+SUMIFS($H$154:$H$162,$N$154:$N$162,"KUMANDA")+1)/MAX(SNI_DELIK),0),1)</f>
        <v>1</v>
      </c>
      <c r="I163" s="4" t="str">
        <f t="shared" si="81"/>
        <v>шт</v>
      </c>
      <c r="J163" s="4" t="str">
        <f t="shared" si="88"/>
        <v>ekt</v>
      </c>
      <c r="K163" s="4" t="str">
        <f t="shared" si="82"/>
        <v>260917</v>
      </c>
      <c r="L163" s="6">
        <f t="shared" si="83"/>
        <v>630</v>
      </c>
      <c r="M163" s="7">
        <f t="shared" si="84"/>
        <v>1</v>
      </c>
      <c r="N163" s="7" t="s">
        <v>69</v>
      </c>
      <c r="O163" s="7" t="s">
        <v>68</v>
      </c>
      <c r="P163" s="8" t="str">
        <f t="shared" si="85"/>
        <v>ESKİ</v>
      </c>
      <c r="Q163" s="8" t="s">
        <v>70</v>
      </c>
    </row>
    <row r="164" spans="1:17" ht="15" customHeight="1" x14ac:dyDescent="0.25">
      <c r="A164" s="4" t="str">
        <f t="shared" si="78"/>
        <v>КТ-КМИ-22510 (отключение вентиляции ЩВ-1) (260917 fok atr)</v>
      </c>
      <c r="B164" s="4" t="s">
        <v>68</v>
      </c>
      <c r="C164" s="4" t="str">
        <f>IF((SUMIFS($H$154:$H$162,$N$154:$N$162,"CIKIS")+2+N(KURALLAR!$J$210))&gt;MAX(SNI_DELIK),INDEX(SNI_KOD,ROWS(SNI_KOD)),INDEX(SNI_KOD,COUNTIF(SNI_DELIK,"&lt;"&amp;(SUMIFS($H$154:$H$162,$N$154:$N$162,"CIKIS")+2+N(KURALLAR!$J$210)))+1))</f>
        <v>130200364</v>
      </c>
      <c r="D164" s="4" t="str">
        <f t="shared" si="86"/>
        <v>Шина "N" нулевая 8х12мм комб с изол "Стойка" ШНИ 6-КС-С UNIT (20/300)</v>
      </c>
      <c r="E164" s="5">
        <f t="shared" si="87"/>
        <v>560</v>
      </c>
      <c r="F164" s="5">
        <f t="shared" si="79"/>
        <v>560</v>
      </c>
      <c r="G164" s="5">
        <f t="shared" si="80"/>
        <v>560</v>
      </c>
      <c r="H164" s="4">
        <f>IF((SUMIFS($H$154:$H$162,$N$154:$N$162,"CIKIS")+2+N(KURALLAR!$J$210))&gt;MAX(SNI_DELIK),ROUNDUP((SUMIFS($H$154:$H$162,$N$154:$N$162,"CIKIS")+2+N(KURALLAR!$J$210))/MAX(SNI_DELIK),0),1)</f>
        <v>1</v>
      </c>
      <c r="I164" s="4" t="str">
        <f t="shared" si="81"/>
        <v>шт</v>
      </c>
      <c r="J164" s="4" t="str">
        <f t="shared" si="88"/>
        <v>ekt</v>
      </c>
      <c r="K164" s="4" t="str">
        <f t="shared" si="82"/>
        <v>260917</v>
      </c>
      <c r="L164" s="6">
        <f t="shared" si="83"/>
        <v>560</v>
      </c>
      <c r="M164" s="7">
        <f t="shared" si="84"/>
        <v>1</v>
      </c>
      <c r="N164" s="7" t="s">
        <v>69</v>
      </c>
      <c r="O164" s="7" t="s">
        <v>68</v>
      </c>
      <c r="P164" s="8" t="str">
        <f t="shared" si="85"/>
        <v>ESKİ</v>
      </c>
      <c r="Q164" s="8" t="s">
        <v>71</v>
      </c>
    </row>
    <row r="165" spans="1:17" ht="15" customHeight="1" x14ac:dyDescent="0.25">
      <c r="A165" s="4" t="str">
        <f t="shared" si="78"/>
        <v>КТ-КМИ-22510 (отключение вентиляции ЩВ-1) (260917 fok atr)</v>
      </c>
      <c r="B165" s="4" t="s">
        <v>75</v>
      </c>
      <c r="C165" s="4" t="s">
        <v>76</v>
      </c>
      <c r="D165" s="4" t="str">
        <f t="shared" si="86"/>
        <v>HARMONY ПВ3 1*1,5</v>
      </c>
      <c r="E165" s="5">
        <f t="shared" si="87"/>
        <v>105</v>
      </c>
      <c r="F165" s="5">
        <f t="shared" si="79"/>
        <v>105</v>
      </c>
      <c r="G165" s="5">
        <f t="shared" si="80"/>
        <v>924.00000000000011</v>
      </c>
      <c r="H165" s="4">
        <f>ROUND(SUMPRODUCT(SUMIFS($H$154:$H$162,$C$154:$C$162,FA,$N$154:$N$162,"&lt;&gt;YEDEK")*(F_BK=1.5)*F_TELM)*KABLO_FIRE,1)</f>
        <v>8.8000000000000007</v>
      </c>
      <c r="I165" s="4" t="str">
        <f t="shared" si="81"/>
        <v>м</v>
      </c>
      <c r="J165" s="4" t="str">
        <f t="shared" si="88"/>
        <v>harmony</v>
      </c>
      <c r="K165" s="4" t="str">
        <f t="shared" si="82"/>
        <v>260917</v>
      </c>
      <c r="L165" s="6">
        <f t="shared" si="83"/>
        <v>924.00000000000011</v>
      </c>
      <c r="M165" s="7">
        <f t="shared" si="84"/>
        <v>1</v>
      </c>
      <c r="N165" s="7" t="s">
        <v>69</v>
      </c>
      <c r="O165" s="7" t="s">
        <v>75</v>
      </c>
      <c r="P165" s="8" t="str">
        <f t="shared" si="85"/>
        <v>TARİH YOK</v>
      </c>
      <c r="Q165" s="8" t="s">
        <v>77</v>
      </c>
    </row>
    <row r="166" spans="1:17" ht="15" customHeight="1" x14ac:dyDescent="0.25">
      <c r="A166" s="4" t="str">
        <f t="shared" si="78"/>
        <v>КТ-КМИ-22510 (отключение вентиляции ЩВ-1) (260917 fok atr)</v>
      </c>
      <c r="B166" s="4" t="s">
        <v>75</v>
      </c>
      <c r="C166" s="4" t="s">
        <v>124</v>
      </c>
      <c r="D166" s="4" t="str">
        <f t="shared" si="86"/>
        <v>HARMONY ПВ3 1*4</v>
      </c>
      <c r="E166" s="5">
        <f t="shared" si="87"/>
        <v>274</v>
      </c>
      <c r="F166" s="5">
        <f t="shared" si="79"/>
        <v>274</v>
      </c>
      <c r="G166" s="5">
        <f t="shared" si="80"/>
        <v>767.19999999999993</v>
      </c>
      <c r="H166" s="4">
        <f>ROUND(SUMPRODUCT(SUMIFS($H$154:$H$162,$C$154:$C$162,FA,$N$154:$N$162,"&lt;&gt;YEDEK")*(F_BK=4)*F_TELM)*KABLO_FIRE,1)</f>
        <v>2.8</v>
      </c>
      <c r="I166" s="4" t="str">
        <f t="shared" si="81"/>
        <v>м</v>
      </c>
      <c r="J166" s="4" t="str">
        <f t="shared" si="88"/>
        <v>harmony</v>
      </c>
      <c r="K166" s="4" t="str">
        <f t="shared" si="82"/>
        <v>260917</v>
      </c>
      <c r="L166" s="6">
        <f t="shared" si="83"/>
        <v>767.19999999999993</v>
      </c>
      <c r="M166" s="7">
        <f t="shared" si="84"/>
        <v>1</v>
      </c>
      <c r="N166" s="7" t="s">
        <v>69</v>
      </c>
      <c r="O166" s="7" t="s">
        <v>75</v>
      </c>
      <c r="P166" s="8" t="str">
        <f t="shared" si="85"/>
        <v>TARİH YOK</v>
      </c>
      <c r="Q166" s="8" t="s">
        <v>125</v>
      </c>
    </row>
    <row r="167" spans="1:17" ht="15" customHeight="1" x14ac:dyDescent="0.25">
      <c r="A167" s="4" t="str">
        <f t="shared" si="78"/>
        <v>КТ-КМИ-22510 (отключение вентиляции ЩВ-1) (260917 fok atr)</v>
      </c>
      <c r="B167" s="4" t="s">
        <v>75</v>
      </c>
      <c r="C167" s="4" t="s">
        <v>86</v>
      </c>
      <c r="D167" s="4" t="str">
        <f t="shared" si="86"/>
        <v>HARMONY ПВ3 1*6</v>
      </c>
      <c r="E167" s="5">
        <f t="shared" si="87"/>
        <v>398</v>
      </c>
      <c r="F167" s="5">
        <f t="shared" si="79"/>
        <v>398</v>
      </c>
      <c r="G167" s="5">
        <f t="shared" si="80"/>
        <v>199</v>
      </c>
      <c r="H167" s="4">
        <f>N(KURALLAR!$J$210)*KAPI_TOPRAK_M</f>
        <v>0.5</v>
      </c>
      <c r="I167" s="4" t="str">
        <f t="shared" si="81"/>
        <v>м</v>
      </c>
      <c r="J167" s="4" t="str">
        <f t="shared" si="88"/>
        <v>harmony</v>
      </c>
      <c r="K167" s="4" t="str">
        <f t="shared" si="82"/>
        <v>260917</v>
      </c>
      <c r="L167" s="6">
        <f t="shared" si="83"/>
        <v>199</v>
      </c>
      <c r="M167" s="7">
        <f t="shared" si="84"/>
        <v>1</v>
      </c>
      <c r="N167" s="7" t="s">
        <v>69</v>
      </c>
      <c r="O167" s="7" t="s">
        <v>75</v>
      </c>
      <c r="P167" s="8" t="str">
        <f t="shared" si="85"/>
        <v>TARİH YOK</v>
      </c>
      <c r="Q167" s="8" t="s">
        <v>87</v>
      </c>
    </row>
    <row r="168" spans="1:17" ht="15" customHeight="1" x14ac:dyDescent="0.25">
      <c r="A168" s="4" t="str">
        <f t="shared" si="78"/>
        <v>КТ-КМИ-22510 (отключение вентиляции ЩВ-1) (260917 fok atr)</v>
      </c>
      <c r="B168" s="4" t="s">
        <v>88</v>
      </c>
      <c r="C168" s="4" t="s">
        <v>89</v>
      </c>
      <c r="D168" s="4" t="str">
        <f t="shared" si="86"/>
        <v>Наконечник НШВИ 1,5-8 изолированный 79440 (100шт) КВТ NEW</v>
      </c>
      <c r="E168" s="5">
        <f t="shared" si="87"/>
        <v>428</v>
      </c>
      <c r="F168" s="5">
        <f t="shared" si="79"/>
        <v>428</v>
      </c>
      <c r="G168" s="5">
        <f t="shared" si="80"/>
        <v>428</v>
      </c>
      <c r="H168" s="4">
        <f>ROUNDUP(SUMPRODUCT(SUMIFS($H$154:$H$162,$C$154:$C$162,FA,$N$154:$N$162,"&lt;&gt;YEDEK")*(F_BK=1.5)*F_TEL)*2*YUKSUK_FIRE/MAX(1,IF(ISNA(MATCH($C168,FA,0)),1,N(INDEX(F_PAKET,MATCH($C168,FA,0))))),0)</f>
        <v>1</v>
      </c>
      <c r="I168" s="4" t="str">
        <f t="shared" si="81"/>
        <v>упак</v>
      </c>
      <c r="J168" s="4" t="str">
        <f t="shared" si="88"/>
        <v>ekt</v>
      </c>
      <c r="K168" s="4" t="str">
        <f t="shared" si="82"/>
        <v>260917</v>
      </c>
      <c r="L168" s="6">
        <f t="shared" si="83"/>
        <v>428</v>
      </c>
      <c r="M168" s="7">
        <f t="shared" si="84"/>
        <v>1</v>
      </c>
      <c r="N168" s="7" t="s">
        <v>69</v>
      </c>
      <c r="O168" s="7" t="s">
        <v>88</v>
      </c>
      <c r="P168" s="8" t="str">
        <f t="shared" si="85"/>
        <v>ESKİ</v>
      </c>
      <c r="Q168" s="8" t="s">
        <v>90</v>
      </c>
    </row>
    <row r="169" spans="1:17" ht="15" customHeight="1" x14ac:dyDescent="0.25">
      <c r="A169" s="4" t="str">
        <f t="shared" si="78"/>
        <v>КТ-КМИ-22510 (отключение вентиляции ЩВ-1) (260917 fok atr)</v>
      </c>
      <c r="B169" s="4" t="s">
        <v>88</v>
      </c>
      <c r="C169" s="4" t="s">
        <v>129</v>
      </c>
      <c r="D169" s="4" t="str">
        <f t="shared" si="86"/>
        <v>Наконечник НШВИ 4,0-9 изолированный 79446 (100шт) КВТ NEW</v>
      </c>
      <c r="E169" s="5">
        <f t="shared" si="87"/>
        <v>818</v>
      </c>
      <c r="F169" s="5">
        <f t="shared" si="79"/>
        <v>818</v>
      </c>
      <c r="G169" s="5">
        <f t="shared" si="80"/>
        <v>818</v>
      </c>
      <c r="H169" s="4">
        <f>ROUNDUP(SUMPRODUCT(SUMIFS($H$154:$H$162,$C$154:$C$162,FA,$N$154:$N$162,"&lt;&gt;YEDEK")*(F_BK=4)*F_TEL)*2*YUKSUK_FIRE/MAX(1,IF(ISNA(MATCH($C169,FA,0)),1,N(INDEX(F_PAKET,MATCH($C169,FA,0))))),0)</f>
        <v>1</v>
      </c>
      <c r="I169" s="4" t="str">
        <f t="shared" si="81"/>
        <v>упак</v>
      </c>
      <c r="J169" s="4" t="str">
        <f t="shared" si="88"/>
        <v>ekt</v>
      </c>
      <c r="K169" s="4" t="str">
        <f t="shared" si="82"/>
        <v>260917</v>
      </c>
      <c r="L169" s="6">
        <f t="shared" si="83"/>
        <v>818</v>
      </c>
      <c r="M169" s="7">
        <f t="shared" si="84"/>
        <v>1</v>
      </c>
      <c r="N169" s="7" t="s">
        <v>69</v>
      </c>
      <c r="O169" s="7" t="s">
        <v>88</v>
      </c>
      <c r="P169" s="8" t="str">
        <f t="shared" si="85"/>
        <v>ESKİ</v>
      </c>
      <c r="Q169" s="8" t="s">
        <v>130</v>
      </c>
    </row>
    <row r="170" spans="1:17" ht="15" customHeight="1" x14ac:dyDescent="0.25">
      <c r="A170" s="4" t="str">
        <f t="shared" si="78"/>
        <v>КТ-КМИ-22510 (отключение вентиляции ЩВ-1) (260917 fok atr)</v>
      </c>
      <c r="B170" s="4" t="s">
        <v>93</v>
      </c>
      <c r="C170" s="4" t="s">
        <v>100</v>
      </c>
      <c r="D170" s="4" t="str">
        <f t="shared" si="86"/>
        <v>Наконечник медно-луженный JG - 6 IEK (600)</v>
      </c>
      <c r="E170" s="5">
        <f t="shared" si="87"/>
        <v>76</v>
      </c>
      <c r="F170" s="5">
        <f t="shared" si="79"/>
        <v>76</v>
      </c>
      <c r="G170" s="5">
        <f t="shared" si="80"/>
        <v>152</v>
      </c>
      <c r="H170" s="4">
        <f>2*N(KURALLAR!$J$210)</f>
        <v>2</v>
      </c>
      <c r="I170" s="4" t="str">
        <f t="shared" si="81"/>
        <v>шт</v>
      </c>
      <c r="J170" s="4" t="str">
        <f t="shared" si="88"/>
        <v>ekt</v>
      </c>
      <c r="K170" s="4" t="str">
        <f t="shared" si="82"/>
        <v>260917</v>
      </c>
      <c r="L170" s="6">
        <f t="shared" si="83"/>
        <v>152</v>
      </c>
      <c r="M170" s="7">
        <f t="shared" si="84"/>
        <v>1</v>
      </c>
      <c r="N170" s="7" t="s">
        <v>69</v>
      </c>
      <c r="O170" s="7" t="s">
        <v>93</v>
      </c>
      <c r="P170" s="8" t="str">
        <f t="shared" si="85"/>
        <v>ESKİ</v>
      </c>
      <c r="Q170" s="8" t="s">
        <v>101</v>
      </c>
    </row>
    <row r="171" spans="1:17" ht="15" customHeight="1" x14ac:dyDescent="0.25">
      <c r="A171" s="4" t="str">
        <f t="shared" si="78"/>
        <v>КТ-КМИ-22510 (отключение вентиляции ЩВ-1) (260917 fok atr)</v>
      </c>
      <c r="B171" s="4" t="s">
        <v>102</v>
      </c>
      <c r="C171" s="4" t="s">
        <v>103</v>
      </c>
      <c r="D171" s="4" t="str">
        <f t="shared" si="86"/>
        <v>Хомут 2,5х100 черный UNIT (100/500)</v>
      </c>
      <c r="E171" s="5">
        <f t="shared" si="87"/>
        <v>182</v>
      </c>
      <c r="F171" s="5">
        <f t="shared" si="79"/>
        <v>182</v>
      </c>
      <c r="G171" s="5">
        <f t="shared" si="80"/>
        <v>182</v>
      </c>
      <c r="H171" s="4">
        <f>ROUNDUP((N(H165)+N(H166)+N(H167))*BAG_ADET_M/MAX(1,IF(ISNA(MATCH($C171,FA,0)),1,N(INDEX(F_PAKET,MATCH($C171,FA,0))))),0)</f>
        <v>1</v>
      </c>
      <c r="I171" s="4" t="str">
        <f t="shared" si="81"/>
        <v>упак</v>
      </c>
      <c r="J171" s="4" t="str">
        <f t="shared" si="88"/>
        <v>ekt</v>
      </c>
      <c r="K171" s="4" t="str">
        <f t="shared" si="82"/>
        <v>260917</v>
      </c>
      <c r="L171" s="6">
        <f t="shared" si="83"/>
        <v>182</v>
      </c>
      <c r="M171" s="7">
        <f t="shared" si="84"/>
        <v>1</v>
      </c>
      <c r="N171" s="7" t="s">
        <v>69</v>
      </c>
      <c r="O171" s="7" t="s">
        <v>102</v>
      </c>
      <c r="P171" s="8" t="str">
        <f t="shared" si="85"/>
        <v>ESKİ</v>
      </c>
      <c r="Q171" s="8" t="s">
        <v>104</v>
      </c>
    </row>
    <row r="172" spans="1:17" ht="15" customHeight="1" x14ac:dyDescent="0.25">
      <c r="A172" s="4" t="str">
        <f t="shared" si="78"/>
        <v>КТ-КМИ-22510 (отключение вентиляции ЩВ-1) (260917 fok atr)</v>
      </c>
      <c r="B172" s="4" t="s">
        <v>105</v>
      </c>
      <c r="C172" s="4" t="s">
        <v>105</v>
      </c>
      <c r="D172" s="4" t="s">
        <v>105</v>
      </c>
      <c r="E172" s="5">
        <f>G173*MONTAJ_MALZ_KAT</f>
        <v>5544</v>
      </c>
      <c r="F172" s="5">
        <f>E172</f>
        <v>5544</v>
      </c>
      <c r="G172" s="5">
        <f>H172*F172</f>
        <v>5544</v>
      </c>
      <c r="H172" s="4">
        <v>1</v>
      </c>
      <c r="I172" s="4" t="s">
        <v>106</v>
      </c>
      <c r="J172" s="4" t="s">
        <v>105</v>
      </c>
      <c r="K172" s="4" t="str">
        <f t="shared" si="82"/>
        <v>260917</v>
      </c>
      <c r="L172" s="6">
        <f t="shared" si="83"/>
        <v>5544</v>
      </c>
      <c r="M172" s="7">
        <f t="shared" si="84"/>
        <v>1</v>
      </c>
    </row>
    <row r="173" spans="1:17" ht="15" customHeight="1" x14ac:dyDescent="0.25">
      <c r="A173" s="4" t="str">
        <f t="shared" si="78"/>
        <v>КТ-КМИ-22510 (отключение вентиляции ЩВ-1) (260917 fok atr)</v>
      </c>
      <c r="B173" s="4" t="s">
        <v>107</v>
      </c>
      <c r="C173" s="4" t="s">
        <v>107</v>
      </c>
      <c r="D173" s="4" t="s">
        <v>107</v>
      </c>
      <c r="E173" s="4">
        <f>ROUND(SUMPRODUCT(SUMIFS(H154:H172,O154:O172,TIP_AD)*NORM_DK)*ISCILIK_KAT/60,2)</f>
        <v>2.31</v>
      </c>
      <c r="F173" s="4">
        <f>DK_UCRET</f>
        <v>100</v>
      </c>
      <c r="G173" s="5">
        <f>H173*F173</f>
        <v>13860</v>
      </c>
      <c r="H173" s="4">
        <f>60*E173</f>
        <v>138.6</v>
      </c>
      <c r="I173" s="4" t="s">
        <v>108</v>
      </c>
      <c r="J173" s="4" t="s">
        <v>107</v>
      </c>
      <c r="K173" s="4" t="str">
        <f t="shared" si="82"/>
        <v>260917</v>
      </c>
      <c r="L173" s="6">
        <f t="shared" si="83"/>
        <v>13860</v>
      </c>
      <c r="M173" s="7">
        <f t="shared" si="84"/>
        <v>1</v>
      </c>
    </row>
    <row r="174" spans="1:17" ht="15" customHeight="1" x14ac:dyDescent="0.25">
      <c r="A174" s="4" t="str">
        <f t="shared" si="78"/>
        <v>КТ-КМИ-22510 (отключение вентиляции ЩВ-1) (260917 fok atr)</v>
      </c>
      <c r="B174" s="9"/>
      <c r="C174" s="9"/>
      <c r="D174" s="9"/>
      <c r="E174" s="9"/>
      <c r="F174" s="9"/>
      <c r="G174" s="10">
        <f>SUM(G154:G173)</f>
        <v>42783</v>
      </c>
      <c r="H174" s="9"/>
      <c r="I174" s="9"/>
      <c r="J174" s="9"/>
      <c r="K174" s="4" t="str">
        <f t="shared" si="82"/>
        <v>260917</v>
      </c>
      <c r="L174" s="11">
        <f>SUM(L154:L173)</f>
        <v>42783</v>
      </c>
      <c r="M174" s="7">
        <f t="shared" si="84"/>
        <v>1</v>
      </c>
      <c r="P174" s="7" t="str">
        <f>IF(COUNTIF(P154:P173,"FİYAT YOK")+COUNTIF(P154:P173,"YASAK")+COUNTIF(P154:P173,"MARKA YOK")+COUNTIF(P154:P173,"ARTİKÜL YOK")&gt;0,"EKSİK FİYAT","")</f>
        <v/>
      </c>
      <c r="Q174" s="7" t="str">
        <f>IF(KURALLAR!$Q$210="OK","","PANO: "&amp;KURALLAR!$Q$210)</f>
        <v/>
      </c>
    </row>
  </sheetData>
  <autoFilter ref="A1:Q17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1"/>
  <sheetViews>
    <sheetView topLeftCell="A46" zoomScaleNormal="100" workbookViewId="0">
      <selection activeCell="C43" sqref="C43:F43"/>
    </sheetView>
  </sheetViews>
  <sheetFormatPr defaultColWidth="8.7109375" defaultRowHeight="15" outlineLevelCol="1" x14ac:dyDescent="0.25"/>
  <cols>
    <col min="1" max="1" width="5" customWidth="1"/>
    <col min="2" max="2" width="11" customWidth="1"/>
    <col min="3" max="3" width="16" customWidth="1"/>
    <col min="4" max="4" width="72.42578125" customWidth="1"/>
    <col min="5" max="6" width="11" customWidth="1"/>
    <col min="7" max="7" width="13" customWidth="1"/>
    <col min="8" max="8" width="8" style="27" customWidth="1"/>
    <col min="9" max="9" width="7" style="27" customWidth="1"/>
    <col min="10" max="10" width="10" style="27" customWidth="1"/>
    <col min="11" max="11" width="6" style="27" customWidth="1"/>
    <col min="12" max="12" width="8" style="27" customWidth="1"/>
    <col min="13" max="13" width="6" style="27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6" width="7" customWidth="1" outlineLevel="1"/>
  </cols>
  <sheetData>
    <row r="1" spans="1:36" s="30" customFormat="1" ht="48.75" customHeight="1" x14ac:dyDescent="0.25">
      <c r="A1" s="28" t="s">
        <v>192</v>
      </c>
      <c r="B1" s="28" t="s">
        <v>1</v>
      </c>
      <c r="C1" s="28" t="s">
        <v>2</v>
      </c>
      <c r="D1" s="28" t="s">
        <v>3</v>
      </c>
      <c r="E1" s="28" t="s">
        <v>194</v>
      </c>
      <c r="F1" s="28" t="s">
        <v>198</v>
      </c>
      <c r="G1" s="28" t="s">
        <v>200</v>
      </c>
      <c r="H1" s="28" t="s">
        <v>199</v>
      </c>
      <c r="I1" s="28" t="s">
        <v>7</v>
      </c>
      <c r="J1" s="28" t="s">
        <v>193</v>
      </c>
      <c r="K1" s="28" t="s">
        <v>195</v>
      </c>
      <c r="L1" s="28" t="s">
        <v>196</v>
      </c>
      <c r="M1" s="28" t="s">
        <v>197</v>
      </c>
      <c r="N1" s="28" t="s">
        <v>201</v>
      </c>
      <c r="O1" s="28" t="s">
        <v>202</v>
      </c>
      <c r="P1" s="28" t="s">
        <v>203</v>
      </c>
      <c r="Q1" s="28" t="s">
        <v>14</v>
      </c>
      <c r="R1" s="28" t="s">
        <v>15</v>
      </c>
      <c r="S1" s="29" t="s">
        <v>204</v>
      </c>
      <c r="T1" s="29" t="s">
        <v>205</v>
      </c>
      <c r="U1" s="29" t="s">
        <v>206</v>
      </c>
      <c r="V1" s="29" t="s">
        <v>207</v>
      </c>
      <c r="W1" s="29" t="s">
        <v>208</v>
      </c>
      <c r="X1" s="29" t="s">
        <v>209</v>
      </c>
      <c r="Y1" s="29" t="s">
        <v>210</v>
      </c>
      <c r="Z1" s="29" t="s">
        <v>211</v>
      </c>
      <c r="AA1" s="29" t="s">
        <v>212</v>
      </c>
      <c r="AB1" s="29" t="s">
        <v>213</v>
      </c>
      <c r="AC1" s="29" t="s">
        <v>214</v>
      </c>
      <c r="AD1" s="29" t="s">
        <v>215</v>
      </c>
      <c r="AE1" s="29" t="s">
        <v>216</v>
      </c>
      <c r="AF1" s="29" t="s">
        <v>217</v>
      </c>
      <c r="AG1" s="29" t="s">
        <v>218</v>
      </c>
      <c r="AH1" s="29" t="s">
        <v>219</v>
      </c>
      <c r="AI1" s="29" t="s">
        <v>220</v>
      </c>
      <c r="AJ1" s="29" t="s">
        <v>221</v>
      </c>
    </row>
    <row r="2" spans="1:36" ht="15" customHeight="1" x14ac:dyDescent="0.25">
      <c r="A2" s="13">
        <f t="shared" ref="A2:A33" si="0">ROW()-1</f>
        <v>1</v>
      </c>
      <c r="B2" s="13" t="s">
        <v>24</v>
      </c>
      <c r="C2" s="13" t="s">
        <v>25</v>
      </c>
      <c r="D2" s="13" t="s">
        <v>222</v>
      </c>
      <c r="E2" s="14">
        <v>27656</v>
      </c>
      <c r="F2" s="15">
        <f t="shared" ref="F2:F33" si="1">IF(OR($E2="",$L2="",$M2="",$Q2="YASAK"),"",$E2*$L2*$M2)</f>
        <v>16593.599999999999</v>
      </c>
      <c r="G2" s="15">
        <f t="shared" ref="G2:G33" si="2">IF($F2="","",$F2*$H2)</f>
        <v>33187.199999999997</v>
      </c>
      <c r="H2" s="32">
        <f>SUMPRODUCT((BOM!$C$2:$C$675=$C2)*BOM!$H$2:$H$675*BOM!$M$2:$M$675)</f>
        <v>2</v>
      </c>
      <c r="I2" s="32" t="s">
        <v>106</v>
      </c>
      <c r="J2" s="32" t="s">
        <v>223</v>
      </c>
      <c r="K2" s="32" t="str">
        <f t="shared" ref="K2:K33" si="3">IF(ISNA(MATCH($J2,MARKA_AD,0)),"",INDEX(MARKA_PARA,MATCH($J2,MARKA_AD,0)))</f>
        <v>KZT</v>
      </c>
      <c r="L2" s="32">
        <f t="shared" ref="L2:L33" si="4">IF(ISNA(MATCH($J2,MARKA_AD,0)),"",INDEX(MARKA_KAT,MATCH($J2,MARKA_AD,0)))</f>
        <v>0.6</v>
      </c>
      <c r="M2" s="32">
        <f t="shared" ref="M2:M33" si="5">IF(OR($K2="",ISNA(MATCH($K2,KUR_AD,0))),"",IF(INDEX(KUR_DEG,MATCH($K2,KUR_AD,0))="","",INDEX(KUR_DEG,MATCH($K2,KUR_AD,0))))</f>
        <v>1</v>
      </c>
      <c r="N2" s="13" t="s">
        <v>224</v>
      </c>
      <c r="O2" s="16">
        <f t="shared" ref="O2:O33" si="6">IF(ISNA(MATCH($N2,KAYNAK_KOD,0)),"",IF(INDEX(KAYNAK_TARIH,MATCH($N2,KAYNAK_KOD,0))="","",INDEX(KAYNAK_TARIH,MATCH($N2,KAYNAK_KOD,0))))</f>
        <v>46261</v>
      </c>
      <c r="P2" s="13">
        <f t="shared" ref="P2:P33" si="7">IF($O2="","",ROUND((TARIH-$O2)/30.4375,1))</f>
        <v>0.7</v>
      </c>
      <c r="Q2" s="13" t="str">
        <f t="shared" ref="Q2:Q33" si="8">IF(ISNA(MATCH($J2,MARKA_AD,0)),"MARKA YOK",IF(INDEX(MARKA_IZIN,MATCH($J2,MARKA_AD,0))="HAYIR","YASAK",IF($E2="","FİYAT YOK",IF($P2="","TARİH YOK",IF($P2&gt;YAS_YASAK_AY,"YASAK",IF($P2&gt;YAS_ESKI_AY,"ESKİ","OK"))))))</f>
        <v>OK</v>
      </c>
      <c r="S2" s="17">
        <v>3</v>
      </c>
      <c r="T2" s="17">
        <v>125</v>
      </c>
      <c r="U2" s="18"/>
      <c r="V2" s="18"/>
      <c r="W2" s="18"/>
      <c r="X2" s="18"/>
      <c r="Y2" s="18"/>
      <c r="Z2" s="18"/>
      <c r="AA2" s="18"/>
      <c r="AB2" s="13" t="str">
        <f t="shared" ref="AB2:AB33" si="9">IF(ISNA(MATCH($B2,TIP_AD,0)),"",INDEX(TIP_GRUP,MATCH($B2,TIP_AD,0)))</f>
        <v>GUC</v>
      </c>
      <c r="AC2" s="13">
        <f t="shared" ref="AC2:AC33" si="10">IF(OR($AB2="GUC"),IF(OR($AI2=0,$AI2&gt;KABLO_MAX_IN),0,LOOKUP($AI2,KABLO_IN_ALT,KABLO_KESIT)),IF($AB2="KUMANDA",KUMANDA_KESIT,IF($AB2="OLCU",OLCU_KESIT,0)))</f>
        <v>35</v>
      </c>
      <c r="AD2" s="13">
        <f t="shared" ref="AD2:AD33" si="11">IF(OR($AC2=0,ISNA(MATCH($B2,TIP_AD,0))),0,IF(INDEX(TIP_TEL,MATCH($B2,TIP_AD,0))="",2*N($S2)+IF(OR(N($S2)=1,N($S2)=3),1,0),INDEX(TIP_TEL,MATCH($B2,TIP_AD,0))))</f>
        <v>3</v>
      </c>
      <c r="AE2" s="13">
        <f t="shared" ref="AE2:AE33" si="12">IF(OR($AD2=0,ISNA(MATCH($B2,TIP_AD,0))),0,$AD2*INDEX(TIP_TELM,MATCH($B2,TIP_AD,0)))</f>
        <v>1.5</v>
      </c>
      <c r="AF2" s="13">
        <f t="shared" ref="AF2:AF33" si="13">IF(OR($AB2&lt;&gt;"GUC",$AC2=0,$AC2&gt;KLEMENS_MAX_KESIT),0,LOOKUP($AC2,KLEMENS_ALT,KLEMENS_KES))</f>
        <v>35</v>
      </c>
      <c r="AG2" s="13">
        <f t="shared" ref="AG2:AG33" si="14">IF($AF2=0,0,N($S2)+IF(OR(N($S2)=1,N($S2)=3),1,0))</f>
        <v>4</v>
      </c>
      <c r="AH2" s="13">
        <f t="shared" ref="AH2:AH33" si="15">IF($AF2=0,0,1)</f>
        <v>1</v>
      </c>
      <c r="AI2" s="13">
        <f t="shared" ref="AI2:AI33" si="16">N($T2)</f>
        <v>125</v>
      </c>
      <c r="AJ2" s="13">
        <f t="shared" ref="AJ2:AJ33" si="17">IF(OR($B2="mccb",$B2="oto",$B2="bh",$B2="rubilnik",$B2="ats",$B2="dif",$B2="uzo"),N($T2),0)</f>
        <v>125</v>
      </c>
    </row>
    <row r="3" spans="1:36" ht="15" customHeight="1" x14ac:dyDescent="0.25">
      <c r="A3" s="13">
        <f t="shared" si="0"/>
        <v>2</v>
      </c>
      <c r="B3" s="13" t="s">
        <v>47</v>
      </c>
      <c r="C3" s="13" t="s">
        <v>48</v>
      </c>
      <c r="D3" s="13" t="s">
        <v>225</v>
      </c>
      <c r="E3" s="14">
        <v>100471</v>
      </c>
      <c r="F3" s="15">
        <f t="shared" si="1"/>
        <v>60282.6</v>
      </c>
      <c r="G3" s="15">
        <f t="shared" si="2"/>
        <v>120565.2</v>
      </c>
      <c r="H3" s="32">
        <f>SUMPRODUCT((BOM!$C$2:$C$675=$C3)*BOM!$H$2:$H$675*BOM!$M$2:$M$675)</f>
        <v>2</v>
      </c>
      <c r="I3" s="32" t="s">
        <v>106</v>
      </c>
      <c r="J3" s="32" t="s">
        <v>223</v>
      </c>
      <c r="K3" s="32" t="str">
        <f t="shared" si="3"/>
        <v>KZT</v>
      </c>
      <c r="L3" s="32">
        <f t="shared" si="4"/>
        <v>0.6</v>
      </c>
      <c r="M3" s="32">
        <f t="shared" si="5"/>
        <v>1</v>
      </c>
      <c r="N3" s="13" t="s">
        <v>224</v>
      </c>
      <c r="O3" s="16">
        <f t="shared" si="6"/>
        <v>46261</v>
      </c>
      <c r="P3" s="13">
        <f t="shared" si="7"/>
        <v>0.7</v>
      </c>
      <c r="Q3" s="13" t="str">
        <f t="shared" si="8"/>
        <v>OK</v>
      </c>
      <c r="S3" s="17">
        <v>3</v>
      </c>
      <c r="T3" s="17">
        <v>160</v>
      </c>
      <c r="U3" s="18"/>
      <c r="V3" s="18"/>
      <c r="W3" s="18"/>
      <c r="X3" s="18"/>
      <c r="Y3" s="18"/>
      <c r="Z3" s="18"/>
      <c r="AA3" s="18"/>
      <c r="AB3" s="13" t="str">
        <f t="shared" si="9"/>
        <v>GUC</v>
      </c>
      <c r="AC3" s="13">
        <f t="shared" si="10"/>
        <v>50</v>
      </c>
      <c r="AD3" s="13">
        <f t="shared" si="11"/>
        <v>3</v>
      </c>
      <c r="AE3" s="13">
        <f t="shared" si="12"/>
        <v>1.7999999999999998</v>
      </c>
      <c r="AF3" s="13">
        <f t="shared" si="13"/>
        <v>0</v>
      </c>
      <c r="AG3" s="13">
        <f t="shared" si="14"/>
        <v>0</v>
      </c>
      <c r="AH3" s="13">
        <f t="shared" si="15"/>
        <v>0</v>
      </c>
      <c r="AI3" s="13">
        <f t="shared" si="16"/>
        <v>160</v>
      </c>
      <c r="AJ3" s="13">
        <f t="shared" si="17"/>
        <v>0</v>
      </c>
    </row>
    <row r="4" spans="1:36" ht="15" customHeight="1" x14ac:dyDescent="0.25">
      <c r="A4" s="13">
        <f t="shared" si="0"/>
        <v>3</v>
      </c>
      <c r="B4" s="13" t="s">
        <v>50</v>
      </c>
      <c r="C4" s="13" t="s">
        <v>51</v>
      </c>
      <c r="D4" s="13" t="s">
        <v>226</v>
      </c>
      <c r="E4" s="14">
        <v>1306</v>
      </c>
      <c r="F4" s="15">
        <f t="shared" si="1"/>
        <v>783.6</v>
      </c>
      <c r="G4" s="15">
        <f t="shared" si="2"/>
        <v>1567.2</v>
      </c>
      <c r="H4" s="32">
        <f>SUMPRODUCT((BOM!$C$2:$C$675=$C4)*BOM!$H$2:$H$675*BOM!$M$2:$M$675)</f>
        <v>2</v>
      </c>
      <c r="I4" s="32" t="s">
        <v>106</v>
      </c>
      <c r="J4" s="32" t="s">
        <v>223</v>
      </c>
      <c r="K4" s="32" t="str">
        <f t="shared" si="3"/>
        <v>KZT</v>
      </c>
      <c r="L4" s="32">
        <f t="shared" si="4"/>
        <v>0.6</v>
      </c>
      <c r="M4" s="32">
        <f t="shared" si="5"/>
        <v>1</v>
      </c>
      <c r="N4" s="13" t="s">
        <v>224</v>
      </c>
      <c r="O4" s="16">
        <f t="shared" si="6"/>
        <v>46261</v>
      </c>
      <c r="P4" s="13">
        <f t="shared" si="7"/>
        <v>0.7</v>
      </c>
      <c r="Q4" s="13" t="str">
        <f t="shared" si="8"/>
        <v>OK</v>
      </c>
      <c r="S4" s="18"/>
      <c r="T4" s="18"/>
      <c r="U4" s="18"/>
      <c r="V4" s="18"/>
      <c r="W4" s="18"/>
      <c r="X4" s="18"/>
      <c r="Y4" s="18"/>
      <c r="Z4" s="18"/>
      <c r="AA4" s="18"/>
      <c r="AB4" s="13" t="str">
        <f t="shared" si="9"/>
        <v>KUMANDA</v>
      </c>
      <c r="AC4" s="13">
        <f t="shared" si="10"/>
        <v>1.5</v>
      </c>
      <c r="AD4" s="13">
        <f t="shared" si="11"/>
        <v>2</v>
      </c>
      <c r="AE4" s="13">
        <f t="shared" si="12"/>
        <v>1.6</v>
      </c>
      <c r="AF4" s="13">
        <f t="shared" si="13"/>
        <v>0</v>
      </c>
      <c r="AG4" s="13">
        <f t="shared" si="14"/>
        <v>0</v>
      </c>
      <c r="AH4" s="13">
        <f t="shared" si="15"/>
        <v>0</v>
      </c>
      <c r="AI4" s="13">
        <f t="shared" si="16"/>
        <v>0</v>
      </c>
      <c r="AJ4" s="13">
        <f t="shared" si="17"/>
        <v>0</v>
      </c>
    </row>
    <row r="5" spans="1:36" ht="15" customHeight="1" x14ac:dyDescent="0.25">
      <c r="A5" s="13">
        <f t="shared" si="0"/>
        <v>4</v>
      </c>
      <c r="B5" s="13" t="s">
        <v>28</v>
      </c>
      <c r="C5" s="13" t="s">
        <v>29</v>
      </c>
      <c r="D5" s="13" t="s">
        <v>227</v>
      </c>
      <c r="E5" s="14">
        <v>3506</v>
      </c>
      <c r="F5" s="15">
        <f t="shared" si="1"/>
        <v>2103.6</v>
      </c>
      <c r="G5" s="15">
        <f t="shared" si="2"/>
        <v>2103.6</v>
      </c>
      <c r="H5" s="32">
        <f>SUMPRODUCT((BOM!$C$2:$C$675=$C5)*BOM!$H$2:$H$675*BOM!$M$2:$M$675)</f>
        <v>1</v>
      </c>
      <c r="I5" s="32" t="s">
        <v>106</v>
      </c>
      <c r="J5" s="32" t="s">
        <v>223</v>
      </c>
      <c r="K5" s="32" t="str">
        <f t="shared" si="3"/>
        <v>KZT</v>
      </c>
      <c r="L5" s="32">
        <f t="shared" si="4"/>
        <v>0.6</v>
      </c>
      <c r="M5" s="32">
        <f t="shared" si="5"/>
        <v>1</v>
      </c>
      <c r="N5" s="13" t="s">
        <v>224</v>
      </c>
      <c r="O5" s="16">
        <f t="shared" si="6"/>
        <v>46261</v>
      </c>
      <c r="P5" s="13">
        <f t="shared" si="7"/>
        <v>0.7</v>
      </c>
      <c r="Q5" s="13" t="str">
        <f t="shared" si="8"/>
        <v>OK</v>
      </c>
      <c r="S5" s="18"/>
      <c r="T5" s="18"/>
      <c r="U5" s="18"/>
      <c r="V5" s="18"/>
      <c r="W5" s="18"/>
      <c r="X5" s="18"/>
      <c r="Y5" s="18"/>
      <c r="Z5" s="18"/>
      <c r="AA5" s="18"/>
      <c r="AB5" s="13" t="str">
        <f t="shared" si="9"/>
        <v>AKSESUAR</v>
      </c>
      <c r="AC5" s="13">
        <f t="shared" si="10"/>
        <v>0</v>
      </c>
      <c r="AD5" s="13">
        <f t="shared" si="11"/>
        <v>0</v>
      </c>
      <c r="AE5" s="13">
        <f t="shared" si="12"/>
        <v>0</v>
      </c>
      <c r="AF5" s="13">
        <f t="shared" si="13"/>
        <v>0</v>
      </c>
      <c r="AG5" s="13">
        <f t="shared" si="14"/>
        <v>0</v>
      </c>
      <c r="AH5" s="13">
        <f t="shared" si="15"/>
        <v>0</v>
      </c>
      <c r="AI5" s="13">
        <f t="shared" si="16"/>
        <v>0</v>
      </c>
      <c r="AJ5" s="13">
        <f t="shared" si="17"/>
        <v>0</v>
      </c>
    </row>
    <row r="6" spans="1:36" ht="15" customHeight="1" x14ac:dyDescent="0.25">
      <c r="A6" s="13">
        <f t="shared" si="0"/>
        <v>5</v>
      </c>
      <c r="B6" s="13" t="s">
        <v>39</v>
      </c>
      <c r="C6" s="13" t="s">
        <v>40</v>
      </c>
      <c r="D6" s="13" t="s">
        <v>228</v>
      </c>
      <c r="E6" s="14">
        <v>11015</v>
      </c>
      <c r="F6" s="15">
        <f t="shared" si="1"/>
        <v>6609</v>
      </c>
      <c r="G6" s="15">
        <f t="shared" si="2"/>
        <v>6609</v>
      </c>
      <c r="H6" s="32">
        <f>SUMPRODUCT((BOM!$C$2:$C$675=$C6)*BOM!$H$2:$H$675*BOM!$M$2:$M$675)</f>
        <v>1</v>
      </c>
      <c r="I6" s="32" t="s">
        <v>106</v>
      </c>
      <c r="J6" s="32" t="s">
        <v>223</v>
      </c>
      <c r="K6" s="32" t="str">
        <f t="shared" si="3"/>
        <v>KZT</v>
      </c>
      <c r="L6" s="32">
        <f t="shared" si="4"/>
        <v>0.6</v>
      </c>
      <c r="M6" s="32">
        <f t="shared" si="5"/>
        <v>1</v>
      </c>
      <c r="N6" s="13" t="s">
        <v>224</v>
      </c>
      <c r="O6" s="16">
        <f t="shared" si="6"/>
        <v>46261</v>
      </c>
      <c r="P6" s="13">
        <f t="shared" si="7"/>
        <v>0.7</v>
      </c>
      <c r="Q6" s="13" t="str">
        <f t="shared" si="8"/>
        <v>OK</v>
      </c>
      <c r="S6" s="17">
        <v>3</v>
      </c>
      <c r="T6" s="17">
        <v>100</v>
      </c>
      <c r="U6" s="17">
        <v>4.5</v>
      </c>
      <c r="V6" s="18"/>
      <c r="W6" s="18"/>
      <c r="X6" s="18"/>
      <c r="Y6" s="18"/>
      <c r="Z6" s="18"/>
      <c r="AA6" s="18"/>
      <c r="AB6" s="13" t="str">
        <f t="shared" si="9"/>
        <v>GUC</v>
      </c>
      <c r="AC6" s="13">
        <f t="shared" si="10"/>
        <v>25</v>
      </c>
      <c r="AD6" s="13">
        <f t="shared" si="11"/>
        <v>7</v>
      </c>
      <c r="AE6" s="13">
        <f t="shared" si="12"/>
        <v>0.70000000000000007</v>
      </c>
      <c r="AF6" s="13">
        <f t="shared" si="13"/>
        <v>35</v>
      </c>
      <c r="AG6" s="13">
        <f t="shared" si="14"/>
        <v>4</v>
      </c>
      <c r="AH6" s="13">
        <f t="shared" si="15"/>
        <v>1</v>
      </c>
      <c r="AI6" s="13">
        <f t="shared" si="16"/>
        <v>100</v>
      </c>
      <c r="AJ6" s="13">
        <f t="shared" si="17"/>
        <v>100</v>
      </c>
    </row>
    <row r="7" spans="1:36" ht="15" customHeight="1" x14ac:dyDescent="0.25">
      <c r="A7" s="13">
        <f t="shared" si="0"/>
        <v>6</v>
      </c>
      <c r="B7" s="13" t="s">
        <v>39</v>
      </c>
      <c r="C7" s="13" t="s">
        <v>43</v>
      </c>
      <c r="D7" s="13" t="s">
        <v>229</v>
      </c>
      <c r="E7" s="14">
        <v>2873</v>
      </c>
      <c r="F7" s="15">
        <f t="shared" si="1"/>
        <v>1723.8</v>
      </c>
      <c r="G7" s="15">
        <f t="shared" si="2"/>
        <v>3447.6</v>
      </c>
      <c r="H7" s="32">
        <f>SUMPRODUCT((BOM!$C$2:$C$675=$C7)*BOM!$H$2:$H$675*BOM!$M$2:$M$675)</f>
        <v>2</v>
      </c>
      <c r="I7" s="32" t="s">
        <v>106</v>
      </c>
      <c r="J7" s="32" t="s">
        <v>223</v>
      </c>
      <c r="K7" s="32" t="str">
        <f t="shared" si="3"/>
        <v>KZT</v>
      </c>
      <c r="L7" s="32">
        <f t="shared" si="4"/>
        <v>0.6</v>
      </c>
      <c r="M7" s="32">
        <f t="shared" si="5"/>
        <v>1</v>
      </c>
      <c r="N7" s="13" t="s">
        <v>224</v>
      </c>
      <c r="O7" s="16">
        <f t="shared" si="6"/>
        <v>46261</v>
      </c>
      <c r="P7" s="13">
        <f t="shared" si="7"/>
        <v>0.7</v>
      </c>
      <c r="Q7" s="13" t="str">
        <f t="shared" si="8"/>
        <v>OK</v>
      </c>
      <c r="S7" s="17">
        <v>3</v>
      </c>
      <c r="T7" s="17">
        <v>6</v>
      </c>
      <c r="U7" s="17">
        <v>3</v>
      </c>
      <c r="V7" s="18"/>
      <c r="W7" s="18"/>
      <c r="X7" s="18"/>
      <c r="Y7" s="18"/>
      <c r="Z7" s="18"/>
      <c r="AA7" s="18"/>
      <c r="AB7" s="13" t="str">
        <f t="shared" si="9"/>
        <v>GUC</v>
      </c>
      <c r="AC7" s="13">
        <f t="shared" si="10"/>
        <v>1.5</v>
      </c>
      <c r="AD7" s="13">
        <f t="shared" si="11"/>
        <v>7</v>
      </c>
      <c r="AE7" s="13">
        <f t="shared" si="12"/>
        <v>0.70000000000000007</v>
      </c>
      <c r="AF7" s="13">
        <f t="shared" si="13"/>
        <v>2.5</v>
      </c>
      <c r="AG7" s="13">
        <f t="shared" si="14"/>
        <v>4</v>
      </c>
      <c r="AH7" s="13">
        <f t="shared" si="15"/>
        <v>1</v>
      </c>
      <c r="AI7" s="13">
        <f t="shared" si="16"/>
        <v>6</v>
      </c>
      <c r="AJ7" s="13">
        <f t="shared" si="17"/>
        <v>6</v>
      </c>
    </row>
    <row r="8" spans="1:36" ht="15" customHeight="1" x14ac:dyDescent="0.25">
      <c r="A8" s="13">
        <f t="shared" si="0"/>
        <v>7</v>
      </c>
      <c r="B8" s="13" t="s">
        <v>39</v>
      </c>
      <c r="C8" s="13" t="s">
        <v>45</v>
      </c>
      <c r="D8" s="13" t="s">
        <v>230</v>
      </c>
      <c r="E8" s="14">
        <v>975</v>
      </c>
      <c r="F8" s="15">
        <f t="shared" si="1"/>
        <v>585</v>
      </c>
      <c r="G8" s="15">
        <f t="shared" si="2"/>
        <v>1170</v>
      </c>
      <c r="H8" s="32">
        <f>SUMPRODUCT((BOM!$C$2:$C$675=$C8)*BOM!$H$2:$H$675*BOM!$M$2:$M$675)</f>
        <v>2</v>
      </c>
      <c r="I8" s="32" t="s">
        <v>106</v>
      </c>
      <c r="J8" s="32" t="s">
        <v>223</v>
      </c>
      <c r="K8" s="32" t="str">
        <f t="shared" si="3"/>
        <v>KZT</v>
      </c>
      <c r="L8" s="32">
        <f t="shared" si="4"/>
        <v>0.6</v>
      </c>
      <c r="M8" s="32">
        <f t="shared" si="5"/>
        <v>1</v>
      </c>
      <c r="N8" s="13" t="s">
        <v>224</v>
      </c>
      <c r="O8" s="16">
        <f t="shared" si="6"/>
        <v>46261</v>
      </c>
      <c r="P8" s="13">
        <f t="shared" si="7"/>
        <v>0.7</v>
      </c>
      <c r="Q8" s="13" t="str">
        <f t="shared" si="8"/>
        <v>OK</v>
      </c>
      <c r="S8" s="17">
        <v>1</v>
      </c>
      <c r="T8" s="17">
        <v>6</v>
      </c>
      <c r="U8" s="17">
        <v>1</v>
      </c>
      <c r="V8" s="18"/>
      <c r="W8" s="18"/>
      <c r="X8" s="18"/>
      <c r="Y8" s="18"/>
      <c r="Z8" s="18"/>
      <c r="AA8" s="18"/>
      <c r="AB8" s="13" t="str">
        <f t="shared" si="9"/>
        <v>GUC</v>
      </c>
      <c r="AC8" s="13">
        <f t="shared" si="10"/>
        <v>1.5</v>
      </c>
      <c r="AD8" s="13">
        <f t="shared" si="11"/>
        <v>3</v>
      </c>
      <c r="AE8" s="13">
        <f t="shared" si="12"/>
        <v>0.30000000000000004</v>
      </c>
      <c r="AF8" s="13">
        <f t="shared" si="13"/>
        <v>2.5</v>
      </c>
      <c r="AG8" s="13">
        <f t="shared" si="14"/>
        <v>2</v>
      </c>
      <c r="AH8" s="13">
        <f t="shared" si="15"/>
        <v>1</v>
      </c>
      <c r="AI8" s="13">
        <f t="shared" si="16"/>
        <v>6</v>
      </c>
      <c r="AJ8" s="13">
        <f t="shared" si="17"/>
        <v>6</v>
      </c>
    </row>
    <row r="9" spans="1:36" ht="15" customHeight="1" x14ac:dyDescent="0.25">
      <c r="A9" s="13">
        <f t="shared" si="0"/>
        <v>8</v>
      </c>
      <c r="B9" s="13" t="s">
        <v>59</v>
      </c>
      <c r="C9" s="13" t="s">
        <v>60</v>
      </c>
      <c r="D9" s="13" t="s">
        <v>231</v>
      </c>
      <c r="E9" s="14">
        <v>571</v>
      </c>
      <c r="F9" s="15">
        <f t="shared" si="1"/>
        <v>342.59999999999997</v>
      </c>
      <c r="G9" s="15">
        <f t="shared" si="2"/>
        <v>685.19999999999993</v>
      </c>
      <c r="H9" s="32">
        <f>SUMPRODUCT((BOM!$C$2:$C$675=$C9)*BOM!$H$2:$H$675*BOM!$M$2:$M$675)</f>
        <v>2</v>
      </c>
      <c r="I9" s="32" t="s">
        <v>106</v>
      </c>
      <c r="J9" s="32" t="s">
        <v>223</v>
      </c>
      <c r="K9" s="32" t="str">
        <f t="shared" si="3"/>
        <v>KZT</v>
      </c>
      <c r="L9" s="32">
        <f t="shared" si="4"/>
        <v>0.6</v>
      </c>
      <c r="M9" s="32">
        <f t="shared" si="5"/>
        <v>1</v>
      </c>
      <c r="N9" s="13" t="s">
        <v>224</v>
      </c>
      <c r="O9" s="16">
        <f t="shared" si="6"/>
        <v>46261</v>
      </c>
      <c r="P9" s="13">
        <f t="shared" si="7"/>
        <v>0.7</v>
      </c>
      <c r="Q9" s="13" t="str">
        <f t="shared" si="8"/>
        <v>OK</v>
      </c>
      <c r="S9" s="18"/>
      <c r="T9" s="18"/>
      <c r="U9" s="18"/>
      <c r="V9" s="18"/>
      <c r="W9" s="18"/>
      <c r="X9" s="18"/>
      <c r="Y9" s="18"/>
      <c r="Z9" s="18"/>
      <c r="AA9" s="18"/>
      <c r="AB9" s="13" t="str">
        <f t="shared" si="9"/>
        <v>KUMANDA</v>
      </c>
      <c r="AC9" s="13">
        <f t="shared" si="10"/>
        <v>1.5</v>
      </c>
      <c r="AD9" s="13">
        <f t="shared" si="11"/>
        <v>2</v>
      </c>
      <c r="AE9" s="13">
        <f t="shared" si="12"/>
        <v>1.6</v>
      </c>
      <c r="AF9" s="13">
        <f t="shared" si="13"/>
        <v>0</v>
      </c>
      <c r="AG9" s="13">
        <f t="shared" si="14"/>
        <v>0</v>
      </c>
      <c r="AH9" s="13">
        <f t="shared" si="15"/>
        <v>0</v>
      </c>
      <c r="AI9" s="13">
        <f t="shared" si="16"/>
        <v>0</v>
      </c>
      <c r="AJ9" s="13">
        <f t="shared" si="17"/>
        <v>0</v>
      </c>
    </row>
    <row r="10" spans="1:36" ht="15" customHeight="1" x14ac:dyDescent="0.25">
      <c r="A10" s="13">
        <f t="shared" si="0"/>
        <v>9</v>
      </c>
      <c r="B10" s="13" t="s">
        <v>59</v>
      </c>
      <c r="C10" s="13" t="s">
        <v>62</v>
      </c>
      <c r="D10" s="13" t="s">
        <v>232</v>
      </c>
      <c r="E10" s="14">
        <v>589</v>
      </c>
      <c r="F10" s="15">
        <f t="shared" si="1"/>
        <v>353.4</v>
      </c>
      <c r="G10" s="15">
        <f t="shared" si="2"/>
        <v>706.8</v>
      </c>
      <c r="H10" s="32">
        <f>SUMPRODUCT((BOM!$C$2:$C$675=$C10)*BOM!$H$2:$H$675*BOM!$M$2:$M$675)</f>
        <v>2</v>
      </c>
      <c r="I10" s="32" t="s">
        <v>106</v>
      </c>
      <c r="J10" s="32" t="s">
        <v>223</v>
      </c>
      <c r="K10" s="32" t="str">
        <f t="shared" si="3"/>
        <v>KZT</v>
      </c>
      <c r="L10" s="32">
        <f t="shared" si="4"/>
        <v>0.6</v>
      </c>
      <c r="M10" s="32">
        <f t="shared" si="5"/>
        <v>1</v>
      </c>
      <c r="N10" s="13" t="s">
        <v>224</v>
      </c>
      <c r="O10" s="16">
        <f t="shared" si="6"/>
        <v>46261</v>
      </c>
      <c r="P10" s="13">
        <f t="shared" si="7"/>
        <v>0.7</v>
      </c>
      <c r="Q10" s="13" t="str">
        <f t="shared" si="8"/>
        <v>OK</v>
      </c>
      <c r="S10" s="18"/>
      <c r="T10" s="18"/>
      <c r="U10" s="18"/>
      <c r="V10" s="18"/>
      <c r="W10" s="18"/>
      <c r="X10" s="18"/>
      <c r="Y10" s="18"/>
      <c r="Z10" s="18"/>
      <c r="AA10" s="18"/>
      <c r="AB10" s="13" t="str">
        <f t="shared" si="9"/>
        <v>KUMANDA</v>
      </c>
      <c r="AC10" s="13">
        <f t="shared" si="10"/>
        <v>1.5</v>
      </c>
      <c r="AD10" s="13">
        <f t="shared" si="11"/>
        <v>2</v>
      </c>
      <c r="AE10" s="13">
        <f t="shared" si="12"/>
        <v>1.6</v>
      </c>
      <c r="AF10" s="13">
        <f t="shared" si="13"/>
        <v>0</v>
      </c>
      <c r="AG10" s="13">
        <f t="shared" si="14"/>
        <v>0</v>
      </c>
      <c r="AH10" s="13">
        <f t="shared" si="15"/>
        <v>0</v>
      </c>
      <c r="AI10" s="13">
        <f t="shared" si="16"/>
        <v>0</v>
      </c>
      <c r="AJ10" s="13">
        <f t="shared" si="17"/>
        <v>0</v>
      </c>
    </row>
    <row r="11" spans="1:36" ht="15" customHeight="1" x14ac:dyDescent="0.25">
      <c r="A11" s="13">
        <f t="shared" si="0"/>
        <v>10</v>
      </c>
      <c r="B11" s="13" t="s">
        <v>59</v>
      </c>
      <c r="C11" s="13" t="s">
        <v>64</v>
      </c>
      <c r="D11" s="13" t="s">
        <v>233</v>
      </c>
      <c r="E11" s="14">
        <v>571</v>
      </c>
      <c r="F11" s="15">
        <f t="shared" si="1"/>
        <v>342.59999999999997</v>
      </c>
      <c r="G11" s="15">
        <f t="shared" si="2"/>
        <v>1027.8</v>
      </c>
      <c r="H11" s="32">
        <f>SUMPRODUCT((BOM!$C$2:$C$675=$C11)*BOM!$H$2:$H$675*BOM!$M$2:$M$675)</f>
        <v>3</v>
      </c>
      <c r="I11" s="32" t="s">
        <v>106</v>
      </c>
      <c r="J11" s="32" t="s">
        <v>223</v>
      </c>
      <c r="K11" s="32" t="str">
        <f t="shared" si="3"/>
        <v>KZT</v>
      </c>
      <c r="L11" s="32">
        <f t="shared" si="4"/>
        <v>0.6</v>
      </c>
      <c r="M11" s="32">
        <f t="shared" si="5"/>
        <v>1</v>
      </c>
      <c r="N11" s="13" t="s">
        <v>224</v>
      </c>
      <c r="O11" s="16">
        <f t="shared" si="6"/>
        <v>46261</v>
      </c>
      <c r="P11" s="13">
        <f t="shared" si="7"/>
        <v>0.7</v>
      </c>
      <c r="Q11" s="13" t="str">
        <f t="shared" si="8"/>
        <v>OK</v>
      </c>
      <c r="S11" s="18"/>
      <c r="T11" s="18"/>
      <c r="U11" s="18"/>
      <c r="V11" s="18"/>
      <c r="W11" s="18"/>
      <c r="X11" s="18"/>
      <c r="Y11" s="18"/>
      <c r="Z11" s="18"/>
      <c r="AA11" s="18"/>
      <c r="AB11" s="13" t="str">
        <f t="shared" si="9"/>
        <v>KUMANDA</v>
      </c>
      <c r="AC11" s="13">
        <f t="shared" si="10"/>
        <v>1.5</v>
      </c>
      <c r="AD11" s="13">
        <f t="shared" si="11"/>
        <v>2</v>
      </c>
      <c r="AE11" s="13">
        <f t="shared" si="12"/>
        <v>1.6</v>
      </c>
      <c r="AF11" s="13">
        <f t="shared" si="13"/>
        <v>0</v>
      </c>
      <c r="AG11" s="13">
        <f t="shared" si="14"/>
        <v>0</v>
      </c>
      <c r="AH11" s="13">
        <f t="shared" si="15"/>
        <v>0</v>
      </c>
      <c r="AI11" s="13">
        <f t="shared" si="16"/>
        <v>0</v>
      </c>
      <c r="AJ11" s="13">
        <f t="shared" si="17"/>
        <v>0</v>
      </c>
    </row>
    <row r="12" spans="1:36" ht="15" customHeight="1" x14ac:dyDescent="0.25">
      <c r="A12" s="13">
        <f t="shared" si="0"/>
        <v>11</v>
      </c>
      <c r="B12" s="13" t="s">
        <v>36</v>
      </c>
      <c r="C12" s="13" t="s">
        <v>37</v>
      </c>
      <c r="D12" s="13" t="s">
        <v>234</v>
      </c>
      <c r="E12" s="14">
        <v>5682</v>
      </c>
      <c r="F12" s="15">
        <f t="shared" si="1"/>
        <v>3409.2</v>
      </c>
      <c r="G12" s="15">
        <f t="shared" si="2"/>
        <v>10227.599999999999</v>
      </c>
      <c r="H12" s="32">
        <f>SUMPRODUCT((BOM!$C$2:$C$675=$C12)*BOM!$H$2:$H$675*BOM!$M$2:$M$675)</f>
        <v>3</v>
      </c>
      <c r="I12" s="32" t="s">
        <v>106</v>
      </c>
      <c r="J12" s="32" t="s">
        <v>223</v>
      </c>
      <c r="K12" s="32" t="str">
        <f t="shared" si="3"/>
        <v>KZT</v>
      </c>
      <c r="L12" s="32">
        <f t="shared" si="4"/>
        <v>0.6</v>
      </c>
      <c r="M12" s="32">
        <f t="shared" si="5"/>
        <v>1</v>
      </c>
      <c r="N12" s="13" t="s">
        <v>224</v>
      </c>
      <c r="O12" s="16">
        <f t="shared" si="6"/>
        <v>46261</v>
      </c>
      <c r="P12" s="13">
        <f t="shared" si="7"/>
        <v>0.7</v>
      </c>
      <c r="Q12" s="13" t="str">
        <f t="shared" si="8"/>
        <v>OK</v>
      </c>
      <c r="S12" s="18"/>
      <c r="T12" s="18"/>
      <c r="U12" s="18"/>
      <c r="V12" s="18"/>
      <c r="W12" s="18"/>
      <c r="X12" s="18"/>
      <c r="Y12" s="18"/>
      <c r="Z12" s="18"/>
      <c r="AA12" s="18"/>
      <c r="AB12" s="13" t="str">
        <f t="shared" si="9"/>
        <v>OLCU</v>
      </c>
      <c r="AC12" s="13">
        <f t="shared" si="10"/>
        <v>2.5</v>
      </c>
      <c r="AD12" s="13">
        <f t="shared" si="11"/>
        <v>0</v>
      </c>
      <c r="AE12" s="13">
        <f t="shared" si="12"/>
        <v>0</v>
      </c>
      <c r="AF12" s="13">
        <f t="shared" si="13"/>
        <v>0</v>
      </c>
      <c r="AG12" s="13">
        <f t="shared" si="14"/>
        <v>0</v>
      </c>
      <c r="AH12" s="13">
        <f t="shared" si="15"/>
        <v>0</v>
      </c>
      <c r="AI12" s="13">
        <f t="shared" si="16"/>
        <v>0</v>
      </c>
      <c r="AJ12" s="13">
        <f t="shared" si="17"/>
        <v>0</v>
      </c>
    </row>
    <row r="13" spans="1:36" ht="15" customHeight="1" x14ac:dyDescent="0.25">
      <c r="A13" s="13">
        <f t="shared" si="0"/>
        <v>12</v>
      </c>
      <c r="B13" s="13" t="s">
        <v>113</v>
      </c>
      <c r="C13" s="13" t="s">
        <v>114</v>
      </c>
      <c r="D13" s="13" t="s">
        <v>235</v>
      </c>
      <c r="E13" s="14">
        <v>4334</v>
      </c>
      <c r="F13" s="15">
        <f t="shared" si="1"/>
        <v>2600.4</v>
      </c>
      <c r="G13" s="15">
        <f t="shared" si="2"/>
        <v>2600.4</v>
      </c>
      <c r="H13" s="32">
        <f>SUMPRODUCT((BOM!$C$2:$C$675=$C13)*BOM!$H$2:$H$675*BOM!$M$2:$M$675)</f>
        <v>1</v>
      </c>
      <c r="I13" s="32" t="s">
        <v>106</v>
      </c>
      <c r="J13" s="32" t="s">
        <v>223</v>
      </c>
      <c r="K13" s="32" t="str">
        <f t="shared" si="3"/>
        <v>KZT</v>
      </c>
      <c r="L13" s="32">
        <f t="shared" si="4"/>
        <v>0.6</v>
      </c>
      <c r="M13" s="32">
        <f t="shared" si="5"/>
        <v>1</v>
      </c>
      <c r="N13" s="13" t="s">
        <v>224</v>
      </c>
      <c r="O13" s="16">
        <f t="shared" si="6"/>
        <v>46261</v>
      </c>
      <c r="P13" s="13">
        <f t="shared" si="7"/>
        <v>0.7</v>
      </c>
      <c r="Q13" s="13" t="str">
        <f t="shared" si="8"/>
        <v>OK</v>
      </c>
      <c r="S13" s="17">
        <v>3</v>
      </c>
      <c r="T13" s="17">
        <v>100</v>
      </c>
      <c r="U13" s="17">
        <v>3</v>
      </c>
      <c r="V13" s="18"/>
      <c r="W13" s="18"/>
      <c r="X13" s="18"/>
      <c r="Y13" s="18"/>
      <c r="Z13" s="18"/>
      <c r="AA13" s="18"/>
      <c r="AB13" s="13" t="str">
        <f t="shared" si="9"/>
        <v>GUC</v>
      </c>
      <c r="AC13" s="13">
        <f t="shared" si="10"/>
        <v>25</v>
      </c>
      <c r="AD13" s="13">
        <f t="shared" si="11"/>
        <v>3</v>
      </c>
      <c r="AE13" s="13">
        <f t="shared" si="12"/>
        <v>0.89999999999999991</v>
      </c>
      <c r="AF13" s="13">
        <f t="shared" si="13"/>
        <v>35</v>
      </c>
      <c r="AG13" s="13">
        <f t="shared" si="14"/>
        <v>4</v>
      </c>
      <c r="AH13" s="13">
        <f t="shared" si="15"/>
        <v>1</v>
      </c>
      <c r="AI13" s="13">
        <f t="shared" si="16"/>
        <v>100</v>
      </c>
      <c r="AJ13" s="13">
        <f t="shared" si="17"/>
        <v>100</v>
      </c>
    </row>
    <row r="14" spans="1:36" ht="15" customHeight="1" x14ac:dyDescent="0.25">
      <c r="A14" s="13">
        <f t="shared" si="0"/>
        <v>13</v>
      </c>
      <c r="B14" s="13" t="s">
        <v>113</v>
      </c>
      <c r="C14" s="13" t="s">
        <v>137</v>
      </c>
      <c r="D14" s="13" t="s">
        <v>236</v>
      </c>
      <c r="E14" s="14">
        <v>4217</v>
      </c>
      <c r="F14" s="15">
        <f t="shared" si="1"/>
        <v>2530.1999999999998</v>
      </c>
      <c r="G14" s="15">
        <f t="shared" si="2"/>
        <v>7590.5999999999995</v>
      </c>
      <c r="H14" s="32">
        <f>SUMPRODUCT((BOM!$C$2:$C$675=$C14)*BOM!$H$2:$H$675*BOM!$M$2:$M$675)</f>
        <v>3</v>
      </c>
      <c r="I14" s="32" t="s">
        <v>106</v>
      </c>
      <c r="J14" s="32" t="s">
        <v>223</v>
      </c>
      <c r="K14" s="32" t="str">
        <f t="shared" si="3"/>
        <v>KZT</v>
      </c>
      <c r="L14" s="32">
        <f t="shared" si="4"/>
        <v>0.6</v>
      </c>
      <c r="M14" s="32">
        <f t="shared" si="5"/>
        <v>1</v>
      </c>
      <c r="N14" s="13" t="s">
        <v>224</v>
      </c>
      <c r="O14" s="16">
        <f t="shared" si="6"/>
        <v>46261</v>
      </c>
      <c r="P14" s="13">
        <f t="shared" si="7"/>
        <v>0.7</v>
      </c>
      <c r="Q14" s="13" t="str">
        <f t="shared" si="8"/>
        <v>OK</v>
      </c>
      <c r="S14" s="17">
        <v>3</v>
      </c>
      <c r="T14" s="17">
        <v>63</v>
      </c>
      <c r="U14" s="17">
        <v>3</v>
      </c>
      <c r="V14" s="18"/>
      <c r="W14" s="18"/>
      <c r="X14" s="18"/>
      <c r="Y14" s="18"/>
      <c r="Z14" s="18"/>
      <c r="AA14" s="18"/>
      <c r="AB14" s="13" t="str">
        <f t="shared" si="9"/>
        <v>GUC</v>
      </c>
      <c r="AC14" s="13">
        <f t="shared" si="10"/>
        <v>16</v>
      </c>
      <c r="AD14" s="13">
        <f t="shared" si="11"/>
        <v>3</v>
      </c>
      <c r="AE14" s="13">
        <f t="shared" si="12"/>
        <v>0.89999999999999991</v>
      </c>
      <c r="AF14" s="13">
        <f t="shared" si="13"/>
        <v>16</v>
      </c>
      <c r="AG14" s="13">
        <f t="shared" si="14"/>
        <v>4</v>
      </c>
      <c r="AH14" s="13">
        <f t="shared" si="15"/>
        <v>1</v>
      </c>
      <c r="AI14" s="13">
        <f t="shared" si="16"/>
        <v>63</v>
      </c>
      <c r="AJ14" s="13">
        <f t="shared" si="17"/>
        <v>63</v>
      </c>
    </row>
    <row r="15" spans="1:36" ht="15" customHeight="1" x14ac:dyDescent="0.25">
      <c r="A15" s="13">
        <f t="shared" si="0"/>
        <v>14</v>
      </c>
      <c r="B15" s="13" t="s">
        <v>113</v>
      </c>
      <c r="C15" s="13" t="s">
        <v>163</v>
      </c>
      <c r="D15" s="13" t="s">
        <v>237</v>
      </c>
      <c r="E15" s="14">
        <v>3372</v>
      </c>
      <c r="F15" s="15">
        <f t="shared" si="1"/>
        <v>2023.1999999999998</v>
      </c>
      <c r="G15" s="15">
        <f t="shared" si="2"/>
        <v>4046.3999999999996</v>
      </c>
      <c r="H15" s="32">
        <f>SUMPRODUCT((BOM!$C$2:$C$675=$C15)*BOM!$H$2:$H$675*BOM!$M$2:$M$675)</f>
        <v>2</v>
      </c>
      <c r="I15" s="32" t="s">
        <v>106</v>
      </c>
      <c r="J15" s="32" t="s">
        <v>223</v>
      </c>
      <c r="K15" s="32" t="str">
        <f t="shared" si="3"/>
        <v>KZT</v>
      </c>
      <c r="L15" s="32">
        <f t="shared" si="4"/>
        <v>0.6</v>
      </c>
      <c r="M15" s="32">
        <f t="shared" si="5"/>
        <v>1</v>
      </c>
      <c r="N15" s="13" t="s">
        <v>224</v>
      </c>
      <c r="O15" s="16">
        <f t="shared" si="6"/>
        <v>46261</v>
      </c>
      <c r="P15" s="13">
        <f t="shared" si="7"/>
        <v>0.7</v>
      </c>
      <c r="Q15" s="13" t="str">
        <f t="shared" si="8"/>
        <v>OK</v>
      </c>
      <c r="S15" s="17">
        <v>3</v>
      </c>
      <c r="T15" s="17">
        <v>32</v>
      </c>
      <c r="U15" s="17">
        <v>3</v>
      </c>
      <c r="V15" s="18"/>
      <c r="W15" s="18"/>
      <c r="X15" s="18"/>
      <c r="Y15" s="18"/>
      <c r="Z15" s="18"/>
      <c r="AA15" s="18"/>
      <c r="AB15" s="13" t="str">
        <f t="shared" si="9"/>
        <v>GUC</v>
      </c>
      <c r="AC15" s="13">
        <f t="shared" si="10"/>
        <v>6</v>
      </c>
      <c r="AD15" s="13">
        <f t="shared" si="11"/>
        <v>3</v>
      </c>
      <c r="AE15" s="13">
        <f t="shared" si="12"/>
        <v>0.89999999999999991</v>
      </c>
      <c r="AF15" s="13">
        <f t="shared" si="13"/>
        <v>6</v>
      </c>
      <c r="AG15" s="13">
        <f t="shared" si="14"/>
        <v>4</v>
      </c>
      <c r="AH15" s="13">
        <f t="shared" si="15"/>
        <v>1</v>
      </c>
      <c r="AI15" s="13">
        <f t="shared" si="16"/>
        <v>32</v>
      </c>
      <c r="AJ15" s="13">
        <f t="shared" si="17"/>
        <v>32</v>
      </c>
    </row>
    <row r="16" spans="1:36" ht="15" customHeight="1" x14ac:dyDescent="0.25">
      <c r="A16" s="13">
        <f t="shared" si="0"/>
        <v>15</v>
      </c>
      <c r="B16" s="13" t="s">
        <v>39</v>
      </c>
      <c r="C16" s="13" t="s">
        <v>122</v>
      </c>
      <c r="D16" s="13" t="s">
        <v>238</v>
      </c>
      <c r="E16" s="14">
        <v>10552</v>
      </c>
      <c r="F16" s="15">
        <f t="shared" si="1"/>
        <v>6331.2</v>
      </c>
      <c r="G16" s="15">
        <f t="shared" si="2"/>
        <v>12662.4</v>
      </c>
      <c r="H16" s="32">
        <f>SUMPRODUCT((BOM!$C$2:$C$675=$C16)*BOM!$H$2:$H$675*BOM!$M$2:$M$675)</f>
        <v>2</v>
      </c>
      <c r="I16" s="32" t="s">
        <v>106</v>
      </c>
      <c r="J16" s="32" t="s">
        <v>223</v>
      </c>
      <c r="K16" s="32" t="str">
        <f t="shared" si="3"/>
        <v>KZT</v>
      </c>
      <c r="L16" s="32">
        <f t="shared" si="4"/>
        <v>0.6</v>
      </c>
      <c r="M16" s="32">
        <f t="shared" si="5"/>
        <v>1</v>
      </c>
      <c r="N16" s="13" t="s">
        <v>224</v>
      </c>
      <c r="O16" s="16">
        <f t="shared" si="6"/>
        <v>46261</v>
      </c>
      <c r="P16" s="13">
        <f t="shared" si="7"/>
        <v>0.7</v>
      </c>
      <c r="Q16" s="13" t="str">
        <f t="shared" si="8"/>
        <v>OK</v>
      </c>
      <c r="S16" s="17">
        <v>3</v>
      </c>
      <c r="T16" s="17">
        <v>25</v>
      </c>
      <c r="U16" s="17">
        <v>3</v>
      </c>
      <c r="V16" s="18"/>
      <c r="W16" s="18"/>
      <c r="X16" s="18"/>
      <c r="Y16" s="18"/>
      <c r="Z16" s="18"/>
      <c r="AA16" s="18"/>
      <c r="AB16" s="13" t="str">
        <f t="shared" si="9"/>
        <v>GUC</v>
      </c>
      <c r="AC16" s="13">
        <f t="shared" si="10"/>
        <v>4</v>
      </c>
      <c r="AD16" s="13">
        <f t="shared" si="11"/>
        <v>7</v>
      </c>
      <c r="AE16" s="13">
        <f t="shared" si="12"/>
        <v>0.70000000000000007</v>
      </c>
      <c r="AF16" s="13">
        <f t="shared" si="13"/>
        <v>4</v>
      </c>
      <c r="AG16" s="13">
        <f t="shared" si="14"/>
        <v>4</v>
      </c>
      <c r="AH16" s="13">
        <f t="shared" si="15"/>
        <v>1</v>
      </c>
      <c r="AI16" s="13">
        <f t="shared" si="16"/>
        <v>25</v>
      </c>
      <c r="AJ16" s="13">
        <f t="shared" si="17"/>
        <v>25</v>
      </c>
    </row>
    <row r="17" spans="1:36" ht="15" customHeight="1" x14ac:dyDescent="0.25">
      <c r="A17" s="13">
        <f t="shared" si="0"/>
        <v>16</v>
      </c>
      <c r="B17" s="13" t="s">
        <v>39</v>
      </c>
      <c r="C17" s="13" t="s">
        <v>120</v>
      </c>
      <c r="D17" s="13" t="s">
        <v>239</v>
      </c>
      <c r="E17" s="14">
        <v>11771</v>
      </c>
      <c r="F17" s="15">
        <f t="shared" si="1"/>
        <v>7062.5999999999995</v>
      </c>
      <c r="G17" s="15">
        <f t="shared" si="2"/>
        <v>7062.5999999999995</v>
      </c>
      <c r="H17" s="32">
        <f>SUMPRODUCT((BOM!$C$2:$C$675=$C17)*BOM!$H$2:$H$675*BOM!$M$2:$M$675)</f>
        <v>1</v>
      </c>
      <c r="I17" s="32" t="s">
        <v>106</v>
      </c>
      <c r="J17" s="32" t="s">
        <v>223</v>
      </c>
      <c r="K17" s="32" t="str">
        <f t="shared" si="3"/>
        <v>KZT</v>
      </c>
      <c r="L17" s="32">
        <f t="shared" si="4"/>
        <v>0.6</v>
      </c>
      <c r="M17" s="32">
        <f t="shared" si="5"/>
        <v>1</v>
      </c>
      <c r="N17" s="13" t="s">
        <v>224</v>
      </c>
      <c r="O17" s="16">
        <f t="shared" si="6"/>
        <v>46261</v>
      </c>
      <c r="P17" s="13">
        <f t="shared" si="7"/>
        <v>0.7</v>
      </c>
      <c r="Q17" s="13" t="str">
        <f t="shared" si="8"/>
        <v>OK</v>
      </c>
      <c r="S17" s="17">
        <v>3</v>
      </c>
      <c r="T17" s="17">
        <v>32</v>
      </c>
      <c r="U17" s="17">
        <v>3</v>
      </c>
      <c r="V17" s="18"/>
      <c r="W17" s="18"/>
      <c r="X17" s="18"/>
      <c r="Y17" s="18"/>
      <c r="Z17" s="18"/>
      <c r="AA17" s="18"/>
      <c r="AB17" s="13" t="str">
        <f t="shared" si="9"/>
        <v>GUC</v>
      </c>
      <c r="AC17" s="13">
        <f t="shared" si="10"/>
        <v>6</v>
      </c>
      <c r="AD17" s="13">
        <f t="shared" si="11"/>
        <v>7</v>
      </c>
      <c r="AE17" s="13">
        <f t="shared" si="12"/>
        <v>0.70000000000000007</v>
      </c>
      <c r="AF17" s="13">
        <f t="shared" si="13"/>
        <v>6</v>
      </c>
      <c r="AG17" s="13">
        <f t="shared" si="14"/>
        <v>4</v>
      </c>
      <c r="AH17" s="13">
        <f t="shared" si="15"/>
        <v>1</v>
      </c>
      <c r="AI17" s="13">
        <f t="shared" si="16"/>
        <v>32</v>
      </c>
      <c r="AJ17" s="13">
        <f t="shared" si="17"/>
        <v>32</v>
      </c>
    </row>
    <row r="18" spans="1:36" ht="15" customHeight="1" x14ac:dyDescent="0.25">
      <c r="A18" s="13">
        <f t="shared" si="0"/>
        <v>17</v>
      </c>
      <c r="B18" s="13" t="s">
        <v>39</v>
      </c>
      <c r="C18" s="13" t="s">
        <v>116</v>
      </c>
      <c r="D18" s="13" t="s">
        <v>240</v>
      </c>
      <c r="E18" s="14">
        <v>11002</v>
      </c>
      <c r="F18" s="15">
        <f t="shared" si="1"/>
        <v>6601.2</v>
      </c>
      <c r="G18" s="15">
        <f t="shared" si="2"/>
        <v>13202.4</v>
      </c>
      <c r="H18" s="32">
        <f>SUMPRODUCT((BOM!$C$2:$C$675=$C18)*BOM!$H$2:$H$675*BOM!$M$2:$M$675)</f>
        <v>2</v>
      </c>
      <c r="I18" s="32" t="s">
        <v>106</v>
      </c>
      <c r="J18" s="32" t="s">
        <v>223</v>
      </c>
      <c r="K18" s="32" t="str">
        <f t="shared" si="3"/>
        <v>KZT</v>
      </c>
      <c r="L18" s="32">
        <f t="shared" si="4"/>
        <v>0.6</v>
      </c>
      <c r="M18" s="32">
        <f t="shared" si="5"/>
        <v>1</v>
      </c>
      <c r="N18" s="13" t="s">
        <v>224</v>
      </c>
      <c r="O18" s="16">
        <f t="shared" si="6"/>
        <v>46261</v>
      </c>
      <c r="P18" s="13">
        <f t="shared" si="7"/>
        <v>0.7</v>
      </c>
      <c r="Q18" s="13" t="str">
        <f t="shared" si="8"/>
        <v>OK</v>
      </c>
      <c r="S18" s="17">
        <v>3</v>
      </c>
      <c r="T18" s="17">
        <v>40</v>
      </c>
      <c r="U18" s="17">
        <v>3</v>
      </c>
      <c r="V18" s="18"/>
      <c r="W18" s="18"/>
      <c r="X18" s="18"/>
      <c r="Y18" s="18"/>
      <c r="Z18" s="18"/>
      <c r="AA18" s="18"/>
      <c r="AB18" s="13" t="str">
        <f t="shared" si="9"/>
        <v>GUC</v>
      </c>
      <c r="AC18" s="13">
        <f t="shared" si="10"/>
        <v>6</v>
      </c>
      <c r="AD18" s="13">
        <f t="shared" si="11"/>
        <v>7</v>
      </c>
      <c r="AE18" s="13">
        <f t="shared" si="12"/>
        <v>0.70000000000000007</v>
      </c>
      <c r="AF18" s="13">
        <f t="shared" si="13"/>
        <v>6</v>
      </c>
      <c r="AG18" s="13">
        <f t="shared" si="14"/>
        <v>4</v>
      </c>
      <c r="AH18" s="13">
        <f t="shared" si="15"/>
        <v>1</v>
      </c>
      <c r="AI18" s="13">
        <f t="shared" si="16"/>
        <v>40</v>
      </c>
      <c r="AJ18" s="13">
        <f t="shared" si="17"/>
        <v>40</v>
      </c>
    </row>
    <row r="19" spans="1:36" ht="15" customHeight="1" x14ac:dyDescent="0.25">
      <c r="A19" s="13">
        <f t="shared" si="0"/>
        <v>18</v>
      </c>
      <c r="B19" s="13" t="s">
        <v>39</v>
      </c>
      <c r="C19" s="13" t="s">
        <v>118</v>
      </c>
      <c r="D19" s="13" t="s">
        <v>241</v>
      </c>
      <c r="E19" s="14">
        <v>11254</v>
      </c>
      <c r="F19" s="15">
        <f t="shared" si="1"/>
        <v>6752.4</v>
      </c>
      <c r="G19" s="15">
        <f t="shared" si="2"/>
        <v>6752.4</v>
      </c>
      <c r="H19" s="32">
        <f>SUMPRODUCT((BOM!$C$2:$C$675=$C19)*BOM!$H$2:$H$675*BOM!$M$2:$M$675)</f>
        <v>1</v>
      </c>
      <c r="I19" s="32" t="s">
        <v>106</v>
      </c>
      <c r="J19" s="32" t="s">
        <v>223</v>
      </c>
      <c r="K19" s="32" t="str">
        <f t="shared" si="3"/>
        <v>KZT</v>
      </c>
      <c r="L19" s="32">
        <f t="shared" si="4"/>
        <v>0.6</v>
      </c>
      <c r="M19" s="32">
        <f t="shared" si="5"/>
        <v>1</v>
      </c>
      <c r="N19" s="13" t="s">
        <v>224</v>
      </c>
      <c r="O19" s="16">
        <f t="shared" si="6"/>
        <v>46261</v>
      </c>
      <c r="P19" s="13">
        <f t="shared" si="7"/>
        <v>0.7</v>
      </c>
      <c r="Q19" s="13" t="str">
        <f t="shared" si="8"/>
        <v>OK</v>
      </c>
      <c r="S19" s="17">
        <v>3</v>
      </c>
      <c r="T19" s="17">
        <v>50</v>
      </c>
      <c r="U19" s="17">
        <v>3</v>
      </c>
      <c r="V19" s="18"/>
      <c r="W19" s="18"/>
      <c r="X19" s="18"/>
      <c r="Y19" s="18"/>
      <c r="Z19" s="18"/>
      <c r="AA19" s="18"/>
      <c r="AB19" s="13" t="str">
        <f t="shared" si="9"/>
        <v>GUC</v>
      </c>
      <c r="AC19" s="13">
        <f t="shared" si="10"/>
        <v>10</v>
      </c>
      <c r="AD19" s="13">
        <f t="shared" si="11"/>
        <v>7</v>
      </c>
      <c r="AE19" s="13">
        <f t="shared" si="12"/>
        <v>0.70000000000000007</v>
      </c>
      <c r="AF19" s="13">
        <f t="shared" si="13"/>
        <v>10</v>
      </c>
      <c r="AG19" s="13">
        <f t="shared" si="14"/>
        <v>4</v>
      </c>
      <c r="AH19" s="13">
        <f t="shared" si="15"/>
        <v>1</v>
      </c>
      <c r="AI19" s="13">
        <f t="shared" si="16"/>
        <v>50</v>
      </c>
      <c r="AJ19" s="13">
        <f t="shared" si="17"/>
        <v>50</v>
      </c>
    </row>
    <row r="20" spans="1:36" ht="15" customHeight="1" x14ac:dyDescent="0.25">
      <c r="A20" s="13">
        <f t="shared" si="0"/>
        <v>19</v>
      </c>
      <c r="B20" s="13" t="s">
        <v>139</v>
      </c>
      <c r="C20" s="13" t="s">
        <v>633</v>
      </c>
      <c r="D20" s="13" t="s">
        <v>634</v>
      </c>
      <c r="E20" s="14">
        <v>5104</v>
      </c>
      <c r="F20" s="15">
        <f t="shared" si="1"/>
        <v>3062.4</v>
      </c>
      <c r="G20" s="15">
        <f t="shared" si="2"/>
        <v>110246.40000000001</v>
      </c>
      <c r="H20" s="32">
        <f>SUMPRODUCT((BOM!$C$2:$C$675=$C20)*BOM!$H$2:$H$675*BOM!$M$2:$M$675)</f>
        <v>36</v>
      </c>
      <c r="I20" s="32" t="s">
        <v>106</v>
      </c>
      <c r="J20" s="32" t="s">
        <v>223</v>
      </c>
      <c r="K20" s="32" t="str">
        <f t="shared" si="3"/>
        <v>KZT</v>
      </c>
      <c r="L20" s="32">
        <f t="shared" si="4"/>
        <v>0.6</v>
      </c>
      <c r="M20" s="32">
        <f t="shared" si="5"/>
        <v>1</v>
      </c>
      <c r="N20" s="13" t="s">
        <v>224</v>
      </c>
      <c r="O20" s="16">
        <f t="shared" si="6"/>
        <v>46261</v>
      </c>
      <c r="P20" s="13">
        <f t="shared" si="7"/>
        <v>0.7</v>
      </c>
      <c r="Q20" s="13" t="str">
        <f t="shared" si="8"/>
        <v>OK</v>
      </c>
      <c r="S20" s="17">
        <v>2</v>
      </c>
      <c r="T20" s="17">
        <v>16</v>
      </c>
      <c r="U20" s="17">
        <v>2</v>
      </c>
      <c r="V20" s="18"/>
      <c r="W20" s="18"/>
      <c r="X20" s="18"/>
      <c r="Y20" s="18"/>
      <c r="Z20" s="18"/>
      <c r="AA20" s="18"/>
      <c r="AB20" s="13" t="str">
        <f t="shared" si="9"/>
        <v>GUC</v>
      </c>
      <c r="AC20" s="13">
        <f t="shared" si="10"/>
        <v>2.5</v>
      </c>
      <c r="AD20" s="13">
        <f t="shared" si="11"/>
        <v>4</v>
      </c>
      <c r="AE20" s="13">
        <f t="shared" si="12"/>
        <v>0.6</v>
      </c>
      <c r="AF20" s="13">
        <f t="shared" si="13"/>
        <v>2.5</v>
      </c>
      <c r="AG20" s="13">
        <f t="shared" si="14"/>
        <v>2</v>
      </c>
      <c r="AH20" s="13">
        <f t="shared" si="15"/>
        <v>1</v>
      </c>
      <c r="AI20" s="13">
        <f t="shared" si="16"/>
        <v>16</v>
      </c>
      <c r="AJ20" s="13">
        <f t="shared" si="17"/>
        <v>16</v>
      </c>
    </row>
    <row r="21" spans="1:36" ht="15" customHeight="1" x14ac:dyDescent="0.25">
      <c r="A21" s="13">
        <f t="shared" si="0"/>
        <v>20</v>
      </c>
      <c r="B21" s="13" t="s">
        <v>139</v>
      </c>
      <c r="C21" s="13" t="s">
        <v>635</v>
      </c>
      <c r="D21" s="13" t="s">
        <v>636</v>
      </c>
      <c r="E21" s="14">
        <v>11071</v>
      </c>
      <c r="F21" s="15">
        <f t="shared" si="1"/>
        <v>6642.5999999999995</v>
      </c>
      <c r="G21" s="15">
        <f t="shared" si="2"/>
        <v>6642.5999999999995</v>
      </c>
      <c r="H21" s="32">
        <f>SUMPRODUCT((BOM!$C$2:$C$675=$C21)*BOM!$H$2:$H$675*BOM!$M$2:$M$675)</f>
        <v>1</v>
      </c>
      <c r="I21" s="32" t="s">
        <v>106</v>
      </c>
      <c r="J21" s="32" t="s">
        <v>223</v>
      </c>
      <c r="K21" s="32" t="str">
        <f t="shared" si="3"/>
        <v>KZT</v>
      </c>
      <c r="L21" s="32">
        <f t="shared" si="4"/>
        <v>0.6</v>
      </c>
      <c r="M21" s="32">
        <f t="shared" si="5"/>
        <v>1</v>
      </c>
      <c r="N21" s="13" t="s">
        <v>224</v>
      </c>
      <c r="O21" s="16">
        <f t="shared" si="6"/>
        <v>46261</v>
      </c>
      <c r="P21" s="13">
        <f t="shared" si="7"/>
        <v>0.7</v>
      </c>
      <c r="Q21" s="13" t="str">
        <f t="shared" si="8"/>
        <v>OK</v>
      </c>
      <c r="S21" s="17">
        <v>4</v>
      </c>
      <c r="T21" s="17">
        <v>40</v>
      </c>
      <c r="U21" s="17">
        <v>4</v>
      </c>
      <c r="V21" s="18"/>
      <c r="W21" s="18"/>
      <c r="X21" s="18"/>
      <c r="Y21" s="18"/>
      <c r="Z21" s="18"/>
      <c r="AA21" s="18"/>
      <c r="AB21" s="13" t="str">
        <f t="shared" si="9"/>
        <v>GUC</v>
      </c>
      <c r="AC21" s="13">
        <f t="shared" si="10"/>
        <v>6</v>
      </c>
      <c r="AD21" s="13">
        <f t="shared" si="11"/>
        <v>8</v>
      </c>
      <c r="AE21" s="13">
        <f t="shared" si="12"/>
        <v>1.2</v>
      </c>
      <c r="AF21" s="13">
        <f t="shared" si="13"/>
        <v>6</v>
      </c>
      <c r="AG21" s="13">
        <f t="shared" si="14"/>
        <v>4</v>
      </c>
      <c r="AH21" s="13">
        <f t="shared" si="15"/>
        <v>1</v>
      </c>
      <c r="AI21" s="13">
        <f t="shared" si="16"/>
        <v>40</v>
      </c>
      <c r="AJ21" s="13">
        <f t="shared" si="17"/>
        <v>40</v>
      </c>
    </row>
    <row r="22" spans="1:36" ht="15" customHeight="1" x14ac:dyDescent="0.25">
      <c r="A22" s="13">
        <f t="shared" si="0"/>
        <v>21</v>
      </c>
      <c r="B22" s="13" t="s">
        <v>39</v>
      </c>
      <c r="C22" s="13" t="s">
        <v>149</v>
      </c>
      <c r="D22" s="13" t="s">
        <v>242</v>
      </c>
      <c r="E22" s="14">
        <v>2447</v>
      </c>
      <c r="F22" s="15">
        <f t="shared" si="1"/>
        <v>1468.2</v>
      </c>
      <c r="G22" s="15">
        <f t="shared" si="2"/>
        <v>1468.2</v>
      </c>
      <c r="H22" s="32">
        <f>SUMPRODUCT((BOM!$C$2:$C$675=$C22)*BOM!$H$2:$H$675*BOM!$M$2:$M$675)</f>
        <v>1</v>
      </c>
      <c r="I22" s="32" t="s">
        <v>106</v>
      </c>
      <c r="J22" s="32" t="s">
        <v>223</v>
      </c>
      <c r="K22" s="32" t="str">
        <f t="shared" si="3"/>
        <v>KZT</v>
      </c>
      <c r="L22" s="32">
        <f t="shared" si="4"/>
        <v>0.6</v>
      </c>
      <c r="M22" s="32">
        <f t="shared" si="5"/>
        <v>1</v>
      </c>
      <c r="N22" s="13" t="s">
        <v>224</v>
      </c>
      <c r="O22" s="16">
        <f t="shared" si="6"/>
        <v>46261</v>
      </c>
      <c r="P22" s="13">
        <f t="shared" si="7"/>
        <v>0.7</v>
      </c>
      <c r="Q22" s="13" t="str">
        <f t="shared" si="8"/>
        <v>OK</v>
      </c>
      <c r="S22" s="17">
        <v>3</v>
      </c>
      <c r="T22" s="17">
        <v>10</v>
      </c>
      <c r="U22" s="17">
        <v>3</v>
      </c>
      <c r="V22" s="18"/>
      <c r="W22" s="18"/>
      <c r="X22" s="18"/>
      <c r="Y22" s="18"/>
      <c r="Z22" s="18"/>
      <c r="AA22" s="18"/>
      <c r="AB22" s="13" t="str">
        <f t="shared" si="9"/>
        <v>GUC</v>
      </c>
      <c r="AC22" s="13">
        <f t="shared" si="10"/>
        <v>1.5</v>
      </c>
      <c r="AD22" s="13">
        <f t="shared" si="11"/>
        <v>7</v>
      </c>
      <c r="AE22" s="13">
        <f t="shared" si="12"/>
        <v>0.70000000000000007</v>
      </c>
      <c r="AF22" s="13">
        <f t="shared" si="13"/>
        <v>2.5</v>
      </c>
      <c r="AG22" s="13">
        <f t="shared" si="14"/>
        <v>4</v>
      </c>
      <c r="AH22" s="13">
        <f t="shared" si="15"/>
        <v>1</v>
      </c>
      <c r="AI22" s="13">
        <f t="shared" si="16"/>
        <v>10</v>
      </c>
      <c r="AJ22" s="13">
        <f t="shared" si="17"/>
        <v>10</v>
      </c>
    </row>
    <row r="23" spans="1:36" ht="15" customHeight="1" x14ac:dyDescent="0.25">
      <c r="A23" s="13">
        <f t="shared" si="0"/>
        <v>22</v>
      </c>
      <c r="B23" s="13" t="s">
        <v>39</v>
      </c>
      <c r="C23" s="13" t="s">
        <v>155</v>
      </c>
      <c r="D23" s="13" t="s">
        <v>243</v>
      </c>
      <c r="E23" s="14">
        <v>783</v>
      </c>
      <c r="F23" s="15">
        <f t="shared" si="1"/>
        <v>469.79999999999995</v>
      </c>
      <c r="G23" s="15">
        <f t="shared" si="2"/>
        <v>939.59999999999991</v>
      </c>
      <c r="H23" s="32">
        <f>SUMPRODUCT((BOM!$C$2:$C$675=$C23)*BOM!$H$2:$H$675*BOM!$M$2:$M$675)</f>
        <v>2</v>
      </c>
      <c r="I23" s="32" t="s">
        <v>106</v>
      </c>
      <c r="J23" s="32" t="s">
        <v>223</v>
      </c>
      <c r="K23" s="32" t="str">
        <f t="shared" si="3"/>
        <v>KZT</v>
      </c>
      <c r="L23" s="32">
        <f t="shared" si="4"/>
        <v>0.6</v>
      </c>
      <c r="M23" s="32">
        <f t="shared" si="5"/>
        <v>1</v>
      </c>
      <c r="N23" s="13" t="s">
        <v>224</v>
      </c>
      <c r="O23" s="16">
        <f t="shared" si="6"/>
        <v>46261</v>
      </c>
      <c r="P23" s="13">
        <f t="shared" si="7"/>
        <v>0.7</v>
      </c>
      <c r="Q23" s="13" t="str">
        <f t="shared" si="8"/>
        <v>OK</v>
      </c>
      <c r="S23" s="17">
        <v>1</v>
      </c>
      <c r="T23" s="17">
        <v>10</v>
      </c>
      <c r="U23" s="17">
        <v>1</v>
      </c>
      <c r="V23" s="18"/>
      <c r="W23" s="18"/>
      <c r="X23" s="18"/>
      <c r="Y23" s="18"/>
      <c r="Z23" s="18"/>
      <c r="AA23" s="18"/>
      <c r="AB23" s="13" t="str">
        <f t="shared" si="9"/>
        <v>GUC</v>
      </c>
      <c r="AC23" s="13">
        <f t="shared" si="10"/>
        <v>1.5</v>
      </c>
      <c r="AD23" s="13">
        <f t="shared" si="11"/>
        <v>3</v>
      </c>
      <c r="AE23" s="13">
        <f t="shared" si="12"/>
        <v>0.30000000000000004</v>
      </c>
      <c r="AF23" s="13">
        <f t="shared" si="13"/>
        <v>2.5</v>
      </c>
      <c r="AG23" s="13">
        <f t="shared" si="14"/>
        <v>2</v>
      </c>
      <c r="AH23" s="13">
        <f t="shared" si="15"/>
        <v>1</v>
      </c>
      <c r="AI23" s="13">
        <f t="shared" si="16"/>
        <v>10</v>
      </c>
      <c r="AJ23" s="13">
        <f t="shared" si="17"/>
        <v>10</v>
      </c>
    </row>
    <row r="24" spans="1:36" ht="15" customHeight="1" x14ac:dyDescent="0.25">
      <c r="A24" s="13">
        <f t="shared" si="0"/>
        <v>23</v>
      </c>
      <c r="B24" s="13" t="s">
        <v>39</v>
      </c>
      <c r="C24" s="13" t="s">
        <v>157</v>
      </c>
      <c r="D24" s="13" t="s">
        <v>244</v>
      </c>
      <c r="E24" s="14">
        <v>783</v>
      </c>
      <c r="F24" s="15">
        <f t="shared" si="1"/>
        <v>469.79999999999995</v>
      </c>
      <c r="G24" s="15">
        <f t="shared" si="2"/>
        <v>3288.5999999999995</v>
      </c>
      <c r="H24" s="32">
        <f>SUMPRODUCT((BOM!$C$2:$C$675=$C24)*BOM!$H$2:$H$675*BOM!$M$2:$M$675)</f>
        <v>7</v>
      </c>
      <c r="I24" s="32" t="s">
        <v>106</v>
      </c>
      <c r="J24" s="32" t="s">
        <v>223</v>
      </c>
      <c r="K24" s="32" t="str">
        <f t="shared" si="3"/>
        <v>KZT</v>
      </c>
      <c r="L24" s="32">
        <f t="shared" si="4"/>
        <v>0.6</v>
      </c>
      <c r="M24" s="32">
        <f t="shared" si="5"/>
        <v>1</v>
      </c>
      <c r="N24" s="13" t="s">
        <v>224</v>
      </c>
      <c r="O24" s="16">
        <f t="shared" si="6"/>
        <v>46261</v>
      </c>
      <c r="P24" s="13">
        <f t="shared" si="7"/>
        <v>0.7</v>
      </c>
      <c r="Q24" s="13" t="str">
        <f t="shared" si="8"/>
        <v>OK</v>
      </c>
      <c r="S24" s="17">
        <v>1</v>
      </c>
      <c r="T24" s="17">
        <v>16</v>
      </c>
      <c r="U24" s="17">
        <v>1</v>
      </c>
      <c r="V24" s="18"/>
      <c r="W24" s="18"/>
      <c r="X24" s="18"/>
      <c r="Y24" s="18"/>
      <c r="Z24" s="18"/>
      <c r="AA24" s="18"/>
      <c r="AB24" s="13" t="str">
        <f t="shared" si="9"/>
        <v>GUC</v>
      </c>
      <c r="AC24" s="13">
        <f t="shared" si="10"/>
        <v>2.5</v>
      </c>
      <c r="AD24" s="13">
        <f t="shared" si="11"/>
        <v>3</v>
      </c>
      <c r="AE24" s="13">
        <f t="shared" si="12"/>
        <v>0.30000000000000004</v>
      </c>
      <c r="AF24" s="13">
        <f t="shared" si="13"/>
        <v>2.5</v>
      </c>
      <c r="AG24" s="13">
        <f t="shared" si="14"/>
        <v>2</v>
      </c>
      <c r="AH24" s="13">
        <f t="shared" si="15"/>
        <v>1</v>
      </c>
      <c r="AI24" s="13">
        <f t="shared" si="16"/>
        <v>16</v>
      </c>
      <c r="AJ24" s="13">
        <f t="shared" si="17"/>
        <v>16</v>
      </c>
    </row>
    <row r="25" spans="1:36" ht="15" customHeight="1" x14ac:dyDescent="0.25">
      <c r="A25" s="13">
        <f t="shared" si="0"/>
        <v>24</v>
      </c>
      <c r="B25" s="13" t="s">
        <v>39</v>
      </c>
      <c r="C25" s="13" t="s">
        <v>165</v>
      </c>
      <c r="D25" s="13" t="s">
        <v>245</v>
      </c>
      <c r="E25" s="14">
        <v>878</v>
      </c>
      <c r="F25" s="15">
        <f t="shared" si="1"/>
        <v>526.79999999999995</v>
      </c>
      <c r="G25" s="15">
        <f t="shared" si="2"/>
        <v>8955.5999999999985</v>
      </c>
      <c r="H25" s="32">
        <f>SUMPRODUCT((BOM!$C$2:$C$675=$C25)*BOM!$H$2:$H$675*BOM!$M$2:$M$675)</f>
        <v>17</v>
      </c>
      <c r="I25" s="32" t="s">
        <v>106</v>
      </c>
      <c r="J25" s="32" t="s">
        <v>223</v>
      </c>
      <c r="K25" s="32" t="str">
        <f t="shared" si="3"/>
        <v>KZT</v>
      </c>
      <c r="L25" s="32">
        <f t="shared" si="4"/>
        <v>0.6</v>
      </c>
      <c r="M25" s="32">
        <f t="shared" si="5"/>
        <v>1</v>
      </c>
      <c r="N25" s="13" t="s">
        <v>224</v>
      </c>
      <c r="O25" s="16">
        <f t="shared" si="6"/>
        <v>46261</v>
      </c>
      <c r="P25" s="13">
        <f t="shared" si="7"/>
        <v>0.7</v>
      </c>
      <c r="Q25" s="13" t="str">
        <f t="shared" si="8"/>
        <v>OK</v>
      </c>
      <c r="S25" s="17">
        <v>1</v>
      </c>
      <c r="T25" s="17">
        <v>16</v>
      </c>
      <c r="U25" s="17">
        <v>1</v>
      </c>
      <c r="V25" s="18"/>
      <c r="W25" s="18"/>
      <c r="X25" s="18"/>
      <c r="Y25" s="18"/>
      <c r="Z25" s="18"/>
      <c r="AA25" s="18"/>
      <c r="AB25" s="13" t="str">
        <f t="shared" si="9"/>
        <v>GUC</v>
      </c>
      <c r="AC25" s="13">
        <f t="shared" si="10"/>
        <v>2.5</v>
      </c>
      <c r="AD25" s="13">
        <f t="shared" si="11"/>
        <v>3</v>
      </c>
      <c r="AE25" s="13">
        <f t="shared" si="12"/>
        <v>0.30000000000000004</v>
      </c>
      <c r="AF25" s="13">
        <f t="shared" si="13"/>
        <v>2.5</v>
      </c>
      <c r="AG25" s="13">
        <f t="shared" si="14"/>
        <v>2</v>
      </c>
      <c r="AH25" s="13">
        <f t="shared" si="15"/>
        <v>1</v>
      </c>
      <c r="AI25" s="13">
        <f t="shared" si="16"/>
        <v>16</v>
      </c>
      <c r="AJ25" s="13">
        <f t="shared" si="17"/>
        <v>16</v>
      </c>
    </row>
    <row r="26" spans="1:36" ht="15" customHeight="1" x14ac:dyDescent="0.25">
      <c r="A26" s="13">
        <f t="shared" si="0"/>
        <v>25</v>
      </c>
      <c r="B26" s="13" t="s">
        <v>47</v>
      </c>
      <c r="C26" s="13" t="s">
        <v>177</v>
      </c>
      <c r="D26" s="13" t="s">
        <v>246</v>
      </c>
      <c r="E26" s="14">
        <v>9149</v>
      </c>
      <c r="F26" s="15">
        <f t="shared" si="1"/>
        <v>5489.4</v>
      </c>
      <c r="G26" s="15">
        <f t="shared" si="2"/>
        <v>5489.4</v>
      </c>
      <c r="H26" s="32">
        <f>SUMPRODUCT((BOM!$C$2:$C$675=$C26)*BOM!$H$2:$H$675*BOM!$M$2:$M$675)</f>
        <v>1</v>
      </c>
      <c r="I26" s="32" t="s">
        <v>106</v>
      </c>
      <c r="J26" s="32" t="s">
        <v>223</v>
      </c>
      <c r="K26" s="32" t="str">
        <f t="shared" si="3"/>
        <v>KZT</v>
      </c>
      <c r="L26" s="32">
        <f t="shared" si="4"/>
        <v>0.6</v>
      </c>
      <c r="M26" s="32">
        <f t="shared" si="5"/>
        <v>1</v>
      </c>
      <c r="N26" s="13" t="s">
        <v>224</v>
      </c>
      <c r="O26" s="16">
        <f t="shared" si="6"/>
        <v>46261</v>
      </c>
      <c r="P26" s="13">
        <f t="shared" si="7"/>
        <v>0.7</v>
      </c>
      <c r="Q26" s="13" t="str">
        <f t="shared" si="8"/>
        <v>OK</v>
      </c>
      <c r="S26" s="17">
        <v>3</v>
      </c>
      <c r="T26" s="17">
        <v>25</v>
      </c>
      <c r="U26" s="18"/>
      <c r="V26" s="18"/>
      <c r="W26" s="18"/>
      <c r="X26" s="18"/>
      <c r="Y26" s="18"/>
      <c r="Z26" s="18"/>
      <c r="AA26" s="18"/>
      <c r="AB26" s="13" t="str">
        <f t="shared" si="9"/>
        <v>GUC</v>
      </c>
      <c r="AC26" s="13">
        <f t="shared" si="10"/>
        <v>4</v>
      </c>
      <c r="AD26" s="13">
        <f t="shared" si="11"/>
        <v>3</v>
      </c>
      <c r="AE26" s="13">
        <f t="shared" si="12"/>
        <v>1.7999999999999998</v>
      </c>
      <c r="AF26" s="13">
        <f t="shared" si="13"/>
        <v>4</v>
      </c>
      <c r="AG26" s="13">
        <f t="shared" si="14"/>
        <v>4</v>
      </c>
      <c r="AH26" s="13">
        <f t="shared" si="15"/>
        <v>1</v>
      </c>
      <c r="AI26" s="13">
        <f t="shared" si="16"/>
        <v>25</v>
      </c>
      <c r="AJ26" s="13">
        <f t="shared" si="17"/>
        <v>0</v>
      </c>
    </row>
    <row r="27" spans="1:36" ht="15" customHeight="1" x14ac:dyDescent="0.25">
      <c r="A27" s="13">
        <f t="shared" si="0"/>
        <v>26</v>
      </c>
      <c r="B27" s="13" t="s">
        <v>179</v>
      </c>
      <c r="C27" s="13" t="s">
        <v>180</v>
      </c>
      <c r="D27" s="13" t="s">
        <v>247</v>
      </c>
      <c r="E27" s="14">
        <v>4315</v>
      </c>
      <c r="F27" s="15">
        <f t="shared" si="1"/>
        <v>2589</v>
      </c>
      <c r="G27" s="15">
        <f t="shared" si="2"/>
        <v>2589</v>
      </c>
      <c r="H27" s="32">
        <f>SUMPRODUCT((BOM!$C$2:$C$675=$C27)*BOM!$H$2:$H$675*BOM!$M$2:$M$675)</f>
        <v>1</v>
      </c>
      <c r="I27" s="32" t="s">
        <v>106</v>
      </c>
      <c r="J27" s="32" t="s">
        <v>223</v>
      </c>
      <c r="K27" s="32" t="str">
        <f t="shared" si="3"/>
        <v>KZT</v>
      </c>
      <c r="L27" s="32">
        <f t="shared" si="4"/>
        <v>0.6</v>
      </c>
      <c r="M27" s="32">
        <f t="shared" si="5"/>
        <v>1</v>
      </c>
      <c r="N27" s="13" t="s">
        <v>224</v>
      </c>
      <c r="O27" s="16">
        <f t="shared" si="6"/>
        <v>46261</v>
      </c>
      <c r="P27" s="13">
        <f t="shared" si="7"/>
        <v>0.7</v>
      </c>
      <c r="Q27" s="13" t="str">
        <f t="shared" si="8"/>
        <v>OK</v>
      </c>
      <c r="S27" s="18"/>
      <c r="T27" s="18"/>
      <c r="U27" s="18"/>
      <c r="V27" s="18"/>
      <c r="W27" s="18"/>
      <c r="X27" s="18"/>
      <c r="Y27" s="18"/>
      <c r="Z27" s="18"/>
      <c r="AA27" s="18"/>
      <c r="AB27" s="13" t="str">
        <f t="shared" si="9"/>
        <v>KUMANDA</v>
      </c>
      <c r="AC27" s="13">
        <f t="shared" si="10"/>
        <v>1.5</v>
      </c>
      <c r="AD27" s="13">
        <f t="shared" si="11"/>
        <v>4</v>
      </c>
      <c r="AE27" s="13">
        <f t="shared" si="12"/>
        <v>3.2</v>
      </c>
      <c r="AF27" s="13">
        <f t="shared" si="13"/>
        <v>0</v>
      </c>
      <c r="AG27" s="13">
        <f t="shared" si="14"/>
        <v>0</v>
      </c>
      <c r="AH27" s="13">
        <f t="shared" si="15"/>
        <v>0</v>
      </c>
      <c r="AI27" s="13">
        <f t="shared" si="16"/>
        <v>0</v>
      </c>
      <c r="AJ27" s="13">
        <f t="shared" si="17"/>
        <v>0</v>
      </c>
    </row>
    <row r="28" spans="1:36" ht="15" customHeight="1" x14ac:dyDescent="0.25">
      <c r="A28" s="13">
        <f t="shared" si="0"/>
        <v>27</v>
      </c>
      <c r="B28" s="13" t="s">
        <v>53</v>
      </c>
      <c r="C28" s="13" t="s">
        <v>182</v>
      </c>
      <c r="D28" s="13" t="s">
        <v>248</v>
      </c>
      <c r="E28" s="14">
        <v>750</v>
      </c>
      <c r="F28" s="15">
        <f t="shared" si="1"/>
        <v>450</v>
      </c>
      <c r="G28" s="15">
        <f t="shared" si="2"/>
        <v>450</v>
      </c>
      <c r="H28" s="32">
        <f>SUMPRODUCT((BOM!$C$2:$C$675=$C28)*BOM!$H$2:$H$675*BOM!$M$2:$M$675)</f>
        <v>1</v>
      </c>
      <c r="I28" s="32" t="s">
        <v>106</v>
      </c>
      <c r="J28" s="32" t="s">
        <v>223</v>
      </c>
      <c r="K28" s="32" t="str">
        <f t="shared" si="3"/>
        <v>KZT</v>
      </c>
      <c r="L28" s="32">
        <f t="shared" si="4"/>
        <v>0.6</v>
      </c>
      <c r="M28" s="32">
        <f t="shared" si="5"/>
        <v>1</v>
      </c>
      <c r="N28" s="13" t="s">
        <v>224</v>
      </c>
      <c r="O28" s="16">
        <f t="shared" si="6"/>
        <v>46261</v>
      </c>
      <c r="P28" s="13">
        <f t="shared" si="7"/>
        <v>0.7</v>
      </c>
      <c r="Q28" s="13" t="str">
        <f t="shared" si="8"/>
        <v>OK</v>
      </c>
      <c r="S28" s="18"/>
      <c r="T28" s="18"/>
      <c r="U28" s="18"/>
      <c r="V28" s="18"/>
      <c r="W28" s="18"/>
      <c r="X28" s="18"/>
      <c r="Y28" s="18"/>
      <c r="Z28" s="18"/>
      <c r="AA28" s="18"/>
      <c r="AB28" s="13" t="str">
        <f t="shared" si="9"/>
        <v>AKSESUAR</v>
      </c>
      <c r="AC28" s="13">
        <f t="shared" si="10"/>
        <v>0</v>
      </c>
      <c r="AD28" s="13">
        <f t="shared" si="11"/>
        <v>0</v>
      </c>
      <c r="AE28" s="13">
        <f t="shared" si="12"/>
        <v>0</v>
      </c>
      <c r="AF28" s="13">
        <f t="shared" si="13"/>
        <v>0</v>
      </c>
      <c r="AG28" s="13">
        <f t="shared" si="14"/>
        <v>0</v>
      </c>
      <c r="AH28" s="13">
        <f t="shared" si="15"/>
        <v>0</v>
      </c>
      <c r="AI28" s="13">
        <f t="shared" si="16"/>
        <v>0</v>
      </c>
      <c r="AJ28" s="13">
        <f t="shared" si="17"/>
        <v>0</v>
      </c>
    </row>
    <row r="29" spans="1:36" ht="15" customHeight="1" x14ac:dyDescent="0.25">
      <c r="A29" s="13">
        <f t="shared" si="0"/>
        <v>28</v>
      </c>
      <c r="B29" s="13" t="s">
        <v>53</v>
      </c>
      <c r="C29" s="13" t="s">
        <v>184</v>
      </c>
      <c r="D29" s="13" t="s">
        <v>249</v>
      </c>
      <c r="E29" s="14">
        <v>141</v>
      </c>
      <c r="F29" s="15">
        <f t="shared" si="1"/>
        <v>84.6</v>
      </c>
      <c r="G29" s="15">
        <f t="shared" si="2"/>
        <v>84.6</v>
      </c>
      <c r="H29" s="32">
        <f>SUMPRODUCT((BOM!$C$2:$C$675=$C29)*BOM!$H$2:$H$675*BOM!$M$2:$M$675)</f>
        <v>1</v>
      </c>
      <c r="I29" s="32" t="s">
        <v>106</v>
      </c>
      <c r="J29" s="32" t="s">
        <v>223</v>
      </c>
      <c r="K29" s="32" t="str">
        <f t="shared" si="3"/>
        <v>KZT</v>
      </c>
      <c r="L29" s="32">
        <f t="shared" si="4"/>
        <v>0.6</v>
      </c>
      <c r="M29" s="32">
        <f t="shared" si="5"/>
        <v>1</v>
      </c>
      <c r="N29" s="13" t="s">
        <v>224</v>
      </c>
      <c r="O29" s="16">
        <f t="shared" si="6"/>
        <v>46261</v>
      </c>
      <c r="P29" s="13">
        <f t="shared" si="7"/>
        <v>0.7</v>
      </c>
      <c r="Q29" s="13" t="str">
        <f t="shared" si="8"/>
        <v>OK</v>
      </c>
      <c r="S29" s="18"/>
      <c r="T29" s="18"/>
      <c r="U29" s="18"/>
      <c r="V29" s="18"/>
      <c r="W29" s="18"/>
      <c r="X29" s="18"/>
      <c r="Y29" s="18"/>
      <c r="Z29" s="18"/>
      <c r="AA29" s="18"/>
      <c r="AB29" s="13" t="str">
        <f t="shared" si="9"/>
        <v>AKSESUAR</v>
      </c>
      <c r="AC29" s="13">
        <f t="shared" si="10"/>
        <v>0</v>
      </c>
      <c r="AD29" s="13">
        <f t="shared" si="11"/>
        <v>0</v>
      </c>
      <c r="AE29" s="13">
        <f t="shared" si="12"/>
        <v>0</v>
      </c>
      <c r="AF29" s="13">
        <f t="shared" si="13"/>
        <v>0</v>
      </c>
      <c r="AG29" s="13">
        <f t="shared" si="14"/>
        <v>0</v>
      </c>
      <c r="AH29" s="13">
        <f t="shared" si="15"/>
        <v>0</v>
      </c>
      <c r="AI29" s="13">
        <f t="shared" si="16"/>
        <v>0</v>
      </c>
      <c r="AJ29" s="13">
        <f t="shared" si="17"/>
        <v>0</v>
      </c>
    </row>
    <row r="30" spans="1:36" ht="15" customHeight="1" x14ac:dyDescent="0.25">
      <c r="A30" s="13">
        <f t="shared" si="0"/>
        <v>29</v>
      </c>
      <c r="B30" s="13" t="s">
        <v>186</v>
      </c>
      <c r="C30" s="13" t="s">
        <v>187</v>
      </c>
      <c r="D30" s="13" t="s">
        <v>250</v>
      </c>
      <c r="E30" s="14">
        <v>1621</v>
      </c>
      <c r="F30" s="15">
        <f t="shared" si="1"/>
        <v>972.59999999999991</v>
      </c>
      <c r="G30" s="15">
        <f t="shared" si="2"/>
        <v>972.59999999999991</v>
      </c>
      <c r="H30" s="32">
        <f>SUMPRODUCT((BOM!$C$2:$C$675=$C30)*BOM!$H$2:$H$675*BOM!$M$2:$M$675)</f>
        <v>1</v>
      </c>
      <c r="I30" s="32" t="s">
        <v>106</v>
      </c>
      <c r="J30" s="32" t="s">
        <v>223</v>
      </c>
      <c r="K30" s="32" t="str">
        <f t="shared" si="3"/>
        <v>KZT</v>
      </c>
      <c r="L30" s="32">
        <f t="shared" si="4"/>
        <v>0.6</v>
      </c>
      <c r="M30" s="32">
        <f t="shared" si="5"/>
        <v>1</v>
      </c>
      <c r="N30" s="13" t="s">
        <v>224</v>
      </c>
      <c r="O30" s="16">
        <f t="shared" si="6"/>
        <v>46261</v>
      </c>
      <c r="P30" s="13">
        <f t="shared" si="7"/>
        <v>0.7</v>
      </c>
      <c r="Q30" s="13" t="str">
        <f t="shared" si="8"/>
        <v>OK</v>
      </c>
      <c r="S30" s="18"/>
      <c r="T30" s="18"/>
      <c r="U30" s="18"/>
      <c r="V30" s="18"/>
      <c r="W30" s="18"/>
      <c r="X30" s="18"/>
      <c r="Y30" s="18"/>
      <c r="Z30" s="18"/>
      <c r="AA30" s="18"/>
      <c r="AB30" s="13" t="str">
        <f t="shared" si="9"/>
        <v>KUMANDA</v>
      </c>
      <c r="AC30" s="13">
        <f t="shared" si="10"/>
        <v>1.5</v>
      </c>
      <c r="AD30" s="13">
        <f t="shared" si="11"/>
        <v>2</v>
      </c>
      <c r="AE30" s="13">
        <f t="shared" si="12"/>
        <v>1.6</v>
      </c>
      <c r="AF30" s="13">
        <f t="shared" si="13"/>
        <v>0</v>
      </c>
      <c r="AG30" s="13">
        <f t="shared" si="14"/>
        <v>0</v>
      </c>
      <c r="AH30" s="13">
        <f t="shared" si="15"/>
        <v>0</v>
      </c>
      <c r="AI30" s="13">
        <f t="shared" si="16"/>
        <v>0</v>
      </c>
      <c r="AJ30" s="13">
        <f t="shared" si="17"/>
        <v>0</v>
      </c>
    </row>
    <row r="31" spans="1:36" ht="15" customHeight="1" x14ac:dyDescent="0.25">
      <c r="A31" s="13">
        <f t="shared" si="0"/>
        <v>30</v>
      </c>
      <c r="B31" s="13" t="s">
        <v>186</v>
      </c>
      <c r="C31" s="13" t="s">
        <v>189</v>
      </c>
      <c r="D31" s="13" t="s">
        <v>251</v>
      </c>
      <c r="E31" s="14">
        <v>1602</v>
      </c>
      <c r="F31" s="15">
        <f t="shared" si="1"/>
        <v>961.19999999999993</v>
      </c>
      <c r="G31" s="15">
        <f t="shared" si="2"/>
        <v>961.19999999999993</v>
      </c>
      <c r="H31" s="32">
        <f>SUMPRODUCT((BOM!$C$2:$C$675=$C31)*BOM!$H$2:$H$675*BOM!$M$2:$M$675)</f>
        <v>1</v>
      </c>
      <c r="I31" s="32" t="s">
        <v>106</v>
      </c>
      <c r="J31" s="32" t="s">
        <v>223</v>
      </c>
      <c r="K31" s="32" t="str">
        <f t="shared" si="3"/>
        <v>KZT</v>
      </c>
      <c r="L31" s="32">
        <f t="shared" si="4"/>
        <v>0.6</v>
      </c>
      <c r="M31" s="32">
        <f t="shared" si="5"/>
        <v>1</v>
      </c>
      <c r="N31" s="13" t="s">
        <v>224</v>
      </c>
      <c r="O31" s="16">
        <f t="shared" si="6"/>
        <v>46261</v>
      </c>
      <c r="P31" s="13">
        <f t="shared" si="7"/>
        <v>0.7</v>
      </c>
      <c r="Q31" s="13" t="str">
        <f t="shared" si="8"/>
        <v>OK</v>
      </c>
      <c r="S31" s="18"/>
      <c r="T31" s="18"/>
      <c r="U31" s="18"/>
      <c r="V31" s="18"/>
      <c r="W31" s="18"/>
      <c r="X31" s="18"/>
      <c r="Y31" s="18"/>
      <c r="Z31" s="18"/>
      <c r="AA31" s="18"/>
      <c r="AB31" s="13" t="str">
        <f t="shared" si="9"/>
        <v>KUMANDA</v>
      </c>
      <c r="AC31" s="13">
        <f t="shared" si="10"/>
        <v>1.5</v>
      </c>
      <c r="AD31" s="13">
        <f t="shared" si="11"/>
        <v>2</v>
      </c>
      <c r="AE31" s="13">
        <f t="shared" si="12"/>
        <v>1.6</v>
      </c>
      <c r="AF31" s="13">
        <f t="shared" si="13"/>
        <v>0</v>
      </c>
      <c r="AG31" s="13">
        <f t="shared" si="14"/>
        <v>0</v>
      </c>
      <c r="AH31" s="13">
        <f t="shared" si="15"/>
        <v>0</v>
      </c>
      <c r="AI31" s="13">
        <f t="shared" si="16"/>
        <v>0</v>
      </c>
      <c r="AJ31" s="13">
        <f t="shared" si="17"/>
        <v>0</v>
      </c>
    </row>
    <row r="32" spans="1:36" ht="15" customHeight="1" x14ac:dyDescent="0.25">
      <c r="A32" s="13">
        <f t="shared" si="0"/>
        <v>31</v>
      </c>
      <c r="B32" s="13" t="s">
        <v>39</v>
      </c>
      <c r="C32" s="13" t="s">
        <v>175</v>
      </c>
      <c r="D32" s="13" t="s">
        <v>252</v>
      </c>
      <c r="E32" s="14">
        <v>2429</v>
      </c>
      <c r="F32" s="15">
        <f t="shared" si="1"/>
        <v>1457.3999999999999</v>
      </c>
      <c r="G32" s="15">
        <f t="shared" si="2"/>
        <v>1457.3999999999999</v>
      </c>
      <c r="H32" s="32">
        <f>SUMPRODUCT((BOM!$C$2:$C$675=$C32)*BOM!$H$2:$H$675*BOM!$M$2:$M$675)</f>
        <v>1</v>
      </c>
      <c r="I32" s="32" t="s">
        <v>106</v>
      </c>
      <c r="J32" s="32" t="s">
        <v>223</v>
      </c>
      <c r="K32" s="32" t="str">
        <f t="shared" si="3"/>
        <v>KZT</v>
      </c>
      <c r="L32" s="32">
        <f t="shared" si="4"/>
        <v>0.6</v>
      </c>
      <c r="M32" s="32">
        <f t="shared" si="5"/>
        <v>1</v>
      </c>
      <c r="N32" s="13" t="s">
        <v>224</v>
      </c>
      <c r="O32" s="16">
        <f t="shared" si="6"/>
        <v>46261</v>
      </c>
      <c r="P32" s="13">
        <f t="shared" si="7"/>
        <v>0.7</v>
      </c>
      <c r="Q32" s="13" t="str">
        <f t="shared" si="8"/>
        <v>OK</v>
      </c>
      <c r="S32" s="17">
        <v>3</v>
      </c>
      <c r="T32" s="17">
        <v>25</v>
      </c>
      <c r="U32" s="17">
        <v>3</v>
      </c>
      <c r="V32" s="18"/>
      <c r="W32" s="18"/>
      <c r="X32" s="18"/>
      <c r="Y32" s="18"/>
      <c r="Z32" s="18"/>
      <c r="AA32" s="18"/>
      <c r="AB32" s="13" t="str">
        <f t="shared" si="9"/>
        <v>GUC</v>
      </c>
      <c r="AC32" s="13">
        <f t="shared" si="10"/>
        <v>4</v>
      </c>
      <c r="AD32" s="13">
        <f t="shared" si="11"/>
        <v>7</v>
      </c>
      <c r="AE32" s="13">
        <f t="shared" si="12"/>
        <v>0.70000000000000007</v>
      </c>
      <c r="AF32" s="13">
        <f t="shared" si="13"/>
        <v>4</v>
      </c>
      <c r="AG32" s="13">
        <f t="shared" si="14"/>
        <v>4</v>
      </c>
      <c r="AH32" s="13">
        <f t="shared" si="15"/>
        <v>1</v>
      </c>
      <c r="AI32" s="13">
        <f t="shared" si="16"/>
        <v>25</v>
      </c>
      <c r="AJ32" s="13">
        <f t="shared" si="17"/>
        <v>25</v>
      </c>
    </row>
    <row r="33" spans="1:36" ht="15" customHeight="1" x14ac:dyDescent="0.25">
      <c r="A33" s="13">
        <f t="shared" si="0"/>
        <v>32</v>
      </c>
      <c r="B33" s="13" t="s">
        <v>56</v>
      </c>
      <c r="C33" s="13" t="s">
        <v>628</v>
      </c>
      <c r="D33" s="13" t="s">
        <v>629</v>
      </c>
      <c r="E33" s="14">
        <v>59554</v>
      </c>
      <c r="F33" s="15">
        <f t="shared" si="1"/>
        <v>59554</v>
      </c>
      <c r="G33" s="15">
        <f t="shared" si="2"/>
        <v>0</v>
      </c>
      <c r="H33" s="32">
        <f>SUMPRODUCT((BOM!$C$2:$C$675=$C33)*BOM!$H$2:$H$675*BOM!$M$2:$M$675)</f>
        <v>0</v>
      </c>
      <c r="I33" s="32" t="s">
        <v>106</v>
      </c>
      <c r="J33" s="32" t="s">
        <v>266</v>
      </c>
      <c r="K33" s="32" t="str">
        <f t="shared" si="3"/>
        <v>KZT</v>
      </c>
      <c r="L33" s="32">
        <f t="shared" si="4"/>
        <v>1</v>
      </c>
      <c r="M33" s="32">
        <f t="shared" si="5"/>
        <v>1</v>
      </c>
      <c r="N33" s="13" t="s">
        <v>254</v>
      </c>
      <c r="O33" s="16">
        <f t="shared" si="6"/>
        <v>45820</v>
      </c>
      <c r="P33" s="13">
        <f t="shared" si="7"/>
        <v>15.2</v>
      </c>
      <c r="Q33" s="13" t="str">
        <f t="shared" si="8"/>
        <v>ESKİ</v>
      </c>
      <c r="S33" s="18"/>
      <c r="T33" s="18"/>
      <c r="U33" s="18"/>
      <c r="V33" s="18"/>
      <c r="W33" s="18"/>
      <c r="X33" s="18"/>
      <c r="Y33" s="18"/>
      <c r="Z33" s="18"/>
      <c r="AA33" s="18"/>
      <c r="AB33" s="13" t="str">
        <f t="shared" si="9"/>
        <v>KUMANDA</v>
      </c>
      <c r="AC33" s="13">
        <f t="shared" si="10"/>
        <v>1.5</v>
      </c>
      <c r="AD33" s="13">
        <f t="shared" si="11"/>
        <v>8</v>
      </c>
      <c r="AE33" s="13">
        <f t="shared" si="12"/>
        <v>6.4</v>
      </c>
      <c r="AF33" s="13">
        <f t="shared" si="13"/>
        <v>0</v>
      </c>
      <c r="AG33" s="13">
        <f t="shared" si="14"/>
        <v>0</v>
      </c>
      <c r="AH33" s="13">
        <f t="shared" si="15"/>
        <v>0</v>
      </c>
      <c r="AI33" s="13">
        <f t="shared" si="16"/>
        <v>0</v>
      </c>
      <c r="AJ33" s="13">
        <f t="shared" si="17"/>
        <v>0</v>
      </c>
    </row>
    <row r="34" spans="1:36" ht="15" customHeight="1" x14ac:dyDescent="0.25">
      <c r="A34" s="13">
        <f t="shared" ref="A34:A66" si="18">ROW()-1</f>
        <v>33</v>
      </c>
      <c r="B34" s="13" t="s">
        <v>53</v>
      </c>
      <c r="C34" s="13" t="s">
        <v>54</v>
      </c>
      <c r="D34" s="13" t="s">
        <v>630</v>
      </c>
      <c r="E34" s="14">
        <v>5999</v>
      </c>
      <c r="F34" s="15">
        <f t="shared" ref="F34:F66" si="19">IF(OR($E34="",$L34="",$M34="",$Q34="YASAK"),"",$E34*$L34*$M34)</f>
        <v>5999</v>
      </c>
      <c r="G34" s="15">
        <f t="shared" ref="G34:G66" si="20">IF($F34="","",$F34*$H34)</f>
        <v>5999</v>
      </c>
      <c r="H34" s="32">
        <f>SUMPRODUCT((BOM!$C$2:$C$675=$C34)*BOM!$H$2:$H$675*BOM!$M$2:$M$675)</f>
        <v>1</v>
      </c>
      <c r="I34" s="32" t="s">
        <v>106</v>
      </c>
      <c r="J34" s="32" t="s">
        <v>253</v>
      </c>
      <c r="K34" s="32" t="str">
        <f t="shared" ref="K34:K66" si="21">IF(ISNA(MATCH($J34,MARKA_AD,0)),"",INDEX(MARKA_PARA,MATCH($J34,MARKA_AD,0)))</f>
        <v>KZT</v>
      </c>
      <c r="L34" s="32">
        <f t="shared" ref="L34:L66" si="22">IF(ISNA(MATCH($J34,MARKA_AD,0)),"",INDEX(MARKA_KAT,MATCH($J34,MARKA_AD,0)))</f>
        <v>1</v>
      </c>
      <c r="M34" s="32">
        <f t="shared" ref="M34:M66" si="23">IF(OR($K34="",ISNA(MATCH($K34,KUR_AD,0))),"",IF(INDEX(KUR_DEG,MATCH($K34,KUR_AD,0))="","",INDEX(KUR_DEG,MATCH($K34,KUR_AD,0))))</f>
        <v>1</v>
      </c>
      <c r="N34" s="13" t="s">
        <v>254</v>
      </c>
      <c r="O34" s="16">
        <f t="shared" ref="O34:O66" si="24">IF(ISNA(MATCH($N34,KAYNAK_KOD,0)),"",IF(INDEX(KAYNAK_TARIH,MATCH($N34,KAYNAK_KOD,0))="","",INDEX(KAYNAK_TARIH,MATCH($N34,KAYNAK_KOD,0))))</f>
        <v>45820</v>
      </c>
      <c r="P34" s="13">
        <f t="shared" ref="P34:P66" si="25">IF($O34="","",ROUND((TARIH-$O34)/30.4375,1))</f>
        <v>15.2</v>
      </c>
      <c r="Q34" s="13" t="str">
        <f t="shared" ref="Q34:Q66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18"/>
      <c r="T34" s="18"/>
      <c r="U34" s="18"/>
      <c r="V34" s="18"/>
      <c r="W34" s="18"/>
      <c r="X34" s="18"/>
      <c r="Y34" s="18"/>
      <c r="Z34" s="18"/>
      <c r="AA34" s="18"/>
      <c r="AB34" s="13" t="str">
        <f t="shared" ref="AB34:AB66" si="27">IF(ISNA(MATCH($B34,TIP_AD,0)),"",INDEX(TIP_GRUP,MATCH($B34,TIP_AD,0)))</f>
        <v>AKSESUAR</v>
      </c>
      <c r="AC34" s="13">
        <f t="shared" ref="AC34:AC66" si="28">IF(OR($AB34="GUC"),IF(OR($AI34=0,$AI34&gt;KABLO_MAX_IN),0,LOOKUP($AI34,KABLO_IN_ALT,KABLO_KESIT)),IF($AB34="KUMANDA",KUMANDA_KESIT,IF($AB34="OLCU",OLCU_KESIT,0)))</f>
        <v>0</v>
      </c>
      <c r="AD34" s="13">
        <f t="shared" ref="AD34:AD66" si="29">IF(OR($AC34=0,ISNA(MATCH($B34,TIP_AD,0))),0,IF(INDEX(TIP_TEL,MATCH($B34,TIP_AD,0))="",2*N($S34)+IF(OR(N($S34)=1,N($S34)=3),1,0),INDEX(TIP_TEL,MATCH($B34,TIP_AD,0))))</f>
        <v>0</v>
      </c>
      <c r="AE34" s="13">
        <f t="shared" ref="AE34:AE66" si="30">IF(OR($AD34=0,ISNA(MATCH($B34,TIP_AD,0))),0,$AD34*INDEX(TIP_TELM,MATCH($B34,TIP_AD,0)))</f>
        <v>0</v>
      </c>
      <c r="AF34" s="13">
        <f t="shared" ref="AF34:AF66" si="31">IF(OR($AB34&lt;&gt;"GUC",$AC34=0,$AC34&gt;KLEMENS_MAX_KESIT),0,LOOKUP($AC34,KLEMENS_ALT,KLEMENS_KES))</f>
        <v>0</v>
      </c>
      <c r="AG34" s="13">
        <f t="shared" ref="AG34:AG66" si="32">IF($AF34=0,0,N($S34)+IF(OR(N($S34)=1,N($S34)=3),1,0))</f>
        <v>0</v>
      </c>
      <c r="AH34" s="13">
        <f t="shared" ref="AH34:AH66" si="33">IF($AF34=0,0,1)</f>
        <v>0</v>
      </c>
      <c r="AI34" s="13">
        <f t="shared" ref="AI34:AI66" si="34">N($T34)</f>
        <v>0</v>
      </c>
      <c r="AJ34" s="13">
        <f t="shared" ref="AJ34:AJ66" si="35">IF(OR($B34="mccb",$B34="oto",$B34="bh",$B34="rubilnik",$B34="ats",$B34="dif",$B34="uzo"),N($T34),0)</f>
        <v>0</v>
      </c>
    </row>
    <row r="35" spans="1:36" ht="15" customHeight="1" x14ac:dyDescent="0.25">
      <c r="A35" s="13">
        <f t="shared" si="18"/>
        <v>34</v>
      </c>
      <c r="B35" s="13" t="s">
        <v>72</v>
      </c>
      <c r="C35" s="13" t="s">
        <v>73</v>
      </c>
      <c r="D35" s="13" t="s">
        <v>255</v>
      </c>
      <c r="E35" s="14">
        <v>1486</v>
      </c>
      <c r="F35" s="15">
        <f t="shared" si="19"/>
        <v>1486</v>
      </c>
      <c r="G35" s="15">
        <f t="shared" si="20"/>
        <v>13076.800000000001</v>
      </c>
      <c r="H35" s="32">
        <f>SUMPRODUCT((BOM!$C$2:$C$675=$C35)*BOM!$H$2:$H$675*BOM!$M$2:$M$675)</f>
        <v>8.8000000000000007</v>
      </c>
      <c r="I35" s="32" t="s">
        <v>256</v>
      </c>
      <c r="J35" s="32" t="s">
        <v>253</v>
      </c>
      <c r="K35" s="32" t="str">
        <f t="shared" si="21"/>
        <v>KZT</v>
      </c>
      <c r="L35" s="32">
        <f t="shared" si="22"/>
        <v>1</v>
      </c>
      <c r="M35" s="32">
        <f t="shared" si="23"/>
        <v>1</v>
      </c>
      <c r="N35" s="13" t="s">
        <v>254</v>
      </c>
      <c r="O35" s="16">
        <f t="shared" si="24"/>
        <v>45820</v>
      </c>
      <c r="P35" s="13">
        <f t="shared" si="25"/>
        <v>15.2</v>
      </c>
      <c r="Q35" s="13" t="str">
        <f t="shared" si="26"/>
        <v>ESKİ</v>
      </c>
      <c r="S35" s="18"/>
      <c r="T35" s="18"/>
      <c r="U35" s="18"/>
      <c r="V35" s="18"/>
      <c r="W35" s="18"/>
      <c r="X35" s="18"/>
      <c r="Y35" s="18"/>
      <c r="Z35" s="18"/>
      <c r="AA35" s="18"/>
      <c r="AB35" s="13" t="str">
        <f t="shared" si="27"/>
        <v>SARF</v>
      </c>
      <c r="AC35" s="13">
        <f t="shared" si="28"/>
        <v>0</v>
      </c>
      <c r="AD35" s="13">
        <f t="shared" si="29"/>
        <v>0</v>
      </c>
      <c r="AE35" s="13">
        <f t="shared" si="30"/>
        <v>0</v>
      </c>
      <c r="AF35" s="13">
        <f t="shared" si="31"/>
        <v>0</v>
      </c>
      <c r="AG35" s="13">
        <f t="shared" si="32"/>
        <v>0</v>
      </c>
      <c r="AH35" s="13">
        <f t="shared" si="33"/>
        <v>0</v>
      </c>
      <c r="AI35" s="13">
        <f t="shared" si="34"/>
        <v>0</v>
      </c>
      <c r="AJ35" s="13">
        <f t="shared" si="35"/>
        <v>0</v>
      </c>
    </row>
    <row r="36" spans="1:36" ht="15" customHeight="1" x14ac:dyDescent="0.25">
      <c r="A36" s="13">
        <f t="shared" si="18"/>
        <v>35</v>
      </c>
      <c r="B36" s="13" t="s">
        <v>88</v>
      </c>
      <c r="C36" s="13" t="s">
        <v>144</v>
      </c>
      <c r="D36" s="13" t="s">
        <v>257</v>
      </c>
      <c r="E36" s="14">
        <v>1919</v>
      </c>
      <c r="F36" s="15">
        <f t="shared" si="19"/>
        <v>1919</v>
      </c>
      <c r="G36" s="15">
        <f t="shared" si="20"/>
        <v>5757</v>
      </c>
      <c r="H36" s="32">
        <f>SUMPRODUCT((BOM!$C$2:$C$675=$C36)*BOM!$H$2:$H$675*BOM!$M$2:$M$675)</f>
        <v>3</v>
      </c>
      <c r="I36" s="32" t="s">
        <v>258</v>
      </c>
      <c r="J36" s="32" t="s">
        <v>253</v>
      </c>
      <c r="K36" s="32" t="str">
        <f t="shared" si="21"/>
        <v>KZT</v>
      </c>
      <c r="L36" s="32">
        <f t="shared" si="22"/>
        <v>1</v>
      </c>
      <c r="M36" s="32">
        <f t="shared" si="23"/>
        <v>1</v>
      </c>
      <c r="N36" s="13" t="s">
        <v>254</v>
      </c>
      <c r="O36" s="16">
        <f t="shared" si="24"/>
        <v>45820</v>
      </c>
      <c r="P36" s="13">
        <f t="shared" si="25"/>
        <v>15.2</v>
      </c>
      <c r="Q36" s="13" t="str">
        <f t="shared" si="26"/>
        <v>ESKİ</v>
      </c>
      <c r="S36" s="18"/>
      <c r="T36" s="18"/>
      <c r="U36" s="18"/>
      <c r="V36" s="17">
        <v>100</v>
      </c>
      <c r="W36" s="17">
        <v>16</v>
      </c>
      <c r="X36" s="18"/>
      <c r="Y36" s="18"/>
      <c r="Z36" s="18"/>
      <c r="AA36" s="18"/>
      <c r="AB36" s="13" t="str">
        <f t="shared" si="27"/>
        <v>SARF</v>
      </c>
      <c r="AC36" s="13">
        <f t="shared" si="28"/>
        <v>0</v>
      </c>
      <c r="AD36" s="13">
        <f t="shared" si="29"/>
        <v>0</v>
      </c>
      <c r="AE36" s="13">
        <f t="shared" si="30"/>
        <v>0</v>
      </c>
      <c r="AF36" s="13">
        <f t="shared" si="31"/>
        <v>0</v>
      </c>
      <c r="AG36" s="13">
        <f t="shared" si="32"/>
        <v>0</v>
      </c>
      <c r="AH36" s="13">
        <f t="shared" si="33"/>
        <v>0</v>
      </c>
      <c r="AI36" s="13">
        <f t="shared" si="34"/>
        <v>0</v>
      </c>
      <c r="AJ36" s="13">
        <f t="shared" si="35"/>
        <v>0</v>
      </c>
    </row>
    <row r="37" spans="1:36" ht="15" customHeight="1" x14ac:dyDescent="0.25">
      <c r="A37" s="13">
        <f t="shared" si="18"/>
        <v>36</v>
      </c>
      <c r="B37" s="13" t="s">
        <v>32</v>
      </c>
      <c r="C37" s="13" t="s">
        <v>33</v>
      </c>
      <c r="D37" s="13" t="s">
        <v>259</v>
      </c>
      <c r="E37" s="14">
        <v>105000</v>
      </c>
      <c r="F37" s="15">
        <f t="shared" si="19"/>
        <v>105000</v>
      </c>
      <c r="G37" s="15">
        <f t="shared" si="20"/>
        <v>105000</v>
      </c>
      <c r="H37" s="32">
        <f>SUMPRODUCT((BOM!$C$2:$C$675=$C37)*BOM!$H$2:$H$675*BOM!$M$2:$M$675)</f>
        <v>1</v>
      </c>
      <c r="I37" s="32" t="s">
        <v>106</v>
      </c>
      <c r="J37" s="32" t="s">
        <v>266</v>
      </c>
      <c r="K37" s="32" t="str">
        <f t="shared" si="21"/>
        <v>KZT</v>
      </c>
      <c r="L37" s="32">
        <f t="shared" si="22"/>
        <v>1</v>
      </c>
      <c r="M37" s="32">
        <f t="shared" si="23"/>
        <v>1</v>
      </c>
      <c r="N37" s="13" t="s">
        <v>261</v>
      </c>
      <c r="O37" s="16">
        <f t="shared" si="24"/>
        <v>46218</v>
      </c>
      <c r="P37" s="13">
        <f t="shared" si="25"/>
        <v>2.1</v>
      </c>
      <c r="Q37" s="13" t="str">
        <f t="shared" si="26"/>
        <v>OK</v>
      </c>
      <c r="S37" s="18"/>
      <c r="T37" s="17">
        <v>5</v>
      </c>
      <c r="U37" s="18"/>
      <c r="V37" s="18"/>
      <c r="W37" s="18"/>
      <c r="X37" s="18"/>
      <c r="Y37" s="18"/>
      <c r="Z37" s="18"/>
      <c r="AA37" s="18"/>
      <c r="AB37" s="13" t="str">
        <f t="shared" si="27"/>
        <v>OLCU</v>
      </c>
      <c r="AC37" s="13">
        <f t="shared" si="28"/>
        <v>2.5</v>
      </c>
      <c r="AD37" s="13">
        <f t="shared" si="29"/>
        <v>10</v>
      </c>
      <c r="AE37" s="13">
        <f t="shared" si="30"/>
        <v>12</v>
      </c>
      <c r="AF37" s="13">
        <f t="shared" si="31"/>
        <v>0</v>
      </c>
      <c r="AG37" s="13">
        <f t="shared" si="32"/>
        <v>0</v>
      </c>
      <c r="AH37" s="13">
        <f t="shared" si="33"/>
        <v>0</v>
      </c>
      <c r="AI37" s="13">
        <f t="shared" si="34"/>
        <v>5</v>
      </c>
      <c r="AJ37" s="13">
        <f t="shared" si="35"/>
        <v>0</v>
      </c>
    </row>
    <row r="38" spans="1:36" ht="15" customHeight="1" x14ac:dyDescent="0.25">
      <c r="A38" s="13">
        <f t="shared" si="18"/>
        <v>37</v>
      </c>
      <c r="B38" s="13" t="s">
        <v>19</v>
      </c>
      <c r="C38" s="13" t="s">
        <v>20</v>
      </c>
      <c r="D38" s="13" t="s">
        <v>262</v>
      </c>
      <c r="E38" s="14">
        <v>172785</v>
      </c>
      <c r="F38" s="15">
        <f t="shared" si="19"/>
        <v>103671</v>
      </c>
      <c r="G38" s="15">
        <f t="shared" si="20"/>
        <v>103671</v>
      </c>
      <c r="H38" s="32">
        <f>SUMPRODUCT((BOM!$C$2:$C$675=$C38)*BOM!$H$2:$H$675*BOM!$M$2:$M$675)</f>
        <v>1</v>
      </c>
      <c r="I38" s="32" t="s">
        <v>106</v>
      </c>
      <c r="J38" s="32" t="s">
        <v>427</v>
      </c>
      <c r="K38" s="32" t="str">
        <f t="shared" si="21"/>
        <v>KZT</v>
      </c>
      <c r="L38" s="32">
        <f t="shared" si="22"/>
        <v>0.6</v>
      </c>
      <c r="M38" s="32">
        <f t="shared" si="23"/>
        <v>1</v>
      </c>
      <c r="N38" s="13" t="s">
        <v>261</v>
      </c>
      <c r="O38" s="16">
        <f t="shared" si="24"/>
        <v>46218</v>
      </c>
      <c r="P38" s="13">
        <f t="shared" si="25"/>
        <v>2.1</v>
      </c>
      <c r="Q38" s="13" t="str">
        <f t="shared" si="26"/>
        <v>OK</v>
      </c>
      <c r="S38" s="18"/>
      <c r="T38" s="18"/>
      <c r="U38" s="18"/>
      <c r="V38" s="18"/>
      <c r="W38" s="18"/>
      <c r="X38" s="17">
        <v>800</v>
      </c>
      <c r="Y38" s="17">
        <v>2000</v>
      </c>
      <c r="Z38" s="17">
        <v>450</v>
      </c>
      <c r="AA38" s="18"/>
      <c r="AB38" s="13" t="str">
        <f t="shared" si="27"/>
        <v>KORPUS</v>
      </c>
      <c r="AC38" s="13">
        <f t="shared" si="28"/>
        <v>0</v>
      </c>
      <c r="AD38" s="13">
        <f t="shared" si="29"/>
        <v>0</v>
      </c>
      <c r="AE38" s="13">
        <f t="shared" si="30"/>
        <v>0</v>
      </c>
      <c r="AF38" s="13">
        <f t="shared" si="31"/>
        <v>0</v>
      </c>
      <c r="AG38" s="13">
        <f t="shared" si="32"/>
        <v>0</v>
      </c>
      <c r="AH38" s="13">
        <f t="shared" si="33"/>
        <v>0</v>
      </c>
      <c r="AI38" s="13">
        <f t="shared" si="34"/>
        <v>0</v>
      </c>
      <c r="AJ38" s="13">
        <f t="shared" si="35"/>
        <v>0</v>
      </c>
    </row>
    <row r="39" spans="1:36" ht="15" customHeight="1" x14ac:dyDescent="0.25">
      <c r="A39" s="13">
        <f t="shared" si="18"/>
        <v>38</v>
      </c>
      <c r="B39" s="13" t="s">
        <v>19</v>
      </c>
      <c r="C39" s="13" t="s">
        <v>110</v>
      </c>
      <c r="D39" s="13" t="s">
        <v>263</v>
      </c>
      <c r="E39" s="14">
        <v>24000</v>
      </c>
      <c r="F39" s="15">
        <f t="shared" si="19"/>
        <v>14400</v>
      </c>
      <c r="G39" s="15">
        <f t="shared" si="20"/>
        <v>14400</v>
      </c>
      <c r="H39" s="32">
        <f>SUMPRODUCT((BOM!$C$2:$C$675=$C39)*BOM!$H$2:$H$675*BOM!$M$2:$M$675)</f>
        <v>1</v>
      </c>
      <c r="I39" s="32" t="s">
        <v>106</v>
      </c>
      <c r="J39" s="32" t="s">
        <v>427</v>
      </c>
      <c r="K39" s="32" t="str">
        <f t="shared" si="21"/>
        <v>KZT</v>
      </c>
      <c r="L39" s="32">
        <f t="shared" si="22"/>
        <v>0.6</v>
      </c>
      <c r="M39" s="32">
        <f t="shared" si="23"/>
        <v>1</v>
      </c>
      <c r="N39" s="13" t="s">
        <v>261</v>
      </c>
      <c r="O39" s="16">
        <f t="shared" si="24"/>
        <v>46218</v>
      </c>
      <c r="P39" s="13">
        <f t="shared" si="25"/>
        <v>2.1</v>
      </c>
      <c r="Q39" s="13" t="str">
        <f t="shared" si="26"/>
        <v>OK</v>
      </c>
      <c r="S39" s="18"/>
      <c r="T39" s="18"/>
      <c r="U39" s="18"/>
      <c r="V39" s="18"/>
      <c r="W39" s="18"/>
      <c r="X39" s="17">
        <v>310</v>
      </c>
      <c r="Y39" s="17">
        <v>660</v>
      </c>
      <c r="Z39" s="17">
        <v>120</v>
      </c>
      <c r="AA39" s="17">
        <v>48</v>
      </c>
      <c r="AB39" s="13" t="str">
        <f t="shared" si="27"/>
        <v>KORPUS</v>
      </c>
      <c r="AC39" s="13">
        <f t="shared" si="28"/>
        <v>0</v>
      </c>
      <c r="AD39" s="13">
        <f t="shared" si="29"/>
        <v>0</v>
      </c>
      <c r="AE39" s="13">
        <f t="shared" si="30"/>
        <v>0</v>
      </c>
      <c r="AF39" s="13">
        <f t="shared" si="31"/>
        <v>0</v>
      </c>
      <c r="AG39" s="13">
        <f t="shared" si="32"/>
        <v>0</v>
      </c>
      <c r="AH39" s="13">
        <f t="shared" si="33"/>
        <v>0</v>
      </c>
      <c r="AI39" s="13">
        <f t="shared" si="34"/>
        <v>0</v>
      </c>
      <c r="AJ39" s="13">
        <f t="shared" si="35"/>
        <v>0</v>
      </c>
    </row>
    <row r="40" spans="1:36" ht="15" customHeight="1" x14ac:dyDescent="0.25">
      <c r="A40" s="13">
        <f t="shared" si="18"/>
        <v>39</v>
      </c>
      <c r="B40" s="13" t="s">
        <v>19</v>
      </c>
      <c r="C40" s="13" t="s">
        <v>631</v>
      </c>
      <c r="D40" s="13" t="s">
        <v>632</v>
      </c>
      <c r="E40" s="14">
        <v>24490</v>
      </c>
      <c r="F40" s="15">
        <f t="shared" si="19"/>
        <v>14694</v>
      </c>
      <c r="G40" s="15">
        <f t="shared" si="20"/>
        <v>29388</v>
      </c>
      <c r="H40" s="32">
        <f>SUMPRODUCT((BOM!$C$2:$C$675=$C40)*BOM!$H$2:$H$675*BOM!$M$2:$M$675)</f>
        <v>2</v>
      </c>
      <c r="I40" s="32" t="s">
        <v>106</v>
      </c>
      <c r="J40" s="32" t="s">
        <v>427</v>
      </c>
      <c r="K40" s="32" t="str">
        <f t="shared" si="21"/>
        <v>KZT</v>
      </c>
      <c r="L40" s="32">
        <f t="shared" si="22"/>
        <v>0.6</v>
      </c>
      <c r="M40" s="32">
        <f t="shared" si="23"/>
        <v>1</v>
      </c>
      <c r="N40" s="13" t="s">
        <v>261</v>
      </c>
      <c r="O40" s="16">
        <f t="shared" si="24"/>
        <v>46218</v>
      </c>
      <c r="P40" s="13">
        <f t="shared" si="25"/>
        <v>2.1</v>
      </c>
      <c r="Q40" s="13" t="str">
        <f t="shared" si="26"/>
        <v>OK</v>
      </c>
      <c r="S40" s="18"/>
      <c r="T40" s="18"/>
      <c r="U40" s="18"/>
      <c r="V40" s="18"/>
      <c r="W40" s="18"/>
      <c r="X40" s="17">
        <v>450</v>
      </c>
      <c r="Y40" s="17">
        <v>670</v>
      </c>
      <c r="Z40" s="17">
        <v>125</v>
      </c>
      <c r="AA40" s="17">
        <v>72</v>
      </c>
      <c r="AB40" s="13" t="str">
        <f t="shared" si="27"/>
        <v>KORPUS</v>
      </c>
      <c r="AC40" s="13">
        <f t="shared" si="28"/>
        <v>0</v>
      </c>
      <c r="AD40" s="13">
        <f t="shared" si="29"/>
        <v>0</v>
      </c>
      <c r="AE40" s="13">
        <f t="shared" si="30"/>
        <v>0</v>
      </c>
      <c r="AF40" s="13">
        <f t="shared" si="31"/>
        <v>0</v>
      </c>
      <c r="AG40" s="13">
        <f t="shared" si="32"/>
        <v>0</v>
      </c>
      <c r="AH40" s="13">
        <f t="shared" si="33"/>
        <v>0</v>
      </c>
      <c r="AI40" s="13">
        <f t="shared" si="34"/>
        <v>0</v>
      </c>
      <c r="AJ40" s="13">
        <f t="shared" si="35"/>
        <v>0</v>
      </c>
    </row>
    <row r="41" spans="1:36" ht="15" customHeight="1" x14ac:dyDescent="0.25">
      <c r="A41" s="13">
        <f t="shared" si="18"/>
        <v>40</v>
      </c>
      <c r="B41" s="13" t="s">
        <v>19</v>
      </c>
      <c r="C41" s="13" t="s">
        <v>656</v>
      </c>
      <c r="D41" s="13" t="s">
        <v>657</v>
      </c>
      <c r="E41" s="14">
        <v>17500</v>
      </c>
      <c r="F41" s="15">
        <f t="shared" si="19"/>
        <v>10500</v>
      </c>
      <c r="G41" s="15">
        <f t="shared" si="20"/>
        <v>10500</v>
      </c>
      <c r="H41" s="32">
        <f>SUMPRODUCT((BOM!$C$2:$C$675=$C41)*BOM!$H$2:$H$675*BOM!$M$2:$M$675)</f>
        <v>1</v>
      </c>
      <c r="I41" s="32" t="s">
        <v>106</v>
      </c>
      <c r="J41" s="32" t="s">
        <v>428</v>
      </c>
      <c r="K41" s="32" t="str">
        <f t="shared" si="21"/>
        <v>KZT</v>
      </c>
      <c r="L41" s="32">
        <f t="shared" si="22"/>
        <v>0.6</v>
      </c>
      <c r="M41" s="32">
        <f t="shared" si="23"/>
        <v>1</v>
      </c>
      <c r="N41" s="13" t="s">
        <v>261</v>
      </c>
      <c r="O41" s="16">
        <f t="shared" si="24"/>
        <v>46218</v>
      </c>
      <c r="P41" s="13">
        <f t="shared" si="25"/>
        <v>2.1</v>
      </c>
      <c r="Q41" s="13" t="str">
        <f t="shared" si="26"/>
        <v>OK</v>
      </c>
      <c r="S41" s="18"/>
      <c r="T41" s="18"/>
      <c r="U41" s="18"/>
      <c r="V41" s="18"/>
      <c r="W41" s="18"/>
      <c r="X41" s="17">
        <v>320</v>
      </c>
      <c r="Y41" s="17">
        <v>550</v>
      </c>
      <c r="Z41" s="17">
        <v>120</v>
      </c>
      <c r="AA41" s="17">
        <v>36</v>
      </c>
      <c r="AB41" s="13" t="str">
        <f t="shared" si="27"/>
        <v>KORPUS</v>
      </c>
      <c r="AC41" s="13">
        <f t="shared" si="28"/>
        <v>0</v>
      </c>
      <c r="AD41" s="13">
        <f t="shared" si="29"/>
        <v>0</v>
      </c>
      <c r="AE41" s="13">
        <f t="shared" si="30"/>
        <v>0</v>
      </c>
      <c r="AF41" s="13">
        <f t="shared" si="31"/>
        <v>0</v>
      </c>
      <c r="AG41" s="13">
        <f t="shared" si="32"/>
        <v>0</v>
      </c>
      <c r="AH41" s="13">
        <f t="shared" si="33"/>
        <v>0</v>
      </c>
      <c r="AI41" s="13">
        <f t="shared" si="34"/>
        <v>0</v>
      </c>
      <c r="AJ41" s="13">
        <f t="shared" si="35"/>
        <v>0</v>
      </c>
    </row>
    <row r="42" spans="1:36" ht="15" customHeight="1" x14ac:dyDescent="0.25">
      <c r="A42" s="13">
        <f t="shared" si="18"/>
        <v>41</v>
      </c>
      <c r="B42" s="13" t="s">
        <v>19</v>
      </c>
      <c r="C42" s="13" t="s">
        <v>658</v>
      </c>
      <c r="D42" s="13" t="s">
        <v>659</v>
      </c>
      <c r="E42" s="14">
        <v>11000</v>
      </c>
      <c r="F42" s="15">
        <f t="shared" si="19"/>
        <v>6600</v>
      </c>
      <c r="G42" s="15">
        <f t="shared" si="20"/>
        <v>6600</v>
      </c>
      <c r="H42" s="32">
        <f>SUMPRODUCT((BOM!$C$2:$C$675=$C42)*BOM!$H$2:$H$675*BOM!$M$2:$M$675)</f>
        <v>1</v>
      </c>
      <c r="I42" s="32" t="s">
        <v>106</v>
      </c>
      <c r="J42" s="32" t="s">
        <v>428</v>
      </c>
      <c r="K42" s="32" t="str">
        <f t="shared" si="21"/>
        <v>KZT</v>
      </c>
      <c r="L42" s="32">
        <f t="shared" si="22"/>
        <v>0.6</v>
      </c>
      <c r="M42" s="32">
        <f t="shared" si="23"/>
        <v>1</v>
      </c>
      <c r="N42" s="13" t="s">
        <v>261</v>
      </c>
      <c r="O42" s="16">
        <f t="shared" si="24"/>
        <v>46218</v>
      </c>
      <c r="P42" s="13">
        <f t="shared" si="25"/>
        <v>2.1</v>
      </c>
      <c r="Q42" s="13" t="str">
        <f t="shared" si="26"/>
        <v>OK</v>
      </c>
      <c r="S42" s="18"/>
      <c r="T42" s="18"/>
      <c r="U42" s="18"/>
      <c r="V42" s="18"/>
      <c r="W42" s="18"/>
      <c r="X42" s="17">
        <v>450</v>
      </c>
      <c r="Y42" s="17">
        <v>275</v>
      </c>
      <c r="Z42" s="17">
        <v>120</v>
      </c>
      <c r="AA42" s="17">
        <v>18</v>
      </c>
      <c r="AB42" s="13" t="str">
        <f t="shared" si="27"/>
        <v>KORPUS</v>
      </c>
      <c r="AC42" s="13">
        <f t="shared" si="28"/>
        <v>0</v>
      </c>
      <c r="AD42" s="13">
        <f t="shared" si="29"/>
        <v>0</v>
      </c>
      <c r="AE42" s="13">
        <f t="shared" si="30"/>
        <v>0</v>
      </c>
      <c r="AF42" s="13">
        <f t="shared" si="31"/>
        <v>0</v>
      </c>
      <c r="AG42" s="13">
        <f t="shared" si="32"/>
        <v>0</v>
      </c>
      <c r="AH42" s="13">
        <f t="shared" si="33"/>
        <v>0</v>
      </c>
      <c r="AI42" s="13">
        <f t="shared" si="34"/>
        <v>0</v>
      </c>
      <c r="AJ42" s="13">
        <f t="shared" si="35"/>
        <v>0</v>
      </c>
    </row>
    <row r="43" spans="1:36" ht="15" customHeight="1" x14ac:dyDescent="0.25">
      <c r="A43" s="13">
        <f t="shared" si="18"/>
        <v>42</v>
      </c>
      <c r="B43" s="13" t="s">
        <v>19</v>
      </c>
      <c r="C43" s="13" t="s">
        <v>153</v>
      </c>
      <c r="D43" s="13" t="s">
        <v>264</v>
      </c>
      <c r="E43" s="14">
        <v>19500</v>
      </c>
      <c r="F43" s="15">
        <f t="shared" si="19"/>
        <v>11700</v>
      </c>
      <c r="G43" s="15">
        <f t="shared" si="20"/>
        <v>11700</v>
      </c>
      <c r="H43" s="32">
        <f>SUMPRODUCT((BOM!$C$2:$C$675=$C43)*BOM!$H$2:$H$675*BOM!$M$2:$M$675)</f>
        <v>1</v>
      </c>
      <c r="I43" s="32" t="s">
        <v>106</v>
      </c>
      <c r="J43" s="32" t="s">
        <v>427</v>
      </c>
      <c r="K43" s="32" t="str">
        <f t="shared" si="21"/>
        <v>KZT</v>
      </c>
      <c r="L43" s="32">
        <f t="shared" si="22"/>
        <v>0.6</v>
      </c>
      <c r="M43" s="32">
        <f t="shared" si="23"/>
        <v>1</v>
      </c>
      <c r="N43" s="13" t="s">
        <v>661</v>
      </c>
      <c r="O43" s="16">
        <f t="shared" si="24"/>
        <v>46282</v>
      </c>
      <c r="P43" s="13">
        <f t="shared" si="25"/>
        <v>0</v>
      </c>
      <c r="Q43" s="13" t="str">
        <f t="shared" si="26"/>
        <v>OK</v>
      </c>
      <c r="S43" s="18"/>
      <c r="T43" s="18"/>
      <c r="U43" s="18"/>
      <c r="V43" s="18"/>
      <c r="W43" s="18"/>
      <c r="X43" s="17">
        <v>310</v>
      </c>
      <c r="Y43" s="17">
        <v>395</v>
      </c>
      <c r="Z43" s="17">
        <v>120</v>
      </c>
      <c r="AA43" s="17">
        <v>24</v>
      </c>
      <c r="AB43" s="13" t="str">
        <f t="shared" si="27"/>
        <v>KORPUS</v>
      </c>
      <c r="AC43" s="13">
        <f t="shared" si="28"/>
        <v>0</v>
      </c>
      <c r="AD43" s="13">
        <f t="shared" si="29"/>
        <v>0</v>
      </c>
      <c r="AE43" s="13">
        <f t="shared" si="30"/>
        <v>0</v>
      </c>
      <c r="AF43" s="13">
        <f t="shared" si="31"/>
        <v>0</v>
      </c>
      <c r="AG43" s="13">
        <f t="shared" si="32"/>
        <v>0</v>
      </c>
      <c r="AH43" s="13">
        <f t="shared" si="33"/>
        <v>0</v>
      </c>
      <c r="AI43" s="13">
        <f t="shared" si="34"/>
        <v>0</v>
      </c>
      <c r="AJ43" s="13">
        <f t="shared" si="35"/>
        <v>0</v>
      </c>
    </row>
    <row r="44" spans="1:36" ht="15" customHeight="1" x14ac:dyDescent="0.25">
      <c r="A44" s="13">
        <f t="shared" si="18"/>
        <v>43</v>
      </c>
      <c r="B44" s="13" t="s">
        <v>19</v>
      </c>
      <c r="C44" s="13" t="s">
        <v>654</v>
      </c>
      <c r="D44" s="13" t="s">
        <v>655</v>
      </c>
      <c r="E44" s="14">
        <v>10620</v>
      </c>
      <c r="F44" s="15">
        <f t="shared" si="19"/>
        <v>6372</v>
      </c>
      <c r="G44" s="15">
        <f t="shared" si="20"/>
        <v>6372</v>
      </c>
      <c r="H44" s="32">
        <f>SUMPRODUCT((BOM!$C$2:$C$675=$C44)*BOM!$H$2:$H$675*BOM!$M$2:$M$675)</f>
        <v>1</v>
      </c>
      <c r="I44" s="32" t="s">
        <v>106</v>
      </c>
      <c r="J44" s="32" t="s">
        <v>427</v>
      </c>
      <c r="K44" s="32" t="str">
        <f t="shared" si="21"/>
        <v>KZT</v>
      </c>
      <c r="L44" s="32">
        <f t="shared" si="22"/>
        <v>0.6</v>
      </c>
      <c r="M44" s="32">
        <f t="shared" si="23"/>
        <v>1</v>
      </c>
      <c r="N44" s="13" t="s">
        <v>261</v>
      </c>
      <c r="O44" s="16">
        <f t="shared" si="24"/>
        <v>46218</v>
      </c>
      <c r="P44" s="13">
        <f t="shared" si="25"/>
        <v>2.1</v>
      </c>
      <c r="Q44" s="13" t="str">
        <f t="shared" si="26"/>
        <v>OK</v>
      </c>
      <c r="S44" s="18"/>
      <c r="T44" s="18"/>
      <c r="U44" s="18"/>
      <c r="V44" s="18"/>
      <c r="W44" s="18"/>
      <c r="X44" s="17">
        <v>310</v>
      </c>
      <c r="Y44" s="17">
        <v>395</v>
      </c>
      <c r="Z44" s="17">
        <v>120</v>
      </c>
      <c r="AA44" s="17">
        <v>24</v>
      </c>
      <c r="AB44" s="13" t="str">
        <f t="shared" si="27"/>
        <v>KORPUS</v>
      </c>
      <c r="AC44" s="13">
        <f t="shared" si="28"/>
        <v>0</v>
      </c>
      <c r="AD44" s="13">
        <f t="shared" si="29"/>
        <v>0</v>
      </c>
      <c r="AE44" s="13">
        <f t="shared" si="30"/>
        <v>0</v>
      </c>
      <c r="AF44" s="13">
        <f t="shared" si="31"/>
        <v>0</v>
      </c>
      <c r="AG44" s="13">
        <f t="shared" si="32"/>
        <v>0</v>
      </c>
      <c r="AH44" s="13">
        <f t="shared" si="33"/>
        <v>0</v>
      </c>
      <c r="AI44" s="13">
        <f t="shared" si="34"/>
        <v>0</v>
      </c>
      <c r="AJ44" s="13">
        <f t="shared" si="35"/>
        <v>0</v>
      </c>
    </row>
    <row r="45" spans="1:36" ht="15" customHeight="1" x14ac:dyDescent="0.25">
      <c r="A45" s="13">
        <f t="shared" si="18"/>
        <v>44</v>
      </c>
      <c r="B45" s="13" t="s">
        <v>59</v>
      </c>
      <c r="C45" s="13" t="s">
        <v>66</v>
      </c>
      <c r="D45" s="13" t="s">
        <v>265</v>
      </c>
      <c r="E45" s="18"/>
      <c r="F45" s="15" t="str">
        <f t="shared" si="19"/>
        <v/>
      </c>
      <c r="G45" s="15" t="str">
        <f t="shared" si="20"/>
        <v/>
      </c>
      <c r="H45" s="32">
        <f>SUMPRODUCT((BOM!$C$2:$C$675=$C45)*BOM!$H$2:$H$675*BOM!$M$2:$M$675)</f>
        <v>1</v>
      </c>
      <c r="I45" s="32" t="s">
        <v>106</v>
      </c>
      <c r="J45" s="32" t="s">
        <v>266</v>
      </c>
      <c r="K45" s="32" t="str">
        <f t="shared" si="21"/>
        <v>KZT</v>
      </c>
      <c r="L45" s="32">
        <f t="shared" si="22"/>
        <v>1</v>
      </c>
      <c r="M45" s="32">
        <f t="shared" si="23"/>
        <v>1</v>
      </c>
      <c r="N45" s="13" t="s">
        <v>267</v>
      </c>
      <c r="O45" s="16">
        <f t="shared" si="24"/>
        <v>46282</v>
      </c>
      <c r="P45" s="13">
        <f t="shared" si="25"/>
        <v>0</v>
      </c>
      <c r="Q45" s="13" t="str">
        <f t="shared" si="26"/>
        <v>FİYAT YOK</v>
      </c>
      <c r="S45" s="18"/>
      <c r="T45" s="18"/>
      <c r="U45" s="18"/>
      <c r="V45" s="18"/>
      <c r="W45" s="18"/>
      <c r="X45" s="18"/>
      <c r="Y45" s="18"/>
      <c r="Z45" s="18"/>
      <c r="AA45" s="18"/>
      <c r="AB45" s="13" t="str">
        <f t="shared" si="27"/>
        <v>KUMANDA</v>
      </c>
      <c r="AC45" s="13">
        <f t="shared" si="28"/>
        <v>1.5</v>
      </c>
      <c r="AD45" s="13">
        <f t="shared" si="29"/>
        <v>2</v>
      </c>
      <c r="AE45" s="13">
        <f t="shared" si="30"/>
        <v>1.6</v>
      </c>
      <c r="AF45" s="13">
        <f t="shared" si="31"/>
        <v>0</v>
      </c>
      <c r="AG45" s="13">
        <f t="shared" si="32"/>
        <v>0</v>
      </c>
      <c r="AH45" s="13">
        <f t="shared" si="33"/>
        <v>0</v>
      </c>
      <c r="AI45" s="13">
        <f t="shared" si="34"/>
        <v>0</v>
      </c>
      <c r="AJ45" s="13">
        <f t="shared" si="35"/>
        <v>0</v>
      </c>
    </row>
    <row r="46" spans="1:36" ht="15" customHeight="1" x14ac:dyDescent="0.25">
      <c r="A46" s="13">
        <f t="shared" si="18"/>
        <v>45</v>
      </c>
      <c r="B46" s="13" t="s">
        <v>75</v>
      </c>
      <c r="C46" s="13" t="s">
        <v>268</v>
      </c>
      <c r="D46" s="13" t="s">
        <v>269</v>
      </c>
      <c r="E46" s="14">
        <v>55</v>
      </c>
      <c r="F46" s="15">
        <f t="shared" si="19"/>
        <v>55</v>
      </c>
      <c r="G46" s="15">
        <f t="shared" si="20"/>
        <v>0</v>
      </c>
      <c r="H46" s="32">
        <f>SUMPRODUCT((BOM!$C$2:$C$675=$C46)*BOM!$H$2:$H$675*BOM!$M$2:$M$675)</f>
        <v>0</v>
      </c>
      <c r="I46" s="32" t="s">
        <v>256</v>
      </c>
      <c r="J46" s="32" t="s">
        <v>270</v>
      </c>
      <c r="K46" s="32" t="str">
        <f t="shared" si="21"/>
        <v>KZT</v>
      </c>
      <c r="L46" s="32">
        <f t="shared" si="22"/>
        <v>1</v>
      </c>
      <c r="M46" s="32">
        <f t="shared" si="23"/>
        <v>1</v>
      </c>
      <c r="N46" s="13" t="s">
        <v>271</v>
      </c>
      <c r="O46" s="16" t="str">
        <f t="shared" si="24"/>
        <v/>
      </c>
      <c r="P46" s="13" t="str">
        <f t="shared" si="25"/>
        <v/>
      </c>
      <c r="Q46" s="13" t="str">
        <f t="shared" si="26"/>
        <v>TARİH YOK</v>
      </c>
      <c r="S46" s="18"/>
      <c r="T46" s="18"/>
      <c r="U46" s="18"/>
      <c r="V46" s="18"/>
      <c r="W46" s="17">
        <v>0.75</v>
      </c>
      <c r="X46" s="18"/>
      <c r="Y46" s="18"/>
      <c r="Z46" s="18"/>
      <c r="AA46" s="18"/>
      <c r="AB46" s="13" t="str">
        <f t="shared" si="27"/>
        <v>SARF</v>
      </c>
      <c r="AC46" s="13">
        <f t="shared" si="28"/>
        <v>0</v>
      </c>
      <c r="AD46" s="13">
        <f t="shared" si="29"/>
        <v>0</v>
      </c>
      <c r="AE46" s="13">
        <f t="shared" si="30"/>
        <v>0</v>
      </c>
      <c r="AF46" s="13">
        <f t="shared" si="31"/>
        <v>0</v>
      </c>
      <c r="AG46" s="13">
        <f t="shared" si="32"/>
        <v>0</v>
      </c>
      <c r="AH46" s="13">
        <f t="shared" si="33"/>
        <v>0</v>
      </c>
      <c r="AI46" s="13">
        <f t="shared" si="34"/>
        <v>0</v>
      </c>
      <c r="AJ46" s="13">
        <f t="shared" si="35"/>
        <v>0</v>
      </c>
    </row>
    <row r="47" spans="1:36" ht="15" customHeight="1" x14ac:dyDescent="0.25">
      <c r="A47" s="13">
        <f t="shared" si="18"/>
        <v>46</v>
      </c>
      <c r="B47" s="13" t="s">
        <v>75</v>
      </c>
      <c r="C47" s="13" t="s">
        <v>272</v>
      </c>
      <c r="D47" s="13" t="s">
        <v>273</v>
      </c>
      <c r="E47" s="14">
        <v>77</v>
      </c>
      <c r="F47" s="15">
        <f t="shared" si="19"/>
        <v>77</v>
      </c>
      <c r="G47" s="15">
        <f t="shared" si="20"/>
        <v>0</v>
      </c>
      <c r="H47" s="32">
        <f>SUMPRODUCT((BOM!$C$2:$C$675=$C47)*BOM!$H$2:$H$675*BOM!$M$2:$M$675)</f>
        <v>0</v>
      </c>
      <c r="I47" s="32" t="s">
        <v>256</v>
      </c>
      <c r="J47" s="32" t="s">
        <v>270</v>
      </c>
      <c r="K47" s="32" t="str">
        <f t="shared" si="21"/>
        <v>KZT</v>
      </c>
      <c r="L47" s="32">
        <f t="shared" si="22"/>
        <v>1</v>
      </c>
      <c r="M47" s="32">
        <f t="shared" si="23"/>
        <v>1</v>
      </c>
      <c r="N47" s="13" t="s">
        <v>271</v>
      </c>
      <c r="O47" s="16" t="str">
        <f t="shared" si="24"/>
        <v/>
      </c>
      <c r="P47" s="13" t="str">
        <f t="shared" si="25"/>
        <v/>
      </c>
      <c r="Q47" s="13" t="str">
        <f t="shared" si="26"/>
        <v>TARİH YOK</v>
      </c>
      <c r="S47" s="18"/>
      <c r="T47" s="18"/>
      <c r="U47" s="18"/>
      <c r="V47" s="18"/>
      <c r="W47" s="17">
        <v>1</v>
      </c>
      <c r="X47" s="18"/>
      <c r="Y47" s="18"/>
      <c r="Z47" s="18"/>
      <c r="AA47" s="18"/>
      <c r="AB47" s="13" t="str">
        <f t="shared" si="27"/>
        <v>SARF</v>
      </c>
      <c r="AC47" s="13">
        <f t="shared" si="28"/>
        <v>0</v>
      </c>
      <c r="AD47" s="13">
        <f t="shared" si="29"/>
        <v>0</v>
      </c>
      <c r="AE47" s="13">
        <f t="shared" si="30"/>
        <v>0</v>
      </c>
      <c r="AF47" s="13">
        <f t="shared" si="31"/>
        <v>0</v>
      </c>
      <c r="AG47" s="13">
        <f t="shared" si="32"/>
        <v>0</v>
      </c>
      <c r="AH47" s="13">
        <f t="shared" si="33"/>
        <v>0</v>
      </c>
      <c r="AI47" s="13">
        <f t="shared" si="34"/>
        <v>0</v>
      </c>
      <c r="AJ47" s="13">
        <f t="shared" si="35"/>
        <v>0</v>
      </c>
    </row>
    <row r="48" spans="1:36" ht="15" customHeight="1" x14ac:dyDescent="0.25">
      <c r="A48" s="13">
        <f t="shared" si="18"/>
        <v>47</v>
      </c>
      <c r="B48" s="13" t="s">
        <v>75</v>
      </c>
      <c r="C48" s="13" t="s">
        <v>76</v>
      </c>
      <c r="D48" s="13" t="s">
        <v>274</v>
      </c>
      <c r="E48" s="14">
        <v>105</v>
      </c>
      <c r="F48" s="15">
        <f t="shared" si="19"/>
        <v>105</v>
      </c>
      <c r="G48" s="15">
        <f t="shared" si="20"/>
        <v>2971.5</v>
      </c>
      <c r="H48" s="32">
        <f>SUMPRODUCT((BOM!$C$2:$C$675=$C48)*BOM!$H$2:$H$675*BOM!$M$2:$M$675)</f>
        <v>28.3</v>
      </c>
      <c r="I48" s="32" t="s">
        <v>256</v>
      </c>
      <c r="J48" s="32" t="s">
        <v>270</v>
      </c>
      <c r="K48" s="32" t="str">
        <f t="shared" si="21"/>
        <v>KZT</v>
      </c>
      <c r="L48" s="32">
        <f t="shared" si="22"/>
        <v>1</v>
      </c>
      <c r="M48" s="32">
        <f t="shared" si="23"/>
        <v>1</v>
      </c>
      <c r="N48" s="13" t="s">
        <v>271</v>
      </c>
      <c r="O48" s="16" t="str">
        <f t="shared" si="24"/>
        <v/>
      </c>
      <c r="P48" s="13" t="str">
        <f t="shared" si="25"/>
        <v/>
      </c>
      <c r="Q48" s="13" t="str">
        <f t="shared" si="26"/>
        <v>TARİH YOK</v>
      </c>
      <c r="S48" s="18"/>
      <c r="T48" s="18"/>
      <c r="U48" s="18"/>
      <c r="V48" s="18"/>
      <c r="W48" s="17">
        <v>1.5</v>
      </c>
      <c r="X48" s="18"/>
      <c r="Y48" s="18"/>
      <c r="Z48" s="18"/>
      <c r="AA48" s="18"/>
      <c r="AB48" s="13" t="str">
        <f t="shared" si="27"/>
        <v>SARF</v>
      </c>
      <c r="AC48" s="13">
        <f t="shared" si="28"/>
        <v>0</v>
      </c>
      <c r="AD48" s="13">
        <f t="shared" si="29"/>
        <v>0</v>
      </c>
      <c r="AE48" s="13">
        <f t="shared" si="30"/>
        <v>0</v>
      </c>
      <c r="AF48" s="13">
        <f t="shared" si="31"/>
        <v>0</v>
      </c>
      <c r="AG48" s="13">
        <f t="shared" si="32"/>
        <v>0</v>
      </c>
      <c r="AH48" s="13">
        <f t="shared" si="33"/>
        <v>0</v>
      </c>
      <c r="AI48" s="13">
        <f t="shared" si="34"/>
        <v>0</v>
      </c>
      <c r="AJ48" s="13">
        <f t="shared" si="35"/>
        <v>0</v>
      </c>
    </row>
    <row r="49" spans="1:36" ht="15" customHeight="1" x14ac:dyDescent="0.25">
      <c r="A49" s="13">
        <f t="shared" si="18"/>
        <v>48</v>
      </c>
      <c r="B49" s="13" t="s">
        <v>75</v>
      </c>
      <c r="C49" s="13" t="s">
        <v>78</v>
      </c>
      <c r="D49" s="13" t="s">
        <v>275</v>
      </c>
      <c r="E49" s="14">
        <v>174</v>
      </c>
      <c r="F49" s="15">
        <f t="shared" si="19"/>
        <v>174</v>
      </c>
      <c r="G49" s="15">
        <f t="shared" si="20"/>
        <v>7690.7999999999984</v>
      </c>
      <c r="H49" s="32">
        <f>SUMPRODUCT((BOM!$C$2:$C$675=$C49)*BOM!$H$2:$H$675*BOM!$M$2:$M$675)</f>
        <v>44.199999999999989</v>
      </c>
      <c r="I49" s="32" t="s">
        <v>256</v>
      </c>
      <c r="J49" s="32" t="s">
        <v>270</v>
      </c>
      <c r="K49" s="32" t="str">
        <f t="shared" si="21"/>
        <v>KZT</v>
      </c>
      <c r="L49" s="32">
        <f t="shared" si="22"/>
        <v>1</v>
      </c>
      <c r="M49" s="32">
        <f t="shared" si="23"/>
        <v>1</v>
      </c>
      <c r="N49" s="13" t="s">
        <v>271</v>
      </c>
      <c r="O49" s="16" t="str">
        <f t="shared" si="24"/>
        <v/>
      </c>
      <c r="P49" s="13" t="str">
        <f t="shared" si="25"/>
        <v/>
      </c>
      <c r="Q49" s="13" t="str">
        <f t="shared" si="26"/>
        <v>TARİH YOK</v>
      </c>
      <c r="S49" s="18"/>
      <c r="T49" s="18"/>
      <c r="U49" s="18"/>
      <c r="V49" s="18"/>
      <c r="W49" s="17">
        <v>2.5</v>
      </c>
      <c r="X49" s="18"/>
      <c r="Y49" s="18"/>
      <c r="Z49" s="18"/>
      <c r="AA49" s="18"/>
      <c r="AB49" s="13" t="str">
        <f t="shared" si="27"/>
        <v>SARF</v>
      </c>
      <c r="AC49" s="13">
        <f t="shared" si="28"/>
        <v>0</v>
      </c>
      <c r="AD49" s="13">
        <f t="shared" si="29"/>
        <v>0</v>
      </c>
      <c r="AE49" s="13">
        <f t="shared" si="30"/>
        <v>0</v>
      </c>
      <c r="AF49" s="13">
        <f t="shared" si="31"/>
        <v>0</v>
      </c>
      <c r="AG49" s="13">
        <f t="shared" si="32"/>
        <v>0</v>
      </c>
      <c r="AH49" s="13">
        <f t="shared" si="33"/>
        <v>0</v>
      </c>
      <c r="AI49" s="13">
        <f t="shared" si="34"/>
        <v>0</v>
      </c>
      <c r="AJ49" s="13">
        <f t="shared" si="35"/>
        <v>0</v>
      </c>
    </row>
    <row r="50" spans="1:36" ht="15" customHeight="1" x14ac:dyDescent="0.25">
      <c r="A50" s="13">
        <f t="shared" si="18"/>
        <v>49</v>
      </c>
      <c r="B50" s="13" t="s">
        <v>75</v>
      </c>
      <c r="C50" s="13" t="s">
        <v>124</v>
      </c>
      <c r="D50" s="13" t="s">
        <v>276</v>
      </c>
      <c r="E50" s="14">
        <v>274</v>
      </c>
      <c r="F50" s="15">
        <f t="shared" si="19"/>
        <v>274</v>
      </c>
      <c r="G50" s="15">
        <f t="shared" si="20"/>
        <v>1178.2</v>
      </c>
      <c r="H50" s="32">
        <f>SUMPRODUCT((BOM!$C$2:$C$675=$C50)*BOM!$H$2:$H$675*BOM!$M$2:$M$675)</f>
        <v>4.3</v>
      </c>
      <c r="I50" s="32" t="s">
        <v>256</v>
      </c>
      <c r="J50" s="32" t="s">
        <v>270</v>
      </c>
      <c r="K50" s="32" t="str">
        <f t="shared" si="21"/>
        <v>KZT</v>
      </c>
      <c r="L50" s="32">
        <f t="shared" si="22"/>
        <v>1</v>
      </c>
      <c r="M50" s="32">
        <f t="shared" si="23"/>
        <v>1</v>
      </c>
      <c r="N50" s="13" t="s">
        <v>271</v>
      </c>
      <c r="O50" s="16" t="str">
        <f t="shared" si="24"/>
        <v/>
      </c>
      <c r="P50" s="13" t="str">
        <f t="shared" si="25"/>
        <v/>
      </c>
      <c r="Q50" s="13" t="str">
        <f t="shared" si="26"/>
        <v>TARİH YOK</v>
      </c>
      <c r="S50" s="18"/>
      <c r="T50" s="18"/>
      <c r="U50" s="18"/>
      <c r="V50" s="18"/>
      <c r="W50" s="17">
        <v>4</v>
      </c>
      <c r="X50" s="18"/>
      <c r="Y50" s="18"/>
      <c r="Z50" s="18"/>
      <c r="AA50" s="18"/>
      <c r="AB50" s="13" t="str">
        <f t="shared" si="27"/>
        <v>SARF</v>
      </c>
      <c r="AC50" s="13">
        <f t="shared" si="28"/>
        <v>0</v>
      </c>
      <c r="AD50" s="13">
        <f t="shared" si="29"/>
        <v>0</v>
      </c>
      <c r="AE50" s="13">
        <f t="shared" si="30"/>
        <v>0</v>
      </c>
      <c r="AF50" s="13">
        <f t="shared" si="31"/>
        <v>0</v>
      </c>
      <c r="AG50" s="13">
        <f t="shared" si="32"/>
        <v>0</v>
      </c>
      <c r="AH50" s="13">
        <f t="shared" si="33"/>
        <v>0</v>
      </c>
      <c r="AI50" s="13">
        <f t="shared" si="34"/>
        <v>0</v>
      </c>
      <c r="AJ50" s="13">
        <f t="shared" si="35"/>
        <v>0</v>
      </c>
    </row>
    <row r="51" spans="1:36" ht="15" customHeight="1" x14ac:dyDescent="0.25">
      <c r="A51" s="13">
        <f t="shared" si="18"/>
        <v>50</v>
      </c>
      <c r="B51" s="13" t="s">
        <v>75</v>
      </c>
      <c r="C51" s="13" t="s">
        <v>86</v>
      </c>
      <c r="D51" s="13" t="s">
        <v>277</v>
      </c>
      <c r="E51" s="14">
        <v>398</v>
      </c>
      <c r="F51" s="15">
        <f t="shared" si="19"/>
        <v>398</v>
      </c>
      <c r="G51" s="15">
        <f t="shared" si="20"/>
        <v>4019.7999999999997</v>
      </c>
      <c r="H51" s="32">
        <f>SUMPRODUCT((BOM!$C$2:$C$675=$C51)*BOM!$H$2:$H$675*BOM!$M$2:$M$675)</f>
        <v>10.1</v>
      </c>
      <c r="I51" s="32" t="s">
        <v>256</v>
      </c>
      <c r="J51" s="32" t="s">
        <v>270</v>
      </c>
      <c r="K51" s="32" t="str">
        <f t="shared" si="21"/>
        <v>KZT</v>
      </c>
      <c r="L51" s="32">
        <f t="shared" si="22"/>
        <v>1</v>
      </c>
      <c r="M51" s="32">
        <f t="shared" si="23"/>
        <v>1</v>
      </c>
      <c r="N51" s="13" t="s">
        <v>271</v>
      </c>
      <c r="O51" s="16" t="str">
        <f t="shared" si="24"/>
        <v/>
      </c>
      <c r="P51" s="13" t="str">
        <f t="shared" si="25"/>
        <v/>
      </c>
      <c r="Q51" s="13" t="str">
        <f t="shared" si="26"/>
        <v>TARİH YOK</v>
      </c>
      <c r="S51" s="18"/>
      <c r="T51" s="18"/>
      <c r="U51" s="18"/>
      <c r="V51" s="18"/>
      <c r="W51" s="17">
        <v>6</v>
      </c>
      <c r="X51" s="18"/>
      <c r="Y51" s="18"/>
      <c r="Z51" s="18"/>
      <c r="AA51" s="18"/>
      <c r="AB51" s="13" t="str">
        <f t="shared" si="27"/>
        <v>SARF</v>
      </c>
      <c r="AC51" s="13">
        <f t="shared" si="28"/>
        <v>0</v>
      </c>
      <c r="AD51" s="13">
        <f t="shared" si="29"/>
        <v>0</v>
      </c>
      <c r="AE51" s="13">
        <f t="shared" si="30"/>
        <v>0</v>
      </c>
      <c r="AF51" s="13">
        <f t="shared" si="31"/>
        <v>0</v>
      </c>
      <c r="AG51" s="13">
        <f t="shared" si="32"/>
        <v>0</v>
      </c>
      <c r="AH51" s="13">
        <f t="shared" si="33"/>
        <v>0</v>
      </c>
      <c r="AI51" s="13">
        <f t="shared" si="34"/>
        <v>0</v>
      </c>
      <c r="AJ51" s="13">
        <f t="shared" si="35"/>
        <v>0</v>
      </c>
    </row>
    <row r="52" spans="1:36" ht="15" customHeight="1" x14ac:dyDescent="0.25">
      <c r="A52" s="13">
        <f t="shared" si="18"/>
        <v>51</v>
      </c>
      <c r="B52" s="13" t="s">
        <v>75</v>
      </c>
      <c r="C52" s="13" t="s">
        <v>127</v>
      </c>
      <c r="D52" s="13" t="s">
        <v>278</v>
      </c>
      <c r="E52" s="14">
        <v>697</v>
      </c>
      <c r="F52" s="15">
        <f t="shared" si="19"/>
        <v>697</v>
      </c>
      <c r="G52" s="15">
        <f t="shared" si="20"/>
        <v>557.6</v>
      </c>
      <c r="H52" s="32">
        <f>SUMPRODUCT((BOM!$C$2:$C$675=$C52)*BOM!$H$2:$H$675*BOM!$M$2:$M$675)</f>
        <v>0.8</v>
      </c>
      <c r="I52" s="32" t="s">
        <v>256</v>
      </c>
      <c r="J52" s="32" t="s">
        <v>270</v>
      </c>
      <c r="K52" s="32" t="str">
        <f t="shared" si="21"/>
        <v>KZT</v>
      </c>
      <c r="L52" s="32">
        <f t="shared" si="22"/>
        <v>1</v>
      </c>
      <c r="M52" s="32">
        <f t="shared" si="23"/>
        <v>1</v>
      </c>
      <c r="N52" s="13" t="s">
        <v>271</v>
      </c>
      <c r="O52" s="16" t="str">
        <f t="shared" si="24"/>
        <v/>
      </c>
      <c r="P52" s="13" t="str">
        <f t="shared" si="25"/>
        <v/>
      </c>
      <c r="Q52" s="13" t="str">
        <f t="shared" si="26"/>
        <v>TARİH YOK</v>
      </c>
      <c r="S52" s="18"/>
      <c r="T52" s="18"/>
      <c r="U52" s="18"/>
      <c r="V52" s="18"/>
      <c r="W52" s="17">
        <v>10</v>
      </c>
      <c r="X52" s="18"/>
      <c r="Y52" s="18"/>
      <c r="Z52" s="18"/>
      <c r="AA52" s="18"/>
      <c r="AB52" s="13" t="str">
        <f t="shared" si="27"/>
        <v>SARF</v>
      </c>
      <c r="AC52" s="13">
        <f t="shared" si="28"/>
        <v>0</v>
      </c>
      <c r="AD52" s="13">
        <f t="shared" si="29"/>
        <v>0</v>
      </c>
      <c r="AE52" s="13">
        <f t="shared" si="30"/>
        <v>0</v>
      </c>
      <c r="AF52" s="13">
        <f t="shared" si="31"/>
        <v>0</v>
      </c>
      <c r="AG52" s="13">
        <f t="shared" si="32"/>
        <v>0</v>
      </c>
      <c r="AH52" s="13">
        <f t="shared" si="33"/>
        <v>0</v>
      </c>
      <c r="AI52" s="13">
        <f t="shared" si="34"/>
        <v>0</v>
      </c>
      <c r="AJ52" s="13">
        <f t="shared" si="35"/>
        <v>0</v>
      </c>
    </row>
    <row r="53" spans="1:36" ht="15" customHeight="1" x14ac:dyDescent="0.25">
      <c r="A53" s="13">
        <f t="shared" si="18"/>
        <v>52</v>
      </c>
      <c r="B53" s="13" t="s">
        <v>75</v>
      </c>
      <c r="C53" s="13" t="s">
        <v>142</v>
      </c>
      <c r="D53" s="13" t="s">
        <v>279</v>
      </c>
      <c r="E53" s="14">
        <v>1084</v>
      </c>
      <c r="F53" s="15">
        <f t="shared" si="19"/>
        <v>1084</v>
      </c>
      <c r="G53" s="15">
        <f t="shared" si="20"/>
        <v>3252</v>
      </c>
      <c r="H53" s="32">
        <f>SUMPRODUCT((BOM!$C$2:$C$675=$C53)*BOM!$H$2:$H$675*BOM!$M$2:$M$675)</f>
        <v>3</v>
      </c>
      <c r="I53" s="32" t="s">
        <v>256</v>
      </c>
      <c r="J53" s="32" t="s">
        <v>270</v>
      </c>
      <c r="K53" s="32" t="str">
        <f t="shared" si="21"/>
        <v>KZT</v>
      </c>
      <c r="L53" s="32">
        <f t="shared" si="22"/>
        <v>1</v>
      </c>
      <c r="M53" s="32">
        <f t="shared" si="23"/>
        <v>1</v>
      </c>
      <c r="N53" s="13" t="s">
        <v>271</v>
      </c>
      <c r="O53" s="16" t="str">
        <f t="shared" si="24"/>
        <v/>
      </c>
      <c r="P53" s="13" t="str">
        <f t="shared" si="25"/>
        <v/>
      </c>
      <c r="Q53" s="13" t="str">
        <f t="shared" si="26"/>
        <v>TARİH YOK</v>
      </c>
      <c r="S53" s="18"/>
      <c r="T53" s="18"/>
      <c r="U53" s="18"/>
      <c r="V53" s="18"/>
      <c r="W53" s="17">
        <v>16</v>
      </c>
      <c r="X53" s="18"/>
      <c r="Y53" s="18"/>
      <c r="Z53" s="18"/>
      <c r="AA53" s="18"/>
      <c r="AB53" s="13" t="str">
        <f t="shared" si="27"/>
        <v>SARF</v>
      </c>
      <c r="AC53" s="13">
        <f t="shared" si="28"/>
        <v>0</v>
      </c>
      <c r="AD53" s="13">
        <f t="shared" si="29"/>
        <v>0</v>
      </c>
      <c r="AE53" s="13">
        <f t="shared" si="30"/>
        <v>0</v>
      </c>
      <c r="AF53" s="13">
        <f t="shared" si="31"/>
        <v>0</v>
      </c>
      <c r="AG53" s="13">
        <f t="shared" si="32"/>
        <v>0</v>
      </c>
      <c r="AH53" s="13">
        <f t="shared" si="33"/>
        <v>0</v>
      </c>
      <c r="AI53" s="13">
        <f t="shared" si="34"/>
        <v>0</v>
      </c>
      <c r="AJ53" s="13">
        <f t="shared" si="35"/>
        <v>0</v>
      </c>
    </row>
    <row r="54" spans="1:36" ht="15" customHeight="1" x14ac:dyDescent="0.25">
      <c r="A54" s="13">
        <f t="shared" si="18"/>
        <v>53</v>
      </c>
      <c r="B54" s="13" t="s">
        <v>75</v>
      </c>
      <c r="C54" s="13" t="s">
        <v>80</v>
      </c>
      <c r="D54" s="13" t="s">
        <v>280</v>
      </c>
      <c r="E54" s="14">
        <v>1688</v>
      </c>
      <c r="F54" s="15">
        <f t="shared" si="19"/>
        <v>1688</v>
      </c>
      <c r="G54" s="15">
        <f t="shared" si="20"/>
        <v>3038.4</v>
      </c>
      <c r="H54" s="32">
        <f>SUMPRODUCT((BOM!$C$2:$C$675=$C54)*BOM!$H$2:$H$675*BOM!$M$2:$M$675)</f>
        <v>1.8</v>
      </c>
      <c r="I54" s="32" t="s">
        <v>256</v>
      </c>
      <c r="J54" s="32" t="s">
        <v>270</v>
      </c>
      <c r="K54" s="32" t="str">
        <f t="shared" si="21"/>
        <v>KZT</v>
      </c>
      <c r="L54" s="32">
        <f t="shared" si="22"/>
        <v>1</v>
      </c>
      <c r="M54" s="32">
        <f t="shared" si="23"/>
        <v>1</v>
      </c>
      <c r="N54" s="13" t="s">
        <v>271</v>
      </c>
      <c r="O54" s="16" t="str">
        <f t="shared" si="24"/>
        <v/>
      </c>
      <c r="P54" s="13" t="str">
        <f t="shared" si="25"/>
        <v/>
      </c>
      <c r="Q54" s="13" t="str">
        <f t="shared" si="26"/>
        <v>TARİH YOK</v>
      </c>
      <c r="S54" s="18"/>
      <c r="T54" s="18"/>
      <c r="U54" s="18"/>
      <c r="V54" s="18"/>
      <c r="W54" s="17">
        <v>25</v>
      </c>
      <c r="X54" s="18"/>
      <c r="Y54" s="18"/>
      <c r="Z54" s="18"/>
      <c r="AA54" s="18"/>
      <c r="AB54" s="13" t="str">
        <f t="shared" si="27"/>
        <v>SARF</v>
      </c>
      <c r="AC54" s="13">
        <f t="shared" si="28"/>
        <v>0</v>
      </c>
      <c r="AD54" s="13">
        <f t="shared" si="29"/>
        <v>0</v>
      </c>
      <c r="AE54" s="13">
        <f t="shared" si="30"/>
        <v>0</v>
      </c>
      <c r="AF54" s="13">
        <f t="shared" si="31"/>
        <v>0</v>
      </c>
      <c r="AG54" s="13">
        <f t="shared" si="32"/>
        <v>0</v>
      </c>
      <c r="AH54" s="13">
        <f t="shared" si="33"/>
        <v>0</v>
      </c>
      <c r="AI54" s="13">
        <f t="shared" si="34"/>
        <v>0</v>
      </c>
      <c r="AJ54" s="13">
        <f t="shared" si="35"/>
        <v>0</v>
      </c>
    </row>
    <row r="55" spans="1:36" ht="15" customHeight="1" x14ac:dyDescent="0.25">
      <c r="A55" s="13">
        <f t="shared" si="18"/>
        <v>54</v>
      </c>
      <c r="B55" s="13" t="s">
        <v>75</v>
      </c>
      <c r="C55" s="13" t="s">
        <v>82</v>
      </c>
      <c r="D55" s="13" t="s">
        <v>281</v>
      </c>
      <c r="E55" s="14">
        <v>2399</v>
      </c>
      <c r="F55" s="15">
        <f t="shared" si="19"/>
        <v>2399</v>
      </c>
      <c r="G55" s="15">
        <f t="shared" si="20"/>
        <v>7916.7</v>
      </c>
      <c r="H55" s="32">
        <f>SUMPRODUCT((BOM!$C$2:$C$675=$C55)*BOM!$H$2:$H$675*BOM!$M$2:$M$675)</f>
        <v>3.3</v>
      </c>
      <c r="I55" s="32" t="s">
        <v>256</v>
      </c>
      <c r="J55" s="32" t="s">
        <v>270</v>
      </c>
      <c r="K55" s="32" t="str">
        <f t="shared" si="21"/>
        <v>KZT</v>
      </c>
      <c r="L55" s="32">
        <f t="shared" si="22"/>
        <v>1</v>
      </c>
      <c r="M55" s="32">
        <f t="shared" si="23"/>
        <v>1</v>
      </c>
      <c r="N55" s="13" t="s">
        <v>271</v>
      </c>
      <c r="O55" s="16" t="str">
        <f t="shared" si="24"/>
        <v/>
      </c>
      <c r="P55" s="13" t="str">
        <f t="shared" si="25"/>
        <v/>
      </c>
      <c r="Q55" s="13" t="str">
        <f t="shared" si="26"/>
        <v>TARİH YOK</v>
      </c>
      <c r="S55" s="18"/>
      <c r="T55" s="18"/>
      <c r="U55" s="18"/>
      <c r="V55" s="18"/>
      <c r="W55" s="17">
        <v>35</v>
      </c>
      <c r="X55" s="18"/>
      <c r="Y55" s="18"/>
      <c r="Z55" s="18"/>
      <c r="AA55" s="18"/>
      <c r="AB55" s="13" t="str">
        <f t="shared" si="27"/>
        <v>SARF</v>
      </c>
      <c r="AC55" s="13">
        <f t="shared" si="28"/>
        <v>0</v>
      </c>
      <c r="AD55" s="13">
        <f t="shared" si="29"/>
        <v>0</v>
      </c>
      <c r="AE55" s="13">
        <f t="shared" si="30"/>
        <v>0</v>
      </c>
      <c r="AF55" s="13">
        <f t="shared" si="31"/>
        <v>0</v>
      </c>
      <c r="AG55" s="13">
        <f t="shared" si="32"/>
        <v>0</v>
      </c>
      <c r="AH55" s="13">
        <f t="shared" si="33"/>
        <v>0</v>
      </c>
      <c r="AI55" s="13">
        <f t="shared" si="34"/>
        <v>0</v>
      </c>
      <c r="AJ55" s="13">
        <f t="shared" si="35"/>
        <v>0</v>
      </c>
    </row>
    <row r="56" spans="1:36" ht="15" customHeight="1" x14ac:dyDescent="0.25">
      <c r="A56" s="13">
        <f t="shared" si="18"/>
        <v>55</v>
      </c>
      <c r="B56" s="13" t="s">
        <v>75</v>
      </c>
      <c r="C56" s="13" t="s">
        <v>84</v>
      </c>
      <c r="D56" s="13" t="s">
        <v>282</v>
      </c>
      <c r="E56" s="14">
        <v>3455</v>
      </c>
      <c r="F56" s="15">
        <f t="shared" si="19"/>
        <v>3455</v>
      </c>
      <c r="G56" s="15">
        <f t="shared" si="20"/>
        <v>13820</v>
      </c>
      <c r="H56" s="32">
        <f>SUMPRODUCT((BOM!$C$2:$C$675=$C56)*BOM!$H$2:$H$675*BOM!$M$2:$M$675)</f>
        <v>4</v>
      </c>
      <c r="I56" s="32" t="s">
        <v>256</v>
      </c>
      <c r="J56" s="32" t="s">
        <v>270</v>
      </c>
      <c r="K56" s="32" t="str">
        <f t="shared" si="21"/>
        <v>KZT</v>
      </c>
      <c r="L56" s="32">
        <f t="shared" si="22"/>
        <v>1</v>
      </c>
      <c r="M56" s="32">
        <f t="shared" si="23"/>
        <v>1</v>
      </c>
      <c r="N56" s="13" t="s">
        <v>271</v>
      </c>
      <c r="O56" s="16" t="str">
        <f t="shared" si="24"/>
        <v/>
      </c>
      <c r="P56" s="13" t="str">
        <f t="shared" si="25"/>
        <v/>
      </c>
      <c r="Q56" s="13" t="str">
        <f t="shared" si="26"/>
        <v>TARİH YOK</v>
      </c>
      <c r="S56" s="18"/>
      <c r="T56" s="18"/>
      <c r="U56" s="18"/>
      <c r="V56" s="18"/>
      <c r="W56" s="17">
        <v>50</v>
      </c>
      <c r="X56" s="18"/>
      <c r="Y56" s="18"/>
      <c r="Z56" s="18"/>
      <c r="AA56" s="18"/>
      <c r="AB56" s="13" t="str">
        <f t="shared" si="27"/>
        <v>SARF</v>
      </c>
      <c r="AC56" s="13">
        <f t="shared" si="28"/>
        <v>0</v>
      </c>
      <c r="AD56" s="13">
        <f t="shared" si="29"/>
        <v>0</v>
      </c>
      <c r="AE56" s="13">
        <f t="shared" si="30"/>
        <v>0</v>
      </c>
      <c r="AF56" s="13">
        <f t="shared" si="31"/>
        <v>0</v>
      </c>
      <c r="AG56" s="13">
        <f t="shared" si="32"/>
        <v>0</v>
      </c>
      <c r="AH56" s="13">
        <f t="shared" si="33"/>
        <v>0</v>
      </c>
      <c r="AI56" s="13">
        <f t="shared" si="34"/>
        <v>0</v>
      </c>
      <c r="AJ56" s="13">
        <f t="shared" si="35"/>
        <v>0</v>
      </c>
    </row>
    <row r="57" spans="1:36" ht="15" customHeight="1" x14ac:dyDescent="0.25">
      <c r="A57" s="13">
        <f t="shared" si="18"/>
        <v>56</v>
      </c>
      <c r="B57" s="13" t="s">
        <v>75</v>
      </c>
      <c r="C57" s="13" t="s">
        <v>283</v>
      </c>
      <c r="D57" s="13" t="s">
        <v>284</v>
      </c>
      <c r="E57" s="14">
        <v>4875</v>
      </c>
      <c r="F57" s="15">
        <f t="shared" si="19"/>
        <v>4875</v>
      </c>
      <c r="G57" s="15">
        <f t="shared" si="20"/>
        <v>0</v>
      </c>
      <c r="H57" s="32">
        <f>SUMPRODUCT((BOM!$C$2:$C$675=$C57)*BOM!$H$2:$H$675*BOM!$M$2:$M$675)</f>
        <v>0</v>
      </c>
      <c r="I57" s="32" t="s">
        <v>256</v>
      </c>
      <c r="J57" s="32" t="s">
        <v>270</v>
      </c>
      <c r="K57" s="32" t="str">
        <f t="shared" si="21"/>
        <v>KZT</v>
      </c>
      <c r="L57" s="32">
        <f t="shared" si="22"/>
        <v>1</v>
      </c>
      <c r="M57" s="32">
        <f t="shared" si="23"/>
        <v>1</v>
      </c>
      <c r="N57" s="13" t="s">
        <v>271</v>
      </c>
      <c r="O57" s="16" t="str">
        <f t="shared" si="24"/>
        <v/>
      </c>
      <c r="P57" s="13" t="str">
        <f t="shared" si="25"/>
        <v/>
      </c>
      <c r="Q57" s="13" t="str">
        <f t="shared" si="26"/>
        <v>TARİH YOK</v>
      </c>
      <c r="S57" s="18"/>
      <c r="T57" s="18"/>
      <c r="U57" s="18"/>
      <c r="V57" s="18"/>
      <c r="W57" s="17">
        <v>70</v>
      </c>
      <c r="X57" s="18"/>
      <c r="Y57" s="18"/>
      <c r="Z57" s="18"/>
      <c r="AA57" s="18"/>
      <c r="AB57" s="13" t="str">
        <f t="shared" si="27"/>
        <v>SARF</v>
      </c>
      <c r="AC57" s="13">
        <f t="shared" si="28"/>
        <v>0</v>
      </c>
      <c r="AD57" s="13">
        <f t="shared" si="29"/>
        <v>0</v>
      </c>
      <c r="AE57" s="13">
        <f t="shared" si="30"/>
        <v>0</v>
      </c>
      <c r="AF57" s="13">
        <f t="shared" si="31"/>
        <v>0</v>
      </c>
      <c r="AG57" s="13">
        <f t="shared" si="32"/>
        <v>0</v>
      </c>
      <c r="AH57" s="13">
        <f t="shared" si="33"/>
        <v>0</v>
      </c>
      <c r="AI57" s="13">
        <f t="shared" si="34"/>
        <v>0</v>
      </c>
      <c r="AJ57" s="13">
        <f t="shared" si="35"/>
        <v>0</v>
      </c>
    </row>
    <row r="58" spans="1:36" ht="15" customHeight="1" x14ac:dyDescent="0.25">
      <c r="A58" s="13">
        <f t="shared" si="18"/>
        <v>57</v>
      </c>
      <c r="B58" s="13" t="s">
        <v>75</v>
      </c>
      <c r="C58" s="13" t="s">
        <v>285</v>
      </c>
      <c r="D58" s="13" t="s">
        <v>286</v>
      </c>
      <c r="E58" s="14">
        <v>6463</v>
      </c>
      <c r="F58" s="15">
        <f t="shared" si="19"/>
        <v>6463</v>
      </c>
      <c r="G58" s="15">
        <f t="shared" si="20"/>
        <v>0</v>
      </c>
      <c r="H58" s="32">
        <f>SUMPRODUCT((BOM!$C$2:$C$675=$C58)*BOM!$H$2:$H$675*BOM!$M$2:$M$675)</f>
        <v>0</v>
      </c>
      <c r="I58" s="32" t="s">
        <v>256</v>
      </c>
      <c r="J58" s="32" t="s">
        <v>270</v>
      </c>
      <c r="K58" s="32" t="str">
        <f t="shared" si="21"/>
        <v>KZT</v>
      </c>
      <c r="L58" s="32">
        <f t="shared" si="22"/>
        <v>1</v>
      </c>
      <c r="M58" s="32">
        <f t="shared" si="23"/>
        <v>1</v>
      </c>
      <c r="N58" s="13" t="s">
        <v>271</v>
      </c>
      <c r="O58" s="16" t="str">
        <f t="shared" si="24"/>
        <v/>
      </c>
      <c r="P58" s="13" t="str">
        <f t="shared" si="25"/>
        <v/>
      </c>
      <c r="Q58" s="13" t="str">
        <f t="shared" si="26"/>
        <v>TARİH YOK</v>
      </c>
      <c r="S58" s="18"/>
      <c r="T58" s="18"/>
      <c r="U58" s="18"/>
      <c r="V58" s="18"/>
      <c r="W58" s="17">
        <v>95</v>
      </c>
      <c r="X58" s="18"/>
      <c r="Y58" s="18"/>
      <c r="Z58" s="18"/>
      <c r="AA58" s="18"/>
      <c r="AB58" s="13" t="str">
        <f t="shared" si="27"/>
        <v>SARF</v>
      </c>
      <c r="AC58" s="13">
        <f t="shared" si="28"/>
        <v>0</v>
      </c>
      <c r="AD58" s="13">
        <f t="shared" si="29"/>
        <v>0</v>
      </c>
      <c r="AE58" s="13">
        <f t="shared" si="30"/>
        <v>0</v>
      </c>
      <c r="AF58" s="13">
        <f t="shared" si="31"/>
        <v>0</v>
      </c>
      <c r="AG58" s="13">
        <f t="shared" si="32"/>
        <v>0</v>
      </c>
      <c r="AH58" s="13">
        <f t="shared" si="33"/>
        <v>0</v>
      </c>
      <c r="AI58" s="13">
        <f t="shared" si="34"/>
        <v>0</v>
      </c>
      <c r="AJ58" s="13">
        <f t="shared" si="35"/>
        <v>0</v>
      </c>
    </row>
    <row r="59" spans="1:36" ht="15" customHeight="1" x14ac:dyDescent="0.25">
      <c r="A59" s="13">
        <f t="shared" si="18"/>
        <v>58</v>
      </c>
      <c r="B59" s="13" t="s">
        <v>289</v>
      </c>
      <c r="C59" s="13" t="s">
        <v>287</v>
      </c>
      <c r="D59" s="13" t="s">
        <v>288</v>
      </c>
      <c r="E59" s="14">
        <v>97</v>
      </c>
      <c r="F59" s="15">
        <f t="shared" si="19"/>
        <v>97</v>
      </c>
      <c r="G59" s="15">
        <f t="shared" si="20"/>
        <v>0</v>
      </c>
      <c r="H59" s="32">
        <f>SUMPRODUCT((BOM!$C$2:$C$675=$C59)*BOM!$H$2:$H$675*BOM!$M$2:$M$675)</f>
        <v>0</v>
      </c>
      <c r="I59" s="32" t="s">
        <v>106</v>
      </c>
      <c r="J59" s="32" t="s">
        <v>253</v>
      </c>
      <c r="K59" s="32" t="str">
        <f t="shared" si="21"/>
        <v>KZT</v>
      </c>
      <c r="L59" s="32">
        <f t="shared" si="22"/>
        <v>1</v>
      </c>
      <c r="M59" s="32">
        <f t="shared" si="23"/>
        <v>1</v>
      </c>
      <c r="N59" s="13" t="s">
        <v>254</v>
      </c>
      <c r="O59" s="16">
        <f t="shared" si="24"/>
        <v>45820</v>
      </c>
      <c r="P59" s="13">
        <f t="shared" si="25"/>
        <v>15.2</v>
      </c>
      <c r="Q59" s="13" t="str">
        <f t="shared" si="26"/>
        <v>ESKİ</v>
      </c>
      <c r="S59" s="18"/>
      <c r="T59" s="18"/>
      <c r="U59" s="17">
        <v>0.29699999999999999</v>
      </c>
      <c r="V59" s="18"/>
      <c r="W59" s="17">
        <v>2.5</v>
      </c>
      <c r="X59" s="18"/>
      <c r="Y59" s="18"/>
      <c r="Z59" s="18"/>
      <c r="AA59" s="18"/>
      <c r="AB59" s="13" t="str">
        <f t="shared" si="27"/>
        <v>SARF</v>
      </c>
      <c r="AC59" s="13">
        <f t="shared" si="28"/>
        <v>0</v>
      </c>
      <c r="AD59" s="13">
        <f t="shared" si="29"/>
        <v>0</v>
      </c>
      <c r="AE59" s="13">
        <f t="shared" si="30"/>
        <v>0</v>
      </c>
      <c r="AF59" s="13">
        <f t="shared" si="31"/>
        <v>0</v>
      </c>
      <c r="AG59" s="13">
        <f t="shared" si="32"/>
        <v>0</v>
      </c>
      <c r="AH59" s="13">
        <f t="shared" si="33"/>
        <v>0</v>
      </c>
      <c r="AI59" s="13">
        <f t="shared" si="34"/>
        <v>0</v>
      </c>
      <c r="AJ59" s="13">
        <f t="shared" si="35"/>
        <v>0</v>
      </c>
    </row>
    <row r="60" spans="1:36" ht="15" customHeight="1" x14ac:dyDescent="0.25">
      <c r="A60" s="13">
        <f t="shared" si="18"/>
        <v>59</v>
      </c>
      <c r="B60" s="13" t="s">
        <v>289</v>
      </c>
      <c r="C60" s="13" t="s">
        <v>290</v>
      </c>
      <c r="D60" s="13" t="s">
        <v>291</v>
      </c>
      <c r="E60" s="14">
        <v>98</v>
      </c>
      <c r="F60" s="15">
        <f t="shared" si="19"/>
        <v>98</v>
      </c>
      <c r="G60" s="15">
        <f t="shared" si="20"/>
        <v>0</v>
      </c>
      <c r="H60" s="32">
        <f>SUMPRODUCT((BOM!$C$2:$C$675=$C60)*BOM!$H$2:$H$675*BOM!$M$2:$M$675)</f>
        <v>0</v>
      </c>
      <c r="I60" s="32" t="s">
        <v>106</v>
      </c>
      <c r="J60" s="32" t="s">
        <v>253</v>
      </c>
      <c r="K60" s="32" t="str">
        <f t="shared" si="21"/>
        <v>KZT</v>
      </c>
      <c r="L60" s="32">
        <f t="shared" si="22"/>
        <v>1</v>
      </c>
      <c r="M60" s="32">
        <f t="shared" si="23"/>
        <v>1</v>
      </c>
      <c r="N60" s="13" t="s">
        <v>254</v>
      </c>
      <c r="O60" s="16">
        <f t="shared" si="24"/>
        <v>45820</v>
      </c>
      <c r="P60" s="13">
        <f t="shared" si="25"/>
        <v>15.2</v>
      </c>
      <c r="Q60" s="13" t="str">
        <f t="shared" si="26"/>
        <v>ESKİ</v>
      </c>
      <c r="S60" s="18"/>
      <c r="T60" s="18"/>
      <c r="U60" s="17">
        <v>0.35399999999999998</v>
      </c>
      <c r="V60" s="18"/>
      <c r="W60" s="17">
        <v>4</v>
      </c>
      <c r="X60" s="18"/>
      <c r="Y60" s="18"/>
      <c r="Z60" s="18"/>
      <c r="AA60" s="18"/>
      <c r="AB60" s="13" t="str">
        <f t="shared" si="27"/>
        <v>SARF</v>
      </c>
      <c r="AC60" s="13">
        <f t="shared" si="28"/>
        <v>0</v>
      </c>
      <c r="AD60" s="13">
        <f t="shared" si="29"/>
        <v>0</v>
      </c>
      <c r="AE60" s="13">
        <f t="shared" si="30"/>
        <v>0</v>
      </c>
      <c r="AF60" s="13">
        <f t="shared" si="31"/>
        <v>0</v>
      </c>
      <c r="AG60" s="13">
        <f t="shared" si="32"/>
        <v>0</v>
      </c>
      <c r="AH60" s="13">
        <f t="shared" si="33"/>
        <v>0</v>
      </c>
      <c r="AI60" s="13">
        <f t="shared" si="34"/>
        <v>0</v>
      </c>
      <c r="AJ60" s="13">
        <f t="shared" si="35"/>
        <v>0</v>
      </c>
    </row>
    <row r="61" spans="1:36" ht="15" customHeight="1" x14ac:dyDescent="0.25">
      <c r="A61" s="13">
        <f t="shared" si="18"/>
        <v>60</v>
      </c>
      <c r="B61" s="13" t="s">
        <v>289</v>
      </c>
      <c r="C61" s="13" t="s">
        <v>292</v>
      </c>
      <c r="D61" s="13" t="s">
        <v>293</v>
      </c>
      <c r="E61" s="14">
        <v>116</v>
      </c>
      <c r="F61" s="15">
        <f t="shared" si="19"/>
        <v>116</v>
      </c>
      <c r="G61" s="15">
        <f t="shared" si="20"/>
        <v>0</v>
      </c>
      <c r="H61" s="32">
        <f>SUMPRODUCT((BOM!$C$2:$C$675=$C61)*BOM!$H$2:$H$675*BOM!$M$2:$M$675)</f>
        <v>0</v>
      </c>
      <c r="I61" s="32" t="s">
        <v>106</v>
      </c>
      <c r="J61" s="32" t="s">
        <v>253</v>
      </c>
      <c r="K61" s="32" t="str">
        <f t="shared" si="21"/>
        <v>KZT</v>
      </c>
      <c r="L61" s="32">
        <f t="shared" si="22"/>
        <v>1</v>
      </c>
      <c r="M61" s="32">
        <f t="shared" si="23"/>
        <v>1</v>
      </c>
      <c r="N61" s="13" t="s">
        <v>254</v>
      </c>
      <c r="O61" s="16">
        <f t="shared" si="24"/>
        <v>45820</v>
      </c>
      <c r="P61" s="13">
        <f t="shared" si="25"/>
        <v>15.2</v>
      </c>
      <c r="Q61" s="13" t="str">
        <f t="shared" si="26"/>
        <v>ESKİ</v>
      </c>
      <c r="S61" s="18"/>
      <c r="T61" s="18"/>
      <c r="U61" s="17">
        <v>0.46899999999999997</v>
      </c>
      <c r="V61" s="18"/>
      <c r="W61" s="17">
        <v>6</v>
      </c>
      <c r="X61" s="18"/>
      <c r="Y61" s="18"/>
      <c r="Z61" s="18"/>
      <c r="AA61" s="18"/>
      <c r="AB61" s="13" t="str">
        <f t="shared" si="27"/>
        <v>SARF</v>
      </c>
      <c r="AC61" s="13">
        <f t="shared" si="28"/>
        <v>0</v>
      </c>
      <c r="AD61" s="13">
        <f t="shared" si="29"/>
        <v>0</v>
      </c>
      <c r="AE61" s="13">
        <f t="shared" si="30"/>
        <v>0</v>
      </c>
      <c r="AF61" s="13">
        <f t="shared" si="31"/>
        <v>0</v>
      </c>
      <c r="AG61" s="13">
        <f t="shared" si="32"/>
        <v>0</v>
      </c>
      <c r="AH61" s="13">
        <f t="shared" si="33"/>
        <v>0</v>
      </c>
      <c r="AI61" s="13">
        <f t="shared" si="34"/>
        <v>0</v>
      </c>
      <c r="AJ61" s="13">
        <f t="shared" si="35"/>
        <v>0</v>
      </c>
    </row>
    <row r="62" spans="1:36" ht="15" customHeight="1" x14ac:dyDescent="0.25">
      <c r="A62" s="13">
        <f t="shared" si="18"/>
        <v>61</v>
      </c>
      <c r="B62" s="13" t="s">
        <v>289</v>
      </c>
      <c r="C62" s="13" t="s">
        <v>294</v>
      </c>
      <c r="D62" s="13" t="s">
        <v>295</v>
      </c>
      <c r="E62" s="14">
        <v>163</v>
      </c>
      <c r="F62" s="15">
        <f t="shared" si="19"/>
        <v>163</v>
      </c>
      <c r="G62" s="15">
        <f t="shared" si="20"/>
        <v>0</v>
      </c>
      <c r="H62" s="32">
        <f>SUMPRODUCT((BOM!$C$2:$C$675=$C62)*BOM!$H$2:$H$675*BOM!$M$2:$M$675)</f>
        <v>0</v>
      </c>
      <c r="I62" s="32" t="s">
        <v>106</v>
      </c>
      <c r="J62" s="32" t="s">
        <v>253</v>
      </c>
      <c r="K62" s="32" t="str">
        <f t="shared" si="21"/>
        <v>KZT</v>
      </c>
      <c r="L62" s="32">
        <f t="shared" si="22"/>
        <v>1</v>
      </c>
      <c r="M62" s="32">
        <f t="shared" si="23"/>
        <v>1</v>
      </c>
      <c r="N62" s="13" t="s">
        <v>254</v>
      </c>
      <c r="O62" s="16">
        <f t="shared" si="24"/>
        <v>45820</v>
      </c>
      <c r="P62" s="13">
        <f t="shared" si="25"/>
        <v>15.2</v>
      </c>
      <c r="Q62" s="13" t="str">
        <f t="shared" si="26"/>
        <v>ESKİ</v>
      </c>
      <c r="S62" s="18"/>
      <c r="T62" s="18"/>
      <c r="U62" s="17">
        <v>0.58299999999999996</v>
      </c>
      <c r="V62" s="18"/>
      <c r="W62" s="17">
        <v>10</v>
      </c>
      <c r="X62" s="18"/>
      <c r="Y62" s="18"/>
      <c r="Z62" s="18"/>
      <c r="AA62" s="18"/>
      <c r="AB62" s="13" t="str">
        <f t="shared" si="27"/>
        <v>SARF</v>
      </c>
      <c r="AC62" s="13">
        <f t="shared" si="28"/>
        <v>0</v>
      </c>
      <c r="AD62" s="13">
        <f t="shared" si="29"/>
        <v>0</v>
      </c>
      <c r="AE62" s="13">
        <f t="shared" si="30"/>
        <v>0</v>
      </c>
      <c r="AF62" s="13">
        <f t="shared" si="31"/>
        <v>0</v>
      </c>
      <c r="AG62" s="13">
        <f t="shared" si="32"/>
        <v>0</v>
      </c>
      <c r="AH62" s="13">
        <f t="shared" si="33"/>
        <v>0</v>
      </c>
      <c r="AI62" s="13">
        <f t="shared" si="34"/>
        <v>0</v>
      </c>
      <c r="AJ62" s="13">
        <f t="shared" si="35"/>
        <v>0</v>
      </c>
    </row>
    <row r="63" spans="1:36" ht="15" customHeight="1" x14ac:dyDescent="0.25">
      <c r="A63" s="13">
        <f t="shared" si="18"/>
        <v>62</v>
      </c>
      <c r="B63" s="13" t="s">
        <v>289</v>
      </c>
      <c r="C63" s="13" t="s">
        <v>296</v>
      </c>
      <c r="D63" s="13" t="s">
        <v>297</v>
      </c>
      <c r="E63" s="14">
        <v>383</v>
      </c>
      <c r="F63" s="15">
        <f t="shared" si="19"/>
        <v>383</v>
      </c>
      <c r="G63" s="15">
        <f t="shared" si="20"/>
        <v>0</v>
      </c>
      <c r="H63" s="32">
        <f>SUMPRODUCT((BOM!$C$2:$C$675=$C63)*BOM!$H$2:$H$675*BOM!$M$2:$M$675)</f>
        <v>0</v>
      </c>
      <c r="I63" s="32" t="s">
        <v>106</v>
      </c>
      <c r="J63" s="32" t="s">
        <v>253</v>
      </c>
      <c r="K63" s="32" t="str">
        <f t="shared" si="21"/>
        <v>KZT</v>
      </c>
      <c r="L63" s="32">
        <f t="shared" si="22"/>
        <v>1</v>
      </c>
      <c r="M63" s="32">
        <f t="shared" si="23"/>
        <v>1</v>
      </c>
      <c r="N63" s="13" t="s">
        <v>254</v>
      </c>
      <c r="O63" s="16">
        <f t="shared" si="24"/>
        <v>45820</v>
      </c>
      <c r="P63" s="13">
        <f t="shared" si="25"/>
        <v>15.2</v>
      </c>
      <c r="Q63" s="13" t="str">
        <f t="shared" si="26"/>
        <v>ESKİ</v>
      </c>
      <c r="S63" s="18"/>
      <c r="T63" s="18"/>
      <c r="U63" s="17">
        <v>0.69699999999999995</v>
      </c>
      <c r="V63" s="18"/>
      <c r="W63" s="17">
        <v>16</v>
      </c>
      <c r="X63" s="18"/>
      <c r="Y63" s="18"/>
      <c r="Z63" s="18"/>
      <c r="AA63" s="18"/>
      <c r="AB63" s="13" t="str">
        <f t="shared" si="27"/>
        <v>SARF</v>
      </c>
      <c r="AC63" s="13">
        <f t="shared" si="28"/>
        <v>0</v>
      </c>
      <c r="AD63" s="13">
        <f t="shared" si="29"/>
        <v>0</v>
      </c>
      <c r="AE63" s="13">
        <f t="shared" si="30"/>
        <v>0</v>
      </c>
      <c r="AF63" s="13">
        <f t="shared" si="31"/>
        <v>0</v>
      </c>
      <c r="AG63" s="13">
        <f t="shared" si="32"/>
        <v>0</v>
      </c>
      <c r="AH63" s="13">
        <f t="shared" si="33"/>
        <v>0</v>
      </c>
      <c r="AI63" s="13">
        <f t="shared" si="34"/>
        <v>0</v>
      </c>
      <c r="AJ63" s="13">
        <f t="shared" si="35"/>
        <v>0</v>
      </c>
    </row>
    <row r="64" spans="1:36" ht="15" customHeight="1" x14ac:dyDescent="0.25">
      <c r="A64" s="13">
        <f t="shared" si="18"/>
        <v>63</v>
      </c>
      <c r="B64" s="13" t="s">
        <v>289</v>
      </c>
      <c r="C64" s="13" t="s">
        <v>298</v>
      </c>
      <c r="D64" s="13" t="s">
        <v>299</v>
      </c>
      <c r="E64" s="14">
        <v>420</v>
      </c>
      <c r="F64" s="15">
        <f t="shared" si="19"/>
        <v>420</v>
      </c>
      <c r="G64" s="15">
        <f t="shared" si="20"/>
        <v>0</v>
      </c>
      <c r="H64" s="32">
        <f>SUMPRODUCT((BOM!$C$2:$C$675=$C64)*BOM!$H$2:$H$675*BOM!$M$2:$M$675)</f>
        <v>0</v>
      </c>
      <c r="I64" s="32" t="s">
        <v>106</v>
      </c>
      <c r="J64" s="32" t="s">
        <v>253</v>
      </c>
      <c r="K64" s="32" t="str">
        <f t="shared" si="21"/>
        <v>KZT</v>
      </c>
      <c r="L64" s="32">
        <f t="shared" si="22"/>
        <v>1</v>
      </c>
      <c r="M64" s="32">
        <f t="shared" si="23"/>
        <v>1</v>
      </c>
      <c r="N64" s="13" t="s">
        <v>254</v>
      </c>
      <c r="O64" s="16">
        <f t="shared" si="24"/>
        <v>45820</v>
      </c>
      <c r="P64" s="13">
        <f t="shared" si="25"/>
        <v>15.2</v>
      </c>
      <c r="Q64" s="13" t="str">
        <f t="shared" si="26"/>
        <v>ESKİ</v>
      </c>
      <c r="S64" s="18"/>
      <c r="T64" s="18"/>
      <c r="U64" s="17">
        <v>0.91400000000000003</v>
      </c>
      <c r="V64" s="18"/>
      <c r="W64" s="17">
        <v>35</v>
      </c>
      <c r="X64" s="18"/>
      <c r="Y64" s="18"/>
      <c r="Z64" s="18"/>
      <c r="AA64" s="18"/>
      <c r="AB64" s="13" t="str">
        <f t="shared" si="27"/>
        <v>SARF</v>
      </c>
      <c r="AC64" s="13">
        <f t="shared" si="28"/>
        <v>0</v>
      </c>
      <c r="AD64" s="13">
        <f t="shared" si="29"/>
        <v>0</v>
      </c>
      <c r="AE64" s="13">
        <f t="shared" si="30"/>
        <v>0</v>
      </c>
      <c r="AF64" s="13">
        <f t="shared" si="31"/>
        <v>0</v>
      </c>
      <c r="AG64" s="13">
        <f t="shared" si="32"/>
        <v>0</v>
      </c>
      <c r="AH64" s="13">
        <f t="shared" si="33"/>
        <v>0</v>
      </c>
      <c r="AI64" s="13">
        <f t="shared" si="34"/>
        <v>0</v>
      </c>
      <c r="AJ64" s="13">
        <f t="shared" si="35"/>
        <v>0</v>
      </c>
    </row>
    <row r="65" spans="1:36" ht="15" customHeight="1" x14ac:dyDescent="0.25">
      <c r="A65" s="13">
        <f t="shared" si="18"/>
        <v>64</v>
      </c>
      <c r="B65" s="13" t="s">
        <v>289</v>
      </c>
      <c r="C65" s="13" t="s">
        <v>300</v>
      </c>
      <c r="D65" s="13" t="s">
        <v>301</v>
      </c>
      <c r="E65" s="14">
        <v>283</v>
      </c>
      <c r="F65" s="15">
        <f t="shared" si="19"/>
        <v>283</v>
      </c>
      <c r="G65" s="15">
        <f t="shared" si="20"/>
        <v>0</v>
      </c>
      <c r="H65" s="32">
        <f>SUMPRODUCT((BOM!$C$2:$C$675=$C65)*BOM!$H$2:$H$675*BOM!$M$2:$M$675)</f>
        <v>0</v>
      </c>
      <c r="I65" s="32" t="s">
        <v>106</v>
      </c>
      <c r="J65" s="32" t="s">
        <v>253</v>
      </c>
      <c r="K65" s="32" t="str">
        <f t="shared" si="21"/>
        <v>KZT</v>
      </c>
      <c r="L65" s="32">
        <f t="shared" si="22"/>
        <v>1</v>
      </c>
      <c r="M65" s="32">
        <f t="shared" si="23"/>
        <v>1</v>
      </c>
      <c r="N65" s="13" t="s">
        <v>254</v>
      </c>
      <c r="O65" s="16">
        <f t="shared" si="24"/>
        <v>45820</v>
      </c>
      <c r="P65" s="13">
        <f t="shared" si="25"/>
        <v>15.2</v>
      </c>
      <c r="Q65" s="13" t="str">
        <f t="shared" si="26"/>
        <v>ESKİ</v>
      </c>
      <c r="S65" s="17">
        <v>4</v>
      </c>
      <c r="T65" s="18"/>
      <c r="U65" s="17">
        <v>0.35399999999999998</v>
      </c>
      <c r="V65" s="18"/>
      <c r="W65" s="17">
        <v>4</v>
      </c>
      <c r="X65" s="18"/>
      <c r="Y65" s="18"/>
      <c r="Z65" s="18"/>
      <c r="AA65" s="18"/>
      <c r="AB65" s="13" t="str">
        <f t="shared" si="27"/>
        <v>SARF</v>
      </c>
      <c r="AC65" s="13">
        <f t="shared" si="28"/>
        <v>0</v>
      </c>
      <c r="AD65" s="13">
        <f t="shared" si="29"/>
        <v>0</v>
      </c>
      <c r="AE65" s="13">
        <f t="shared" si="30"/>
        <v>0</v>
      </c>
      <c r="AF65" s="13">
        <f t="shared" si="31"/>
        <v>0</v>
      </c>
      <c r="AG65" s="13">
        <f t="shared" si="32"/>
        <v>0</v>
      </c>
      <c r="AH65" s="13">
        <f t="shared" si="33"/>
        <v>0</v>
      </c>
      <c r="AI65" s="13">
        <f t="shared" si="34"/>
        <v>0</v>
      </c>
      <c r="AJ65" s="13">
        <f t="shared" si="35"/>
        <v>0</v>
      </c>
    </row>
    <row r="66" spans="1:36" ht="15" customHeight="1" x14ac:dyDescent="0.25">
      <c r="A66" s="13">
        <f t="shared" si="18"/>
        <v>65</v>
      </c>
      <c r="B66" s="13" t="s">
        <v>289</v>
      </c>
      <c r="C66" s="13" t="s">
        <v>302</v>
      </c>
      <c r="D66" s="13" t="s">
        <v>303</v>
      </c>
      <c r="E66" s="14">
        <v>367</v>
      </c>
      <c r="F66" s="15">
        <f t="shared" si="19"/>
        <v>367</v>
      </c>
      <c r="G66" s="15">
        <f t="shared" si="20"/>
        <v>0</v>
      </c>
      <c r="H66" s="32">
        <f>SUMPRODUCT((BOM!$C$2:$C$675=$C66)*BOM!$H$2:$H$675*BOM!$M$2:$M$675)</f>
        <v>0</v>
      </c>
      <c r="I66" s="32" t="s">
        <v>106</v>
      </c>
      <c r="J66" s="32" t="s">
        <v>253</v>
      </c>
      <c r="K66" s="32" t="str">
        <f t="shared" si="21"/>
        <v>KZT</v>
      </c>
      <c r="L66" s="32">
        <f t="shared" si="22"/>
        <v>1</v>
      </c>
      <c r="M66" s="32">
        <f t="shared" si="23"/>
        <v>1</v>
      </c>
      <c r="N66" s="13" t="s">
        <v>254</v>
      </c>
      <c r="O66" s="16">
        <f t="shared" si="24"/>
        <v>45820</v>
      </c>
      <c r="P66" s="13">
        <f t="shared" si="25"/>
        <v>15.2</v>
      </c>
      <c r="Q66" s="13" t="str">
        <f t="shared" si="26"/>
        <v>ESKİ</v>
      </c>
      <c r="S66" s="18"/>
      <c r="T66" s="18"/>
      <c r="U66" s="17">
        <v>0.58299999999999996</v>
      </c>
      <c r="V66" s="18"/>
      <c r="W66" s="17">
        <v>10</v>
      </c>
      <c r="X66" s="18"/>
      <c r="Y66" s="18"/>
      <c r="Z66" s="18"/>
      <c r="AA66" s="18"/>
      <c r="AB66" s="13" t="str">
        <f t="shared" si="27"/>
        <v>SARF</v>
      </c>
      <c r="AC66" s="13">
        <f t="shared" si="28"/>
        <v>0</v>
      </c>
      <c r="AD66" s="13">
        <f t="shared" si="29"/>
        <v>0</v>
      </c>
      <c r="AE66" s="13">
        <f t="shared" si="30"/>
        <v>0</v>
      </c>
      <c r="AF66" s="13">
        <f t="shared" si="31"/>
        <v>0</v>
      </c>
      <c r="AG66" s="13">
        <f t="shared" si="32"/>
        <v>0</v>
      </c>
      <c r="AH66" s="13">
        <f t="shared" si="33"/>
        <v>0</v>
      </c>
      <c r="AI66" s="13">
        <f t="shared" si="34"/>
        <v>0</v>
      </c>
      <c r="AJ66" s="13">
        <f t="shared" si="35"/>
        <v>0</v>
      </c>
    </row>
    <row r="67" spans="1:36" ht="15" customHeight="1" x14ac:dyDescent="0.25">
      <c r="A67" s="13">
        <f t="shared" ref="A67:A98" si="36">ROW()-1</f>
        <v>66</v>
      </c>
      <c r="B67" s="13" t="s">
        <v>289</v>
      </c>
      <c r="C67" s="13" t="s">
        <v>304</v>
      </c>
      <c r="D67" s="13" t="s">
        <v>305</v>
      </c>
      <c r="E67" s="14">
        <v>529</v>
      </c>
      <c r="F67" s="15">
        <f t="shared" ref="F67:F98" si="37">IF(OR($E67="",$L67="",$M67="",$Q67="YASAK"),"",$E67*$L67*$M67)</f>
        <v>529</v>
      </c>
      <c r="G67" s="15">
        <f t="shared" ref="G67:G98" si="38">IF($F67="","",$F67*$H67)</f>
        <v>0</v>
      </c>
      <c r="H67" s="32">
        <f>SUMPRODUCT((BOM!$C$2:$C$675=$C67)*BOM!$H$2:$H$675*BOM!$M$2:$M$675)</f>
        <v>0</v>
      </c>
      <c r="I67" s="32" t="s">
        <v>106</v>
      </c>
      <c r="J67" s="32" t="s">
        <v>253</v>
      </c>
      <c r="K67" s="32" t="str">
        <f t="shared" ref="K67:K98" si="39">IF(ISNA(MATCH($J67,MARKA_AD,0)),"",INDEX(MARKA_PARA,MATCH($J67,MARKA_AD,0)))</f>
        <v>KZT</v>
      </c>
      <c r="L67" s="32">
        <f t="shared" ref="L67:L98" si="40">IF(ISNA(MATCH($J67,MARKA_AD,0)),"",INDEX(MARKA_KAT,MATCH($J67,MARKA_AD,0)))</f>
        <v>1</v>
      </c>
      <c r="M67" s="32">
        <f t="shared" ref="M67:M98" si="41">IF(OR($K67="",ISNA(MATCH($K67,KUR_AD,0))),"",IF(INDEX(KUR_DEG,MATCH($K67,KUR_AD,0))="","",INDEX(KUR_DEG,MATCH($K67,KUR_AD,0))))</f>
        <v>1</v>
      </c>
      <c r="N67" s="13" t="s">
        <v>254</v>
      </c>
      <c r="O67" s="16">
        <f t="shared" ref="O67:O98" si="42">IF(ISNA(MATCH($N67,KAYNAK_KOD,0)),"",IF(INDEX(KAYNAK_TARIH,MATCH($N67,KAYNAK_KOD,0))="","",INDEX(KAYNAK_TARIH,MATCH($N67,KAYNAK_KOD,0))))</f>
        <v>45820</v>
      </c>
      <c r="P67" s="13">
        <f t="shared" ref="P67:P98" si="43">IF($O67="","",ROUND((TARIH-$O67)/30.4375,1))</f>
        <v>15.2</v>
      </c>
      <c r="Q67" s="13" t="str">
        <f t="shared" ref="Q67:Q98" si="44">IF(ISNA(MATCH($J67,MARKA_AD,0)),"MARKA YOK",IF(INDEX(MARKA_IZIN,MATCH($J67,MARKA_AD,0))="HAYIR","YASAK",IF($E67="","FİYAT YOK",IF($P67="","TARİH YOK",IF($P67&gt;YAS_YASAK_AY,"YASAK",IF($P67&gt;YAS_ESKI_AY,"ESKİ","OK"))))))</f>
        <v>ESKİ</v>
      </c>
      <c r="S67" s="18"/>
      <c r="T67" s="18"/>
      <c r="U67" s="17">
        <v>0.69699999999999995</v>
      </c>
      <c r="V67" s="18"/>
      <c r="W67" s="17">
        <v>16</v>
      </c>
      <c r="X67" s="18"/>
      <c r="Y67" s="18"/>
      <c r="Z67" s="18"/>
      <c r="AA67" s="18"/>
      <c r="AB67" s="13" t="str">
        <f t="shared" ref="AB67:AB98" si="45">IF(ISNA(MATCH($B67,TIP_AD,0)),"",INDEX(TIP_GRUP,MATCH($B67,TIP_AD,0)))</f>
        <v>SARF</v>
      </c>
      <c r="AC67" s="13">
        <f t="shared" ref="AC67:AC98" si="46">IF(OR($AB67="GUC"),IF(OR($AI67=0,$AI67&gt;KABLO_MAX_IN),0,LOOKUP($AI67,KABLO_IN_ALT,KABLO_KESIT)),IF($AB67="KUMANDA",KUMANDA_KESIT,IF($AB67="OLCU",OLCU_KESIT,0)))</f>
        <v>0</v>
      </c>
      <c r="AD67" s="13">
        <f t="shared" ref="AD67:AD98" si="47">IF(OR($AC67=0,ISNA(MATCH($B67,TIP_AD,0))),0,IF(INDEX(TIP_TEL,MATCH($B67,TIP_AD,0))="",2*N($S67)+IF(OR(N($S67)=1,N($S67)=3),1,0),INDEX(TIP_TEL,MATCH($B67,TIP_AD,0))))</f>
        <v>0</v>
      </c>
      <c r="AE67" s="13">
        <f t="shared" ref="AE67:AE98" si="48">IF(OR($AD67=0,ISNA(MATCH($B67,TIP_AD,0))),0,$AD67*INDEX(TIP_TELM,MATCH($B67,TIP_AD,0)))</f>
        <v>0</v>
      </c>
      <c r="AF67" s="13">
        <f t="shared" ref="AF67:AF98" si="49">IF(OR($AB67&lt;&gt;"GUC",$AC67=0,$AC67&gt;KLEMENS_MAX_KESIT),0,LOOKUP($AC67,KLEMENS_ALT,KLEMENS_KES))</f>
        <v>0</v>
      </c>
      <c r="AG67" s="13">
        <f t="shared" ref="AG67:AG98" si="50">IF($AF67=0,0,N($S67)+IF(OR(N($S67)=1,N($S67)=3),1,0))</f>
        <v>0</v>
      </c>
      <c r="AH67" s="13">
        <f t="shared" ref="AH67:AH98" si="51">IF($AF67=0,0,1)</f>
        <v>0</v>
      </c>
      <c r="AI67" s="13">
        <f t="shared" ref="AI67:AI98" si="52">N($T67)</f>
        <v>0</v>
      </c>
      <c r="AJ67" s="13">
        <f t="shared" ref="AJ67:AJ98" si="53">IF(OR($B67="mccb",$B67="oto",$B67="bh",$B67="rubilnik",$B67="ats",$B67="dif",$B67="uzo"),N($T67),0)</f>
        <v>0</v>
      </c>
    </row>
    <row r="68" spans="1:36" ht="15" customHeight="1" x14ac:dyDescent="0.25">
      <c r="A68" s="13">
        <f t="shared" si="36"/>
        <v>67</v>
      </c>
      <c r="B68" s="13" t="s">
        <v>289</v>
      </c>
      <c r="C68" s="13" t="s">
        <v>306</v>
      </c>
      <c r="D68" s="13" t="s">
        <v>307</v>
      </c>
      <c r="E68" s="14">
        <v>450</v>
      </c>
      <c r="F68" s="15">
        <f t="shared" si="37"/>
        <v>450</v>
      </c>
      <c r="G68" s="15">
        <f t="shared" si="38"/>
        <v>0</v>
      </c>
      <c r="H68" s="32">
        <f>SUMPRODUCT((BOM!$C$2:$C$675=$C68)*BOM!$H$2:$H$675*BOM!$M$2:$M$675)</f>
        <v>0</v>
      </c>
      <c r="I68" s="32" t="s">
        <v>106</v>
      </c>
      <c r="J68" s="32" t="s">
        <v>253</v>
      </c>
      <c r="K68" s="32" t="str">
        <f t="shared" si="39"/>
        <v>KZT</v>
      </c>
      <c r="L68" s="32">
        <f t="shared" si="40"/>
        <v>1</v>
      </c>
      <c r="M68" s="32">
        <f t="shared" si="41"/>
        <v>1</v>
      </c>
      <c r="N68" s="13" t="s">
        <v>254</v>
      </c>
      <c r="O68" s="16">
        <f t="shared" si="42"/>
        <v>45820</v>
      </c>
      <c r="P68" s="13">
        <f t="shared" si="43"/>
        <v>15.2</v>
      </c>
      <c r="Q68" s="13" t="str">
        <f t="shared" si="44"/>
        <v>ESKİ</v>
      </c>
      <c r="S68" s="18"/>
      <c r="T68" s="18"/>
      <c r="U68" s="18"/>
      <c r="V68" s="18"/>
      <c r="W68" s="17">
        <v>70</v>
      </c>
      <c r="X68" s="18"/>
      <c r="Y68" s="18"/>
      <c r="Z68" s="18"/>
      <c r="AA68" s="18"/>
      <c r="AB68" s="13" t="str">
        <f t="shared" si="45"/>
        <v>SARF</v>
      </c>
      <c r="AC68" s="13">
        <f t="shared" si="46"/>
        <v>0</v>
      </c>
      <c r="AD68" s="13">
        <f t="shared" si="47"/>
        <v>0</v>
      </c>
      <c r="AE68" s="13">
        <f t="shared" si="48"/>
        <v>0</v>
      </c>
      <c r="AF68" s="13">
        <f t="shared" si="49"/>
        <v>0</v>
      </c>
      <c r="AG68" s="13">
        <f t="shared" si="50"/>
        <v>0</v>
      </c>
      <c r="AH68" s="13">
        <f t="shared" si="51"/>
        <v>0</v>
      </c>
      <c r="AI68" s="13">
        <f t="shared" si="52"/>
        <v>0</v>
      </c>
      <c r="AJ68" s="13">
        <f t="shared" si="53"/>
        <v>0</v>
      </c>
    </row>
    <row r="69" spans="1:36" ht="15" customHeight="1" x14ac:dyDescent="0.25">
      <c r="A69" s="13">
        <f t="shared" si="36"/>
        <v>68</v>
      </c>
      <c r="B69" s="13" t="s">
        <v>53</v>
      </c>
      <c r="C69" s="13" t="s">
        <v>308</v>
      </c>
      <c r="D69" s="13" t="s">
        <v>309</v>
      </c>
      <c r="E69" s="14">
        <v>47</v>
      </c>
      <c r="F69" s="15">
        <f t="shared" si="37"/>
        <v>47</v>
      </c>
      <c r="G69" s="15">
        <f t="shared" si="38"/>
        <v>0</v>
      </c>
      <c r="H69" s="32">
        <f>SUMPRODUCT((BOM!$C$2:$C$675=$C69)*BOM!$H$2:$H$675*BOM!$M$2:$M$675)</f>
        <v>0</v>
      </c>
      <c r="I69" s="32" t="s">
        <v>106</v>
      </c>
      <c r="J69" s="32" t="s">
        <v>253</v>
      </c>
      <c r="K69" s="32" t="str">
        <f t="shared" si="39"/>
        <v>KZT</v>
      </c>
      <c r="L69" s="32">
        <f t="shared" si="40"/>
        <v>1</v>
      </c>
      <c r="M69" s="32">
        <f t="shared" si="41"/>
        <v>1</v>
      </c>
      <c r="N69" s="13" t="s">
        <v>254</v>
      </c>
      <c r="O69" s="16">
        <f t="shared" si="42"/>
        <v>45820</v>
      </c>
      <c r="P69" s="13">
        <f t="shared" si="43"/>
        <v>15.2</v>
      </c>
      <c r="Q69" s="13" t="str">
        <f t="shared" si="44"/>
        <v>ESKİ</v>
      </c>
      <c r="S69" s="18"/>
      <c r="T69" s="18"/>
      <c r="U69" s="18"/>
      <c r="V69" s="18"/>
      <c r="W69" s="18"/>
      <c r="X69" s="18"/>
      <c r="Y69" s="18"/>
      <c r="Z69" s="18"/>
      <c r="AA69" s="18"/>
      <c r="AB69" s="13" t="str">
        <f t="shared" si="45"/>
        <v>AKSESUAR</v>
      </c>
      <c r="AC69" s="13">
        <f t="shared" si="46"/>
        <v>0</v>
      </c>
      <c r="AD69" s="13">
        <f t="shared" si="47"/>
        <v>0</v>
      </c>
      <c r="AE69" s="13">
        <f t="shared" si="48"/>
        <v>0</v>
      </c>
      <c r="AF69" s="13">
        <f t="shared" si="49"/>
        <v>0</v>
      </c>
      <c r="AG69" s="13">
        <f t="shared" si="50"/>
        <v>0</v>
      </c>
      <c r="AH69" s="13">
        <f t="shared" si="51"/>
        <v>0</v>
      </c>
      <c r="AI69" s="13">
        <f t="shared" si="52"/>
        <v>0</v>
      </c>
      <c r="AJ69" s="13">
        <f t="shared" si="53"/>
        <v>0</v>
      </c>
    </row>
    <row r="70" spans="1:36" ht="15" customHeight="1" x14ac:dyDescent="0.25">
      <c r="A70" s="13">
        <f t="shared" si="36"/>
        <v>69</v>
      </c>
      <c r="B70" s="13" t="s">
        <v>53</v>
      </c>
      <c r="C70" s="13" t="s">
        <v>310</v>
      </c>
      <c r="D70" s="13" t="s">
        <v>311</v>
      </c>
      <c r="E70" s="14">
        <v>66</v>
      </c>
      <c r="F70" s="15">
        <f t="shared" si="37"/>
        <v>66</v>
      </c>
      <c r="G70" s="15">
        <f t="shared" si="38"/>
        <v>0</v>
      </c>
      <c r="H70" s="32">
        <f>SUMPRODUCT((BOM!$C$2:$C$675=$C70)*BOM!$H$2:$H$675*BOM!$M$2:$M$675)</f>
        <v>0</v>
      </c>
      <c r="I70" s="32" t="s">
        <v>106</v>
      </c>
      <c r="J70" s="32" t="s">
        <v>253</v>
      </c>
      <c r="K70" s="32" t="str">
        <f t="shared" si="39"/>
        <v>KZT</v>
      </c>
      <c r="L70" s="32">
        <f t="shared" si="40"/>
        <v>1</v>
      </c>
      <c r="M70" s="32">
        <f t="shared" si="41"/>
        <v>1</v>
      </c>
      <c r="N70" s="13" t="s">
        <v>254</v>
      </c>
      <c r="O70" s="16">
        <f t="shared" si="42"/>
        <v>45820</v>
      </c>
      <c r="P70" s="13">
        <f t="shared" si="43"/>
        <v>15.2</v>
      </c>
      <c r="Q70" s="13" t="str">
        <f t="shared" si="44"/>
        <v>ESKİ</v>
      </c>
      <c r="S70" s="18"/>
      <c r="T70" s="18"/>
      <c r="U70" s="18"/>
      <c r="V70" s="18"/>
      <c r="W70" s="18"/>
      <c r="X70" s="18"/>
      <c r="Y70" s="18"/>
      <c r="Z70" s="18"/>
      <c r="AA70" s="18"/>
      <c r="AB70" s="13" t="str">
        <f t="shared" si="45"/>
        <v>AKSESUAR</v>
      </c>
      <c r="AC70" s="13">
        <f t="shared" si="46"/>
        <v>0</v>
      </c>
      <c r="AD70" s="13">
        <f t="shared" si="47"/>
        <v>0</v>
      </c>
      <c r="AE70" s="13">
        <f t="shared" si="48"/>
        <v>0</v>
      </c>
      <c r="AF70" s="13">
        <f t="shared" si="49"/>
        <v>0</v>
      </c>
      <c r="AG70" s="13">
        <f t="shared" si="50"/>
        <v>0</v>
      </c>
      <c r="AH70" s="13">
        <f t="shared" si="51"/>
        <v>0</v>
      </c>
      <c r="AI70" s="13">
        <f t="shared" si="52"/>
        <v>0</v>
      </c>
      <c r="AJ70" s="13">
        <f t="shared" si="53"/>
        <v>0</v>
      </c>
    </row>
    <row r="71" spans="1:36" ht="15" customHeight="1" x14ac:dyDescent="0.25">
      <c r="A71" s="13">
        <f t="shared" si="36"/>
        <v>70</v>
      </c>
      <c r="B71" s="13" t="s">
        <v>88</v>
      </c>
      <c r="C71" s="13" t="s">
        <v>312</v>
      </c>
      <c r="D71" s="13" t="s">
        <v>313</v>
      </c>
      <c r="E71" s="14">
        <v>353</v>
      </c>
      <c r="F71" s="15">
        <f t="shared" si="37"/>
        <v>353</v>
      </c>
      <c r="G71" s="15">
        <f t="shared" si="38"/>
        <v>0</v>
      </c>
      <c r="H71" s="32">
        <f>SUMPRODUCT((BOM!$C$2:$C$675=$C71)*BOM!$H$2:$H$675*BOM!$M$2:$M$675)</f>
        <v>0</v>
      </c>
      <c r="I71" s="32" t="s">
        <v>258</v>
      </c>
      <c r="J71" s="32" t="s">
        <v>253</v>
      </c>
      <c r="K71" s="32" t="str">
        <f t="shared" si="39"/>
        <v>KZT</v>
      </c>
      <c r="L71" s="32">
        <f t="shared" si="40"/>
        <v>1</v>
      </c>
      <c r="M71" s="32">
        <f t="shared" si="41"/>
        <v>1</v>
      </c>
      <c r="N71" s="13" t="s">
        <v>254</v>
      </c>
      <c r="O71" s="16">
        <f t="shared" si="42"/>
        <v>45820</v>
      </c>
      <c r="P71" s="13">
        <f t="shared" si="43"/>
        <v>15.2</v>
      </c>
      <c r="Q71" s="13" t="str">
        <f t="shared" si="44"/>
        <v>ESKİ</v>
      </c>
      <c r="S71" s="18"/>
      <c r="T71" s="18"/>
      <c r="U71" s="18"/>
      <c r="V71" s="17">
        <v>100</v>
      </c>
      <c r="W71" s="17">
        <v>0.75</v>
      </c>
      <c r="X71" s="18"/>
      <c r="Y71" s="18"/>
      <c r="Z71" s="18"/>
      <c r="AA71" s="18"/>
      <c r="AB71" s="13" t="str">
        <f t="shared" si="45"/>
        <v>SARF</v>
      </c>
      <c r="AC71" s="13">
        <f t="shared" si="46"/>
        <v>0</v>
      </c>
      <c r="AD71" s="13">
        <f t="shared" si="47"/>
        <v>0</v>
      </c>
      <c r="AE71" s="13">
        <f t="shared" si="48"/>
        <v>0</v>
      </c>
      <c r="AF71" s="13">
        <f t="shared" si="49"/>
        <v>0</v>
      </c>
      <c r="AG71" s="13">
        <f t="shared" si="50"/>
        <v>0</v>
      </c>
      <c r="AH71" s="13">
        <f t="shared" si="51"/>
        <v>0</v>
      </c>
      <c r="AI71" s="13">
        <f t="shared" si="52"/>
        <v>0</v>
      </c>
      <c r="AJ71" s="13">
        <f t="shared" si="53"/>
        <v>0</v>
      </c>
    </row>
    <row r="72" spans="1:36" ht="15" customHeight="1" x14ac:dyDescent="0.25">
      <c r="A72" s="13">
        <f t="shared" si="36"/>
        <v>71</v>
      </c>
      <c r="B72" s="13" t="s">
        <v>88</v>
      </c>
      <c r="C72" s="13" t="s">
        <v>314</v>
      </c>
      <c r="D72" s="13" t="s">
        <v>315</v>
      </c>
      <c r="E72" s="14">
        <v>390</v>
      </c>
      <c r="F72" s="15">
        <f t="shared" si="37"/>
        <v>390</v>
      </c>
      <c r="G72" s="15">
        <f t="shared" si="38"/>
        <v>0</v>
      </c>
      <c r="H72" s="32">
        <f>SUMPRODUCT((BOM!$C$2:$C$675=$C72)*BOM!$H$2:$H$675*BOM!$M$2:$M$675)</f>
        <v>0</v>
      </c>
      <c r="I72" s="32" t="s">
        <v>258</v>
      </c>
      <c r="J72" s="32" t="s">
        <v>253</v>
      </c>
      <c r="K72" s="32" t="str">
        <f t="shared" si="39"/>
        <v>KZT</v>
      </c>
      <c r="L72" s="32">
        <f t="shared" si="40"/>
        <v>1</v>
      </c>
      <c r="M72" s="32">
        <f t="shared" si="41"/>
        <v>1</v>
      </c>
      <c r="N72" s="13" t="s">
        <v>254</v>
      </c>
      <c r="O72" s="16">
        <f t="shared" si="42"/>
        <v>45820</v>
      </c>
      <c r="P72" s="13">
        <f t="shared" si="43"/>
        <v>15.2</v>
      </c>
      <c r="Q72" s="13" t="str">
        <f t="shared" si="44"/>
        <v>ESKİ</v>
      </c>
      <c r="S72" s="18"/>
      <c r="T72" s="18"/>
      <c r="U72" s="18"/>
      <c r="V72" s="17">
        <v>100</v>
      </c>
      <c r="W72" s="17">
        <v>1</v>
      </c>
      <c r="X72" s="18"/>
      <c r="Y72" s="18"/>
      <c r="Z72" s="18"/>
      <c r="AA72" s="18"/>
      <c r="AB72" s="13" t="str">
        <f t="shared" si="45"/>
        <v>SARF</v>
      </c>
      <c r="AC72" s="13">
        <f t="shared" si="46"/>
        <v>0</v>
      </c>
      <c r="AD72" s="13">
        <f t="shared" si="47"/>
        <v>0</v>
      </c>
      <c r="AE72" s="13">
        <f t="shared" si="48"/>
        <v>0</v>
      </c>
      <c r="AF72" s="13">
        <f t="shared" si="49"/>
        <v>0</v>
      </c>
      <c r="AG72" s="13">
        <f t="shared" si="50"/>
        <v>0</v>
      </c>
      <c r="AH72" s="13">
        <f t="shared" si="51"/>
        <v>0</v>
      </c>
      <c r="AI72" s="13">
        <f t="shared" si="52"/>
        <v>0</v>
      </c>
      <c r="AJ72" s="13">
        <f t="shared" si="53"/>
        <v>0</v>
      </c>
    </row>
    <row r="73" spans="1:36" ht="15" customHeight="1" x14ac:dyDescent="0.25">
      <c r="A73" s="13">
        <f t="shared" si="36"/>
        <v>72</v>
      </c>
      <c r="B73" s="13" t="s">
        <v>88</v>
      </c>
      <c r="C73" s="13" t="s">
        <v>89</v>
      </c>
      <c r="D73" s="13" t="s">
        <v>316</v>
      </c>
      <c r="E73" s="14">
        <v>428</v>
      </c>
      <c r="F73" s="15">
        <f t="shared" si="37"/>
        <v>428</v>
      </c>
      <c r="G73" s="15">
        <f t="shared" si="38"/>
        <v>1712</v>
      </c>
      <c r="H73" s="32">
        <f>SUMPRODUCT((BOM!$C$2:$C$675=$C73)*BOM!$H$2:$H$675*BOM!$M$2:$M$675)</f>
        <v>4</v>
      </c>
      <c r="I73" s="32" t="s">
        <v>258</v>
      </c>
      <c r="J73" s="32" t="s">
        <v>253</v>
      </c>
      <c r="K73" s="32" t="str">
        <f t="shared" si="39"/>
        <v>KZT</v>
      </c>
      <c r="L73" s="32">
        <f t="shared" si="40"/>
        <v>1</v>
      </c>
      <c r="M73" s="32">
        <f t="shared" si="41"/>
        <v>1</v>
      </c>
      <c r="N73" s="13" t="s">
        <v>254</v>
      </c>
      <c r="O73" s="16">
        <f t="shared" si="42"/>
        <v>45820</v>
      </c>
      <c r="P73" s="13">
        <f t="shared" si="43"/>
        <v>15.2</v>
      </c>
      <c r="Q73" s="13" t="str">
        <f t="shared" si="44"/>
        <v>ESKİ</v>
      </c>
      <c r="S73" s="18"/>
      <c r="T73" s="18"/>
      <c r="U73" s="18"/>
      <c r="V73" s="17">
        <v>100</v>
      </c>
      <c r="W73" s="17">
        <v>1.5</v>
      </c>
      <c r="X73" s="18"/>
      <c r="Y73" s="18"/>
      <c r="Z73" s="18"/>
      <c r="AA73" s="18"/>
      <c r="AB73" s="13" t="str">
        <f t="shared" si="45"/>
        <v>SARF</v>
      </c>
      <c r="AC73" s="13">
        <f t="shared" si="46"/>
        <v>0</v>
      </c>
      <c r="AD73" s="13">
        <f t="shared" si="47"/>
        <v>0</v>
      </c>
      <c r="AE73" s="13">
        <f t="shared" si="48"/>
        <v>0</v>
      </c>
      <c r="AF73" s="13">
        <f t="shared" si="49"/>
        <v>0</v>
      </c>
      <c r="AG73" s="13">
        <f t="shared" si="50"/>
        <v>0</v>
      </c>
      <c r="AH73" s="13">
        <f t="shared" si="51"/>
        <v>0</v>
      </c>
      <c r="AI73" s="13">
        <f t="shared" si="52"/>
        <v>0</v>
      </c>
      <c r="AJ73" s="13">
        <f t="shared" si="53"/>
        <v>0</v>
      </c>
    </row>
    <row r="74" spans="1:36" ht="15" customHeight="1" x14ac:dyDescent="0.25">
      <c r="A74" s="13">
        <f t="shared" si="36"/>
        <v>73</v>
      </c>
      <c r="B74" s="13" t="s">
        <v>88</v>
      </c>
      <c r="C74" s="13" t="s">
        <v>91</v>
      </c>
      <c r="D74" s="13" t="s">
        <v>317</v>
      </c>
      <c r="E74" s="14">
        <v>540</v>
      </c>
      <c r="F74" s="15">
        <f t="shared" si="37"/>
        <v>540</v>
      </c>
      <c r="G74" s="15">
        <f t="shared" si="38"/>
        <v>4860</v>
      </c>
      <c r="H74" s="32">
        <f>SUMPRODUCT((BOM!$C$2:$C$675=$C74)*BOM!$H$2:$H$675*BOM!$M$2:$M$675)</f>
        <v>9</v>
      </c>
      <c r="I74" s="32" t="s">
        <v>258</v>
      </c>
      <c r="J74" s="32" t="s">
        <v>253</v>
      </c>
      <c r="K74" s="32" t="str">
        <f t="shared" si="39"/>
        <v>KZT</v>
      </c>
      <c r="L74" s="32">
        <f t="shared" si="40"/>
        <v>1</v>
      </c>
      <c r="M74" s="32">
        <f t="shared" si="41"/>
        <v>1</v>
      </c>
      <c r="N74" s="13" t="s">
        <v>254</v>
      </c>
      <c r="O74" s="16">
        <f t="shared" si="42"/>
        <v>45820</v>
      </c>
      <c r="P74" s="13">
        <f t="shared" si="43"/>
        <v>15.2</v>
      </c>
      <c r="Q74" s="13" t="str">
        <f t="shared" si="44"/>
        <v>ESKİ</v>
      </c>
      <c r="S74" s="18"/>
      <c r="T74" s="18"/>
      <c r="U74" s="18"/>
      <c r="V74" s="17">
        <v>100</v>
      </c>
      <c r="W74" s="17">
        <v>2.5</v>
      </c>
      <c r="X74" s="18"/>
      <c r="Y74" s="18"/>
      <c r="Z74" s="18"/>
      <c r="AA74" s="18"/>
      <c r="AB74" s="13" t="str">
        <f t="shared" si="45"/>
        <v>SARF</v>
      </c>
      <c r="AC74" s="13">
        <f t="shared" si="46"/>
        <v>0</v>
      </c>
      <c r="AD74" s="13">
        <f t="shared" si="47"/>
        <v>0</v>
      </c>
      <c r="AE74" s="13">
        <f t="shared" si="48"/>
        <v>0</v>
      </c>
      <c r="AF74" s="13">
        <f t="shared" si="49"/>
        <v>0</v>
      </c>
      <c r="AG74" s="13">
        <f t="shared" si="50"/>
        <v>0</v>
      </c>
      <c r="AH74" s="13">
        <f t="shared" si="51"/>
        <v>0</v>
      </c>
      <c r="AI74" s="13">
        <f t="shared" si="52"/>
        <v>0</v>
      </c>
      <c r="AJ74" s="13">
        <f t="shared" si="53"/>
        <v>0</v>
      </c>
    </row>
    <row r="75" spans="1:36" ht="15" customHeight="1" x14ac:dyDescent="0.25">
      <c r="A75" s="13">
        <f t="shared" si="36"/>
        <v>74</v>
      </c>
      <c r="B75" s="13" t="s">
        <v>88</v>
      </c>
      <c r="C75" s="13" t="s">
        <v>129</v>
      </c>
      <c r="D75" s="13" t="s">
        <v>318</v>
      </c>
      <c r="E75" s="14">
        <v>818</v>
      </c>
      <c r="F75" s="15">
        <f t="shared" si="37"/>
        <v>818</v>
      </c>
      <c r="G75" s="15">
        <f t="shared" si="38"/>
        <v>1636</v>
      </c>
      <c r="H75" s="32">
        <f>SUMPRODUCT((BOM!$C$2:$C$675=$C75)*BOM!$H$2:$H$675*BOM!$M$2:$M$675)</f>
        <v>2</v>
      </c>
      <c r="I75" s="32" t="s">
        <v>258</v>
      </c>
      <c r="J75" s="32" t="s">
        <v>253</v>
      </c>
      <c r="K75" s="32" t="str">
        <f t="shared" si="39"/>
        <v>KZT</v>
      </c>
      <c r="L75" s="32">
        <f t="shared" si="40"/>
        <v>1</v>
      </c>
      <c r="M75" s="32">
        <f t="shared" si="41"/>
        <v>1</v>
      </c>
      <c r="N75" s="13" t="s">
        <v>254</v>
      </c>
      <c r="O75" s="16">
        <f t="shared" si="42"/>
        <v>45820</v>
      </c>
      <c r="P75" s="13">
        <f t="shared" si="43"/>
        <v>15.2</v>
      </c>
      <c r="Q75" s="13" t="str">
        <f t="shared" si="44"/>
        <v>ESKİ</v>
      </c>
      <c r="S75" s="18"/>
      <c r="T75" s="18"/>
      <c r="U75" s="18"/>
      <c r="V75" s="17">
        <v>100</v>
      </c>
      <c r="W75" s="17">
        <v>4</v>
      </c>
      <c r="X75" s="18"/>
      <c r="Y75" s="18"/>
      <c r="Z75" s="18"/>
      <c r="AA75" s="18"/>
      <c r="AB75" s="13" t="str">
        <f t="shared" si="45"/>
        <v>SARF</v>
      </c>
      <c r="AC75" s="13">
        <f t="shared" si="46"/>
        <v>0</v>
      </c>
      <c r="AD75" s="13">
        <f t="shared" si="47"/>
        <v>0</v>
      </c>
      <c r="AE75" s="13">
        <f t="shared" si="48"/>
        <v>0</v>
      </c>
      <c r="AF75" s="13">
        <f t="shared" si="49"/>
        <v>0</v>
      </c>
      <c r="AG75" s="13">
        <f t="shared" si="50"/>
        <v>0</v>
      </c>
      <c r="AH75" s="13">
        <f t="shared" si="51"/>
        <v>0</v>
      </c>
      <c r="AI75" s="13">
        <f t="shared" si="52"/>
        <v>0</v>
      </c>
      <c r="AJ75" s="13">
        <f t="shared" si="53"/>
        <v>0</v>
      </c>
    </row>
    <row r="76" spans="1:36" ht="15" customHeight="1" x14ac:dyDescent="0.25">
      <c r="A76" s="13">
        <f t="shared" si="36"/>
        <v>75</v>
      </c>
      <c r="B76" s="13" t="s">
        <v>88</v>
      </c>
      <c r="C76" s="13" t="s">
        <v>131</v>
      </c>
      <c r="D76" s="13" t="s">
        <v>319</v>
      </c>
      <c r="E76" s="14">
        <v>1240</v>
      </c>
      <c r="F76" s="15">
        <f t="shared" si="37"/>
        <v>1240</v>
      </c>
      <c r="G76" s="15">
        <f t="shared" si="38"/>
        <v>4960</v>
      </c>
      <c r="H76" s="32">
        <f>SUMPRODUCT((BOM!$C$2:$C$675=$C76)*BOM!$H$2:$H$675*BOM!$M$2:$M$675)</f>
        <v>4</v>
      </c>
      <c r="I76" s="32" t="s">
        <v>258</v>
      </c>
      <c r="J76" s="32" t="s">
        <v>253</v>
      </c>
      <c r="K76" s="32" t="str">
        <f t="shared" si="39"/>
        <v>KZT</v>
      </c>
      <c r="L76" s="32">
        <f t="shared" si="40"/>
        <v>1</v>
      </c>
      <c r="M76" s="32">
        <f t="shared" si="41"/>
        <v>1</v>
      </c>
      <c r="N76" s="13" t="s">
        <v>254</v>
      </c>
      <c r="O76" s="16">
        <f t="shared" si="42"/>
        <v>45820</v>
      </c>
      <c r="P76" s="13">
        <f t="shared" si="43"/>
        <v>15.2</v>
      </c>
      <c r="Q76" s="13" t="str">
        <f t="shared" si="44"/>
        <v>ESKİ</v>
      </c>
      <c r="S76" s="18"/>
      <c r="T76" s="18"/>
      <c r="U76" s="18"/>
      <c r="V76" s="17">
        <v>100</v>
      </c>
      <c r="W76" s="17">
        <v>6</v>
      </c>
      <c r="X76" s="18"/>
      <c r="Y76" s="18"/>
      <c r="Z76" s="18"/>
      <c r="AA76" s="18"/>
      <c r="AB76" s="13" t="str">
        <f t="shared" si="45"/>
        <v>SARF</v>
      </c>
      <c r="AC76" s="13">
        <f t="shared" si="46"/>
        <v>0</v>
      </c>
      <c r="AD76" s="13">
        <f t="shared" si="47"/>
        <v>0</v>
      </c>
      <c r="AE76" s="13">
        <f t="shared" si="48"/>
        <v>0</v>
      </c>
      <c r="AF76" s="13">
        <f t="shared" si="49"/>
        <v>0</v>
      </c>
      <c r="AG76" s="13">
        <f t="shared" si="50"/>
        <v>0</v>
      </c>
      <c r="AH76" s="13">
        <f t="shared" si="51"/>
        <v>0</v>
      </c>
      <c r="AI76" s="13">
        <f t="shared" si="52"/>
        <v>0</v>
      </c>
      <c r="AJ76" s="13">
        <f t="shared" si="53"/>
        <v>0</v>
      </c>
    </row>
    <row r="77" spans="1:36" ht="15" customHeight="1" x14ac:dyDescent="0.25">
      <c r="A77" s="13">
        <f t="shared" si="36"/>
        <v>76</v>
      </c>
      <c r="B77" s="13" t="s">
        <v>88</v>
      </c>
      <c r="C77" s="13" t="s">
        <v>133</v>
      </c>
      <c r="D77" s="13" t="s">
        <v>320</v>
      </c>
      <c r="E77" s="14">
        <v>1550</v>
      </c>
      <c r="F77" s="15">
        <f t="shared" si="37"/>
        <v>1550</v>
      </c>
      <c r="G77" s="15">
        <f t="shared" si="38"/>
        <v>1550</v>
      </c>
      <c r="H77" s="32">
        <f>SUMPRODUCT((BOM!$C$2:$C$675=$C77)*BOM!$H$2:$H$675*BOM!$M$2:$M$675)</f>
        <v>1</v>
      </c>
      <c r="I77" s="32" t="s">
        <v>258</v>
      </c>
      <c r="J77" s="32" t="s">
        <v>253</v>
      </c>
      <c r="K77" s="32" t="str">
        <f t="shared" si="39"/>
        <v>KZT</v>
      </c>
      <c r="L77" s="32">
        <f t="shared" si="40"/>
        <v>1</v>
      </c>
      <c r="M77" s="32">
        <f t="shared" si="41"/>
        <v>1</v>
      </c>
      <c r="N77" s="13" t="s">
        <v>254</v>
      </c>
      <c r="O77" s="16">
        <f t="shared" si="42"/>
        <v>45820</v>
      </c>
      <c r="P77" s="13">
        <f t="shared" si="43"/>
        <v>15.2</v>
      </c>
      <c r="Q77" s="13" t="str">
        <f t="shared" si="44"/>
        <v>ESKİ</v>
      </c>
      <c r="S77" s="18"/>
      <c r="T77" s="18"/>
      <c r="U77" s="18"/>
      <c r="V77" s="17">
        <v>100</v>
      </c>
      <c r="W77" s="17">
        <v>10</v>
      </c>
      <c r="X77" s="18"/>
      <c r="Y77" s="18"/>
      <c r="Z77" s="18"/>
      <c r="AA77" s="18"/>
      <c r="AB77" s="13" t="str">
        <f t="shared" si="45"/>
        <v>SARF</v>
      </c>
      <c r="AC77" s="13">
        <f t="shared" si="46"/>
        <v>0</v>
      </c>
      <c r="AD77" s="13">
        <f t="shared" si="47"/>
        <v>0</v>
      </c>
      <c r="AE77" s="13">
        <f t="shared" si="48"/>
        <v>0</v>
      </c>
      <c r="AF77" s="13">
        <f t="shared" si="49"/>
        <v>0</v>
      </c>
      <c r="AG77" s="13">
        <f t="shared" si="50"/>
        <v>0</v>
      </c>
      <c r="AH77" s="13">
        <f t="shared" si="51"/>
        <v>0</v>
      </c>
      <c r="AI77" s="13">
        <f t="shared" si="52"/>
        <v>0</v>
      </c>
      <c r="AJ77" s="13">
        <f t="shared" si="53"/>
        <v>0</v>
      </c>
    </row>
    <row r="78" spans="1:36" ht="15" customHeight="1" x14ac:dyDescent="0.25">
      <c r="A78" s="13">
        <f t="shared" si="36"/>
        <v>77</v>
      </c>
      <c r="B78" s="13" t="s">
        <v>93</v>
      </c>
      <c r="C78" s="13" t="s">
        <v>100</v>
      </c>
      <c r="D78" s="13" t="s">
        <v>321</v>
      </c>
      <c r="E78" s="14">
        <v>76</v>
      </c>
      <c r="F78" s="15">
        <f t="shared" si="37"/>
        <v>76</v>
      </c>
      <c r="G78" s="15">
        <f t="shared" si="38"/>
        <v>1368</v>
      </c>
      <c r="H78" s="32">
        <f>SUMPRODUCT((BOM!$C$2:$C$675=$C78)*BOM!$H$2:$H$675*BOM!$M$2:$M$675)</f>
        <v>18</v>
      </c>
      <c r="I78" s="32" t="s">
        <v>106</v>
      </c>
      <c r="J78" s="32" t="s">
        <v>253</v>
      </c>
      <c r="K78" s="32" t="str">
        <f t="shared" si="39"/>
        <v>KZT</v>
      </c>
      <c r="L78" s="32">
        <f t="shared" si="40"/>
        <v>1</v>
      </c>
      <c r="M78" s="32">
        <f t="shared" si="41"/>
        <v>1</v>
      </c>
      <c r="N78" s="13" t="s">
        <v>254</v>
      </c>
      <c r="O78" s="16">
        <f t="shared" si="42"/>
        <v>45820</v>
      </c>
      <c r="P78" s="13">
        <f t="shared" si="43"/>
        <v>15.2</v>
      </c>
      <c r="Q78" s="13" t="str">
        <f t="shared" si="44"/>
        <v>ESKİ</v>
      </c>
      <c r="S78" s="18"/>
      <c r="T78" s="18"/>
      <c r="U78" s="18"/>
      <c r="V78" s="18"/>
      <c r="W78" s="18"/>
      <c r="X78" s="18"/>
      <c r="Y78" s="18"/>
      <c r="Z78" s="18"/>
      <c r="AA78" s="18"/>
      <c r="AB78" s="13" t="str">
        <f t="shared" si="45"/>
        <v>SARF</v>
      </c>
      <c r="AC78" s="13">
        <f t="shared" si="46"/>
        <v>0</v>
      </c>
      <c r="AD78" s="13">
        <f t="shared" si="47"/>
        <v>0</v>
      </c>
      <c r="AE78" s="13">
        <f t="shared" si="48"/>
        <v>0</v>
      </c>
      <c r="AF78" s="13">
        <f t="shared" si="49"/>
        <v>0</v>
      </c>
      <c r="AG78" s="13">
        <f t="shared" si="50"/>
        <v>0</v>
      </c>
      <c r="AH78" s="13">
        <f t="shared" si="51"/>
        <v>0</v>
      </c>
      <c r="AI78" s="13">
        <f t="shared" si="52"/>
        <v>0</v>
      </c>
      <c r="AJ78" s="13">
        <f t="shared" si="53"/>
        <v>0</v>
      </c>
    </row>
    <row r="79" spans="1:36" ht="15" customHeight="1" x14ac:dyDescent="0.25">
      <c r="A79" s="13">
        <f t="shared" si="36"/>
        <v>78</v>
      </c>
      <c r="B79" s="13" t="s">
        <v>93</v>
      </c>
      <c r="C79" s="13" t="s">
        <v>322</v>
      </c>
      <c r="D79" s="13" t="s">
        <v>323</v>
      </c>
      <c r="E79" s="14">
        <v>108</v>
      </c>
      <c r="F79" s="15">
        <f t="shared" si="37"/>
        <v>108</v>
      </c>
      <c r="G79" s="15">
        <f t="shared" si="38"/>
        <v>0</v>
      </c>
      <c r="H79" s="32">
        <f>SUMPRODUCT((BOM!$C$2:$C$675=$C79)*BOM!$H$2:$H$675*BOM!$M$2:$M$675)</f>
        <v>0</v>
      </c>
      <c r="I79" s="32" t="s">
        <v>106</v>
      </c>
      <c r="J79" s="32" t="s">
        <v>253</v>
      </c>
      <c r="K79" s="32" t="str">
        <f t="shared" si="39"/>
        <v>KZT</v>
      </c>
      <c r="L79" s="32">
        <f t="shared" si="40"/>
        <v>1</v>
      </c>
      <c r="M79" s="32">
        <f t="shared" si="41"/>
        <v>1</v>
      </c>
      <c r="N79" s="13" t="s">
        <v>254</v>
      </c>
      <c r="O79" s="16">
        <f t="shared" si="42"/>
        <v>45820</v>
      </c>
      <c r="P79" s="13">
        <f t="shared" si="43"/>
        <v>15.2</v>
      </c>
      <c r="Q79" s="13" t="str">
        <f t="shared" si="44"/>
        <v>ESKİ</v>
      </c>
      <c r="S79" s="18"/>
      <c r="T79" s="18"/>
      <c r="U79" s="18"/>
      <c r="V79" s="18"/>
      <c r="W79" s="18"/>
      <c r="X79" s="18"/>
      <c r="Y79" s="18"/>
      <c r="Z79" s="18"/>
      <c r="AA79" s="18"/>
      <c r="AB79" s="13" t="str">
        <f t="shared" si="45"/>
        <v>SARF</v>
      </c>
      <c r="AC79" s="13">
        <f t="shared" si="46"/>
        <v>0</v>
      </c>
      <c r="AD79" s="13">
        <f t="shared" si="47"/>
        <v>0</v>
      </c>
      <c r="AE79" s="13">
        <f t="shared" si="48"/>
        <v>0</v>
      </c>
      <c r="AF79" s="13">
        <f t="shared" si="49"/>
        <v>0</v>
      </c>
      <c r="AG79" s="13">
        <f t="shared" si="50"/>
        <v>0</v>
      </c>
      <c r="AH79" s="13">
        <f t="shared" si="51"/>
        <v>0</v>
      </c>
      <c r="AI79" s="13">
        <f t="shared" si="52"/>
        <v>0</v>
      </c>
      <c r="AJ79" s="13">
        <f t="shared" si="53"/>
        <v>0</v>
      </c>
    </row>
    <row r="80" spans="1:36" ht="15" customHeight="1" x14ac:dyDescent="0.25">
      <c r="A80" s="13">
        <f t="shared" si="36"/>
        <v>79</v>
      </c>
      <c r="B80" s="13" t="s">
        <v>93</v>
      </c>
      <c r="C80" s="13" t="s">
        <v>324</v>
      </c>
      <c r="D80" s="13" t="s">
        <v>325</v>
      </c>
      <c r="E80" s="14">
        <v>140</v>
      </c>
      <c r="F80" s="15">
        <f t="shared" si="37"/>
        <v>140</v>
      </c>
      <c r="G80" s="15">
        <f t="shared" si="38"/>
        <v>0</v>
      </c>
      <c r="H80" s="32">
        <f>SUMPRODUCT((BOM!$C$2:$C$675=$C80)*BOM!$H$2:$H$675*BOM!$M$2:$M$675)</f>
        <v>0</v>
      </c>
      <c r="I80" s="32" t="s">
        <v>106</v>
      </c>
      <c r="J80" s="32" t="s">
        <v>253</v>
      </c>
      <c r="K80" s="32" t="str">
        <f t="shared" si="39"/>
        <v>KZT</v>
      </c>
      <c r="L80" s="32">
        <f t="shared" si="40"/>
        <v>1</v>
      </c>
      <c r="M80" s="32">
        <f t="shared" si="41"/>
        <v>1</v>
      </c>
      <c r="N80" s="13" t="s">
        <v>254</v>
      </c>
      <c r="O80" s="16">
        <f t="shared" si="42"/>
        <v>45820</v>
      </c>
      <c r="P80" s="13">
        <f t="shared" si="43"/>
        <v>15.2</v>
      </c>
      <c r="Q80" s="13" t="str">
        <f t="shared" si="44"/>
        <v>ESKİ</v>
      </c>
      <c r="S80" s="18"/>
      <c r="T80" s="18"/>
      <c r="U80" s="18"/>
      <c r="V80" s="18"/>
      <c r="W80" s="18"/>
      <c r="X80" s="18"/>
      <c r="Y80" s="18"/>
      <c r="Z80" s="18"/>
      <c r="AA80" s="18"/>
      <c r="AB80" s="13" t="str">
        <f t="shared" si="45"/>
        <v>SARF</v>
      </c>
      <c r="AC80" s="13">
        <f t="shared" si="46"/>
        <v>0</v>
      </c>
      <c r="AD80" s="13">
        <f t="shared" si="47"/>
        <v>0</v>
      </c>
      <c r="AE80" s="13">
        <f t="shared" si="48"/>
        <v>0</v>
      </c>
      <c r="AF80" s="13">
        <f t="shared" si="49"/>
        <v>0</v>
      </c>
      <c r="AG80" s="13">
        <f t="shared" si="50"/>
        <v>0</v>
      </c>
      <c r="AH80" s="13">
        <f t="shared" si="51"/>
        <v>0</v>
      </c>
      <c r="AI80" s="13">
        <f t="shared" si="52"/>
        <v>0</v>
      </c>
      <c r="AJ80" s="13">
        <f t="shared" si="53"/>
        <v>0</v>
      </c>
    </row>
    <row r="81" spans="1:36" ht="15" customHeight="1" x14ac:dyDescent="0.25">
      <c r="A81" s="13">
        <f t="shared" si="36"/>
        <v>80</v>
      </c>
      <c r="B81" s="13" t="s">
        <v>93</v>
      </c>
      <c r="C81" s="13" t="s">
        <v>94</v>
      </c>
      <c r="D81" s="13" t="s">
        <v>326</v>
      </c>
      <c r="E81" s="14">
        <v>156</v>
      </c>
      <c r="F81" s="15">
        <f t="shared" si="37"/>
        <v>156</v>
      </c>
      <c r="G81" s="15">
        <f t="shared" si="38"/>
        <v>3120</v>
      </c>
      <c r="H81" s="32">
        <f>SUMPRODUCT((BOM!$C$2:$C$675=$C81)*BOM!$H$2:$H$675*BOM!$M$2:$M$675)</f>
        <v>20</v>
      </c>
      <c r="I81" s="32" t="s">
        <v>106</v>
      </c>
      <c r="J81" s="32" t="s">
        <v>253</v>
      </c>
      <c r="K81" s="32" t="str">
        <f t="shared" si="39"/>
        <v>KZT</v>
      </c>
      <c r="L81" s="32">
        <f t="shared" si="40"/>
        <v>1</v>
      </c>
      <c r="M81" s="32">
        <f t="shared" si="41"/>
        <v>1</v>
      </c>
      <c r="N81" s="13" t="s">
        <v>254</v>
      </c>
      <c r="O81" s="16">
        <f t="shared" si="42"/>
        <v>45820</v>
      </c>
      <c r="P81" s="13">
        <f t="shared" si="43"/>
        <v>15.2</v>
      </c>
      <c r="Q81" s="13" t="str">
        <f t="shared" si="44"/>
        <v>ESKİ</v>
      </c>
      <c r="S81" s="18"/>
      <c r="T81" s="18"/>
      <c r="U81" s="18"/>
      <c r="V81" s="18"/>
      <c r="W81" s="18"/>
      <c r="X81" s="18"/>
      <c r="Y81" s="18"/>
      <c r="Z81" s="18"/>
      <c r="AA81" s="18"/>
      <c r="AB81" s="13" t="str">
        <f t="shared" si="45"/>
        <v>SARF</v>
      </c>
      <c r="AC81" s="13">
        <f t="shared" si="46"/>
        <v>0</v>
      </c>
      <c r="AD81" s="13">
        <f t="shared" si="47"/>
        <v>0</v>
      </c>
      <c r="AE81" s="13">
        <f t="shared" si="48"/>
        <v>0</v>
      </c>
      <c r="AF81" s="13">
        <f t="shared" si="49"/>
        <v>0</v>
      </c>
      <c r="AG81" s="13">
        <f t="shared" si="50"/>
        <v>0</v>
      </c>
      <c r="AH81" s="13">
        <f t="shared" si="51"/>
        <v>0</v>
      </c>
      <c r="AI81" s="13">
        <f t="shared" si="52"/>
        <v>0</v>
      </c>
      <c r="AJ81" s="13">
        <f t="shared" si="53"/>
        <v>0</v>
      </c>
    </row>
    <row r="82" spans="1:36" ht="15" customHeight="1" x14ac:dyDescent="0.25">
      <c r="A82" s="13">
        <f t="shared" si="36"/>
        <v>81</v>
      </c>
      <c r="B82" s="13" t="s">
        <v>93</v>
      </c>
      <c r="C82" s="13" t="s">
        <v>96</v>
      </c>
      <c r="D82" s="13" t="s">
        <v>327</v>
      </c>
      <c r="E82" s="14">
        <v>206</v>
      </c>
      <c r="F82" s="15">
        <f t="shared" si="37"/>
        <v>206</v>
      </c>
      <c r="G82" s="15">
        <f t="shared" si="38"/>
        <v>2472</v>
      </c>
      <c r="H82" s="32">
        <f>SUMPRODUCT((BOM!$C$2:$C$675=$C82)*BOM!$H$2:$H$675*BOM!$M$2:$M$675)</f>
        <v>12</v>
      </c>
      <c r="I82" s="32" t="s">
        <v>106</v>
      </c>
      <c r="J82" s="32" t="s">
        <v>253</v>
      </c>
      <c r="K82" s="32" t="str">
        <f t="shared" si="39"/>
        <v>KZT</v>
      </c>
      <c r="L82" s="32">
        <f t="shared" si="40"/>
        <v>1</v>
      </c>
      <c r="M82" s="32">
        <f t="shared" si="41"/>
        <v>1</v>
      </c>
      <c r="N82" s="13" t="s">
        <v>254</v>
      </c>
      <c r="O82" s="16">
        <f t="shared" si="42"/>
        <v>45820</v>
      </c>
      <c r="P82" s="13">
        <f t="shared" si="43"/>
        <v>15.2</v>
      </c>
      <c r="Q82" s="13" t="str">
        <f t="shared" si="44"/>
        <v>ESKİ</v>
      </c>
      <c r="S82" s="18"/>
      <c r="T82" s="18"/>
      <c r="U82" s="18"/>
      <c r="V82" s="18"/>
      <c r="W82" s="18"/>
      <c r="X82" s="18"/>
      <c r="Y82" s="18"/>
      <c r="Z82" s="18"/>
      <c r="AA82" s="18"/>
      <c r="AB82" s="13" t="str">
        <f t="shared" si="45"/>
        <v>SARF</v>
      </c>
      <c r="AC82" s="13">
        <f t="shared" si="46"/>
        <v>0</v>
      </c>
      <c r="AD82" s="13">
        <f t="shared" si="47"/>
        <v>0</v>
      </c>
      <c r="AE82" s="13">
        <f t="shared" si="48"/>
        <v>0</v>
      </c>
      <c r="AF82" s="13">
        <f t="shared" si="49"/>
        <v>0</v>
      </c>
      <c r="AG82" s="13">
        <f t="shared" si="50"/>
        <v>0</v>
      </c>
      <c r="AH82" s="13">
        <f t="shared" si="51"/>
        <v>0</v>
      </c>
      <c r="AI82" s="13">
        <f t="shared" si="52"/>
        <v>0</v>
      </c>
      <c r="AJ82" s="13">
        <f t="shared" si="53"/>
        <v>0</v>
      </c>
    </row>
    <row r="83" spans="1:36" ht="15" customHeight="1" x14ac:dyDescent="0.25">
      <c r="A83" s="13">
        <f t="shared" si="36"/>
        <v>82</v>
      </c>
      <c r="B83" s="13" t="s">
        <v>93</v>
      </c>
      <c r="C83" s="13" t="s">
        <v>98</v>
      </c>
      <c r="D83" s="13" t="s">
        <v>328</v>
      </c>
      <c r="E83" s="14">
        <v>262</v>
      </c>
      <c r="F83" s="15">
        <f t="shared" si="37"/>
        <v>262</v>
      </c>
      <c r="G83" s="15">
        <f t="shared" si="38"/>
        <v>3144</v>
      </c>
      <c r="H83" s="32">
        <f>SUMPRODUCT((BOM!$C$2:$C$675=$C83)*BOM!$H$2:$H$675*BOM!$M$2:$M$675)</f>
        <v>12</v>
      </c>
      <c r="I83" s="32" t="s">
        <v>106</v>
      </c>
      <c r="J83" s="32" t="s">
        <v>253</v>
      </c>
      <c r="K83" s="32" t="str">
        <f t="shared" si="39"/>
        <v>KZT</v>
      </c>
      <c r="L83" s="32">
        <f t="shared" si="40"/>
        <v>1</v>
      </c>
      <c r="M83" s="32">
        <f t="shared" si="41"/>
        <v>1</v>
      </c>
      <c r="N83" s="13" t="s">
        <v>254</v>
      </c>
      <c r="O83" s="16">
        <f t="shared" si="42"/>
        <v>45820</v>
      </c>
      <c r="P83" s="13">
        <f t="shared" si="43"/>
        <v>15.2</v>
      </c>
      <c r="Q83" s="13" t="str">
        <f t="shared" si="44"/>
        <v>ESKİ</v>
      </c>
      <c r="S83" s="18"/>
      <c r="T83" s="18"/>
      <c r="U83" s="18"/>
      <c r="V83" s="18"/>
      <c r="W83" s="18"/>
      <c r="X83" s="18"/>
      <c r="Y83" s="18"/>
      <c r="Z83" s="18"/>
      <c r="AA83" s="18"/>
      <c r="AB83" s="13" t="str">
        <f t="shared" si="45"/>
        <v>SARF</v>
      </c>
      <c r="AC83" s="13">
        <f t="shared" si="46"/>
        <v>0</v>
      </c>
      <c r="AD83" s="13">
        <f t="shared" si="47"/>
        <v>0</v>
      </c>
      <c r="AE83" s="13">
        <f t="shared" si="48"/>
        <v>0</v>
      </c>
      <c r="AF83" s="13">
        <f t="shared" si="49"/>
        <v>0</v>
      </c>
      <c r="AG83" s="13">
        <f t="shared" si="50"/>
        <v>0</v>
      </c>
      <c r="AH83" s="13">
        <f t="shared" si="51"/>
        <v>0</v>
      </c>
      <c r="AI83" s="13">
        <f t="shared" si="52"/>
        <v>0</v>
      </c>
      <c r="AJ83" s="13">
        <f t="shared" si="53"/>
        <v>0</v>
      </c>
    </row>
    <row r="84" spans="1:36" ht="15" customHeight="1" x14ac:dyDescent="0.25">
      <c r="A84" s="13">
        <f t="shared" si="36"/>
        <v>83</v>
      </c>
      <c r="B84" s="13" t="s">
        <v>93</v>
      </c>
      <c r="C84" s="13" t="s">
        <v>329</v>
      </c>
      <c r="D84" s="13" t="s">
        <v>330</v>
      </c>
      <c r="E84" s="14">
        <v>372</v>
      </c>
      <c r="F84" s="15">
        <f t="shared" si="37"/>
        <v>372</v>
      </c>
      <c r="G84" s="15">
        <f t="shared" si="38"/>
        <v>0</v>
      </c>
      <c r="H84" s="32">
        <f>SUMPRODUCT((BOM!$C$2:$C$675=$C84)*BOM!$H$2:$H$675*BOM!$M$2:$M$675)</f>
        <v>0</v>
      </c>
      <c r="I84" s="32" t="s">
        <v>106</v>
      </c>
      <c r="J84" s="32" t="s">
        <v>253</v>
      </c>
      <c r="K84" s="32" t="str">
        <f t="shared" si="39"/>
        <v>KZT</v>
      </c>
      <c r="L84" s="32">
        <f t="shared" si="40"/>
        <v>1</v>
      </c>
      <c r="M84" s="32">
        <f t="shared" si="41"/>
        <v>1</v>
      </c>
      <c r="N84" s="13" t="s">
        <v>254</v>
      </c>
      <c r="O84" s="16">
        <f t="shared" si="42"/>
        <v>45820</v>
      </c>
      <c r="P84" s="13">
        <f t="shared" si="43"/>
        <v>15.2</v>
      </c>
      <c r="Q84" s="13" t="str">
        <f t="shared" si="44"/>
        <v>ESKİ</v>
      </c>
      <c r="S84" s="18"/>
      <c r="T84" s="18"/>
      <c r="U84" s="18"/>
      <c r="V84" s="18"/>
      <c r="W84" s="18"/>
      <c r="X84" s="18"/>
      <c r="Y84" s="18"/>
      <c r="Z84" s="18"/>
      <c r="AA84" s="18"/>
      <c r="AB84" s="13" t="str">
        <f t="shared" si="45"/>
        <v>SARF</v>
      </c>
      <c r="AC84" s="13">
        <f t="shared" si="46"/>
        <v>0</v>
      </c>
      <c r="AD84" s="13">
        <f t="shared" si="47"/>
        <v>0</v>
      </c>
      <c r="AE84" s="13">
        <f t="shared" si="48"/>
        <v>0</v>
      </c>
      <c r="AF84" s="13">
        <f t="shared" si="49"/>
        <v>0</v>
      </c>
      <c r="AG84" s="13">
        <f t="shared" si="50"/>
        <v>0</v>
      </c>
      <c r="AH84" s="13">
        <f t="shared" si="51"/>
        <v>0</v>
      </c>
      <c r="AI84" s="13">
        <f t="shared" si="52"/>
        <v>0</v>
      </c>
      <c r="AJ84" s="13">
        <f t="shared" si="53"/>
        <v>0</v>
      </c>
    </row>
    <row r="85" spans="1:36" ht="15" customHeight="1" x14ac:dyDescent="0.25">
      <c r="A85" s="13">
        <f t="shared" si="36"/>
        <v>84</v>
      </c>
      <c r="B85" s="13" t="s">
        <v>93</v>
      </c>
      <c r="C85" s="13" t="s">
        <v>331</v>
      </c>
      <c r="D85" s="13" t="s">
        <v>332</v>
      </c>
      <c r="E85" s="14">
        <v>587</v>
      </c>
      <c r="F85" s="15">
        <f t="shared" si="37"/>
        <v>587</v>
      </c>
      <c r="G85" s="15">
        <f t="shared" si="38"/>
        <v>0</v>
      </c>
      <c r="H85" s="32">
        <f>SUMPRODUCT((BOM!$C$2:$C$675=$C85)*BOM!$H$2:$H$675*BOM!$M$2:$M$675)</f>
        <v>0</v>
      </c>
      <c r="I85" s="32" t="s">
        <v>106</v>
      </c>
      <c r="J85" s="32" t="s">
        <v>253</v>
      </c>
      <c r="K85" s="32" t="str">
        <f t="shared" si="39"/>
        <v>KZT</v>
      </c>
      <c r="L85" s="32">
        <f t="shared" si="40"/>
        <v>1</v>
      </c>
      <c r="M85" s="32">
        <f t="shared" si="41"/>
        <v>1</v>
      </c>
      <c r="N85" s="13" t="s">
        <v>254</v>
      </c>
      <c r="O85" s="16">
        <f t="shared" si="42"/>
        <v>45820</v>
      </c>
      <c r="P85" s="13">
        <f t="shared" si="43"/>
        <v>15.2</v>
      </c>
      <c r="Q85" s="13" t="str">
        <f t="shared" si="44"/>
        <v>ESKİ</v>
      </c>
      <c r="S85" s="18"/>
      <c r="T85" s="18"/>
      <c r="U85" s="18"/>
      <c r="V85" s="18"/>
      <c r="W85" s="18"/>
      <c r="X85" s="18"/>
      <c r="Y85" s="18"/>
      <c r="Z85" s="18"/>
      <c r="AA85" s="18"/>
      <c r="AB85" s="13" t="str">
        <f t="shared" si="45"/>
        <v>SARF</v>
      </c>
      <c r="AC85" s="13">
        <f t="shared" si="46"/>
        <v>0</v>
      </c>
      <c r="AD85" s="13">
        <f t="shared" si="47"/>
        <v>0</v>
      </c>
      <c r="AE85" s="13">
        <f t="shared" si="48"/>
        <v>0</v>
      </c>
      <c r="AF85" s="13">
        <f t="shared" si="49"/>
        <v>0</v>
      </c>
      <c r="AG85" s="13">
        <f t="shared" si="50"/>
        <v>0</v>
      </c>
      <c r="AH85" s="13">
        <f t="shared" si="51"/>
        <v>0</v>
      </c>
      <c r="AI85" s="13">
        <f t="shared" si="52"/>
        <v>0</v>
      </c>
      <c r="AJ85" s="13">
        <f t="shared" si="53"/>
        <v>0</v>
      </c>
    </row>
    <row r="86" spans="1:36" ht="15" customHeight="1" x14ac:dyDescent="0.25">
      <c r="A86" s="13">
        <f t="shared" si="36"/>
        <v>85</v>
      </c>
      <c r="B86" s="13" t="s">
        <v>53</v>
      </c>
      <c r="C86" s="13" t="s">
        <v>333</v>
      </c>
      <c r="D86" s="13" t="s">
        <v>334</v>
      </c>
      <c r="E86" s="14">
        <v>106</v>
      </c>
      <c r="F86" s="15">
        <f t="shared" si="37"/>
        <v>106</v>
      </c>
      <c r="G86" s="15">
        <f t="shared" si="38"/>
        <v>0</v>
      </c>
      <c r="H86" s="32">
        <f>SUMPRODUCT((BOM!$C$2:$C$675=$C86)*BOM!$H$2:$H$675*BOM!$M$2:$M$675)</f>
        <v>0</v>
      </c>
      <c r="I86" s="32" t="s">
        <v>106</v>
      </c>
      <c r="J86" s="32" t="s">
        <v>253</v>
      </c>
      <c r="K86" s="32" t="str">
        <f t="shared" si="39"/>
        <v>KZT</v>
      </c>
      <c r="L86" s="32">
        <f t="shared" si="40"/>
        <v>1</v>
      </c>
      <c r="M86" s="32">
        <f t="shared" si="41"/>
        <v>1</v>
      </c>
      <c r="N86" s="13" t="s">
        <v>254</v>
      </c>
      <c r="O86" s="16">
        <f t="shared" si="42"/>
        <v>45820</v>
      </c>
      <c r="P86" s="13">
        <f t="shared" si="43"/>
        <v>15.2</v>
      </c>
      <c r="Q86" s="13" t="str">
        <f t="shared" si="44"/>
        <v>ESKİ</v>
      </c>
      <c r="S86" s="18"/>
      <c r="T86" s="18"/>
      <c r="U86" s="18"/>
      <c r="V86" s="18"/>
      <c r="W86" s="18"/>
      <c r="X86" s="18"/>
      <c r="Y86" s="18"/>
      <c r="Z86" s="18"/>
      <c r="AA86" s="18"/>
      <c r="AB86" s="13" t="str">
        <f t="shared" si="45"/>
        <v>AKSESUAR</v>
      </c>
      <c r="AC86" s="13">
        <f t="shared" si="46"/>
        <v>0</v>
      </c>
      <c r="AD86" s="13">
        <f t="shared" si="47"/>
        <v>0</v>
      </c>
      <c r="AE86" s="13">
        <f t="shared" si="48"/>
        <v>0</v>
      </c>
      <c r="AF86" s="13">
        <f t="shared" si="49"/>
        <v>0</v>
      </c>
      <c r="AG86" s="13">
        <f t="shared" si="50"/>
        <v>0</v>
      </c>
      <c r="AH86" s="13">
        <f t="shared" si="51"/>
        <v>0</v>
      </c>
      <c r="AI86" s="13">
        <f t="shared" si="52"/>
        <v>0</v>
      </c>
      <c r="AJ86" s="13">
        <f t="shared" si="53"/>
        <v>0</v>
      </c>
    </row>
    <row r="87" spans="1:36" ht="15" customHeight="1" x14ac:dyDescent="0.25">
      <c r="A87" s="13">
        <f t="shared" si="36"/>
        <v>86</v>
      </c>
      <c r="B87" s="13" t="s">
        <v>102</v>
      </c>
      <c r="C87" s="13" t="s">
        <v>103</v>
      </c>
      <c r="D87" s="13" t="s">
        <v>335</v>
      </c>
      <c r="E87" s="14">
        <v>182</v>
      </c>
      <c r="F87" s="15">
        <f t="shared" si="37"/>
        <v>182</v>
      </c>
      <c r="G87" s="15">
        <f t="shared" si="38"/>
        <v>1456</v>
      </c>
      <c r="H87" s="32">
        <f>SUMPRODUCT((BOM!$C$2:$C$675=$C87)*BOM!$H$2:$H$675*BOM!$M$2:$M$675)</f>
        <v>8</v>
      </c>
      <c r="I87" s="32" t="s">
        <v>258</v>
      </c>
      <c r="J87" s="32" t="s">
        <v>253</v>
      </c>
      <c r="K87" s="32" t="str">
        <f t="shared" si="39"/>
        <v>KZT</v>
      </c>
      <c r="L87" s="32">
        <f t="shared" si="40"/>
        <v>1</v>
      </c>
      <c r="M87" s="32">
        <f t="shared" si="41"/>
        <v>1</v>
      </c>
      <c r="N87" s="13" t="s">
        <v>254</v>
      </c>
      <c r="O87" s="16">
        <f t="shared" si="42"/>
        <v>45820</v>
      </c>
      <c r="P87" s="13">
        <f t="shared" si="43"/>
        <v>15.2</v>
      </c>
      <c r="Q87" s="13" t="str">
        <f t="shared" si="44"/>
        <v>ESKİ</v>
      </c>
      <c r="S87" s="18"/>
      <c r="T87" s="18"/>
      <c r="U87" s="18"/>
      <c r="V87" s="17">
        <v>100</v>
      </c>
      <c r="W87" s="18"/>
      <c r="X87" s="18"/>
      <c r="Y87" s="18"/>
      <c r="Z87" s="18"/>
      <c r="AA87" s="18"/>
      <c r="AB87" s="13" t="str">
        <f t="shared" si="45"/>
        <v>SARF</v>
      </c>
      <c r="AC87" s="13">
        <f t="shared" si="46"/>
        <v>0</v>
      </c>
      <c r="AD87" s="13">
        <f t="shared" si="47"/>
        <v>0</v>
      </c>
      <c r="AE87" s="13">
        <f t="shared" si="48"/>
        <v>0</v>
      </c>
      <c r="AF87" s="13">
        <f t="shared" si="49"/>
        <v>0</v>
      </c>
      <c r="AG87" s="13">
        <f t="shared" si="50"/>
        <v>0</v>
      </c>
      <c r="AH87" s="13">
        <f t="shared" si="51"/>
        <v>0</v>
      </c>
      <c r="AI87" s="13">
        <f t="shared" si="52"/>
        <v>0</v>
      </c>
      <c r="AJ87" s="13">
        <f t="shared" si="53"/>
        <v>0</v>
      </c>
    </row>
    <row r="88" spans="1:36" ht="15" customHeight="1" x14ac:dyDescent="0.25">
      <c r="A88" s="13">
        <f t="shared" si="36"/>
        <v>87</v>
      </c>
      <c r="B88" s="13" t="s">
        <v>338</v>
      </c>
      <c r="C88" s="13" t="s">
        <v>336</v>
      </c>
      <c r="D88" s="13" t="s">
        <v>337</v>
      </c>
      <c r="E88" s="14">
        <v>165</v>
      </c>
      <c r="F88" s="15">
        <f t="shared" si="37"/>
        <v>165</v>
      </c>
      <c r="G88" s="15">
        <f t="shared" si="38"/>
        <v>0</v>
      </c>
      <c r="H88" s="32">
        <f>SUMPRODUCT((BOM!$C$2:$C$675=$C88)*BOM!$H$2:$H$675*BOM!$M$2:$M$675)</f>
        <v>0</v>
      </c>
      <c r="I88" s="32" t="s">
        <v>106</v>
      </c>
      <c r="J88" s="32" t="s">
        <v>253</v>
      </c>
      <c r="K88" s="32" t="str">
        <f t="shared" si="39"/>
        <v>KZT</v>
      </c>
      <c r="L88" s="32">
        <f t="shared" si="40"/>
        <v>1</v>
      </c>
      <c r="M88" s="32">
        <f t="shared" si="41"/>
        <v>1</v>
      </c>
      <c r="N88" s="13" t="s">
        <v>254</v>
      </c>
      <c r="O88" s="16">
        <f t="shared" si="42"/>
        <v>45820</v>
      </c>
      <c r="P88" s="13">
        <f t="shared" si="43"/>
        <v>15.2</v>
      </c>
      <c r="Q88" s="13" t="str">
        <f t="shared" si="44"/>
        <v>ESKİ</v>
      </c>
      <c r="S88" s="18"/>
      <c r="T88" s="18"/>
      <c r="U88" s="18"/>
      <c r="V88" s="18"/>
      <c r="W88" s="18"/>
      <c r="X88" s="18"/>
      <c r="Y88" s="18"/>
      <c r="Z88" s="18"/>
      <c r="AA88" s="18"/>
      <c r="AB88" s="13" t="str">
        <f t="shared" si="45"/>
        <v>SARF</v>
      </c>
      <c r="AC88" s="13">
        <f t="shared" si="46"/>
        <v>0</v>
      </c>
      <c r="AD88" s="13">
        <f t="shared" si="47"/>
        <v>0</v>
      </c>
      <c r="AE88" s="13">
        <f t="shared" si="48"/>
        <v>0</v>
      </c>
      <c r="AF88" s="13">
        <f t="shared" si="49"/>
        <v>0</v>
      </c>
      <c r="AG88" s="13">
        <f t="shared" si="50"/>
        <v>0</v>
      </c>
      <c r="AH88" s="13">
        <f t="shared" si="51"/>
        <v>0</v>
      </c>
      <c r="AI88" s="13">
        <f t="shared" si="52"/>
        <v>0</v>
      </c>
      <c r="AJ88" s="13">
        <f t="shared" si="53"/>
        <v>0</v>
      </c>
    </row>
    <row r="89" spans="1:36" ht="15" customHeight="1" x14ac:dyDescent="0.25">
      <c r="A89" s="13">
        <f t="shared" si="36"/>
        <v>88</v>
      </c>
      <c r="B89" s="13" t="s">
        <v>68</v>
      </c>
      <c r="C89" s="13" t="s">
        <v>339</v>
      </c>
      <c r="D89" s="13" t="s">
        <v>340</v>
      </c>
      <c r="E89" s="14">
        <v>560</v>
      </c>
      <c r="F89" s="15">
        <f t="shared" si="37"/>
        <v>560</v>
      </c>
      <c r="G89" s="15">
        <f t="shared" si="38"/>
        <v>1680</v>
      </c>
      <c r="H89" s="32">
        <f>SUMPRODUCT((BOM!$C$2:$C$675=$C89)*BOM!$H$2:$H$675*BOM!$M$2:$M$675)</f>
        <v>3</v>
      </c>
      <c r="I89" s="32" t="s">
        <v>106</v>
      </c>
      <c r="J89" s="32" t="s">
        <v>253</v>
      </c>
      <c r="K89" s="32" t="str">
        <f t="shared" si="39"/>
        <v>KZT</v>
      </c>
      <c r="L89" s="32">
        <f t="shared" si="40"/>
        <v>1</v>
      </c>
      <c r="M89" s="32">
        <f t="shared" si="41"/>
        <v>1</v>
      </c>
      <c r="N89" s="13" t="s">
        <v>254</v>
      </c>
      <c r="O89" s="16">
        <f t="shared" si="42"/>
        <v>45820</v>
      </c>
      <c r="P89" s="13">
        <f t="shared" si="43"/>
        <v>15.2</v>
      </c>
      <c r="Q89" s="13" t="str">
        <f t="shared" si="44"/>
        <v>ESKİ</v>
      </c>
      <c r="S89" s="18"/>
      <c r="T89" s="18"/>
      <c r="U89" s="18"/>
      <c r="V89" s="18"/>
      <c r="W89" s="18"/>
      <c r="X89" s="18"/>
      <c r="Y89" s="18"/>
      <c r="Z89" s="18"/>
      <c r="AA89" s="18"/>
      <c r="AB89" s="13" t="str">
        <f t="shared" si="45"/>
        <v>SARF</v>
      </c>
      <c r="AC89" s="13">
        <f t="shared" si="46"/>
        <v>0</v>
      </c>
      <c r="AD89" s="13">
        <f t="shared" si="47"/>
        <v>0</v>
      </c>
      <c r="AE89" s="13">
        <f t="shared" si="48"/>
        <v>0</v>
      </c>
      <c r="AF89" s="13">
        <f t="shared" si="49"/>
        <v>0</v>
      </c>
      <c r="AG89" s="13">
        <f t="shared" si="50"/>
        <v>0</v>
      </c>
      <c r="AH89" s="13">
        <f t="shared" si="51"/>
        <v>0</v>
      </c>
      <c r="AI89" s="13">
        <f t="shared" si="52"/>
        <v>0</v>
      </c>
      <c r="AJ89" s="13">
        <f t="shared" si="53"/>
        <v>0</v>
      </c>
    </row>
    <row r="90" spans="1:36" ht="15" customHeight="1" x14ac:dyDescent="0.25">
      <c r="A90" s="13">
        <f t="shared" si="36"/>
        <v>89</v>
      </c>
      <c r="B90" s="13" t="s">
        <v>68</v>
      </c>
      <c r="C90" s="13" t="s">
        <v>341</v>
      </c>
      <c r="D90" s="13" t="s">
        <v>342</v>
      </c>
      <c r="E90" s="14">
        <v>630</v>
      </c>
      <c r="F90" s="15">
        <f t="shared" si="37"/>
        <v>630</v>
      </c>
      <c r="G90" s="15">
        <f t="shared" si="38"/>
        <v>1890</v>
      </c>
      <c r="H90" s="32">
        <f>SUMPRODUCT((BOM!$C$2:$C$675=$C90)*BOM!$H$2:$H$675*BOM!$M$2:$M$675)</f>
        <v>3</v>
      </c>
      <c r="I90" s="32" t="s">
        <v>106</v>
      </c>
      <c r="J90" s="32" t="s">
        <v>253</v>
      </c>
      <c r="K90" s="32" t="str">
        <f t="shared" si="39"/>
        <v>KZT</v>
      </c>
      <c r="L90" s="32">
        <f t="shared" si="40"/>
        <v>1</v>
      </c>
      <c r="M90" s="32">
        <f t="shared" si="41"/>
        <v>1</v>
      </c>
      <c r="N90" s="13" t="s">
        <v>254</v>
      </c>
      <c r="O90" s="16">
        <f t="shared" si="42"/>
        <v>45820</v>
      </c>
      <c r="P90" s="13">
        <f t="shared" si="43"/>
        <v>15.2</v>
      </c>
      <c r="Q90" s="13" t="str">
        <f t="shared" si="44"/>
        <v>ESKİ</v>
      </c>
      <c r="S90" s="18"/>
      <c r="T90" s="18"/>
      <c r="U90" s="18"/>
      <c r="V90" s="18"/>
      <c r="W90" s="18"/>
      <c r="X90" s="18"/>
      <c r="Y90" s="18"/>
      <c r="Z90" s="18"/>
      <c r="AA90" s="18"/>
      <c r="AB90" s="13" t="str">
        <f t="shared" si="45"/>
        <v>SARF</v>
      </c>
      <c r="AC90" s="13">
        <f t="shared" si="46"/>
        <v>0</v>
      </c>
      <c r="AD90" s="13">
        <f t="shared" si="47"/>
        <v>0</v>
      </c>
      <c r="AE90" s="13">
        <f t="shared" si="48"/>
        <v>0</v>
      </c>
      <c r="AF90" s="13">
        <f t="shared" si="49"/>
        <v>0</v>
      </c>
      <c r="AG90" s="13">
        <f t="shared" si="50"/>
        <v>0</v>
      </c>
      <c r="AH90" s="13">
        <f t="shared" si="51"/>
        <v>0</v>
      </c>
      <c r="AI90" s="13">
        <f t="shared" si="52"/>
        <v>0</v>
      </c>
      <c r="AJ90" s="13">
        <f t="shared" si="53"/>
        <v>0</v>
      </c>
    </row>
    <row r="91" spans="1:36" ht="15" customHeight="1" x14ac:dyDescent="0.25">
      <c r="A91" s="13">
        <f t="shared" si="36"/>
        <v>90</v>
      </c>
      <c r="B91" s="13" t="s">
        <v>68</v>
      </c>
      <c r="C91" s="13" t="s">
        <v>343</v>
      </c>
      <c r="D91" s="13" t="s">
        <v>344</v>
      </c>
      <c r="E91" s="14">
        <v>780</v>
      </c>
      <c r="F91" s="15">
        <f t="shared" si="37"/>
        <v>780</v>
      </c>
      <c r="G91" s="15">
        <f t="shared" si="38"/>
        <v>780</v>
      </c>
      <c r="H91" s="32">
        <f>SUMPRODUCT((BOM!$C$2:$C$675=$C91)*BOM!$H$2:$H$675*BOM!$M$2:$M$675)</f>
        <v>1</v>
      </c>
      <c r="I91" s="32" t="s">
        <v>106</v>
      </c>
      <c r="J91" s="32" t="s">
        <v>253</v>
      </c>
      <c r="K91" s="32" t="str">
        <f t="shared" si="39"/>
        <v>KZT</v>
      </c>
      <c r="L91" s="32">
        <f t="shared" si="40"/>
        <v>1</v>
      </c>
      <c r="M91" s="32">
        <f t="shared" si="41"/>
        <v>1</v>
      </c>
      <c r="N91" s="13" t="s">
        <v>254</v>
      </c>
      <c r="O91" s="16">
        <f t="shared" si="42"/>
        <v>45820</v>
      </c>
      <c r="P91" s="13">
        <f t="shared" si="43"/>
        <v>15.2</v>
      </c>
      <c r="Q91" s="13" t="str">
        <f t="shared" si="44"/>
        <v>ESKİ</v>
      </c>
      <c r="S91" s="18"/>
      <c r="T91" s="18"/>
      <c r="U91" s="18"/>
      <c r="V91" s="18"/>
      <c r="W91" s="18"/>
      <c r="X91" s="18"/>
      <c r="Y91" s="18"/>
      <c r="Z91" s="18"/>
      <c r="AA91" s="18"/>
      <c r="AB91" s="13" t="str">
        <f t="shared" si="45"/>
        <v>SARF</v>
      </c>
      <c r="AC91" s="13">
        <f t="shared" si="46"/>
        <v>0</v>
      </c>
      <c r="AD91" s="13">
        <f t="shared" si="47"/>
        <v>0</v>
      </c>
      <c r="AE91" s="13">
        <f t="shared" si="48"/>
        <v>0</v>
      </c>
      <c r="AF91" s="13">
        <f t="shared" si="49"/>
        <v>0</v>
      </c>
      <c r="AG91" s="13">
        <f t="shared" si="50"/>
        <v>0</v>
      </c>
      <c r="AH91" s="13">
        <f t="shared" si="51"/>
        <v>0</v>
      </c>
      <c r="AI91" s="13">
        <f t="shared" si="52"/>
        <v>0</v>
      </c>
      <c r="AJ91" s="13">
        <f t="shared" si="53"/>
        <v>0</v>
      </c>
    </row>
    <row r="92" spans="1:36" ht="15" customHeight="1" x14ac:dyDescent="0.25">
      <c r="A92" s="13">
        <f t="shared" si="36"/>
        <v>91</v>
      </c>
      <c r="B92" s="13" t="s">
        <v>68</v>
      </c>
      <c r="C92" s="13" t="s">
        <v>345</v>
      </c>
      <c r="D92" s="13" t="s">
        <v>346</v>
      </c>
      <c r="E92" s="14">
        <v>903</v>
      </c>
      <c r="F92" s="15">
        <f t="shared" si="37"/>
        <v>903</v>
      </c>
      <c r="G92" s="15">
        <f t="shared" si="38"/>
        <v>903</v>
      </c>
      <c r="H92" s="32">
        <f>SUMPRODUCT((BOM!$C$2:$C$675=$C92)*BOM!$H$2:$H$675*BOM!$M$2:$M$675)</f>
        <v>1</v>
      </c>
      <c r="I92" s="32" t="s">
        <v>106</v>
      </c>
      <c r="J92" s="32" t="s">
        <v>253</v>
      </c>
      <c r="K92" s="32" t="str">
        <f t="shared" si="39"/>
        <v>KZT</v>
      </c>
      <c r="L92" s="32">
        <f t="shared" si="40"/>
        <v>1</v>
      </c>
      <c r="M92" s="32">
        <f t="shared" si="41"/>
        <v>1</v>
      </c>
      <c r="N92" s="13" t="s">
        <v>254</v>
      </c>
      <c r="O92" s="16">
        <f t="shared" si="42"/>
        <v>45820</v>
      </c>
      <c r="P92" s="13">
        <f t="shared" si="43"/>
        <v>15.2</v>
      </c>
      <c r="Q92" s="13" t="str">
        <f t="shared" si="44"/>
        <v>ESKİ</v>
      </c>
      <c r="S92" s="18"/>
      <c r="T92" s="18"/>
      <c r="U92" s="18"/>
      <c r="V92" s="18"/>
      <c r="W92" s="18"/>
      <c r="X92" s="18"/>
      <c r="Y92" s="18"/>
      <c r="Z92" s="18"/>
      <c r="AA92" s="18"/>
      <c r="AB92" s="13" t="str">
        <f t="shared" si="45"/>
        <v>SARF</v>
      </c>
      <c r="AC92" s="13">
        <f t="shared" si="46"/>
        <v>0</v>
      </c>
      <c r="AD92" s="13">
        <f t="shared" si="47"/>
        <v>0</v>
      </c>
      <c r="AE92" s="13">
        <f t="shared" si="48"/>
        <v>0</v>
      </c>
      <c r="AF92" s="13">
        <f t="shared" si="49"/>
        <v>0</v>
      </c>
      <c r="AG92" s="13">
        <f t="shared" si="50"/>
        <v>0</v>
      </c>
      <c r="AH92" s="13">
        <f t="shared" si="51"/>
        <v>0</v>
      </c>
      <c r="AI92" s="13">
        <f t="shared" si="52"/>
        <v>0</v>
      </c>
      <c r="AJ92" s="13">
        <f t="shared" si="53"/>
        <v>0</v>
      </c>
    </row>
    <row r="93" spans="1:36" ht="15" customHeight="1" x14ac:dyDescent="0.25">
      <c r="A93" s="13">
        <f t="shared" si="36"/>
        <v>92</v>
      </c>
      <c r="B93" s="13" t="s">
        <v>68</v>
      </c>
      <c r="C93" s="13" t="s">
        <v>347</v>
      </c>
      <c r="D93" s="13" t="s">
        <v>348</v>
      </c>
      <c r="E93" s="14">
        <v>1049</v>
      </c>
      <c r="F93" s="15">
        <f t="shared" si="37"/>
        <v>1049</v>
      </c>
      <c r="G93" s="15">
        <f t="shared" si="38"/>
        <v>14686</v>
      </c>
      <c r="H93" s="32">
        <f>SUMPRODUCT((BOM!$C$2:$C$675=$C93)*BOM!$H$2:$H$675*BOM!$M$2:$M$675)</f>
        <v>14</v>
      </c>
      <c r="I93" s="32" t="s">
        <v>106</v>
      </c>
      <c r="J93" s="32" t="s">
        <v>253</v>
      </c>
      <c r="K93" s="32" t="str">
        <f t="shared" si="39"/>
        <v>KZT</v>
      </c>
      <c r="L93" s="32">
        <f t="shared" si="40"/>
        <v>1</v>
      </c>
      <c r="M93" s="32">
        <f t="shared" si="41"/>
        <v>1</v>
      </c>
      <c r="N93" s="13" t="s">
        <v>254</v>
      </c>
      <c r="O93" s="16">
        <f t="shared" si="42"/>
        <v>45820</v>
      </c>
      <c r="P93" s="13">
        <f t="shared" si="43"/>
        <v>15.2</v>
      </c>
      <c r="Q93" s="13" t="str">
        <f t="shared" si="44"/>
        <v>ESKİ</v>
      </c>
      <c r="S93" s="18"/>
      <c r="T93" s="18"/>
      <c r="U93" s="18"/>
      <c r="V93" s="18"/>
      <c r="W93" s="18"/>
      <c r="X93" s="18"/>
      <c r="Y93" s="18"/>
      <c r="Z93" s="18"/>
      <c r="AA93" s="18"/>
      <c r="AB93" s="13" t="str">
        <f t="shared" si="45"/>
        <v>SARF</v>
      </c>
      <c r="AC93" s="13">
        <f t="shared" si="46"/>
        <v>0</v>
      </c>
      <c r="AD93" s="13">
        <f t="shared" si="47"/>
        <v>0</v>
      </c>
      <c r="AE93" s="13">
        <f t="shared" si="48"/>
        <v>0</v>
      </c>
      <c r="AF93" s="13">
        <f t="shared" si="49"/>
        <v>0</v>
      </c>
      <c r="AG93" s="13">
        <f t="shared" si="50"/>
        <v>0</v>
      </c>
      <c r="AH93" s="13">
        <f t="shared" si="51"/>
        <v>0</v>
      </c>
      <c r="AI93" s="13">
        <f t="shared" si="52"/>
        <v>0</v>
      </c>
      <c r="AJ93" s="13">
        <f t="shared" si="53"/>
        <v>0</v>
      </c>
    </row>
    <row r="94" spans="1:36" ht="15" customHeight="1" x14ac:dyDescent="0.25">
      <c r="A94" s="13">
        <f t="shared" si="36"/>
        <v>93</v>
      </c>
      <c r="B94" s="13" t="s">
        <v>351</v>
      </c>
      <c r="C94" s="13" t="s">
        <v>349</v>
      </c>
      <c r="D94" s="13" t="s">
        <v>350</v>
      </c>
      <c r="E94" s="14">
        <v>4204</v>
      </c>
      <c r="F94" s="15">
        <f t="shared" si="37"/>
        <v>4204</v>
      </c>
      <c r="G94" s="15">
        <f t="shared" si="38"/>
        <v>0</v>
      </c>
      <c r="H94" s="32">
        <f>SUMPRODUCT((BOM!$C$2:$C$675=$C94)*BOM!$H$2:$H$675*BOM!$M$2:$M$675)</f>
        <v>0</v>
      </c>
      <c r="I94" s="32" t="s">
        <v>256</v>
      </c>
      <c r="J94" s="32" t="s">
        <v>253</v>
      </c>
      <c r="K94" s="32" t="str">
        <f t="shared" si="39"/>
        <v>KZT</v>
      </c>
      <c r="L94" s="32">
        <f t="shared" si="40"/>
        <v>1</v>
      </c>
      <c r="M94" s="32">
        <f t="shared" si="41"/>
        <v>1</v>
      </c>
      <c r="N94" s="13" t="s">
        <v>254</v>
      </c>
      <c r="O94" s="16">
        <f t="shared" si="42"/>
        <v>45820</v>
      </c>
      <c r="P94" s="13">
        <f t="shared" si="43"/>
        <v>15.2</v>
      </c>
      <c r="Q94" s="13" t="str">
        <f t="shared" si="44"/>
        <v>ESKİ</v>
      </c>
      <c r="S94" s="18"/>
      <c r="T94" s="18"/>
      <c r="U94" s="18"/>
      <c r="V94" s="18"/>
      <c r="W94" s="18"/>
      <c r="X94" s="18"/>
      <c r="Y94" s="18"/>
      <c r="Z94" s="18"/>
      <c r="AA94" s="18"/>
      <c r="AB94" s="13" t="str">
        <f t="shared" si="45"/>
        <v>SARF</v>
      </c>
      <c r="AC94" s="13">
        <f t="shared" si="46"/>
        <v>0</v>
      </c>
      <c r="AD94" s="13">
        <f t="shared" si="47"/>
        <v>0</v>
      </c>
      <c r="AE94" s="13">
        <f t="shared" si="48"/>
        <v>0</v>
      </c>
      <c r="AF94" s="13">
        <f t="shared" si="49"/>
        <v>0</v>
      </c>
      <c r="AG94" s="13">
        <f t="shared" si="50"/>
        <v>0</v>
      </c>
      <c r="AH94" s="13">
        <f t="shared" si="51"/>
        <v>0</v>
      </c>
      <c r="AI94" s="13">
        <f t="shared" si="52"/>
        <v>0</v>
      </c>
      <c r="AJ94" s="13">
        <f t="shared" si="53"/>
        <v>0</v>
      </c>
    </row>
    <row r="95" spans="1:36" ht="15" customHeight="1" x14ac:dyDescent="0.25">
      <c r="A95" s="13">
        <f t="shared" si="36"/>
        <v>94</v>
      </c>
      <c r="B95" s="13" t="s">
        <v>351</v>
      </c>
      <c r="C95" s="13" t="s">
        <v>352</v>
      </c>
      <c r="D95" s="13" t="s">
        <v>353</v>
      </c>
      <c r="E95" s="14">
        <v>5215</v>
      </c>
      <c r="F95" s="15">
        <f t="shared" si="37"/>
        <v>5215</v>
      </c>
      <c r="G95" s="15">
        <f t="shared" si="38"/>
        <v>0</v>
      </c>
      <c r="H95" s="32">
        <f>SUMPRODUCT((BOM!$C$2:$C$675=$C95)*BOM!$H$2:$H$675*BOM!$M$2:$M$675)</f>
        <v>0</v>
      </c>
      <c r="I95" s="32" t="s">
        <v>256</v>
      </c>
      <c r="J95" s="32" t="s">
        <v>253</v>
      </c>
      <c r="K95" s="32" t="str">
        <f t="shared" si="39"/>
        <v>KZT</v>
      </c>
      <c r="L95" s="32">
        <f t="shared" si="40"/>
        <v>1</v>
      </c>
      <c r="M95" s="32">
        <f t="shared" si="41"/>
        <v>1</v>
      </c>
      <c r="N95" s="13" t="s">
        <v>254</v>
      </c>
      <c r="O95" s="16">
        <f t="shared" si="42"/>
        <v>45820</v>
      </c>
      <c r="P95" s="13">
        <f t="shared" si="43"/>
        <v>15.2</v>
      </c>
      <c r="Q95" s="13" t="str">
        <f t="shared" si="44"/>
        <v>ESKİ</v>
      </c>
      <c r="S95" s="18"/>
      <c r="T95" s="18"/>
      <c r="U95" s="18"/>
      <c r="V95" s="18"/>
      <c r="W95" s="18"/>
      <c r="X95" s="18"/>
      <c r="Y95" s="18"/>
      <c r="Z95" s="18"/>
      <c r="AA95" s="18"/>
      <c r="AB95" s="13" t="str">
        <f t="shared" si="45"/>
        <v>SARF</v>
      </c>
      <c r="AC95" s="13">
        <f t="shared" si="46"/>
        <v>0</v>
      </c>
      <c r="AD95" s="13">
        <f t="shared" si="47"/>
        <v>0</v>
      </c>
      <c r="AE95" s="13">
        <f t="shared" si="48"/>
        <v>0</v>
      </c>
      <c r="AF95" s="13">
        <f t="shared" si="49"/>
        <v>0</v>
      </c>
      <c r="AG95" s="13">
        <f t="shared" si="50"/>
        <v>0</v>
      </c>
      <c r="AH95" s="13">
        <f t="shared" si="51"/>
        <v>0</v>
      </c>
      <c r="AI95" s="13">
        <f t="shared" si="52"/>
        <v>0</v>
      </c>
      <c r="AJ95" s="13">
        <f t="shared" si="53"/>
        <v>0</v>
      </c>
    </row>
    <row r="96" spans="1:36" ht="15" customHeight="1" x14ac:dyDescent="0.25">
      <c r="A96" s="13">
        <f t="shared" si="36"/>
        <v>95</v>
      </c>
      <c r="B96" s="13" t="s">
        <v>351</v>
      </c>
      <c r="C96" s="13" t="s">
        <v>354</v>
      </c>
      <c r="D96" s="13" t="s">
        <v>355</v>
      </c>
      <c r="E96" s="14">
        <v>8329</v>
      </c>
      <c r="F96" s="15">
        <f t="shared" si="37"/>
        <v>8329</v>
      </c>
      <c r="G96" s="15">
        <f t="shared" si="38"/>
        <v>0</v>
      </c>
      <c r="H96" s="32">
        <f>SUMPRODUCT((BOM!$C$2:$C$675=$C96)*BOM!$H$2:$H$675*BOM!$M$2:$M$675)</f>
        <v>0</v>
      </c>
      <c r="I96" s="32" t="s">
        <v>256</v>
      </c>
      <c r="J96" s="32" t="s">
        <v>253</v>
      </c>
      <c r="K96" s="32" t="str">
        <f t="shared" si="39"/>
        <v>KZT</v>
      </c>
      <c r="L96" s="32">
        <f t="shared" si="40"/>
        <v>1</v>
      </c>
      <c r="M96" s="32">
        <f t="shared" si="41"/>
        <v>1</v>
      </c>
      <c r="N96" s="13" t="s">
        <v>254</v>
      </c>
      <c r="O96" s="16">
        <f t="shared" si="42"/>
        <v>45820</v>
      </c>
      <c r="P96" s="13">
        <f t="shared" si="43"/>
        <v>15.2</v>
      </c>
      <c r="Q96" s="13" t="str">
        <f t="shared" si="44"/>
        <v>ESKİ</v>
      </c>
      <c r="S96" s="18"/>
      <c r="T96" s="18"/>
      <c r="U96" s="18"/>
      <c r="V96" s="18"/>
      <c r="W96" s="18"/>
      <c r="X96" s="18"/>
      <c r="Y96" s="18"/>
      <c r="Z96" s="18"/>
      <c r="AA96" s="18"/>
      <c r="AB96" s="13" t="str">
        <f t="shared" si="45"/>
        <v>SARF</v>
      </c>
      <c r="AC96" s="13">
        <f t="shared" si="46"/>
        <v>0</v>
      </c>
      <c r="AD96" s="13">
        <f t="shared" si="47"/>
        <v>0</v>
      </c>
      <c r="AE96" s="13">
        <f t="shared" si="48"/>
        <v>0</v>
      </c>
      <c r="AF96" s="13">
        <f t="shared" si="49"/>
        <v>0</v>
      </c>
      <c r="AG96" s="13">
        <f t="shared" si="50"/>
        <v>0</v>
      </c>
      <c r="AH96" s="13">
        <f t="shared" si="51"/>
        <v>0</v>
      </c>
      <c r="AI96" s="13">
        <f t="shared" si="52"/>
        <v>0</v>
      </c>
      <c r="AJ96" s="13">
        <f t="shared" si="53"/>
        <v>0</v>
      </c>
    </row>
    <row r="97" spans="1:36" ht="15" customHeight="1" x14ac:dyDescent="0.25">
      <c r="A97" s="13">
        <f t="shared" si="36"/>
        <v>96</v>
      </c>
      <c r="B97" s="13" t="s">
        <v>351</v>
      </c>
      <c r="C97" s="13" t="s">
        <v>356</v>
      </c>
      <c r="D97" s="13" t="s">
        <v>357</v>
      </c>
      <c r="E97" s="14">
        <v>11131</v>
      </c>
      <c r="F97" s="15">
        <f t="shared" si="37"/>
        <v>11131</v>
      </c>
      <c r="G97" s="15">
        <f t="shared" si="38"/>
        <v>0</v>
      </c>
      <c r="H97" s="32">
        <f>SUMPRODUCT((BOM!$C$2:$C$675=$C97)*BOM!$H$2:$H$675*BOM!$M$2:$M$675)</f>
        <v>0</v>
      </c>
      <c r="I97" s="32" t="s">
        <v>256</v>
      </c>
      <c r="J97" s="32" t="s">
        <v>253</v>
      </c>
      <c r="K97" s="32" t="str">
        <f t="shared" si="39"/>
        <v>KZT</v>
      </c>
      <c r="L97" s="32">
        <f t="shared" si="40"/>
        <v>1</v>
      </c>
      <c r="M97" s="32">
        <f t="shared" si="41"/>
        <v>1</v>
      </c>
      <c r="N97" s="13" t="s">
        <v>254</v>
      </c>
      <c r="O97" s="16">
        <f t="shared" si="42"/>
        <v>45820</v>
      </c>
      <c r="P97" s="13">
        <f t="shared" si="43"/>
        <v>15.2</v>
      </c>
      <c r="Q97" s="13" t="str">
        <f t="shared" si="44"/>
        <v>ESKİ</v>
      </c>
      <c r="S97" s="18"/>
      <c r="T97" s="18"/>
      <c r="U97" s="18"/>
      <c r="V97" s="18"/>
      <c r="W97" s="18"/>
      <c r="X97" s="18"/>
      <c r="Y97" s="18"/>
      <c r="Z97" s="18"/>
      <c r="AA97" s="18"/>
      <c r="AB97" s="13" t="str">
        <f t="shared" si="45"/>
        <v>SARF</v>
      </c>
      <c r="AC97" s="13">
        <f t="shared" si="46"/>
        <v>0</v>
      </c>
      <c r="AD97" s="13">
        <f t="shared" si="47"/>
        <v>0</v>
      </c>
      <c r="AE97" s="13">
        <f t="shared" si="48"/>
        <v>0</v>
      </c>
      <c r="AF97" s="13">
        <f t="shared" si="49"/>
        <v>0</v>
      </c>
      <c r="AG97" s="13">
        <f t="shared" si="50"/>
        <v>0</v>
      </c>
      <c r="AH97" s="13">
        <f t="shared" si="51"/>
        <v>0</v>
      </c>
      <c r="AI97" s="13">
        <f t="shared" si="52"/>
        <v>0</v>
      </c>
      <c r="AJ97" s="13">
        <f t="shared" si="53"/>
        <v>0</v>
      </c>
    </row>
    <row r="98" spans="1:36" ht="15" customHeight="1" x14ac:dyDescent="0.25">
      <c r="A98" s="13">
        <f t="shared" si="36"/>
        <v>97</v>
      </c>
      <c r="B98" s="13" t="s">
        <v>351</v>
      </c>
      <c r="C98" s="13" t="s">
        <v>358</v>
      </c>
      <c r="D98" s="13" t="s">
        <v>359</v>
      </c>
      <c r="E98" s="14">
        <v>14012</v>
      </c>
      <c r="F98" s="15">
        <f t="shared" si="37"/>
        <v>14012</v>
      </c>
      <c r="G98" s="15">
        <f t="shared" si="38"/>
        <v>0</v>
      </c>
      <c r="H98" s="32">
        <f>SUMPRODUCT((BOM!$C$2:$C$675=$C98)*BOM!$H$2:$H$675*BOM!$M$2:$M$675)</f>
        <v>0</v>
      </c>
      <c r="I98" s="32" t="s">
        <v>256</v>
      </c>
      <c r="J98" s="32" t="s">
        <v>253</v>
      </c>
      <c r="K98" s="32" t="str">
        <f t="shared" si="39"/>
        <v>KZT</v>
      </c>
      <c r="L98" s="32">
        <f t="shared" si="40"/>
        <v>1</v>
      </c>
      <c r="M98" s="32">
        <f t="shared" si="41"/>
        <v>1</v>
      </c>
      <c r="N98" s="13" t="s">
        <v>254</v>
      </c>
      <c r="O98" s="16">
        <f t="shared" si="42"/>
        <v>45820</v>
      </c>
      <c r="P98" s="13">
        <f t="shared" si="43"/>
        <v>15.2</v>
      </c>
      <c r="Q98" s="13" t="str">
        <f t="shared" si="44"/>
        <v>ESKİ</v>
      </c>
      <c r="S98" s="18"/>
      <c r="T98" s="18"/>
      <c r="U98" s="18"/>
      <c r="V98" s="18"/>
      <c r="W98" s="18"/>
      <c r="X98" s="18"/>
      <c r="Y98" s="18"/>
      <c r="Z98" s="18"/>
      <c r="AA98" s="18"/>
      <c r="AB98" s="13" t="str">
        <f t="shared" si="45"/>
        <v>SARF</v>
      </c>
      <c r="AC98" s="13">
        <f t="shared" si="46"/>
        <v>0</v>
      </c>
      <c r="AD98" s="13">
        <f t="shared" si="47"/>
        <v>0</v>
      </c>
      <c r="AE98" s="13">
        <f t="shared" si="48"/>
        <v>0</v>
      </c>
      <c r="AF98" s="13">
        <f t="shared" si="49"/>
        <v>0</v>
      </c>
      <c r="AG98" s="13">
        <f t="shared" si="50"/>
        <v>0</v>
      </c>
      <c r="AH98" s="13">
        <f t="shared" si="51"/>
        <v>0</v>
      </c>
      <c r="AI98" s="13">
        <f t="shared" si="52"/>
        <v>0</v>
      </c>
      <c r="AJ98" s="13">
        <f t="shared" si="53"/>
        <v>0</v>
      </c>
    </row>
    <row r="99" spans="1:36" ht="15" customHeight="1" x14ac:dyDescent="0.25">
      <c r="A99" s="13">
        <f t="shared" ref="A99:A110" si="54">ROW()-1</f>
        <v>98</v>
      </c>
      <c r="B99" s="13" t="s">
        <v>351</v>
      </c>
      <c r="C99" s="13" t="s">
        <v>360</v>
      </c>
      <c r="D99" s="13" t="s">
        <v>361</v>
      </c>
      <c r="E99" s="14">
        <v>17515</v>
      </c>
      <c r="F99" s="15">
        <f t="shared" ref="F99:F110" si="55">IF(OR($E99="",$L99="",$M99="",$Q99="YASAK"),"",$E99*$L99*$M99)</f>
        <v>17515</v>
      </c>
      <c r="G99" s="15">
        <f t="shared" ref="G99:G110" si="56">IF($F99="","",$F99*$H99)</f>
        <v>0</v>
      </c>
      <c r="H99" s="32">
        <f>SUMPRODUCT((BOM!$C$2:$C$675=$C99)*BOM!$H$2:$H$675*BOM!$M$2:$M$675)</f>
        <v>0</v>
      </c>
      <c r="I99" s="32" t="s">
        <v>256</v>
      </c>
      <c r="J99" s="32" t="s">
        <v>253</v>
      </c>
      <c r="K99" s="32" t="str">
        <f t="shared" ref="K99:K110" si="57">IF(ISNA(MATCH($J99,MARKA_AD,0)),"",INDEX(MARKA_PARA,MATCH($J99,MARKA_AD,0)))</f>
        <v>KZT</v>
      </c>
      <c r="L99" s="32">
        <f t="shared" ref="L99:L110" si="58">IF(ISNA(MATCH($J99,MARKA_AD,0)),"",INDEX(MARKA_KAT,MATCH($J99,MARKA_AD,0)))</f>
        <v>1</v>
      </c>
      <c r="M99" s="32">
        <f t="shared" ref="M99:M110" si="59">IF(OR($K99="",ISNA(MATCH($K99,KUR_AD,0))),"",IF(INDEX(KUR_DEG,MATCH($K99,KUR_AD,0))="","",INDEX(KUR_DEG,MATCH($K99,KUR_AD,0))))</f>
        <v>1</v>
      </c>
      <c r="N99" s="13" t="s">
        <v>254</v>
      </c>
      <c r="O99" s="16">
        <f t="shared" ref="O99:O110" si="60">IF(ISNA(MATCH($N99,KAYNAK_KOD,0)),"",IF(INDEX(KAYNAK_TARIH,MATCH($N99,KAYNAK_KOD,0))="","",INDEX(KAYNAK_TARIH,MATCH($N99,KAYNAK_KOD,0))))</f>
        <v>45820</v>
      </c>
      <c r="P99" s="13">
        <f t="shared" ref="P99:P110" si="61">IF($O99="","",ROUND((TARIH-$O99)/30.4375,1))</f>
        <v>15.2</v>
      </c>
      <c r="Q99" s="13" t="str">
        <f t="shared" ref="Q99:Q110" si="62">IF(ISNA(MATCH($J99,MARKA_AD,0)),"MARKA YOK",IF(INDEX(MARKA_IZIN,MATCH($J99,MARKA_AD,0))="HAYIR","YASAK",IF($E99="","FİYAT YOK",IF($P99="","TARİH YOK",IF($P99&gt;YAS_YASAK_AY,"YASAK",IF($P99&gt;YAS_ESKI_AY,"ESKİ","OK"))))))</f>
        <v>ESKİ</v>
      </c>
      <c r="S99" s="18"/>
      <c r="T99" s="18"/>
      <c r="U99" s="18"/>
      <c r="V99" s="18"/>
      <c r="W99" s="18"/>
      <c r="X99" s="18"/>
      <c r="Y99" s="18"/>
      <c r="Z99" s="18"/>
      <c r="AA99" s="18"/>
      <c r="AB99" s="13" t="str">
        <f t="shared" ref="AB99:AB110" si="63">IF(ISNA(MATCH($B99,TIP_AD,0)),"",INDEX(TIP_GRUP,MATCH($B99,TIP_AD,0)))</f>
        <v>SARF</v>
      </c>
      <c r="AC99" s="13">
        <f t="shared" ref="AC99:AC110" si="64">IF(OR($AB99="GUC"),IF(OR($AI99=0,$AI99&gt;KABLO_MAX_IN),0,LOOKUP($AI99,KABLO_IN_ALT,KABLO_KESIT)),IF($AB99="KUMANDA",KUMANDA_KESIT,IF($AB99="OLCU",OLCU_KESIT,0)))</f>
        <v>0</v>
      </c>
      <c r="AD99" s="13">
        <f t="shared" ref="AD99:AD110" si="65">IF(OR($AC99=0,ISNA(MATCH($B99,TIP_AD,0))),0,IF(INDEX(TIP_TEL,MATCH($B99,TIP_AD,0))="",2*N($S99)+IF(OR(N($S99)=1,N($S99)=3),1,0),INDEX(TIP_TEL,MATCH($B99,TIP_AD,0))))</f>
        <v>0</v>
      </c>
      <c r="AE99" s="13">
        <f t="shared" ref="AE99:AE110" si="66">IF(OR($AD99=0,ISNA(MATCH($B99,TIP_AD,0))),0,$AD99*INDEX(TIP_TELM,MATCH($B99,TIP_AD,0)))</f>
        <v>0</v>
      </c>
      <c r="AF99" s="13">
        <f t="shared" ref="AF99:AF110" si="67">IF(OR($AB99&lt;&gt;"GUC",$AC99=0,$AC99&gt;KLEMENS_MAX_KESIT),0,LOOKUP($AC99,KLEMENS_ALT,KLEMENS_KES))</f>
        <v>0</v>
      </c>
      <c r="AG99" s="13">
        <f t="shared" ref="AG99:AG110" si="68">IF($AF99=0,0,N($S99)+IF(OR(N($S99)=1,N($S99)=3),1,0))</f>
        <v>0</v>
      </c>
      <c r="AH99" s="13">
        <f t="shared" ref="AH99:AH110" si="69">IF($AF99=0,0,1)</f>
        <v>0</v>
      </c>
      <c r="AI99" s="13">
        <f t="shared" ref="AI99:AI110" si="70">N($T99)</f>
        <v>0</v>
      </c>
      <c r="AJ99" s="13">
        <f t="shared" ref="AJ99:AJ110" si="71">IF(OR($B99="mccb",$B99="oto",$B99="bh",$B99="rubilnik",$B99="ats",$B99="dif",$B99="uzo"),N($T99),0)</f>
        <v>0</v>
      </c>
    </row>
    <row r="100" spans="1:36" ht="15" customHeight="1" x14ac:dyDescent="0.25">
      <c r="A100" s="13">
        <f t="shared" si="54"/>
        <v>99</v>
      </c>
      <c r="B100" s="13" t="s">
        <v>351</v>
      </c>
      <c r="C100" s="13" t="s">
        <v>362</v>
      </c>
      <c r="D100" s="13" t="s">
        <v>363</v>
      </c>
      <c r="E100" s="14">
        <v>25221</v>
      </c>
      <c r="F100" s="15">
        <f t="shared" si="55"/>
        <v>25221</v>
      </c>
      <c r="G100" s="15">
        <f t="shared" si="56"/>
        <v>0</v>
      </c>
      <c r="H100" s="32">
        <f>SUMPRODUCT((BOM!$C$2:$C$675=$C100)*BOM!$H$2:$H$675*BOM!$M$2:$M$675)</f>
        <v>0</v>
      </c>
      <c r="I100" s="32" t="s">
        <v>256</v>
      </c>
      <c r="J100" s="32" t="s">
        <v>253</v>
      </c>
      <c r="K100" s="32" t="str">
        <f t="shared" si="57"/>
        <v>KZT</v>
      </c>
      <c r="L100" s="32">
        <f t="shared" si="58"/>
        <v>1</v>
      </c>
      <c r="M100" s="32">
        <f t="shared" si="59"/>
        <v>1</v>
      </c>
      <c r="N100" s="13" t="s">
        <v>254</v>
      </c>
      <c r="O100" s="16">
        <f t="shared" si="60"/>
        <v>45820</v>
      </c>
      <c r="P100" s="13">
        <f t="shared" si="61"/>
        <v>15.2</v>
      </c>
      <c r="Q100" s="13" t="str">
        <f t="shared" si="62"/>
        <v>ESKİ</v>
      </c>
      <c r="S100" s="18"/>
      <c r="T100" s="18"/>
      <c r="U100" s="18"/>
      <c r="V100" s="18"/>
      <c r="W100" s="18"/>
      <c r="X100" s="18"/>
      <c r="Y100" s="18"/>
      <c r="Z100" s="18"/>
      <c r="AA100" s="18"/>
      <c r="AB100" s="13" t="str">
        <f t="shared" si="63"/>
        <v>SARF</v>
      </c>
      <c r="AC100" s="13">
        <f t="shared" si="64"/>
        <v>0</v>
      </c>
      <c r="AD100" s="13">
        <f t="shared" si="65"/>
        <v>0</v>
      </c>
      <c r="AE100" s="13">
        <f t="shared" si="66"/>
        <v>0</v>
      </c>
      <c r="AF100" s="13">
        <f t="shared" si="67"/>
        <v>0</v>
      </c>
      <c r="AG100" s="13">
        <f t="shared" si="68"/>
        <v>0</v>
      </c>
      <c r="AH100" s="13">
        <f t="shared" si="69"/>
        <v>0</v>
      </c>
      <c r="AI100" s="13">
        <f t="shared" si="70"/>
        <v>0</v>
      </c>
      <c r="AJ100" s="13">
        <f t="shared" si="71"/>
        <v>0</v>
      </c>
    </row>
    <row r="101" spans="1:36" ht="15" customHeight="1" x14ac:dyDescent="0.25">
      <c r="A101" s="13">
        <f t="shared" si="54"/>
        <v>100</v>
      </c>
      <c r="B101" s="13" t="s">
        <v>351</v>
      </c>
      <c r="C101" s="13" t="s">
        <v>364</v>
      </c>
      <c r="D101" s="13" t="s">
        <v>365</v>
      </c>
      <c r="E101" s="14">
        <v>33550</v>
      </c>
      <c r="F101" s="15">
        <f t="shared" si="55"/>
        <v>33550</v>
      </c>
      <c r="G101" s="15">
        <f t="shared" si="56"/>
        <v>0</v>
      </c>
      <c r="H101" s="32">
        <f>SUMPRODUCT((BOM!$C$2:$C$675=$C101)*BOM!$H$2:$H$675*BOM!$M$2:$M$675)</f>
        <v>0</v>
      </c>
      <c r="I101" s="32" t="s">
        <v>256</v>
      </c>
      <c r="J101" s="32" t="s">
        <v>253</v>
      </c>
      <c r="K101" s="32" t="str">
        <f t="shared" si="57"/>
        <v>KZT</v>
      </c>
      <c r="L101" s="32">
        <f t="shared" si="58"/>
        <v>1</v>
      </c>
      <c r="M101" s="32">
        <f t="shared" si="59"/>
        <v>1</v>
      </c>
      <c r="N101" s="13" t="s">
        <v>254</v>
      </c>
      <c r="O101" s="16">
        <f t="shared" si="60"/>
        <v>45820</v>
      </c>
      <c r="P101" s="13">
        <f t="shared" si="61"/>
        <v>15.2</v>
      </c>
      <c r="Q101" s="13" t="str">
        <f t="shared" si="62"/>
        <v>ESKİ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13" t="str">
        <f t="shared" si="63"/>
        <v>SARF</v>
      </c>
      <c r="AC101" s="13">
        <f t="shared" si="64"/>
        <v>0</v>
      </c>
      <c r="AD101" s="13">
        <f t="shared" si="65"/>
        <v>0</v>
      </c>
      <c r="AE101" s="13">
        <f t="shared" si="66"/>
        <v>0</v>
      </c>
      <c r="AF101" s="13">
        <f t="shared" si="67"/>
        <v>0</v>
      </c>
      <c r="AG101" s="13">
        <f t="shared" si="68"/>
        <v>0</v>
      </c>
      <c r="AH101" s="13">
        <f t="shared" si="69"/>
        <v>0</v>
      </c>
      <c r="AI101" s="13">
        <f t="shared" si="70"/>
        <v>0</v>
      </c>
      <c r="AJ101" s="13">
        <f t="shared" si="71"/>
        <v>0</v>
      </c>
    </row>
    <row r="102" spans="1:36" ht="15" customHeight="1" x14ac:dyDescent="0.25">
      <c r="A102" s="13">
        <f t="shared" si="54"/>
        <v>101</v>
      </c>
      <c r="B102" s="13" t="s">
        <v>351</v>
      </c>
      <c r="C102" s="13" t="s">
        <v>366</v>
      </c>
      <c r="D102" s="13" t="s">
        <v>367</v>
      </c>
      <c r="E102" s="14">
        <v>507</v>
      </c>
      <c r="F102" s="15">
        <f t="shared" si="55"/>
        <v>507</v>
      </c>
      <c r="G102" s="15">
        <f t="shared" si="56"/>
        <v>0</v>
      </c>
      <c r="H102" s="32">
        <f>SUMPRODUCT((BOM!$C$2:$C$675=$C102)*BOM!$H$2:$H$675*BOM!$M$2:$M$675)</f>
        <v>0</v>
      </c>
      <c r="I102" s="32" t="s">
        <v>256</v>
      </c>
      <c r="J102" s="32" t="s">
        <v>253</v>
      </c>
      <c r="K102" s="32" t="str">
        <f t="shared" si="57"/>
        <v>KZT</v>
      </c>
      <c r="L102" s="32">
        <f t="shared" si="58"/>
        <v>1</v>
      </c>
      <c r="M102" s="32">
        <f t="shared" si="59"/>
        <v>1</v>
      </c>
      <c r="N102" s="13" t="s">
        <v>254</v>
      </c>
      <c r="O102" s="16">
        <f t="shared" si="60"/>
        <v>45820</v>
      </c>
      <c r="P102" s="13">
        <f t="shared" si="61"/>
        <v>15.2</v>
      </c>
      <c r="Q102" s="13" t="str">
        <f t="shared" si="62"/>
        <v>ESKİ</v>
      </c>
      <c r="S102" s="18"/>
      <c r="T102" s="18"/>
      <c r="U102" s="18"/>
      <c r="V102" s="18"/>
      <c r="W102" s="18"/>
      <c r="X102" s="18"/>
      <c r="Y102" s="18"/>
      <c r="Z102" s="18"/>
      <c r="AA102" s="18"/>
      <c r="AB102" s="13" t="str">
        <f t="shared" si="63"/>
        <v>SARF</v>
      </c>
      <c r="AC102" s="13">
        <f t="shared" si="64"/>
        <v>0</v>
      </c>
      <c r="AD102" s="13">
        <f t="shared" si="65"/>
        <v>0</v>
      </c>
      <c r="AE102" s="13">
        <f t="shared" si="66"/>
        <v>0</v>
      </c>
      <c r="AF102" s="13">
        <f t="shared" si="67"/>
        <v>0</v>
      </c>
      <c r="AG102" s="13">
        <f t="shared" si="68"/>
        <v>0</v>
      </c>
      <c r="AH102" s="13">
        <f t="shared" si="69"/>
        <v>0</v>
      </c>
      <c r="AI102" s="13">
        <f t="shared" si="70"/>
        <v>0</v>
      </c>
      <c r="AJ102" s="13">
        <f t="shared" si="71"/>
        <v>0</v>
      </c>
    </row>
    <row r="103" spans="1:36" ht="15" customHeight="1" x14ac:dyDescent="0.25">
      <c r="A103" s="13">
        <f t="shared" si="54"/>
        <v>102</v>
      </c>
      <c r="B103" s="13" t="s">
        <v>351</v>
      </c>
      <c r="C103" s="13" t="s">
        <v>368</v>
      </c>
      <c r="D103" s="13" t="s">
        <v>369</v>
      </c>
      <c r="E103" s="14">
        <v>1002</v>
      </c>
      <c r="F103" s="15">
        <f t="shared" si="55"/>
        <v>1002</v>
      </c>
      <c r="G103" s="15">
        <f t="shared" si="56"/>
        <v>0</v>
      </c>
      <c r="H103" s="32">
        <f>SUMPRODUCT((BOM!$C$2:$C$675=$C103)*BOM!$H$2:$H$675*BOM!$M$2:$M$675)</f>
        <v>0</v>
      </c>
      <c r="I103" s="32" t="s">
        <v>256</v>
      </c>
      <c r="J103" s="32" t="s">
        <v>253</v>
      </c>
      <c r="K103" s="32" t="str">
        <f t="shared" si="57"/>
        <v>KZT</v>
      </c>
      <c r="L103" s="32">
        <f t="shared" si="58"/>
        <v>1</v>
      </c>
      <c r="M103" s="32">
        <f t="shared" si="59"/>
        <v>1</v>
      </c>
      <c r="N103" s="13" t="s">
        <v>254</v>
      </c>
      <c r="O103" s="16">
        <f t="shared" si="60"/>
        <v>45820</v>
      </c>
      <c r="P103" s="13">
        <f t="shared" si="61"/>
        <v>15.2</v>
      </c>
      <c r="Q103" s="13" t="str">
        <f t="shared" si="62"/>
        <v>ESKİ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3" t="str">
        <f t="shared" si="63"/>
        <v>SARF</v>
      </c>
      <c r="AC103" s="13">
        <f t="shared" si="64"/>
        <v>0</v>
      </c>
      <c r="AD103" s="13">
        <f t="shared" si="65"/>
        <v>0</v>
      </c>
      <c r="AE103" s="13">
        <f t="shared" si="66"/>
        <v>0</v>
      </c>
      <c r="AF103" s="13">
        <f t="shared" si="67"/>
        <v>0</v>
      </c>
      <c r="AG103" s="13">
        <f t="shared" si="68"/>
        <v>0</v>
      </c>
      <c r="AH103" s="13">
        <f t="shared" si="69"/>
        <v>0</v>
      </c>
      <c r="AI103" s="13">
        <f t="shared" si="70"/>
        <v>0</v>
      </c>
      <c r="AJ103" s="13">
        <f t="shared" si="71"/>
        <v>0</v>
      </c>
    </row>
    <row r="104" spans="1:36" ht="15" customHeight="1" x14ac:dyDescent="0.25">
      <c r="A104" s="13">
        <f t="shared" si="54"/>
        <v>103</v>
      </c>
      <c r="B104" s="13" t="s">
        <v>351</v>
      </c>
      <c r="C104" s="13" t="s">
        <v>370</v>
      </c>
      <c r="D104" s="13" t="s">
        <v>371</v>
      </c>
      <c r="E104" s="14">
        <v>1281</v>
      </c>
      <c r="F104" s="15">
        <f t="shared" si="55"/>
        <v>1281</v>
      </c>
      <c r="G104" s="15">
        <f t="shared" si="56"/>
        <v>0</v>
      </c>
      <c r="H104" s="32">
        <f>SUMPRODUCT((BOM!$C$2:$C$675=$C104)*BOM!$H$2:$H$675*BOM!$M$2:$M$675)</f>
        <v>0</v>
      </c>
      <c r="I104" s="32" t="s">
        <v>256</v>
      </c>
      <c r="J104" s="32" t="s">
        <v>253</v>
      </c>
      <c r="K104" s="32" t="str">
        <f t="shared" si="57"/>
        <v>KZT</v>
      </c>
      <c r="L104" s="32">
        <f t="shared" si="58"/>
        <v>1</v>
      </c>
      <c r="M104" s="32">
        <f t="shared" si="59"/>
        <v>1</v>
      </c>
      <c r="N104" s="13" t="s">
        <v>254</v>
      </c>
      <c r="O104" s="16">
        <f t="shared" si="60"/>
        <v>45820</v>
      </c>
      <c r="P104" s="13">
        <f t="shared" si="61"/>
        <v>15.2</v>
      </c>
      <c r="Q104" s="13" t="str">
        <f t="shared" si="62"/>
        <v>ESKİ</v>
      </c>
      <c r="S104" s="18"/>
      <c r="T104" s="18"/>
      <c r="U104" s="18"/>
      <c r="V104" s="18"/>
      <c r="W104" s="18"/>
      <c r="X104" s="18"/>
      <c r="Y104" s="18"/>
      <c r="Z104" s="18"/>
      <c r="AA104" s="18"/>
      <c r="AB104" s="13" t="str">
        <f t="shared" si="63"/>
        <v>SARF</v>
      </c>
      <c r="AC104" s="13">
        <f t="shared" si="64"/>
        <v>0</v>
      </c>
      <c r="AD104" s="13">
        <f t="shared" si="65"/>
        <v>0</v>
      </c>
      <c r="AE104" s="13">
        <f t="shared" si="66"/>
        <v>0</v>
      </c>
      <c r="AF104" s="13">
        <f t="shared" si="67"/>
        <v>0</v>
      </c>
      <c r="AG104" s="13">
        <f t="shared" si="68"/>
        <v>0</v>
      </c>
      <c r="AH104" s="13">
        <f t="shared" si="69"/>
        <v>0</v>
      </c>
      <c r="AI104" s="13">
        <f t="shared" si="70"/>
        <v>0</v>
      </c>
      <c r="AJ104" s="13">
        <f t="shared" si="71"/>
        <v>0</v>
      </c>
    </row>
    <row r="105" spans="1:36" ht="15" customHeight="1" x14ac:dyDescent="0.25">
      <c r="A105" s="13">
        <f t="shared" si="54"/>
        <v>104</v>
      </c>
      <c r="B105" s="13" t="s">
        <v>351</v>
      </c>
      <c r="C105" s="13" t="s">
        <v>372</v>
      </c>
      <c r="D105" s="13" t="s">
        <v>373</v>
      </c>
      <c r="E105" s="14">
        <v>1609</v>
      </c>
      <c r="F105" s="15">
        <f t="shared" si="55"/>
        <v>1609</v>
      </c>
      <c r="G105" s="15">
        <f t="shared" si="56"/>
        <v>0</v>
      </c>
      <c r="H105" s="32">
        <f>SUMPRODUCT((BOM!$C$2:$C$675=$C105)*BOM!$H$2:$H$675*BOM!$M$2:$M$675)</f>
        <v>0</v>
      </c>
      <c r="I105" s="32" t="s">
        <v>256</v>
      </c>
      <c r="J105" s="32" t="s">
        <v>253</v>
      </c>
      <c r="K105" s="32" t="str">
        <f t="shared" si="57"/>
        <v>KZT</v>
      </c>
      <c r="L105" s="32">
        <f t="shared" si="58"/>
        <v>1</v>
      </c>
      <c r="M105" s="32">
        <f t="shared" si="59"/>
        <v>1</v>
      </c>
      <c r="N105" s="13" t="s">
        <v>254</v>
      </c>
      <c r="O105" s="16">
        <f t="shared" si="60"/>
        <v>45820</v>
      </c>
      <c r="P105" s="13">
        <f t="shared" si="61"/>
        <v>15.2</v>
      </c>
      <c r="Q105" s="13" t="str">
        <f t="shared" si="62"/>
        <v>ESKİ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3" t="str">
        <f t="shared" si="63"/>
        <v>SARF</v>
      </c>
      <c r="AC105" s="13">
        <f t="shared" si="64"/>
        <v>0</v>
      </c>
      <c r="AD105" s="13">
        <f t="shared" si="65"/>
        <v>0</v>
      </c>
      <c r="AE105" s="13">
        <f t="shared" si="66"/>
        <v>0</v>
      </c>
      <c r="AF105" s="13">
        <f t="shared" si="67"/>
        <v>0</v>
      </c>
      <c r="AG105" s="13">
        <f t="shared" si="68"/>
        <v>0</v>
      </c>
      <c r="AH105" s="13">
        <f t="shared" si="69"/>
        <v>0</v>
      </c>
      <c r="AI105" s="13">
        <f t="shared" si="70"/>
        <v>0</v>
      </c>
      <c r="AJ105" s="13">
        <f t="shared" si="71"/>
        <v>0</v>
      </c>
    </row>
    <row r="106" spans="1:36" ht="15" customHeight="1" x14ac:dyDescent="0.25">
      <c r="A106" s="13">
        <f t="shared" si="54"/>
        <v>105</v>
      </c>
      <c r="B106" s="13" t="s">
        <v>351</v>
      </c>
      <c r="C106" s="13" t="s">
        <v>374</v>
      </c>
      <c r="D106" s="13" t="s">
        <v>375</v>
      </c>
      <c r="E106" s="14">
        <v>2026</v>
      </c>
      <c r="F106" s="15">
        <f t="shared" si="55"/>
        <v>2026</v>
      </c>
      <c r="G106" s="15">
        <f t="shared" si="56"/>
        <v>0</v>
      </c>
      <c r="H106" s="32">
        <f>SUMPRODUCT((BOM!$C$2:$C$675=$C106)*BOM!$H$2:$H$675*BOM!$M$2:$M$675)</f>
        <v>0</v>
      </c>
      <c r="I106" s="32" t="s">
        <v>256</v>
      </c>
      <c r="J106" s="32" t="s">
        <v>253</v>
      </c>
      <c r="K106" s="32" t="str">
        <f t="shared" si="57"/>
        <v>KZT</v>
      </c>
      <c r="L106" s="32">
        <f t="shared" si="58"/>
        <v>1</v>
      </c>
      <c r="M106" s="32">
        <f t="shared" si="59"/>
        <v>1</v>
      </c>
      <c r="N106" s="13" t="s">
        <v>254</v>
      </c>
      <c r="O106" s="16">
        <f t="shared" si="60"/>
        <v>45820</v>
      </c>
      <c r="P106" s="13">
        <f t="shared" si="61"/>
        <v>15.2</v>
      </c>
      <c r="Q106" s="13" t="str">
        <f t="shared" si="62"/>
        <v>ESKİ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3" t="str">
        <f t="shared" si="63"/>
        <v>SARF</v>
      </c>
      <c r="AC106" s="13">
        <f t="shared" si="64"/>
        <v>0</v>
      </c>
      <c r="AD106" s="13">
        <f t="shared" si="65"/>
        <v>0</v>
      </c>
      <c r="AE106" s="13">
        <f t="shared" si="66"/>
        <v>0</v>
      </c>
      <c r="AF106" s="13">
        <f t="shared" si="67"/>
        <v>0</v>
      </c>
      <c r="AG106" s="13">
        <f t="shared" si="68"/>
        <v>0</v>
      </c>
      <c r="AH106" s="13">
        <f t="shared" si="69"/>
        <v>0</v>
      </c>
      <c r="AI106" s="13">
        <f t="shared" si="70"/>
        <v>0</v>
      </c>
      <c r="AJ106" s="13">
        <f t="shared" si="71"/>
        <v>0</v>
      </c>
    </row>
    <row r="107" spans="1:36" ht="15" customHeight="1" x14ac:dyDescent="0.25">
      <c r="A107" s="13">
        <f t="shared" si="54"/>
        <v>106</v>
      </c>
      <c r="B107" s="13" t="s">
        <v>351</v>
      </c>
      <c r="C107" s="13" t="s">
        <v>376</v>
      </c>
      <c r="D107" s="13" t="s">
        <v>377</v>
      </c>
      <c r="E107" s="14">
        <v>2920</v>
      </c>
      <c r="F107" s="15">
        <f t="shared" si="55"/>
        <v>2920</v>
      </c>
      <c r="G107" s="15">
        <f t="shared" si="56"/>
        <v>0</v>
      </c>
      <c r="H107" s="32">
        <f>SUMPRODUCT((BOM!$C$2:$C$675=$C107)*BOM!$H$2:$H$675*BOM!$M$2:$M$675)</f>
        <v>0</v>
      </c>
      <c r="I107" s="32" t="s">
        <v>256</v>
      </c>
      <c r="J107" s="32" t="s">
        <v>253</v>
      </c>
      <c r="K107" s="32" t="str">
        <f t="shared" si="57"/>
        <v>KZT</v>
      </c>
      <c r="L107" s="32">
        <f t="shared" si="58"/>
        <v>1</v>
      </c>
      <c r="M107" s="32">
        <f t="shared" si="59"/>
        <v>1</v>
      </c>
      <c r="N107" s="13" t="s">
        <v>254</v>
      </c>
      <c r="O107" s="16">
        <f t="shared" si="60"/>
        <v>45820</v>
      </c>
      <c r="P107" s="13">
        <f t="shared" si="61"/>
        <v>15.2</v>
      </c>
      <c r="Q107" s="13" t="str">
        <f t="shared" si="62"/>
        <v>ESKİ</v>
      </c>
      <c r="S107" s="18"/>
      <c r="T107" s="18"/>
      <c r="U107" s="18"/>
      <c r="V107" s="18"/>
      <c r="W107" s="18"/>
      <c r="X107" s="18"/>
      <c r="Y107" s="18"/>
      <c r="Z107" s="18"/>
      <c r="AA107" s="18"/>
      <c r="AB107" s="13" t="str">
        <f t="shared" si="63"/>
        <v>SARF</v>
      </c>
      <c r="AC107" s="13">
        <f t="shared" si="64"/>
        <v>0</v>
      </c>
      <c r="AD107" s="13">
        <f t="shared" si="65"/>
        <v>0</v>
      </c>
      <c r="AE107" s="13">
        <f t="shared" si="66"/>
        <v>0</v>
      </c>
      <c r="AF107" s="13">
        <f t="shared" si="67"/>
        <v>0</v>
      </c>
      <c r="AG107" s="13">
        <f t="shared" si="68"/>
        <v>0</v>
      </c>
      <c r="AH107" s="13">
        <f t="shared" si="69"/>
        <v>0</v>
      </c>
      <c r="AI107" s="13">
        <f t="shared" si="70"/>
        <v>0</v>
      </c>
      <c r="AJ107" s="13">
        <f t="shared" si="71"/>
        <v>0</v>
      </c>
    </row>
    <row r="108" spans="1:36" ht="15" customHeight="1" x14ac:dyDescent="0.25">
      <c r="A108" s="13">
        <f t="shared" si="54"/>
        <v>107</v>
      </c>
      <c r="B108" s="13" t="s">
        <v>351</v>
      </c>
      <c r="C108" s="13" t="s">
        <v>378</v>
      </c>
      <c r="D108" s="13" t="s">
        <v>379</v>
      </c>
      <c r="E108" s="14">
        <v>3873</v>
      </c>
      <c r="F108" s="15">
        <f t="shared" si="55"/>
        <v>3873</v>
      </c>
      <c r="G108" s="15">
        <f t="shared" si="56"/>
        <v>0</v>
      </c>
      <c r="H108" s="32">
        <f>SUMPRODUCT((BOM!$C$2:$C$675=$C108)*BOM!$H$2:$H$675*BOM!$M$2:$M$675)</f>
        <v>0</v>
      </c>
      <c r="I108" s="32" t="s">
        <v>256</v>
      </c>
      <c r="J108" s="32" t="s">
        <v>253</v>
      </c>
      <c r="K108" s="32" t="str">
        <f t="shared" si="57"/>
        <v>KZT</v>
      </c>
      <c r="L108" s="32">
        <f t="shared" si="58"/>
        <v>1</v>
      </c>
      <c r="M108" s="32">
        <f t="shared" si="59"/>
        <v>1</v>
      </c>
      <c r="N108" s="13" t="s">
        <v>254</v>
      </c>
      <c r="O108" s="16">
        <f t="shared" si="60"/>
        <v>45820</v>
      </c>
      <c r="P108" s="13">
        <f t="shared" si="61"/>
        <v>15.2</v>
      </c>
      <c r="Q108" s="13" t="str">
        <f t="shared" si="62"/>
        <v>ESKİ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3" t="str">
        <f t="shared" si="63"/>
        <v>SARF</v>
      </c>
      <c r="AC108" s="13">
        <f t="shared" si="64"/>
        <v>0</v>
      </c>
      <c r="AD108" s="13">
        <f t="shared" si="65"/>
        <v>0</v>
      </c>
      <c r="AE108" s="13">
        <f t="shared" si="66"/>
        <v>0</v>
      </c>
      <c r="AF108" s="13">
        <f t="shared" si="67"/>
        <v>0</v>
      </c>
      <c r="AG108" s="13">
        <f t="shared" si="68"/>
        <v>0</v>
      </c>
      <c r="AH108" s="13">
        <f t="shared" si="69"/>
        <v>0</v>
      </c>
      <c r="AI108" s="13">
        <f t="shared" si="70"/>
        <v>0</v>
      </c>
      <c r="AJ108" s="13">
        <f t="shared" si="71"/>
        <v>0</v>
      </c>
    </row>
    <row r="109" spans="1:36" ht="15" customHeight="1" x14ac:dyDescent="0.25">
      <c r="A109" s="13">
        <f t="shared" si="54"/>
        <v>108</v>
      </c>
      <c r="B109" s="13" t="s">
        <v>351</v>
      </c>
      <c r="C109" s="13" t="s">
        <v>380</v>
      </c>
      <c r="D109" s="13" t="s">
        <v>381</v>
      </c>
      <c r="E109" s="14">
        <v>6172</v>
      </c>
      <c r="F109" s="15">
        <f t="shared" si="55"/>
        <v>6172</v>
      </c>
      <c r="G109" s="15">
        <f t="shared" si="56"/>
        <v>0</v>
      </c>
      <c r="H109" s="32">
        <f>SUMPRODUCT((BOM!$C$2:$C$675=$C109)*BOM!$H$2:$H$675*BOM!$M$2:$M$675)</f>
        <v>0</v>
      </c>
      <c r="I109" s="32" t="s">
        <v>256</v>
      </c>
      <c r="J109" s="32" t="s">
        <v>253</v>
      </c>
      <c r="K109" s="32" t="str">
        <f t="shared" si="57"/>
        <v>KZT</v>
      </c>
      <c r="L109" s="32">
        <f t="shared" si="58"/>
        <v>1</v>
      </c>
      <c r="M109" s="32">
        <f t="shared" si="59"/>
        <v>1</v>
      </c>
      <c r="N109" s="13" t="s">
        <v>254</v>
      </c>
      <c r="O109" s="16">
        <f t="shared" si="60"/>
        <v>45820</v>
      </c>
      <c r="P109" s="13">
        <f t="shared" si="61"/>
        <v>15.2</v>
      </c>
      <c r="Q109" s="13" t="str">
        <f t="shared" si="62"/>
        <v>ESKİ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3" t="str">
        <f t="shared" si="63"/>
        <v>SARF</v>
      </c>
      <c r="AC109" s="13">
        <f t="shared" si="64"/>
        <v>0</v>
      </c>
      <c r="AD109" s="13">
        <f t="shared" si="65"/>
        <v>0</v>
      </c>
      <c r="AE109" s="13">
        <f t="shared" si="66"/>
        <v>0</v>
      </c>
      <c r="AF109" s="13">
        <f t="shared" si="67"/>
        <v>0</v>
      </c>
      <c r="AG109" s="13">
        <f t="shared" si="68"/>
        <v>0</v>
      </c>
      <c r="AH109" s="13">
        <f t="shared" si="69"/>
        <v>0</v>
      </c>
      <c r="AI109" s="13">
        <f t="shared" si="70"/>
        <v>0</v>
      </c>
      <c r="AJ109" s="13">
        <f t="shared" si="71"/>
        <v>0</v>
      </c>
    </row>
    <row r="110" spans="1:36" ht="15" customHeight="1" x14ac:dyDescent="0.25">
      <c r="A110" s="13">
        <f t="shared" si="54"/>
        <v>109</v>
      </c>
      <c r="B110" s="13" t="s">
        <v>351</v>
      </c>
      <c r="C110" s="13" t="s">
        <v>382</v>
      </c>
      <c r="D110" s="13" t="s">
        <v>383</v>
      </c>
      <c r="E110" s="14">
        <v>8075</v>
      </c>
      <c r="F110" s="15">
        <f t="shared" si="55"/>
        <v>8075</v>
      </c>
      <c r="G110" s="15">
        <f t="shared" si="56"/>
        <v>0</v>
      </c>
      <c r="H110" s="32">
        <f>SUMPRODUCT((BOM!$C$2:$C$675=$C110)*BOM!$H$2:$H$675*BOM!$M$2:$M$675)</f>
        <v>0</v>
      </c>
      <c r="I110" s="32" t="s">
        <v>256</v>
      </c>
      <c r="J110" s="32" t="s">
        <v>253</v>
      </c>
      <c r="K110" s="32" t="str">
        <f t="shared" si="57"/>
        <v>KZT</v>
      </c>
      <c r="L110" s="32">
        <f t="shared" si="58"/>
        <v>1</v>
      </c>
      <c r="M110" s="32">
        <f t="shared" si="59"/>
        <v>1</v>
      </c>
      <c r="N110" s="13" t="s">
        <v>254</v>
      </c>
      <c r="O110" s="16">
        <f t="shared" si="60"/>
        <v>45820</v>
      </c>
      <c r="P110" s="13">
        <f t="shared" si="61"/>
        <v>15.2</v>
      </c>
      <c r="Q110" s="13" t="str">
        <f t="shared" si="62"/>
        <v>ESKİ</v>
      </c>
      <c r="S110" s="18"/>
      <c r="T110" s="18"/>
      <c r="U110" s="18"/>
      <c r="V110" s="18"/>
      <c r="W110" s="18"/>
      <c r="X110" s="18"/>
      <c r="Y110" s="18"/>
      <c r="Z110" s="18"/>
      <c r="AA110" s="18"/>
      <c r="AB110" s="13" t="str">
        <f t="shared" si="63"/>
        <v>SARF</v>
      </c>
      <c r="AC110" s="13">
        <f t="shared" si="64"/>
        <v>0</v>
      </c>
      <c r="AD110" s="13">
        <f t="shared" si="65"/>
        <v>0</v>
      </c>
      <c r="AE110" s="13">
        <f t="shared" si="66"/>
        <v>0</v>
      </c>
      <c r="AF110" s="13">
        <f t="shared" si="67"/>
        <v>0</v>
      </c>
      <c r="AG110" s="13">
        <f t="shared" si="68"/>
        <v>0</v>
      </c>
      <c r="AH110" s="13">
        <f t="shared" si="69"/>
        <v>0</v>
      </c>
      <c r="AI110" s="13">
        <f t="shared" si="70"/>
        <v>0</v>
      </c>
      <c r="AJ110" s="13">
        <f t="shared" si="71"/>
        <v>0</v>
      </c>
    </row>
    <row r="111" spans="1:36" ht="15" customHeight="1" x14ac:dyDescent="0.25">
      <c r="G111" s="6">
        <f>SUM(G2:G110)</f>
        <v>781885.39999999991</v>
      </c>
      <c r="H111" s="33" t="s">
        <v>384</v>
      </c>
    </row>
  </sheetData>
  <autoFilter ref="A1:AJ1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3"/>
  <sheetViews>
    <sheetView topLeftCell="A7" zoomScaleNormal="100" workbookViewId="0">
      <selection activeCell="C14" sqref="C14"/>
    </sheetView>
  </sheetViews>
  <sheetFormatPr defaultColWidth="8.7109375" defaultRowHeight="15" x14ac:dyDescent="0.25"/>
  <cols>
    <col min="1" max="1" width="30" customWidth="1"/>
    <col min="2" max="2" width="34" customWidth="1"/>
    <col min="3" max="4" width="16" customWidth="1"/>
    <col min="5" max="5" width="14" customWidth="1"/>
    <col min="6" max="6" width="12" customWidth="1"/>
    <col min="7" max="7" width="18" customWidth="1"/>
    <col min="8" max="8" width="12" customWidth="1"/>
    <col min="9" max="9" width="10" customWidth="1"/>
    <col min="10" max="10" width="8" customWidth="1"/>
    <col min="11" max="12" width="10" customWidth="1"/>
    <col min="13" max="16" width="12" customWidth="1"/>
    <col min="17" max="17" width="26" customWidth="1"/>
  </cols>
  <sheetData>
    <row r="1" spans="1:3" ht="15" customHeight="1" x14ac:dyDescent="0.25">
      <c r="A1" s="4" t="s">
        <v>385</v>
      </c>
    </row>
    <row r="3" spans="1:3" ht="15" customHeight="1" x14ac:dyDescent="0.25">
      <c r="A3" s="12" t="s">
        <v>386</v>
      </c>
    </row>
    <row r="4" spans="1:3" ht="15" customHeight="1" x14ac:dyDescent="0.25">
      <c r="A4" s="13" t="s">
        <v>387</v>
      </c>
      <c r="B4" s="13" t="s">
        <v>388</v>
      </c>
      <c r="C4" s="17">
        <v>290917</v>
      </c>
    </row>
    <row r="5" spans="1:3" ht="15" customHeight="1" x14ac:dyDescent="0.25">
      <c r="A5" s="13" t="s">
        <v>389</v>
      </c>
      <c r="B5" s="13" t="s">
        <v>390</v>
      </c>
      <c r="C5" s="19">
        <v>46282</v>
      </c>
    </row>
    <row r="6" spans="1:3" ht="15" customHeight="1" x14ac:dyDescent="0.25">
      <c r="A6" s="13" t="s">
        <v>391</v>
      </c>
      <c r="B6" s="13" t="s">
        <v>392</v>
      </c>
      <c r="C6" s="17" t="s">
        <v>393</v>
      </c>
    </row>
    <row r="7" spans="1:3" ht="15" customHeight="1" x14ac:dyDescent="0.25">
      <c r="A7" s="13" t="s">
        <v>394</v>
      </c>
      <c r="B7" s="13" t="s">
        <v>395</v>
      </c>
      <c r="C7" s="17" t="s">
        <v>396</v>
      </c>
    </row>
    <row r="8" spans="1:3" ht="15" customHeight="1" x14ac:dyDescent="0.25">
      <c r="A8" s="13" t="s">
        <v>397</v>
      </c>
      <c r="B8" s="13" t="s">
        <v>398</v>
      </c>
      <c r="C8" s="17" t="s">
        <v>399</v>
      </c>
    </row>
    <row r="9" spans="1:3" ht="15" customHeight="1" x14ac:dyDescent="0.25">
      <c r="A9" s="13" t="s">
        <v>400</v>
      </c>
      <c r="B9" s="13" t="s">
        <v>401</v>
      </c>
      <c r="C9" s="17" t="s">
        <v>402</v>
      </c>
    </row>
    <row r="10" spans="1:3" ht="15" customHeight="1" x14ac:dyDescent="0.25">
      <c r="A10" s="13" t="s">
        <v>403</v>
      </c>
      <c r="B10" s="13" t="s">
        <v>404</v>
      </c>
      <c r="C10" s="18">
        <v>5</v>
      </c>
    </row>
    <row r="11" spans="1:3" ht="15" customHeight="1" x14ac:dyDescent="0.25">
      <c r="A11" s="13" t="s">
        <v>405</v>
      </c>
      <c r="B11" s="13" t="s">
        <v>406</v>
      </c>
      <c r="C11" s="18">
        <v>25</v>
      </c>
    </row>
    <row r="12" spans="1:3" ht="15" customHeight="1" x14ac:dyDescent="0.25">
      <c r="A12" s="13" t="s">
        <v>407</v>
      </c>
      <c r="B12" s="13" t="s">
        <v>408</v>
      </c>
      <c r="C12" s="31">
        <v>1</v>
      </c>
    </row>
    <row r="13" spans="1:3" ht="15" customHeight="1" x14ac:dyDescent="0.25">
      <c r="A13" s="13" t="s">
        <v>409</v>
      </c>
      <c r="B13" s="13" t="s">
        <v>410</v>
      </c>
      <c r="C13" s="20">
        <v>1.2</v>
      </c>
    </row>
    <row r="14" spans="1:3" ht="15" customHeight="1" x14ac:dyDescent="0.25">
      <c r="A14" s="13" t="s">
        <v>411</v>
      </c>
      <c r="B14" s="13" t="s">
        <v>412</v>
      </c>
      <c r="C14" s="21">
        <v>0</v>
      </c>
    </row>
    <row r="15" spans="1:3" ht="15" customHeight="1" x14ac:dyDescent="0.25">
      <c r="A15" s="13" t="s">
        <v>413</v>
      </c>
      <c r="B15" s="13" t="s">
        <v>414</v>
      </c>
      <c r="C15" s="21">
        <v>0.16</v>
      </c>
    </row>
    <row r="17" spans="1:5" ht="15" customHeight="1" x14ac:dyDescent="0.25">
      <c r="A17" s="12" t="s">
        <v>415</v>
      </c>
    </row>
    <row r="18" spans="1:5" ht="15" customHeight="1" x14ac:dyDescent="0.25">
      <c r="A18" s="4" t="s">
        <v>195</v>
      </c>
      <c r="B18" s="4" t="s">
        <v>416</v>
      </c>
    </row>
    <row r="19" spans="1:5" ht="15" customHeight="1" x14ac:dyDescent="0.25">
      <c r="A19" s="13" t="s">
        <v>416</v>
      </c>
      <c r="B19" s="17">
        <v>1</v>
      </c>
    </row>
    <row r="20" spans="1:5" ht="15" customHeight="1" x14ac:dyDescent="0.25">
      <c r="A20" s="13" t="s">
        <v>417</v>
      </c>
      <c r="B20" s="18">
        <v>515</v>
      </c>
    </row>
    <row r="21" spans="1:5" ht="15" customHeight="1" x14ac:dyDescent="0.25">
      <c r="A21" s="13" t="s">
        <v>418</v>
      </c>
      <c r="B21" s="18">
        <v>445</v>
      </c>
    </row>
    <row r="22" spans="1:5" ht="15" customHeight="1" x14ac:dyDescent="0.25">
      <c r="A22" s="13" t="s">
        <v>419</v>
      </c>
      <c r="B22" s="18"/>
    </row>
    <row r="23" spans="1:5" ht="15" customHeight="1" x14ac:dyDescent="0.25">
      <c r="A23" s="13" t="s">
        <v>420</v>
      </c>
      <c r="B23" s="18">
        <v>5.3</v>
      </c>
    </row>
    <row r="25" spans="1:5" ht="15" customHeight="1" x14ac:dyDescent="0.25">
      <c r="A25" s="12" t="s">
        <v>421</v>
      </c>
    </row>
    <row r="26" spans="1:5" ht="15" customHeight="1" x14ac:dyDescent="0.25">
      <c r="A26" s="4" t="s">
        <v>422</v>
      </c>
      <c r="B26" s="4" t="s">
        <v>195</v>
      </c>
      <c r="C26" s="4" t="s">
        <v>196</v>
      </c>
      <c r="D26" s="4" t="s">
        <v>423</v>
      </c>
      <c r="E26" s="4" t="s">
        <v>15</v>
      </c>
    </row>
    <row r="27" spans="1:5" ht="15" customHeight="1" x14ac:dyDescent="0.25">
      <c r="A27" s="17" t="s">
        <v>223</v>
      </c>
      <c r="B27" s="17" t="s">
        <v>416</v>
      </c>
      <c r="C27" s="17">
        <v>0.6</v>
      </c>
      <c r="D27" s="17" t="s">
        <v>424</v>
      </c>
      <c r="E27" s="13" t="s">
        <v>425</v>
      </c>
    </row>
    <row r="28" spans="1:5" ht="15" customHeight="1" x14ac:dyDescent="0.25">
      <c r="A28" s="17" t="s">
        <v>260</v>
      </c>
      <c r="B28" s="17" t="s">
        <v>416</v>
      </c>
      <c r="C28" s="17">
        <v>0.6</v>
      </c>
      <c r="D28" s="17" t="s">
        <v>424</v>
      </c>
      <c r="E28" s="13" t="s">
        <v>426</v>
      </c>
    </row>
    <row r="29" spans="1:5" ht="15" customHeight="1" x14ac:dyDescent="0.25">
      <c r="A29" s="17" t="s">
        <v>427</v>
      </c>
      <c r="B29" s="17" t="s">
        <v>416</v>
      </c>
      <c r="C29" s="17">
        <v>0.6</v>
      </c>
      <c r="D29" s="17" t="s">
        <v>424</v>
      </c>
      <c r="E29" s="13" t="s">
        <v>426</v>
      </c>
    </row>
    <row r="30" spans="1:5" ht="15" customHeight="1" x14ac:dyDescent="0.25">
      <c r="A30" s="17" t="s">
        <v>428</v>
      </c>
      <c r="B30" s="17" t="s">
        <v>416</v>
      </c>
      <c r="C30" s="17">
        <v>0.6</v>
      </c>
      <c r="D30" s="17" t="s">
        <v>424</v>
      </c>
      <c r="E30" s="13" t="s">
        <v>429</v>
      </c>
    </row>
    <row r="31" spans="1:5" ht="15" customHeight="1" x14ac:dyDescent="0.25">
      <c r="A31" s="17" t="s">
        <v>253</v>
      </c>
      <c r="B31" s="17" t="s">
        <v>416</v>
      </c>
      <c r="C31" s="17">
        <v>1</v>
      </c>
      <c r="D31" s="17" t="s">
        <v>424</v>
      </c>
      <c r="E31" s="13" t="s">
        <v>430</v>
      </c>
    </row>
    <row r="32" spans="1:5" ht="15" customHeight="1" x14ac:dyDescent="0.25">
      <c r="A32" s="17" t="s">
        <v>431</v>
      </c>
      <c r="B32" s="17" t="s">
        <v>416</v>
      </c>
      <c r="C32" s="17">
        <v>1</v>
      </c>
      <c r="D32" s="17" t="s">
        <v>424</v>
      </c>
      <c r="E32" s="13" t="s">
        <v>430</v>
      </c>
    </row>
    <row r="33" spans="1:5" ht="15" customHeight="1" x14ac:dyDescent="0.25">
      <c r="A33" s="17" t="s">
        <v>270</v>
      </c>
      <c r="B33" s="17" t="s">
        <v>416</v>
      </c>
      <c r="C33" s="17">
        <v>1</v>
      </c>
      <c r="D33" s="17" t="s">
        <v>424</v>
      </c>
      <c r="E33" s="13" t="s">
        <v>432</v>
      </c>
    </row>
    <row r="34" spans="1:5" ht="15" customHeight="1" x14ac:dyDescent="0.25">
      <c r="A34" s="17" t="s">
        <v>433</v>
      </c>
      <c r="B34" s="17" t="s">
        <v>416</v>
      </c>
      <c r="C34" s="17">
        <v>1</v>
      </c>
      <c r="D34" s="17" t="s">
        <v>424</v>
      </c>
      <c r="E34" s="13" t="s">
        <v>430</v>
      </c>
    </row>
    <row r="35" spans="1:5" ht="15" customHeight="1" x14ac:dyDescent="0.25">
      <c r="A35" s="17" t="s">
        <v>434</v>
      </c>
      <c r="B35" s="17" t="s">
        <v>417</v>
      </c>
      <c r="C35" s="17">
        <v>0.40500000000000003</v>
      </c>
      <c r="D35" s="17" t="s">
        <v>424</v>
      </c>
      <c r="E35" s="13" t="s">
        <v>435</v>
      </c>
    </row>
    <row r="36" spans="1:5" ht="15" customHeight="1" x14ac:dyDescent="0.25">
      <c r="A36" s="17" t="s">
        <v>436</v>
      </c>
      <c r="B36" s="17" t="s">
        <v>417</v>
      </c>
      <c r="C36" s="17">
        <v>0.3105</v>
      </c>
      <c r="D36" s="17" t="s">
        <v>424</v>
      </c>
      <c r="E36" s="13" t="s">
        <v>437</v>
      </c>
    </row>
    <row r="37" spans="1:5" ht="15" customHeight="1" x14ac:dyDescent="0.25">
      <c r="A37" s="17" t="s">
        <v>438</v>
      </c>
      <c r="B37" s="17" t="s">
        <v>419</v>
      </c>
      <c r="C37" s="17">
        <v>0.6</v>
      </c>
      <c r="D37" s="17" t="s">
        <v>424</v>
      </c>
      <c r="E37" s="13" t="s">
        <v>439</v>
      </c>
    </row>
    <row r="38" spans="1:5" ht="15" customHeight="1" x14ac:dyDescent="0.25">
      <c r="A38" s="17" t="s">
        <v>440</v>
      </c>
      <c r="B38" s="17" t="s">
        <v>419</v>
      </c>
      <c r="C38" s="17">
        <v>0.5</v>
      </c>
      <c r="D38" s="17" t="s">
        <v>424</v>
      </c>
      <c r="E38" s="13" t="s">
        <v>430</v>
      </c>
    </row>
    <row r="39" spans="1:5" ht="15" customHeight="1" x14ac:dyDescent="0.25">
      <c r="A39" s="17" t="s">
        <v>266</v>
      </c>
      <c r="B39" s="17" t="s">
        <v>416</v>
      </c>
      <c r="C39" s="17">
        <v>1</v>
      </c>
      <c r="D39" s="17" t="s">
        <v>424</v>
      </c>
      <c r="E39" s="13" t="s">
        <v>441</v>
      </c>
    </row>
    <row r="40" spans="1:5" ht="15" customHeight="1" x14ac:dyDescent="0.25">
      <c r="A40" s="17" t="s">
        <v>442</v>
      </c>
      <c r="B40" s="17" t="s">
        <v>416</v>
      </c>
      <c r="C40" s="17">
        <v>0.55000000000000004</v>
      </c>
      <c r="D40" s="17" t="s">
        <v>443</v>
      </c>
      <c r="E40" s="13" t="s">
        <v>444</v>
      </c>
    </row>
    <row r="41" spans="1:5" ht="15" customHeight="1" x14ac:dyDescent="0.25">
      <c r="A41" s="17" t="s">
        <v>445</v>
      </c>
      <c r="B41" s="17" t="s">
        <v>416</v>
      </c>
      <c r="C41" s="17">
        <v>0.67</v>
      </c>
      <c r="D41" s="17" t="s">
        <v>443</v>
      </c>
      <c r="E41" s="13" t="s">
        <v>444</v>
      </c>
    </row>
    <row r="42" spans="1:5" ht="15" customHeight="1" x14ac:dyDescent="0.25">
      <c r="A42" s="17" t="s">
        <v>446</v>
      </c>
      <c r="B42" s="17" t="s">
        <v>417</v>
      </c>
      <c r="C42" s="17">
        <v>1</v>
      </c>
      <c r="D42" s="17" t="s">
        <v>443</v>
      </c>
      <c r="E42" s="13" t="s">
        <v>447</v>
      </c>
    </row>
    <row r="43" spans="1:5" ht="15" customHeight="1" x14ac:dyDescent="0.25">
      <c r="A43" s="18"/>
      <c r="B43" s="18"/>
      <c r="C43" s="18"/>
      <c r="D43" s="18"/>
    </row>
    <row r="44" spans="1:5" ht="15" customHeight="1" x14ac:dyDescent="0.25">
      <c r="A44" s="18"/>
      <c r="B44" s="18"/>
      <c r="C44" s="18"/>
      <c r="D44" s="18"/>
    </row>
    <row r="45" spans="1:5" ht="15" customHeight="1" x14ac:dyDescent="0.25">
      <c r="A45" s="18"/>
      <c r="B45" s="18"/>
      <c r="C45" s="18"/>
      <c r="D45" s="18"/>
    </row>
    <row r="46" spans="1:5" ht="15" customHeight="1" x14ac:dyDescent="0.25">
      <c r="A46" s="18"/>
      <c r="B46" s="18"/>
      <c r="C46" s="18"/>
      <c r="D46" s="18"/>
    </row>
    <row r="47" spans="1:5" ht="15" customHeight="1" x14ac:dyDescent="0.25">
      <c r="A47" s="18"/>
      <c r="B47" s="18"/>
      <c r="C47" s="18"/>
      <c r="D47" s="18"/>
    </row>
    <row r="49" spans="1:3" ht="15" customHeight="1" x14ac:dyDescent="0.25">
      <c r="A49" s="12" t="s">
        <v>448</v>
      </c>
    </row>
    <row r="50" spans="1:3" ht="15" customHeight="1" x14ac:dyDescent="0.25">
      <c r="A50" s="4" t="s">
        <v>449</v>
      </c>
      <c r="B50" s="4" t="s">
        <v>450</v>
      </c>
      <c r="C50" s="4" t="s">
        <v>451</v>
      </c>
    </row>
    <row r="51" spans="1:3" ht="15" customHeight="1" x14ac:dyDescent="0.25">
      <c r="A51" s="17" t="s">
        <v>224</v>
      </c>
      <c r="B51" s="13" t="s">
        <v>452</v>
      </c>
      <c r="C51" s="19">
        <v>46261</v>
      </c>
    </row>
    <row r="52" spans="1:3" ht="15" customHeight="1" x14ac:dyDescent="0.25">
      <c r="A52" s="17" t="s">
        <v>261</v>
      </c>
      <c r="B52" s="13" t="s">
        <v>453</v>
      </c>
      <c r="C52" s="19">
        <v>46218</v>
      </c>
    </row>
    <row r="53" spans="1:3" ht="15" customHeight="1" x14ac:dyDescent="0.25">
      <c r="A53" s="17" t="s">
        <v>271</v>
      </c>
      <c r="B53" s="13" t="s">
        <v>454</v>
      </c>
      <c r="C53" s="22"/>
    </row>
    <row r="54" spans="1:3" ht="15" customHeight="1" x14ac:dyDescent="0.25">
      <c r="A54" s="17" t="s">
        <v>455</v>
      </c>
      <c r="B54" s="13" t="s">
        <v>456</v>
      </c>
      <c r="C54" s="19">
        <v>45839</v>
      </c>
    </row>
    <row r="55" spans="1:3" ht="15" customHeight="1" x14ac:dyDescent="0.25">
      <c r="A55" s="17" t="s">
        <v>457</v>
      </c>
      <c r="B55" s="13" t="s">
        <v>458</v>
      </c>
      <c r="C55" s="19">
        <v>45962</v>
      </c>
    </row>
    <row r="56" spans="1:3" ht="15" customHeight="1" x14ac:dyDescent="0.25">
      <c r="A56" s="17" t="s">
        <v>459</v>
      </c>
      <c r="B56" s="13" t="s">
        <v>460</v>
      </c>
      <c r="C56" s="19">
        <v>45931</v>
      </c>
    </row>
    <row r="57" spans="1:3" ht="15" customHeight="1" x14ac:dyDescent="0.25">
      <c r="A57" s="17" t="s">
        <v>254</v>
      </c>
      <c r="B57" s="13" t="s">
        <v>461</v>
      </c>
      <c r="C57" s="19">
        <v>45820</v>
      </c>
    </row>
    <row r="58" spans="1:3" ht="15" customHeight="1" x14ac:dyDescent="0.25">
      <c r="A58" s="17" t="s">
        <v>462</v>
      </c>
      <c r="B58" s="13" t="s">
        <v>461</v>
      </c>
      <c r="C58" s="19">
        <v>46023</v>
      </c>
    </row>
    <row r="59" spans="1:3" ht="15" customHeight="1" x14ac:dyDescent="0.25">
      <c r="A59" s="17" t="s">
        <v>463</v>
      </c>
      <c r="B59" s="13" t="s">
        <v>461</v>
      </c>
      <c r="C59" s="19">
        <v>44614</v>
      </c>
    </row>
    <row r="60" spans="1:3" ht="15" customHeight="1" x14ac:dyDescent="0.25">
      <c r="A60" s="17" t="s">
        <v>464</v>
      </c>
      <c r="B60" s="13" t="s">
        <v>461</v>
      </c>
      <c r="C60" s="19">
        <v>44866</v>
      </c>
    </row>
    <row r="61" spans="1:3" ht="15" customHeight="1" x14ac:dyDescent="0.25">
      <c r="A61" s="17" t="s">
        <v>465</v>
      </c>
      <c r="B61" s="13" t="s">
        <v>461</v>
      </c>
      <c r="C61" s="19">
        <v>45692</v>
      </c>
    </row>
    <row r="62" spans="1:3" ht="15" customHeight="1" x14ac:dyDescent="0.25">
      <c r="A62" s="17" t="s">
        <v>267</v>
      </c>
      <c r="B62" s="13" t="s">
        <v>466</v>
      </c>
      <c r="C62" s="19">
        <v>46282</v>
      </c>
    </row>
    <row r="63" spans="1:3" ht="15" customHeight="1" x14ac:dyDescent="0.25">
      <c r="A63" s="17" t="s">
        <v>467</v>
      </c>
      <c r="B63" s="13" t="s">
        <v>468</v>
      </c>
      <c r="C63" s="19">
        <v>46282</v>
      </c>
    </row>
    <row r="64" spans="1:3" ht="15" customHeight="1" x14ac:dyDescent="0.25">
      <c r="A64" s="18"/>
      <c r="C64" s="22"/>
    </row>
    <row r="65" spans="1:6" ht="15" customHeight="1" x14ac:dyDescent="0.25">
      <c r="A65" s="18"/>
      <c r="C65" s="22"/>
    </row>
    <row r="66" spans="1:6" ht="15" customHeight="1" x14ac:dyDescent="0.25">
      <c r="A66" s="18"/>
      <c r="C66" s="22"/>
    </row>
    <row r="67" spans="1:6" ht="15" customHeight="1" x14ac:dyDescent="0.25">
      <c r="A67" s="13" t="s">
        <v>469</v>
      </c>
      <c r="B67" s="13" t="s">
        <v>470</v>
      </c>
      <c r="C67" s="17">
        <v>12</v>
      </c>
    </row>
    <row r="68" spans="1:6" ht="15" customHeight="1" x14ac:dyDescent="0.25">
      <c r="A68" s="13" t="s">
        <v>471</v>
      </c>
      <c r="B68" s="13" t="s">
        <v>470</v>
      </c>
      <c r="C68" s="17">
        <v>18</v>
      </c>
    </row>
    <row r="70" spans="1:6" ht="15" customHeight="1" x14ac:dyDescent="0.25">
      <c r="A70" s="12" t="s">
        <v>472</v>
      </c>
    </row>
    <row r="71" spans="1:6" ht="15" customHeight="1" x14ac:dyDescent="0.25">
      <c r="A71" s="13" t="s">
        <v>473</v>
      </c>
      <c r="B71" s="13" t="s">
        <v>474</v>
      </c>
      <c r="C71" s="17">
        <v>100</v>
      </c>
    </row>
    <row r="72" spans="1:6" ht="15" customHeight="1" x14ac:dyDescent="0.25">
      <c r="A72" s="13" t="s">
        <v>475</v>
      </c>
      <c r="B72" s="13" t="s">
        <v>476</v>
      </c>
      <c r="C72" s="17">
        <v>1</v>
      </c>
    </row>
    <row r="73" spans="1:6" ht="15" customHeight="1" x14ac:dyDescent="0.25">
      <c r="A73" s="13" t="s">
        <v>477</v>
      </c>
      <c r="B73" s="13" t="s">
        <v>478</v>
      </c>
      <c r="C73" s="17">
        <v>0.4</v>
      </c>
    </row>
    <row r="75" spans="1:6" ht="15" customHeight="1" x14ac:dyDescent="0.25">
      <c r="A75" s="12" t="s">
        <v>479</v>
      </c>
    </row>
    <row r="76" spans="1:6" ht="15" customHeight="1" x14ac:dyDescent="0.25">
      <c r="A76" s="4" t="s">
        <v>480</v>
      </c>
      <c r="B76" s="4" t="s">
        <v>213</v>
      </c>
      <c r="C76" s="4" t="s">
        <v>481</v>
      </c>
      <c r="D76" s="4" t="s">
        <v>482</v>
      </c>
      <c r="E76" s="4" t="s">
        <v>483</v>
      </c>
      <c r="F76" s="4" t="s">
        <v>192</v>
      </c>
    </row>
    <row r="77" spans="1:6" ht="15" customHeight="1" x14ac:dyDescent="0.25">
      <c r="A77" s="17" t="s">
        <v>19</v>
      </c>
      <c r="B77" s="17" t="s">
        <v>21</v>
      </c>
      <c r="C77" s="17">
        <v>0</v>
      </c>
      <c r="D77" s="17">
        <v>0</v>
      </c>
      <c r="E77" s="18"/>
      <c r="F77" s="17">
        <v>1</v>
      </c>
    </row>
    <row r="78" spans="1:6" ht="15" customHeight="1" x14ac:dyDescent="0.25">
      <c r="A78" s="17" t="s">
        <v>484</v>
      </c>
      <c r="B78" s="17" t="s">
        <v>485</v>
      </c>
      <c r="C78" s="18"/>
      <c r="D78" s="17">
        <v>1</v>
      </c>
      <c r="E78" s="17">
        <v>10</v>
      </c>
      <c r="F78" s="17">
        <v>2</v>
      </c>
    </row>
    <row r="79" spans="1:6" ht="15" customHeight="1" x14ac:dyDescent="0.25">
      <c r="A79" s="17" t="s">
        <v>113</v>
      </c>
      <c r="B79" s="17" t="s">
        <v>485</v>
      </c>
      <c r="C79" s="18">
        <v>3</v>
      </c>
      <c r="D79" s="17">
        <v>0.3</v>
      </c>
      <c r="E79" s="17">
        <v>4</v>
      </c>
      <c r="F79" s="17">
        <v>2</v>
      </c>
    </row>
    <row r="80" spans="1:6" ht="15" customHeight="1" x14ac:dyDescent="0.25">
      <c r="A80" s="17" t="s">
        <v>24</v>
      </c>
      <c r="B80" s="17" t="s">
        <v>485</v>
      </c>
      <c r="C80" s="18">
        <v>3</v>
      </c>
      <c r="D80" s="17">
        <v>0.5</v>
      </c>
      <c r="E80" s="17">
        <v>15.3</v>
      </c>
      <c r="F80" s="17">
        <v>3</v>
      </c>
    </row>
    <row r="81" spans="1:6" ht="15" customHeight="1" x14ac:dyDescent="0.25">
      <c r="A81" s="17" t="s">
        <v>486</v>
      </c>
      <c r="B81" s="17" t="s">
        <v>485</v>
      </c>
      <c r="C81" s="17">
        <v>0</v>
      </c>
      <c r="D81" s="17">
        <v>0</v>
      </c>
      <c r="E81" s="17">
        <v>17.899999999999999</v>
      </c>
      <c r="F81" s="17">
        <v>3</v>
      </c>
    </row>
    <row r="82" spans="1:6" ht="15" customHeight="1" x14ac:dyDescent="0.25">
      <c r="A82" s="17" t="s">
        <v>487</v>
      </c>
      <c r="B82" s="17" t="s">
        <v>485</v>
      </c>
      <c r="C82" s="18"/>
      <c r="D82" s="17">
        <v>1</v>
      </c>
      <c r="E82" s="17">
        <v>194.6</v>
      </c>
      <c r="F82" s="17">
        <v>3</v>
      </c>
    </row>
    <row r="83" spans="1:6" ht="15" customHeight="1" x14ac:dyDescent="0.25">
      <c r="A83" s="17" t="s">
        <v>488</v>
      </c>
      <c r="B83" s="17" t="s">
        <v>30</v>
      </c>
      <c r="C83" s="17">
        <v>4</v>
      </c>
      <c r="D83" s="17">
        <v>1</v>
      </c>
      <c r="E83" s="18">
        <v>2</v>
      </c>
      <c r="F83" s="17">
        <v>3</v>
      </c>
    </row>
    <row r="84" spans="1:6" ht="15" customHeight="1" x14ac:dyDescent="0.25">
      <c r="A84" s="17" t="s">
        <v>489</v>
      </c>
      <c r="B84" s="17" t="s">
        <v>30</v>
      </c>
      <c r="C84" s="17">
        <v>2</v>
      </c>
      <c r="D84" s="17">
        <v>1</v>
      </c>
      <c r="E84" s="18">
        <v>2</v>
      </c>
      <c r="F84" s="17">
        <v>3</v>
      </c>
    </row>
    <row r="85" spans="1:6" ht="15" customHeight="1" x14ac:dyDescent="0.25">
      <c r="A85" s="17" t="s">
        <v>28</v>
      </c>
      <c r="B85" s="17" t="s">
        <v>490</v>
      </c>
      <c r="C85" s="17">
        <v>0</v>
      </c>
      <c r="D85" s="17">
        <v>0</v>
      </c>
      <c r="E85" s="18">
        <v>8</v>
      </c>
      <c r="F85" s="17">
        <v>3</v>
      </c>
    </row>
    <row r="86" spans="1:6" ht="15" customHeight="1" x14ac:dyDescent="0.25">
      <c r="A86" s="17" t="s">
        <v>32</v>
      </c>
      <c r="B86" s="17" t="s">
        <v>34</v>
      </c>
      <c r="C86" s="17">
        <v>10</v>
      </c>
      <c r="D86" s="17">
        <v>1.2</v>
      </c>
      <c r="E86" s="17">
        <v>8.1</v>
      </c>
      <c r="F86" s="17">
        <v>4</v>
      </c>
    </row>
    <row r="87" spans="1:6" ht="15" customHeight="1" x14ac:dyDescent="0.25">
      <c r="A87" s="17" t="s">
        <v>36</v>
      </c>
      <c r="B87" s="17" t="s">
        <v>34</v>
      </c>
      <c r="C87" s="17">
        <v>0</v>
      </c>
      <c r="D87" s="17">
        <v>1.2</v>
      </c>
      <c r="E87" s="17">
        <v>5.9</v>
      </c>
      <c r="F87" s="17">
        <v>5</v>
      </c>
    </row>
    <row r="88" spans="1:6" ht="15" customHeight="1" x14ac:dyDescent="0.25">
      <c r="A88" s="17" t="s">
        <v>39</v>
      </c>
      <c r="B88" s="17" t="s">
        <v>485</v>
      </c>
      <c r="C88" s="18"/>
      <c r="D88" s="17">
        <v>0.1</v>
      </c>
      <c r="E88" s="17">
        <v>4</v>
      </c>
      <c r="F88" s="17">
        <v>6</v>
      </c>
    </row>
    <row r="89" spans="1:6" ht="15" customHeight="1" x14ac:dyDescent="0.25">
      <c r="A89" s="17" t="s">
        <v>491</v>
      </c>
      <c r="B89" s="17" t="s">
        <v>30</v>
      </c>
      <c r="C89" s="17">
        <v>4</v>
      </c>
      <c r="D89" s="17">
        <v>0.6</v>
      </c>
      <c r="E89" s="17">
        <v>0.4</v>
      </c>
      <c r="F89" s="17">
        <v>6</v>
      </c>
    </row>
    <row r="90" spans="1:6" ht="15" customHeight="1" x14ac:dyDescent="0.25">
      <c r="A90" s="17" t="s">
        <v>492</v>
      </c>
      <c r="B90" s="17" t="s">
        <v>30</v>
      </c>
      <c r="C90" s="17">
        <v>4</v>
      </c>
      <c r="D90" s="17">
        <v>0.6</v>
      </c>
      <c r="E90" s="17">
        <v>0.4</v>
      </c>
      <c r="F90" s="17">
        <v>6</v>
      </c>
    </row>
    <row r="91" spans="1:6" ht="15" customHeight="1" x14ac:dyDescent="0.25">
      <c r="A91" s="17" t="s">
        <v>493</v>
      </c>
      <c r="B91" s="17" t="s">
        <v>485</v>
      </c>
      <c r="C91" s="18"/>
      <c r="D91" s="17">
        <v>0.6</v>
      </c>
      <c r="E91" s="17">
        <v>0.4</v>
      </c>
      <c r="F91" s="17">
        <v>7</v>
      </c>
    </row>
    <row r="92" spans="1:6" ht="15" customHeight="1" x14ac:dyDescent="0.25">
      <c r="A92" s="17" t="s">
        <v>139</v>
      </c>
      <c r="B92" s="17" t="s">
        <v>485</v>
      </c>
      <c r="C92" s="18"/>
      <c r="D92" s="17">
        <v>0.15</v>
      </c>
      <c r="E92" s="17">
        <v>4</v>
      </c>
      <c r="F92" s="17">
        <v>8</v>
      </c>
    </row>
    <row r="93" spans="1:6" ht="15" customHeight="1" x14ac:dyDescent="0.25">
      <c r="A93" s="17" t="s">
        <v>47</v>
      </c>
      <c r="B93" s="17" t="s">
        <v>485</v>
      </c>
      <c r="C93" s="18">
        <v>3</v>
      </c>
      <c r="D93" s="17">
        <v>0.6</v>
      </c>
      <c r="E93" s="17">
        <v>5.9</v>
      </c>
      <c r="F93" s="17">
        <v>9</v>
      </c>
    </row>
    <row r="94" spans="1:6" ht="15" customHeight="1" x14ac:dyDescent="0.25">
      <c r="A94" s="17" t="s">
        <v>50</v>
      </c>
      <c r="B94" s="17" t="s">
        <v>30</v>
      </c>
      <c r="C94" s="17">
        <v>2</v>
      </c>
      <c r="D94" s="17">
        <v>0.8</v>
      </c>
      <c r="E94" s="18">
        <v>2</v>
      </c>
      <c r="F94" s="17">
        <v>9</v>
      </c>
    </row>
    <row r="95" spans="1:6" ht="15" customHeight="1" x14ac:dyDescent="0.25">
      <c r="A95" s="17" t="s">
        <v>494</v>
      </c>
      <c r="B95" s="17" t="s">
        <v>485</v>
      </c>
      <c r="C95" s="17">
        <v>0</v>
      </c>
      <c r="D95" s="17">
        <v>0</v>
      </c>
      <c r="E95" s="17">
        <v>4.2</v>
      </c>
      <c r="F95" s="17">
        <v>9</v>
      </c>
    </row>
    <row r="96" spans="1:6" ht="15" customHeight="1" x14ac:dyDescent="0.25">
      <c r="A96" s="17" t="s">
        <v>495</v>
      </c>
      <c r="B96" s="17" t="s">
        <v>30</v>
      </c>
      <c r="C96" s="17">
        <v>6</v>
      </c>
      <c r="D96" s="17">
        <v>0.8</v>
      </c>
      <c r="E96" s="17">
        <v>0</v>
      </c>
      <c r="F96" s="17">
        <v>10</v>
      </c>
    </row>
    <row r="97" spans="1:6" ht="15" customHeight="1" x14ac:dyDescent="0.25">
      <c r="A97" s="17" t="s">
        <v>56</v>
      </c>
      <c r="B97" s="17" t="s">
        <v>30</v>
      </c>
      <c r="C97" s="17">
        <v>8</v>
      </c>
      <c r="D97" s="17">
        <v>0.8</v>
      </c>
      <c r="E97" s="17">
        <v>21.8</v>
      </c>
      <c r="F97" s="17">
        <v>10</v>
      </c>
    </row>
    <row r="98" spans="1:6" ht="15" customHeight="1" x14ac:dyDescent="0.25">
      <c r="A98" s="17" t="s">
        <v>179</v>
      </c>
      <c r="B98" s="17" t="s">
        <v>30</v>
      </c>
      <c r="C98" s="17">
        <v>4</v>
      </c>
      <c r="D98" s="17">
        <v>0.8</v>
      </c>
      <c r="E98" s="17">
        <v>21.8</v>
      </c>
      <c r="F98" s="17">
        <v>10</v>
      </c>
    </row>
    <row r="99" spans="1:6" ht="15" customHeight="1" x14ac:dyDescent="0.25">
      <c r="A99" s="17" t="s">
        <v>496</v>
      </c>
      <c r="B99" s="17" t="s">
        <v>30</v>
      </c>
      <c r="C99" s="17">
        <v>4</v>
      </c>
      <c r="D99" s="17">
        <v>0.8</v>
      </c>
      <c r="E99" s="17">
        <v>21.8</v>
      </c>
      <c r="F99" s="17">
        <v>10</v>
      </c>
    </row>
    <row r="100" spans="1:6" ht="15" customHeight="1" x14ac:dyDescent="0.25">
      <c r="A100" s="17" t="s">
        <v>59</v>
      </c>
      <c r="B100" s="17" t="s">
        <v>30</v>
      </c>
      <c r="C100" s="17">
        <v>2</v>
      </c>
      <c r="D100" s="17">
        <v>0.8</v>
      </c>
      <c r="E100" s="17">
        <v>21.8</v>
      </c>
      <c r="F100" s="17">
        <v>10</v>
      </c>
    </row>
    <row r="101" spans="1:6" ht="15" customHeight="1" x14ac:dyDescent="0.25">
      <c r="A101" s="17" t="s">
        <v>497</v>
      </c>
      <c r="B101" s="17" t="s">
        <v>30</v>
      </c>
      <c r="C101" s="17">
        <v>2</v>
      </c>
      <c r="D101" s="17">
        <v>0.8</v>
      </c>
      <c r="E101" s="17">
        <v>21.8</v>
      </c>
      <c r="F101" s="17">
        <v>10</v>
      </c>
    </row>
    <row r="102" spans="1:6" ht="15" customHeight="1" x14ac:dyDescent="0.25">
      <c r="A102" s="17" t="s">
        <v>186</v>
      </c>
      <c r="B102" s="17" t="s">
        <v>30</v>
      </c>
      <c r="C102" s="17">
        <v>2</v>
      </c>
      <c r="D102" s="17">
        <v>0.8</v>
      </c>
      <c r="E102" s="17">
        <v>21.8</v>
      </c>
      <c r="F102" s="17">
        <v>10</v>
      </c>
    </row>
    <row r="103" spans="1:6" ht="15" customHeight="1" x14ac:dyDescent="0.25">
      <c r="A103" s="17" t="s">
        <v>498</v>
      </c>
      <c r="B103" s="17" t="s">
        <v>30</v>
      </c>
      <c r="C103" s="17">
        <v>4</v>
      </c>
      <c r="D103" s="17">
        <v>0.8</v>
      </c>
      <c r="E103" s="17">
        <v>21.8</v>
      </c>
      <c r="F103" s="17">
        <v>10</v>
      </c>
    </row>
    <row r="104" spans="1:6" ht="15" customHeight="1" x14ac:dyDescent="0.25">
      <c r="A104" s="17" t="s">
        <v>499</v>
      </c>
      <c r="B104" s="17" t="s">
        <v>30</v>
      </c>
      <c r="C104" s="17">
        <v>3</v>
      </c>
      <c r="D104" s="17">
        <v>0.8</v>
      </c>
      <c r="E104" s="17">
        <v>21.8</v>
      </c>
      <c r="F104" s="17">
        <v>10</v>
      </c>
    </row>
    <row r="105" spans="1:6" ht="15" customHeight="1" x14ac:dyDescent="0.25">
      <c r="A105" s="17" t="s">
        <v>500</v>
      </c>
      <c r="B105" s="17" t="s">
        <v>30</v>
      </c>
      <c r="C105" s="17">
        <v>4</v>
      </c>
      <c r="D105" s="17">
        <v>0.8</v>
      </c>
      <c r="E105" s="17">
        <v>21.8</v>
      </c>
      <c r="F105" s="17">
        <v>10</v>
      </c>
    </row>
    <row r="106" spans="1:6" ht="15" customHeight="1" x14ac:dyDescent="0.25">
      <c r="A106" s="17" t="s">
        <v>53</v>
      </c>
      <c r="B106" s="17" t="s">
        <v>490</v>
      </c>
      <c r="C106" s="17">
        <v>0</v>
      </c>
      <c r="D106" s="17">
        <v>0</v>
      </c>
      <c r="E106" s="18"/>
      <c r="F106" s="17">
        <v>10</v>
      </c>
    </row>
    <row r="107" spans="1:6" ht="15" customHeight="1" x14ac:dyDescent="0.25">
      <c r="A107" s="17" t="s">
        <v>351</v>
      </c>
      <c r="B107" s="17" t="s">
        <v>69</v>
      </c>
      <c r="C107" s="17">
        <v>0</v>
      </c>
      <c r="D107" s="17">
        <v>0</v>
      </c>
      <c r="E107" s="17">
        <v>30</v>
      </c>
      <c r="F107" s="17">
        <v>11</v>
      </c>
    </row>
    <row r="108" spans="1:6" ht="15" customHeight="1" x14ac:dyDescent="0.25">
      <c r="A108" s="17" t="s">
        <v>338</v>
      </c>
      <c r="B108" s="17" t="s">
        <v>69</v>
      </c>
      <c r="C108" s="17">
        <v>0</v>
      </c>
      <c r="D108" s="17">
        <v>0</v>
      </c>
      <c r="E108" s="17">
        <v>1</v>
      </c>
      <c r="F108" s="17">
        <v>11</v>
      </c>
    </row>
    <row r="109" spans="1:6" ht="15" customHeight="1" x14ac:dyDescent="0.25">
      <c r="A109" s="17" t="s">
        <v>68</v>
      </c>
      <c r="B109" s="17" t="s">
        <v>69</v>
      </c>
      <c r="C109" s="17">
        <v>0</v>
      </c>
      <c r="D109" s="17">
        <v>0</v>
      </c>
      <c r="E109" s="17">
        <v>2</v>
      </c>
      <c r="F109" s="17">
        <v>11</v>
      </c>
    </row>
    <row r="110" spans="1:6" ht="15" customHeight="1" x14ac:dyDescent="0.25">
      <c r="A110" s="17" t="s">
        <v>72</v>
      </c>
      <c r="B110" s="17" t="s">
        <v>69</v>
      </c>
      <c r="C110" s="17">
        <v>0</v>
      </c>
      <c r="D110" s="17">
        <v>0</v>
      </c>
      <c r="E110" s="17">
        <v>5</v>
      </c>
      <c r="F110" s="17">
        <v>11</v>
      </c>
    </row>
    <row r="111" spans="1:6" ht="15" customHeight="1" x14ac:dyDescent="0.25">
      <c r="A111" s="17" t="s">
        <v>75</v>
      </c>
      <c r="B111" s="17" t="s">
        <v>69</v>
      </c>
      <c r="C111" s="17">
        <v>0</v>
      </c>
      <c r="D111" s="17">
        <v>0</v>
      </c>
      <c r="E111" s="17">
        <v>1</v>
      </c>
      <c r="F111" s="17">
        <v>11</v>
      </c>
    </row>
    <row r="112" spans="1:6" ht="15" customHeight="1" x14ac:dyDescent="0.25">
      <c r="A112" s="17" t="s">
        <v>289</v>
      </c>
      <c r="B112" s="17" t="s">
        <v>69</v>
      </c>
      <c r="C112" s="17">
        <v>0</v>
      </c>
      <c r="D112" s="17">
        <v>0</v>
      </c>
      <c r="E112" s="17">
        <v>2</v>
      </c>
      <c r="F112" s="17">
        <v>11</v>
      </c>
    </row>
    <row r="113" spans="1:6" ht="15" customHeight="1" x14ac:dyDescent="0.25">
      <c r="A113" s="17" t="s">
        <v>88</v>
      </c>
      <c r="B113" s="17" t="s">
        <v>69</v>
      </c>
      <c r="C113" s="17">
        <v>0</v>
      </c>
      <c r="D113" s="17">
        <v>0</v>
      </c>
      <c r="E113" s="17">
        <v>0.1</v>
      </c>
      <c r="F113" s="17">
        <v>11</v>
      </c>
    </row>
    <row r="114" spans="1:6" ht="15" customHeight="1" x14ac:dyDescent="0.25">
      <c r="A114" s="17" t="s">
        <v>93</v>
      </c>
      <c r="B114" s="17" t="s">
        <v>69</v>
      </c>
      <c r="C114" s="17">
        <v>0</v>
      </c>
      <c r="D114" s="17">
        <v>0</v>
      </c>
      <c r="E114" s="17">
        <v>2</v>
      </c>
      <c r="F114" s="17">
        <v>11</v>
      </c>
    </row>
    <row r="115" spans="1:6" ht="15" customHeight="1" x14ac:dyDescent="0.25">
      <c r="A115" s="17" t="s">
        <v>102</v>
      </c>
      <c r="B115" s="17" t="s">
        <v>69</v>
      </c>
      <c r="C115" s="17">
        <v>0</v>
      </c>
      <c r="D115" s="17">
        <v>0</v>
      </c>
      <c r="E115" s="17">
        <v>0</v>
      </c>
      <c r="F115" s="17">
        <v>11</v>
      </c>
    </row>
    <row r="116" spans="1:6" ht="15" customHeight="1" x14ac:dyDescent="0.25">
      <c r="A116" s="17" t="s">
        <v>111</v>
      </c>
      <c r="B116" s="17" t="s">
        <v>21</v>
      </c>
      <c r="C116" s="17">
        <v>0</v>
      </c>
      <c r="D116" s="17">
        <v>0</v>
      </c>
      <c r="E116" s="17">
        <v>21.3</v>
      </c>
      <c r="F116" s="17">
        <v>1</v>
      </c>
    </row>
    <row r="117" spans="1:6" ht="15" customHeight="1" x14ac:dyDescent="0.25">
      <c r="A117" s="17" t="s">
        <v>501</v>
      </c>
      <c r="B117" s="17" t="s">
        <v>21</v>
      </c>
      <c r="C117" s="17">
        <v>0</v>
      </c>
      <c r="D117" s="17">
        <v>0</v>
      </c>
      <c r="E117" s="17">
        <v>245.2</v>
      </c>
      <c r="F117" s="17">
        <v>1</v>
      </c>
    </row>
    <row r="118" spans="1:6" ht="15" customHeight="1" x14ac:dyDescent="0.25">
      <c r="A118" s="17" t="s">
        <v>22</v>
      </c>
      <c r="B118" s="17" t="s">
        <v>21</v>
      </c>
      <c r="C118" s="17">
        <v>0</v>
      </c>
      <c r="D118" s="17">
        <v>0</v>
      </c>
      <c r="E118" s="17">
        <v>244.7</v>
      </c>
      <c r="F118" s="17">
        <v>1</v>
      </c>
    </row>
    <row r="119" spans="1:6" ht="15" customHeight="1" x14ac:dyDescent="0.25">
      <c r="A119" s="18"/>
      <c r="B119" s="18"/>
      <c r="C119" s="18"/>
      <c r="D119" s="18"/>
      <c r="E119" s="18"/>
      <c r="F119" s="18"/>
    </row>
    <row r="120" spans="1:6" ht="15" customHeight="1" x14ac:dyDescent="0.25">
      <c r="A120" s="18"/>
      <c r="B120" s="18"/>
      <c r="C120" s="18"/>
      <c r="D120" s="18"/>
      <c r="E120" s="18"/>
      <c r="F120" s="18"/>
    </row>
    <row r="121" spans="1:6" ht="15" customHeight="1" x14ac:dyDescent="0.25">
      <c r="A121" s="18"/>
      <c r="B121" s="18"/>
      <c r="C121" s="18"/>
      <c r="D121" s="18"/>
      <c r="E121" s="18"/>
      <c r="F121" s="18"/>
    </row>
    <row r="122" spans="1:6" ht="15" customHeight="1" x14ac:dyDescent="0.25">
      <c r="A122" s="18"/>
      <c r="B122" s="18"/>
      <c r="C122" s="18"/>
      <c r="D122" s="18"/>
      <c r="E122" s="18"/>
      <c r="F122" s="18"/>
    </row>
    <row r="123" spans="1:6" ht="15" customHeight="1" x14ac:dyDescent="0.25">
      <c r="A123" s="18"/>
      <c r="B123" s="18"/>
      <c r="C123" s="18"/>
      <c r="D123" s="18"/>
      <c r="E123" s="18"/>
      <c r="F123" s="18"/>
    </row>
    <row r="125" spans="1:6" ht="15" customHeight="1" x14ac:dyDescent="0.25">
      <c r="A125" s="12" t="s">
        <v>502</v>
      </c>
    </row>
    <row r="126" spans="1:6" ht="15" customHeight="1" x14ac:dyDescent="0.25">
      <c r="A126" s="13" t="s">
        <v>503</v>
      </c>
      <c r="B126" s="13"/>
      <c r="C126" s="17">
        <v>1.1000000000000001</v>
      </c>
    </row>
    <row r="127" spans="1:6" ht="15" customHeight="1" x14ac:dyDescent="0.25">
      <c r="A127" s="13" t="s">
        <v>504</v>
      </c>
      <c r="B127" s="13"/>
      <c r="C127" s="17">
        <v>1.1000000000000001</v>
      </c>
    </row>
    <row r="128" spans="1:6" ht="15" customHeight="1" x14ac:dyDescent="0.25">
      <c r="A128" s="13" t="s">
        <v>505</v>
      </c>
      <c r="B128" s="13"/>
      <c r="C128" s="17">
        <v>1.1000000000000001</v>
      </c>
    </row>
    <row r="129" spans="1:3" ht="15" customHeight="1" x14ac:dyDescent="0.25">
      <c r="A129" s="13" t="s">
        <v>506</v>
      </c>
      <c r="B129" s="13"/>
      <c r="C129" s="17">
        <v>1</v>
      </c>
    </row>
    <row r="130" spans="1:3" ht="15" customHeight="1" x14ac:dyDescent="0.25">
      <c r="A130" s="13" t="s">
        <v>507</v>
      </c>
      <c r="B130" s="13" t="s">
        <v>508</v>
      </c>
      <c r="C130" s="17">
        <v>0.5</v>
      </c>
    </row>
    <row r="131" spans="1:3" ht="15" customHeight="1" x14ac:dyDescent="0.25">
      <c r="A131" s="13" t="s">
        <v>509</v>
      </c>
      <c r="B131" s="13" t="s">
        <v>510</v>
      </c>
      <c r="C131" s="17">
        <v>1.5</v>
      </c>
    </row>
    <row r="132" spans="1:3" ht="15" customHeight="1" x14ac:dyDescent="0.25">
      <c r="A132" s="13" t="s">
        <v>511</v>
      </c>
      <c r="B132" s="13" t="s">
        <v>510</v>
      </c>
      <c r="C132" s="17">
        <v>2.5</v>
      </c>
    </row>
    <row r="133" spans="1:3" ht="15" customHeight="1" x14ac:dyDescent="0.25">
      <c r="A133" s="13" t="s">
        <v>512</v>
      </c>
      <c r="B133" s="13" t="s">
        <v>513</v>
      </c>
      <c r="C133" s="17">
        <v>250</v>
      </c>
    </row>
    <row r="134" spans="1:3" ht="15" customHeight="1" x14ac:dyDescent="0.25">
      <c r="A134" s="13" t="s">
        <v>514</v>
      </c>
      <c r="B134" s="13" t="s">
        <v>510</v>
      </c>
      <c r="C134" s="17">
        <v>10</v>
      </c>
    </row>
    <row r="135" spans="1:3" ht="15" customHeight="1" x14ac:dyDescent="0.25">
      <c r="A135" s="13" t="s">
        <v>515</v>
      </c>
      <c r="B135" s="13" t="s">
        <v>510</v>
      </c>
      <c r="C135" s="17">
        <v>16</v>
      </c>
    </row>
    <row r="136" spans="1:3" ht="15" customHeight="1" x14ac:dyDescent="0.25">
      <c r="A136" s="13" t="s">
        <v>516</v>
      </c>
      <c r="B136" s="13" t="s">
        <v>517</v>
      </c>
      <c r="C136" s="17">
        <v>35</v>
      </c>
    </row>
    <row r="137" spans="1:3" ht="15" customHeight="1" x14ac:dyDescent="0.25">
      <c r="A137" s="13" t="s">
        <v>518</v>
      </c>
      <c r="B137" s="13" t="s">
        <v>519</v>
      </c>
      <c r="C137" s="17">
        <v>125</v>
      </c>
    </row>
    <row r="138" spans="1:3" ht="15" customHeight="1" x14ac:dyDescent="0.25">
      <c r="A138" s="13" t="s">
        <v>520</v>
      </c>
      <c r="B138" s="13" t="s">
        <v>521</v>
      </c>
      <c r="C138" s="17">
        <v>0.81599999999999995</v>
      </c>
    </row>
    <row r="139" spans="1:3" ht="15" customHeight="1" x14ac:dyDescent="0.25">
      <c r="A139" s="13" t="s">
        <v>522</v>
      </c>
      <c r="B139" s="13"/>
      <c r="C139" s="17">
        <v>1.1000000000000001</v>
      </c>
    </row>
    <row r="140" spans="1:3" ht="15" customHeight="1" x14ac:dyDescent="0.25">
      <c r="A140" s="13" t="s">
        <v>523</v>
      </c>
      <c r="B140" s="13" t="s">
        <v>524</v>
      </c>
      <c r="C140" s="17">
        <v>100</v>
      </c>
    </row>
    <row r="141" spans="1:3" ht="15" customHeight="1" x14ac:dyDescent="0.25">
      <c r="A141" s="13" t="s">
        <v>525</v>
      </c>
      <c r="B141" s="13"/>
      <c r="C141" s="17">
        <v>1.1000000000000001</v>
      </c>
    </row>
    <row r="142" spans="1:3" ht="15" customHeight="1" x14ac:dyDescent="0.25">
      <c r="A142" s="13" t="s">
        <v>526</v>
      </c>
      <c r="B142" s="13"/>
      <c r="C142" s="17">
        <v>0.5</v>
      </c>
    </row>
    <row r="143" spans="1:3" ht="15" customHeight="1" x14ac:dyDescent="0.25">
      <c r="A143" s="13" t="s">
        <v>527</v>
      </c>
      <c r="B143" s="13" t="s">
        <v>528</v>
      </c>
      <c r="C143" s="17">
        <v>0.5</v>
      </c>
    </row>
    <row r="144" spans="1:3" ht="15" customHeight="1" x14ac:dyDescent="0.25">
      <c r="A144" s="13" t="s">
        <v>529</v>
      </c>
      <c r="B144" s="13"/>
      <c r="C144" s="17">
        <v>17.5</v>
      </c>
    </row>
    <row r="145" spans="1:3" ht="15" customHeight="1" x14ac:dyDescent="0.25">
      <c r="A145" s="13" t="s">
        <v>530</v>
      </c>
      <c r="B145" s="13" t="s">
        <v>531</v>
      </c>
      <c r="C145" s="17">
        <v>0.2</v>
      </c>
    </row>
    <row r="147" spans="1:3" ht="15" customHeight="1" x14ac:dyDescent="0.25">
      <c r="A147" s="12" t="s">
        <v>532</v>
      </c>
    </row>
    <row r="148" spans="1:3" ht="15" customHeight="1" x14ac:dyDescent="0.25">
      <c r="A148" s="4" t="s">
        <v>533</v>
      </c>
      <c r="B148" s="4" t="s">
        <v>208</v>
      </c>
    </row>
    <row r="149" spans="1:3" ht="15" customHeight="1" x14ac:dyDescent="0.25">
      <c r="A149" s="13">
        <v>0</v>
      </c>
      <c r="B149" s="17">
        <v>1.5</v>
      </c>
    </row>
    <row r="150" spans="1:3" ht="15" customHeight="1" x14ac:dyDescent="0.25">
      <c r="A150" s="13">
        <v>10.01</v>
      </c>
      <c r="B150" s="17">
        <v>2.5</v>
      </c>
    </row>
    <row r="151" spans="1:3" ht="15" customHeight="1" x14ac:dyDescent="0.25">
      <c r="A151" s="13">
        <v>16.010000000000002</v>
      </c>
      <c r="B151" s="17">
        <v>4</v>
      </c>
    </row>
    <row r="152" spans="1:3" ht="15" customHeight="1" x14ac:dyDescent="0.25">
      <c r="A152" s="13">
        <v>25.01</v>
      </c>
      <c r="B152" s="17">
        <v>6</v>
      </c>
    </row>
    <row r="153" spans="1:3" ht="15" customHeight="1" x14ac:dyDescent="0.25">
      <c r="A153" s="13">
        <v>40.01</v>
      </c>
      <c r="B153" s="17">
        <v>10</v>
      </c>
    </row>
    <row r="154" spans="1:3" ht="15" customHeight="1" x14ac:dyDescent="0.25">
      <c r="A154" s="13">
        <v>50.01</v>
      </c>
      <c r="B154" s="17">
        <v>16</v>
      </c>
    </row>
    <row r="155" spans="1:3" ht="15" customHeight="1" x14ac:dyDescent="0.25">
      <c r="A155" s="13">
        <v>63.01</v>
      </c>
      <c r="B155" s="17">
        <v>25</v>
      </c>
    </row>
    <row r="156" spans="1:3" ht="15" customHeight="1" x14ac:dyDescent="0.25">
      <c r="A156" s="13">
        <v>100.01</v>
      </c>
      <c r="B156" s="17">
        <v>35</v>
      </c>
    </row>
    <row r="157" spans="1:3" ht="15" customHeight="1" x14ac:dyDescent="0.25">
      <c r="A157" s="13">
        <v>125.01</v>
      </c>
      <c r="B157" s="17">
        <v>50</v>
      </c>
    </row>
    <row r="158" spans="1:3" ht="15" customHeight="1" x14ac:dyDescent="0.25">
      <c r="A158" s="13">
        <v>160.01</v>
      </c>
      <c r="B158" s="17">
        <v>70</v>
      </c>
    </row>
    <row r="159" spans="1:3" ht="15" customHeight="1" x14ac:dyDescent="0.25">
      <c r="A159" s="13">
        <v>200.01</v>
      </c>
      <c r="B159" s="17">
        <v>95</v>
      </c>
    </row>
    <row r="161" spans="1:3" ht="15" customHeight="1" x14ac:dyDescent="0.25">
      <c r="A161" s="12" t="s">
        <v>534</v>
      </c>
    </row>
    <row r="162" spans="1:3" ht="15" customHeight="1" x14ac:dyDescent="0.25">
      <c r="A162" s="4" t="s">
        <v>535</v>
      </c>
      <c r="B162" s="4" t="s">
        <v>536</v>
      </c>
      <c r="C162" s="4" t="s">
        <v>537</v>
      </c>
    </row>
    <row r="163" spans="1:3" ht="15" customHeight="1" x14ac:dyDescent="0.25">
      <c r="A163" s="13">
        <v>0</v>
      </c>
      <c r="B163" s="17">
        <v>2.5</v>
      </c>
      <c r="C163" s="17">
        <v>5.2</v>
      </c>
    </row>
    <row r="164" spans="1:3" ht="15" customHeight="1" x14ac:dyDescent="0.25">
      <c r="A164" s="13">
        <v>2.5099999999999998</v>
      </c>
      <c r="B164" s="17">
        <v>4</v>
      </c>
      <c r="C164" s="17">
        <v>6.2</v>
      </c>
    </row>
    <row r="165" spans="1:3" ht="15" customHeight="1" x14ac:dyDescent="0.25">
      <c r="A165" s="13">
        <v>4.01</v>
      </c>
      <c r="B165" s="17">
        <v>6</v>
      </c>
      <c r="C165" s="17">
        <v>8.1999999999999993</v>
      </c>
    </row>
    <row r="166" spans="1:3" ht="15" customHeight="1" x14ac:dyDescent="0.25">
      <c r="A166" s="13">
        <v>6.01</v>
      </c>
      <c r="B166" s="17">
        <v>10</v>
      </c>
      <c r="C166" s="17">
        <v>10.199999999999999</v>
      </c>
    </row>
    <row r="167" spans="1:3" ht="15" customHeight="1" x14ac:dyDescent="0.25">
      <c r="A167" s="13">
        <v>10.01</v>
      </c>
      <c r="B167" s="17">
        <v>16</v>
      </c>
      <c r="C167" s="17">
        <v>12.2</v>
      </c>
    </row>
    <row r="168" spans="1:3" ht="15" customHeight="1" x14ac:dyDescent="0.25">
      <c r="A168" s="13">
        <v>16.010000000000002</v>
      </c>
      <c r="B168" s="17">
        <v>35</v>
      </c>
      <c r="C168" s="17">
        <v>16</v>
      </c>
    </row>
    <row r="170" spans="1:3" ht="15" customHeight="1" x14ac:dyDescent="0.25">
      <c r="A170" s="12" t="s">
        <v>538</v>
      </c>
    </row>
    <row r="171" spans="1:3" ht="15" customHeight="1" x14ac:dyDescent="0.25">
      <c r="A171" s="4" t="s">
        <v>539</v>
      </c>
      <c r="B171" s="4" t="s">
        <v>540</v>
      </c>
    </row>
    <row r="172" spans="1:3" ht="15" customHeight="1" x14ac:dyDescent="0.25">
      <c r="A172" s="17" t="s">
        <v>339</v>
      </c>
      <c r="B172" s="17">
        <v>6</v>
      </c>
    </row>
    <row r="173" spans="1:3" ht="15" customHeight="1" x14ac:dyDescent="0.25">
      <c r="A173" s="17" t="s">
        <v>341</v>
      </c>
      <c r="B173" s="17">
        <v>8</v>
      </c>
    </row>
    <row r="174" spans="1:3" ht="15" customHeight="1" x14ac:dyDescent="0.25">
      <c r="A174" s="17" t="s">
        <v>343</v>
      </c>
      <c r="B174" s="17">
        <v>10</v>
      </c>
    </row>
    <row r="175" spans="1:3" ht="15" customHeight="1" x14ac:dyDescent="0.25">
      <c r="A175" s="17" t="s">
        <v>345</v>
      </c>
      <c r="B175" s="17">
        <v>12</v>
      </c>
    </row>
    <row r="176" spans="1:3" ht="15" customHeight="1" x14ac:dyDescent="0.25">
      <c r="A176" s="17" t="s">
        <v>347</v>
      </c>
      <c r="B176" s="17">
        <v>14</v>
      </c>
    </row>
    <row r="178" spans="1:3" ht="15" customHeight="1" x14ac:dyDescent="0.25">
      <c r="A178" s="12" t="s">
        <v>541</v>
      </c>
    </row>
    <row r="179" spans="1:3" ht="15" customHeight="1" x14ac:dyDescent="0.25">
      <c r="A179" s="4" t="s">
        <v>539</v>
      </c>
      <c r="B179" s="4" t="s">
        <v>510</v>
      </c>
      <c r="C179" s="4" t="s">
        <v>542</v>
      </c>
    </row>
    <row r="180" spans="1:3" ht="15" customHeight="1" x14ac:dyDescent="0.25">
      <c r="A180" s="17" t="s">
        <v>349</v>
      </c>
      <c r="B180" s="17">
        <v>60</v>
      </c>
      <c r="C180" s="17">
        <v>275</v>
      </c>
    </row>
    <row r="181" spans="1:3" ht="15" customHeight="1" x14ac:dyDescent="0.25">
      <c r="A181" s="17" t="s">
        <v>352</v>
      </c>
      <c r="B181" s="17">
        <v>75</v>
      </c>
      <c r="C181" s="17">
        <v>340</v>
      </c>
    </row>
    <row r="182" spans="1:3" ht="15" customHeight="1" x14ac:dyDescent="0.25">
      <c r="A182" s="17" t="s">
        <v>354</v>
      </c>
      <c r="B182" s="17">
        <v>120</v>
      </c>
      <c r="C182" s="17">
        <v>475</v>
      </c>
    </row>
    <row r="183" spans="1:3" ht="15" customHeight="1" x14ac:dyDescent="0.25">
      <c r="A183" s="17" t="s">
        <v>356</v>
      </c>
      <c r="B183" s="17">
        <v>160</v>
      </c>
      <c r="C183" s="17">
        <v>625</v>
      </c>
    </row>
    <row r="184" spans="1:3" ht="15" customHeight="1" x14ac:dyDescent="0.25">
      <c r="A184" s="17" t="s">
        <v>358</v>
      </c>
      <c r="B184" s="17">
        <v>200</v>
      </c>
      <c r="C184" s="17">
        <v>700</v>
      </c>
    </row>
    <row r="185" spans="1:3" ht="15" customHeight="1" x14ac:dyDescent="0.25">
      <c r="A185" s="17" t="s">
        <v>360</v>
      </c>
      <c r="B185" s="17">
        <v>250</v>
      </c>
      <c r="C185" s="17">
        <v>860</v>
      </c>
    </row>
    <row r="186" spans="1:3" ht="15" customHeight="1" x14ac:dyDescent="0.25">
      <c r="A186" s="17" t="s">
        <v>362</v>
      </c>
      <c r="B186" s="17">
        <v>360</v>
      </c>
      <c r="C186" s="17">
        <v>1125</v>
      </c>
    </row>
    <row r="187" spans="1:3" ht="15" customHeight="1" x14ac:dyDescent="0.25">
      <c r="A187" s="17" t="s">
        <v>364</v>
      </c>
      <c r="B187" s="17">
        <v>480</v>
      </c>
      <c r="C187" s="17">
        <v>1480</v>
      </c>
    </row>
    <row r="189" spans="1:3" ht="15" customHeight="1" x14ac:dyDescent="0.25">
      <c r="A189" s="12" t="s">
        <v>543</v>
      </c>
    </row>
    <row r="190" spans="1:3" ht="15" customHeight="1" x14ac:dyDescent="0.25">
      <c r="A190" s="4" t="s">
        <v>539</v>
      </c>
      <c r="B190" s="4" t="s">
        <v>510</v>
      </c>
      <c r="C190" s="4" t="s">
        <v>542</v>
      </c>
    </row>
    <row r="191" spans="1:3" ht="15" customHeight="1" x14ac:dyDescent="0.25">
      <c r="A191" s="17" t="s">
        <v>366</v>
      </c>
      <c r="B191" s="17">
        <v>60</v>
      </c>
      <c r="C191" s="17">
        <v>215</v>
      </c>
    </row>
    <row r="192" spans="1:3" ht="15" customHeight="1" x14ac:dyDescent="0.25">
      <c r="A192" s="17" t="s">
        <v>368</v>
      </c>
      <c r="B192" s="17">
        <v>120</v>
      </c>
      <c r="C192" s="17">
        <v>365</v>
      </c>
    </row>
    <row r="193" spans="1:17" ht="15" customHeight="1" x14ac:dyDescent="0.25">
      <c r="A193" s="17" t="s">
        <v>370</v>
      </c>
      <c r="B193" s="17">
        <v>160</v>
      </c>
      <c r="C193" s="17">
        <v>480</v>
      </c>
    </row>
    <row r="194" spans="1:17" ht="15" customHeight="1" x14ac:dyDescent="0.25">
      <c r="A194" s="17" t="s">
        <v>372</v>
      </c>
      <c r="B194" s="17">
        <v>200</v>
      </c>
      <c r="C194" s="17">
        <v>540</v>
      </c>
    </row>
    <row r="195" spans="1:17" ht="15" customHeight="1" x14ac:dyDescent="0.25">
      <c r="A195" s="17" t="s">
        <v>374</v>
      </c>
      <c r="B195" s="17">
        <v>250</v>
      </c>
      <c r="C195" s="17">
        <v>665</v>
      </c>
    </row>
    <row r="196" spans="1:17" ht="15" customHeight="1" x14ac:dyDescent="0.25">
      <c r="A196" s="17" t="s">
        <v>376</v>
      </c>
      <c r="B196" s="17">
        <v>360</v>
      </c>
      <c r="C196" s="17">
        <v>870</v>
      </c>
    </row>
    <row r="197" spans="1:17" ht="15" customHeight="1" x14ac:dyDescent="0.25">
      <c r="A197" s="17" t="s">
        <v>378</v>
      </c>
      <c r="B197" s="17">
        <v>480</v>
      </c>
      <c r="C197" s="17">
        <v>1150</v>
      </c>
    </row>
    <row r="198" spans="1:17" ht="15" customHeight="1" x14ac:dyDescent="0.25">
      <c r="A198" s="17" t="s">
        <v>380</v>
      </c>
      <c r="B198" s="17">
        <v>640</v>
      </c>
      <c r="C198" s="17">
        <v>1320</v>
      </c>
    </row>
    <row r="199" spans="1:17" ht="15" customHeight="1" x14ac:dyDescent="0.25">
      <c r="A199" s="17" t="s">
        <v>382</v>
      </c>
      <c r="B199" s="17">
        <v>1000</v>
      </c>
      <c r="C199" s="17">
        <v>1820</v>
      </c>
    </row>
    <row r="201" spans="1:17" ht="15" customHeight="1" x14ac:dyDescent="0.25">
      <c r="A201" s="12" t="s">
        <v>544</v>
      </c>
    </row>
    <row r="202" spans="1:17" ht="15" customHeight="1" x14ac:dyDescent="0.25">
      <c r="A202" s="4" t="s">
        <v>545</v>
      </c>
      <c r="B202" s="4" t="s">
        <v>546</v>
      </c>
      <c r="C202" s="4" t="s">
        <v>547</v>
      </c>
      <c r="D202" s="4" t="s">
        <v>548</v>
      </c>
      <c r="E202" s="4" t="s">
        <v>549</v>
      </c>
      <c r="F202" s="4" t="s">
        <v>550</v>
      </c>
      <c r="G202" s="4" t="s">
        <v>551</v>
      </c>
      <c r="H202" s="4" t="s">
        <v>552</v>
      </c>
      <c r="I202" s="4" t="s">
        <v>553</v>
      </c>
      <c r="J202" s="4" t="s">
        <v>554</v>
      </c>
      <c r="K202" s="4" t="s">
        <v>555</v>
      </c>
      <c r="L202" s="4" t="s">
        <v>556</v>
      </c>
      <c r="M202" s="4" t="s">
        <v>557</v>
      </c>
      <c r="N202" s="4" t="s">
        <v>558</v>
      </c>
      <c r="O202" s="4" t="s">
        <v>559</v>
      </c>
      <c r="P202" s="4" t="s">
        <v>560</v>
      </c>
      <c r="Q202" s="4" t="s">
        <v>561</v>
      </c>
    </row>
    <row r="203" spans="1:17" ht="15" customHeight="1" x14ac:dyDescent="0.25">
      <c r="A203" s="13" t="str">
        <f>BOM!$D$2</f>
        <v>ВРУ-1 (260917 fok atr)</v>
      </c>
      <c r="B203" s="17" t="s">
        <v>562</v>
      </c>
      <c r="C203" s="17" t="s">
        <v>563</v>
      </c>
      <c r="D203" s="17" t="s">
        <v>394</v>
      </c>
      <c r="E203" s="17">
        <v>5</v>
      </c>
      <c r="F203" s="17">
        <v>1</v>
      </c>
      <c r="G203" s="17" t="s">
        <v>564</v>
      </c>
      <c r="H203" s="17">
        <v>1150</v>
      </c>
      <c r="I203" s="17" t="s">
        <v>565</v>
      </c>
      <c r="J203" s="17">
        <v>2</v>
      </c>
      <c r="K203" s="17" t="s">
        <v>443</v>
      </c>
      <c r="L203" s="13">
        <f>SUMPRODUCT(MAX((COUNTIFS(BOM!$C$3:$C$18,FA,BOM!$N$3:$N$18,"GIRIS")&gt;0)*F_INKOR))</f>
        <v>0</v>
      </c>
      <c r="M203" s="13">
        <f>MAX(0,IF(ISNA(MATCH(BOM!$C$3,FA,0)),0,N(INDEX(F_G,MATCH(BOM!$C$3,FA,0))))-KORPUS_IC_PAY_MM)</f>
        <v>700</v>
      </c>
      <c r="N203" s="13">
        <f>MAX(0,IF(ISNA(MATCH(BOM!$C$3,FA,0)),0,N(INDEX(F_Y,MATCH(BOM!$C$3,FA,0))))-KORPUS_IC_PAY_MM)</f>
        <v>1900</v>
      </c>
      <c r="O203" s="13">
        <f>ROUND(SUMPRODUCT(SUMIFS(BOM!$H$3:$H$36,BOM!$C$3:$C$36,FA)*F_MODUL),1)</f>
        <v>12.5</v>
      </c>
      <c r="P203" s="13">
        <f>IF(IF(ISNA(MATCH(BOM!$C$3,FA,0)),0,N(INDEX(F_KAP,MATCH(BOM!$C$3,FA,0))))&gt;0,IF(ISNA(MATCH(BOM!$C$3,FA,0)),0,N(INDEX(F_KAP,MATCH(BOM!$C$3,FA,0)))),N(F203)*INT(M203/MODUL_MM))</f>
        <v>40</v>
      </c>
      <c r="Q203" s="13" t="str">
        <f t="shared" ref="Q203:Q210" si="0">IF(M203=0,"KORPUS ÖLÇÜSÜ YOK",IF(O203&gt;P203*(1-KORPUS_YEDEK),"MODÜL YETERSİZ",IF(N(H203)&gt;N203,"SIRA YÜKSEKLİĞİ AŞIYOR",IF((L203&gt;BARA_ESIK_A)&lt;&gt;FALSE(),"SARF SATIRLARI GÜNCEL DEĞİL",IF(AND(I203&lt;&gt;"CU",I203&lt;&gt;"AL"),"BARA CU/AL OLMALI","OK")))))</f>
        <v>OK</v>
      </c>
    </row>
    <row r="204" spans="1:17" ht="15" customHeight="1" x14ac:dyDescent="0.25">
      <c r="A204" s="13" t="str">
        <f>BOM!$D$38</f>
        <v>ЩР-1 (260917 fok atr)</v>
      </c>
      <c r="B204" s="17" t="s">
        <v>566</v>
      </c>
      <c r="C204" s="17" t="s">
        <v>563</v>
      </c>
      <c r="D204" s="17" t="s">
        <v>567</v>
      </c>
      <c r="E204" s="17">
        <v>3</v>
      </c>
      <c r="F204" s="17">
        <v>3</v>
      </c>
      <c r="G204" s="17" t="s">
        <v>568</v>
      </c>
      <c r="H204" s="17">
        <v>450</v>
      </c>
      <c r="I204" s="17" t="s">
        <v>565</v>
      </c>
      <c r="J204" s="17">
        <v>1</v>
      </c>
      <c r="K204" s="17" t="s">
        <v>443</v>
      </c>
      <c r="L204" s="13">
        <f>SUMPRODUCT(MAX((COUNTIFS(BOM!$C$39:$C$44,FA,BOM!$N$39:$N$44,"GIRIS")&gt;0)*F_INKOR))</f>
        <v>0</v>
      </c>
      <c r="M204" s="13">
        <f>MAX(0,IF(ISNA(MATCH(BOM!$C$39,FA,0)),0,N(INDEX(F_G,MATCH(BOM!$C$39,FA,0))))-KORPUS_IC_PAY_MM)</f>
        <v>210</v>
      </c>
      <c r="N204" s="13">
        <f>MAX(0,IF(ISNA(MATCH(BOM!$C$39,FA,0)),0,N(INDEX(F_Y,MATCH(BOM!$C$39,FA,0))))-KORPUS_IC_PAY_MM)</f>
        <v>560</v>
      </c>
      <c r="O204" s="13">
        <f>ROUND(SUMPRODUCT(SUMIFS(BOM!$H$39:$H$59,BOM!$C$39:$C$59,FA)*F_MODUL),1)</f>
        <v>21</v>
      </c>
      <c r="P204" s="13">
        <f>IF(IF(ISNA(MATCH(BOM!$C$39,FA,0)),0,N(INDEX(F_KAP,MATCH(BOM!$C$39,FA,0))))&gt;0,IF(ISNA(MATCH(BOM!$C$39,FA,0)),0,N(INDEX(F_KAP,MATCH(BOM!$C$39,FA,0)))),N(F204)*INT(M204/MODUL_MM))</f>
        <v>48</v>
      </c>
      <c r="Q204" s="13" t="str">
        <f t="shared" si="0"/>
        <v>OK</v>
      </c>
    </row>
    <row r="205" spans="1:17" ht="15" customHeight="1" x14ac:dyDescent="0.25">
      <c r="A205" s="13" t="str">
        <f>BOM!$D$61</f>
        <v>ЩС-1 (260917 fok atr)</v>
      </c>
      <c r="B205" s="17" t="s">
        <v>569</v>
      </c>
      <c r="C205" s="17" t="s">
        <v>563</v>
      </c>
      <c r="D205" s="17" t="s">
        <v>567</v>
      </c>
      <c r="E205" s="17">
        <v>3</v>
      </c>
      <c r="F205" s="17">
        <v>3</v>
      </c>
      <c r="G205" s="17" t="s">
        <v>568</v>
      </c>
      <c r="H205" s="17">
        <v>450</v>
      </c>
      <c r="I205" s="17" t="s">
        <v>565</v>
      </c>
      <c r="J205" s="17">
        <v>1</v>
      </c>
      <c r="K205" s="17" t="s">
        <v>443</v>
      </c>
      <c r="L205" s="13">
        <f>SUMPRODUCT(MAX((COUNTIFS(BOM!$C$62:$C$64,FA,BOM!$N$62:$N$64,"GIRIS")&gt;0)*F_INKOR))</f>
        <v>0</v>
      </c>
      <c r="M205" s="13">
        <f>MAX(0,IF(ISNA(MATCH(BOM!$C$62,FA,0)),0,N(INDEX(F_G,MATCH(BOM!$C$62,FA,0))))-KORPUS_IC_PAY_MM)</f>
        <v>350</v>
      </c>
      <c r="N205" s="13">
        <f>MAX(0,IF(ISNA(MATCH(BOM!$C$62,FA,0)),0,N(INDEX(F_Y,MATCH(BOM!$C$62,FA,0))))-KORPUS_IC_PAY_MM)</f>
        <v>570</v>
      </c>
      <c r="O205" s="13">
        <f>ROUND(SUMPRODUCT(SUMIFS(BOM!$H$62:$H$75,BOM!$C$62:$C$75,FA)*F_MODUL),1)</f>
        <v>29</v>
      </c>
      <c r="P205" s="13">
        <f>IF(IF(ISNA(MATCH(BOM!$C$62,FA,0)),0,N(INDEX(F_KAP,MATCH(BOM!$C$62,FA,0))))&gt;0,IF(ISNA(MATCH(BOM!$C$62,FA,0)),0,N(INDEX(F_KAP,MATCH(BOM!$C$62,FA,0)))),N(F205)*INT(M205/MODUL_MM))</f>
        <v>72</v>
      </c>
      <c r="Q205" s="13" t="str">
        <f t="shared" si="0"/>
        <v>OK</v>
      </c>
    </row>
    <row r="206" spans="1:17" ht="15" customHeight="1" x14ac:dyDescent="0.25">
      <c r="A206" s="13" t="str">
        <f>BOM!$D$77</f>
        <v>ЩС-2 (260917 fok atr)</v>
      </c>
      <c r="B206" s="17" t="s">
        <v>569</v>
      </c>
      <c r="C206" s="17" t="s">
        <v>563</v>
      </c>
      <c r="D206" s="17" t="s">
        <v>567</v>
      </c>
      <c r="E206" s="17">
        <v>3</v>
      </c>
      <c r="F206" s="17">
        <v>3</v>
      </c>
      <c r="G206" s="17" t="s">
        <v>568</v>
      </c>
      <c r="H206" s="17">
        <v>450</v>
      </c>
      <c r="I206" s="17" t="s">
        <v>565</v>
      </c>
      <c r="J206" s="17">
        <v>1</v>
      </c>
      <c r="K206" s="17" t="s">
        <v>443</v>
      </c>
      <c r="L206" s="13">
        <f>SUMPRODUCT(MAX((COUNTIFS(BOM!$C$78:$C$81,FA,BOM!$N$78:$N$81,"GIRIS")&gt;0)*F_INKOR))</f>
        <v>0</v>
      </c>
      <c r="M206" s="13">
        <f>MAX(0,IF(ISNA(MATCH(BOM!$C$78,FA,0)),0,N(INDEX(F_G,MATCH(BOM!$C$78,FA,0))))-KORPUS_IC_PAY_MM)</f>
        <v>350</v>
      </c>
      <c r="N206" s="13">
        <f>MAX(0,IF(ISNA(MATCH(BOM!$C$78,FA,0)),0,N(INDEX(F_Y,MATCH(BOM!$C$78,FA,0))))-KORPUS_IC_PAY_MM)</f>
        <v>570</v>
      </c>
      <c r="O206" s="13">
        <f>ROUND(SUMPRODUCT(SUMIFS(BOM!$H$78:$H$94,BOM!$C$78:$C$94,FA)*F_MODUL),1)</f>
        <v>42</v>
      </c>
      <c r="P206" s="13">
        <f>IF(IF(ISNA(MATCH(BOM!$C$78,FA,0)),0,N(INDEX(F_KAP,MATCH(BOM!$C$78,FA,0))))&gt;0,IF(ISNA(MATCH(BOM!$C$78,FA,0)),0,N(INDEX(F_KAP,MATCH(BOM!$C$78,FA,0)))),N(F206)*INT(M206/MODUL_MM))</f>
        <v>72</v>
      </c>
      <c r="Q206" s="13" t="str">
        <f t="shared" si="0"/>
        <v>OK</v>
      </c>
    </row>
    <row r="207" spans="1:17" ht="15" customHeight="1" x14ac:dyDescent="0.25">
      <c r="A207" s="13" t="str">
        <f>BOM!$D$96</f>
        <v>ЩВ-1 (260917 fok atr)</v>
      </c>
      <c r="B207" s="17" t="s">
        <v>569</v>
      </c>
      <c r="C207" s="17" t="s">
        <v>563</v>
      </c>
      <c r="D207" s="17" t="s">
        <v>567</v>
      </c>
      <c r="E207" s="17">
        <v>2</v>
      </c>
      <c r="F207" s="17">
        <v>2</v>
      </c>
      <c r="G207" s="17" t="s">
        <v>570</v>
      </c>
      <c r="H207" s="17">
        <v>300</v>
      </c>
      <c r="I207" s="17" t="s">
        <v>565</v>
      </c>
      <c r="J207" s="17">
        <v>1</v>
      </c>
      <c r="K207" s="17" t="s">
        <v>443</v>
      </c>
      <c r="L207" s="13">
        <f>SUMPRODUCT(MAX((COUNTIFS(BOM!$C$97:$C$101,FA,BOM!$N$97:$N$101,"GIRIS")&gt;0)*F_INKOR))</f>
        <v>0</v>
      </c>
      <c r="M207" s="13">
        <f>MAX(0,IF(ISNA(MATCH(BOM!$C$97,FA,0)),0,N(INDEX(F_G,MATCH(BOM!$C$97,FA,0))))-KORPUS_IC_PAY_MM)</f>
        <v>210</v>
      </c>
      <c r="N207" s="13">
        <f>MAX(0,IF(ISNA(MATCH(BOM!$C$97,FA,0)),0,N(INDEX(F_Y,MATCH(BOM!$C$97,FA,0))))-KORPUS_IC_PAY_MM)</f>
        <v>295</v>
      </c>
      <c r="O207" s="13">
        <f>ROUND(SUMPRODUCT(SUMIFS(BOM!$H$97:$H$116,BOM!$C$97:$C$116,FA)*F_MODUL),1)</f>
        <v>16</v>
      </c>
      <c r="P207" s="13">
        <f>IF(IF(ISNA(MATCH(BOM!$C$97,FA,0)),0,N(INDEX(F_KAP,MATCH(BOM!$C$97,FA,0))))&gt;0,IF(ISNA(MATCH(BOM!$C$97,FA,0)),0,N(INDEX(F_KAP,MATCH(BOM!$C$97,FA,0)))),N(F207)*INT(M207/MODUL_MM))</f>
        <v>24</v>
      </c>
      <c r="Q207" s="13" t="str">
        <f t="shared" si="0"/>
        <v>SIRA YÜKSEKLİĞİ AŞIYOR</v>
      </c>
    </row>
    <row r="208" spans="1:17" ht="15" customHeight="1" x14ac:dyDescent="0.25">
      <c r="A208" s="13" t="str">
        <f>BOM!$D$118</f>
        <v>ЩО-1 (260917 fok atr)</v>
      </c>
      <c r="B208" s="17" t="s">
        <v>569</v>
      </c>
      <c r="C208" s="17" t="s">
        <v>563</v>
      </c>
      <c r="D208" s="17" t="s">
        <v>394</v>
      </c>
      <c r="E208" s="17">
        <v>3</v>
      </c>
      <c r="F208" s="17">
        <v>3</v>
      </c>
      <c r="G208" s="17" t="s">
        <v>568</v>
      </c>
      <c r="H208" s="17">
        <v>450</v>
      </c>
      <c r="I208" s="17" t="s">
        <v>565</v>
      </c>
      <c r="J208" s="17">
        <v>1</v>
      </c>
      <c r="K208" s="17" t="s">
        <v>443</v>
      </c>
      <c r="L208" s="13">
        <f>SUMPRODUCT(MAX((COUNTIFS(BOM!$C$119:$C$123,FA,BOM!$N$119:$N$123,"GIRIS")&gt;0)*F_INKOR))</f>
        <v>0</v>
      </c>
      <c r="M208" s="13">
        <f>MAX(0,IF(ISNA(MATCH(BOM!$C$119,FA,0)),0,N(INDEX(F_G,MATCH(BOM!$C$119,FA,0))))-KORPUS_IC_PAY_MM)</f>
        <v>220</v>
      </c>
      <c r="N208" s="13">
        <f>MAX(0,IF(ISNA(MATCH(BOM!$C$119,FA,0)),0,N(INDEX(F_Y,MATCH(BOM!$C$119,FA,0))))-KORPUS_IC_PAY_MM)</f>
        <v>450</v>
      </c>
      <c r="O208" s="13">
        <f>ROUND(SUMPRODUCT(SUMIFS(BOM!$H$119:$H$134,BOM!$C$119:$C$134,FA)*F_MODUL),1)</f>
        <v>25</v>
      </c>
      <c r="P208" s="13">
        <f>IF(IF(ISNA(MATCH(BOM!$C$119,FA,0)),0,N(INDEX(F_KAP,MATCH(BOM!$C$119,FA,0))))&gt;0,IF(ISNA(MATCH(BOM!$C$119,FA,0)),0,N(INDEX(F_KAP,MATCH(BOM!$C$119,FA,0)))),N(F208)*INT(M208/MODUL_MM))</f>
        <v>36</v>
      </c>
      <c r="Q208" s="13" t="str">
        <f t="shared" si="0"/>
        <v>OK</v>
      </c>
    </row>
    <row r="209" spans="1:17" ht="15" customHeight="1" x14ac:dyDescent="0.25">
      <c r="A209" s="13" t="str">
        <f>BOM!$D$136</f>
        <v>ЩАО-1 (260917 fok atr)</v>
      </c>
      <c r="B209" s="17" t="s">
        <v>569</v>
      </c>
      <c r="C209" s="17" t="s">
        <v>563</v>
      </c>
      <c r="D209" s="17" t="s">
        <v>567</v>
      </c>
      <c r="E209" s="17">
        <v>1</v>
      </c>
      <c r="F209" s="17">
        <v>1</v>
      </c>
      <c r="G209" s="17" t="s">
        <v>571</v>
      </c>
      <c r="H209" s="17">
        <v>150</v>
      </c>
      <c r="I209" s="17" t="s">
        <v>565</v>
      </c>
      <c r="J209" s="17">
        <v>1</v>
      </c>
      <c r="K209" s="17" t="s">
        <v>443</v>
      </c>
      <c r="L209" s="13">
        <f>SUMPRODUCT(MAX((COUNTIFS(BOM!$C$137:$C$140,FA,BOM!$N$137:$N$140,"GIRIS")&gt;0)*F_INKOR))</f>
        <v>0</v>
      </c>
      <c r="M209" s="13">
        <f>MAX(0,IF(ISNA(MATCH(BOM!$C$137,FA,0)),0,N(INDEX(F_G,MATCH(BOM!$C$137,FA,0))))-KORPUS_IC_PAY_MM)</f>
        <v>350</v>
      </c>
      <c r="N209" s="13">
        <f>MAX(0,IF(ISNA(MATCH(BOM!$C$137,FA,0)),0,N(INDEX(F_Y,MATCH(BOM!$C$137,FA,0))))-KORPUS_IC_PAY_MM)</f>
        <v>175</v>
      </c>
      <c r="O209" s="13">
        <f>ROUND(SUMPRODUCT(SUMIFS(BOM!$H$137:$H$151,BOM!$C$137:$C$151,FA)*F_MODUL),1)</f>
        <v>8</v>
      </c>
      <c r="P209" s="13">
        <f>IF(IF(ISNA(MATCH(BOM!$C$137,FA,0)),0,N(INDEX(F_KAP,MATCH(BOM!$C$137,FA,0))))&gt;0,IF(ISNA(MATCH(BOM!$C$137,FA,0)),0,N(INDEX(F_KAP,MATCH(BOM!$C$137,FA,0)))),N(F209)*INT(M209/MODUL_MM))</f>
        <v>18</v>
      </c>
      <c r="Q209" s="13" t="str">
        <f t="shared" si="0"/>
        <v>OK</v>
      </c>
    </row>
    <row r="210" spans="1:17" ht="15" customHeight="1" x14ac:dyDescent="0.25">
      <c r="A210" s="13" t="str">
        <f>BOM!$D$153</f>
        <v>КТ-КМИ-22510 (отключение вентиляции ЩВ-1) (260917 fok atr)</v>
      </c>
      <c r="B210" s="17" t="s">
        <v>566</v>
      </c>
      <c r="C210" s="17" t="s">
        <v>572</v>
      </c>
      <c r="D210" s="17" t="s">
        <v>573</v>
      </c>
      <c r="E210" s="17">
        <v>1</v>
      </c>
      <c r="F210" s="17">
        <v>1</v>
      </c>
      <c r="G210" s="17" t="s">
        <v>574</v>
      </c>
      <c r="H210" s="17">
        <v>200</v>
      </c>
      <c r="I210" s="17" t="s">
        <v>565</v>
      </c>
      <c r="J210" s="17">
        <v>1</v>
      </c>
      <c r="K210" s="17" t="s">
        <v>443</v>
      </c>
      <c r="L210" s="13">
        <f>SUMPRODUCT(MAX((COUNTIFS(BOM!$C$154:$C$162,FA,BOM!$N$154:$N$162,"GIRIS")&gt;0)*F_INKOR))</f>
        <v>0</v>
      </c>
      <c r="M210" s="13">
        <f>MAX(0,IF(ISNA(MATCH(BOM!$C$154,FA,0)),0,N(INDEX(F_G,MATCH(BOM!$C$154,FA,0))))-KORPUS_IC_PAY_MM)</f>
        <v>210</v>
      </c>
      <c r="N210" s="13">
        <f>MAX(0,IF(ISNA(MATCH(BOM!$C$154,FA,0)),0,N(INDEX(F_Y,MATCH(BOM!$C$154,FA,0))))-KORPUS_IC_PAY_MM)</f>
        <v>295</v>
      </c>
      <c r="O210" s="13">
        <f>ROUND(SUMPRODUCT(SUMIFS(BOM!$H$154:$H$173,BOM!$C$154:$C$173,FA)*F_MODUL),1)</f>
        <v>3</v>
      </c>
      <c r="P210" s="13">
        <f>IF(IF(ISNA(MATCH(BOM!$C$154,FA,0)),0,N(INDEX(F_KAP,MATCH(BOM!$C$154,FA,0))))&gt;0,IF(ISNA(MATCH(BOM!$C$154,FA,0)),0,N(INDEX(F_KAP,MATCH(BOM!$C$154,FA,0)))),N(F210)*INT(M210/MODUL_MM))</f>
        <v>24</v>
      </c>
      <c r="Q210" s="13" t="str">
        <f t="shared" si="0"/>
        <v>OK</v>
      </c>
    </row>
    <row r="212" spans="1:17" ht="15" customHeight="1" x14ac:dyDescent="0.25">
      <c r="A212" s="12" t="s">
        <v>575</v>
      </c>
    </row>
    <row r="213" spans="1:17" ht="15" customHeight="1" x14ac:dyDescent="0.25">
      <c r="A213" s="13" t="s">
        <v>576</v>
      </c>
      <c r="C213" s="13">
        <f>COUNTIF(FIYAT!$Q:$Q,"MARKA YOK")</f>
        <v>0</v>
      </c>
    </row>
    <row r="214" spans="1:17" ht="15" customHeight="1" x14ac:dyDescent="0.25">
      <c r="A214" s="13" t="s">
        <v>577</v>
      </c>
      <c r="C214" s="13">
        <f>COUNTIF(FIYAT!$Q:$Q,"FİYAT YOK")+COUNTIF(FIYAT!$Q:$Q,"YASAK")</f>
        <v>1</v>
      </c>
    </row>
    <row r="215" spans="1:17" ht="15" customHeight="1" x14ac:dyDescent="0.25">
      <c r="A215" s="13" t="s">
        <v>578</v>
      </c>
      <c r="C215" s="13">
        <f>COUNTIF(FIYAT!$Q:$Q,"ESKİ")</f>
        <v>56</v>
      </c>
    </row>
    <row r="216" spans="1:17" ht="15" customHeight="1" x14ac:dyDescent="0.25">
      <c r="A216" s="13" t="s">
        <v>579</v>
      </c>
      <c r="C216" s="13">
        <f>COUNTIF(BOM!$P$2:$P$675,"ARTİKÜL YOK")</f>
        <v>1</v>
      </c>
    </row>
    <row r="217" spans="1:17" ht="15" customHeight="1" x14ac:dyDescent="0.25">
      <c r="A217" s="13" t="s">
        <v>580</v>
      </c>
      <c r="C217" s="13">
        <f>SUMPRODUCT((COUNTIF(BOM!$O$2:$O$675,TIP_AD)&gt;0)*(NORM_DK=""))</f>
        <v>1</v>
      </c>
    </row>
    <row r="218" spans="1:17" ht="15" customHeight="1" x14ac:dyDescent="0.25">
      <c r="A218" s="13" t="s">
        <v>581</v>
      </c>
      <c r="C218" s="13">
        <f>SUMPRODUCT((COUNTIF(FIYAT!$K:$K,KUR_AD)&gt;0)*(KUR_DEG=""))</f>
        <v>0</v>
      </c>
    </row>
    <row r="219" spans="1:17" ht="15" customHeight="1" x14ac:dyDescent="0.25">
      <c r="A219" s="13" t="s">
        <v>582</v>
      </c>
      <c r="C219" s="13">
        <f>COUNTIF(Q203:Q210,"&lt;&gt;OK")</f>
        <v>1</v>
      </c>
    </row>
    <row r="220" spans="1:17" ht="15" customHeight="1" x14ac:dyDescent="0.25">
      <c r="A220" s="13" t="s">
        <v>410</v>
      </c>
      <c r="C220" s="13" t="str">
        <f>IF(KAR_ORANI="","GİRİLMEDİ","OK")</f>
        <v>OK</v>
      </c>
    </row>
    <row r="222" spans="1:17" ht="15" customHeight="1" x14ac:dyDescent="0.25">
      <c r="A222" s="12" t="s">
        <v>583</v>
      </c>
    </row>
    <row r="223" spans="1:17" ht="15" customHeight="1" x14ac:dyDescent="0.25">
      <c r="A223" s="4" t="s">
        <v>545</v>
      </c>
      <c r="B223" s="4" t="s">
        <v>539</v>
      </c>
      <c r="C223" s="4" t="s">
        <v>584</v>
      </c>
      <c r="D223" s="4" t="s">
        <v>14</v>
      </c>
    </row>
    <row r="224" spans="1:17" ht="15" customHeight="1" x14ac:dyDescent="0.25">
      <c r="A224" s="13" t="s">
        <v>16</v>
      </c>
      <c r="B224" s="13" t="s">
        <v>25</v>
      </c>
      <c r="C224" s="13" t="s">
        <v>585</v>
      </c>
      <c r="D224" s="13" t="s">
        <v>561</v>
      </c>
    </row>
    <row r="225" spans="1:4" ht="15" customHeight="1" x14ac:dyDescent="0.25">
      <c r="A225" s="13" t="s">
        <v>16</v>
      </c>
      <c r="B225" s="13" t="s">
        <v>48</v>
      </c>
      <c r="C225" s="13" t="s">
        <v>586</v>
      </c>
      <c r="D225" s="13" t="s">
        <v>561</v>
      </c>
    </row>
    <row r="226" spans="1:4" ht="15" customHeight="1" x14ac:dyDescent="0.25">
      <c r="A226" s="13" t="s">
        <v>16</v>
      </c>
      <c r="B226" s="13" t="s">
        <v>51</v>
      </c>
      <c r="C226" s="13" t="s">
        <v>587</v>
      </c>
      <c r="D226" s="13" t="s">
        <v>561</v>
      </c>
    </row>
    <row r="227" spans="1:4" ht="15" customHeight="1" x14ac:dyDescent="0.25">
      <c r="A227" s="13" t="s">
        <v>16</v>
      </c>
      <c r="B227" s="13" t="s">
        <v>57</v>
      </c>
      <c r="C227" s="13" t="s">
        <v>588</v>
      </c>
      <c r="D227" s="13" t="s">
        <v>561</v>
      </c>
    </row>
    <row r="228" spans="1:4" ht="15" customHeight="1" x14ac:dyDescent="0.25">
      <c r="A228" s="13" t="s">
        <v>16</v>
      </c>
      <c r="B228" s="13" t="s">
        <v>37</v>
      </c>
      <c r="C228" s="13" t="s">
        <v>589</v>
      </c>
      <c r="D228" s="13" t="s">
        <v>561</v>
      </c>
    </row>
    <row r="229" spans="1:4" ht="15" customHeight="1" x14ac:dyDescent="0.25">
      <c r="A229" s="13" t="s">
        <v>16</v>
      </c>
      <c r="B229" s="13" t="s">
        <v>66</v>
      </c>
      <c r="C229" s="13" t="s">
        <v>590</v>
      </c>
      <c r="D229" s="13" t="s">
        <v>561</v>
      </c>
    </row>
    <row r="230" spans="1:4" ht="15" customHeight="1" x14ac:dyDescent="0.25">
      <c r="A230" s="13" t="s">
        <v>16</v>
      </c>
      <c r="B230" s="13" t="s">
        <v>20</v>
      </c>
      <c r="C230" s="13" t="s">
        <v>591</v>
      </c>
      <c r="D230" s="13" t="s">
        <v>561</v>
      </c>
    </row>
    <row r="231" spans="1:4" ht="15" customHeight="1" x14ac:dyDescent="0.25">
      <c r="A231" s="13" t="s">
        <v>109</v>
      </c>
      <c r="B231" s="13" t="s">
        <v>122</v>
      </c>
      <c r="C231" s="13" t="s">
        <v>592</v>
      </c>
      <c r="D231" s="13" t="s">
        <v>561</v>
      </c>
    </row>
    <row r="232" spans="1:4" ht="15" customHeight="1" x14ac:dyDescent="0.25">
      <c r="A232" s="13" t="s">
        <v>109</v>
      </c>
      <c r="B232" s="13" t="s">
        <v>116</v>
      </c>
      <c r="C232" s="13" t="s">
        <v>593</v>
      </c>
      <c r="D232" s="13" t="s">
        <v>561</v>
      </c>
    </row>
    <row r="233" spans="1:4" ht="15" customHeight="1" x14ac:dyDescent="0.25">
      <c r="A233" s="13" t="s">
        <v>135</v>
      </c>
      <c r="B233" s="13" t="s">
        <v>137</v>
      </c>
      <c r="C233" s="13" t="s">
        <v>594</v>
      </c>
      <c r="D233" s="13" t="s">
        <v>561</v>
      </c>
    </row>
    <row r="234" spans="1:4" ht="15" customHeight="1" x14ac:dyDescent="0.25">
      <c r="A234" s="13" t="s">
        <v>135</v>
      </c>
      <c r="B234" s="13"/>
      <c r="C234" s="13" t="s">
        <v>595</v>
      </c>
      <c r="D234" s="13" t="s">
        <v>561</v>
      </c>
    </row>
    <row r="235" spans="1:4" ht="15" customHeight="1" x14ac:dyDescent="0.25">
      <c r="A235" s="13" t="s">
        <v>146</v>
      </c>
      <c r="B235" s="13" t="s">
        <v>137</v>
      </c>
      <c r="C235" s="13" t="s">
        <v>596</v>
      </c>
      <c r="D235" s="13" t="s">
        <v>561</v>
      </c>
    </row>
    <row r="236" spans="1:4" ht="15" customHeight="1" x14ac:dyDescent="0.25">
      <c r="A236" s="13" t="s">
        <v>152</v>
      </c>
      <c r="B236" s="13" t="s">
        <v>159</v>
      </c>
      <c r="C236" s="13" t="s">
        <v>597</v>
      </c>
      <c r="D236" s="13" t="s">
        <v>561</v>
      </c>
    </row>
    <row r="237" spans="1:4" ht="15" customHeight="1" x14ac:dyDescent="0.25">
      <c r="A237" s="13" t="s">
        <v>152</v>
      </c>
      <c r="B237" s="13" t="s">
        <v>155</v>
      </c>
      <c r="C237" s="13" t="s">
        <v>598</v>
      </c>
      <c r="D237" s="13" t="s">
        <v>561</v>
      </c>
    </row>
    <row r="238" spans="1:4" ht="15" customHeight="1" x14ac:dyDescent="0.25">
      <c r="A238" s="13" t="s">
        <v>161</v>
      </c>
      <c r="B238" s="13" t="s">
        <v>165</v>
      </c>
      <c r="C238" s="13" t="s">
        <v>599</v>
      </c>
      <c r="D238" s="13" t="s">
        <v>561</v>
      </c>
    </row>
    <row r="239" spans="1:4" ht="15" customHeight="1" x14ac:dyDescent="0.25">
      <c r="A239" s="13" t="s">
        <v>161</v>
      </c>
      <c r="B239" s="13" t="s">
        <v>153</v>
      </c>
      <c r="C239" s="13" t="s">
        <v>600</v>
      </c>
      <c r="D239" s="13" t="s">
        <v>561</v>
      </c>
    </row>
    <row r="240" spans="1:4" ht="15" customHeight="1" x14ac:dyDescent="0.25">
      <c r="A240" s="13" t="s">
        <v>161</v>
      </c>
      <c r="B240" s="13"/>
      <c r="C240" s="13" t="s">
        <v>601</v>
      </c>
      <c r="D240" s="13" t="s">
        <v>561</v>
      </c>
    </row>
    <row r="241" spans="1:4" ht="15" customHeight="1" x14ac:dyDescent="0.25">
      <c r="A241" s="13" t="s">
        <v>170</v>
      </c>
      <c r="B241" s="13" t="s">
        <v>165</v>
      </c>
      <c r="C241" s="13" t="s">
        <v>602</v>
      </c>
      <c r="D241" s="13" t="s">
        <v>561</v>
      </c>
    </row>
    <row r="242" spans="1:4" ht="15" customHeight="1" x14ac:dyDescent="0.25">
      <c r="A242" s="13" t="s">
        <v>135</v>
      </c>
      <c r="B242" s="13" t="s">
        <v>140</v>
      </c>
      <c r="C242" s="13" t="s">
        <v>603</v>
      </c>
      <c r="D242" s="13" t="s">
        <v>561</v>
      </c>
    </row>
    <row r="243" spans="1:4" ht="15" customHeight="1" x14ac:dyDescent="0.25">
      <c r="A243" s="13" t="s">
        <v>173</v>
      </c>
      <c r="B243" s="13"/>
      <c r="C243" s="13" t="s">
        <v>604</v>
      </c>
      <c r="D243" s="13" t="s">
        <v>561</v>
      </c>
    </row>
    <row r="244" spans="1:4" ht="15" customHeight="1" x14ac:dyDescent="0.25">
      <c r="A244" s="13" t="s">
        <v>16</v>
      </c>
      <c r="B244" s="13" t="s">
        <v>73</v>
      </c>
      <c r="C244" s="13" t="s">
        <v>605</v>
      </c>
      <c r="D244" s="13" t="s">
        <v>561</v>
      </c>
    </row>
    <row r="245" spans="1:4" ht="15" customHeight="1" x14ac:dyDescent="0.25">
      <c r="A245" s="13" t="s">
        <v>16</v>
      </c>
      <c r="B245" s="13"/>
      <c r="C245" s="13" t="s">
        <v>606</v>
      </c>
      <c r="D245" s="13" t="s">
        <v>561</v>
      </c>
    </row>
    <row r="246" spans="1:4" ht="15" customHeight="1" x14ac:dyDescent="0.25">
      <c r="A246" s="13" t="s">
        <v>16</v>
      </c>
      <c r="B246" s="13" t="s">
        <v>94</v>
      </c>
      <c r="C246" s="13" t="s">
        <v>607</v>
      </c>
      <c r="D246" s="13" t="s">
        <v>561</v>
      </c>
    </row>
    <row r="247" spans="1:4" ht="15" customHeight="1" x14ac:dyDescent="0.25">
      <c r="A247" s="13" t="s">
        <v>135</v>
      </c>
      <c r="B247" s="13" t="s">
        <v>144</v>
      </c>
      <c r="C247" s="13" t="s">
        <v>608</v>
      </c>
      <c r="D247" s="13" t="s">
        <v>561</v>
      </c>
    </row>
    <row r="248" spans="1:4" ht="15" customHeight="1" x14ac:dyDescent="0.25">
      <c r="A248" s="13" t="s">
        <v>109</v>
      </c>
      <c r="B248" s="13" t="s">
        <v>94</v>
      </c>
      <c r="C248" s="13" t="s">
        <v>609</v>
      </c>
      <c r="D248" s="13" t="s">
        <v>561</v>
      </c>
    </row>
    <row r="249" spans="1:4" ht="15" customHeight="1" x14ac:dyDescent="0.25">
      <c r="A249" s="13" t="s">
        <v>16</v>
      </c>
      <c r="B249" s="13"/>
      <c r="C249" s="13" t="s">
        <v>610</v>
      </c>
      <c r="D249" s="13" t="s">
        <v>561</v>
      </c>
    </row>
    <row r="250" spans="1:4" ht="15" customHeight="1" x14ac:dyDescent="0.25">
      <c r="A250" s="13" t="s">
        <v>109</v>
      </c>
      <c r="B250" s="13"/>
      <c r="C250" s="13" t="s">
        <v>611</v>
      </c>
      <c r="D250" s="13" t="s">
        <v>561</v>
      </c>
    </row>
    <row r="251" spans="1:4" ht="15" customHeight="1" x14ac:dyDescent="0.25">
      <c r="A251" s="13" t="s">
        <v>16</v>
      </c>
      <c r="B251" s="13" t="s">
        <v>51</v>
      </c>
      <c r="C251" s="13" t="s">
        <v>612</v>
      </c>
      <c r="D251" s="13" t="s">
        <v>561</v>
      </c>
    </row>
    <row r="252" spans="1:4" ht="15" customHeight="1" x14ac:dyDescent="0.25">
      <c r="A252" s="13" t="s">
        <v>16</v>
      </c>
      <c r="B252" s="13"/>
      <c r="C252" s="13" t="s">
        <v>613</v>
      </c>
      <c r="D252" s="13" t="s">
        <v>561</v>
      </c>
    </row>
    <row r="253" spans="1:4" ht="15" customHeight="1" x14ac:dyDescent="0.25">
      <c r="A253" s="13" t="s">
        <v>16</v>
      </c>
      <c r="B253" s="13"/>
      <c r="C253" s="13" t="s">
        <v>614</v>
      </c>
      <c r="D253" s="13" t="s">
        <v>561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Normal="100" workbookViewId="0">
      <selection activeCell="E9" sqref="E9:E16"/>
    </sheetView>
  </sheetViews>
  <sheetFormatPr defaultColWidth="8.7109375" defaultRowHeight="15" x14ac:dyDescent="0.2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15.140625" customWidth="1"/>
    <col min="8" max="8" width="40" customWidth="1"/>
  </cols>
  <sheetData>
    <row r="1" spans="1:8" ht="15" customHeight="1" x14ac:dyDescent="0.25">
      <c r="A1" s="23" t="str">
        <f>FIRMA</f>
        <v>YSF HICH</v>
      </c>
    </row>
    <row r="3" spans="1:8" ht="15" customHeight="1" x14ac:dyDescent="0.25">
      <c r="A3" s="23" t="str">
        <f>"КОММЕРЧЕСКОЕ ПРЕДЛОЖЕНИЕ № "&amp;TEKLIF_NO&amp;" от "&amp;TEXT(TARIH,"dd.mm.yyyy")</f>
        <v>КОММЕРЧЕСКОЕ ПРЕДЛОЖЕНИЕ № 290917 от 00.mm.2026</v>
      </c>
    </row>
    <row r="5" spans="1:8" ht="15" customHeight="1" x14ac:dyDescent="0.25">
      <c r="A5" s="7" t="s">
        <v>615</v>
      </c>
      <c r="B5" s="8" t="str">
        <f>MUSTERI</f>
        <v>Rahmi bey</v>
      </c>
    </row>
    <row r="6" spans="1:8" ht="15" customHeight="1" x14ac:dyDescent="0.25">
      <c r="A6" s="7" t="s">
        <v>616</v>
      </c>
      <c r="B6" s="8" t="str">
        <f>PROJE</f>
        <v>ФОК Спортивный комплекс 01-2024-ЭОМ</v>
      </c>
    </row>
    <row r="8" spans="1:8" ht="23.25" customHeight="1" x14ac:dyDescent="0.25">
      <c r="A8" s="24" t="s">
        <v>617</v>
      </c>
      <c r="B8" s="24" t="s">
        <v>0</v>
      </c>
      <c r="C8" s="24" t="s">
        <v>618</v>
      </c>
      <c r="D8" s="24" t="s">
        <v>7</v>
      </c>
      <c r="E8" s="24" t="s">
        <v>619</v>
      </c>
      <c r="F8" s="24" t="s">
        <v>620</v>
      </c>
      <c r="H8" s="8" t="s">
        <v>621</v>
      </c>
    </row>
    <row r="9" spans="1:8" ht="15" customHeight="1" x14ac:dyDescent="0.25">
      <c r="A9" s="13">
        <v>1</v>
      </c>
      <c r="B9" s="13" t="str">
        <f>BOM!D2</f>
        <v>ВРУ-1 (260917 fok atr)</v>
      </c>
      <c r="C9" s="13">
        <f>BOM!H2</f>
        <v>1</v>
      </c>
      <c r="D9" s="13" t="s">
        <v>622</v>
      </c>
      <c r="E9" s="25">
        <f>IF(KAR_ORANI="","",ROUND(BOM!G37*(1+KAR_ORANI)*(1-ISKONTO),0))</f>
        <v>1333075</v>
      </c>
      <c r="F9" s="25">
        <f t="shared" ref="F9:F16" si="0">IF(E9="","",C9*E9)</f>
        <v>1333075</v>
      </c>
      <c r="H9" s="8" t="str">
        <f>TRIM(BOM!P37&amp;" "&amp;BOM!Q37)</f>
        <v>EKSİK FİYAT</v>
      </c>
    </row>
    <row r="10" spans="1:8" ht="15" customHeight="1" x14ac:dyDescent="0.25">
      <c r="A10" s="13">
        <v>2</v>
      </c>
      <c r="B10" s="13" t="str">
        <f>BOM!D38</f>
        <v>ЩР-1 (260917 fok atr)</v>
      </c>
      <c r="C10" s="13">
        <f>BOM!H38</f>
        <v>1</v>
      </c>
      <c r="D10" s="13" t="s">
        <v>622</v>
      </c>
      <c r="E10" s="25">
        <f>IF(KAR_ORANI="","",ROUND(BOM!G60*(1+KAR_ORANI)*(1-ISKONTO),0))</f>
        <v>170111</v>
      </c>
      <c r="F10" s="25">
        <f t="shared" si="0"/>
        <v>170111</v>
      </c>
      <c r="H10" s="8" t="str">
        <f>TRIM(BOM!P60&amp;" "&amp;BOM!Q60)</f>
        <v/>
      </c>
    </row>
    <row r="11" spans="1:8" ht="15" customHeight="1" x14ac:dyDescent="0.25">
      <c r="A11" s="13">
        <v>3</v>
      </c>
      <c r="B11" s="13" t="str">
        <f>BOM!D61</f>
        <v>ЩС-1 (260917 fok atr)</v>
      </c>
      <c r="C11" s="13">
        <f>BOM!H61</f>
        <v>1</v>
      </c>
      <c r="D11" s="13" t="s">
        <v>622</v>
      </c>
      <c r="E11" s="25">
        <f>IF(KAR_ORANI="","",ROUND(BOM!G76*(1+KAR_ORANI)*(1-ISKONTO),0))</f>
        <v>175971</v>
      </c>
      <c r="F11" s="25">
        <f t="shared" si="0"/>
        <v>175971</v>
      </c>
      <c r="H11" s="8" t="str">
        <f>TRIM(BOM!P76&amp;" "&amp;BOM!Q76)</f>
        <v/>
      </c>
    </row>
    <row r="12" spans="1:8" ht="15" customHeight="1" x14ac:dyDescent="0.25">
      <c r="A12" s="13">
        <v>4</v>
      </c>
      <c r="B12" s="13" t="str">
        <f>BOM!D77</f>
        <v>ЩС-2 (260917 fok atr)</v>
      </c>
      <c r="C12" s="13">
        <f>BOM!H77</f>
        <v>1</v>
      </c>
      <c r="D12" s="13" t="s">
        <v>622</v>
      </c>
      <c r="E12" s="25">
        <f>IF(KAR_ORANI="","",ROUND(BOM!G95*(1+KAR_ORANI)*(1-ISKONTO),0))</f>
        <v>226825</v>
      </c>
      <c r="F12" s="25">
        <f t="shared" si="0"/>
        <v>226825</v>
      </c>
      <c r="H12" s="8" t="str">
        <f>TRIM(BOM!P95&amp;" "&amp;BOM!Q95)</f>
        <v/>
      </c>
    </row>
    <row r="13" spans="1:8" ht="15" customHeight="1" x14ac:dyDescent="0.25">
      <c r="A13" s="13">
        <v>5</v>
      </c>
      <c r="B13" s="13" t="str">
        <f>BOM!D96</f>
        <v>ЩВ-1 (260917 fok atr)</v>
      </c>
      <c r="C13" s="13">
        <f>BOM!H96</f>
        <v>1</v>
      </c>
      <c r="D13" s="13" t="s">
        <v>622</v>
      </c>
      <c r="E13" s="25">
        <f>IF(KAR_ORANI="","",ROUND(BOM!G117*(1+KAR_ORANI)*(1-ISKONTO),0))</f>
        <v>98912</v>
      </c>
      <c r="F13" s="25">
        <f t="shared" si="0"/>
        <v>98912</v>
      </c>
      <c r="H13" s="8" t="str">
        <f>TRIM(BOM!P117&amp;" "&amp;BOM!Q117)</f>
        <v>PANO: SIRA YÜKSEKLİĞİ AŞIYOR</v>
      </c>
    </row>
    <row r="14" spans="1:8" ht="15" customHeight="1" x14ac:dyDescent="0.25">
      <c r="A14" s="13">
        <v>6</v>
      </c>
      <c r="B14" s="13" t="str">
        <f>BOM!D118</f>
        <v>ЩО-1 (260917 fok atr)</v>
      </c>
      <c r="C14" s="13">
        <f>BOM!H118</f>
        <v>1</v>
      </c>
      <c r="D14" s="13" t="s">
        <v>622</v>
      </c>
      <c r="E14" s="25">
        <f>IF(KAR_ORANI="","",ROUND(BOM!G135*(1+KAR_ORANI)*(1-ISKONTO),0))</f>
        <v>129282</v>
      </c>
      <c r="F14" s="25">
        <f t="shared" si="0"/>
        <v>129282</v>
      </c>
      <c r="H14" s="8" t="str">
        <f>TRIM(BOM!P135&amp;" "&amp;BOM!Q135)</f>
        <v/>
      </c>
    </row>
    <row r="15" spans="1:8" ht="15" customHeight="1" x14ac:dyDescent="0.25">
      <c r="A15" s="13">
        <v>7</v>
      </c>
      <c r="B15" s="13" t="str">
        <f>BOM!D136</f>
        <v>ЩАО-1 (260917 fok atr)</v>
      </c>
      <c r="C15" s="13">
        <f>BOM!H136</f>
        <v>1</v>
      </c>
      <c r="D15" s="13" t="s">
        <v>622</v>
      </c>
      <c r="E15" s="25">
        <f>IF(KAR_ORANI="","",ROUND(BOM!G152*(1+KAR_ORANI)*(1-ISKONTO),0))</f>
        <v>51217</v>
      </c>
      <c r="F15" s="25">
        <f t="shared" si="0"/>
        <v>51217</v>
      </c>
      <c r="H15" s="8" t="str">
        <f>TRIM(BOM!P152&amp;" "&amp;BOM!Q152)</f>
        <v/>
      </c>
    </row>
    <row r="16" spans="1:8" ht="15" customHeight="1" x14ac:dyDescent="0.25">
      <c r="A16" s="13">
        <v>8</v>
      </c>
      <c r="B16" s="13" t="str">
        <f>BOM!D153</f>
        <v>КТ-КМИ-22510 (отключение вентиляции ЩВ-1) (260917 fok atr)</v>
      </c>
      <c r="C16" s="13">
        <f>BOM!H153</f>
        <v>1</v>
      </c>
      <c r="D16" s="13" t="s">
        <v>622</v>
      </c>
      <c r="E16" s="25">
        <f>IF(KAR_ORANI="","",ROUND(BOM!G174*(1+KAR_ORANI)*(1-ISKONTO),0))</f>
        <v>94123</v>
      </c>
      <c r="F16" s="25">
        <f t="shared" si="0"/>
        <v>94123</v>
      </c>
      <c r="H16" s="8" t="str">
        <f>TRIM(BOM!P174&amp;" "&amp;BOM!Q174)</f>
        <v/>
      </c>
    </row>
    <row r="17" spans="1:8" ht="15" customHeight="1" x14ac:dyDescent="0.25">
      <c r="E17" s="4" t="s">
        <v>623</v>
      </c>
      <c r="F17" s="26">
        <f>SUM(F9:F16)</f>
        <v>2279516</v>
      </c>
      <c r="H17" s="8" t="str">
        <f>IF(KAR_ORANI="","KÂR ORANI GİRİLMEDİ","")</f>
        <v/>
      </c>
    </row>
    <row r="18" spans="1:8" ht="15" customHeight="1" x14ac:dyDescent="0.25">
      <c r="E18" s="4" t="s">
        <v>414</v>
      </c>
      <c r="F18" s="26">
        <f>F17*NDS_ORANI</f>
        <v>364722.56</v>
      </c>
    </row>
    <row r="19" spans="1:8" ht="15" customHeight="1" x14ac:dyDescent="0.25">
      <c r="E19" s="4" t="s">
        <v>624</v>
      </c>
      <c r="F19" s="26">
        <f>F17+F18</f>
        <v>2644238.56</v>
      </c>
    </row>
    <row r="21" spans="1:8" ht="15" customHeight="1" x14ac:dyDescent="0.25">
      <c r="A21" s="7" t="s">
        <v>625</v>
      </c>
      <c r="C21" s="8">
        <f>IF(TESLIM="","",TESLIM)</f>
        <v>25</v>
      </c>
    </row>
    <row r="22" spans="1:8" ht="15" customHeight="1" x14ac:dyDescent="0.25">
      <c r="A22" s="7" t="s">
        <v>626</v>
      </c>
      <c r="C22" s="8">
        <f>IF(ODEME="","",ODEME)</f>
        <v>1</v>
      </c>
    </row>
    <row r="23" spans="1:8" ht="15" customHeight="1" x14ac:dyDescent="0.25">
      <c r="A23" s="7" t="s">
        <v>627</v>
      </c>
      <c r="C23" s="8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F0DC-B718-4A68-A779-686D710FFC6E}">
  <dimension ref="A1:L12"/>
  <sheetViews>
    <sheetView tabSelected="1" workbookViewId="0">
      <selection activeCell="G20" sqref="G20"/>
    </sheetView>
  </sheetViews>
  <sheetFormatPr defaultRowHeight="15" x14ac:dyDescent="0.25"/>
  <cols>
    <col min="2" max="2" width="23.7109375" customWidth="1"/>
    <col min="5" max="5" width="17.42578125" style="37" customWidth="1"/>
    <col min="6" max="6" width="24" style="37" customWidth="1"/>
    <col min="7" max="7" width="24" customWidth="1"/>
    <col min="8" max="8" width="44.5703125" customWidth="1"/>
    <col min="9" max="9" width="18" style="37" customWidth="1"/>
    <col min="10" max="10" width="14.140625" style="37" customWidth="1"/>
    <col min="11" max="11" width="15.5703125" customWidth="1"/>
    <col min="12" max="12" width="12.42578125" customWidth="1"/>
  </cols>
  <sheetData>
    <row r="1" spans="1:12" ht="45.75" customHeight="1" x14ac:dyDescent="0.25">
      <c r="A1" s="34" t="s">
        <v>617</v>
      </c>
      <c r="B1" s="34" t="s">
        <v>0</v>
      </c>
      <c r="C1" s="34" t="s">
        <v>618</v>
      </c>
      <c r="D1" s="34" t="s">
        <v>7</v>
      </c>
      <c r="E1" s="35" t="s">
        <v>619</v>
      </c>
      <c r="F1" s="35" t="s">
        <v>620</v>
      </c>
      <c r="G1" s="34" t="s">
        <v>639</v>
      </c>
      <c r="H1" s="34" t="s">
        <v>640</v>
      </c>
      <c r="I1" s="35" t="s">
        <v>637</v>
      </c>
      <c r="J1" s="35" t="s">
        <v>638</v>
      </c>
      <c r="K1" s="35" t="s">
        <v>641</v>
      </c>
    </row>
    <row r="2" spans="1:12" x14ac:dyDescent="0.25">
      <c r="A2" s="9">
        <v>1</v>
      </c>
      <c r="B2" s="9" t="s">
        <v>643</v>
      </c>
      <c r="C2" s="9">
        <v>1</v>
      </c>
      <c r="D2" s="9" t="s">
        <v>622</v>
      </c>
      <c r="E2" s="36">
        <v>1333075</v>
      </c>
      <c r="F2" s="36">
        <f>E2*C2</f>
        <v>1333075</v>
      </c>
      <c r="G2" s="9" t="s">
        <v>20</v>
      </c>
      <c r="H2" s="9" t="s">
        <v>262</v>
      </c>
      <c r="I2" s="36">
        <v>536583</v>
      </c>
      <c r="J2" s="36">
        <v>69360</v>
      </c>
      <c r="K2" s="4">
        <v>693.6</v>
      </c>
    </row>
    <row r="3" spans="1:12" x14ac:dyDescent="0.25">
      <c r="A3" s="9">
        <v>2</v>
      </c>
      <c r="B3" s="9" t="s">
        <v>644</v>
      </c>
      <c r="C3" s="9">
        <v>1</v>
      </c>
      <c r="D3" s="9" t="s">
        <v>622</v>
      </c>
      <c r="E3" s="36">
        <v>170111</v>
      </c>
      <c r="F3" s="36">
        <f t="shared" ref="F3:F9" si="0">E3*C3</f>
        <v>170111</v>
      </c>
      <c r="G3" s="9" t="s">
        <v>110</v>
      </c>
      <c r="H3" s="9" t="s">
        <v>263</v>
      </c>
      <c r="I3" s="36">
        <v>69763</v>
      </c>
      <c r="J3" s="36">
        <v>7559.9999999999991</v>
      </c>
      <c r="K3" s="4">
        <v>75.599999999999994</v>
      </c>
    </row>
    <row r="4" spans="1:12" x14ac:dyDescent="0.25">
      <c r="A4" s="9">
        <v>3</v>
      </c>
      <c r="B4" s="9" t="s">
        <v>645</v>
      </c>
      <c r="C4" s="9">
        <v>1</v>
      </c>
      <c r="D4" s="9" t="s">
        <v>622</v>
      </c>
      <c r="E4" s="36">
        <v>175971</v>
      </c>
      <c r="F4" s="36">
        <f t="shared" si="0"/>
        <v>175971</v>
      </c>
      <c r="G4" s="9" t="s">
        <v>631</v>
      </c>
      <c r="H4" s="9" t="s">
        <v>632</v>
      </c>
      <c r="I4" s="36">
        <v>70207</v>
      </c>
      <c r="J4" s="36">
        <v>9780</v>
      </c>
      <c r="K4" s="4">
        <v>97.8</v>
      </c>
    </row>
    <row r="5" spans="1:12" x14ac:dyDescent="0.25">
      <c r="A5" s="9">
        <v>4</v>
      </c>
      <c r="B5" s="9" t="s">
        <v>646</v>
      </c>
      <c r="C5" s="9">
        <v>1</v>
      </c>
      <c r="D5" s="9" t="s">
        <v>622</v>
      </c>
      <c r="E5" s="36">
        <v>226825</v>
      </c>
      <c r="F5" s="36">
        <f t="shared" si="0"/>
        <v>226825</v>
      </c>
      <c r="G5" s="9" t="s">
        <v>660</v>
      </c>
      <c r="H5" s="9" t="s">
        <v>632</v>
      </c>
      <c r="I5" s="36">
        <v>90322</v>
      </c>
      <c r="J5" s="36">
        <v>12780</v>
      </c>
      <c r="K5" s="4">
        <v>127.8</v>
      </c>
    </row>
    <row r="6" spans="1:12" x14ac:dyDescent="0.25">
      <c r="A6" s="9">
        <v>5</v>
      </c>
      <c r="B6" s="9" t="s">
        <v>647</v>
      </c>
      <c r="C6" s="9">
        <v>1</v>
      </c>
      <c r="D6" s="9" t="s">
        <v>622</v>
      </c>
      <c r="E6" s="36">
        <v>98912</v>
      </c>
      <c r="F6" s="36">
        <f t="shared" si="0"/>
        <v>98912</v>
      </c>
      <c r="G6" s="9" t="s">
        <v>153</v>
      </c>
      <c r="H6" s="9" t="s">
        <v>264</v>
      </c>
      <c r="I6" s="36">
        <v>36980</v>
      </c>
      <c r="J6" s="36">
        <v>7980.0000000000009</v>
      </c>
      <c r="K6" s="4">
        <v>79.800000000000011</v>
      </c>
    </row>
    <row r="7" spans="1:12" x14ac:dyDescent="0.25">
      <c r="A7" s="9">
        <v>6</v>
      </c>
      <c r="B7" s="9" t="s">
        <v>648</v>
      </c>
      <c r="C7" s="9">
        <v>1</v>
      </c>
      <c r="D7" s="9" t="s">
        <v>622</v>
      </c>
      <c r="E7" s="36">
        <v>129282</v>
      </c>
      <c r="F7" s="36">
        <f t="shared" si="0"/>
        <v>129282</v>
      </c>
      <c r="G7" s="9" t="s">
        <v>656</v>
      </c>
      <c r="H7" s="9" t="s">
        <v>657</v>
      </c>
      <c r="I7" s="36">
        <v>47364</v>
      </c>
      <c r="J7" s="36">
        <v>11400</v>
      </c>
      <c r="K7" s="4">
        <v>114</v>
      </c>
    </row>
    <row r="8" spans="1:12" x14ac:dyDescent="0.25">
      <c r="A8" s="9">
        <v>7</v>
      </c>
      <c r="B8" s="9" t="s">
        <v>649</v>
      </c>
      <c r="C8" s="9">
        <v>1</v>
      </c>
      <c r="D8" s="9" t="s">
        <v>622</v>
      </c>
      <c r="E8" s="36">
        <v>51217</v>
      </c>
      <c r="F8" s="36">
        <f t="shared" si="0"/>
        <v>51217</v>
      </c>
      <c r="G8" s="9" t="s">
        <v>658</v>
      </c>
      <c r="H8" s="9" t="s">
        <v>659</v>
      </c>
      <c r="I8" s="36">
        <v>17640</v>
      </c>
      <c r="J8" s="36">
        <v>5640</v>
      </c>
      <c r="K8" s="4">
        <v>56.4</v>
      </c>
    </row>
    <row r="9" spans="1:12" x14ac:dyDescent="0.25">
      <c r="A9" s="9">
        <v>8</v>
      </c>
      <c r="B9" s="9" t="s">
        <v>650</v>
      </c>
      <c r="C9" s="9">
        <v>1</v>
      </c>
      <c r="D9" s="9" t="s">
        <v>622</v>
      </c>
      <c r="E9" s="36">
        <v>94123</v>
      </c>
      <c r="F9" s="36">
        <f t="shared" si="0"/>
        <v>94123</v>
      </c>
      <c r="G9" s="9" t="s">
        <v>654</v>
      </c>
      <c r="H9" s="9" t="s">
        <v>655</v>
      </c>
      <c r="I9" s="36">
        <v>28923</v>
      </c>
      <c r="J9" s="36">
        <v>13860</v>
      </c>
      <c r="K9" s="38">
        <v>138.6</v>
      </c>
    </row>
    <row r="10" spans="1:12" x14ac:dyDescent="0.25">
      <c r="E10" s="39" t="s">
        <v>623</v>
      </c>
      <c r="F10" s="39">
        <f>SUM(F2:F9)</f>
        <v>2279516</v>
      </c>
      <c r="I10" s="39">
        <f>SUM(I2:I9)</f>
        <v>897782</v>
      </c>
      <c r="J10" s="39">
        <f>SUM(J2:J9)</f>
        <v>138360</v>
      </c>
      <c r="K10" s="9">
        <f>SUM(K2:K9)</f>
        <v>1383.6</v>
      </c>
      <c r="L10" s="9" t="s">
        <v>651</v>
      </c>
    </row>
    <row r="11" spans="1:12" x14ac:dyDescent="0.25">
      <c r="E11" s="39" t="s">
        <v>414</v>
      </c>
      <c r="F11" s="39">
        <f>0.16*F10</f>
        <v>364722.56</v>
      </c>
      <c r="I11" s="39"/>
      <c r="J11" s="39">
        <f>I10+J10</f>
        <v>1036142</v>
      </c>
      <c r="K11" s="9">
        <f>K10/60</f>
        <v>23.06</v>
      </c>
      <c r="L11" s="9" t="s">
        <v>652</v>
      </c>
    </row>
    <row r="12" spans="1:12" x14ac:dyDescent="0.25">
      <c r="E12" s="39" t="s">
        <v>624</v>
      </c>
      <c r="F12" s="39">
        <f>SUM(F10:F11)</f>
        <v>2644238.56</v>
      </c>
      <c r="I12" s="39"/>
      <c r="J12" s="39"/>
      <c r="K12" s="9">
        <f>K11/8</f>
        <v>2.8824999999999998</v>
      </c>
      <c r="L12" s="9" t="s">
        <v>653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83</vt:i4>
      </vt:variant>
    </vt:vector>
  </HeadingPairs>
  <TitlesOfParts>
    <vt:vector size="88" baseType="lpstr">
      <vt:lpstr>BOM</vt:lpstr>
      <vt:lpstr>FIYAT</vt:lpstr>
      <vt:lpstr>KURALLAR</vt:lpstr>
      <vt:lpstr>TEKLIF</vt:lpstr>
      <vt:lpstr>ozet</vt:lpstr>
      <vt:lpstr>AL_A</vt:lpstr>
      <vt:lpstr>AL_KOD</vt:lpstr>
      <vt:lpstr>AL_MM2</vt:lpstr>
      <vt:lpstr>BAG_ADET_M</vt:lpstr>
      <vt:lpstr>BARA_DERATING</vt:lpstr>
      <vt:lpstr>BARA_ESIK_A</vt:lpstr>
      <vt:lpstr>BARA_FIRE</vt:lpstr>
      <vt:lpstr>CU_A</vt:lpstr>
      <vt:lpstr>CU_KOD</vt:lpstr>
      <vt:lpstr>CU_MM2</vt:lpstr>
      <vt:lpstr>DK_UCRET</vt:lpstr>
      <vt:lpstr>F_BK</vt:lpstr>
      <vt:lpstr>F_G</vt:lpstr>
      <vt:lpstr>F_IN</vt:lpstr>
      <vt:lpstr>F_INKOR</vt:lpstr>
      <vt:lpstr>F_KAP</vt:lpstr>
      <vt:lpstr>F_KK</vt:lpstr>
      <vt:lpstr>F_KLN</vt:lpstr>
      <vt:lpstr>F_KPE</vt:lpstr>
      <vt:lpstr>F_MODUL</vt:lpstr>
      <vt:lpstr>F_PAKET</vt:lpstr>
      <vt:lpstr>F_TEL</vt:lpstr>
      <vt:lpstr>F_TELM</vt:lpstr>
      <vt:lpstr>F_Y</vt:lpstr>
      <vt:lpstr>FA</vt:lpstr>
      <vt:lpstr>FIRMA</vt:lpstr>
      <vt:lpstr>FIYAT_AD</vt:lpstr>
      <vt:lpstr>FIYAT_BIRIM</vt:lpstr>
      <vt:lpstr>FIYAT_DURUM</vt:lpstr>
      <vt:lpstr>FIYAT_LISTE</vt:lpstr>
      <vt:lpstr>FIYAT_MARKA</vt:lpstr>
      <vt:lpstr>FIYAT_NET</vt:lpstr>
      <vt:lpstr>GECERLILIK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KANAL_FIRE</vt:lpstr>
      <vt:lpstr>KAPI_TOPRAK_M</vt:lpstr>
      <vt:lpstr>KAR_ORANI</vt:lpstr>
      <vt:lpstr>KAYNAK_KOD</vt:lpstr>
      <vt:lpstr>KAYNAK_TARIH</vt:lpstr>
      <vt:lpstr>KLEMENS_ALT</vt:lpstr>
      <vt:lpstr>KLEMENS_KES</vt:lpstr>
      <vt:lpstr>KLEMENS_MAX_KESIT</vt:lpstr>
      <vt:lpstr>KLEMENS_YEDEK</vt:lpstr>
      <vt:lpstr>KORPUS_IC_PAY_MM</vt:lpstr>
      <vt:lpstr>KORPUS_YEDEK</vt:lpstr>
      <vt:lpstr>KUMANDA_KESIT</vt:lpstr>
      <vt:lpstr>KUR_AD</vt:lpstr>
      <vt:lpstr>KUR_DEG</vt:lpstr>
      <vt:lpstr>MARKA_AD</vt:lpstr>
      <vt:lpstr>MARKA_IZIN</vt:lpstr>
      <vt:lpstr>MARKA_KAT</vt:lpstr>
      <vt:lpstr>MARKA_PARA</vt:lpstr>
      <vt:lpstr>MODUL_MM</vt:lpstr>
      <vt:lpstr>MONTAJ_MALZ_KAT</vt:lpstr>
      <vt:lpstr>MUSTERI</vt:lpstr>
      <vt:lpstr>NDS_ORANI</vt:lpstr>
      <vt:lpstr>NORM_DK</vt:lpstr>
      <vt:lpstr>ODEME</vt:lpstr>
      <vt:lpstr>OLCU_KESIT</vt:lpstr>
      <vt:lpstr>PABUC_FIRE</vt:lpstr>
      <vt:lpstr>PABUC_MIN_KESIT</vt:lpstr>
      <vt:lpstr>PROJE</vt:lpstr>
      <vt:lpstr>SEHIR</vt:lpstr>
      <vt:lpstr>SNI_DELIK</vt:lpstr>
      <vt:lpstr>SNI_KOD</vt:lpstr>
      <vt:lpstr>TARIH</vt:lpstr>
      <vt:lpstr>TEKLIF_NO</vt:lpstr>
      <vt:lpstr>TESLIM</vt:lpstr>
      <vt:lpstr>TIP_AD</vt:lpstr>
      <vt:lpstr>TIP_GRUP</vt:lpstr>
      <vt:lpstr>TIP_TEL</vt:lpstr>
      <vt:lpstr>TIP_TELM</vt:lpstr>
      <vt:lpstr>YAS_ESKI_AY</vt:lpstr>
      <vt:lpstr>YAS_YASAK_AY</vt:lpstr>
      <vt:lpstr>TEKLIF!Yazdırma_Alanı</vt:lpstr>
      <vt:lpstr>YUKSUK_FIRE</vt:lpstr>
      <vt:lpstr>YUKSUK_MAX_KESIT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2026-09-17T03:56:21Z</dcterms:created>
  <dcterms:modified xsi:type="dcterms:W3CDTF">2026-09-17T09:49:30Z</dcterms:modified>
  <dc:language>en-US</dc:language>
</cp:coreProperties>
</file>