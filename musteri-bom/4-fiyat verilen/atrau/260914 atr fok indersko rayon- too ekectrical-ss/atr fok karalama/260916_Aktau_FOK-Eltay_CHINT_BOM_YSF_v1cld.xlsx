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atr fok indersko rayon- too ekectrical-ss\"/>
    </mc:Choice>
  </mc:AlternateContent>
  <xr:revisionPtr revIDLastSave="0" documentId="13_ncr:1_{D37D1368-1B1A-45F0-A552-D873998D88D4}" xr6:coauthVersionLast="47" xr6:coauthVersionMax="47" xr10:uidLastSave="{00000000-0000-0000-0000-000000000000}"/>
  <bookViews>
    <workbookView xWindow="-110" yWindow="-110" windowWidth="25820" windowHeight="13900" tabRatio="500" activeTab="8" xr2:uid="{00000000-000D-0000-FFFF-FFFF00000000}"/>
  </bookViews>
  <sheets>
    <sheet name="BOM" sheetId="1" r:id="rId1"/>
    <sheet name="OZET" sheetId="2" r:id="rId2"/>
    <sheet name="TEKLIF" sheetId="3" r:id="rId3"/>
    <sheet name="PANO" sheetId="4" r:id="rId4"/>
    <sheet name="DEVRE" sheetId="5" r:id="rId5"/>
    <sheet name="URETIM" sheetId="6" r:id="rId6"/>
    <sheet name="FIYAT" sheetId="7" r:id="rId7"/>
    <sheet name="KURALLAR" sheetId="8" r:id="rId8"/>
    <sheet name="LOG" sheetId="9" r:id="rId9"/>
  </sheets>
  <definedNames>
    <definedName name="_xlnm._FilterDatabase" localSheetId="0" hidden="1">BOM!$A$1:$AC$140</definedName>
    <definedName name="_xlnm._FilterDatabase" localSheetId="4" hidden="1">DEVRE!$A$1:$AP$86</definedName>
    <definedName name="_xlnm._FilterDatabase" localSheetId="6" hidden="1">FIYAT!$A$1:$AL$88</definedName>
    <definedName name="_xlnm._FilterDatabase" localSheetId="8" hidden="1">LOG!$A$1:$L$120</definedName>
    <definedName name="_xlnm._FilterDatabase" localSheetId="5" hidden="1">URETIM!$A$1:$J$435</definedName>
    <definedName name="ADRES">KURALLAR!$B$169</definedName>
    <definedName name="AL_YOGUNLUK">KURALLAR!$B$193</definedName>
    <definedName name="ALAN_TIP_LIST">KURALLAR!$A$458:$A$463</definedName>
    <definedName name="ALUM_KG_KZT">KURALLAR!$B$195</definedName>
    <definedName name="ALUM_KG_USD">KURALLAR!$B$189</definedName>
    <definedName name="AMBALAJ_KZT_PANO">KURALLAR!$B$180</definedName>
    <definedName name="BAKIR_KG_KZT">KURALLAR!$B$194</definedName>
    <definedName name="BAKIR_KG_USD">KURALLAR!$B$188</definedName>
    <definedName name="BARA_AL_A">KURALLAR!$J$242:$J$260</definedName>
    <definedName name="BARA_AL_KGM">KURALLAR!$G$242:$G$260</definedName>
    <definedName name="BARA_AL_S_A">KURALLAR!$D$295:$D$324</definedName>
    <definedName name="BARA_AL_S_KOD">KURALLAR!$A$295:$A$324</definedName>
    <definedName name="BARA_AL_S_MAX">KURALLAR!$E$295:$E$324</definedName>
    <definedName name="BARA_AL_S_MM2T">KURALLAR!$C$295:$C$324</definedName>
    <definedName name="BARA_AL_S_SERIT">KURALLAR!$B$295:$B$324</definedName>
    <definedName name="BARA_AL2_A">KURALLAR!$K$242:$K$260</definedName>
    <definedName name="BARA_BOY_M">KURALLAR!$B$114</definedName>
    <definedName name="BARA_CU_A">KURALLAR!$H$242:$H$260</definedName>
    <definedName name="BARA_CU_KGM">KURALLAR!$F$242:$F$260</definedName>
    <definedName name="BARA_CU_S_A">KURALLAR!$D$263:$D$292</definedName>
    <definedName name="BARA_CU_S_KOD">KURALLAR!$A$263:$A$292</definedName>
    <definedName name="BARA_CU_S_MAX">KURALLAR!$E$263:$E$292</definedName>
    <definedName name="BARA_CU_S_MM2T">KURALLAR!$C$263:$C$292</definedName>
    <definedName name="BARA_CU_S_SERIT">KURALLAR!$B$263:$B$292</definedName>
    <definedName name="BARA_CU2_A">KURALLAR!$I$242:$I$260</definedName>
    <definedName name="BARA_DERATING">KURALLAR!$B$164</definedName>
    <definedName name="BARA_DIKEY_PAY_M">KURALLAR!$B$116</definedName>
    <definedName name="BARA_FIRE">KURALLAR!$B$109</definedName>
    <definedName name="BARA_ISLEM_KAT">KURALLAR!$B$191</definedName>
    <definedName name="BARA_IZOLATOR_ARALIK_M">KURALLAR!$B$117</definedName>
    <definedName name="BARA_KENAR_PAY_M">KURALLAR!$B$115</definedName>
    <definedName name="BARA_KOD_AL">KURALLAR!$B$242:$B$260</definedName>
    <definedName name="BARA_KOD_CU">KURALLAR!$A$242:$A$260</definedName>
    <definedName name="BARA_KOPRU_M">KURALLAR!$B$113</definedName>
    <definedName name="BARA_MM2">KURALLAR!$E$242:$E$260</definedName>
    <definedName name="BARA_N_ORANI">KURALLAR!$B$110</definedName>
    <definedName name="BARA_PE_MIN_MM2">KURALLAR!$B$112</definedName>
    <definedName name="BARA_PE_ORANI">KURALLAR!$B$111</definedName>
    <definedName name="BARA_T_ILETKEN">KURALLAR!$B$107</definedName>
    <definedName name="BARA_T_NORM">KURALLAR!$B$108</definedName>
    <definedName name="BARA_T_ORTAM">KURALLAR!$B$106</definedName>
    <definedName name="BOM_I">BOM!$I$2:$I$640</definedName>
    <definedName name="BOM_P">BOM!$M$2:$M$640</definedName>
    <definedName name="BOM_S">BOM!$P$2:$P$640</definedName>
    <definedName name="BOM_T">BOM!$Q$2:$Q$640</definedName>
    <definedName name="BOM_U">BOM!$R$2:$R$640</definedName>
    <definedName name="CU_YOGUNLUK">KURALLAR!$B$192</definedName>
    <definedName name="DEVRE_A">DEVRE!$A$2:$A$586</definedName>
    <definedName name="DEVRE_C">DEVRE!$C$2:$C$586</definedName>
    <definedName name="DEVRE_H">DEVRE!$H$2:$H$586</definedName>
    <definedName name="DEVRE_TIPI_LIST">KURALLAR!$A$466:$A$470</definedName>
    <definedName name="DEVRE_U">DEVRE!$U$2:$U$586</definedName>
    <definedName name="DINRAY_FIRE">KURALLAR!$B$148</definedName>
    <definedName name="DINRAY_KOD">KURALLAR!$B$158</definedName>
    <definedName name="DK_SAAT">KURALLAR!$B$22</definedName>
    <definedName name="DOKUMAN_KZT">KURALLAR!$B$184</definedName>
    <definedName name="DOLULUK_MAX">KURALLAR!$B$129</definedName>
    <definedName name="DOLULUK_UYARI">KURALLAR!$B$128</definedName>
    <definedName name="DURUM_LIST">KURALLAR!$A$399:$A$409</definedName>
    <definedName name="DURUM_SEV">KURALLAR!$B$399:$B$409</definedName>
    <definedName name="FAN_ESIK_A">KURALLAR!$B$130</definedName>
    <definedName name="FINANSMAN_ORANI">KURALLAR!$B$185</definedName>
    <definedName name="FIYAT_ACK">FIYAT!$D$2:$D$588</definedName>
    <definedName name="FIYAT_ALAN">FIYAT!$AK$2:$AK$588</definedName>
    <definedName name="FIYAT_ARTIKUL">FIYAT!$C$2:$C$588</definedName>
    <definedName name="FIYAT_BIRIM">FIYAT!$K$2:$K$588</definedName>
    <definedName name="FIYAT_BOBIN">FIYAT!$AJ$2:$AJ$588</definedName>
    <definedName name="FIYAT_DURUM">FIYAT!$P$2:$P$588</definedName>
    <definedName name="FIYAT_EGRI">FIYAT!$AF$2:$AF$588</definedName>
    <definedName name="FIYAT_GENISLIK">FIYAT!$W$2:$W$588</definedName>
    <definedName name="FIYAT_IN">FIYAT!$V$2:$V$588</definedName>
    <definedName name="FIYAT_KA">FIYAT!$AG$2:$AG$588</definedName>
    <definedName name="FIYAT_KACAK_MA">FIYAT!$AH$2:$AH$588</definedName>
    <definedName name="FIYAT_KACAK_TIP">FIYAT!$AI$2:$AI$588</definedName>
    <definedName name="FIYAT_KAPASITE">FIYAT!$AB$2:$AB$588</definedName>
    <definedName name="FIYAT_KAYNAK">FIYAT!$O$2:$O$588</definedName>
    <definedName name="FIYAT_KD">FIYAT!$Z$2:$Z$588</definedName>
    <definedName name="FIYAT_KG">FIYAT!$X$2:$X$588</definedName>
    <definedName name="FIYAT_KGM">FIYAT!$AA$2:$AA$588</definedName>
    <definedName name="FIYAT_KOD">FIYAT!$B$2:$B$588</definedName>
    <definedName name="FIYAT_KUTUP">FIYAT!$U$2:$U$588</definedName>
    <definedName name="FIYAT_KUTUP_AD">FIYAT!$AE$2:$AE$588</definedName>
    <definedName name="FIYAT_KY">FIYAT!$Y$2:$Y$588</definedName>
    <definedName name="FIYAT_LISTE">FIYAT!$F$2:$F$588</definedName>
    <definedName name="FIYAT_MARKA">FIYAT!$G$2:$G$588</definedName>
    <definedName name="FIYAT_MODUL">FIYAT!$T$2:$T$588</definedName>
    <definedName name="FIYAT_NET">FIYAT!$J$2:$J$588</definedName>
    <definedName name="FIYAT_PARA">FIYAT!$H$2:$H$588</definedName>
    <definedName name="FIYAT_PARSE">FIYAT!$AL$2:$AL$588</definedName>
    <definedName name="FIYAT_SERI">FIYAT!$AD$2:$AD$588</definedName>
    <definedName name="FIYAT_SIRA">FIYAT!$AC$2:$AC$588</definedName>
    <definedName name="FIYAT_TIP">FIYAT!$E$2:$E$588</definedName>
    <definedName name="GARANTI">KURALLAR!$B$178</definedName>
    <definedName name="GARANTI_ORANI">KURALLAR!$B$186</definedName>
    <definedName name="GENEL_GIDER_ORANI">KURALLAR!$B$181</definedName>
    <definedName name="GENEL_MALIYET">OZET!$M$12</definedName>
    <definedName name="GRUP_BESLEME_KESIT">KURALLAR!$B$162</definedName>
    <definedName name="GRUP_BESLEME_M">KURALLAR!$B$163</definedName>
    <definedName name="GUN_AY">KURALLAR!$B$21</definedName>
    <definedName name="GZS_KOD">KURALLAR!$B$159</definedName>
    <definedName name="ISCILIK_CARPANI">KURALLAR!$B$44</definedName>
    <definedName name="ISCILIK_DK_UCRETI">KURALLAR!$B$43</definedName>
    <definedName name="ISKONTO">KURALLAR!$B$172</definedName>
    <definedName name="KABLO_FIRE">KURALLAR!$B$134</definedName>
    <definedName name="KABLO_IN_ALT">KURALLAR!$A$327:$A$337</definedName>
    <definedName name="KABLO_KESIT">KURALLAR!$B$327:$B$337</definedName>
    <definedName name="KABLO_KESIT_LIST">KURALLAR!$A$340:$A$350</definedName>
    <definedName name="KABLO_M_AT">KURALLAR!$B$138</definedName>
    <definedName name="KABLO_M_KUMANDA">KURALLAR!$B$139</definedName>
    <definedName name="KABLO_M_MCCB">KURALLAR!$B$136</definedName>
    <definedName name="KABLO_M_MODULER">KURALLAR!$B$135</definedName>
    <definedName name="KABLO_M_SAYAC">KURALLAR!$B$137</definedName>
    <definedName name="KABLO_MAX_A">KURALLAR!$B$140</definedName>
    <definedName name="KABLO_PARALEL">KURALLAR!$C$327:$C$337</definedName>
    <definedName name="KANAL_ESIK1_MOD">KURALLAR!$B$150</definedName>
    <definedName name="KANAL_ESIK2_MOD">KURALLAR!$B$151</definedName>
    <definedName name="KANAL_FIRE">KURALLAR!$B$149</definedName>
    <definedName name="KANAL_KAPAK_KOD_BUYUK">KURALLAR!$B$157</definedName>
    <definedName name="KANAL_KAPAK_KOD_KUCUK">KURALLAR!$B$153</definedName>
    <definedName name="KANAL_KAPAK_KOD_ORTA">KURALLAR!$B$156</definedName>
    <definedName name="KANAL_KOD_BUYUK">KURALLAR!$B$155</definedName>
    <definedName name="KANAL_KOD_KUCUK">KURALLAR!$B$152</definedName>
    <definedName name="KANAL_KOD_ORTA">KURALLAR!$B$154</definedName>
    <definedName name="KAR_ORANI">KURALLAR!$B$171</definedName>
    <definedName name="KAYNAK_SEV">KURALLAR!$B$419:$B$424</definedName>
    <definedName name="KAYNAK_TIPI_LIST">KURALLAR!$A$419:$A$424</definedName>
    <definedName name="KLEMENS_ALT">KURALLAR!$A$353:$A$359</definedName>
    <definedName name="KLEMENS_KESIT_LIST">KURALLAR!$A$362:$A$367</definedName>
    <definedName name="KLEMENS_KLEM">KURALLAR!$B$353:$B$359</definedName>
    <definedName name="KLEMENS_MIN_YEDEK">KURALLAR!$B$145</definedName>
    <definedName name="KLEMENS_MM">KURALLAR!$C$353:$C$359</definedName>
    <definedName name="KLEMENS_RAY_PAY">KURALLAR!$B$146</definedName>
    <definedName name="KLEMENS_YEDEK">KURALLAR!$B$144</definedName>
    <definedName name="KOPRU_KABLO_MAX_A">KURALLAR!$B$118</definedName>
    <definedName name="KORPUS_IC_PAY_M">KURALLAR!$B$127</definedName>
    <definedName name="KUMANDA_KA_MIN">KURALLAR!$B$133</definedName>
    <definedName name="KUMANDA_KESIT">KURALLAR!$B$141</definedName>
    <definedName name="KUMANDA_KEYS">KURALLAR!$A$95:$A$104</definedName>
    <definedName name="KUR_AD">KURALLAR!$A$16:$A$19</definedName>
    <definedName name="KUR_DEG">KURALLAR!$B$16:$B$19</definedName>
    <definedName name="KUR_DURUM">KURALLAR!$D$16:$D$19</definedName>
    <definedName name="KUR_VARSAYIM">KURALLAR!$B$492</definedName>
    <definedName name="KUTUP_AD_LIST">KURALLAR!$A$473:$A$478</definedName>
    <definedName name="MARKA_AD">KURALLAR!$A$25:$A$41</definedName>
    <definedName name="MARKA_GRUP">KURALLAR!$H$25:$H$41</definedName>
    <definedName name="MARKA_IZIN">KURALLAR!$G$25:$G$41</definedName>
    <definedName name="MARKA_KAT">KURALLAR!$E$25:$E$41</definedName>
    <definedName name="MARKA_ON">KURALLAR!$I$25:$I$41</definedName>
    <definedName name="MARKA_PARA">KURALLAR!$B$25:$B$41</definedName>
    <definedName name="MARKA_TIP">KURALLAR!$F$25:$F$41</definedName>
    <definedName name="METAL_TARIH">KURALLAR!$B$190</definedName>
    <definedName name="MODUL_GENISLIK_MM">KURALLAR!$B$125</definedName>
    <definedName name="MONTAJ_AD">KURALLAR!$A$481:$A$483</definedName>
    <definedName name="MONTAJ_MALZ_ORANI">KURALLAR!$B$46</definedName>
    <definedName name="MONTAJ_RU">KURALLAR!$B$481:$B$483</definedName>
    <definedName name="MUSTERI">KURALLAR!$B$167</definedName>
    <definedName name="NAKLIYE_KZT">KURALLAR!$B$182</definedName>
    <definedName name="NDS_ORANI">KURALLAR!$B$173</definedName>
    <definedName name="NORM_AD">KURALLAR!$A$49:$A$92</definedName>
    <definedName name="NORM_DK">KURALLAR!$B$49:$B$92</definedName>
    <definedName name="NOTR_BARA_KOD">KURALLAR!$B$160</definedName>
    <definedName name="NPE_YOLU">KURALLAR!$B$147</definedName>
    <definedName name="ODEME_SARTI">KURALLAR!$B$177</definedName>
    <definedName name="OGRENME_ORANI">KURALLAR!$B$45</definedName>
    <definedName name="OLCU_KESIT">KURALLAR!$B$142</definedName>
    <definedName name="OZET_DAMGA">OZET!$B$15</definedName>
    <definedName name="PABUC_ESIK_MM2">KURALLAR!$B$122</definedName>
    <definedName name="PANO_ADET">PANO!$D$5:$D$511</definedName>
    <definedName name="PANO_BARA_GEREK">PANO!$X$5:$X$511</definedName>
    <definedName name="PANO_DIN_M">PANO!$AO$5:$AO$511</definedName>
    <definedName name="PANO_FAZ_KOD">PANO!$Z$5:$Z$511</definedName>
    <definedName name="PANO_FAZ_M">PANO!$AI$5:$AI$511</definedName>
    <definedName name="PANO_GIRIS">PANO!$M$5:$M$511</definedName>
    <definedName name="PANO_GRUP_KABLO_M">PANO!$AV$5:$AV$511</definedName>
    <definedName name="PANO_ICU">PANO!$J$5:$J$511</definedName>
    <definedName name="PANO_ID">PANO!$A$5:$A$511</definedName>
    <definedName name="PANO_IN_ANA">PANO!$N$5:$N$511</definedName>
    <definedName name="PANO_IP">PANO!$H$5:$H$511</definedName>
    <definedName name="PANO_IZOL_1F">PANO!$AM$5:$AM$511</definedName>
    <definedName name="PANO_IZOL_3F">PANO!$AL$5:$AL$511</definedName>
    <definedName name="PANO_KANAL_KOD">PANO!$AQ$5:$AQ$511</definedName>
    <definedName name="PANO_KANAL_M">PANO!$AS$5:$AS$511</definedName>
    <definedName name="PANO_KAPAK_KOD">PANO!$AR$5:$AR$511</definedName>
    <definedName name="PANO_KAPASITE">PANO!$Q$5:$Q$511</definedName>
    <definedName name="PANO_KORPUS">PANO!$E$5:$E$511</definedName>
    <definedName name="PANO_MONTAJ">PANO!$F$5:$F$511</definedName>
    <definedName name="PANO_N_KOD">PANO!$AD$5:$AD$511</definedName>
    <definedName name="PANO_N_M">PANO!$AJ$5:$AJ$511</definedName>
    <definedName name="PANO_PE_KOD">PANO!$AG$5:$AG$511</definedName>
    <definedName name="PANO_PE_M">PANO!$AK$5:$AK$511</definedName>
    <definedName name="PANO_PEN">PANO!$AW$5:$AW$511</definedName>
    <definedName name="PANO_RAL">PANO!$I$5:$I$511</definedName>
    <definedName name="PANO_SISTEM">PANO!$G$5:$G$511</definedName>
    <definedName name="PANO_TAMAD">PANO!$C$5:$C$511</definedName>
    <definedName name="PARA_BIRIMI">KURALLAR!$B$170</definedName>
    <definedName name="PARAM_EKSIK">KURALLAR!$B$491</definedName>
    <definedName name="PEN_KOPRU_KOD">KURALLAR!$B$161</definedName>
    <definedName name="PILOT_ADET_ESIK">KURALLAR!$B$485</definedName>
    <definedName name="PILOT_ARTIKUL_ESIK">KURALLAR!$B$489</definedName>
    <definedName name="PILOT_PRECISION_ESIK">KURALLAR!$B$488</definedName>
    <definedName name="PILOT_RECALL_ESIK">KURALLAR!$B$487</definedName>
    <definedName name="PILOT_TUTAR_ESIK">KURALLAR!$B$486</definedName>
    <definedName name="PROJE">KURALLAR!$B$168</definedName>
    <definedName name="QA_HATA">KURALLAR!$B$12</definedName>
    <definedName name="RAPOR_TARIHI">KURALLAR!$B$20</definedName>
    <definedName name="SARTLI_LIST">KURALLAR!$A$412:$A$416</definedName>
    <definedName name="SARTLI_TUTAR">OZET!$X$13</definedName>
    <definedName name="SAYAC_OPN_ESIK_A">KURALLAR!$B$131</definedName>
    <definedName name="SELEKTIVITE_ORANI">KURALLAR!$B$132</definedName>
    <definedName name="SINYAL_KLEMENS_KESIT">KURALLAR!$B$143</definedName>
    <definedName name="SIRA_ARALIK_MM">KURALLAR!$B$126</definedName>
    <definedName name="STANDART_IN">KURALLAR!$A$370:$A$396</definedName>
    <definedName name="TARAK_MAX_A">KURALLAR!$B$120</definedName>
    <definedName name="TARAK_MIN_CIHAZ">KURALLAR!$B$121</definedName>
    <definedName name="TARAK_MOD_ADET">KURALLAR!$B$119</definedName>
    <definedName name="TEKLIF_BASLIK">TEKLIF!$A$9</definedName>
    <definedName name="TEKLIF_GECERLILIK">KURALLAR!$B$175</definedName>
    <definedName name="TEKLIF_NO">KURALLAR!$B$166</definedName>
    <definedName name="TEKLIF_YUVARLAMA">KURALLAR!$B$174</definedName>
    <definedName name="TEST_SERTIFIKA_KZT">KURALLAR!$B$183</definedName>
    <definedName name="TIP_LIST">KURALLAR!$A$427:$A$455</definedName>
    <definedName name="URETIM_SURESI">KURALLAR!$B$176</definedName>
    <definedName name="YAS_DURUM">KURALLAR!$G$226:$G$239</definedName>
    <definedName name="YAS_ESKI_AY">KURALLAR!$B$222</definedName>
    <definedName name="YAS_KOD">KURALLAR!$A$226:$A$239</definedName>
    <definedName name="YAS_UYARI_GUN">KURALLAR!$B$224</definedName>
    <definedName name="YAS_YASAK_AY">KURALLAR!$B$223</definedName>
    <definedName name="YUKSUK_ESIK_MM2">KURALLAR!$B$123</definedName>
    <definedName name="YUKSUK_FIRE">KURALLAR!$B$124</definedName>
    <definedName name="ZP_AD">KURALLAR!$A$198:$A$220</definedName>
    <definedName name="ZP_BOS">KURALLAR!$B$198:$B$220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20" i="9" l="1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D324" i="8"/>
  <c r="D323" i="8"/>
  <c r="D322" i="8"/>
  <c r="D321" i="8"/>
  <c r="D320" i="8"/>
  <c r="D319" i="8"/>
  <c r="D318" i="8"/>
  <c r="D317" i="8"/>
  <c r="D316" i="8"/>
  <c r="C316" i="8"/>
  <c r="D315" i="8"/>
  <c r="D314" i="8"/>
  <c r="C314" i="8"/>
  <c r="D313" i="8"/>
  <c r="D312" i="8"/>
  <c r="D311" i="8"/>
  <c r="D310" i="8"/>
  <c r="C310" i="8"/>
  <c r="D309" i="8"/>
  <c r="D308" i="8"/>
  <c r="D307" i="8"/>
  <c r="D306" i="8"/>
  <c r="C306" i="8"/>
  <c r="D305" i="8"/>
  <c r="D304" i="8"/>
  <c r="C304" i="8"/>
  <c r="D303" i="8"/>
  <c r="D302" i="8"/>
  <c r="C302" i="8"/>
  <c r="D301" i="8"/>
  <c r="D300" i="8"/>
  <c r="C300" i="8"/>
  <c r="D299" i="8"/>
  <c r="D298" i="8"/>
  <c r="C298" i="8"/>
  <c r="D297" i="8"/>
  <c r="E297" i="8" s="1"/>
  <c r="E296" i="8"/>
  <c r="D296" i="8"/>
  <c r="C296" i="8"/>
  <c r="D295" i="8"/>
  <c r="E295" i="8" s="1"/>
  <c r="D292" i="8"/>
  <c r="C292" i="8"/>
  <c r="D291" i="8"/>
  <c r="C291" i="8"/>
  <c r="D290" i="8"/>
  <c r="D289" i="8"/>
  <c r="D288" i="8"/>
  <c r="D287" i="8"/>
  <c r="D286" i="8"/>
  <c r="C286" i="8"/>
  <c r="D285" i="8"/>
  <c r="D284" i="8"/>
  <c r="C284" i="8"/>
  <c r="D283" i="8"/>
  <c r="D282" i="8"/>
  <c r="C282" i="8"/>
  <c r="D281" i="8"/>
  <c r="C281" i="8"/>
  <c r="D280" i="8"/>
  <c r="D279" i="8"/>
  <c r="D278" i="8"/>
  <c r="C278" i="8"/>
  <c r="D277" i="8"/>
  <c r="D276" i="8"/>
  <c r="D275" i="8"/>
  <c r="C275" i="8"/>
  <c r="D274" i="8"/>
  <c r="C274" i="8"/>
  <c r="D273" i="8"/>
  <c r="C273" i="8"/>
  <c r="D272" i="8"/>
  <c r="C272" i="8"/>
  <c r="D271" i="8"/>
  <c r="D270" i="8"/>
  <c r="C270" i="8"/>
  <c r="D269" i="8"/>
  <c r="D268" i="8"/>
  <c r="C268" i="8"/>
  <c r="D267" i="8"/>
  <c r="D266" i="8"/>
  <c r="C266" i="8"/>
  <c r="D265" i="8"/>
  <c r="E264" i="8"/>
  <c r="D264" i="8"/>
  <c r="C264" i="8"/>
  <c r="D263" i="8"/>
  <c r="E263" i="8" s="1"/>
  <c r="G260" i="8"/>
  <c r="E260" i="8"/>
  <c r="F260" i="8" s="1"/>
  <c r="F259" i="8"/>
  <c r="AA85" i="7" s="1"/>
  <c r="E259" i="8"/>
  <c r="C323" i="8" s="1"/>
  <c r="E258" i="8"/>
  <c r="E257" i="8"/>
  <c r="E256" i="8"/>
  <c r="F255" i="8"/>
  <c r="AA77" i="7" s="1"/>
  <c r="E255" i="8"/>
  <c r="G255" i="8" s="1"/>
  <c r="G254" i="8"/>
  <c r="AA76" i="7" s="1"/>
  <c r="E254" i="8"/>
  <c r="G253" i="8"/>
  <c r="F253" i="8"/>
  <c r="E253" i="8"/>
  <c r="C313" i="8" s="1"/>
  <c r="E252" i="8"/>
  <c r="F252" i="8" s="1"/>
  <c r="G251" i="8"/>
  <c r="F251" i="8"/>
  <c r="AA69" i="7" s="1"/>
  <c r="E251" i="8"/>
  <c r="E250" i="8"/>
  <c r="G249" i="8"/>
  <c r="F249" i="8"/>
  <c r="AA65" i="7" s="1"/>
  <c r="E249" i="8"/>
  <c r="E248" i="8"/>
  <c r="F247" i="8"/>
  <c r="AA61" i="7" s="1"/>
  <c r="E247" i="8"/>
  <c r="G247" i="8" s="1"/>
  <c r="G246" i="8"/>
  <c r="F246" i="8"/>
  <c r="AA59" i="7" s="1"/>
  <c r="E246" i="8"/>
  <c r="F245" i="8"/>
  <c r="AA57" i="7" s="1"/>
  <c r="E245" i="8"/>
  <c r="G245" i="8" s="1"/>
  <c r="E244" i="8"/>
  <c r="F243" i="8"/>
  <c r="AA53" i="7" s="1"/>
  <c r="E243" i="8"/>
  <c r="G243" i="8" s="1"/>
  <c r="AA54" i="7" s="1"/>
  <c r="E242" i="8"/>
  <c r="G239" i="8"/>
  <c r="F239" i="8"/>
  <c r="G238" i="8"/>
  <c r="J50" i="7" s="1"/>
  <c r="F238" i="8"/>
  <c r="D238" i="8"/>
  <c r="D237" i="8"/>
  <c r="F237" i="8" s="1"/>
  <c r="G236" i="8"/>
  <c r="F236" i="8"/>
  <c r="G235" i="8"/>
  <c r="F235" i="8"/>
  <c r="G234" i="8"/>
  <c r="F234" i="8"/>
  <c r="F233" i="8"/>
  <c r="G233" i="8" s="1"/>
  <c r="F232" i="8"/>
  <c r="G232" i="8" s="1"/>
  <c r="F231" i="8"/>
  <c r="G231" i="8" s="1"/>
  <c r="F230" i="8"/>
  <c r="G230" i="8" s="1"/>
  <c r="F229" i="8"/>
  <c r="G229" i="8" s="1"/>
  <c r="G228" i="8"/>
  <c r="F228" i="8"/>
  <c r="F227" i="8"/>
  <c r="G227" i="8" s="1"/>
  <c r="F226" i="8"/>
  <c r="G226" i="8" s="1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5" i="8"/>
  <c r="B194" i="8"/>
  <c r="B164" i="8"/>
  <c r="E41" i="8"/>
  <c r="I50" i="7" s="1"/>
  <c r="E40" i="8"/>
  <c r="E39" i="8"/>
  <c r="E38" i="8"/>
  <c r="I55" i="7" s="1"/>
  <c r="E37" i="8"/>
  <c r="E36" i="8"/>
  <c r="E35" i="8"/>
  <c r="E34" i="8"/>
  <c r="E33" i="8"/>
  <c r="E32" i="8"/>
  <c r="E31" i="8"/>
  <c r="E30" i="8"/>
  <c r="I26" i="7" s="1"/>
  <c r="J26" i="7" s="1"/>
  <c r="E29" i="8"/>
  <c r="E28" i="8"/>
  <c r="E27" i="8"/>
  <c r="E26" i="8"/>
  <c r="E25" i="8"/>
  <c r="AA88" i="7"/>
  <c r="I88" i="7"/>
  <c r="H88" i="7"/>
  <c r="A88" i="7"/>
  <c r="AA87" i="7"/>
  <c r="H87" i="7"/>
  <c r="A87" i="7"/>
  <c r="I86" i="7"/>
  <c r="H86" i="7"/>
  <c r="A86" i="7"/>
  <c r="H85" i="7"/>
  <c r="A85" i="7"/>
  <c r="I84" i="7"/>
  <c r="H84" i="7"/>
  <c r="A84" i="7"/>
  <c r="H83" i="7"/>
  <c r="A83" i="7"/>
  <c r="I82" i="7"/>
  <c r="H82" i="7"/>
  <c r="A82" i="7"/>
  <c r="H81" i="7"/>
  <c r="A81" i="7"/>
  <c r="I80" i="7"/>
  <c r="H80" i="7"/>
  <c r="A80" i="7"/>
  <c r="I79" i="7"/>
  <c r="H79" i="7"/>
  <c r="A79" i="7"/>
  <c r="AA78" i="7"/>
  <c r="I78" i="7"/>
  <c r="H78" i="7"/>
  <c r="A78" i="7"/>
  <c r="I77" i="7"/>
  <c r="H77" i="7"/>
  <c r="A77" i="7"/>
  <c r="I76" i="7"/>
  <c r="H76" i="7"/>
  <c r="A76" i="7"/>
  <c r="H75" i="7"/>
  <c r="A75" i="7"/>
  <c r="AA74" i="7"/>
  <c r="I74" i="7"/>
  <c r="H74" i="7"/>
  <c r="A74" i="7"/>
  <c r="AA73" i="7"/>
  <c r="H73" i="7"/>
  <c r="A73" i="7"/>
  <c r="I72" i="7"/>
  <c r="H72" i="7"/>
  <c r="A72" i="7"/>
  <c r="AA71" i="7"/>
  <c r="I71" i="7"/>
  <c r="H71" i="7"/>
  <c r="A71" i="7"/>
  <c r="AA70" i="7"/>
  <c r="I70" i="7"/>
  <c r="H70" i="7"/>
  <c r="A70" i="7"/>
  <c r="H69" i="7"/>
  <c r="A69" i="7"/>
  <c r="I68" i="7"/>
  <c r="H68" i="7"/>
  <c r="A68" i="7"/>
  <c r="I67" i="7"/>
  <c r="H67" i="7"/>
  <c r="A67" i="7"/>
  <c r="AA66" i="7"/>
  <c r="I66" i="7"/>
  <c r="H66" i="7"/>
  <c r="A66" i="7"/>
  <c r="H65" i="7"/>
  <c r="A65" i="7"/>
  <c r="I64" i="7"/>
  <c r="H64" i="7"/>
  <c r="A64" i="7"/>
  <c r="I63" i="7"/>
  <c r="H63" i="7"/>
  <c r="A63" i="7"/>
  <c r="AA62" i="7"/>
  <c r="I62" i="7"/>
  <c r="H62" i="7"/>
  <c r="A62" i="7"/>
  <c r="I61" i="7"/>
  <c r="H61" i="7"/>
  <c r="A61" i="7"/>
  <c r="AA60" i="7"/>
  <c r="I60" i="7"/>
  <c r="H60" i="7"/>
  <c r="A60" i="7"/>
  <c r="H59" i="7"/>
  <c r="A59" i="7"/>
  <c r="AA58" i="7"/>
  <c r="I58" i="7"/>
  <c r="H58" i="7"/>
  <c r="A58" i="7"/>
  <c r="H57" i="7"/>
  <c r="A57" i="7"/>
  <c r="I56" i="7"/>
  <c r="H56" i="7"/>
  <c r="A56" i="7"/>
  <c r="H55" i="7"/>
  <c r="A55" i="7"/>
  <c r="I54" i="7"/>
  <c r="H54" i="7"/>
  <c r="A54" i="7"/>
  <c r="H53" i="7"/>
  <c r="A53" i="7"/>
  <c r="I52" i="7"/>
  <c r="H52" i="7"/>
  <c r="A52" i="7"/>
  <c r="I51" i="7"/>
  <c r="H51" i="7"/>
  <c r="A51" i="7"/>
  <c r="H50" i="7"/>
  <c r="A50" i="7"/>
  <c r="I49" i="7"/>
  <c r="H49" i="7"/>
  <c r="F49" i="7"/>
  <c r="A49" i="7"/>
  <c r="I48" i="7"/>
  <c r="H48" i="7"/>
  <c r="A48" i="7"/>
  <c r="J47" i="7"/>
  <c r="N47" i="7" s="1"/>
  <c r="I47" i="7"/>
  <c r="H47" i="7"/>
  <c r="A47" i="7"/>
  <c r="I46" i="7"/>
  <c r="H46" i="7"/>
  <c r="A46" i="7"/>
  <c r="I45" i="7"/>
  <c r="J45" i="7" s="1"/>
  <c r="H45" i="7"/>
  <c r="A45" i="7"/>
  <c r="H44" i="7"/>
  <c r="A44" i="7"/>
  <c r="J43" i="7"/>
  <c r="I43" i="7"/>
  <c r="H43" i="7"/>
  <c r="A43" i="7"/>
  <c r="I42" i="7"/>
  <c r="H42" i="7"/>
  <c r="A42" i="7"/>
  <c r="I41" i="7"/>
  <c r="J41" i="7" s="1"/>
  <c r="G77" i="1" s="1"/>
  <c r="H41" i="7"/>
  <c r="A41" i="7"/>
  <c r="I40" i="7"/>
  <c r="H40" i="7"/>
  <c r="A40" i="7"/>
  <c r="I39" i="7"/>
  <c r="J39" i="7" s="1"/>
  <c r="H39" i="7"/>
  <c r="A39" i="7"/>
  <c r="I38" i="7"/>
  <c r="H38" i="7"/>
  <c r="A38" i="7"/>
  <c r="I37" i="7"/>
  <c r="J37" i="7" s="1"/>
  <c r="H37" i="7"/>
  <c r="A37" i="7"/>
  <c r="I36" i="7"/>
  <c r="H36" i="7"/>
  <c r="A36" i="7"/>
  <c r="H35" i="7"/>
  <c r="A35" i="7"/>
  <c r="I34" i="7"/>
  <c r="H34" i="7"/>
  <c r="A34" i="7"/>
  <c r="I33" i="7"/>
  <c r="J33" i="7" s="1"/>
  <c r="P33" i="7" s="1"/>
  <c r="H33" i="7"/>
  <c r="A33" i="7"/>
  <c r="H32" i="7"/>
  <c r="A32" i="7"/>
  <c r="I31" i="7"/>
  <c r="J31" i="7" s="1"/>
  <c r="H31" i="7"/>
  <c r="A31" i="7"/>
  <c r="H30" i="7"/>
  <c r="A30" i="7"/>
  <c r="AC29" i="7"/>
  <c r="AB29" i="7"/>
  <c r="P29" i="7"/>
  <c r="I29" i="7"/>
  <c r="H29" i="7"/>
  <c r="A29" i="7"/>
  <c r="AC28" i="7"/>
  <c r="AB28" i="7" s="1"/>
  <c r="H28" i="7"/>
  <c r="A28" i="7"/>
  <c r="AC27" i="7"/>
  <c r="AB27" i="7" s="1"/>
  <c r="I27" i="7"/>
  <c r="J27" i="7" s="1"/>
  <c r="H27" i="7"/>
  <c r="A27" i="7"/>
  <c r="AC26" i="7"/>
  <c r="AB26" i="7"/>
  <c r="H26" i="7"/>
  <c r="A26" i="7"/>
  <c r="AC25" i="7"/>
  <c r="AB25" i="7" s="1"/>
  <c r="H25" i="7"/>
  <c r="A25" i="7"/>
  <c r="AC24" i="7"/>
  <c r="AB24" i="7"/>
  <c r="P24" i="7"/>
  <c r="I24" i="7"/>
  <c r="J24" i="7" s="1"/>
  <c r="H24" i="7"/>
  <c r="A24" i="7"/>
  <c r="I23" i="7"/>
  <c r="J23" i="7" s="1"/>
  <c r="P23" i="7" s="1"/>
  <c r="H23" i="7"/>
  <c r="A23" i="7"/>
  <c r="H22" i="7"/>
  <c r="A22" i="7"/>
  <c r="I21" i="7"/>
  <c r="J21" i="7" s="1"/>
  <c r="H21" i="7"/>
  <c r="A21" i="7"/>
  <c r="I20" i="7"/>
  <c r="H20" i="7"/>
  <c r="A20" i="7"/>
  <c r="I19" i="7"/>
  <c r="J19" i="7" s="1"/>
  <c r="G53" i="1" s="1"/>
  <c r="H19" i="7"/>
  <c r="A19" i="7"/>
  <c r="P18" i="7"/>
  <c r="J18" i="7"/>
  <c r="I18" i="7"/>
  <c r="H18" i="7"/>
  <c r="A18" i="7"/>
  <c r="I17" i="7"/>
  <c r="H17" i="7"/>
  <c r="A17" i="7"/>
  <c r="I16" i="7"/>
  <c r="J16" i="7" s="1"/>
  <c r="G28" i="1" s="1"/>
  <c r="H16" i="7"/>
  <c r="A16" i="7"/>
  <c r="I15" i="7"/>
  <c r="H15" i="7"/>
  <c r="A15" i="7"/>
  <c r="I14" i="7"/>
  <c r="H14" i="7"/>
  <c r="A14" i="7"/>
  <c r="I13" i="7"/>
  <c r="H13" i="7"/>
  <c r="A13" i="7"/>
  <c r="I12" i="7"/>
  <c r="J12" i="7" s="1"/>
  <c r="H12" i="7"/>
  <c r="A12" i="7"/>
  <c r="J11" i="7"/>
  <c r="P11" i="7" s="1"/>
  <c r="I11" i="7"/>
  <c r="H11" i="7"/>
  <c r="A11" i="7"/>
  <c r="I10" i="7"/>
  <c r="H10" i="7"/>
  <c r="A10" i="7"/>
  <c r="J9" i="7"/>
  <c r="P9" i="7" s="1"/>
  <c r="I9" i="7"/>
  <c r="H9" i="7"/>
  <c r="A9" i="7"/>
  <c r="I8" i="7"/>
  <c r="H8" i="7"/>
  <c r="A8" i="7"/>
  <c r="I7" i="7"/>
  <c r="J7" i="7" s="1"/>
  <c r="G68" i="1" s="1"/>
  <c r="H7" i="7"/>
  <c r="A7" i="7"/>
  <c r="I6" i="7"/>
  <c r="J6" i="7" s="1"/>
  <c r="H6" i="7"/>
  <c r="A6" i="7"/>
  <c r="I5" i="7"/>
  <c r="J5" i="7" s="1"/>
  <c r="G86" i="1" s="1"/>
  <c r="H5" i="7"/>
  <c r="A5" i="7"/>
  <c r="I4" i="7"/>
  <c r="H4" i="7"/>
  <c r="A4" i="7"/>
  <c r="I3" i="7"/>
  <c r="J3" i="7" s="1"/>
  <c r="H3" i="7"/>
  <c r="A3" i="7"/>
  <c r="I2" i="7"/>
  <c r="J2" i="7" s="1"/>
  <c r="H2" i="7"/>
  <c r="A2" i="7"/>
  <c r="D421" i="6"/>
  <c r="A421" i="6"/>
  <c r="D420" i="6"/>
  <c r="A420" i="6"/>
  <c r="D419" i="6"/>
  <c r="A419" i="6"/>
  <c r="D418" i="6"/>
  <c r="A418" i="6"/>
  <c r="D417" i="6"/>
  <c r="A417" i="6"/>
  <c r="D416" i="6"/>
  <c r="A416" i="6"/>
  <c r="E395" i="6"/>
  <c r="E394" i="6"/>
  <c r="E393" i="6"/>
  <c r="E392" i="6"/>
  <c r="D392" i="6"/>
  <c r="E387" i="6"/>
  <c r="F384" i="6"/>
  <c r="D369" i="6"/>
  <c r="A369" i="6"/>
  <c r="D368" i="6"/>
  <c r="A368" i="6"/>
  <c r="E367" i="6"/>
  <c r="D367" i="6"/>
  <c r="A367" i="6"/>
  <c r="D366" i="6"/>
  <c r="A366" i="6"/>
  <c r="D365" i="6"/>
  <c r="A365" i="6"/>
  <c r="E364" i="6"/>
  <c r="D364" i="6"/>
  <c r="A364" i="6"/>
  <c r="D363" i="6"/>
  <c r="A363" i="6"/>
  <c r="D362" i="6"/>
  <c r="A362" i="6"/>
  <c r="D361" i="6"/>
  <c r="A361" i="6"/>
  <c r="D360" i="6"/>
  <c r="A360" i="6"/>
  <c r="D359" i="6"/>
  <c r="A359" i="6"/>
  <c r="D358" i="6"/>
  <c r="A358" i="6"/>
  <c r="E357" i="6"/>
  <c r="D357" i="6"/>
  <c r="A357" i="6"/>
  <c r="E356" i="6"/>
  <c r="D356" i="6"/>
  <c r="A356" i="6"/>
  <c r="D355" i="6"/>
  <c r="A355" i="6"/>
  <c r="D354" i="6"/>
  <c r="A354" i="6"/>
  <c r="D353" i="6"/>
  <c r="A353" i="6"/>
  <c r="D352" i="6"/>
  <c r="A352" i="6"/>
  <c r="E331" i="6"/>
  <c r="E330" i="6"/>
  <c r="E329" i="6"/>
  <c r="E328" i="6"/>
  <c r="E323" i="6"/>
  <c r="E322" i="6"/>
  <c r="F318" i="6"/>
  <c r="D303" i="6"/>
  <c r="A303" i="6"/>
  <c r="D302" i="6"/>
  <c r="A302" i="6"/>
  <c r="D301" i="6"/>
  <c r="A301" i="6"/>
  <c r="D300" i="6"/>
  <c r="A300" i="6"/>
  <c r="D299" i="6"/>
  <c r="A299" i="6"/>
  <c r="D298" i="6"/>
  <c r="A298" i="6"/>
  <c r="D297" i="6"/>
  <c r="A297" i="6"/>
  <c r="D296" i="6"/>
  <c r="A296" i="6"/>
  <c r="D295" i="6"/>
  <c r="A295" i="6"/>
  <c r="D294" i="6"/>
  <c r="A294" i="6"/>
  <c r="D293" i="6"/>
  <c r="A293" i="6"/>
  <c r="E272" i="6"/>
  <c r="E271" i="6"/>
  <c r="E270" i="6"/>
  <c r="E269" i="6"/>
  <c r="E268" i="6"/>
  <c r="E267" i="6"/>
  <c r="E266" i="6"/>
  <c r="E265" i="6"/>
  <c r="E264" i="6"/>
  <c r="E263" i="6"/>
  <c r="E258" i="6"/>
  <c r="F253" i="6"/>
  <c r="D238" i="6"/>
  <c r="A238" i="6"/>
  <c r="D237" i="6"/>
  <c r="A237" i="6"/>
  <c r="D236" i="6"/>
  <c r="A236" i="6"/>
  <c r="D235" i="6"/>
  <c r="A235" i="6"/>
  <c r="D234" i="6"/>
  <c r="A234" i="6"/>
  <c r="D233" i="6"/>
  <c r="A233" i="6"/>
  <c r="D232" i="6"/>
  <c r="A232" i="6"/>
  <c r="D231" i="6"/>
  <c r="A231" i="6"/>
  <c r="D230" i="6"/>
  <c r="A230" i="6"/>
  <c r="D229" i="6"/>
  <c r="A229" i="6"/>
  <c r="D228" i="6"/>
  <c r="A228" i="6"/>
  <c r="D227" i="6"/>
  <c r="A227" i="6"/>
  <c r="D226" i="6"/>
  <c r="A226" i="6"/>
  <c r="D225" i="6"/>
  <c r="A225" i="6"/>
  <c r="D224" i="6"/>
  <c r="A224" i="6"/>
  <c r="D223" i="6"/>
  <c r="A223" i="6"/>
  <c r="D222" i="6"/>
  <c r="A222" i="6"/>
  <c r="D221" i="6"/>
  <c r="A221" i="6"/>
  <c r="D220" i="6"/>
  <c r="A220" i="6"/>
  <c r="D219" i="6"/>
  <c r="A219" i="6"/>
  <c r="E198" i="6"/>
  <c r="E197" i="6"/>
  <c r="E196" i="6"/>
  <c r="E195" i="6"/>
  <c r="E194" i="6"/>
  <c r="E189" i="6"/>
  <c r="F185" i="6"/>
  <c r="D170" i="6"/>
  <c r="A170" i="6"/>
  <c r="D169" i="6"/>
  <c r="A169" i="6"/>
  <c r="D168" i="6"/>
  <c r="A168" i="6"/>
  <c r="D167" i="6"/>
  <c r="A167" i="6"/>
  <c r="D166" i="6"/>
  <c r="A166" i="6"/>
  <c r="D165" i="6"/>
  <c r="A165" i="6"/>
  <c r="E164" i="6"/>
  <c r="D164" i="6"/>
  <c r="A164" i="6"/>
  <c r="D163" i="6"/>
  <c r="A163" i="6"/>
  <c r="D162" i="6"/>
  <c r="A162" i="6"/>
  <c r="D161" i="6"/>
  <c r="A161" i="6"/>
  <c r="E160" i="6"/>
  <c r="D160" i="6"/>
  <c r="A160" i="6"/>
  <c r="D159" i="6"/>
  <c r="A159" i="6"/>
  <c r="D158" i="6"/>
  <c r="A158" i="6"/>
  <c r="D157" i="6"/>
  <c r="A157" i="6"/>
  <c r="E136" i="6"/>
  <c r="E135" i="6"/>
  <c r="E134" i="6"/>
  <c r="E133" i="6"/>
  <c r="E128" i="6"/>
  <c r="F125" i="6"/>
  <c r="D110" i="6"/>
  <c r="A110" i="6"/>
  <c r="D109" i="6"/>
  <c r="A109" i="6"/>
  <c r="D108" i="6"/>
  <c r="A108" i="6"/>
  <c r="D107" i="6"/>
  <c r="A107" i="6"/>
  <c r="D106" i="6"/>
  <c r="A106" i="6"/>
  <c r="D105" i="6"/>
  <c r="A105" i="6"/>
  <c r="D104" i="6"/>
  <c r="A104" i="6"/>
  <c r="E83" i="6"/>
  <c r="E82" i="6"/>
  <c r="E81" i="6"/>
  <c r="E80" i="6"/>
  <c r="E79" i="6"/>
  <c r="E78" i="6"/>
  <c r="E77" i="6"/>
  <c r="E76" i="6"/>
  <c r="E71" i="6"/>
  <c r="F65" i="6"/>
  <c r="D50" i="6"/>
  <c r="A50" i="6"/>
  <c r="D49" i="6"/>
  <c r="A49" i="6"/>
  <c r="D48" i="6"/>
  <c r="A48" i="6"/>
  <c r="D47" i="6"/>
  <c r="A47" i="6"/>
  <c r="D46" i="6"/>
  <c r="A46" i="6"/>
  <c r="D45" i="6"/>
  <c r="A45" i="6"/>
  <c r="D44" i="6"/>
  <c r="A44" i="6"/>
  <c r="D43" i="6"/>
  <c r="A43" i="6"/>
  <c r="D42" i="6"/>
  <c r="A42" i="6"/>
  <c r="E21" i="6"/>
  <c r="E20" i="6"/>
  <c r="E19" i="6"/>
  <c r="E18" i="6"/>
  <c r="F11" i="6"/>
  <c r="F10" i="6"/>
  <c r="F8" i="6"/>
  <c r="F7" i="6"/>
  <c r="F2" i="6"/>
  <c r="AO86" i="5"/>
  <c r="AN86" i="5"/>
  <c r="AM86" i="5"/>
  <c r="Y86" i="5"/>
  <c r="X86" i="5"/>
  <c r="V86" i="5"/>
  <c r="U86" i="5"/>
  <c r="S86" i="5"/>
  <c r="R86" i="5"/>
  <c r="Q86" i="5"/>
  <c r="P86" i="5"/>
  <c r="T86" i="5" s="1"/>
  <c r="AH86" i="5" s="1"/>
  <c r="AO85" i="5"/>
  <c r="AM85" i="5"/>
  <c r="AB85" i="5"/>
  <c r="AA85" i="5"/>
  <c r="W85" i="5"/>
  <c r="Y85" i="5" s="1"/>
  <c r="U85" i="5"/>
  <c r="T85" i="5"/>
  <c r="AH85" i="5" s="1"/>
  <c r="S85" i="5"/>
  <c r="R85" i="5"/>
  <c r="Q85" i="5"/>
  <c r="V85" i="5" s="1"/>
  <c r="P85" i="5"/>
  <c r="AN85" i="5" s="1"/>
  <c r="AO84" i="5"/>
  <c r="AM84" i="5"/>
  <c r="AL84" i="5"/>
  <c r="U84" i="5"/>
  <c r="S84" i="5"/>
  <c r="R84" i="5"/>
  <c r="Q84" i="5"/>
  <c r="V84" i="5" s="1"/>
  <c r="P84" i="5"/>
  <c r="AO83" i="5"/>
  <c r="AM83" i="5"/>
  <c r="U83" i="5"/>
  <c r="S83" i="5"/>
  <c r="R83" i="5"/>
  <c r="Q83" i="5"/>
  <c r="V83" i="5" s="1"/>
  <c r="P83" i="5"/>
  <c r="AO82" i="5"/>
  <c r="AN82" i="5"/>
  <c r="AM82" i="5"/>
  <c r="U82" i="5"/>
  <c r="T82" i="5"/>
  <c r="AH82" i="5" s="1"/>
  <c r="S82" i="5"/>
  <c r="R82" i="5"/>
  <c r="Q82" i="5"/>
  <c r="V82" i="5" s="1"/>
  <c r="P82" i="5"/>
  <c r="AO81" i="5"/>
  <c r="AN81" i="5"/>
  <c r="AM81" i="5"/>
  <c r="AH81" i="5"/>
  <c r="V81" i="5"/>
  <c r="U81" i="5"/>
  <c r="T81" i="5"/>
  <c r="S81" i="5"/>
  <c r="R81" i="5"/>
  <c r="Q81" i="5"/>
  <c r="P81" i="5"/>
  <c r="AO80" i="5"/>
  <c r="AM80" i="5"/>
  <c r="AK80" i="5"/>
  <c r="AJ80" i="5"/>
  <c r="AA80" i="5"/>
  <c r="X80" i="5"/>
  <c r="W80" i="5"/>
  <c r="V80" i="5"/>
  <c r="U80" i="5"/>
  <c r="S80" i="5"/>
  <c r="R80" i="5"/>
  <c r="Q80" i="5"/>
  <c r="P80" i="5"/>
  <c r="AO79" i="5"/>
  <c r="AM79" i="5"/>
  <c r="U79" i="5"/>
  <c r="S79" i="5"/>
  <c r="R79" i="5"/>
  <c r="Q79" i="5"/>
  <c r="V79" i="5" s="1"/>
  <c r="P79" i="5"/>
  <c r="AO78" i="5"/>
  <c r="AN78" i="5"/>
  <c r="AM78" i="5"/>
  <c r="AI78" i="5"/>
  <c r="W78" i="5"/>
  <c r="U78" i="5"/>
  <c r="T78" i="5"/>
  <c r="AH78" i="5" s="1"/>
  <c r="S78" i="5"/>
  <c r="R78" i="5"/>
  <c r="Q78" i="5"/>
  <c r="V78" i="5" s="1"/>
  <c r="P78" i="5"/>
  <c r="AO77" i="5"/>
  <c r="AM77" i="5"/>
  <c r="AL77" i="5"/>
  <c r="AI77" i="5"/>
  <c r="AD77" i="5"/>
  <c r="AE77" i="5" s="1"/>
  <c r="AC77" i="5"/>
  <c r="AA77" i="5"/>
  <c r="AB77" i="5" s="1"/>
  <c r="U77" i="5"/>
  <c r="S77" i="5"/>
  <c r="R77" i="5"/>
  <c r="Q77" i="5"/>
  <c r="V77" i="5" s="1"/>
  <c r="P77" i="5"/>
  <c r="AO76" i="5"/>
  <c r="AM76" i="5"/>
  <c r="AL76" i="5"/>
  <c r="AI76" i="5"/>
  <c r="U76" i="5"/>
  <c r="S76" i="5"/>
  <c r="R76" i="5"/>
  <c r="Q76" i="5"/>
  <c r="V76" i="5" s="1"/>
  <c r="P76" i="5"/>
  <c r="AO75" i="5"/>
  <c r="AN75" i="5"/>
  <c r="AM75" i="5"/>
  <c r="AL75" i="5"/>
  <c r="AA75" i="5"/>
  <c r="U75" i="5"/>
  <c r="T75" i="5"/>
  <c r="AH75" i="5" s="1"/>
  <c r="S75" i="5"/>
  <c r="R75" i="5"/>
  <c r="Q75" i="5"/>
  <c r="V75" i="5" s="1"/>
  <c r="W75" i="5" s="1"/>
  <c r="P75" i="5"/>
  <c r="AO74" i="5"/>
  <c r="AN74" i="5"/>
  <c r="AM74" i="5"/>
  <c r="AI74" i="5"/>
  <c r="AH74" i="5"/>
  <c r="AE74" i="5"/>
  <c r="AD74" i="5"/>
  <c r="AC74" i="5"/>
  <c r="AB74" i="5"/>
  <c r="AA74" i="5"/>
  <c r="U74" i="5"/>
  <c r="T74" i="5"/>
  <c r="S74" i="5"/>
  <c r="R74" i="5"/>
  <c r="Q74" i="5"/>
  <c r="V74" i="5" s="1"/>
  <c r="P74" i="5"/>
  <c r="AO73" i="5"/>
  <c r="AN73" i="5"/>
  <c r="AM73" i="5"/>
  <c r="AL73" i="5"/>
  <c r="U73" i="5"/>
  <c r="T73" i="5"/>
  <c r="AH73" i="5" s="1"/>
  <c r="S73" i="5"/>
  <c r="R73" i="5"/>
  <c r="Q73" i="5"/>
  <c r="V73" i="5" s="1"/>
  <c r="P73" i="5"/>
  <c r="AO72" i="5"/>
  <c r="AM72" i="5"/>
  <c r="AL72" i="5"/>
  <c r="AA72" i="5"/>
  <c r="AB72" i="5" s="1"/>
  <c r="V72" i="5"/>
  <c r="U72" i="5"/>
  <c r="T72" i="5"/>
  <c r="AH72" i="5" s="1"/>
  <c r="S72" i="5"/>
  <c r="R72" i="5"/>
  <c r="Q72" i="5"/>
  <c r="P72" i="5"/>
  <c r="AN72" i="5" s="1"/>
  <c r="AO71" i="5"/>
  <c r="AM71" i="5"/>
  <c r="AL71" i="5"/>
  <c r="AH71" i="5"/>
  <c r="U71" i="5"/>
  <c r="S71" i="5"/>
  <c r="R71" i="5"/>
  <c r="Q71" i="5"/>
  <c r="V71" i="5" s="1"/>
  <c r="P71" i="5"/>
  <c r="T71" i="5" s="1"/>
  <c r="AO70" i="5"/>
  <c r="AN70" i="5"/>
  <c r="AM70" i="5"/>
  <c r="AL70" i="5"/>
  <c r="AI70" i="5"/>
  <c r="V70" i="5"/>
  <c r="U70" i="5"/>
  <c r="S70" i="5"/>
  <c r="R70" i="5"/>
  <c r="Q70" i="5"/>
  <c r="P70" i="5"/>
  <c r="T70" i="5" s="1"/>
  <c r="AH70" i="5" s="1"/>
  <c r="AO69" i="5"/>
  <c r="AM69" i="5"/>
  <c r="AI69" i="5"/>
  <c r="AA69" i="5"/>
  <c r="AC69" i="5" s="1"/>
  <c r="U69" i="5"/>
  <c r="S69" i="5"/>
  <c r="R69" i="5"/>
  <c r="Q69" i="5"/>
  <c r="V69" i="5" s="1"/>
  <c r="P69" i="5"/>
  <c r="AO68" i="5"/>
  <c r="AM68" i="5"/>
  <c r="AL68" i="5"/>
  <c r="AH68" i="5"/>
  <c r="V68" i="5"/>
  <c r="AI68" i="5" s="1"/>
  <c r="U68" i="5"/>
  <c r="T68" i="5"/>
  <c r="S68" i="5"/>
  <c r="R68" i="5"/>
  <c r="Q68" i="5"/>
  <c r="P68" i="5"/>
  <c r="AN68" i="5" s="1"/>
  <c r="AO67" i="5"/>
  <c r="AM67" i="5"/>
  <c r="AC67" i="5"/>
  <c r="AB67" i="5"/>
  <c r="AA67" i="5"/>
  <c r="U67" i="5"/>
  <c r="S67" i="5"/>
  <c r="R67" i="5"/>
  <c r="Q67" i="5"/>
  <c r="V67" i="5" s="1"/>
  <c r="AL67" i="5" s="1"/>
  <c r="P67" i="5"/>
  <c r="AO66" i="5"/>
  <c r="AN66" i="5"/>
  <c r="AM66" i="5"/>
  <c r="AL66" i="5"/>
  <c r="AH66" i="5"/>
  <c r="X66" i="5"/>
  <c r="W66" i="5"/>
  <c r="U66" i="5"/>
  <c r="T66" i="5"/>
  <c r="S66" i="5"/>
  <c r="R66" i="5"/>
  <c r="Q66" i="5"/>
  <c r="V66" i="5" s="1"/>
  <c r="P66" i="5"/>
  <c r="AO65" i="5"/>
  <c r="AM65" i="5"/>
  <c r="AB65" i="5"/>
  <c r="AA65" i="5"/>
  <c r="AC65" i="5" s="1"/>
  <c r="X65" i="5"/>
  <c r="W65" i="5"/>
  <c r="U65" i="5"/>
  <c r="S65" i="5"/>
  <c r="R65" i="5"/>
  <c r="Q65" i="5"/>
  <c r="V65" i="5" s="1"/>
  <c r="P65" i="5"/>
  <c r="AO64" i="5"/>
  <c r="AM64" i="5"/>
  <c r="U64" i="5"/>
  <c r="S64" i="5"/>
  <c r="R64" i="5"/>
  <c r="Q64" i="5"/>
  <c r="V64" i="5" s="1"/>
  <c r="P64" i="5"/>
  <c r="T64" i="5" s="1"/>
  <c r="AH64" i="5" s="1"/>
  <c r="AO63" i="5"/>
  <c r="AN63" i="5"/>
  <c r="AM63" i="5"/>
  <c r="V63" i="5"/>
  <c r="U63" i="5"/>
  <c r="T63" i="5"/>
  <c r="AH63" i="5" s="1"/>
  <c r="S63" i="5"/>
  <c r="R63" i="5"/>
  <c r="Q63" i="5"/>
  <c r="P63" i="5"/>
  <c r="AO62" i="5"/>
  <c r="AM62" i="5"/>
  <c r="V62" i="5"/>
  <c r="U62" i="5"/>
  <c r="S62" i="5"/>
  <c r="R62" i="5"/>
  <c r="Q62" i="5"/>
  <c r="P62" i="5"/>
  <c r="AO61" i="5"/>
  <c r="AN61" i="5"/>
  <c r="AM61" i="5"/>
  <c r="AA61" i="5"/>
  <c r="V61" i="5"/>
  <c r="U61" i="5"/>
  <c r="S61" i="5"/>
  <c r="R61" i="5"/>
  <c r="Q61" i="5"/>
  <c r="P61" i="5"/>
  <c r="T61" i="5" s="1"/>
  <c r="AH61" i="5" s="1"/>
  <c r="AO60" i="5"/>
  <c r="AN60" i="5"/>
  <c r="AM60" i="5"/>
  <c r="U60" i="5"/>
  <c r="S60" i="5"/>
  <c r="R60" i="5"/>
  <c r="Q60" i="5"/>
  <c r="V60" i="5" s="1"/>
  <c r="P60" i="5"/>
  <c r="T60" i="5" s="1"/>
  <c r="AH60" i="5" s="1"/>
  <c r="AO59" i="5"/>
  <c r="AN59" i="5"/>
  <c r="AM59" i="5"/>
  <c r="AC59" i="5"/>
  <c r="AA59" i="5"/>
  <c r="AB59" i="5" s="1"/>
  <c r="Y59" i="5"/>
  <c r="Z59" i="5" s="1"/>
  <c r="F300" i="6" s="1"/>
  <c r="X59" i="5"/>
  <c r="W59" i="5"/>
  <c r="U59" i="5"/>
  <c r="T59" i="5"/>
  <c r="AH59" i="5" s="1"/>
  <c r="S59" i="5"/>
  <c r="R59" i="5"/>
  <c r="Q59" i="5"/>
  <c r="V59" i="5" s="1"/>
  <c r="P59" i="5"/>
  <c r="AO58" i="5"/>
  <c r="AN58" i="5"/>
  <c r="AM58" i="5"/>
  <c r="U58" i="5"/>
  <c r="T58" i="5"/>
  <c r="AH58" i="5" s="1"/>
  <c r="S58" i="5"/>
  <c r="R58" i="5"/>
  <c r="Q58" i="5"/>
  <c r="V58" i="5" s="1"/>
  <c r="P58" i="5"/>
  <c r="AO57" i="5"/>
  <c r="AN57" i="5"/>
  <c r="AM57" i="5"/>
  <c r="AL57" i="5"/>
  <c r="AD57" i="5"/>
  <c r="AC57" i="5"/>
  <c r="AA57" i="5"/>
  <c r="AB57" i="5" s="1"/>
  <c r="W57" i="5"/>
  <c r="Y57" i="5" s="1"/>
  <c r="V57" i="5"/>
  <c r="U57" i="5"/>
  <c r="T57" i="5"/>
  <c r="AH57" i="5" s="1"/>
  <c r="S57" i="5"/>
  <c r="R57" i="5"/>
  <c r="Q57" i="5"/>
  <c r="P57" i="5"/>
  <c r="AO56" i="5"/>
  <c r="AM56" i="5"/>
  <c r="U56" i="5"/>
  <c r="S56" i="5"/>
  <c r="R56" i="5"/>
  <c r="Q56" i="5"/>
  <c r="V56" i="5" s="1"/>
  <c r="P56" i="5"/>
  <c r="AO55" i="5"/>
  <c r="AN55" i="5"/>
  <c r="AM55" i="5"/>
  <c r="V55" i="5"/>
  <c r="U55" i="5"/>
  <c r="T55" i="5"/>
  <c r="AH55" i="5" s="1"/>
  <c r="S55" i="5"/>
  <c r="R55" i="5"/>
  <c r="Q55" i="5"/>
  <c r="P55" i="5"/>
  <c r="AO54" i="5"/>
  <c r="AM54" i="5"/>
  <c r="U54" i="5"/>
  <c r="S54" i="5"/>
  <c r="R54" i="5"/>
  <c r="Q54" i="5"/>
  <c r="V54" i="5" s="1"/>
  <c r="P54" i="5"/>
  <c r="AO53" i="5"/>
  <c r="AN53" i="5"/>
  <c r="AM53" i="5"/>
  <c r="V53" i="5"/>
  <c r="U53" i="5"/>
  <c r="T53" i="5"/>
  <c r="AH53" i="5" s="1"/>
  <c r="S53" i="5"/>
  <c r="R53" i="5"/>
  <c r="Q53" i="5"/>
  <c r="P53" i="5"/>
  <c r="AO52" i="5"/>
  <c r="AM52" i="5"/>
  <c r="AL52" i="5"/>
  <c r="Y52" i="5"/>
  <c r="U52" i="5"/>
  <c r="T52" i="5"/>
  <c r="AH52" i="5" s="1"/>
  <c r="S52" i="5"/>
  <c r="R52" i="5"/>
  <c r="Q52" i="5"/>
  <c r="V52" i="5" s="1"/>
  <c r="P52" i="5"/>
  <c r="AN52" i="5" s="1"/>
  <c r="AO51" i="5"/>
  <c r="AN51" i="5"/>
  <c r="AM51" i="5"/>
  <c r="AA51" i="5"/>
  <c r="Y51" i="5"/>
  <c r="X51" i="5"/>
  <c r="Z51" i="5" s="1"/>
  <c r="F238" i="6" s="1"/>
  <c r="W51" i="5"/>
  <c r="U51" i="5"/>
  <c r="T51" i="5"/>
  <c r="AH51" i="5" s="1"/>
  <c r="S51" i="5"/>
  <c r="R51" i="5"/>
  <c r="Q51" i="5"/>
  <c r="V51" i="5" s="1"/>
  <c r="P51" i="5"/>
  <c r="AO50" i="5"/>
  <c r="AM50" i="5"/>
  <c r="V50" i="5"/>
  <c r="U50" i="5"/>
  <c r="S50" i="5"/>
  <c r="R50" i="5"/>
  <c r="Q50" i="5"/>
  <c r="P50" i="5"/>
  <c r="AO49" i="5"/>
  <c r="AM49" i="5"/>
  <c r="AA49" i="5"/>
  <c r="Y49" i="5"/>
  <c r="W49" i="5"/>
  <c r="U49" i="5"/>
  <c r="S49" i="5"/>
  <c r="R49" i="5"/>
  <c r="Q49" i="5"/>
  <c r="V49" i="5" s="1"/>
  <c r="P49" i="5"/>
  <c r="AO48" i="5"/>
  <c r="AN48" i="5"/>
  <c r="AM48" i="5"/>
  <c r="AL48" i="5"/>
  <c r="AI48" i="5"/>
  <c r="AH48" i="5"/>
  <c r="U48" i="5"/>
  <c r="T48" i="5"/>
  <c r="S48" i="5"/>
  <c r="R48" i="5"/>
  <c r="Q48" i="5"/>
  <c r="V48" i="5" s="1"/>
  <c r="P48" i="5"/>
  <c r="AO47" i="5"/>
  <c r="AN47" i="5"/>
  <c r="AM47" i="5"/>
  <c r="V47" i="5"/>
  <c r="U47" i="5"/>
  <c r="T47" i="5"/>
  <c r="AH47" i="5" s="1"/>
  <c r="S47" i="5"/>
  <c r="R47" i="5"/>
  <c r="Q47" i="5"/>
  <c r="P47" i="5"/>
  <c r="AO46" i="5"/>
  <c r="AM46" i="5"/>
  <c r="AH46" i="5"/>
  <c r="AC46" i="5"/>
  <c r="AA46" i="5"/>
  <c r="V46" i="5"/>
  <c r="AL46" i="5" s="1"/>
  <c r="U46" i="5"/>
  <c r="S46" i="5"/>
  <c r="R46" i="5"/>
  <c r="Q46" i="5"/>
  <c r="P46" i="5"/>
  <c r="T46" i="5" s="1"/>
  <c r="AO45" i="5"/>
  <c r="AM45" i="5"/>
  <c r="U45" i="5"/>
  <c r="S45" i="5"/>
  <c r="R45" i="5"/>
  <c r="Q45" i="5"/>
  <c r="V45" i="5" s="1"/>
  <c r="P45" i="5"/>
  <c r="AO44" i="5"/>
  <c r="AM44" i="5"/>
  <c r="V44" i="5"/>
  <c r="U44" i="5"/>
  <c r="T44" i="5"/>
  <c r="AH44" i="5" s="1"/>
  <c r="S44" i="5"/>
  <c r="R44" i="5"/>
  <c r="Q44" i="5"/>
  <c r="P44" i="5"/>
  <c r="AN44" i="5" s="1"/>
  <c r="AO43" i="5"/>
  <c r="AM43" i="5"/>
  <c r="V43" i="5"/>
  <c r="U43" i="5"/>
  <c r="S43" i="5"/>
  <c r="R43" i="5"/>
  <c r="Q43" i="5"/>
  <c r="P43" i="5"/>
  <c r="AO42" i="5"/>
  <c r="AM42" i="5"/>
  <c r="U42" i="5"/>
  <c r="T42" i="5"/>
  <c r="AH42" i="5" s="1"/>
  <c r="S42" i="5"/>
  <c r="R42" i="5"/>
  <c r="Q42" i="5"/>
  <c r="V42" i="5" s="1"/>
  <c r="P42" i="5"/>
  <c r="AN42" i="5" s="1"/>
  <c r="AO41" i="5"/>
  <c r="AM41" i="5"/>
  <c r="AD41" i="5"/>
  <c r="AB41" i="5"/>
  <c r="AA41" i="5"/>
  <c r="AC41" i="5" s="1"/>
  <c r="W41" i="5"/>
  <c r="U41" i="5"/>
  <c r="S41" i="5"/>
  <c r="R41" i="5"/>
  <c r="Q41" i="5"/>
  <c r="V41" i="5" s="1"/>
  <c r="P41" i="5"/>
  <c r="AN41" i="5" s="1"/>
  <c r="AO40" i="5"/>
  <c r="AN40" i="5"/>
  <c r="AM40" i="5"/>
  <c r="U40" i="5"/>
  <c r="T40" i="5"/>
  <c r="AH40" i="5" s="1"/>
  <c r="S40" i="5"/>
  <c r="R40" i="5"/>
  <c r="Q40" i="5"/>
  <c r="V40" i="5" s="1"/>
  <c r="P40" i="5"/>
  <c r="AO39" i="5"/>
  <c r="AN39" i="5"/>
  <c r="AM39" i="5"/>
  <c r="V39" i="5"/>
  <c r="U39" i="5"/>
  <c r="T39" i="5"/>
  <c r="AH39" i="5" s="1"/>
  <c r="S39" i="5"/>
  <c r="R39" i="5"/>
  <c r="Q39" i="5"/>
  <c r="P39" i="5"/>
  <c r="AO38" i="5"/>
  <c r="AN38" i="5"/>
  <c r="AM38" i="5"/>
  <c r="AA38" i="5"/>
  <c r="U38" i="5"/>
  <c r="S38" i="5"/>
  <c r="R38" i="5"/>
  <c r="Q38" i="5"/>
  <c r="V38" i="5" s="1"/>
  <c r="P38" i="5"/>
  <c r="T38" i="5" s="1"/>
  <c r="AH38" i="5" s="1"/>
  <c r="AO37" i="5"/>
  <c r="AM37" i="5"/>
  <c r="U37" i="5"/>
  <c r="T37" i="5"/>
  <c r="AH37" i="5" s="1"/>
  <c r="S37" i="5"/>
  <c r="R37" i="5"/>
  <c r="Q37" i="5"/>
  <c r="V37" i="5" s="1"/>
  <c r="P37" i="5"/>
  <c r="AN37" i="5" s="1"/>
  <c r="AO36" i="5"/>
  <c r="AM36" i="5"/>
  <c r="U36" i="5"/>
  <c r="AR8" i="2" s="1"/>
  <c r="T36" i="5"/>
  <c r="AH36" i="5" s="1"/>
  <c r="S36" i="5"/>
  <c r="R36" i="5"/>
  <c r="Q36" i="5"/>
  <c r="V36" i="5" s="1"/>
  <c r="P36" i="5"/>
  <c r="AN36" i="5" s="1"/>
  <c r="AO35" i="5"/>
  <c r="AM35" i="5"/>
  <c r="U35" i="5"/>
  <c r="T35" i="5"/>
  <c r="AH35" i="5" s="1"/>
  <c r="S35" i="5"/>
  <c r="R35" i="5"/>
  <c r="Q35" i="5"/>
  <c r="V35" i="5" s="1"/>
  <c r="P35" i="5"/>
  <c r="AN35" i="5" s="1"/>
  <c r="AO34" i="5"/>
  <c r="AM34" i="5"/>
  <c r="U34" i="5"/>
  <c r="AR9" i="2" s="1"/>
  <c r="T34" i="5"/>
  <c r="AH34" i="5" s="1"/>
  <c r="S34" i="5"/>
  <c r="R34" i="5"/>
  <c r="Q34" i="5"/>
  <c r="V34" i="5" s="1"/>
  <c r="P34" i="5"/>
  <c r="AN34" i="5" s="1"/>
  <c r="AO33" i="5"/>
  <c r="AM33" i="5"/>
  <c r="U33" i="5"/>
  <c r="T33" i="5"/>
  <c r="AH33" i="5" s="1"/>
  <c r="S33" i="5"/>
  <c r="R33" i="5"/>
  <c r="Q33" i="5"/>
  <c r="V33" i="5" s="1"/>
  <c r="P33" i="5"/>
  <c r="AO32" i="5"/>
  <c r="AN32" i="5"/>
  <c r="AM32" i="5"/>
  <c r="Y32" i="5"/>
  <c r="W32" i="5"/>
  <c r="V32" i="5"/>
  <c r="U32" i="5"/>
  <c r="T32" i="5"/>
  <c r="AH32" i="5" s="1"/>
  <c r="S32" i="5"/>
  <c r="R32" i="5"/>
  <c r="Q32" i="5"/>
  <c r="N8" i="4" s="1"/>
  <c r="P32" i="5"/>
  <c r="AO31" i="5"/>
  <c r="AM31" i="5"/>
  <c r="AH31" i="5"/>
  <c r="V31" i="5"/>
  <c r="U31" i="5"/>
  <c r="T31" i="5"/>
  <c r="S31" i="5"/>
  <c r="R31" i="5"/>
  <c r="Q31" i="5"/>
  <c r="P31" i="5"/>
  <c r="AN31" i="5" s="1"/>
  <c r="AO30" i="5"/>
  <c r="AN30" i="5"/>
  <c r="AM30" i="5"/>
  <c r="AA30" i="5"/>
  <c r="V30" i="5"/>
  <c r="U30" i="5"/>
  <c r="S30" i="5"/>
  <c r="R30" i="5"/>
  <c r="Q30" i="5"/>
  <c r="P30" i="5"/>
  <c r="T30" i="5" s="1"/>
  <c r="AH30" i="5" s="1"/>
  <c r="AO29" i="5"/>
  <c r="AM29" i="5"/>
  <c r="U29" i="5"/>
  <c r="S29" i="5"/>
  <c r="R29" i="5"/>
  <c r="Q29" i="5"/>
  <c r="V29" i="5" s="1"/>
  <c r="P29" i="5"/>
  <c r="AO28" i="5"/>
  <c r="AM28" i="5"/>
  <c r="AA28" i="5"/>
  <c r="V28" i="5"/>
  <c r="U28" i="5"/>
  <c r="T28" i="5"/>
  <c r="AH28" i="5" s="1"/>
  <c r="S28" i="5"/>
  <c r="R28" i="5"/>
  <c r="Q28" i="5"/>
  <c r="P28" i="5"/>
  <c r="AN28" i="5" s="1"/>
  <c r="AO27" i="5"/>
  <c r="AM27" i="5"/>
  <c r="AL27" i="5"/>
  <c r="AI27" i="5"/>
  <c r="W27" i="5"/>
  <c r="U27" i="5"/>
  <c r="T27" i="5"/>
  <c r="AH27" i="5" s="1"/>
  <c r="S27" i="5"/>
  <c r="R27" i="5"/>
  <c r="Q27" i="5"/>
  <c r="V27" i="5" s="1"/>
  <c r="P27" i="5"/>
  <c r="AN27" i="5" s="1"/>
  <c r="AO26" i="5"/>
  <c r="AN26" i="5"/>
  <c r="AM26" i="5"/>
  <c r="AL26" i="5"/>
  <c r="AA26" i="5"/>
  <c r="V26" i="5"/>
  <c r="U26" i="5"/>
  <c r="T26" i="5"/>
  <c r="AH26" i="5" s="1"/>
  <c r="S26" i="5"/>
  <c r="R26" i="5"/>
  <c r="Q26" i="5"/>
  <c r="P26" i="5"/>
  <c r="AO25" i="5"/>
  <c r="AM25" i="5"/>
  <c r="AI25" i="5"/>
  <c r="U25" i="5"/>
  <c r="S25" i="5"/>
  <c r="R25" i="5"/>
  <c r="Q25" i="5"/>
  <c r="V25" i="5" s="1"/>
  <c r="P25" i="5"/>
  <c r="AO24" i="5"/>
  <c r="AN24" i="5"/>
  <c r="AM24" i="5"/>
  <c r="V24" i="5"/>
  <c r="U24" i="5"/>
  <c r="T24" i="5"/>
  <c r="AH24" i="5" s="1"/>
  <c r="S24" i="5"/>
  <c r="R24" i="5"/>
  <c r="Q24" i="5"/>
  <c r="P24" i="5"/>
  <c r="AO23" i="5"/>
  <c r="AN23" i="5"/>
  <c r="AM23" i="5"/>
  <c r="AH23" i="5"/>
  <c r="U23" i="5"/>
  <c r="S23" i="5"/>
  <c r="R23" i="5"/>
  <c r="Q23" i="5"/>
  <c r="V23" i="5" s="1"/>
  <c r="P23" i="5"/>
  <c r="T23" i="5" s="1"/>
  <c r="AO22" i="5"/>
  <c r="AM22" i="5"/>
  <c r="AA22" i="5"/>
  <c r="W22" i="5"/>
  <c r="Y22" i="5" s="1"/>
  <c r="V22" i="5"/>
  <c r="U22" i="5"/>
  <c r="S22" i="5"/>
  <c r="R22" i="5"/>
  <c r="Q22" i="5"/>
  <c r="P22" i="5"/>
  <c r="T22" i="5" s="1"/>
  <c r="AH22" i="5" s="1"/>
  <c r="AO21" i="5"/>
  <c r="AM21" i="5"/>
  <c r="AA21" i="5"/>
  <c r="W21" i="5"/>
  <c r="X21" i="5" s="1"/>
  <c r="V21" i="5"/>
  <c r="AL21" i="5" s="1"/>
  <c r="U21" i="5"/>
  <c r="S21" i="5"/>
  <c r="R21" i="5"/>
  <c r="Q21" i="5"/>
  <c r="P21" i="5"/>
  <c r="AO20" i="5"/>
  <c r="AM20" i="5"/>
  <c r="AL20" i="5"/>
  <c r="AH20" i="5"/>
  <c r="W20" i="5"/>
  <c r="V20" i="5"/>
  <c r="U20" i="5"/>
  <c r="T20" i="5"/>
  <c r="S20" i="5"/>
  <c r="R20" i="5"/>
  <c r="Q20" i="5"/>
  <c r="P20" i="5"/>
  <c r="AN20" i="5" s="1"/>
  <c r="AO19" i="5"/>
  <c r="AN19" i="5"/>
  <c r="AM19" i="5"/>
  <c r="AL19" i="5"/>
  <c r="AI19" i="5"/>
  <c r="U19" i="5"/>
  <c r="T19" i="5"/>
  <c r="AH19" i="5" s="1"/>
  <c r="S19" i="5"/>
  <c r="R19" i="5"/>
  <c r="Q19" i="5"/>
  <c r="V19" i="5" s="1"/>
  <c r="P19" i="5"/>
  <c r="AO18" i="5"/>
  <c r="AN18" i="5"/>
  <c r="AM18" i="5"/>
  <c r="V18" i="5"/>
  <c r="U18" i="5"/>
  <c r="T18" i="5"/>
  <c r="AH18" i="5" s="1"/>
  <c r="S18" i="5"/>
  <c r="R18" i="5"/>
  <c r="Q18" i="5"/>
  <c r="P18" i="5"/>
  <c r="AO17" i="5"/>
  <c r="AM17" i="5"/>
  <c r="AA17" i="5"/>
  <c r="W17" i="5"/>
  <c r="Y17" i="5" s="1"/>
  <c r="U17" i="5"/>
  <c r="AR10" i="2" s="1"/>
  <c r="S17" i="5"/>
  <c r="R17" i="5"/>
  <c r="Q17" i="5"/>
  <c r="V17" i="5" s="1"/>
  <c r="P17" i="5"/>
  <c r="AO16" i="5"/>
  <c r="AN16" i="5"/>
  <c r="AM16" i="5"/>
  <c r="AH16" i="5"/>
  <c r="V16" i="5"/>
  <c r="U16" i="5"/>
  <c r="T16" i="5"/>
  <c r="S16" i="5"/>
  <c r="R16" i="5"/>
  <c r="Q16" i="5"/>
  <c r="P16" i="5"/>
  <c r="AO15" i="5"/>
  <c r="AM15" i="5"/>
  <c r="V15" i="5"/>
  <c r="U15" i="5"/>
  <c r="S15" i="5"/>
  <c r="R15" i="5"/>
  <c r="Q15" i="5"/>
  <c r="P15" i="5"/>
  <c r="T15" i="5" s="1"/>
  <c r="AH15" i="5" s="1"/>
  <c r="AO14" i="5"/>
  <c r="AM14" i="5"/>
  <c r="AI14" i="5"/>
  <c r="AH14" i="5"/>
  <c r="AA14" i="5"/>
  <c r="V14" i="5"/>
  <c r="AL14" i="5" s="1"/>
  <c r="U14" i="5"/>
  <c r="S14" i="5"/>
  <c r="R14" i="5"/>
  <c r="Q14" i="5"/>
  <c r="P14" i="5"/>
  <c r="T14" i="5" s="1"/>
  <c r="AO13" i="5"/>
  <c r="AM13" i="5"/>
  <c r="U13" i="5"/>
  <c r="T13" i="5"/>
  <c r="AH13" i="5" s="1"/>
  <c r="S13" i="5"/>
  <c r="R13" i="5"/>
  <c r="Q13" i="5"/>
  <c r="V13" i="5" s="1"/>
  <c r="AL13" i="5" s="1"/>
  <c r="P13" i="5"/>
  <c r="AN13" i="5" s="1"/>
  <c r="AO12" i="5"/>
  <c r="AM12" i="5"/>
  <c r="U12" i="5"/>
  <c r="T12" i="5"/>
  <c r="AH12" i="5" s="1"/>
  <c r="S12" i="5"/>
  <c r="R12" i="5"/>
  <c r="Q12" i="5"/>
  <c r="V12" i="5" s="1"/>
  <c r="P12" i="5"/>
  <c r="AN12" i="5" s="1"/>
  <c r="AO11" i="5"/>
  <c r="AN11" i="5"/>
  <c r="AM11" i="5"/>
  <c r="U11" i="5"/>
  <c r="T11" i="5"/>
  <c r="AH11" i="5" s="1"/>
  <c r="S11" i="5"/>
  <c r="R11" i="5"/>
  <c r="Q11" i="5"/>
  <c r="P11" i="5"/>
  <c r="AO10" i="5"/>
  <c r="AN10" i="5"/>
  <c r="AM10" i="5"/>
  <c r="AH10" i="5"/>
  <c r="V10" i="5"/>
  <c r="U10" i="5"/>
  <c r="T10" i="5"/>
  <c r="S10" i="5"/>
  <c r="R10" i="5"/>
  <c r="Q10" i="5"/>
  <c r="P10" i="5"/>
  <c r="AO9" i="5"/>
  <c r="AN9" i="5"/>
  <c r="AM9" i="5"/>
  <c r="AK9" i="5"/>
  <c r="AI9" i="5"/>
  <c r="AH9" i="5"/>
  <c r="AD9" i="5"/>
  <c r="AB9" i="5"/>
  <c r="AA9" i="5"/>
  <c r="AC9" i="5" s="1"/>
  <c r="Y9" i="5"/>
  <c r="W9" i="5"/>
  <c r="X9" i="5" s="1"/>
  <c r="AJ9" i="5" s="1"/>
  <c r="V9" i="5"/>
  <c r="E49" i="6" s="1"/>
  <c r="U9" i="5"/>
  <c r="T9" i="5"/>
  <c r="S9" i="5"/>
  <c r="R9" i="5"/>
  <c r="Q9" i="5"/>
  <c r="P9" i="5"/>
  <c r="AO8" i="5"/>
  <c r="AN8" i="5"/>
  <c r="AM8" i="5"/>
  <c r="AL8" i="5"/>
  <c r="AI8" i="5"/>
  <c r="AH8" i="5"/>
  <c r="V8" i="5"/>
  <c r="U8" i="5"/>
  <c r="T8" i="5"/>
  <c r="S8" i="5"/>
  <c r="R8" i="5"/>
  <c r="Q8" i="5"/>
  <c r="P8" i="5"/>
  <c r="AO7" i="5"/>
  <c r="AN7" i="5"/>
  <c r="AM7" i="5"/>
  <c r="AH7" i="5"/>
  <c r="Y7" i="5"/>
  <c r="V7" i="5"/>
  <c r="U7" i="5"/>
  <c r="T7" i="5"/>
  <c r="S7" i="5"/>
  <c r="R7" i="5"/>
  <c r="Q7" i="5"/>
  <c r="W7" i="5" s="1"/>
  <c r="P7" i="5"/>
  <c r="AO6" i="5"/>
  <c r="AN6" i="5"/>
  <c r="AM6" i="5"/>
  <c r="AH6" i="5"/>
  <c r="AF6" i="5"/>
  <c r="AG6" i="5" s="1"/>
  <c r="AD6" i="5"/>
  <c r="AE6" i="5" s="1"/>
  <c r="AB6" i="5"/>
  <c r="AA6" i="5"/>
  <c r="AC6" i="5" s="1"/>
  <c r="Y6" i="5"/>
  <c r="V6" i="5"/>
  <c r="U6" i="5"/>
  <c r="S6" i="5"/>
  <c r="R6" i="5"/>
  <c r="Q6" i="5"/>
  <c r="P6" i="5"/>
  <c r="T6" i="5" s="1"/>
  <c r="AO5" i="5"/>
  <c r="AM5" i="5"/>
  <c r="AH5" i="5"/>
  <c r="AA5" i="5"/>
  <c r="Z5" i="5"/>
  <c r="F45" i="6" s="1"/>
  <c r="W5" i="5"/>
  <c r="X5" i="5" s="1"/>
  <c r="V5" i="5"/>
  <c r="U5" i="5"/>
  <c r="S5" i="5"/>
  <c r="R5" i="5"/>
  <c r="Q5" i="5"/>
  <c r="P5" i="5"/>
  <c r="T5" i="5" s="1"/>
  <c r="AO4" i="5"/>
  <c r="AM4" i="5"/>
  <c r="U4" i="5"/>
  <c r="S4" i="5"/>
  <c r="R4" i="5"/>
  <c r="Q4" i="5"/>
  <c r="P4" i="5"/>
  <c r="AO3" i="5"/>
  <c r="AN3" i="5"/>
  <c r="AM3" i="5"/>
  <c r="AL3" i="5"/>
  <c r="AJ3" i="5"/>
  <c r="AH3" i="5"/>
  <c r="W3" i="5"/>
  <c r="U3" i="5"/>
  <c r="S3" i="5"/>
  <c r="R3" i="5"/>
  <c r="Q3" i="5"/>
  <c r="V3" i="5" s="1"/>
  <c r="P3" i="5"/>
  <c r="T3" i="5" s="1"/>
  <c r="AO2" i="5"/>
  <c r="AM2" i="5"/>
  <c r="AH2" i="5"/>
  <c r="U2" i="5"/>
  <c r="S2" i="5"/>
  <c r="R2" i="5"/>
  <c r="Q2" i="5"/>
  <c r="P2" i="5"/>
  <c r="AW11" i="4"/>
  <c r="AO11" i="4"/>
  <c r="W11" i="4"/>
  <c r="V11" i="4"/>
  <c r="T11" i="4"/>
  <c r="R11" i="4"/>
  <c r="F425" i="6" s="1"/>
  <c r="Q11" i="4"/>
  <c r="P11" i="4"/>
  <c r="S11" i="4" s="1"/>
  <c r="O11" i="4"/>
  <c r="N11" i="4"/>
  <c r="AX10" i="4"/>
  <c r="AW10" i="4"/>
  <c r="AS10" i="4"/>
  <c r="X10" i="4"/>
  <c r="W10" i="4"/>
  <c r="V10" i="4"/>
  <c r="S10" i="4"/>
  <c r="R10" i="4"/>
  <c r="Q10" i="4"/>
  <c r="O10" i="2" s="1"/>
  <c r="P10" i="4"/>
  <c r="O10" i="4"/>
  <c r="N10" i="4"/>
  <c r="AW9" i="4"/>
  <c r="AS9" i="4"/>
  <c r="X9" i="4"/>
  <c r="W9" i="4"/>
  <c r="V9" i="4"/>
  <c r="U9" i="4"/>
  <c r="S9" i="4"/>
  <c r="R9" i="4"/>
  <c r="Q9" i="4"/>
  <c r="P9" i="4"/>
  <c r="O9" i="4"/>
  <c r="N9" i="4"/>
  <c r="AX9" i="4" s="1"/>
  <c r="AS9" i="2" s="1"/>
  <c r="AW8" i="4"/>
  <c r="AA8" i="4"/>
  <c r="X8" i="4"/>
  <c r="Y8" i="4" s="1"/>
  <c r="Z8" i="4" s="1"/>
  <c r="W8" i="4"/>
  <c r="V8" i="4"/>
  <c r="U8" i="4"/>
  <c r="T8" i="4"/>
  <c r="R8" i="4"/>
  <c r="Q8" i="4"/>
  <c r="O8" i="2" s="1"/>
  <c r="P8" i="4"/>
  <c r="O8" i="4"/>
  <c r="AW7" i="4"/>
  <c r="AO7" i="4"/>
  <c r="W7" i="4"/>
  <c r="V7" i="4"/>
  <c r="U7" i="4"/>
  <c r="T7" i="4"/>
  <c r="R7" i="4"/>
  <c r="Q7" i="4"/>
  <c r="P7" i="4"/>
  <c r="O7" i="4"/>
  <c r="AW6" i="4"/>
  <c r="U6" i="4"/>
  <c r="T6" i="4"/>
  <c r="R6" i="4"/>
  <c r="Q6" i="4"/>
  <c r="P6" i="4"/>
  <c r="O6" i="4"/>
  <c r="S6" i="4" s="1"/>
  <c r="AX5" i="4"/>
  <c r="AS5" i="2" s="1"/>
  <c r="AA5" i="2" s="1"/>
  <c r="AW5" i="4"/>
  <c r="AO5" i="4"/>
  <c r="S5" i="4"/>
  <c r="R5" i="4"/>
  <c r="Q5" i="4"/>
  <c r="O5" i="2" s="1"/>
  <c r="P5" i="2" s="1"/>
  <c r="AU5" i="2" s="1"/>
  <c r="P5" i="4"/>
  <c r="O5" i="4"/>
  <c r="N5" i="4"/>
  <c r="B24" i="3"/>
  <c r="B23" i="3"/>
  <c r="B22" i="3"/>
  <c r="A16" i="3"/>
  <c r="A15" i="3"/>
  <c r="A14" i="3"/>
  <c r="B13" i="3"/>
  <c r="A13" i="3"/>
  <c r="A12" i="3"/>
  <c r="A11" i="3"/>
  <c r="A10" i="3"/>
  <c r="B8" i="3"/>
  <c r="B7" i="3"/>
  <c r="B6" i="3"/>
  <c r="B5" i="3"/>
  <c r="B4" i="3"/>
  <c r="B3" i="3"/>
  <c r="B2" i="3"/>
  <c r="AE11" i="2"/>
  <c r="AD11" i="2"/>
  <c r="P11" i="2"/>
  <c r="AL11" i="2" s="1"/>
  <c r="O11" i="2"/>
  <c r="G11" i="2"/>
  <c r="B11" i="2"/>
  <c r="A11" i="2"/>
  <c r="AT10" i="2"/>
  <c r="AS10" i="2"/>
  <c r="AO10" i="2"/>
  <c r="AL10" i="2"/>
  <c r="AE10" i="2"/>
  <c r="AD10" i="2"/>
  <c r="P10" i="2"/>
  <c r="AU10" i="2" s="1"/>
  <c r="G10" i="2"/>
  <c r="D10" i="2"/>
  <c r="C15" i="3" s="1"/>
  <c r="C10" i="2"/>
  <c r="B10" i="2"/>
  <c r="B15" i="3" s="1"/>
  <c r="A10" i="2"/>
  <c r="AT9" i="2"/>
  <c r="AO9" i="2"/>
  <c r="AE9" i="2"/>
  <c r="AD9" i="2"/>
  <c r="O9" i="2"/>
  <c r="P9" i="2" s="1"/>
  <c r="AL9" i="2" s="1"/>
  <c r="G9" i="2"/>
  <c r="D9" i="2"/>
  <c r="C14" i="3" s="1"/>
  <c r="C9" i="2"/>
  <c r="B9" i="2"/>
  <c r="A9" i="2"/>
  <c r="AT8" i="2"/>
  <c r="AO8" i="2"/>
  <c r="AF8" i="2"/>
  <c r="AD8" i="2"/>
  <c r="P8" i="2"/>
  <c r="AL8" i="2" s="1"/>
  <c r="G8" i="2"/>
  <c r="D8" i="2"/>
  <c r="C13" i="3" s="1"/>
  <c r="C8" i="2"/>
  <c r="B8" i="2"/>
  <c r="A8" i="2"/>
  <c r="AT7" i="2"/>
  <c r="AO7" i="2"/>
  <c r="AE7" i="2"/>
  <c r="G7" i="2"/>
  <c r="B7" i="2"/>
  <c r="A7" i="2"/>
  <c r="AE6" i="2"/>
  <c r="G6" i="2"/>
  <c r="B6" i="2"/>
  <c r="A6" i="2"/>
  <c r="AT5" i="2"/>
  <c r="AR5" i="2"/>
  <c r="AL5" i="2"/>
  <c r="AE5" i="2"/>
  <c r="AD5" i="2"/>
  <c r="AB5" i="2"/>
  <c r="G5" i="2"/>
  <c r="D5" i="2"/>
  <c r="C10" i="3" s="1"/>
  <c r="C5" i="2"/>
  <c r="B5" i="2"/>
  <c r="A5" i="2"/>
  <c r="A140" i="1"/>
  <c r="AC139" i="1"/>
  <c r="AB139" i="1"/>
  <c r="O139" i="1"/>
  <c r="K139" i="1"/>
  <c r="J139" i="1"/>
  <c r="E139" i="1"/>
  <c r="D139" i="1"/>
  <c r="B139" i="1"/>
  <c r="A139" i="1"/>
  <c r="AC138" i="1"/>
  <c r="AB138" i="1"/>
  <c r="O138" i="1"/>
  <c r="K138" i="1"/>
  <c r="J138" i="1"/>
  <c r="I138" i="1"/>
  <c r="G138" i="1"/>
  <c r="F138" i="1"/>
  <c r="E138" i="1"/>
  <c r="D138" i="1"/>
  <c r="B138" i="1"/>
  <c r="A138" i="1"/>
  <c r="AC137" i="1"/>
  <c r="O137" i="1"/>
  <c r="K137" i="1"/>
  <c r="J137" i="1"/>
  <c r="G395" i="6" s="1"/>
  <c r="F137" i="1"/>
  <c r="E137" i="1"/>
  <c r="D137" i="1"/>
  <c r="A137" i="1"/>
  <c r="AC136" i="1"/>
  <c r="O136" i="1"/>
  <c r="K136" i="1"/>
  <c r="J136" i="1"/>
  <c r="G394" i="6" s="1"/>
  <c r="F136" i="1"/>
  <c r="E136" i="1"/>
  <c r="D394" i="6" s="1"/>
  <c r="D136" i="1"/>
  <c r="B136" i="1"/>
  <c r="A136" i="1"/>
  <c r="AC135" i="1"/>
  <c r="O135" i="1"/>
  <c r="K135" i="1"/>
  <c r="J135" i="1"/>
  <c r="G393" i="6" s="1"/>
  <c r="F135" i="1"/>
  <c r="E135" i="1"/>
  <c r="D393" i="6" s="1"/>
  <c r="D135" i="1"/>
  <c r="A135" i="1"/>
  <c r="AC134" i="1"/>
  <c r="O134" i="1"/>
  <c r="K134" i="1"/>
  <c r="J134" i="1"/>
  <c r="G392" i="6" s="1"/>
  <c r="F134" i="1"/>
  <c r="E134" i="1"/>
  <c r="D134" i="1"/>
  <c r="B134" i="1"/>
  <c r="A134" i="1"/>
  <c r="A133" i="1"/>
  <c r="A132" i="1"/>
  <c r="P131" i="1"/>
  <c r="A131" i="1"/>
  <c r="AC130" i="1"/>
  <c r="P130" i="1"/>
  <c r="G130" i="1" s="1"/>
  <c r="A130" i="1"/>
  <c r="AC129" i="1"/>
  <c r="O129" i="1"/>
  <c r="K129" i="1"/>
  <c r="J129" i="1"/>
  <c r="G387" i="6" s="1"/>
  <c r="F129" i="1"/>
  <c r="E129" i="1"/>
  <c r="D129" i="1"/>
  <c r="A129" i="1"/>
  <c r="AC128" i="1"/>
  <c r="O128" i="1"/>
  <c r="K128" i="1"/>
  <c r="J128" i="1"/>
  <c r="G386" i="6" s="1"/>
  <c r="G128" i="1"/>
  <c r="F128" i="1"/>
  <c r="E128" i="1"/>
  <c r="D386" i="6" s="1"/>
  <c r="D128" i="1"/>
  <c r="E386" i="6" s="1"/>
  <c r="B128" i="1"/>
  <c r="A128" i="1"/>
  <c r="AC127" i="1"/>
  <c r="Q127" i="1"/>
  <c r="Q128" i="1" s="1"/>
  <c r="O127" i="1"/>
  <c r="K127" i="1"/>
  <c r="J127" i="1"/>
  <c r="G385" i="6" s="1"/>
  <c r="G127" i="1"/>
  <c r="F127" i="1"/>
  <c r="E127" i="1"/>
  <c r="D385" i="6" s="1"/>
  <c r="D127" i="1"/>
  <c r="E385" i="6" s="1"/>
  <c r="A127" i="1"/>
  <c r="V126" i="1"/>
  <c r="T126" i="1"/>
  <c r="Q126" i="1"/>
  <c r="P126" i="1" s="1"/>
  <c r="A126" i="1"/>
  <c r="E125" i="1"/>
  <c r="B140" i="1" s="1"/>
  <c r="B125" i="1"/>
  <c r="A125" i="1"/>
  <c r="A124" i="1"/>
  <c r="AC123" i="1"/>
  <c r="AB123" i="1"/>
  <c r="O123" i="1"/>
  <c r="K123" i="1"/>
  <c r="J123" i="1"/>
  <c r="E123" i="1"/>
  <c r="B123" i="1" s="1"/>
  <c r="D123" i="1"/>
  <c r="A123" i="1"/>
  <c r="AC122" i="1"/>
  <c r="AB122" i="1"/>
  <c r="O122" i="1"/>
  <c r="K122" i="1"/>
  <c r="J122" i="1"/>
  <c r="I122" i="1"/>
  <c r="V122" i="1" s="1"/>
  <c r="G122" i="1"/>
  <c r="F122" i="1"/>
  <c r="E122" i="1"/>
  <c r="B122" i="1" s="1"/>
  <c r="D122" i="1"/>
  <c r="A122" i="1"/>
  <c r="AC121" i="1"/>
  <c r="O121" i="1"/>
  <c r="K121" i="1"/>
  <c r="J121" i="1"/>
  <c r="G331" i="6" s="1"/>
  <c r="F121" i="1"/>
  <c r="E121" i="1"/>
  <c r="D121" i="1"/>
  <c r="A121" i="1"/>
  <c r="AC120" i="1"/>
  <c r="O120" i="1"/>
  <c r="K120" i="1"/>
  <c r="J120" i="1"/>
  <c r="G330" i="6" s="1"/>
  <c r="F120" i="1"/>
  <c r="E120" i="1"/>
  <c r="D120" i="1"/>
  <c r="A120" i="1"/>
  <c r="AC119" i="1"/>
  <c r="O119" i="1"/>
  <c r="K119" i="1"/>
  <c r="J119" i="1"/>
  <c r="G329" i="6" s="1"/>
  <c r="F119" i="1"/>
  <c r="E119" i="1"/>
  <c r="D329" i="6" s="1"/>
  <c r="D119" i="1"/>
  <c r="B119" i="1"/>
  <c r="A119" i="1"/>
  <c r="AC118" i="1"/>
  <c r="O118" i="1"/>
  <c r="K118" i="1"/>
  <c r="J118" i="1"/>
  <c r="G328" i="6" s="1"/>
  <c r="F118" i="1"/>
  <c r="E118" i="1"/>
  <c r="D118" i="1"/>
  <c r="A118" i="1"/>
  <c r="A117" i="1"/>
  <c r="A116" i="1"/>
  <c r="P115" i="1"/>
  <c r="O115" i="1" s="1"/>
  <c r="A115" i="1"/>
  <c r="P114" i="1"/>
  <c r="D114" i="1"/>
  <c r="E324" i="6" s="1"/>
  <c r="A114" i="1"/>
  <c r="AC113" i="1"/>
  <c r="O113" i="1"/>
  <c r="K113" i="1"/>
  <c r="J113" i="1"/>
  <c r="G323" i="6" s="1"/>
  <c r="G113" i="1"/>
  <c r="F113" i="1"/>
  <c r="E113" i="1"/>
  <c r="D323" i="6" s="1"/>
  <c r="D113" i="1"/>
  <c r="A113" i="1"/>
  <c r="AC112" i="1"/>
  <c r="O112" i="1"/>
  <c r="K112" i="1"/>
  <c r="J112" i="1"/>
  <c r="G322" i="6" s="1"/>
  <c r="F112" i="1"/>
  <c r="E112" i="1"/>
  <c r="D112" i="1"/>
  <c r="A112" i="1"/>
  <c r="AC111" i="1"/>
  <c r="O111" i="1"/>
  <c r="K111" i="1"/>
  <c r="J111" i="1"/>
  <c r="G321" i="6" s="1"/>
  <c r="F111" i="1"/>
  <c r="E111" i="1"/>
  <c r="D321" i="6" s="1"/>
  <c r="D111" i="1"/>
  <c r="E321" i="6" s="1"/>
  <c r="A111" i="1"/>
  <c r="AC110" i="1"/>
  <c r="O110" i="1"/>
  <c r="K110" i="1"/>
  <c r="J110" i="1"/>
  <c r="G320" i="6" s="1"/>
  <c r="G110" i="1"/>
  <c r="F110" i="1"/>
  <c r="E110" i="1"/>
  <c r="D320" i="6" s="1"/>
  <c r="D110" i="1"/>
  <c r="E320" i="6" s="1"/>
  <c r="B110" i="1"/>
  <c r="A110" i="1"/>
  <c r="AC109" i="1"/>
  <c r="O109" i="1"/>
  <c r="K109" i="1"/>
  <c r="J109" i="1"/>
  <c r="G319" i="6" s="1"/>
  <c r="F109" i="1"/>
  <c r="E109" i="1"/>
  <c r="D319" i="6" s="1"/>
  <c r="D109" i="1"/>
  <c r="E319" i="6" s="1"/>
  <c r="A109" i="1"/>
  <c r="V108" i="1"/>
  <c r="T108" i="1"/>
  <c r="Q108" i="1"/>
  <c r="A318" i="6" s="1"/>
  <c r="P108" i="1"/>
  <c r="J108" i="1" s="1"/>
  <c r="G318" i="6" s="1"/>
  <c r="O108" i="1"/>
  <c r="K108" i="1"/>
  <c r="A108" i="1"/>
  <c r="E107" i="1"/>
  <c r="B107" i="1" s="1"/>
  <c r="A107" i="1"/>
  <c r="A106" i="1"/>
  <c r="AC105" i="1"/>
  <c r="AB105" i="1"/>
  <c r="O105" i="1"/>
  <c r="K105" i="1"/>
  <c r="J105" i="1"/>
  <c r="E105" i="1"/>
  <c r="D105" i="1"/>
  <c r="B105" i="1"/>
  <c r="A105" i="1"/>
  <c r="AC104" i="1"/>
  <c r="AB104" i="1"/>
  <c r="O104" i="1"/>
  <c r="K104" i="1"/>
  <c r="J104" i="1"/>
  <c r="I104" i="1"/>
  <c r="V104" i="1" s="1"/>
  <c r="G104" i="1"/>
  <c r="F104" i="1"/>
  <c r="E104" i="1"/>
  <c r="B104" i="1" s="1"/>
  <c r="D104" i="1"/>
  <c r="A104" i="1"/>
  <c r="AC103" i="1"/>
  <c r="O103" i="1"/>
  <c r="K103" i="1"/>
  <c r="J103" i="1"/>
  <c r="G272" i="6" s="1"/>
  <c r="F103" i="1"/>
  <c r="E103" i="1"/>
  <c r="D103" i="1"/>
  <c r="A103" i="1"/>
  <c r="AC102" i="1"/>
  <c r="O102" i="1"/>
  <c r="K102" i="1"/>
  <c r="J102" i="1"/>
  <c r="G271" i="6" s="1"/>
  <c r="F102" i="1"/>
  <c r="E102" i="1"/>
  <c r="D271" i="6" s="1"/>
  <c r="D102" i="1"/>
  <c r="B102" i="1"/>
  <c r="A102" i="1"/>
  <c r="AC101" i="1"/>
  <c r="O101" i="1"/>
  <c r="K101" i="1"/>
  <c r="J101" i="1"/>
  <c r="G270" i="6" s="1"/>
  <c r="F101" i="1"/>
  <c r="E101" i="1"/>
  <c r="D270" i="6" s="1"/>
  <c r="D101" i="1"/>
  <c r="B101" i="1"/>
  <c r="A101" i="1"/>
  <c r="AC100" i="1"/>
  <c r="O100" i="1"/>
  <c r="K100" i="1"/>
  <c r="J100" i="1"/>
  <c r="G269" i="6" s="1"/>
  <c r="F100" i="1"/>
  <c r="E100" i="1"/>
  <c r="D269" i="6" s="1"/>
  <c r="D100" i="1"/>
  <c r="B100" i="1"/>
  <c r="A100" i="1"/>
  <c r="AC99" i="1"/>
  <c r="O99" i="1"/>
  <c r="K99" i="1"/>
  <c r="J99" i="1"/>
  <c r="G268" i="6" s="1"/>
  <c r="F99" i="1"/>
  <c r="E99" i="1"/>
  <c r="D268" i="6" s="1"/>
  <c r="D99" i="1"/>
  <c r="B99" i="1"/>
  <c r="A99" i="1"/>
  <c r="AC98" i="1"/>
  <c r="O98" i="1"/>
  <c r="K98" i="1"/>
  <c r="J98" i="1"/>
  <c r="G267" i="6" s="1"/>
  <c r="F98" i="1"/>
  <c r="E98" i="1"/>
  <c r="D98" i="1"/>
  <c r="A98" i="1"/>
  <c r="AC97" i="1"/>
  <c r="O97" i="1"/>
  <c r="K97" i="1"/>
  <c r="J97" i="1"/>
  <c r="G266" i="6" s="1"/>
  <c r="F97" i="1"/>
  <c r="E97" i="1"/>
  <c r="D266" i="6" s="1"/>
  <c r="D97" i="1"/>
  <c r="B97" i="1"/>
  <c r="A97" i="1"/>
  <c r="AC96" i="1"/>
  <c r="O96" i="1"/>
  <c r="K96" i="1"/>
  <c r="J96" i="1"/>
  <c r="G265" i="6" s="1"/>
  <c r="F96" i="1"/>
  <c r="E96" i="1"/>
  <c r="D265" i="6" s="1"/>
  <c r="D96" i="1"/>
  <c r="A96" i="1"/>
  <c r="AC95" i="1"/>
  <c r="O95" i="1"/>
  <c r="K95" i="1"/>
  <c r="J95" i="1"/>
  <c r="G264" i="6" s="1"/>
  <c r="F95" i="1"/>
  <c r="E95" i="1"/>
  <c r="D95" i="1"/>
  <c r="A95" i="1"/>
  <c r="AC94" i="1"/>
  <c r="O94" i="1"/>
  <c r="K94" i="1"/>
  <c r="J94" i="1"/>
  <c r="G263" i="6" s="1"/>
  <c r="F94" i="1"/>
  <c r="E94" i="1"/>
  <c r="D94" i="1"/>
  <c r="A94" i="1"/>
  <c r="A93" i="1"/>
  <c r="A92" i="1"/>
  <c r="P91" i="1"/>
  <c r="G91" i="1" s="1"/>
  <c r="A91" i="1"/>
  <c r="P90" i="1"/>
  <c r="Z90" i="1" s="1"/>
  <c r="K90" i="1"/>
  <c r="G90" i="1"/>
  <c r="F90" i="1"/>
  <c r="A90" i="1"/>
  <c r="AC89" i="1"/>
  <c r="O89" i="1"/>
  <c r="K89" i="1"/>
  <c r="J89" i="1"/>
  <c r="G258" i="6" s="1"/>
  <c r="F89" i="1"/>
  <c r="E89" i="1"/>
  <c r="D258" i="6" s="1"/>
  <c r="D89" i="1"/>
  <c r="A89" i="1"/>
  <c r="AC88" i="1"/>
  <c r="O88" i="1"/>
  <c r="K88" i="1"/>
  <c r="J88" i="1"/>
  <c r="G257" i="6" s="1"/>
  <c r="F88" i="1"/>
  <c r="E88" i="1"/>
  <c r="D88" i="1"/>
  <c r="E257" i="6" s="1"/>
  <c r="A88" i="1"/>
  <c r="AC87" i="1"/>
  <c r="O87" i="1"/>
  <c r="K87" i="1"/>
  <c r="J87" i="1"/>
  <c r="G256" i="6" s="1"/>
  <c r="F87" i="1"/>
  <c r="E87" i="1"/>
  <c r="D87" i="1"/>
  <c r="E256" i="6" s="1"/>
  <c r="A87" i="1"/>
  <c r="AC86" i="1"/>
  <c r="O86" i="1"/>
  <c r="K86" i="1"/>
  <c r="J86" i="1"/>
  <c r="G255" i="6" s="1"/>
  <c r="F86" i="1"/>
  <c r="E86" i="1"/>
  <c r="D255" i="6" s="1"/>
  <c r="D86" i="1"/>
  <c r="E255" i="6" s="1"/>
  <c r="A86" i="1"/>
  <c r="AC85" i="1"/>
  <c r="Q85" i="1"/>
  <c r="I85" i="1" s="1"/>
  <c r="O85" i="1"/>
  <c r="K85" i="1"/>
  <c r="J85" i="1"/>
  <c r="G254" i="6" s="1"/>
  <c r="F85" i="1"/>
  <c r="E85" i="1"/>
  <c r="D85" i="1"/>
  <c r="E254" i="6" s="1"/>
  <c r="A85" i="1"/>
  <c r="V84" i="1"/>
  <c r="T84" i="1"/>
  <c r="Q84" i="1"/>
  <c r="A253" i="6" s="1"/>
  <c r="P84" i="1"/>
  <c r="O84" i="1"/>
  <c r="A84" i="1"/>
  <c r="E83" i="1"/>
  <c r="B106" i="1" s="1"/>
  <c r="A83" i="1"/>
  <c r="B82" i="1"/>
  <c r="A82" i="1"/>
  <c r="AC81" i="1"/>
  <c r="AB81" i="1"/>
  <c r="O81" i="1"/>
  <c r="K81" i="1"/>
  <c r="J81" i="1"/>
  <c r="E81" i="1"/>
  <c r="B81" i="1" s="1"/>
  <c r="D81" i="1"/>
  <c r="A81" i="1"/>
  <c r="AC80" i="1"/>
  <c r="AB80" i="1"/>
  <c r="O80" i="1"/>
  <c r="K80" i="1"/>
  <c r="J80" i="1"/>
  <c r="I80" i="1"/>
  <c r="V80" i="1" s="1"/>
  <c r="G80" i="1"/>
  <c r="F80" i="1"/>
  <c r="E80" i="1"/>
  <c r="B80" i="1" s="1"/>
  <c r="D80" i="1"/>
  <c r="A80" i="1"/>
  <c r="AC79" i="1"/>
  <c r="O79" i="1"/>
  <c r="K79" i="1"/>
  <c r="J79" i="1"/>
  <c r="G198" i="6" s="1"/>
  <c r="F79" i="1"/>
  <c r="E79" i="1"/>
  <c r="D198" i="6" s="1"/>
  <c r="D79" i="1"/>
  <c r="B79" i="1"/>
  <c r="A79" i="1"/>
  <c r="AC78" i="1"/>
  <c r="O78" i="1"/>
  <c r="K78" i="1"/>
  <c r="J78" i="1"/>
  <c r="G197" i="6" s="1"/>
  <c r="F78" i="1"/>
  <c r="E78" i="1"/>
  <c r="D78" i="1"/>
  <c r="A78" i="1"/>
  <c r="AC77" i="1"/>
  <c r="O77" i="1"/>
  <c r="K77" i="1"/>
  <c r="J77" i="1"/>
  <c r="G196" i="6" s="1"/>
  <c r="F77" i="1"/>
  <c r="E77" i="1"/>
  <c r="D196" i="6" s="1"/>
  <c r="D77" i="1"/>
  <c r="B77" i="1"/>
  <c r="A77" i="1"/>
  <c r="AC76" i="1"/>
  <c r="O76" i="1"/>
  <c r="K76" i="1"/>
  <c r="J76" i="1"/>
  <c r="G195" i="6" s="1"/>
  <c r="F76" i="1"/>
  <c r="E76" i="1"/>
  <c r="D76" i="1"/>
  <c r="A76" i="1"/>
  <c r="AC75" i="1"/>
  <c r="O75" i="1"/>
  <c r="K75" i="1"/>
  <c r="J75" i="1"/>
  <c r="G194" i="6" s="1"/>
  <c r="F75" i="1"/>
  <c r="E75" i="1"/>
  <c r="D75" i="1"/>
  <c r="A75" i="1"/>
  <c r="A74" i="1"/>
  <c r="A73" i="1"/>
  <c r="AB72" i="1"/>
  <c r="Z72" i="1"/>
  <c r="P72" i="1"/>
  <c r="K72" i="1" s="1"/>
  <c r="O72" i="1"/>
  <c r="M72" i="1"/>
  <c r="F72" i="1"/>
  <c r="D72" i="1"/>
  <c r="E191" i="6" s="1"/>
  <c r="A72" i="1"/>
  <c r="P71" i="1"/>
  <c r="J71" i="1" s="1"/>
  <c r="G190" i="6" s="1"/>
  <c r="O71" i="1"/>
  <c r="M71" i="1"/>
  <c r="K71" i="1"/>
  <c r="A71" i="1"/>
  <c r="AC70" i="1"/>
  <c r="O70" i="1"/>
  <c r="K70" i="1"/>
  <c r="J70" i="1"/>
  <c r="G189" i="6" s="1"/>
  <c r="G70" i="1"/>
  <c r="F70" i="1"/>
  <c r="E70" i="1"/>
  <c r="D189" i="6" s="1"/>
  <c r="D70" i="1"/>
  <c r="B70" i="1"/>
  <c r="A70" i="1"/>
  <c r="AC69" i="1"/>
  <c r="O69" i="1"/>
  <c r="K69" i="1"/>
  <c r="J69" i="1"/>
  <c r="G188" i="6" s="1"/>
  <c r="F69" i="1"/>
  <c r="E69" i="1"/>
  <c r="D188" i="6" s="1"/>
  <c r="D69" i="1"/>
  <c r="E188" i="6" s="1"/>
  <c r="A69" i="1"/>
  <c r="AC68" i="1"/>
  <c r="O68" i="1"/>
  <c r="K68" i="1"/>
  <c r="J68" i="1"/>
  <c r="G187" i="6" s="1"/>
  <c r="F68" i="1"/>
  <c r="E68" i="1"/>
  <c r="D187" i="6" s="1"/>
  <c r="D68" i="1"/>
  <c r="E187" i="6" s="1"/>
  <c r="B68" i="1"/>
  <c r="A68" i="1"/>
  <c r="AC67" i="1"/>
  <c r="O67" i="1"/>
  <c r="K67" i="1"/>
  <c r="J67" i="1"/>
  <c r="G186" i="6" s="1"/>
  <c r="F67" i="1"/>
  <c r="E67" i="1"/>
  <c r="D67" i="1"/>
  <c r="E186" i="6" s="1"/>
  <c r="A67" i="1"/>
  <c r="V66" i="1"/>
  <c r="T66" i="1"/>
  <c r="Q66" i="1"/>
  <c r="A185" i="6" s="1"/>
  <c r="P66" i="1"/>
  <c r="K66" i="1" s="1"/>
  <c r="A66" i="1"/>
  <c r="E65" i="1"/>
  <c r="B65" i="1"/>
  <c r="A65" i="1"/>
  <c r="A64" i="1"/>
  <c r="AC63" i="1"/>
  <c r="AB63" i="1"/>
  <c r="O63" i="1"/>
  <c r="K63" i="1"/>
  <c r="J63" i="1"/>
  <c r="E63" i="1"/>
  <c r="B63" i="1" s="1"/>
  <c r="D63" i="1"/>
  <c r="A63" i="1"/>
  <c r="AC62" i="1"/>
  <c r="AB62" i="1"/>
  <c r="O62" i="1"/>
  <c r="K62" i="1"/>
  <c r="J62" i="1"/>
  <c r="I62" i="1"/>
  <c r="V62" i="1" s="1"/>
  <c r="G62" i="1"/>
  <c r="F62" i="1"/>
  <c r="E62" i="1"/>
  <c r="B62" i="1" s="1"/>
  <c r="D62" i="1"/>
  <c r="A62" i="1"/>
  <c r="AC61" i="1"/>
  <c r="O61" i="1"/>
  <c r="K61" i="1"/>
  <c r="J61" i="1"/>
  <c r="G136" i="6" s="1"/>
  <c r="F61" i="1"/>
  <c r="E61" i="1"/>
  <c r="D136" i="6" s="1"/>
  <c r="D61" i="1"/>
  <c r="B61" i="1"/>
  <c r="A61" i="1"/>
  <c r="AC60" i="1"/>
  <c r="O60" i="1"/>
  <c r="K60" i="1"/>
  <c r="J60" i="1"/>
  <c r="G135" i="6" s="1"/>
  <c r="F60" i="1"/>
  <c r="E60" i="1"/>
  <c r="D60" i="1"/>
  <c r="A60" i="1"/>
  <c r="AC59" i="1"/>
  <c r="O59" i="1"/>
  <c r="K59" i="1"/>
  <c r="J59" i="1"/>
  <c r="G134" i="6" s="1"/>
  <c r="F59" i="1"/>
  <c r="E59" i="1"/>
  <c r="D134" i="6" s="1"/>
  <c r="D59" i="1"/>
  <c r="B59" i="1"/>
  <c r="A59" i="1"/>
  <c r="AC58" i="1"/>
  <c r="O58" i="1"/>
  <c r="K58" i="1"/>
  <c r="J58" i="1"/>
  <c r="G133" i="6" s="1"/>
  <c r="F58" i="1"/>
  <c r="E58" i="1"/>
  <c r="D58" i="1"/>
  <c r="A58" i="1"/>
  <c r="A57" i="1"/>
  <c r="A56" i="1"/>
  <c r="AC55" i="1"/>
  <c r="Z55" i="1"/>
  <c r="P55" i="1"/>
  <c r="M55" i="1" s="1"/>
  <c r="O55" i="1"/>
  <c r="K55" i="1"/>
  <c r="J55" i="1"/>
  <c r="G130" i="6" s="1"/>
  <c r="F55" i="1"/>
  <c r="D55" i="1"/>
  <c r="E130" i="6" s="1"/>
  <c r="A55" i="1"/>
  <c r="P54" i="1"/>
  <c r="Z54" i="1" s="1"/>
  <c r="M54" i="1"/>
  <c r="F54" i="1"/>
  <c r="A54" i="1"/>
  <c r="AC53" i="1"/>
  <c r="O53" i="1"/>
  <c r="K53" i="1"/>
  <c r="J53" i="1"/>
  <c r="G128" i="6" s="1"/>
  <c r="F53" i="1"/>
  <c r="E53" i="1"/>
  <c r="D128" i="6" s="1"/>
  <c r="D53" i="1"/>
  <c r="B53" i="1"/>
  <c r="A53" i="1"/>
  <c r="AC52" i="1"/>
  <c r="O52" i="1"/>
  <c r="K52" i="1"/>
  <c r="J52" i="1"/>
  <c r="G127" i="6" s="1"/>
  <c r="F52" i="1"/>
  <c r="E52" i="1"/>
  <c r="D127" i="6" s="1"/>
  <c r="D52" i="1"/>
  <c r="E127" i="6" s="1"/>
  <c r="B52" i="1"/>
  <c r="A52" i="1"/>
  <c r="AC51" i="1"/>
  <c r="O51" i="1"/>
  <c r="K51" i="1"/>
  <c r="J51" i="1"/>
  <c r="G126" i="6" s="1"/>
  <c r="F51" i="1"/>
  <c r="E51" i="1"/>
  <c r="D51" i="1"/>
  <c r="E126" i="6" s="1"/>
  <c r="A51" i="1"/>
  <c r="V50" i="1"/>
  <c r="T50" i="1"/>
  <c r="Q50" i="1"/>
  <c r="A50" i="1"/>
  <c r="E49" i="1"/>
  <c r="B64" i="1" s="1"/>
  <c r="A49" i="1"/>
  <c r="A48" i="1"/>
  <c r="AC47" i="1"/>
  <c r="AB47" i="1"/>
  <c r="O47" i="1"/>
  <c r="K47" i="1"/>
  <c r="J47" i="1"/>
  <c r="E47" i="1"/>
  <c r="D47" i="1"/>
  <c r="B47" i="1"/>
  <c r="A47" i="1"/>
  <c r="AC46" i="1"/>
  <c r="AB46" i="1"/>
  <c r="O46" i="1"/>
  <c r="K46" i="1"/>
  <c r="J46" i="1"/>
  <c r="I46" i="1"/>
  <c r="V46" i="1" s="1"/>
  <c r="G46" i="1"/>
  <c r="F46" i="1"/>
  <c r="E46" i="1"/>
  <c r="B46" i="1" s="1"/>
  <c r="D46" i="1"/>
  <c r="A46" i="1"/>
  <c r="AC45" i="1"/>
  <c r="O45" i="1"/>
  <c r="K45" i="1"/>
  <c r="J45" i="1"/>
  <c r="G83" i="6" s="1"/>
  <c r="F45" i="1"/>
  <c r="E45" i="1"/>
  <c r="D83" i="6" s="1"/>
  <c r="D45" i="1"/>
  <c r="B45" i="1"/>
  <c r="A45" i="1"/>
  <c r="AC44" i="1"/>
  <c r="O44" i="1"/>
  <c r="K44" i="1"/>
  <c r="J44" i="1"/>
  <c r="G82" i="6" s="1"/>
  <c r="G44" i="1"/>
  <c r="F44" i="1"/>
  <c r="E44" i="1"/>
  <c r="D82" i="6" s="1"/>
  <c r="D44" i="1"/>
  <c r="B44" i="1"/>
  <c r="A44" i="1"/>
  <c r="AC43" i="1"/>
  <c r="O43" i="1"/>
  <c r="K43" i="1"/>
  <c r="J43" i="1"/>
  <c r="G81" i="6" s="1"/>
  <c r="F43" i="1"/>
  <c r="E43" i="1"/>
  <c r="D81" i="6" s="1"/>
  <c r="D43" i="1"/>
  <c r="B43" i="1"/>
  <c r="A43" i="1"/>
  <c r="AC42" i="1"/>
  <c r="O42" i="1"/>
  <c r="K42" i="1"/>
  <c r="J42" i="1"/>
  <c r="G80" i="6" s="1"/>
  <c r="F42" i="1"/>
  <c r="E42" i="1"/>
  <c r="D42" i="1"/>
  <c r="A42" i="1"/>
  <c r="AC41" i="1"/>
  <c r="O41" i="1"/>
  <c r="K41" i="1"/>
  <c r="J41" i="1"/>
  <c r="G79" i="6" s="1"/>
  <c r="F41" i="1"/>
  <c r="E41" i="1"/>
  <c r="D79" i="6" s="1"/>
  <c r="D41" i="1"/>
  <c r="A41" i="1"/>
  <c r="AC40" i="1"/>
  <c r="O40" i="1"/>
  <c r="K40" i="1"/>
  <c r="J40" i="1"/>
  <c r="G78" i="6" s="1"/>
  <c r="F40" i="1"/>
  <c r="E40" i="1"/>
  <c r="D78" i="6" s="1"/>
  <c r="D40" i="1"/>
  <c r="B40" i="1"/>
  <c r="A40" i="1"/>
  <c r="AC39" i="1"/>
  <c r="O39" i="1"/>
  <c r="K39" i="1"/>
  <c r="J39" i="1"/>
  <c r="G77" i="6" s="1"/>
  <c r="F39" i="1"/>
  <c r="E39" i="1"/>
  <c r="D77" i="6" s="1"/>
  <c r="D39" i="1"/>
  <c r="A39" i="1"/>
  <c r="AC38" i="1"/>
  <c r="O38" i="1"/>
  <c r="K38" i="1"/>
  <c r="J38" i="1"/>
  <c r="G76" i="6" s="1"/>
  <c r="F38" i="1"/>
  <c r="E38" i="1"/>
  <c r="D38" i="1"/>
  <c r="A38" i="1"/>
  <c r="A37" i="1"/>
  <c r="A36" i="1"/>
  <c r="P35" i="1"/>
  <c r="K35" i="1" s="1"/>
  <c r="O35" i="1"/>
  <c r="A35" i="1"/>
  <c r="P34" i="1"/>
  <c r="Z34" i="1" s="1"/>
  <c r="O34" i="1"/>
  <c r="M34" i="1"/>
  <c r="K34" i="1"/>
  <c r="J34" i="1"/>
  <c r="G72" i="6" s="1"/>
  <c r="G34" i="1"/>
  <c r="F34" i="1"/>
  <c r="E34" i="1"/>
  <c r="D72" i="6" s="1"/>
  <c r="D34" i="1"/>
  <c r="E72" i="6" s="1"/>
  <c r="B34" i="1"/>
  <c r="A34" i="1"/>
  <c r="AC33" i="1"/>
  <c r="O33" i="1"/>
  <c r="K33" i="1"/>
  <c r="J33" i="1"/>
  <c r="G71" i="6" s="1"/>
  <c r="F33" i="1"/>
  <c r="E33" i="1"/>
  <c r="D71" i="6" s="1"/>
  <c r="D33" i="1"/>
  <c r="B33" i="1"/>
  <c r="A33" i="1"/>
  <c r="AC32" i="1"/>
  <c r="O32" i="1"/>
  <c r="K32" i="1"/>
  <c r="J32" i="1"/>
  <c r="G70" i="6" s="1"/>
  <c r="F32" i="1"/>
  <c r="E32" i="1"/>
  <c r="D32" i="1"/>
  <c r="E70" i="6" s="1"/>
  <c r="A32" i="1"/>
  <c r="AC31" i="1"/>
  <c r="O31" i="1"/>
  <c r="K31" i="1"/>
  <c r="J31" i="1"/>
  <c r="G69" i="6" s="1"/>
  <c r="F31" i="1"/>
  <c r="E31" i="1"/>
  <c r="D69" i="6" s="1"/>
  <c r="D31" i="1"/>
  <c r="E69" i="6" s="1"/>
  <c r="B31" i="1"/>
  <c r="A31" i="1"/>
  <c r="AC30" i="1"/>
  <c r="O30" i="1"/>
  <c r="K30" i="1"/>
  <c r="J30" i="1"/>
  <c r="G68" i="6" s="1"/>
  <c r="G30" i="1"/>
  <c r="F30" i="1"/>
  <c r="E30" i="1"/>
  <c r="D68" i="6" s="1"/>
  <c r="D30" i="1"/>
  <c r="E68" i="6" s="1"/>
  <c r="A30" i="1"/>
  <c r="AC29" i="1"/>
  <c r="O29" i="1"/>
  <c r="K29" i="1"/>
  <c r="J29" i="1"/>
  <c r="G67" i="6" s="1"/>
  <c r="F29" i="1"/>
  <c r="E29" i="1"/>
  <c r="D67" i="6" s="1"/>
  <c r="D29" i="1"/>
  <c r="E67" i="6" s="1"/>
  <c r="B29" i="1"/>
  <c r="A29" i="1"/>
  <c r="AC28" i="1"/>
  <c r="Q28" i="1"/>
  <c r="I28" i="1" s="1"/>
  <c r="O28" i="1"/>
  <c r="K28" i="1"/>
  <c r="J28" i="1"/>
  <c r="G66" i="6" s="1"/>
  <c r="F28" i="1"/>
  <c r="E28" i="1"/>
  <c r="D28" i="1"/>
  <c r="E66" i="6" s="1"/>
  <c r="A28" i="1"/>
  <c r="V27" i="1"/>
  <c r="T27" i="1"/>
  <c r="Q27" i="1"/>
  <c r="A65" i="6" s="1"/>
  <c r="P27" i="1"/>
  <c r="U27" i="1" s="1"/>
  <c r="AB27" i="1" s="1"/>
  <c r="O27" i="1"/>
  <c r="D27" i="1"/>
  <c r="E65" i="6" s="1"/>
  <c r="A27" i="1"/>
  <c r="E26" i="1"/>
  <c r="B48" i="1" s="1"/>
  <c r="A26" i="1"/>
  <c r="A25" i="1"/>
  <c r="AC24" i="1"/>
  <c r="AB24" i="1"/>
  <c r="O24" i="1"/>
  <c r="K24" i="1"/>
  <c r="J24" i="1"/>
  <c r="E24" i="1"/>
  <c r="B24" i="1" s="1"/>
  <c r="D24" i="1"/>
  <c r="A24" i="1"/>
  <c r="AC23" i="1"/>
  <c r="AB23" i="1"/>
  <c r="O23" i="1"/>
  <c r="K23" i="1"/>
  <c r="J23" i="1"/>
  <c r="I23" i="1"/>
  <c r="G23" i="1"/>
  <c r="F23" i="1"/>
  <c r="E23" i="1"/>
  <c r="B23" i="1" s="1"/>
  <c r="D23" i="1"/>
  <c r="A23" i="1"/>
  <c r="AC22" i="1"/>
  <c r="O22" i="1"/>
  <c r="K22" i="1"/>
  <c r="J22" i="1"/>
  <c r="G21" i="6" s="1"/>
  <c r="G22" i="1"/>
  <c r="F22" i="1"/>
  <c r="E22" i="1"/>
  <c r="D21" i="6" s="1"/>
  <c r="D22" i="1"/>
  <c r="B22" i="1"/>
  <c r="A22" i="1"/>
  <c r="AC21" i="1"/>
  <c r="O21" i="1"/>
  <c r="K21" i="1"/>
  <c r="J21" i="1"/>
  <c r="G20" i="6" s="1"/>
  <c r="F21" i="1"/>
  <c r="E21" i="1"/>
  <c r="D20" i="6" s="1"/>
  <c r="D21" i="1"/>
  <c r="B21" i="1"/>
  <c r="A21" i="1"/>
  <c r="AC20" i="1"/>
  <c r="O20" i="1"/>
  <c r="K20" i="1"/>
  <c r="J20" i="1"/>
  <c r="G19" i="6" s="1"/>
  <c r="F20" i="1"/>
  <c r="E20" i="1"/>
  <c r="D19" i="6" s="1"/>
  <c r="D20" i="1"/>
  <c r="A20" i="1"/>
  <c r="AC19" i="1"/>
  <c r="O19" i="1"/>
  <c r="K19" i="1"/>
  <c r="J19" i="1"/>
  <c r="G18" i="6" s="1"/>
  <c r="F19" i="1"/>
  <c r="E19" i="1"/>
  <c r="D18" i="6" s="1"/>
  <c r="D19" i="1"/>
  <c r="A19" i="1"/>
  <c r="A18" i="1"/>
  <c r="A17" i="1"/>
  <c r="AC16" i="1"/>
  <c r="AB16" i="1"/>
  <c r="Z16" i="1"/>
  <c r="P16" i="1"/>
  <c r="K16" i="1" s="1"/>
  <c r="G16" i="1"/>
  <c r="F16" i="1"/>
  <c r="E16" i="1"/>
  <c r="D16" i="1"/>
  <c r="E15" i="6" s="1"/>
  <c r="A16" i="1"/>
  <c r="P15" i="1"/>
  <c r="F15" i="1" s="1"/>
  <c r="O15" i="1"/>
  <c r="M15" i="1"/>
  <c r="K15" i="1"/>
  <c r="G15" i="1"/>
  <c r="A15" i="1"/>
  <c r="P14" i="1"/>
  <c r="AB14" i="1" s="1"/>
  <c r="O14" i="1"/>
  <c r="M14" i="1"/>
  <c r="K14" i="1"/>
  <c r="F14" i="1"/>
  <c r="E14" i="1"/>
  <c r="D13" i="6" s="1"/>
  <c r="A14" i="1"/>
  <c r="P13" i="1"/>
  <c r="G13" i="1" s="1"/>
  <c r="O13" i="1"/>
  <c r="K13" i="1"/>
  <c r="J13" i="1"/>
  <c r="G12" i="6" s="1"/>
  <c r="A13" i="1"/>
  <c r="AC12" i="1"/>
  <c r="V12" i="1"/>
  <c r="U12" i="1"/>
  <c r="AB12" i="1" s="1"/>
  <c r="T12" i="1"/>
  <c r="O12" i="1"/>
  <c r="K12" i="1"/>
  <c r="J12" i="1"/>
  <c r="G11" i="6" s="1"/>
  <c r="F12" i="1"/>
  <c r="E12" i="1"/>
  <c r="D11" i="6" s="1"/>
  <c r="D12" i="1"/>
  <c r="E11" i="6" s="1"/>
  <c r="A12" i="1"/>
  <c r="AC11" i="1"/>
  <c r="V11" i="1"/>
  <c r="U11" i="1"/>
  <c r="AB11" i="1" s="1"/>
  <c r="T11" i="1"/>
  <c r="O11" i="1"/>
  <c r="K11" i="1"/>
  <c r="J11" i="1"/>
  <c r="G10" i="6" s="1"/>
  <c r="G11" i="1"/>
  <c r="F11" i="1"/>
  <c r="E11" i="1"/>
  <c r="D10" i="6" s="1"/>
  <c r="D11" i="1"/>
  <c r="E10" i="6" s="1"/>
  <c r="B11" i="1"/>
  <c r="A11" i="1"/>
  <c r="AC10" i="1"/>
  <c r="O10" i="1"/>
  <c r="K10" i="1"/>
  <c r="J10" i="1"/>
  <c r="G9" i="6" s="1"/>
  <c r="F10" i="1"/>
  <c r="E10" i="1"/>
  <c r="D9" i="6" s="1"/>
  <c r="D10" i="1"/>
  <c r="E9" i="6" s="1"/>
  <c r="A10" i="1"/>
  <c r="AC9" i="1"/>
  <c r="V9" i="1"/>
  <c r="U9" i="1"/>
  <c r="AB9" i="1" s="1"/>
  <c r="T9" i="1"/>
  <c r="O9" i="1"/>
  <c r="K9" i="1"/>
  <c r="J9" i="1"/>
  <c r="G8" i="6" s="1"/>
  <c r="F9" i="1"/>
  <c r="E9" i="1"/>
  <c r="D8" i="6" s="1"/>
  <c r="D9" i="1"/>
  <c r="E8" i="6" s="1"/>
  <c r="A9" i="1"/>
  <c r="AC8" i="1"/>
  <c r="V8" i="1"/>
  <c r="U8" i="1"/>
  <c r="AB8" i="1" s="1"/>
  <c r="T8" i="1"/>
  <c r="O8" i="1"/>
  <c r="K8" i="1"/>
  <c r="J8" i="1"/>
  <c r="G7" i="6" s="1"/>
  <c r="F8" i="1"/>
  <c r="E8" i="1"/>
  <c r="D8" i="1"/>
  <c r="E7" i="6" s="1"/>
  <c r="A8" i="1"/>
  <c r="AC7" i="1"/>
  <c r="O7" i="1"/>
  <c r="K7" i="1"/>
  <c r="J7" i="1"/>
  <c r="G6" i="6" s="1"/>
  <c r="G7" i="1"/>
  <c r="F7" i="1"/>
  <c r="E7" i="1"/>
  <c r="D6" i="6" s="1"/>
  <c r="D7" i="1"/>
  <c r="E6" i="6" s="1"/>
  <c r="B7" i="1"/>
  <c r="A7" i="1"/>
  <c r="AC6" i="1"/>
  <c r="O6" i="1"/>
  <c r="K6" i="1"/>
  <c r="J6" i="1"/>
  <c r="G5" i="6" s="1"/>
  <c r="G6" i="1"/>
  <c r="F6" i="1"/>
  <c r="E6" i="1"/>
  <c r="D5" i="6" s="1"/>
  <c r="D6" i="1"/>
  <c r="E5" i="6" s="1"/>
  <c r="A6" i="1"/>
  <c r="AC5" i="1"/>
  <c r="O5" i="1"/>
  <c r="K5" i="1"/>
  <c r="J5" i="1"/>
  <c r="G4" i="6" s="1"/>
  <c r="F5" i="1"/>
  <c r="E5" i="1"/>
  <c r="D5" i="1"/>
  <c r="E4" i="6" s="1"/>
  <c r="A5" i="1"/>
  <c r="AC4" i="1"/>
  <c r="O4" i="1"/>
  <c r="K4" i="1"/>
  <c r="J4" i="1"/>
  <c r="G3" i="6" s="1"/>
  <c r="G4" i="1"/>
  <c r="F4" i="1"/>
  <c r="E4" i="1"/>
  <c r="D3" i="6" s="1"/>
  <c r="D4" i="1"/>
  <c r="E3" i="6" s="1"/>
  <c r="B4" i="1"/>
  <c r="A4" i="1"/>
  <c r="V3" i="1"/>
  <c r="T3" i="1"/>
  <c r="Q3" i="1"/>
  <c r="AA3" i="1" s="1"/>
  <c r="P3" i="1"/>
  <c r="K3" i="1" s="1"/>
  <c r="O3" i="1"/>
  <c r="A3" i="1"/>
  <c r="E2" i="1"/>
  <c r="B2" i="1" s="1"/>
  <c r="A2" i="1"/>
  <c r="Z35" i="1" l="1"/>
  <c r="AU11" i="2"/>
  <c r="D3" i="1"/>
  <c r="E2" i="6" s="1"/>
  <c r="AB34" i="1"/>
  <c r="D71" i="1"/>
  <c r="E190" i="6" s="1"/>
  <c r="E3" i="1"/>
  <c r="B9" i="1"/>
  <c r="D13" i="1"/>
  <c r="E12" i="6" s="1"/>
  <c r="J16" i="1"/>
  <c r="G15" i="6" s="1"/>
  <c r="AC34" i="1"/>
  <c r="E66" i="1"/>
  <c r="D185" i="6" s="1"/>
  <c r="E71" i="1"/>
  <c r="D190" i="6" s="1"/>
  <c r="B89" i="1"/>
  <c r="D108" i="1"/>
  <c r="E318" i="6" s="1"/>
  <c r="B109" i="1"/>
  <c r="G3" i="1"/>
  <c r="Q4" i="1"/>
  <c r="AB35" i="1"/>
  <c r="Q109" i="1"/>
  <c r="Z109" i="1" s="1"/>
  <c r="M109" i="1" s="1"/>
  <c r="Z71" i="1"/>
  <c r="AB13" i="1"/>
  <c r="U108" i="1"/>
  <c r="Z27" i="1"/>
  <c r="AC108" i="1"/>
  <c r="E13" i="1"/>
  <c r="D12" i="6" s="1"/>
  <c r="M16" i="1"/>
  <c r="B25" i="1"/>
  <c r="F66" i="1"/>
  <c r="Q67" i="1"/>
  <c r="A186" i="6" s="1"/>
  <c r="F71" i="1"/>
  <c r="E108" i="1"/>
  <c r="D318" i="6" s="1"/>
  <c r="F115" i="1"/>
  <c r="AB130" i="1"/>
  <c r="B135" i="1"/>
  <c r="AC66" i="1"/>
  <c r="AC15" i="1"/>
  <c r="AC71" i="1"/>
  <c r="AU9" i="2"/>
  <c r="AA9" i="2" s="1"/>
  <c r="Z108" i="1"/>
  <c r="AA108" i="1"/>
  <c r="AA27" i="1"/>
  <c r="AB108" i="1"/>
  <c r="D66" i="1"/>
  <c r="E185" i="6" s="1"/>
  <c r="F3" i="1"/>
  <c r="J3" i="1"/>
  <c r="G2" i="6" s="1"/>
  <c r="F13" i="1"/>
  <c r="D15" i="1"/>
  <c r="E14" i="6" s="1"/>
  <c r="O16" i="1"/>
  <c r="B20" i="1"/>
  <c r="F35" i="1"/>
  <c r="J66" i="1"/>
  <c r="G185" i="6" s="1"/>
  <c r="G71" i="1"/>
  <c r="F108" i="1"/>
  <c r="M115" i="1"/>
  <c r="U3" i="1"/>
  <c r="AB3" i="1" s="1"/>
  <c r="Z13" i="1"/>
  <c r="AA66" i="1"/>
  <c r="Z15" i="1"/>
  <c r="AB71" i="1"/>
  <c r="Z3" i="1"/>
  <c r="M3" i="1" s="1"/>
  <c r="H3" i="1" s="1"/>
  <c r="AC3" i="1"/>
  <c r="B12" i="1"/>
  <c r="M35" i="1"/>
  <c r="B39" i="1"/>
  <c r="B96" i="1"/>
  <c r="B127" i="1"/>
  <c r="G100" i="1"/>
  <c r="G78" i="1"/>
  <c r="G42" i="1"/>
  <c r="G60" i="1"/>
  <c r="G20" i="1"/>
  <c r="P37" i="7"/>
  <c r="G76" i="1"/>
  <c r="G118" i="1"/>
  <c r="G95" i="1"/>
  <c r="G58" i="1"/>
  <c r="G134" i="1"/>
  <c r="P21" i="7"/>
  <c r="G129" i="1"/>
  <c r="G112" i="1"/>
  <c r="G89" i="1"/>
  <c r="P6" i="7"/>
  <c r="G87" i="1"/>
  <c r="P39" i="7"/>
  <c r="G39" i="1"/>
  <c r="G96" i="1"/>
  <c r="P47" i="7"/>
  <c r="G59" i="1"/>
  <c r="G97" i="1"/>
  <c r="I25" i="7"/>
  <c r="G31" i="1"/>
  <c r="G109" i="1"/>
  <c r="J8" i="7"/>
  <c r="G32" i="1" s="1"/>
  <c r="J4" i="7"/>
  <c r="G10" i="1" s="1"/>
  <c r="J15" i="7"/>
  <c r="J42" i="7"/>
  <c r="F66" i="6"/>
  <c r="V28" i="1"/>
  <c r="AA28" i="1"/>
  <c r="U28" i="1"/>
  <c r="AB28" i="1" s="1"/>
  <c r="T28" i="1"/>
  <c r="A386" i="6"/>
  <c r="Z128" i="1"/>
  <c r="Q129" i="1"/>
  <c r="F126" i="1"/>
  <c r="AC126" i="1"/>
  <c r="E126" i="1"/>
  <c r="D126" i="1"/>
  <c r="E384" i="6" s="1"/>
  <c r="Z126" i="1"/>
  <c r="M126" i="1" s="1"/>
  <c r="K126" i="1"/>
  <c r="J126" i="1"/>
  <c r="G384" i="6" s="1"/>
  <c r="U126" i="1"/>
  <c r="AB126" i="1" s="1"/>
  <c r="O126" i="1"/>
  <c r="D4" i="6"/>
  <c r="B5" i="1"/>
  <c r="D14" i="1"/>
  <c r="E13" i="6" s="1"/>
  <c r="D80" i="6"/>
  <c r="B42" i="1"/>
  <c r="A125" i="6"/>
  <c r="Q51" i="1"/>
  <c r="B71" i="1"/>
  <c r="D331" i="6"/>
  <c r="B121" i="1"/>
  <c r="AB114" i="1"/>
  <c r="G114" i="1"/>
  <c r="K114" i="1"/>
  <c r="F114" i="1"/>
  <c r="AC114" i="1"/>
  <c r="E114" i="1"/>
  <c r="M114" i="1"/>
  <c r="J114" i="1"/>
  <c r="G324" i="6" s="1"/>
  <c r="Z114" i="1"/>
  <c r="O114" i="1"/>
  <c r="A66" i="6"/>
  <c r="Q29" i="1"/>
  <c r="Z28" i="1"/>
  <c r="D195" i="6"/>
  <c r="B76" i="1"/>
  <c r="F254" i="6"/>
  <c r="V85" i="1"/>
  <c r="AA85" i="1"/>
  <c r="T85" i="1"/>
  <c r="A3" i="6"/>
  <c r="B26" i="1"/>
  <c r="AC35" i="1"/>
  <c r="J35" i="1"/>
  <c r="G73" i="6" s="1"/>
  <c r="E35" i="1"/>
  <c r="D35" i="1"/>
  <c r="E73" i="6" s="1"/>
  <c r="O54" i="1"/>
  <c r="AC54" i="1"/>
  <c r="G54" i="1"/>
  <c r="AB54" i="1"/>
  <c r="E54" i="1"/>
  <c r="D54" i="1"/>
  <c r="E129" i="6" s="1"/>
  <c r="K54" i="1"/>
  <c r="J54" i="1"/>
  <c r="G129" i="6" s="1"/>
  <c r="D330" i="6"/>
  <c r="B120" i="1"/>
  <c r="D70" i="6"/>
  <c r="B32" i="1"/>
  <c r="D264" i="6"/>
  <c r="B95" i="1"/>
  <c r="M91" i="1"/>
  <c r="Z91" i="1"/>
  <c r="D91" i="1"/>
  <c r="E260" i="6" s="1"/>
  <c r="K91" i="1"/>
  <c r="J91" i="1"/>
  <c r="G260" i="6" s="1"/>
  <c r="F91" i="1"/>
  <c r="E91" i="1"/>
  <c r="AC91" i="1"/>
  <c r="AB91" i="1"/>
  <c r="O91" i="1"/>
  <c r="Z4" i="1"/>
  <c r="J84" i="1"/>
  <c r="G253" i="6" s="1"/>
  <c r="F84" i="1"/>
  <c r="E84" i="1"/>
  <c r="AC84" i="1"/>
  <c r="D84" i="1"/>
  <c r="E253" i="6" s="1"/>
  <c r="AA84" i="1"/>
  <c r="Z84" i="1"/>
  <c r="U84" i="1"/>
  <c r="AB84" i="1" s="1"/>
  <c r="K84" i="1"/>
  <c r="U85" i="1"/>
  <c r="AB85" i="1" s="1"/>
  <c r="D256" i="6"/>
  <c r="B87" i="1"/>
  <c r="A384" i="6"/>
  <c r="AA126" i="1"/>
  <c r="D15" i="6"/>
  <c r="B16" i="1"/>
  <c r="A385" i="6"/>
  <c r="Z127" i="1"/>
  <c r="M127" i="1" s="1"/>
  <c r="I127" i="1"/>
  <c r="AC14" i="1"/>
  <c r="G14" i="1"/>
  <c r="J14" i="1"/>
  <c r="G13" i="6" s="1"/>
  <c r="D267" i="6"/>
  <c r="B98" i="1"/>
  <c r="D135" i="6"/>
  <c r="B60" i="1"/>
  <c r="D66" i="6"/>
  <c r="B28" i="1"/>
  <c r="D76" i="6"/>
  <c r="B38" i="1"/>
  <c r="K27" i="1"/>
  <c r="E115" i="1"/>
  <c r="K115" i="1"/>
  <c r="J115" i="1"/>
  <c r="G325" i="6" s="1"/>
  <c r="G115" i="1"/>
  <c r="D115" i="1"/>
  <c r="E325" i="6" s="1"/>
  <c r="AC115" i="1"/>
  <c r="AB115" i="1"/>
  <c r="Z115" i="1"/>
  <c r="AB131" i="1"/>
  <c r="G131" i="1"/>
  <c r="J131" i="1"/>
  <c r="G389" i="6" s="1"/>
  <c r="D131" i="1"/>
  <c r="E389" i="6" s="1"/>
  <c r="Z131" i="1"/>
  <c r="O131" i="1"/>
  <c r="M131" i="1"/>
  <c r="K131" i="1"/>
  <c r="F131" i="1"/>
  <c r="E131" i="1"/>
  <c r="D186" i="6"/>
  <c r="B67" i="1"/>
  <c r="D7" i="6"/>
  <c r="B8" i="1"/>
  <c r="B86" i="1"/>
  <c r="J15" i="1"/>
  <c r="G14" i="6" s="1"/>
  <c r="AB15" i="1"/>
  <c r="E15" i="1"/>
  <c r="V23" i="1"/>
  <c r="B30" i="1"/>
  <c r="B41" i="1"/>
  <c r="B108" i="1"/>
  <c r="AC131" i="1"/>
  <c r="C6" i="2"/>
  <c r="AO6" i="2"/>
  <c r="B11" i="3"/>
  <c r="O6" i="2"/>
  <c r="P6" i="2" s="1"/>
  <c r="AT6" i="2"/>
  <c r="AR6" i="2"/>
  <c r="D6" i="2"/>
  <c r="C11" i="3" s="1"/>
  <c r="Q5" i="1"/>
  <c r="D133" i="6"/>
  <c r="B58" i="1"/>
  <c r="Z67" i="1"/>
  <c r="Z14" i="1"/>
  <c r="B19" i="1"/>
  <c r="J27" i="1"/>
  <c r="G65" i="6" s="1"/>
  <c r="F27" i="1"/>
  <c r="AC27" i="1"/>
  <c r="E27" i="1"/>
  <c r="G35" i="1"/>
  <c r="D197" i="6"/>
  <c r="B78" i="1"/>
  <c r="B6" i="1"/>
  <c r="B10" i="1"/>
  <c r="B14" i="1"/>
  <c r="P50" i="1"/>
  <c r="D254" i="6"/>
  <c r="B85" i="1"/>
  <c r="D90" i="1"/>
  <c r="E259" i="6" s="1"/>
  <c r="J90" i="1"/>
  <c r="G259" i="6" s="1"/>
  <c r="M90" i="1"/>
  <c r="D272" i="6"/>
  <c r="B103" i="1"/>
  <c r="A319" i="6"/>
  <c r="Q110" i="1"/>
  <c r="I109" i="1"/>
  <c r="E301" i="6"/>
  <c r="W60" i="5"/>
  <c r="X60" i="5" s="1"/>
  <c r="AJ60" i="5" s="1"/>
  <c r="AA60" i="5"/>
  <c r="Y60" i="5"/>
  <c r="AL60" i="5"/>
  <c r="AI60" i="5"/>
  <c r="E55" i="1"/>
  <c r="E72" i="1"/>
  <c r="D257" i="6"/>
  <c r="B88" i="1"/>
  <c r="B124" i="1"/>
  <c r="O66" i="1"/>
  <c r="G66" i="1"/>
  <c r="AB90" i="1"/>
  <c r="AC13" i="1"/>
  <c r="M13" i="1"/>
  <c r="B49" i="1"/>
  <c r="B69" i="1"/>
  <c r="G72" i="1"/>
  <c r="AC90" i="1"/>
  <c r="B83" i="1"/>
  <c r="B111" i="1"/>
  <c r="B113" i="1"/>
  <c r="F130" i="1"/>
  <c r="U66" i="1"/>
  <c r="AB66" i="1" s="1"/>
  <c r="D194" i="6"/>
  <c r="B75" i="1"/>
  <c r="A254" i="6"/>
  <c r="Q86" i="1"/>
  <c r="Z85" i="1"/>
  <c r="E90" i="1"/>
  <c r="D322" i="6"/>
  <c r="B112" i="1"/>
  <c r="E226" i="6"/>
  <c r="AL39" i="5"/>
  <c r="AI39" i="5"/>
  <c r="AA39" i="5"/>
  <c r="W39" i="5"/>
  <c r="D387" i="6"/>
  <c r="B129" i="1"/>
  <c r="N6" i="4"/>
  <c r="V6" i="4"/>
  <c r="W6" i="4"/>
  <c r="V11" i="5"/>
  <c r="D126" i="6"/>
  <c r="B51" i="1"/>
  <c r="Z66" i="1"/>
  <c r="AC72" i="1"/>
  <c r="J72" i="1"/>
  <c r="G191" i="6" s="1"/>
  <c r="D263" i="6"/>
  <c r="B94" i="1"/>
  <c r="AU8" i="2"/>
  <c r="AT6" i="4"/>
  <c r="O130" i="1"/>
  <c r="M130" i="1"/>
  <c r="D130" i="1"/>
  <c r="E388" i="6" s="1"/>
  <c r="Z130" i="1"/>
  <c r="K130" i="1"/>
  <c r="J130" i="1"/>
  <c r="G388" i="6" s="1"/>
  <c r="E130" i="1"/>
  <c r="V138" i="1"/>
  <c r="AP7" i="4"/>
  <c r="AB55" i="1"/>
  <c r="G55" i="1"/>
  <c r="O90" i="1"/>
  <c r="Y9" i="4"/>
  <c r="Z9" i="4" s="1"/>
  <c r="AF9" i="2"/>
  <c r="Y41" i="5"/>
  <c r="X41" i="5"/>
  <c r="E157" i="6"/>
  <c r="W18" i="5"/>
  <c r="AA18" i="5"/>
  <c r="Y18" i="5"/>
  <c r="AJ18" i="5"/>
  <c r="X18" i="5"/>
  <c r="AI18" i="5" s="1"/>
  <c r="AL18" i="5"/>
  <c r="AK18" i="5"/>
  <c r="D395" i="6"/>
  <c r="B137" i="1"/>
  <c r="AS5" i="4"/>
  <c r="F54" i="6"/>
  <c r="AS6" i="4"/>
  <c r="F114" i="6"/>
  <c r="AO6" i="4"/>
  <c r="E162" i="6"/>
  <c r="AA23" i="5"/>
  <c r="W23" i="5"/>
  <c r="X23" i="5" s="1"/>
  <c r="AL23" i="5"/>
  <c r="AI23" i="5"/>
  <c r="AJ23" i="5"/>
  <c r="Y23" i="5"/>
  <c r="AB26" i="5"/>
  <c r="AC26" i="5"/>
  <c r="AD26" i="5"/>
  <c r="F174" i="6"/>
  <c r="AS7" i="4"/>
  <c r="AE8" i="2"/>
  <c r="S8" i="4"/>
  <c r="AL8" i="4" s="1"/>
  <c r="AM8" i="4" s="1"/>
  <c r="AN4" i="5"/>
  <c r="T4" i="5"/>
  <c r="AH4" i="5" s="1"/>
  <c r="AP5" i="4" s="1"/>
  <c r="T5" i="4"/>
  <c r="U5" i="4"/>
  <c r="T17" i="5"/>
  <c r="AH17" i="5" s="1"/>
  <c r="AP6" i="4" s="1"/>
  <c r="AN17" i="5"/>
  <c r="AB9" i="2"/>
  <c r="AD5" i="5"/>
  <c r="AC5" i="5"/>
  <c r="AB14" i="5"/>
  <c r="E170" i="6"/>
  <c r="AA31" i="5"/>
  <c r="X31" i="5"/>
  <c r="W31" i="5"/>
  <c r="Y31" i="5" s="1"/>
  <c r="AL31" i="5"/>
  <c r="AI31" i="5"/>
  <c r="AB5" i="5"/>
  <c r="AC14" i="5"/>
  <c r="AD14" i="5" s="1"/>
  <c r="AC22" i="5"/>
  <c r="AB22" i="5"/>
  <c r="AD22" i="5"/>
  <c r="A2" i="6"/>
  <c r="D328" i="6"/>
  <c r="B118" i="1"/>
  <c r="AB10" i="2"/>
  <c r="AA10" i="2"/>
  <c r="X5" i="4"/>
  <c r="B10" i="3"/>
  <c r="F307" i="6"/>
  <c r="AO9" i="4"/>
  <c r="AD21" i="5"/>
  <c r="AC21" i="5"/>
  <c r="AB28" i="5"/>
  <c r="X12" i="5"/>
  <c r="AI12" i="5"/>
  <c r="AA12" i="5"/>
  <c r="Y12" i="5"/>
  <c r="W12" i="5"/>
  <c r="E105" i="6"/>
  <c r="AL12" i="5"/>
  <c r="AB21" i="5"/>
  <c r="AC28" i="5"/>
  <c r="AD28" i="5" s="1"/>
  <c r="AA13" i="5"/>
  <c r="E219" i="6"/>
  <c r="AA32" i="5"/>
  <c r="AK32" i="5"/>
  <c r="AJ32" i="5"/>
  <c r="AI32" i="5"/>
  <c r="F239" i="6" s="1"/>
  <c r="AL32" i="5"/>
  <c r="Z32" i="5"/>
  <c r="F219" i="6" s="1"/>
  <c r="X32" i="5"/>
  <c r="AC85" i="5"/>
  <c r="AD85" i="5" s="1"/>
  <c r="AA24" i="5"/>
  <c r="E163" i="6"/>
  <c r="AI24" i="5"/>
  <c r="Y24" i="5"/>
  <c r="W24" i="5"/>
  <c r="X24" i="5" s="1"/>
  <c r="AA78" i="5"/>
  <c r="Y78" i="5"/>
  <c r="X78" i="5"/>
  <c r="T80" i="5"/>
  <c r="AH80" i="5" s="1"/>
  <c r="AN80" i="5"/>
  <c r="D7" i="2"/>
  <c r="C12" i="3" s="1"/>
  <c r="O7" i="2"/>
  <c r="P7" i="2" s="1"/>
  <c r="C11" i="2"/>
  <c r="AT11" i="2"/>
  <c r="AR11" i="2"/>
  <c r="D11" i="2"/>
  <c r="C16" i="3" s="1"/>
  <c r="AO11" i="2"/>
  <c r="F242" i="6"/>
  <c r="AO8" i="4"/>
  <c r="AS8" i="4"/>
  <c r="AL24" i="5"/>
  <c r="E234" i="6"/>
  <c r="W47" i="5"/>
  <c r="X47" i="5" s="1"/>
  <c r="AL47" i="5"/>
  <c r="AI47" i="5"/>
  <c r="X62" i="5"/>
  <c r="AI62" i="5"/>
  <c r="AA62" i="5"/>
  <c r="Y62" i="5"/>
  <c r="AK62" i="5" s="1"/>
  <c r="W62" i="5"/>
  <c r="AL62" i="5"/>
  <c r="E303" i="6"/>
  <c r="AN77" i="5"/>
  <c r="T77" i="5"/>
  <c r="AH77" i="5" s="1"/>
  <c r="E418" i="6"/>
  <c r="X83" i="5"/>
  <c r="AJ83" i="5" s="1"/>
  <c r="AK83" i="5"/>
  <c r="AA83" i="5"/>
  <c r="Y83" i="5"/>
  <c r="W83" i="5"/>
  <c r="AL83" i="5"/>
  <c r="AI83" i="5"/>
  <c r="C7" i="2"/>
  <c r="AR7" i="2"/>
  <c r="B16" i="3"/>
  <c r="AC30" i="5"/>
  <c r="AD30" i="5" s="1"/>
  <c r="AB30" i="5"/>
  <c r="AA40" i="5"/>
  <c r="W40" i="5"/>
  <c r="AL40" i="5"/>
  <c r="E227" i="6"/>
  <c r="AI40" i="5"/>
  <c r="AB75" i="5"/>
  <c r="AD75" i="5"/>
  <c r="AC75" i="5"/>
  <c r="AX11" i="4"/>
  <c r="AS11" i="2" s="1"/>
  <c r="X11" i="4"/>
  <c r="E43" i="6"/>
  <c r="AA3" i="5"/>
  <c r="Y3" i="5"/>
  <c r="AK3" i="5" s="1"/>
  <c r="X3" i="5"/>
  <c r="Z9" i="5"/>
  <c r="F49" i="6" s="1"/>
  <c r="AD17" i="5"/>
  <c r="AC17" i="5"/>
  <c r="AB17" i="5"/>
  <c r="AC38" i="5"/>
  <c r="AD38" i="5" s="1"/>
  <c r="AB38" i="5"/>
  <c r="AA47" i="5"/>
  <c r="AJ5" i="5"/>
  <c r="E46" i="6"/>
  <c r="W6" i="5"/>
  <c r="X6" i="5" s="1"/>
  <c r="AL6" i="5"/>
  <c r="I46" i="6" s="1"/>
  <c r="AI6" i="5"/>
  <c r="E47" i="6"/>
  <c r="AK7" i="5"/>
  <c r="AI7" i="5"/>
  <c r="AL7" i="5"/>
  <c r="AJ7" i="5"/>
  <c r="AA7" i="5"/>
  <c r="X7" i="5"/>
  <c r="Z7" i="5" s="1"/>
  <c r="F47" i="6" s="1"/>
  <c r="E109" i="6"/>
  <c r="AA16" i="5"/>
  <c r="W16" i="5"/>
  <c r="X16" i="5" s="1"/>
  <c r="AL16" i="5"/>
  <c r="AI16" i="5"/>
  <c r="E158" i="6"/>
  <c r="AA19" i="5"/>
  <c r="Y19" i="5"/>
  <c r="W19" i="5"/>
  <c r="X19" i="5" s="1"/>
  <c r="W43" i="5"/>
  <c r="Y43" i="5" s="1"/>
  <c r="E230" i="6"/>
  <c r="AL43" i="5"/>
  <c r="AI43" i="5"/>
  <c r="AA43" i="5"/>
  <c r="X43" i="5"/>
  <c r="AF10" i="2"/>
  <c r="E106" i="6"/>
  <c r="AI13" i="5"/>
  <c r="W13" i="5"/>
  <c r="Y13" i="5" s="1"/>
  <c r="E108" i="6"/>
  <c r="AK15" i="5"/>
  <c r="W15" i="5"/>
  <c r="AL15" i="5"/>
  <c r="AI15" i="5"/>
  <c r="Y15" i="5"/>
  <c r="AN25" i="5"/>
  <c r="T25" i="5"/>
  <c r="AH25" i="5" s="1"/>
  <c r="AX8" i="4"/>
  <c r="AS8" i="2" s="1"/>
  <c r="E224" i="6"/>
  <c r="AA37" i="5"/>
  <c r="W37" i="5"/>
  <c r="X37" i="5" s="1"/>
  <c r="AL37" i="5"/>
  <c r="AI37" i="5"/>
  <c r="T49" i="5"/>
  <c r="AH49" i="5" s="1"/>
  <c r="AN49" i="5"/>
  <c r="P27" i="7"/>
  <c r="Y10" i="4"/>
  <c r="Z10" i="4" s="1"/>
  <c r="AN2" i="5"/>
  <c r="AN5" i="2" s="1"/>
  <c r="T2" i="5"/>
  <c r="I4" i="1" s="1"/>
  <c r="AT5" i="4"/>
  <c r="AF9" i="5"/>
  <c r="AG9" i="5" s="1"/>
  <c r="AE9" i="5"/>
  <c r="X15" i="5"/>
  <c r="AJ15" i="5" s="1"/>
  <c r="X22" i="5"/>
  <c r="AL25" i="5"/>
  <c r="AA25" i="5"/>
  <c r="X25" i="5"/>
  <c r="AJ25" i="5"/>
  <c r="Y25" i="5"/>
  <c r="Z25" i="5" s="1"/>
  <c r="F164" i="6" s="1"/>
  <c r="W25" i="5"/>
  <c r="AD46" i="5"/>
  <c r="AB46" i="5"/>
  <c r="S7" i="4"/>
  <c r="AF8" i="4"/>
  <c r="AG8" i="4" s="1"/>
  <c r="AI8" i="4"/>
  <c r="AC8" i="4"/>
  <c r="AD8" i="4" s="1"/>
  <c r="AB8" i="4"/>
  <c r="V2" i="5"/>
  <c r="W5" i="4"/>
  <c r="V5" i="4"/>
  <c r="AA15" i="5"/>
  <c r="AJ21" i="5"/>
  <c r="AI53" i="5"/>
  <c r="E294" i="6"/>
  <c r="AL53" i="5"/>
  <c r="AA53" i="5"/>
  <c r="W53" i="5"/>
  <c r="Y53" i="5" s="1"/>
  <c r="X53" i="5"/>
  <c r="E232" i="6"/>
  <c r="AA45" i="5"/>
  <c r="W45" i="5"/>
  <c r="Y45" i="5" s="1"/>
  <c r="AB51" i="5"/>
  <c r="AC51" i="5"/>
  <c r="E297" i="6"/>
  <c r="AA56" i="5"/>
  <c r="Y56" i="5"/>
  <c r="X56" i="5"/>
  <c r="AK56" i="5" s="1"/>
  <c r="W56" i="5"/>
  <c r="AL56" i="5"/>
  <c r="AI56" i="5"/>
  <c r="E352" i="6"/>
  <c r="Y63" i="5"/>
  <c r="AL63" i="5"/>
  <c r="AI63" i="5"/>
  <c r="E362" i="6"/>
  <c r="Y73" i="5"/>
  <c r="AA73" i="5"/>
  <c r="X73" i="5"/>
  <c r="AJ73" i="5" s="1"/>
  <c r="W73" i="5"/>
  <c r="AI73" i="5"/>
  <c r="E167" i="6"/>
  <c r="AI28" i="5"/>
  <c r="E169" i="6"/>
  <c r="AI30" i="5"/>
  <c r="AN33" i="5"/>
  <c r="AN43" i="5"/>
  <c r="T43" i="5"/>
  <c r="AH43" i="5" s="1"/>
  <c r="AB49" i="5"/>
  <c r="AD51" i="5"/>
  <c r="AN62" i="5"/>
  <c r="T62" i="5"/>
  <c r="AH62" i="5" s="1"/>
  <c r="W63" i="5"/>
  <c r="X63" i="5" s="1"/>
  <c r="W10" i="5"/>
  <c r="X10" i="5" s="1"/>
  <c r="AA10" i="5"/>
  <c r="Y10" i="5"/>
  <c r="E161" i="6"/>
  <c r="AJ22" i="5"/>
  <c r="AI22" i="5"/>
  <c r="Z22" i="5"/>
  <c r="F161" i="6" s="1"/>
  <c r="W28" i="5"/>
  <c r="Y28" i="5" s="1"/>
  <c r="W30" i="5"/>
  <c r="AL33" i="5"/>
  <c r="E220" i="6"/>
  <c r="AA33" i="5"/>
  <c r="Y33" i="5"/>
  <c r="E221" i="6"/>
  <c r="W34" i="5"/>
  <c r="Y34" i="5" s="1"/>
  <c r="AL34" i="5"/>
  <c r="AK34" i="5"/>
  <c r="AJ34" i="5"/>
  <c r="AI34" i="5"/>
  <c r="E222" i="6"/>
  <c r="AA35" i="5"/>
  <c r="AI36" i="5"/>
  <c r="AL36" i="5"/>
  <c r="AI38" i="5"/>
  <c r="E225" i="6"/>
  <c r="W38" i="5"/>
  <c r="X38" i="5" s="1"/>
  <c r="AL38" i="5"/>
  <c r="E229" i="6"/>
  <c r="AA42" i="5"/>
  <c r="W42" i="5"/>
  <c r="Y42" i="5" s="1"/>
  <c r="AC49" i="5"/>
  <c r="AD49" i="5" s="1"/>
  <c r="T9" i="4"/>
  <c r="AA63" i="5"/>
  <c r="AD67" i="5"/>
  <c r="B14" i="3"/>
  <c r="AO5" i="2"/>
  <c r="V4" i="5"/>
  <c r="AI29" i="5"/>
  <c r="W33" i="5"/>
  <c r="X33" i="5" s="1"/>
  <c r="X34" i="5"/>
  <c r="W35" i="5"/>
  <c r="X35" i="5" s="1"/>
  <c r="W36" i="5"/>
  <c r="Y36" i="5" s="1"/>
  <c r="X42" i="5"/>
  <c r="E231" i="6"/>
  <c r="X44" i="5"/>
  <c r="AK44" i="5" s="1"/>
  <c r="W44" i="5"/>
  <c r="Y44" i="5" s="1"/>
  <c r="AI44" i="5"/>
  <c r="AJ44" i="5"/>
  <c r="AA44" i="5"/>
  <c r="AI45" i="5"/>
  <c r="AK51" i="5"/>
  <c r="E299" i="6"/>
  <c r="AA58" i="5"/>
  <c r="Y58" i="5"/>
  <c r="X58" i="5"/>
  <c r="AJ58" i="5" s="1"/>
  <c r="W58" i="5"/>
  <c r="AK58" i="5"/>
  <c r="AL58" i="5"/>
  <c r="AI58" i="5"/>
  <c r="AA64" i="5"/>
  <c r="E353" i="6"/>
  <c r="AL64" i="5"/>
  <c r="AI64" i="5"/>
  <c r="AK73" i="5"/>
  <c r="T83" i="5"/>
  <c r="AN83" i="5"/>
  <c r="AN11" i="2" s="1"/>
  <c r="U11" i="4"/>
  <c r="E48" i="6"/>
  <c r="AA8" i="5"/>
  <c r="X8" i="5"/>
  <c r="W8" i="5"/>
  <c r="AI10" i="5"/>
  <c r="AN14" i="5"/>
  <c r="AN6" i="2" s="1"/>
  <c r="AL28" i="5"/>
  <c r="AL30" i="5"/>
  <c r="Z34" i="5"/>
  <c r="F221" i="6" s="1"/>
  <c r="AJ49" i="5"/>
  <c r="AD65" i="5"/>
  <c r="E359" i="6"/>
  <c r="X70" i="5"/>
  <c r="AJ70" i="5" s="1"/>
  <c r="AA70" i="5"/>
  <c r="W70" i="5"/>
  <c r="AN5" i="5"/>
  <c r="Y8" i="5"/>
  <c r="AK22" i="5"/>
  <c r="E166" i="6"/>
  <c r="AA27" i="5"/>
  <c r="Y27" i="5"/>
  <c r="X27" i="5"/>
  <c r="AK27" i="5"/>
  <c r="AA34" i="5"/>
  <c r="AA36" i="5"/>
  <c r="AI42" i="5"/>
  <c r="AL45" i="5"/>
  <c r="Y70" i="5"/>
  <c r="AC72" i="5"/>
  <c r="T76" i="5"/>
  <c r="AH76" i="5" s="1"/>
  <c r="AN76" i="5"/>
  <c r="U10" i="4"/>
  <c r="P19" i="7"/>
  <c r="AN15" i="5"/>
  <c r="AN21" i="5"/>
  <c r="T21" i="5"/>
  <c r="AH21" i="5" s="1"/>
  <c r="AL22" i="5"/>
  <c r="AI35" i="5"/>
  <c r="AA48" i="5"/>
  <c r="W48" i="5"/>
  <c r="X48" i="5" s="1"/>
  <c r="E235" i="6"/>
  <c r="AI55" i="5"/>
  <c r="AA55" i="5"/>
  <c r="E296" i="6"/>
  <c r="AL55" i="5"/>
  <c r="W55" i="5"/>
  <c r="Y55" i="5" s="1"/>
  <c r="W64" i="5"/>
  <c r="X64" i="5" s="1"/>
  <c r="AD72" i="5"/>
  <c r="AS11" i="4"/>
  <c r="AL10" i="5"/>
  <c r="AN29" i="5"/>
  <c r="T29" i="5"/>
  <c r="AH29" i="5" s="1"/>
  <c r="AI33" i="5"/>
  <c r="AL44" i="5"/>
  <c r="E237" i="6"/>
  <c r="AA50" i="5"/>
  <c r="W50" i="5"/>
  <c r="Y50" i="5" s="1"/>
  <c r="AL50" i="5"/>
  <c r="AI50" i="5"/>
  <c r="AN22" i="5"/>
  <c r="E165" i="6"/>
  <c r="W26" i="5"/>
  <c r="Y26" i="5" s="1"/>
  <c r="AI26" i="5"/>
  <c r="E168" i="6"/>
  <c r="AA29" i="5"/>
  <c r="W29" i="5"/>
  <c r="AL29" i="5"/>
  <c r="AL42" i="5"/>
  <c r="AN54" i="5"/>
  <c r="T54" i="5"/>
  <c r="AH54" i="5" s="1"/>
  <c r="X75" i="5"/>
  <c r="AI75" i="5"/>
  <c r="Y75" i="5"/>
  <c r="AJ75" i="5" s="1"/>
  <c r="E50" i="6"/>
  <c r="E223" i="6"/>
  <c r="F373" i="6"/>
  <c r="AO10" i="4"/>
  <c r="E107" i="6"/>
  <c r="W14" i="5"/>
  <c r="AL35" i="5"/>
  <c r="AE41" i="5"/>
  <c r="E295" i="6"/>
  <c r="AI54" i="5"/>
  <c r="W54" i="5"/>
  <c r="X54" i="5" s="1"/>
  <c r="AL54" i="5"/>
  <c r="AA54" i="5"/>
  <c r="W68" i="5"/>
  <c r="AA68" i="5"/>
  <c r="AB69" i="5"/>
  <c r="T79" i="5"/>
  <c r="AH79" i="5" s="1"/>
  <c r="AN79" i="5"/>
  <c r="P3" i="7"/>
  <c r="P7" i="7"/>
  <c r="Y5" i="5"/>
  <c r="AK5" i="5" s="1"/>
  <c r="E45" i="6"/>
  <c r="AL5" i="5"/>
  <c r="AI5" i="5"/>
  <c r="E159" i="6"/>
  <c r="X20" i="5"/>
  <c r="AI20" i="5"/>
  <c r="AA20" i="5"/>
  <c r="Y20" i="5"/>
  <c r="AN45" i="5"/>
  <c r="T45" i="5"/>
  <c r="AH45" i="5" s="1"/>
  <c r="T56" i="5"/>
  <c r="AH56" i="5" s="1"/>
  <c r="AN56" i="5"/>
  <c r="AD69" i="5"/>
  <c r="E368" i="6"/>
  <c r="AA79" i="5"/>
  <c r="W79" i="5"/>
  <c r="X79" i="5" s="1"/>
  <c r="AL79" i="5"/>
  <c r="AI79" i="5"/>
  <c r="E417" i="6"/>
  <c r="AL82" i="5"/>
  <c r="AI82" i="5"/>
  <c r="AA82" i="5"/>
  <c r="W82" i="5"/>
  <c r="X82" i="5" s="1"/>
  <c r="E421" i="6"/>
  <c r="AJ86" i="5"/>
  <c r="AA86" i="5"/>
  <c r="Z86" i="5"/>
  <c r="F421" i="6" s="1"/>
  <c r="AL86" i="5"/>
  <c r="AK86" i="5"/>
  <c r="AI86" i="5"/>
  <c r="W86" i="5"/>
  <c r="P16" i="7"/>
  <c r="AI21" i="5"/>
  <c r="E302" i="6"/>
  <c r="AL61" i="5"/>
  <c r="AI61" i="5"/>
  <c r="W61" i="5"/>
  <c r="C301" i="8"/>
  <c r="F248" i="8"/>
  <c r="AA63" i="7" s="1"/>
  <c r="C269" i="8"/>
  <c r="G248" i="8"/>
  <c r="AA64" i="7" s="1"/>
  <c r="F256" i="8"/>
  <c r="AA79" i="7" s="1"/>
  <c r="C280" i="8"/>
  <c r="C312" i="8"/>
  <c r="C290" i="8"/>
  <c r="G256" i="8"/>
  <c r="AA80" i="7" s="1"/>
  <c r="C322" i="8"/>
  <c r="E110" i="6"/>
  <c r="AL17" i="5"/>
  <c r="AI17" i="5"/>
  <c r="AK21" i="5"/>
  <c r="E236" i="6"/>
  <c r="AL49" i="5"/>
  <c r="AI49" i="5"/>
  <c r="W76" i="5"/>
  <c r="X76" i="5" s="1"/>
  <c r="AA76" i="5"/>
  <c r="E365" i="6"/>
  <c r="Y76" i="5"/>
  <c r="AD80" i="5"/>
  <c r="AC80" i="5"/>
  <c r="E416" i="6"/>
  <c r="Y81" i="5"/>
  <c r="Z81" i="5" s="1"/>
  <c r="F416" i="6" s="1"/>
  <c r="AL81" i="5"/>
  <c r="AJ81" i="5"/>
  <c r="AI81" i="5"/>
  <c r="W81" i="5"/>
  <c r="AJ17" i="5"/>
  <c r="X57" i="5"/>
  <c r="AJ57" i="5" s="1"/>
  <c r="AB80" i="5"/>
  <c r="X81" i="5"/>
  <c r="AK81" i="5" s="1"/>
  <c r="AN50" i="5"/>
  <c r="T50" i="5"/>
  <c r="AH50" i="5" s="1"/>
  <c r="AC61" i="5"/>
  <c r="AB61" i="5"/>
  <c r="E360" i="6"/>
  <c r="AA71" i="5"/>
  <c r="W71" i="5"/>
  <c r="X71" i="5" s="1"/>
  <c r="AI71" i="5"/>
  <c r="Y21" i="5"/>
  <c r="Z21" i="5" s="1"/>
  <c r="F160" i="6" s="1"/>
  <c r="E228" i="6"/>
  <c r="AL41" i="5"/>
  <c r="AK41" i="5"/>
  <c r="AI41" i="5"/>
  <c r="AN46" i="5"/>
  <c r="AD61" i="5"/>
  <c r="AN69" i="5"/>
  <c r="T69" i="5"/>
  <c r="AH69" i="5" s="1"/>
  <c r="AA81" i="5"/>
  <c r="AL51" i="5"/>
  <c r="AJ51" i="5"/>
  <c r="AI51" i="5"/>
  <c r="E238" i="6"/>
  <c r="AN67" i="5"/>
  <c r="T67" i="5"/>
  <c r="AH67" i="5" s="1"/>
  <c r="AP10" i="4" s="1"/>
  <c r="E358" i="6"/>
  <c r="W69" i="5"/>
  <c r="AL69" i="5"/>
  <c r="E233" i="6"/>
  <c r="AI46" i="5"/>
  <c r="AE57" i="5"/>
  <c r="AN65" i="5"/>
  <c r="T65" i="5"/>
  <c r="AH65" i="5" s="1"/>
  <c r="E355" i="6"/>
  <c r="AA66" i="5"/>
  <c r="Z66" i="5"/>
  <c r="F355" i="6" s="1"/>
  <c r="Y66" i="5"/>
  <c r="AK66" i="5" s="1"/>
  <c r="AI66" i="5"/>
  <c r="T84" i="5"/>
  <c r="AH84" i="5" s="1"/>
  <c r="AN84" i="5"/>
  <c r="AJ85" i="5"/>
  <c r="X17" i="5"/>
  <c r="AT7" i="4"/>
  <c r="N7" i="4"/>
  <c r="T41" i="5"/>
  <c r="AH41" i="5" s="1"/>
  <c r="AT8" i="4" s="1"/>
  <c r="AU8" i="4" s="1"/>
  <c r="AV8" i="4" s="1"/>
  <c r="W46" i="5"/>
  <c r="X49" i="5"/>
  <c r="Z49" i="5" s="1"/>
  <c r="F236" i="6" s="1"/>
  <c r="E293" i="6"/>
  <c r="AA52" i="5"/>
  <c r="X52" i="5"/>
  <c r="W52" i="5"/>
  <c r="AJ52" i="5"/>
  <c r="AD59" i="5"/>
  <c r="E354" i="6"/>
  <c r="AL65" i="5"/>
  <c r="AJ65" i="5"/>
  <c r="AI65" i="5"/>
  <c r="Y65" i="5"/>
  <c r="AK65" i="5" s="1"/>
  <c r="E361" i="6"/>
  <c r="W72" i="5"/>
  <c r="AI72" i="5"/>
  <c r="E419" i="6"/>
  <c r="AA84" i="5"/>
  <c r="AI84" i="5"/>
  <c r="W84" i="5"/>
  <c r="P45" i="7"/>
  <c r="Z57" i="5"/>
  <c r="F298" i="6" s="1"/>
  <c r="AK57" i="5"/>
  <c r="P50" i="7"/>
  <c r="C279" i="8"/>
  <c r="C311" i="8"/>
  <c r="F258" i="8"/>
  <c r="AA83" i="7" s="1"/>
  <c r="G258" i="8"/>
  <c r="AA84" i="7" s="1"/>
  <c r="C320" i="8"/>
  <c r="C288" i="8"/>
  <c r="AN64" i="5"/>
  <c r="E298" i="6"/>
  <c r="P12" i="7"/>
  <c r="P31" i="7"/>
  <c r="AI67" i="5"/>
  <c r="E363" i="6"/>
  <c r="AL74" i="5"/>
  <c r="Y74" i="5"/>
  <c r="E366" i="6"/>
  <c r="X77" i="5"/>
  <c r="P26" i="7"/>
  <c r="AN71" i="5"/>
  <c r="Z80" i="5"/>
  <c r="F369" i="6" s="1"/>
  <c r="AI80" i="5"/>
  <c r="E369" i="6"/>
  <c r="AL80" i="5"/>
  <c r="E300" i="6"/>
  <c r="AL59" i="5"/>
  <c r="AI59" i="5"/>
  <c r="B492" i="8"/>
  <c r="B17" i="2" s="1"/>
  <c r="J49" i="7"/>
  <c r="AI57" i="5"/>
  <c r="AJ59" i="5"/>
  <c r="X85" i="5"/>
  <c r="AK85" i="5" s="1"/>
  <c r="E420" i="6"/>
  <c r="AI85" i="5"/>
  <c r="Z85" i="5"/>
  <c r="F420" i="6" s="1"/>
  <c r="AL85" i="5"/>
  <c r="T10" i="4"/>
  <c r="AL9" i="5"/>
  <c r="I49" i="6" s="1"/>
  <c r="AK59" i="5"/>
  <c r="W67" i="5"/>
  <c r="W74" i="5"/>
  <c r="X74" i="5" s="1"/>
  <c r="W77" i="5"/>
  <c r="Y77" i="5" s="1"/>
  <c r="AJ78" i="5"/>
  <c r="AL78" i="5"/>
  <c r="Y80" i="5"/>
  <c r="J10" i="7"/>
  <c r="P2" i="7"/>
  <c r="M4" i="1" s="1"/>
  <c r="F254" i="8"/>
  <c r="AA75" i="7" s="1"/>
  <c r="C287" i="8"/>
  <c r="C319" i="8"/>
  <c r="C308" i="8"/>
  <c r="C276" i="8"/>
  <c r="J14" i="7"/>
  <c r="F250" i="8"/>
  <c r="AA67" i="7" s="1"/>
  <c r="C277" i="8"/>
  <c r="C271" i="8"/>
  <c r="C303" i="8"/>
  <c r="C309" i="8"/>
  <c r="G250" i="8"/>
  <c r="AA68" i="7" s="1"/>
  <c r="C263" i="8"/>
  <c r="C295" i="8"/>
  <c r="F242" i="8"/>
  <c r="AA51" i="7" s="1"/>
  <c r="G242" i="8"/>
  <c r="AA52" i="7" s="1"/>
  <c r="P43" i="7"/>
  <c r="P5" i="7"/>
  <c r="C307" i="8"/>
  <c r="C317" i="8"/>
  <c r="G257" i="8"/>
  <c r="AA82" i="7" s="1"/>
  <c r="C285" i="8"/>
  <c r="F257" i="8"/>
  <c r="AA81" i="7" s="1"/>
  <c r="E298" i="8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J34" i="7"/>
  <c r="J35" i="7"/>
  <c r="P41" i="7"/>
  <c r="I28" i="7"/>
  <c r="J28" i="7" s="1"/>
  <c r="I22" i="7"/>
  <c r="J22" i="7" s="1"/>
  <c r="C297" i="8"/>
  <c r="F244" i="8"/>
  <c r="AA55" i="7" s="1"/>
  <c r="C265" i="8"/>
  <c r="G244" i="8"/>
  <c r="AA56" i="7" s="1"/>
  <c r="I35" i="7"/>
  <c r="I44" i="7"/>
  <c r="J44" i="7" s="1"/>
  <c r="I30" i="7"/>
  <c r="J30" i="7" s="1"/>
  <c r="I32" i="7"/>
  <c r="J32" i="7" s="1"/>
  <c r="E265" i="8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B491" i="8"/>
  <c r="B16" i="2" s="1"/>
  <c r="J17" i="7"/>
  <c r="C267" i="8"/>
  <c r="C299" i="8"/>
  <c r="G252" i="8"/>
  <c r="AA72" i="7" s="1"/>
  <c r="C324" i="8"/>
  <c r="J48" i="7"/>
  <c r="J46" i="7"/>
  <c r="J13" i="7"/>
  <c r="J20" i="7"/>
  <c r="J25" i="7"/>
  <c r="J29" i="7"/>
  <c r="G237" i="8"/>
  <c r="I73" i="7"/>
  <c r="I57" i="7"/>
  <c r="I87" i="7"/>
  <c r="I85" i="7"/>
  <c r="I69" i="7"/>
  <c r="I53" i="7"/>
  <c r="I83" i="7"/>
  <c r="I81" i="7"/>
  <c r="I65" i="7"/>
  <c r="I75" i="7"/>
  <c r="I59" i="7"/>
  <c r="C318" i="8"/>
  <c r="J36" i="7"/>
  <c r="J38" i="7"/>
  <c r="J40" i="7"/>
  <c r="C315" i="8"/>
  <c r="C305" i="8"/>
  <c r="C321" i="8"/>
  <c r="G259" i="8"/>
  <c r="AA86" i="7" s="1"/>
  <c r="C283" i="8"/>
  <c r="C289" i="8"/>
  <c r="I67" i="1" l="1"/>
  <c r="AA67" i="1" s="1"/>
  <c r="Q68" i="1"/>
  <c r="B66" i="1"/>
  <c r="B13" i="1"/>
  <c r="D2" i="6"/>
  <c r="B3" i="1"/>
  <c r="M28" i="1"/>
  <c r="H28" i="1" s="1"/>
  <c r="H127" i="1"/>
  <c r="L127" i="1" s="1"/>
  <c r="M66" i="1"/>
  <c r="H66" i="1" s="1"/>
  <c r="P42" i="7"/>
  <c r="G21" i="1"/>
  <c r="G41" i="1"/>
  <c r="G85" i="1"/>
  <c r="G67" i="1"/>
  <c r="H67" i="1" s="1"/>
  <c r="G51" i="1"/>
  <c r="P15" i="7"/>
  <c r="P4" i="7"/>
  <c r="P8" i="7"/>
  <c r="Z10" i="5"/>
  <c r="F50" i="6" s="1"/>
  <c r="AJ10" i="5"/>
  <c r="AK10" i="5"/>
  <c r="AK19" i="5"/>
  <c r="AJ19" i="5"/>
  <c r="Z19" i="5"/>
  <c r="F158" i="6" s="1"/>
  <c r="P13" i="7"/>
  <c r="G111" i="1"/>
  <c r="G69" i="1"/>
  <c r="G52" i="1"/>
  <c r="AK6" i="5"/>
  <c r="AJ6" i="5"/>
  <c r="Z6" i="5"/>
  <c r="F46" i="6" s="1"/>
  <c r="AD70" i="5"/>
  <c r="AC70" i="5"/>
  <c r="AB70" i="5"/>
  <c r="X68" i="5"/>
  <c r="Y68" i="5"/>
  <c r="AJ42" i="5"/>
  <c r="AK42" i="5"/>
  <c r="Z42" i="5"/>
  <c r="F229" i="6" s="1"/>
  <c r="AB83" i="5"/>
  <c r="AC83" i="5"/>
  <c r="AD83" i="5" s="1"/>
  <c r="AE14" i="5"/>
  <c r="AC71" i="5"/>
  <c r="AD71" i="5" s="1"/>
  <c r="AB71" i="5"/>
  <c r="AD86" i="5"/>
  <c r="AC86" i="5"/>
  <c r="AB86" i="5"/>
  <c r="AJ76" i="5"/>
  <c r="AK76" i="5"/>
  <c r="Z76" i="5"/>
  <c r="F365" i="6" s="1"/>
  <c r="AT9" i="4"/>
  <c r="AU9" i="4" s="1"/>
  <c r="AV9" i="4" s="1"/>
  <c r="AP9" i="4"/>
  <c r="Z53" i="5"/>
  <c r="F294" i="6" s="1"/>
  <c r="AE28" i="5"/>
  <c r="AE49" i="5"/>
  <c r="Z38" i="5"/>
  <c r="F225" i="6" s="1"/>
  <c r="AK63" i="5"/>
  <c r="AJ63" i="5"/>
  <c r="Z63" i="5"/>
  <c r="F352" i="6" s="1"/>
  <c r="Z54" i="5"/>
  <c r="F295" i="6" s="1"/>
  <c r="AE38" i="5"/>
  <c r="X40" i="5"/>
  <c r="Y40" i="5"/>
  <c r="AD8" i="5"/>
  <c r="AC8" i="5"/>
  <c r="AB8" i="5"/>
  <c r="AJ43" i="5"/>
  <c r="Z43" i="5"/>
  <c r="F230" i="6" s="1"/>
  <c r="AK43" i="5"/>
  <c r="AE72" i="5"/>
  <c r="AE85" i="5"/>
  <c r="X14" i="5"/>
  <c r="Y14" i="5"/>
  <c r="Z64" i="5"/>
  <c r="F353" i="6" s="1"/>
  <c r="AE30" i="5"/>
  <c r="Z33" i="5"/>
  <c r="F220" i="6" s="1"/>
  <c r="AK33" i="5"/>
  <c r="AJ33" i="5"/>
  <c r="AR10" i="4"/>
  <c r="AQ10" i="4"/>
  <c r="Z79" i="5"/>
  <c r="F368" i="6" s="1"/>
  <c r="AK12" i="5"/>
  <c r="Z12" i="5"/>
  <c r="F105" i="6" s="1"/>
  <c r="AJ12" i="5"/>
  <c r="AE51" i="5"/>
  <c r="P34" i="7"/>
  <c r="G121" i="1"/>
  <c r="G101" i="1"/>
  <c r="G99" i="1"/>
  <c r="G61" i="1"/>
  <c r="G79" i="1"/>
  <c r="G137" i="1"/>
  <c r="G43" i="1"/>
  <c r="AK74" i="5"/>
  <c r="Z74" i="5"/>
  <c r="F363" i="6" s="1"/>
  <c r="P49" i="7"/>
  <c r="G63" i="1"/>
  <c r="G139" i="1"/>
  <c r="G123" i="1"/>
  <c r="G81" i="1"/>
  <c r="G47" i="1"/>
  <c r="G24" i="1"/>
  <c r="G105" i="1"/>
  <c r="AJ74" i="5"/>
  <c r="Y82" i="5"/>
  <c r="Z82" i="5" s="1"/>
  <c r="F417" i="6" s="1"/>
  <c r="X50" i="5"/>
  <c r="X55" i="5"/>
  <c r="AB34" i="5"/>
  <c r="AD34" i="5"/>
  <c r="AC34" i="5"/>
  <c r="AE65" i="5"/>
  <c r="AH83" i="5"/>
  <c r="I128" i="1"/>
  <c r="Z58" i="5"/>
  <c r="F299" i="6" s="1"/>
  <c r="X36" i="5"/>
  <c r="Z15" i="5"/>
  <c r="F108" i="6" s="1"/>
  <c r="AC78" i="5"/>
  <c r="AD78" i="5" s="1"/>
  <c r="AB78" i="5"/>
  <c r="AK24" i="5"/>
  <c r="AJ24" i="5"/>
  <c r="Z31" i="5"/>
  <c r="F170" i="6" s="1"/>
  <c r="AK31" i="5"/>
  <c r="P35" i="7"/>
  <c r="G45" i="1"/>
  <c r="G103" i="1"/>
  <c r="AB84" i="5"/>
  <c r="AC84" i="5"/>
  <c r="AD84" i="5" s="1"/>
  <c r="M67" i="1"/>
  <c r="M85" i="1"/>
  <c r="H85" i="1" s="1"/>
  <c r="AC48" i="5"/>
  <c r="AD48" i="5" s="1"/>
  <c r="AB48" i="5"/>
  <c r="AK52" i="5"/>
  <c r="AI52" i="5"/>
  <c r="F304" i="6" s="1"/>
  <c r="AB58" i="5"/>
  <c r="AD58" i="5"/>
  <c r="AC58" i="5"/>
  <c r="Y35" i="5"/>
  <c r="AK35" i="5" s="1"/>
  <c r="X30" i="5"/>
  <c r="Y30" i="5"/>
  <c r="E42" i="6"/>
  <c r="W2" i="5"/>
  <c r="X2" i="5" s="1"/>
  <c r="AL2" i="5"/>
  <c r="AJ2" i="5"/>
  <c r="AA2" i="5"/>
  <c r="Y2" i="5"/>
  <c r="AK37" i="5"/>
  <c r="AC16" i="5"/>
  <c r="AD16" i="5"/>
  <c r="AB16" i="5"/>
  <c r="Y11" i="4"/>
  <c r="Z11" i="4" s="1"/>
  <c r="AF11" i="2"/>
  <c r="Z52" i="5"/>
  <c r="F293" i="6" s="1"/>
  <c r="AE80" i="5"/>
  <c r="AF80" i="5"/>
  <c r="AG80" i="5" s="1"/>
  <c r="AE69" i="5"/>
  <c r="Y54" i="5"/>
  <c r="X29" i="5"/>
  <c r="Y29" i="5"/>
  <c r="AB50" i="5"/>
  <c r="AC50" i="5"/>
  <c r="AD50" i="5" s="1"/>
  <c r="AJ27" i="5"/>
  <c r="Z27" i="5"/>
  <c r="F166" i="6" s="1"/>
  <c r="Z73" i="5"/>
  <c r="F362" i="6" s="1"/>
  <c r="X13" i="5"/>
  <c r="AB47" i="5"/>
  <c r="AC47" i="5"/>
  <c r="AD47" i="5" s="1"/>
  <c r="AA11" i="2"/>
  <c r="AB11" i="2"/>
  <c r="Y47" i="5"/>
  <c r="Z47" i="5" s="1"/>
  <c r="F234" i="6" s="1"/>
  <c r="AE21" i="5"/>
  <c r="AB52" i="5"/>
  <c r="AD52" i="5"/>
  <c r="AC52" i="5"/>
  <c r="AN7" i="2"/>
  <c r="Z44" i="5"/>
  <c r="F231" i="6" s="1"/>
  <c r="E44" i="6"/>
  <c r="X4" i="5"/>
  <c r="AK4" i="5" s="1"/>
  <c r="AI4" i="5"/>
  <c r="AA4" i="5"/>
  <c r="W4" i="5"/>
  <c r="AL4" i="5"/>
  <c r="Y4" i="5"/>
  <c r="AJ4" i="5"/>
  <c r="AC35" i="5"/>
  <c r="AD35" i="5" s="1"/>
  <c r="AB35" i="5"/>
  <c r="AN8" i="2"/>
  <c r="AC73" i="5"/>
  <c r="AD73" i="5" s="1"/>
  <c r="AB73" i="5"/>
  <c r="Z56" i="5"/>
  <c r="F297" i="6" s="1"/>
  <c r="AJ8" i="4"/>
  <c r="AE8" i="4"/>
  <c r="AC37" i="5"/>
  <c r="AD37" i="5" s="1"/>
  <c r="AB37" i="5"/>
  <c r="AE22" i="5"/>
  <c r="AB42" i="5"/>
  <c r="AC42" i="5"/>
  <c r="AD42" i="5" s="1"/>
  <c r="AC56" i="5"/>
  <c r="AD56" i="5" s="1"/>
  <c r="AB56" i="5"/>
  <c r="AC53" i="5"/>
  <c r="AD53" i="5" s="1"/>
  <c r="AB53" i="5"/>
  <c r="Y37" i="5"/>
  <c r="Z37" i="5" s="1"/>
  <c r="F224" i="6" s="1"/>
  <c r="AD7" i="5"/>
  <c r="AC7" i="5"/>
  <c r="AB7" i="5"/>
  <c r="AE75" i="5"/>
  <c r="AJ62" i="5"/>
  <c r="Z24" i="5"/>
  <c r="F163" i="6" s="1"/>
  <c r="Y69" i="5"/>
  <c r="X69" i="5"/>
  <c r="AC55" i="5"/>
  <c r="AD55" i="5" s="1"/>
  <c r="AB55" i="5"/>
  <c r="Y64" i="5"/>
  <c r="AK64" i="5" s="1"/>
  <c r="AC44" i="5"/>
  <c r="AD44" i="5" s="1"/>
  <c r="AB44" i="5"/>
  <c r="AJ56" i="5"/>
  <c r="AJ53" i="5"/>
  <c r="AK8" i="4"/>
  <c r="AH8" i="4"/>
  <c r="AD63" i="5"/>
  <c r="AC63" i="5"/>
  <c r="AB63" i="5"/>
  <c r="AD33" i="5"/>
  <c r="AB33" i="5"/>
  <c r="AC33" i="5"/>
  <c r="AC45" i="5"/>
  <c r="AD45" i="5" s="1"/>
  <c r="AB45" i="5"/>
  <c r="P32" i="7"/>
  <c r="G102" i="1"/>
  <c r="AD36" i="5"/>
  <c r="AC36" i="5"/>
  <c r="AB36" i="5"/>
  <c r="P44" i="7"/>
  <c r="Y67" i="5"/>
  <c r="X67" i="5"/>
  <c r="AC82" i="5"/>
  <c r="AB82" i="5"/>
  <c r="AD82" i="5"/>
  <c r="AB8" i="2"/>
  <c r="AA8" i="2"/>
  <c r="AC19" i="5"/>
  <c r="AD19" i="5" s="1"/>
  <c r="AB19" i="5"/>
  <c r="AD24" i="5"/>
  <c r="AC24" i="5"/>
  <c r="AB24" i="5"/>
  <c r="AU5" i="4"/>
  <c r="AV5" i="4" s="1"/>
  <c r="Y5" i="4"/>
  <c r="Z5" i="4" s="1"/>
  <c r="AF5" i="2"/>
  <c r="X39" i="5"/>
  <c r="Y39" i="5"/>
  <c r="D65" i="6"/>
  <c r="B27" i="1"/>
  <c r="P46" i="7"/>
  <c r="N46" i="7"/>
  <c r="G9" i="1"/>
  <c r="AE59" i="5"/>
  <c r="AE61" i="5"/>
  <c r="P40" i="7"/>
  <c r="G40" i="1"/>
  <c r="W28" i="1"/>
  <c r="L28" i="1"/>
  <c r="AP8" i="4"/>
  <c r="AB76" i="5"/>
  <c r="AC76" i="5"/>
  <c r="AD76" i="5" s="1"/>
  <c r="AC64" i="5"/>
  <c r="AD64" i="5" s="1"/>
  <c r="AB64" i="5"/>
  <c r="F3" i="6"/>
  <c r="AA4" i="1"/>
  <c r="V4" i="1"/>
  <c r="U4" i="1"/>
  <c r="T4" i="1"/>
  <c r="H4" i="1"/>
  <c r="F171" i="6"/>
  <c r="AD39" i="5"/>
  <c r="AB39" i="5"/>
  <c r="AC39" i="5"/>
  <c r="Y46" i="5"/>
  <c r="X46" i="5"/>
  <c r="AK53" i="5"/>
  <c r="P38" i="7"/>
  <c r="G135" i="1"/>
  <c r="G119" i="1"/>
  <c r="G38" i="1"/>
  <c r="AC66" i="5"/>
  <c r="AD66" i="5" s="1"/>
  <c r="AB66" i="5"/>
  <c r="P36" i="7"/>
  <c r="G94" i="1"/>
  <c r="G75" i="1"/>
  <c r="G19" i="1"/>
  <c r="J80" i="7"/>
  <c r="J64" i="7"/>
  <c r="J76" i="7"/>
  <c r="J60" i="7"/>
  <c r="J74" i="7"/>
  <c r="J88" i="7"/>
  <c r="J72" i="7"/>
  <c r="J56" i="7"/>
  <c r="J86" i="7"/>
  <c r="J82" i="7"/>
  <c r="J66" i="7"/>
  <c r="J53" i="7"/>
  <c r="J85" i="7"/>
  <c r="J55" i="7"/>
  <c r="J73" i="7"/>
  <c r="J68" i="7"/>
  <c r="J75" i="7"/>
  <c r="J57" i="7"/>
  <c r="J77" i="7"/>
  <c r="J70" i="7"/>
  <c r="J59" i="7"/>
  <c r="J83" i="7"/>
  <c r="J79" i="7"/>
  <c r="J63" i="7"/>
  <c r="J69" i="7"/>
  <c r="J81" i="7"/>
  <c r="J52" i="7"/>
  <c r="J62" i="7"/>
  <c r="J54" i="7"/>
  <c r="J65" i="7"/>
  <c r="J58" i="7"/>
  <c r="J84" i="7"/>
  <c r="J61" i="7"/>
  <c r="J87" i="7"/>
  <c r="J67" i="7"/>
  <c r="J78" i="7"/>
  <c r="J51" i="7"/>
  <c r="J71" i="7"/>
  <c r="P17" i="7"/>
  <c r="G8" i="1"/>
  <c r="F370" i="6"/>
  <c r="AE46" i="5"/>
  <c r="AR6" i="4"/>
  <c r="AQ6" i="4"/>
  <c r="G126" i="1"/>
  <c r="H126" i="1" s="1"/>
  <c r="P22" i="7"/>
  <c r="G5" i="1"/>
  <c r="AX7" i="4"/>
  <c r="AS7" i="2" s="1"/>
  <c r="AD7" i="2"/>
  <c r="X7" i="4"/>
  <c r="B12" i="3"/>
  <c r="AT10" i="4"/>
  <c r="AU10" i="4" s="1"/>
  <c r="AV10" i="4" s="1"/>
  <c r="Y79" i="5"/>
  <c r="AK79" i="5" s="1"/>
  <c r="AB20" i="5"/>
  <c r="AC20" i="5"/>
  <c r="AD20" i="5" s="1"/>
  <c r="AK75" i="5"/>
  <c r="Z75" i="5"/>
  <c r="F364" i="6" s="1"/>
  <c r="Y38" i="5"/>
  <c r="AK38" i="5" s="1"/>
  <c r="AB10" i="5"/>
  <c r="AD10" i="5"/>
  <c r="AC10" i="5"/>
  <c r="AC10" i="4"/>
  <c r="AD10" i="4" s="1"/>
  <c r="AL10" i="4"/>
  <c r="AM10" i="4" s="1"/>
  <c r="AI10" i="4"/>
  <c r="AF10" i="4"/>
  <c r="AG10" i="4" s="1"/>
  <c r="AB10" i="4"/>
  <c r="AA10" i="4"/>
  <c r="AE17" i="5"/>
  <c r="AC62" i="5"/>
  <c r="AD62" i="5" s="1"/>
  <c r="AB62" i="5"/>
  <c r="AU7" i="2"/>
  <c r="AL7" i="2"/>
  <c r="AJ31" i="5"/>
  <c r="Z23" i="5"/>
  <c r="F162" i="6" s="1"/>
  <c r="AK23" i="5"/>
  <c r="AQ7" i="4"/>
  <c r="AR7" i="4"/>
  <c r="P14" i="7"/>
  <c r="G88" i="1"/>
  <c r="Z77" i="5"/>
  <c r="F366" i="6" s="1"/>
  <c r="AJ77" i="5"/>
  <c r="AB81" i="5"/>
  <c r="AD81" i="5"/>
  <c r="AC81" i="5"/>
  <c r="AC15" i="5"/>
  <c r="AD15" i="5" s="1"/>
  <c r="AB15" i="5"/>
  <c r="AK16" i="5"/>
  <c r="AC3" i="5"/>
  <c r="AB3" i="5"/>
  <c r="AD3" i="5"/>
  <c r="AK78" i="5"/>
  <c r="Z78" i="5"/>
  <c r="F367" i="6" s="1"/>
  <c r="P48" i="7"/>
  <c r="N48" i="7"/>
  <c r="G12" i="1"/>
  <c r="Y61" i="5"/>
  <c r="X61" i="5"/>
  <c r="AC79" i="5"/>
  <c r="AD79" i="5" s="1"/>
  <c r="AB79" i="5"/>
  <c r="P30" i="7"/>
  <c r="G120" i="1"/>
  <c r="G136" i="1"/>
  <c r="G98" i="1"/>
  <c r="X72" i="5"/>
  <c r="Y72" i="5"/>
  <c r="AC29" i="5"/>
  <c r="AD29" i="5" s="1"/>
  <c r="AB29" i="5"/>
  <c r="P25" i="7"/>
  <c r="M27" i="1" s="1"/>
  <c r="G27" i="1"/>
  <c r="P28" i="7"/>
  <c r="G84" i="1"/>
  <c r="G108" i="1"/>
  <c r="AK70" i="5"/>
  <c r="AK8" i="5"/>
  <c r="AJ8" i="5"/>
  <c r="AC12" i="5"/>
  <c r="AD12" i="5" s="1"/>
  <c r="AB12" i="5"/>
  <c r="P20" i="7"/>
  <c r="G33" i="1"/>
  <c r="P10" i="7"/>
  <c r="G29" i="1"/>
  <c r="M128" i="1"/>
  <c r="X84" i="5"/>
  <c r="Y84" i="5"/>
  <c r="Y71" i="5"/>
  <c r="AJ71" i="5" s="1"/>
  <c r="F422" i="6"/>
  <c r="AK49" i="5"/>
  <c r="Z20" i="5"/>
  <c r="F159" i="6" s="1"/>
  <c r="AJ20" i="5"/>
  <c r="AB68" i="5"/>
  <c r="AC68" i="5"/>
  <c r="AD68" i="5" s="1"/>
  <c r="X26" i="5"/>
  <c r="AJ66" i="5"/>
  <c r="Y48" i="5"/>
  <c r="Z48" i="5" s="1"/>
  <c r="F235" i="6" s="1"/>
  <c r="Z8" i="5"/>
  <c r="F48" i="6" s="1"/>
  <c r="AJ38" i="5"/>
  <c r="X28" i="5"/>
  <c r="X45" i="5"/>
  <c r="AI3" i="5"/>
  <c r="Z83" i="5"/>
  <c r="F418" i="6" s="1"/>
  <c r="Z62" i="5"/>
  <c r="F303" i="6" s="1"/>
  <c r="AK60" i="5"/>
  <c r="AK77" i="5"/>
  <c r="AN10" i="2"/>
  <c r="Z65" i="5"/>
  <c r="F354" i="6" s="1"/>
  <c r="AC54" i="5"/>
  <c r="AD54" i="5" s="1"/>
  <c r="AB54" i="5"/>
  <c r="AN9" i="2"/>
  <c r="Z70" i="5"/>
  <c r="F359" i="6" s="1"/>
  <c r="AE67" i="5"/>
  <c r="AK20" i="5"/>
  <c r="AK25" i="5"/>
  <c r="AC43" i="5"/>
  <c r="AD43" i="5"/>
  <c r="AB43" i="5"/>
  <c r="Z3" i="5"/>
  <c r="F43" i="6" s="1"/>
  <c r="AJ41" i="5"/>
  <c r="Z41" i="5"/>
  <c r="F228" i="6" s="1"/>
  <c r="D259" i="6"/>
  <c r="B90" i="1"/>
  <c r="Z60" i="5"/>
  <c r="F301" i="6" s="1"/>
  <c r="AJ37" i="5"/>
  <c r="Y16" i="5"/>
  <c r="AJ16" i="5" s="1"/>
  <c r="AB40" i="5"/>
  <c r="AC40" i="5"/>
  <c r="AD40" i="5" s="1"/>
  <c r="AB60" i="5"/>
  <c r="AC60" i="5"/>
  <c r="AD60" i="5" s="1"/>
  <c r="D73" i="6"/>
  <c r="B35" i="1"/>
  <c r="D324" i="6"/>
  <c r="B114" i="1"/>
  <c r="D388" i="6"/>
  <c r="B130" i="1"/>
  <c r="F50" i="1"/>
  <c r="G50" i="1"/>
  <c r="E50" i="1"/>
  <c r="K50" i="1"/>
  <c r="AC50" i="1"/>
  <c r="Z50" i="1"/>
  <c r="M50" i="1" s="1"/>
  <c r="O50" i="1"/>
  <c r="J50" i="1"/>
  <c r="G125" i="6" s="1"/>
  <c r="D50" i="1"/>
  <c r="E125" i="6" s="1"/>
  <c r="U50" i="1"/>
  <c r="AB50" i="1" s="1"/>
  <c r="D260" i="6"/>
  <c r="B91" i="1"/>
  <c r="AB31" i="5"/>
  <c r="AC31" i="5"/>
  <c r="AD31" i="5" s="1"/>
  <c r="AQ5" i="4"/>
  <c r="AR5" i="4"/>
  <c r="AD23" i="5"/>
  <c r="AB23" i="5"/>
  <c r="AC23" i="5"/>
  <c r="A187" i="6"/>
  <c r="I68" i="1"/>
  <c r="Z68" i="1"/>
  <c r="M68" i="1" s="1"/>
  <c r="Q69" i="1"/>
  <c r="AU6" i="2"/>
  <c r="AL6" i="2"/>
  <c r="D389" i="6"/>
  <c r="B131" i="1"/>
  <c r="AK17" i="5"/>
  <c r="Z17" i="5"/>
  <c r="F110" i="6" s="1"/>
  <c r="AC27" i="5"/>
  <c r="AD27" i="5"/>
  <c r="AB27" i="5"/>
  <c r="AD25" i="5"/>
  <c r="AC25" i="5"/>
  <c r="AB25" i="5"/>
  <c r="AD32" i="5"/>
  <c r="AC32" i="5"/>
  <c r="AB32" i="5"/>
  <c r="F319" i="6"/>
  <c r="AA109" i="1"/>
  <c r="V109" i="1"/>
  <c r="T109" i="1"/>
  <c r="U109" i="1"/>
  <c r="AB109" i="1" s="1"/>
  <c r="W127" i="1"/>
  <c r="Z18" i="5"/>
  <c r="F157" i="6" s="1"/>
  <c r="D191" i="6"/>
  <c r="B72" i="1"/>
  <c r="A320" i="6"/>
  <c r="Z110" i="1"/>
  <c r="M110" i="1" s="1"/>
  <c r="I110" i="1"/>
  <c r="Q111" i="1"/>
  <c r="D325" i="6"/>
  <c r="B115" i="1"/>
  <c r="AC13" i="5"/>
  <c r="AD13" i="5" s="1"/>
  <c r="AB13" i="5"/>
  <c r="AF9" i="4"/>
  <c r="AG9" i="4" s="1"/>
  <c r="AB9" i="4"/>
  <c r="AC9" i="4"/>
  <c r="AD9" i="4" s="1"/>
  <c r="AL9" i="4"/>
  <c r="AM9" i="4" s="1"/>
  <c r="AI9" i="4"/>
  <c r="AA9" i="4"/>
  <c r="E104" i="6"/>
  <c r="AJ11" i="5"/>
  <c r="AA11" i="5"/>
  <c r="Y11" i="5"/>
  <c r="W11" i="5"/>
  <c r="X11" i="5" s="1"/>
  <c r="AL11" i="5"/>
  <c r="D130" i="6"/>
  <c r="B55" i="1"/>
  <c r="D384" i="6"/>
  <c r="B126" i="1"/>
  <c r="A67" i="6"/>
  <c r="Q30" i="1"/>
  <c r="Z29" i="1"/>
  <c r="I29" i="1"/>
  <c r="AE26" i="5"/>
  <c r="AB18" i="5"/>
  <c r="AC18" i="5"/>
  <c r="AD18" i="5"/>
  <c r="X6" i="4"/>
  <c r="AX6" i="4"/>
  <c r="AS6" i="2" s="1"/>
  <c r="AD6" i="2"/>
  <c r="F385" i="6"/>
  <c r="T127" i="1"/>
  <c r="V127" i="1"/>
  <c r="AA127" i="1"/>
  <c r="U127" i="1"/>
  <c r="AB127" i="1" s="1"/>
  <c r="D253" i="6"/>
  <c r="B84" i="1"/>
  <c r="D129" i="6"/>
  <c r="B54" i="1"/>
  <c r="AF5" i="5"/>
  <c r="AG5" i="5" s="1"/>
  <c r="AE5" i="5"/>
  <c r="H109" i="1"/>
  <c r="A4" i="6"/>
  <c r="Z5" i="1"/>
  <c r="Q6" i="1"/>
  <c r="I5" i="1"/>
  <c r="D14" i="6"/>
  <c r="B15" i="1"/>
  <c r="A126" i="6"/>
  <c r="Z51" i="1"/>
  <c r="Q52" i="1"/>
  <c r="I51" i="1"/>
  <c r="W3" i="1"/>
  <c r="L3" i="1"/>
  <c r="AA50" i="1"/>
  <c r="A255" i="6"/>
  <c r="Z86" i="1"/>
  <c r="M86" i="1" s="1"/>
  <c r="Q87" i="1"/>
  <c r="I86" i="1"/>
  <c r="A387" i="6"/>
  <c r="Z129" i="1"/>
  <c r="M129" i="1" s="1"/>
  <c r="Q130" i="1"/>
  <c r="I129" i="1"/>
  <c r="M5" i="1" l="1"/>
  <c r="V67" i="1"/>
  <c r="F186" i="6"/>
  <c r="T67" i="1"/>
  <c r="U67" i="1"/>
  <c r="AB67" i="1" s="1"/>
  <c r="M51" i="1"/>
  <c r="AE48" i="5"/>
  <c r="AE60" i="5"/>
  <c r="AE64" i="5"/>
  <c r="AE20" i="5"/>
  <c r="AE76" i="5"/>
  <c r="AE84" i="5"/>
  <c r="AE40" i="5"/>
  <c r="AE13" i="5"/>
  <c r="AE15" i="5"/>
  <c r="AE62" i="5"/>
  <c r="AK2" i="5"/>
  <c r="F53" i="6" s="1"/>
  <c r="AI2" i="5"/>
  <c r="F51" i="6" s="1"/>
  <c r="Z2" i="5"/>
  <c r="F42" i="6" s="1"/>
  <c r="AE68" i="5"/>
  <c r="AE12" i="5"/>
  <c r="AE73" i="5"/>
  <c r="AE54" i="5"/>
  <c r="AE71" i="5"/>
  <c r="AE79" i="5"/>
  <c r="Z11" i="5"/>
  <c r="F104" i="6" s="1"/>
  <c r="AK11" i="5"/>
  <c r="AI11" i="5"/>
  <c r="F111" i="6" s="1"/>
  <c r="AE53" i="5"/>
  <c r="AE35" i="5"/>
  <c r="AE83" i="5"/>
  <c r="AE44" i="5"/>
  <c r="AE56" i="5"/>
  <c r="AE47" i="5"/>
  <c r="AE29" i="5"/>
  <c r="AE19" i="5"/>
  <c r="AE37" i="5"/>
  <c r="AE50" i="5"/>
  <c r="AE42" i="5"/>
  <c r="AE78" i="5"/>
  <c r="AE55" i="5"/>
  <c r="AE31" i="5"/>
  <c r="AE66" i="5"/>
  <c r="AE45" i="5"/>
  <c r="A256" i="6"/>
  <c r="I87" i="1"/>
  <c r="Q88" i="1"/>
  <c r="Z87" i="1"/>
  <c r="M87" i="1" s="1"/>
  <c r="F255" i="6"/>
  <c r="V86" i="1"/>
  <c r="T86" i="1"/>
  <c r="AA86" i="1"/>
  <c r="U86" i="1"/>
  <c r="AB86" i="1" s="1"/>
  <c r="H86" i="1"/>
  <c r="A127" i="6"/>
  <c r="Z52" i="1"/>
  <c r="I52" i="1"/>
  <c r="Q53" i="1"/>
  <c r="F187" i="6"/>
  <c r="U68" i="1"/>
  <c r="AB68" i="1" s="1"/>
  <c r="H68" i="1"/>
  <c r="AA68" i="1"/>
  <c r="V68" i="1"/>
  <c r="T68" i="1"/>
  <c r="P51" i="7"/>
  <c r="P59" i="7"/>
  <c r="P74" i="7"/>
  <c r="AE24" i="5"/>
  <c r="L66" i="1"/>
  <c r="W66" i="1"/>
  <c r="Z35" i="5"/>
  <c r="F222" i="6" s="1"/>
  <c r="I45" i="6"/>
  <c r="Z16" i="5"/>
  <c r="F109" i="6" s="1"/>
  <c r="AJ47" i="5"/>
  <c r="AJ48" i="5"/>
  <c r="A5" i="6"/>
  <c r="Q7" i="1"/>
  <c r="I6" i="1"/>
  <c r="Z6" i="1"/>
  <c r="M6" i="1" s="1"/>
  <c r="W126" i="1"/>
  <c r="L126" i="1"/>
  <c r="P77" i="7"/>
  <c r="L67" i="1"/>
  <c r="W67" i="1"/>
  <c r="AB11" i="4"/>
  <c r="AL11" i="4"/>
  <c r="AM11" i="4" s="1"/>
  <c r="AI11" i="4"/>
  <c r="AF11" i="4"/>
  <c r="AG11" i="4" s="1"/>
  <c r="AC11" i="4"/>
  <c r="AD11" i="4" s="1"/>
  <c r="AA11" i="4"/>
  <c r="W85" i="1"/>
  <c r="L85" i="1"/>
  <c r="Z50" i="5"/>
  <c r="F237" i="6" s="1"/>
  <c r="AJ50" i="5"/>
  <c r="AK50" i="5"/>
  <c r="AJ9" i="4"/>
  <c r="AE9" i="4"/>
  <c r="P87" i="7"/>
  <c r="P57" i="7"/>
  <c r="P64" i="7"/>
  <c r="Z46" i="5"/>
  <c r="F233" i="6" s="1"/>
  <c r="AK46" i="5"/>
  <c r="AJ46" i="5"/>
  <c r="F67" i="6"/>
  <c r="V29" i="1"/>
  <c r="T29" i="1"/>
  <c r="AA29" i="1"/>
  <c r="U29" i="1"/>
  <c r="AB29" i="1" s="1"/>
  <c r="AE27" i="5"/>
  <c r="P67" i="7"/>
  <c r="P76" i="7"/>
  <c r="A68" i="6"/>
  <c r="Z30" i="1"/>
  <c r="M30" i="1" s="1"/>
  <c r="I30" i="1"/>
  <c r="Q31" i="1"/>
  <c r="AJ45" i="5"/>
  <c r="AK45" i="5"/>
  <c r="Z45" i="5"/>
  <c r="F232" i="6" s="1"/>
  <c r="P61" i="7"/>
  <c r="P75" i="7"/>
  <c r="P80" i="7"/>
  <c r="AE63" i="5"/>
  <c r="AF63" i="5"/>
  <c r="Z30" i="5"/>
  <c r="F169" i="6" s="1"/>
  <c r="AJ30" i="5"/>
  <c r="AK30" i="5"/>
  <c r="AJ79" i="5"/>
  <c r="P84" i="7"/>
  <c r="P68" i="7"/>
  <c r="Z69" i="5"/>
  <c r="F358" i="6" s="1"/>
  <c r="AK69" i="5"/>
  <c r="AJ69" i="5"/>
  <c r="AF7" i="5"/>
  <c r="AE7" i="5"/>
  <c r="Z4" i="5"/>
  <c r="F44" i="6" s="1"/>
  <c r="AE16" i="5"/>
  <c r="L109" i="1"/>
  <c r="W109" i="1"/>
  <c r="AB6" i="2"/>
  <c r="AA6" i="2"/>
  <c r="Z28" i="5"/>
  <c r="F167" i="6" s="1"/>
  <c r="AJ28" i="5"/>
  <c r="AK28" i="5"/>
  <c r="AJ72" i="5"/>
  <c r="Z72" i="5"/>
  <c r="F361" i="6" s="1"/>
  <c r="AK72" i="5"/>
  <c r="AF3" i="5"/>
  <c r="AE3" i="5"/>
  <c r="AK10" i="4"/>
  <c r="AH10" i="4"/>
  <c r="P58" i="7"/>
  <c r="P73" i="7"/>
  <c r="AB4" i="5"/>
  <c r="AC4" i="5"/>
  <c r="AD4" i="5" s="1"/>
  <c r="AJ35" i="5"/>
  <c r="AF7" i="2"/>
  <c r="AU7" i="4"/>
  <c r="AV7" i="4" s="1"/>
  <c r="Y7" i="4"/>
  <c r="Z7" i="4" s="1"/>
  <c r="P65" i="7"/>
  <c r="P55" i="7"/>
  <c r="AE36" i="5"/>
  <c r="AJ29" i="5"/>
  <c r="AK29" i="5"/>
  <c r="Z29" i="5"/>
  <c r="F168" i="6" s="1"/>
  <c r="AE58" i="5"/>
  <c r="Z36" i="5"/>
  <c r="F223" i="6" s="1"/>
  <c r="AK36" i="5"/>
  <c r="AJ36" i="5"/>
  <c r="Z71" i="5"/>
  <c r="F360" i="6" s="1"/>
  <c r="AK82" i="5"/>
  <c r="AE86" i="5"/>
  <c r="AF86" i="5"/>
  <c r="Z68" i="5"/>
  <c r="F357" i="6" s="1"/>
  <c r="AJ68" i="5"/>
  <c r="F371" i="6" s="1"/>
  <c r="AK68" i="5"/>
  <c r="F372" i="6" s="1"/>
  <c r="M52" i="1"/>
  <c r="P70" i="7"/>
  <c r="A388" i="6"/>
  <c r="Q131" i="1"/>
  <c r="I130" i="1"/>
  <c r="Z39" i="5"/>
  <c r="F226" i="6" s="1"/>
  <c r="AJ39" i="5"/>
  <c r="AK39" i="5"/>
  <c r="AJ82" i="5"/>
  <c r="AJ55" i="5"/>
  <c r="AK55" i="5"/>
  <c r="Z55" i="5"/>
  <c r="F296" i="6" s="1"/>
  <c r="AU6" i="4"/>
  <c r="AV6" i="4" s="1"/>
  <c r="Y6" i="4"/>
  <c r="Z6" i="4" s="1"/>
  <c r="AF6" i="2"/>
  <c r="P85" i="7"/>
  <c r="AB7" i="2"/>
  <c r="AA7" i="2"/>
  <c r="F386" i="6"/>
  <c r="V128" i="1"/>
  <c r="U128" i="1"/>
  <c r="AB128" i="1" s="1"/>
  <c r="AA128" i="1"/>
  <c r="T128" i="1"/>
  <c r="H128" i="1"/>
  <c r="AF8" i="5"/>
  <c r="AE8" i="5"/>
  <c r="AE23" i="5"/>
  <c r="AE18" i="5"/>
  <c r="AF18" i="5"/>
  <c r="AT11" i="4"/>
  <c r="AU11" i="4" s="1"/>
  <c r="AV11" i="4" s="1"/>
  <c r="AP11" i="4"/>
  <c r="AE70" i="5"/>
  <c r="F387" i="6"/>
  <c r="V129" i="1"/>
  <c r="U129" i="1"/>
  <c r="AB129" i="1" s="1"/>
  <c r="T129" i="1"/>
  <c r="AA129" i="1"/>
  <c r="H129" i="1"/>
  <c r="AE39" i="5"/>
  <c r="AK71" i="5"/>
  <c r="P52" i="7"/>
  <c r="AC11" i="5"/>
  <c r="AD11" i="5"/>
  <c r="AB11" i="5"/>
  <c r="A321" i="6"/>
  <c r="I111" i="1"/>
  <c r="Z111" i="1"/>
  <c r="M111" i="1" s="1"/>
  <c r="H111" i="1" s="1"/>
  <c r="Q112" i="1"/>
  <c r="AF32" i="5"/>
  <c r="AE32" i="5"/>
  <c r="AE43" i="5"/>
  <c r="Z26" i="5"/>
  <c r="F165" i="6" s="1"/>
  <c r="AJ26" i="5"/>
  <c r="AK26" i="5"/>
  <c r="F173" i="6" s="1"/>
  <c r="P69" i="7"/>
  <c r="P86" i="7"/>
  <c r="AR8" i="4"/>
  <c r="AQ8" i="4"/>
  <c r="AE82" i="5"/>
  <c r="AB2" i="5"/>
  <c r="AD2" i="5"/>
  <c r="AC2" i="5"/>
  <c r="AJ64" i="5"/>
  <c r="AK40" i="5"/>
  <c r="Z40" i="5"/>
  <c r="F227" i="6" s="1"/>
  <c r="AJ40" i="5"/>
  <c r="P81" i="7"/>
  <c r="F320" i="6"/>
  <c r="AA110" i="1"/>
  <c r="U110" i="1"/>
  <c r="AB110" i="1" s="1"/>
  <c r="T110" i="1"/>
  <c r="V110" i="1"/>
  <c r="H110" i="1"/>
  <c r="M29" i="1"/>
  <c r="H29" i="1" s="1"/>
  <c r="P63" i="7"/>
  <c r="P56" i="7"/>
  <c r="AB4" i="1"/>
  <c r="AJ13" i="5"/>
  <c r="F112" i="6" s="1"/>
  <c r="AK13" i="5"/>
  <c r="Z13" i="5"/>
  <c r="F106" i="6" s="1"/>
  <c r="F52" i="6"/>
  <c r="P60" i="7"/>
  <c r="AE33" i="5"/>
  <c r="AE52" i="5"/>
  <c r="AF52" i="5"/>
  <c r="AK9" i="4"/>
  <c r="AH9" i="4"/>
  <c r="D125" i="6"/>
  <c r="B50" i="1"/>
  <c r="AK54" i="5"/>
  <c r="F306" i="6" s="1"/>
  <c r="AJ54" i="5"/>
  <c r="P53" i="7"/>
  <c r="P66" i="7"/>
  <c r="L4" i="1"/>
  <c r="W4" i="1"/>
  <c r="A188" i="6"/>
  <c r="I69" i="1"/>
  <c r="Q70" i="1"/>
  <c r="Z69" i="1"/>
  <c r="M69" i="1" s="1"/>
  <c r="M108" i="1"/>
  <c r="H108" i="1" s="1"/>
  <c r="M84" i="1"/>
  <c r="H84" i="1" s="1"/>
  <c r="P79" i="7"/>
  <c r="P72" i="7"/>
  <c r="I369" i="6"/>
  <c r="AK47" i="5"/>
  <c r="P78" i="7"/>
  <c r="AK67" i="5"/>
  <c r="AJ67" i="5"/>
  <c r="Z67" i="5"/>
  <c r="F356" i="6" s="1"/>
  <c r="AQ9" i="4"/>
  <c r="AR9" i="4"/>
  <c r="AK84" i="5"/>
  <c r="Z84" i="5"/>
  <c r="F419" i="6" s="1"/>
  <c r="AJ84" i="5"/>
  <c r="P54" i="7"/>
  <c r="H50" i="1"/>
  <c r="AJ10" i="4"/>
  <c r="AE10" i="4"/>
  <c r="P62" i="7"/>
  <c r="AE10" i="5"/>
  <c r="AF10" i="5"/>
  <c r="P82" i="7"/>
  <c r="AC5" i="4"/>
  <c r="AD5" i="4" s="1"/>
  <c r="AI5" i="4"/>
  <c r="AB5" i="4"/>
  <c r="AA5" i="4"/>
  <c r="AL5" i="4"/>
  <c r="AM5" i="4" s="1"/>
  <c r="AF5" i="4"/>
  <c r="AG5" i="4" s="1"/>
  <c r="F126" i="6"/>
  <c r="T51" i="1"/>
  <c r="AA51" i="1"/>
  <c r="V51" i="1"/>
  <c r="U51" i="1"/>
  <c r="AB51" i="1" s="1"/>
  <c r="H51" i="1"/>
  <c r="F4" i="6"/>
  <c r="U5" i="1"/>
  <c r="AB5" i="1" s="1"/>
  <c r="T5" i="1"/>
  <c r="AA5" i="1"/>
  <c r="V5" i="1"/>
  <c r="AE25" i="5"/>
  <c r="H27" i="1"/>
  <c r="AJ61" i="5"/>
  <c r="Z61" i="5"/>
  <c r="F302" i="6" s="1"/>
  <c r="AK61" i="5"/>
  <c r="AF81" i="5"/>
  <c r="AE81" i="5"/>
  <c r="H5" i="1"/>
  <c r="P71" i="7"/>
  <c r="P83" i="7"/>
  <c r="P88" i="7"/>
  <c r="AE34" i="5"/>
  <c r="AK14" i="5"/>
  <c r="AJ14" i="5"/>
  <c r="Z14" i="5"/>
  <c r="F107" i="6" s="1"/>
  <c r="AK48" i="5"/>
  <c r="W84" i="1" l="1"/>
  <c r="L84" i="1"/>
  <c r="W111" i="1"/>
  <c r="L111" i="1"/>
  <c r="AF4" i="5"/>
  <c r="AE4" i="5"/>
  <c r="F188" i="6"/>
  <c r="U69" i="1"/>
  <c r="AB69" i="1" s="1"/>
  <c r="AA69" i="1"/>
  <c r="V69" i="1"/>
  <c r="T69" i="1"/>
  <c r="W110" i="1"/>
  <c r="L110" i="1"/>
  <c r="W51" i="1"/>
  <c r="L51" i="1"/>
  <c r="L27" i="1"/>
  <c r="W27" i="1"/>
  <c r="AG32" i="5"/>
  <c r="I219" i="6"/>
  <c r="L108" i="1"/>
  <c r="W108" i="1"/>
  <c r="AK5" i="4"/>
  <c r="AH5" i="4"/>
  <c r="W5" i="1"/>
  <c r="L5" i="1"/>
  <c r="AG81" i="5"/>
  <c r="I416" i="6"/>
  <c r="F305" i="6"/>
  <c r="AF2" i="5"/>
  <c r="AE2" i="5"/>
  <c r="AG3" i="5"/>
  <c r="I43" i="6"/>
  <c r="AE11" i="4"/>
  <c r="AJ11" i="4"/>
  <c r="F5" i="6"/>
  <c r="V6" i="1"/>
  <c r="T6" i="1"/>
  <c r="AA6" i="1"/>
  <c r="U6" i="1"/>
  <c r="H6" i="1"/>
  <c r="AG86" i="5"/>
  <c r="I421" i="6"/>
  <c r="AG7" i="5"/>
  <c r="I47" i="6"/>
  <c r="L129" i="1"/>
  <c r="W129" i="1"/>
  <c r="AK11" i="4"/>
  <c r="AH11" i="4"/>
  <c r="A69" i="6"/>
  <c r="Q32" i="1"/>
  <c r="I31" i="1"/>
  <c r="Z31" i="1"/>
  <c r="M31" i="1" s="1"/>
  <c r="A6" i="6"/>
  <c r="I7" i="1"/>
  <c r="Z7" i="1"/>
  <c r="M7" i="1" s="1"/>
  <c r="Q8" i="1"/>
  <c r="A128" i="6"/>
  <c r="Z53" i="1"/>
  <c r="M53" i="1" s="1"/>
  <c r="I53" i="1"/>
  <c r="Q54" i="1"/>
  <c r="A257" i="6"/>
  <c r="Q89" i="1"/>
  <c r="Z88" i="1"/>
  <c r="M88" i="1" s="1"/>
  <c r="I88" i="1"/>
  <c r="F240" i="6"/>
  <c r="F68" i="6"/>
  <c r="AA30" i="1"/>
  <c r="H30" i="1"/>
  <c r="V30" i="1"/>
  <c r="U30" i="1"/>
  <c r="AB30" i="1" s="1"/>
  <c r="T30" i="1"/>
  <c r="F127" i="6"/>
  <c r="V52" i="1"/>
  <c r="T52" i="1"/>
  <c r="AA52" i="1"/>
  <c r="U52" i="1"/>
  <c r="AB52" i="1" s="1"/>
  <c r="F256" i="6"/>
  <c r="AA87" i="1"/>
  <c r="U87" i="1"/>
  <c r="AB87" i="1" s="1"/>
  <c r="T87" i="1"/>
  <c r="V87" i="1"/>
  <c r="H87" i="1"/>
  <c r="L86" i="1"/>
  <c r="W86" i="1"/>
  <c r="F321" i="6"/>
  <c r="V111" i="1"/>
  <c r="U111" i="1"/>
  <c r="AB111" i="1" s="1"/>
  <c r="AA111" i="1"/>
  <c r="T111" i="1"/>
  <c r="AG52" i="5"/>
  <c r="I293" i="6"/>
  <c r="AR11" i="4"/>
  <c r="AQ11" i="4"/>
  <c r="W128" i="1"/>
  <c r="L128" i="1"/>
  <c r="AI6" i="4"/>
  <c r="AF6" i="4"/>
  <c r="AG6" i="4" s="1"/>
  <c r="AB6" i="4"/>
  <c r="AL6" i="4"/>
  <c r="AM6" i="4" s="1"/>
  <c r="AC6" i="4"/>
  <c r="AD6" i="4" s="1"/>
  <c r="AA6" i="4"/>
  <c r="F388" i="6"/>
  <c r="AA130" i="1"/>
  <c r="V130" i="1"/>
  <c r="T130" i="1"/>
  <c r="U130" i="1"/>
  <c r="H130" i="1"/>
  <c r="A389" i="6"/>
  <c r="Q132" i="1"/>
  <c r="I131" i="1"/>
  <c r="F113" i="6"/>
  <c r="F241" i="6"/>
  <c r="L68" i="1"/>
  <c r="W68" i="1"/>
  <c r="W29" i="1"/>
  <c r="L29" i="1"/>
  <c r="A322" i="6"/>
  <c r="I112" i="1"/>
  <c r="Q113" i="1"/>
  <c r="Z112" i="1"/>
  <c r="M112" i="1" s="1"/>
  <c r="F424" i="6"/>
  <c r="AG63" i="5"/>
  <c r="I352" i="6"/>
  <c r="AF11" i="5"/>
  <c r="AE11" i="5"/>
  <c r="AG8" i="5"/>
  <c r="I48" i="6"/>
  <c r="AE5" i="4"/>
  <c r="AJ5" i="4"/>
  <c r="W50" i="1"/>
  <c r="L50" i="1"/>
  <c r="A189" i="6"/>
  <c r="Z70" i="1"/>
  <c r="M70" i="1" s="1"/>
  <c r="Q71" i="1"/>
  <c r="I70" i="1"/>
  <c r="AG10" i="5"/>
  <c r="I50" i="6"/>
  <c r="F172" i="6"/>
  <c r="AG18" i="5"/>
  <c r="I157" i="6"/>
  <c r="F423" i="6"/>
  <c r="AI7" i="4"/>
  <c r="AF7" i="4"/>
  <c r="AG7" i="4" s="1"/>
  <c r="AC7" i="4"/>
  <c r="AD7" i="4" s="1"/>
  <c r="AA7" i="4"/>
  <c r="AB7" i="4"/>
  <c r="AL7" i="4"/>
  <c r="AM7" i="4" s="1"/>
  <c r="H69" i="1"/>
  <c r="H52" i="1"/>
  <c r="F189" i="6" l="1"/>
  <c r="AA70" i="1"/>
  <c r="V70" i="1"/>
  <c r="U70" i="1"/>
  <c r="AB70" i="1" s="1"/>
  <c r="T70" i="1"/>
  <c r="H70" i="1"/>
  <c r="A70" i="6"/>
  <c r="Q33" i="1"/>
  <c r="I32" i="1"/>
  <c r="Z32" i="1"/>
  <c r="M32" i="1" s="1"/>
  <c r="AJ6" i="4"/>
  <c r="AE6" i="4"/>
  <c r="A129" i="6"/>
  <c r="I54" i="1"/>
  <c r="Q55" i="1"/>
  <c r="AE7" i="4"/>
  <c r="AJ7" i="4"/>
  <c r="A190" i="6"/>
  <c r="Q72" i="1"/>
  <c r="I71" i="1"/>
  <c r="AK6" i="4"/>
  <c r="AH6" i="4"/>
  <c r="AK7" i="4"/>
  <c r="AH7" i="4"/>
  <c r="L52" i="1"/>
  <c r="W52" i="1"/>
  <c r="A258" i="6"/>
  <c r="I89" i="1"/>
  <c r="Q90" i="1"/>
  <c r="Z89" i="1"/>
  <c r="M89" i="1" s="1"/>
  <c r="L69" i="1"/>
  <c r="W69" i="1"/>
  <c r="AF64" i="5"/>
  <c r="AF53" i="5"/>
  <c r="L30" i="1"/>
  <c r="W30" i="1"/>
  <c r="AG4" i="5"/>
  <c r="I44" i="6"/>
  <c r="A7" i="6"/>
  <c r="AA8" i="1"/>
  <c r="Z8" i="1"/>
  <c r="M8" i="1" s="1"/>
  <c r="Q9" i="1"/>
  <c r="AG2" i="5"/>
  <c r="I42" i="6"/>
  <c r="A323" i="6"/>
  <c r="I113" i="1"/>
  <c r="Z113" i="1"/>
  <c r="M113" i="1" s="1"/>
  <c r="Q114" i="1"/>
  <c r="L87" i="1"/>
  <c r="W87" i="1"/>
  <c r="L130" i="1"/>
  <c r="W130" i="1"/>
  <c r="AG11" i="5"/>
  <c r="I104" i="6"/>
  <c r="F389" i="6"/>
  <c r="T131" i="1"/>
  <c r="V131" i="1"/>
  <c r="AA131" i="1"/>
  <c r="U131" i="1"/>
  <c r="H131" i="1"/>
  <c r="W6" i="1"/>
  <c r="L6" i="1"/>
  <c r="F322" i="6"/>
  <c r="AA112" i="1"/>
  <c r="T112" i="1"/>
  <c r="U112" i="1"/>
  <c r="AB112" i="1" s="1"/>
  <c r="V112" i="1"/>
  <c r="H112" i="1"/>
  <c r="A390" i="6"/>
  <c r="P132" i="1"/>
  <c r="Q133" i="1"/>
  <c r="I132" i="1"/>
  <c r="F6" i="6"/>
  <c r="AA7" i="1"/>
  <c r="V7" i="1"/>
  <c r="U7" i="1"/>
  <c r="AB7" i="1" s="1"/>
  <c r="T7" i="1"/>
  <c r="H7" i="1"/>
  <c r="AB6" i="1"/>
  <c r="F257" i="6"/>
  <c r="T88" i="1"/>
  <c r="AA88" i="1"/>
  <c r="V88" i="1"/>
  <c r="U88" i="1"/>
  <c r="AB88" i="1" s="1"/>
  <c r="H88" i="1"/>
  <c r="AF82" i="5"/>
  <c r="AF19" i="5"/>
  <c r="F69" i="6"/>
  <c r="U31" i="1"/>
  <c r="AB31" i="1" s="1"/>
  <c r="AA31" i="1"/>
  <c r="V31" i="1"/>
  <c r="T31" i="1"/>
  <c r="H31" i="1"/>
  <c r="AF33" i="5"/>
  <c r="F128" i="6"/>
  <c r="U53" i="1"/>
  <c r="AB53" i="1" s="1"/>
  <c r="AA53" i="1"/>
  <c r="V53" i="1"/>
  <c r="T53" i="1"/>
  <c r="H53" i="1"/>
  <c r="W131" i="1" l="1"/>
  <c r="L131" i="1"/>
  <c r="F390" i="6"/>
  <c r="V132" i="1"/>
  <c r="T132" i="1"/>
  <c r="AA132" i="1"/>
  <c r="A391" i="6"/>
  <c r="P133" i="1"/>
  <c r="Q134" i="1"/>
  <c r="I133" i="1"/>
  <c r="Q115" i="1"/>
  <c r="A324" i="6"/>
  <c r="I114" i="1"/>
  <c r="F190" i="6"/>
  <c r="AA71" i="1"/>
  <c r="U71" i="1"/>
  <c r="V71" i="1"/>
  <c r="T71" i="1"/>
  <c r="H71" i="1"/>
  <c r="L53" i="1"/>
  <c r="W53" i="1"/>
  <c r="K132" i="1"/>
  <c r="J132" i="1"/>
  <c r="G390" i="6" s="1"/>
  <c r="F132" i="1"/>
  <c r="E132" i="1"/>
  <c r="D132" i="1"/>
  <c r="E390" i="6" s="1"/>
  <c r="Z132" i="1"/>
  <c r="M132" i="1" s="1"/>
  <c r="AC132" i="1"/>
  <c r="U132" i="1"/>
  <c r="AB132" i="1" s="1"/>
  <c r="O132" i="1"/>
  <c r="G132" i="1"/>
  <c r="A191" i="6"/>
  <c r="I72" i="1"/>
  <c r="Q73" i="1"/>
  <c r="A130" i="6"/>
  <c r="Q56" i="1"/>
  <c r="I55" i="1"/>
  <c r="F129" i="6"/>
  <c r="AA54" i="1"/>
  <c r="V54" i="1"/>
  <c r="T54" i="1"/>
  <c r="U54" i="1"/>
  <c r="H54" i="1"/>
  <c r="A259" i="6"/>
  <c r="I90" i="1"/>
  <c r="Q91" i="1"/>
  <c r="F258" i="6"/>
  <c r="T89" i="1"/>
  <c r="H89" i="1"/>
  <c r="AA89" i="1"/>
  <c r="V89" i="1"/>
  <c r="U89" i="1"/>
  <c r="AB89" i="1" s="1"/>
  <c r="AG64" i="5"/>
  <c r="I353" i="6"/>
  <c r="AG53" i="5"/>
  <c r="I294" i="6" s="1"/>
  <c r="F70" i="6"/>
  <c r="U32" i="1"/>
  <c r="AB32" i="1" s="1"/>
  <c r="T32" i="1"/>
  <c r="AA32" i="1"/>
  <c r="V32" i="1"/>
  <c r="H32" i="1"/>
  <c r="AG33" i="5"/>
  <c r="I220" i="6" s="1"/>
  <c r="A8" i="6"/>
  <c r="Z9" i="1"/>
  <c r="M9" i="1" s="1"/>
  <c r="AA9" i="1"/>
  <c r="Q10" i="1"/>
  <c r="A71" i="6"/>
  <c r="Z33" i="1"/>
  <c r="M33" i="1" s="1"/>
  <c r="I33" i="1"/>
  <c r="Q34" i="1"/>
  <c r="F323" i="6"/>
  <c r="T113" i="1"/>
  <c r="H113" i="1"/>
  <c r="AA113" i="1"/>
  <c r="V113" i="1"/>
  <c r="U113" i="1"/>
  <c r="AB113" i="1" s="1"/>
  <c r="AG82" i="5"/>
  <c r="I417" i="6"/>
  <c r="L31" i="1"/>
  <c r="W31" i="1"/>
  <c r="W88" i="1"/>
  <c r="L88" i="1"/>
  <c r="H8" i="1"/>
  <c r="W112" i="1"/>
  <c r="L112" i="1"/>
  <c r="W70" i="1"/>
  <c r="L70" i="1"/>
  <c r="L7" i="1"/>
  <c r="W7" i="1"/>
  <c r="AG19" i="5"/>
  <c r="I158" i="6"/>
  <c r="AF12" i="5"/>
  <c r="H132" i="1" l="1"/>
  <c r="W132" i="1" s="1"/>
  <c r="A392" i="6"/>
  <c r="Q135" i="1"/>
  <c r="Z134" i="1"/>
  <c r="M134" i="1" s="1"/>
  <c r="I134" i="1"/>
  <c r="AF65" i="5"/>
  <c r="F130" i="6"/>
  <c r="V55" i="1"/>
  <c r="T55" i="1"/>
  <c r="AA55" i="1"/>
  <c r="U55" i="1"/>
  <c r="H55" i="1"/>
  <c r="J133" i="1"/>
  <c r="G391" i="6" s="1"/>
  <c r="G133" i="1"/>
  <c r="F133" i="1"/>
  <c r="D133" i="1"/>
  <c r="E391" i="6" s="1"/>
  <c r="AC133" i="1"/>
  <c r="E133" i="1"/>
  <c r="Z133" i="1"/>
  <c r="AB133" i="1"/>
  <c r="U133" i="1"/>
  <c r="O133" i="1"/>
  <c r="M133" i="1"/>
  <c r="K133" i="1"/>
  <c r="A9" i="6"/>
  <c r="Q11" i="1"/>
  <c r="Z10" i="1"/>
  <c r="M10" i="1" s="1"/>
  <c r="I10" i="1"/>
  <c r="A131" i="6"/>
  <c r="P56" i="1"/>
  <c r="I56" i="1"/>
  <c r="Q57" i="1"/>
  <c r="AF83" i="5"/>
  <c r="AF20" i="5"/>
  <c r="H9" i="1"/>
  <c r="A192" i="6"/>
  <c r="P73" i="1"/>
  <c r="I73" i="1"/>
  <c r="Q74" i="1"/>
  <c r="L89" i="1"/>
  <c r="W89" i="1"/>
  <c r="F191" i="6"/>
  <c r="U72" i="1"/>
  <c r="AA72" i="1"/>
  <c r="T72" i="1"/>
  <c r="V72" i="1"/>
  <c r="H72" i="1"/>
  <c r="W71" i="1"/>
  <c r="L71" i="1"/>
  <c r="AF34" i="5"/>
  <c r="L113" i="1"/>
  <c r="W113" i="1"/>
  <c r="L32" i="1"/>
  <c r="W32" i="1"/>
  <c r="A260" i="6"/>
  <c r="I91" i="1"/>
  <c r="Q92" i="1"/>
  <c r="F259" i="6"/>
  <c r="AA90" i="1"/>
  <c r="U90" i="1"/>
  <c r="V90" i="1"/>
  <c r="T90" i="1"/>
  <c r="H90" i="1"/>
  <c r="F71" i="6"/>
  <c r="AA33" i="1"/>
  <c r="T33" i="1"/>
  <c r="V33" i="1"/>
  <c r="U33" i="1"/>
  <c r="AB33" i="1" s="1"/>
  <c r="H33" i="1"/>
  <c r="L54" i="1"/>
  <c r="W54" i="1"/>
  <c r="W8" i="1"/>
  <c r="L8" i="1"/>
  <c r="A72" i="6"/>
  <c r="Q35" i="1"/>
  <c r="I34" i="1"/>
  <c r="AG12" i="5"/>
  <c r="I105" i="6"/>
  <c r="F324" i="6"/>
  <c r="AA114" i="1"/>
  <c r="V114" i="1"/>
  <c r="T114" i="1"/>
  <c r="U114" i="1"/>
  <c r="H114" i="1"/>
  <c r="A325" i="6"/>
  <c r="Q116" i="1"/>
  <c r="I115" i="1"/>
  <c r="AF54" i="5"/>
  <c r="D390" i="6"/>
  <c r="B132" i="1"/>
  <c r="F391" i="6"/>
  <c r="AA133" i="1"/>
  <c r="V133" i="1"/>
  <c r="T133" i="1"/>
  <c r="L132" i="1" l="1"/>
  <c r="H133" i="1"/>
  <c r="F9" i="6"/>
  <c r="AA10" i="1"/>
  <c r="V10" i="1"/>
  <c r="U10" i="1"/>
  <c r="T10" i="1"/>
  <c r="H10" i="1"/>
  <c r="L55" i="1"/>
  <c r="W55" i="1"/>
  <c r="A193" i="6"/>
  <c r="Q75" i="1"/>
  <c r="P74" i="1"/>
  <c r="I74" i="1"/>
  <c r="AG54" i="5"/>
  <c r="I295" i="6"/>
  <c r="F192" i="6"/>
  <c r="T73" i="1"/>
  <c r="AA73" i="1"/>
  <c r="V73" i="1"/>
  <c r="A10" i="6"/>
  <c r="AA11" i="1"/>
  <c r="Q12" i="1"/>
  <c r="Z11" i="1"/>
  <c r="M11" i="1" s="1"/>
  <c r="W90" i="1"/>
  <c r="L90" i="1"/>
  <c r="J73" i="1"/>
  <c r="G192" i="6" s="1"/>
  <c r="AB73" i="1"/>
  <c r="E73" i="1"/>
  <c r="D73" i="1"/>
  <c r="E192" i="6" s="1"/>
  <c r="M73" i="1"/>
  <c r="G73" i="1"/>
  <c r="F73" i="1"/>
  <c r="AC73" i="1"/>
  <c r="Z73" i="1"/>
  <c r="U73" i="1"/>
  <c r="O73" i="1"/>
  <c r="K73" i="1"/>
  <c r="O56" i="1"/>
  <c r="M56" i="1"/>
  <c r="J56" i="1"/>
  <c r="G131" i="6" s="1"/>
  <c r="G56" i="1"/>
  <c r="H56" i="1" s="1"/>
  <c r="F56" i="1"/>
  <c r="E56" i="1"/>
  <c r="AC56" i="1"/>
  <c r="D56" i="1"/>
  <c r="E131" i="6" s="1"/>
  <c r="AB56" i="1"/>
  <c r="Z56" i="1"/>
  <c r="U56" i="1"/>
  <c r="K56" i="1"/>
  <c r="L114" i="1"/>
  <c r="W114" i="1"/>
  <c r="L33" i="1"/>
  <c r="W33" i="1"/>
  <c r="AG65" i="5"/>
  <c r="I354" i="6"/>
  <c r="F392" i="6"/>
  <c r="AA134" i="1"/>
  <c r="V134" i="1"/>
  <c r="T134" i="1"/>
  <c r="U134" i="1"/>
  <c r="AB134" i="1" s="1"/>
  <c r="H134" i="1"/>
  <c r="AG20" i="5"/>
  <c r="I159" i="6"/>
  <c r="AG34" i="5"/>
  <c r="I221" i="6" s="1"/>
  <c r="L72" i="1"/>
  <c r="W72" i="1"/>
  <c r="A261" i="6"/>
  <c r="P92" i="1"/>
  <c r="I92" i="1"/>
  <c r="Q93" i="1"/>
  <c r="AF13" i="5"/>
  <c r="AA34" i="1"/>
  <c r="F72" i="6"/>
  <c r="V34" i="1"/>
  <c r="U34" i="1"/>
  <c r="T34" i="1"/>
  <c r="H34" i="1"/>
  <c r="F325" i="6"/>
  <c r="AA115" i="1"/>
  <c r="V115" i="1"/>
  <c r="U115" i="1"/>
  <c r="T115" i="1"/>
  <c r="H115" i="1"/>
  <c r="A73" i="6"/>
  <c r="I35" i="1"/>
  <c r="Q36" i="1"/>
  <c r="F260" i="6"/>
  <c r="AA91" i="1"/>
  <c r="V91" i="1"/>
  <c r="T91" i="1"/>
  <c r="U91" i="1"/>
  <c r="H91" i="1"/>
  <c r="A393" i="6"/>
  <c r="Z135" i="1"/>
  <c r="M135" i="1" s="1"/>
  <c r="Q136" i="1"/>
  <c r="I135" i="1"/>
  <c r="AG83" i="5"/>
  <c r="I418" i="6"/>
  <c r="W9" i="1"/>
  <c r="L9" i="1"/>
  <c r="A326" i="6"/>
  <c r="I116" i="1"/>
  <c r="P116" i="1"/>
  <c r="Q117" i="1"/>
  <c r="A132" i="6"/>
  <c r="I57" i="1"/>
  <c r="Q58" i="1"/>
  <c r="P57" i="1"/>
  <c r="D391" i="6"/>
  <c r="B133" i="1"/>
  <c r="F131" i="6"/>
  <c r="V56" i="1"/>
  <c r="T56" i="1"/>
  <c r="AA56" i="1"/>
  <c r="A194" i="6" l="1"/>
  <c r="Z75" i="1"/>
  <c r="M75" i="1" s="1"/>
  <c r="Q76" i="1"/>
  <c r="I75" i="1"/>
  <c r="A11" i="6"/>
  <c r="AA12" i="1"/>
  <c r="Z12" i="1"/>
  <c r="M12" i="1" s="1"/>
  <c r="H12" i="1" s="1"/>
  <c r="Q13" i="1"/>
  <c r="L10" i="1"/>
  <c r="W10" i="1"/>
  <c r="AF84" i="5"/>
  <c r="AF66" i="5"/>
  <c r="H11" i="1"/>
  <c r="AB57" i="1"/>
  <c r="F57" i="1"/>
  <c r="J57" i="1"/>
  <c r="G132" i="6" s="1"/>
  <c r="M57" i="1"/>
  <c r="K57" i="1"/>
  <c r="D57" i="1"/>
  <c r="E132" i="6" s="1"/>
  <c r="AC57" i="1"/>
  <c r="Z57" i="1"/>
  <c r="U57" i="1"/>
  <c r="O57" i="1"/>
  <c r="G57" i="1"/>
  <c r="E57" i="1"/>
  <c r="L34" i="1"/>
  <c r="W34" i="1"/>
  <c r="A133" i="6"/>
  <c r="Z58" i="1"/>
  <c r="M58" i="1" s="1"/>
  <c r="Q59" i="1"/>
  <c r="I58" i="1"/>
  <c r="W91" i="1"/>
  <c r="L91" i="1"/>
  <c r="F393" i="6"/>
  <c r="T135" i="1"/>
  <c r="V135" i="1"/>
  <c r="U135" i="1"/>
  <c r="AB135" i="1" s="1"/>
  <c r="AA135" i="1"/>
  <c r="H135" i="1"/>
  <c r="A394" i="6"/>
  <c r="I136" i="1"/>
  <c r="Q137" i="1"/>
  <c r="Z136" i="1"/>
  <c r="M136" i="1" s="1"/>
  <c r="AB10" i="1"/>
  <c r="W115" i="1"/>
  <c r="L115" i="1"/>
  <c r="A262" i="6"/>
  <c r="P93" i="1"/>
  <c r="I93" i="1"/>
  <c r="Q94" i="1"/>
  <c r="L56" i="1"/>
  <c r="W56" i="1"/>
  <c r="F261" i="6"/>
  <c r="AA92" i="1"/>
  <c r="T92" i="1"/>
  <c r="V92" i="1"/>
  <c r="F92" i="1"/>
  <c r="O92" i="1"/>
  <c r="E92" i="1"/>
  <c r="AC92" i="1"/>
  <c r="D92" i="1"/>
  <c r="E261" i="6" s="1"/>
  <c r="K92" i="1"/>
  <c r="J92" i="1"/>
  <c r="G261" i="6" s="1"/>
  <c r="G92" i="1"/>
  <c r="Z92" i="1"/>
  <c r="M92" i="1" s="1"/>
  <c r="U92" i="1"/>
  <c r="AB92" i="1" s="1"/>
  <c r="O116" i="1"/>
  <c r="F116" i="1"/>
  <c r="E116" i="1"/>
  <c r="K116" i="1"/>
  <c r="J116" i="1"/>
  <c r="G326" i="6" s="1"/>
  <c r="D116" i="1"/>
  <c r="E326" i="6" s="1"/>
  <c r="AC116" i="1"/>
  <c r="AB116" i="1"/>
  <c r="Z116" i="1"/>
  <c r="G116" i="1"/>
  <c r="U116" i="1"/>
  <c r="M116" i="1"/>
  <c r="W134" i="1"/>
  <c r="L134" i="1"/>
  <c r="H73" i="1"/>
  <c r="L133" i="1"/>
  <c r="W133" i="1"/>
  <c r="F132" i="6"/>
  <c r="AA57" i="1"/>
  <c r="T57" i="1"/>
  <c r="V57" i="1"/>
  <c r="AF21" i="5"/>
  <c r="A74" i="6"/>
  <c r="I36" i="1"/>
  <c r="Q37" i="1"/>
  <c r="P36" i="1"/>
  <c r="AF55" i="5"/>
  <c r="F193" i="6"/>
  <c r="T74" i="1"/>
  <c r="AA74" i="1"/>
  <c r="V74" i="1"/>
  <c r="AF35" i="5"/>
  <c r="A327" i="6"/>
  <c r="I117" i="1"/>
  <c r="Q118" i="1"/>
  <c r="P117" i="1"/>
  <c r="F326" i="6"/>
  <c r="AA116" i="1"/>
  <c r="V116" i="1"/>
  <c r="T116" i="1"/>
  <c r="AG13" i="5"/>
  <c r="I106" i="6"/>
  <c r="F73" i="6"/>
  <c r="T35" i="1"/>
  <c r="AA35" i="1"/>
  <c r="V35" i="1"/>
  <c r="U35" i="1"/>
  <c r="H35" i="1"/>
  <c r="D192" i="6"/>
  <c r="B73" i="1"/>
  <c r="D131" i="6"/>
  <c r="B56" i="1"/>
  <c r="J74" i="1"/>
  <c r="G193" i="6" s="1"/>
  <c r="Z74" i="1"/>
  <c r="D74" i="1"/>
  <c r="E193" i="6" s="1"/>
  <c r="U74" i="1"/>
  <c r="M74" i="1"/>
  <c r="K74" i="1"/>
  <c r="G74" i="1"/>
  <c r="F74" i="1"/>
  <c r="E74" i="1"/>
  <c r="AC74" i="1"/>
  <c r="AB74" i="1"/>
  <c r="O74" i="1"/>
  <c r="H57" i="1" l="1"/>
  <c r="H116" i="1"/>
  <c r="AG21" i="5"/>
  <c r="I160" i="6" s="1"/>
  <c r="D261" i="6"/>
  <c r="B92" i="1"/>
  <c r="F133" i="6"/>
  <c r="V58" i="1"/>
  <c r="T58" i="1"/>
  <c r="AA58" i="1"/>
  <c r="U58" i="1"/>
  <c r="AB58" i="1" s="1"/>
  <c r="H58" i="1"/>
  <c r="A134" i="6"/>
  <c r="Z59" i="1"/>
  <c r="M59" i="1" s="1"/>
  <c r="I59" i="1"/>
  <c r="Q60" i="1"/>
  <c r="W11" i="1"/>
  <c r="L11" i="1"/>
  <c r="AG84" i="5"/>
  <c r="AF85" i="5" s="1"/>
  <c r="F327" i="6"/>
  <c r="AA117" i="1"/>
  <c r="V117" i="1"/>
  <c r="T117" i="1"/>
  <c r="A75" i="6"/>
  <c r="Q38" i="1"/>
  <c r="I37" i="1"/>
  <c r="P37" i="1"/>
  <c r="A395" i="6"/>
  <c r="I137" i="1"/>
  <c r="Z137" i="1"/>
  <c r="M137" i="1" s="1"/>
  <c r="Q138" i="1"/>
  <c r="F394" i="6"/>
  <c r="U136" i="1"/>
  <c r="AB136" i="1" s="1"/>
  <c r="V136" i="1"/>
  <c r="AA136" i="1"/>
  <c r="T136" i="1"/>
  <c r="H136" i="1"/>
  <c r="AG55" i="5"/>
  <c r="I296" i="6"/>
  <c r="U117" i="1"/>
  <c r="J117" i="1"/>
  <c r="G327" i="6" s="1"/>
  <c r="AB117" i="1"/>
  <c r="K117" i="1"/>
  <c r="G117" i="1"/>
  <c r="F117" i="1"/>
  <c r="D117" i="1"/>
  <c r="E327" i="6" s="1"/>
  <c r="AC117" i="1"/>
  <c r="Z117" i="1"/>
  <c r="M117" i="1"/>
  <c r="E117" i="1"/>
  <c r="O117" i="1"/>
  <c r="T36" i="1"/>
  <c r="F74" i="6"/>
  <c r="AA36" i="1"/>
  <c r="V36" i="1"/>
  <c r="D326" i="6"/>
  <c r="B116" i="1"/>
  <c r="W35" i="1"/>
  <c r="L35" i="1"/>
  <c r="AG35" i="5"/>
  <c r="I222" i="6"/>
  <c r="A12" i="6"/>
  <c r="Q14" i="1"/>
  <c r="I13" i="1"/>
  <c r="L116" i="1"/>
  <c r="W116" i="1"/>
  <c r="A328" i="6"/>
  <c r="Q119" i="1"/>
  <c r="Z118" i="1"/>
  <c r="M118" i="1" s="1"/>
  <c r="I118" i="1"/>
  <c r="J36" i="1"/>
  <c r="G74" i="6" s="1"/>
  <c r="G36" i="1"/>
  <c r="F36" i="1"/>
  <c r="E36" i="1"/>
  <c r="D36" i="1"/>
  <c r="E74" i="6" s="1"/>
  <c r="AC36" i="1"/>
  <c r="Z36" i="1"/>
  <c r="M36" i="1" s="1"/>
  <c r="O36" i="1"/>
  <c r="U36" i="1"/>
  <c r="AB36" i="1" s="1"/>
  <c r="K36" i="1"/>
  <c r="W135" i="1"/>
  <c r="L135" i="1"/>
  <c r="D132" i="6"/>
  <c r="B57" i="1"/>
  <c r="W12" i="1"/>
  <c r="L12" i="1"/>
  <c r="D193" i="6"/>
  <c r="B74" i="1"/>
  <c r="W73" i="1"/>
  <c r="L73" i="1"/>
  <c r="W57" i="1"/>
  <c r="L57" i="1"/>
  <c r="A263" i="6"/>
  <c r="Z94" i="1"/>
  <c r="M94" i="1" s="1"/>
  <c r="Q95" i="1"/>
  <c r="I94" i="1"/>
  <c r="AG66" i="5"/>
  <c r="I355" i="6"/>
  <c r="F194" i="6"/>
  <c r="AA75" i="1"/>
  <c r="V75" i="1"/>
  <c r="U75" i="1"/>
  <c r="AB75" i="1" s="1"/>
  <c r="T75" i="1"/>
  <c r="H75" i="1"/>
  <c r="H74" i="1"/>
  <c r="F262" i="6"/>
  <c r="AA93" i="1"/>
  <c r="V93" i="1"/>
  <c r="T93" i="1"/>
  <c r="A195" i="6"/>
  <c r="I76" i="1"/>
  <c r="Q77" i="1"/>
  <c r="Z76" i="1"/>
  <c r="M76" i="1" s="1"/>
  <c r="H92" i="1"/>
  <c r="Z93" i="1"/>
  <c r="M93" i="1" s="1"/>
  <c r="J93" i="1"/>
  <c r="G262" i="6" s="1"/>
  <c r="G93" i="1"/>
  <c r="F93" i="1"/>
  <c r="D93" i="1"/>
  <c r="E262" i="6" s="1"/>
  <c r="AC93" i="1"/>
  <c r="U93" i="1"/>
  <c r="AB93" i="1" s="1"/>
  <c r="K93" i="1"/>
  <c r="O93" i="1"/>
  <c r="E93" i="1"/>
  <c r="AF14" i="5"/>
  <c r="H36" i="1" l="1"/>
  <c r="L36" i="1" s="1"/>
  <c r="H93" i="1"/>
  <c r="F12" i="6"/>
  <c r="AA13" i="1"/>
  <c r="T13" i="1"/>
  <c r="V13" i="1"/>
  <c r="U13" i="1"/>
  <c r="H13" i="1"/>
  <c r="A13" i="6"/>
  <c r="I14" i="1"/>
  <c r="Q15" i="1"/>
  <c r="Q139" i="1"/>
  <c r="Z138" i="1"/>
  <c r="M138" i="1" s="1"/>
  <c r="H138" i="1" s="1"/>
  <c r="L138" i="1" s="1"/>
  <c r="AA138" i="1"/>
  <c r="A135" i="6"/>
  <c r="Q61" i="1"/>
  <c r="I60" i="1"/>
  <c r="Z60" i="1"/>
  <c r="M60" i="1" s="1"/>
  <c r="F134" i="6"/>
  <c r="U59" i="1"/>
  <c r="AB59" i="1" s="1"/>
  <c r="T59" i="1"/>
  <c r="V59" i="1"/>
  <c r="H59" i="1"/>
  <c r="AA59" i="1"/>
  <c r="W92" i="1"/>
  <c r="L92" i="1"/>
  <c r="H117" i="1"/>
  <c r="F395" i="6"/>
  <c r="T137" i="1"/>
  <c r="AA137" i="1"/>
  <c r="V137" i="1"/>
  <c r="U137" i="1"/>
  <c r="H137" i="1"/>
  <c r="W58" i="1"/>
  <c r="L58" i="1"/>
  <c r="F263" i="6"/>
  <c r="AA94" i="1"/>
  <c r="T94" i="1"/>
  <c r="V94" i="1"/>
  <c r="U94" i="1"/>
  <c r="AB94" i="1" s="1"/>
  <c r="H94" i="1"/>
  <c r="A76" i="6"/>
  <c r="I38" i="1"/>
  <c r="Z38" i="1"/>
  <c r="M38" i="1" s="1"/>
  <c r="Q39" i="1"/>
  <c r="AG14" i="5"/>
  <c r="I107" i="6"/>
  <c r="AF67" i="5"/>
  <c r="F195" i="6"/>
  <c r="AA76" i="1"/>
  <c r="V76" i="1"/>
  <c r="U76" i="1"/>
  <c r="AB76" i="1" s="1"/>
  <c r="T76" i="1"/>
  <c r="H76" i="1"/>
  <c r="A264" i="6"/>
  <c r="Z95" i="1"/>
  <c r="M95" i="1" s="1"/>
  <c r="I95" i="1"/>
  <c r="Q96" i="1"/>
  <c r="F75" i="6"/>
  <c r="V37" i="1"/>
  <c r="AA37" i="1"/>
  <c r="T37" i="1"/>
  <c r="D262" i="6"/>
  <c r="B93" i="1"/>
  <c r="A196" i="6"/>
  <c r="Q78" i="1"/>
  <c r="Z77" i="1"/>
  <c r="M77" i="1" s="1"/>
  <c r="I77" i="1"/>
  <c r="J37" i="1"/>
  <c r="G75" i="6" s="1"/>
  <c r="Z37" i="1"/>
  <c r="M37" i="1" s="1"/>
  <c r="D37" i="1"/>
  <c r="E75" i="6" s="1"/>
  <c r="G37" i="1"/>
  <c r="E37" i="1"/>
  <c r="K37" i="1"/>
  <c r="F37" i="1"/>
  <c r="AC37" i="1"/>
  <c r="U37" i="1"/>
  <c r="AB37" i="1" s="1"/>
  <c r="O37" i="1"/>
  <c r="W136" i="1"/>
  <c r="L136" i="1"/>
  <c r="F328" i="6"/>
  <c r="AA118" i="1"/>
  <c r="U118" i="1"/>
  <c r="AB118" i="1" s="1"/>
  <c r="T118" i="1"/>
  <c r="V118" i="1"/>
  <c r="H118" i="1"/>
  <c r="AF36" i="5"/>
  <c r="A329" i="6"/>
  <c r="Q120" i="1"/>
  <c r="Z119" i="1"/>
  <c r="M119" i="1" s="1"/>
  <c r="I119" i="1"/>
  <c r="L74" i="1"/>
  <c r="W74" i="1"/>
  <c r="W75" i="1"/>
  <c r="L75" i="1"/>
  <c r="D74" i="6"/>
  <c r="B36" i="1"/>
  <c r="I419" i="6"/>
  <c r="AF56" i="5"/>
  <c r="D327" i="6"/>
  <c r="B117" i="1"/>
  <c r="AG85" i="5"/>
  <c r="I420" i="6"/>
  <c r="AF22" i="5"/>
  <c r="W36" i="1" l="1"/>
  <c r="L59" i="1"/>
  <c r="W59" i="1"/>
  <c r="A14" i="6"/>
  <c r="I15" i="1"/>
  <c r="Q16" i="1"/>
  <c r="F13" i="6"/>
  <c r="T14" i="1"/>
  <c r="AA14" i="1"/>
  <c r="V14" i="1"/>
  <c r="U14" i="1"/>
  <c r="H14" i="1"/>
  <c r="AG67" i="5"/>
  <c r="AF68" i="5" s="1"/>
  <c r="I356" i="6"/>
  <c r="W94" i="1"/>
  <c r="L94" i="1"/>
  <c r="F264" i="6"/>
  <c r="T95" i="1"/>
  <c r="AA95" i="1"/>
  <c r="V95" i="1"/>
  <c r="U95" i="1"/>
  <c r="AB95" i="1" s="1"/>
  <c r="H95" i="1"/>
  <c r="AG36" i="5"/>
  <c r="AF37" i="5" s="1"/>
  <c r="I223" i="6"/>
  <c r="AG56" i="5"/>
  <c r="AF57" i="5" s="1"/>
  <c r="I297" i="6"/>
  <c r="A330" i="6"/>
  <c r="I120" i="1"/>
  <c r="Z120" i="1"/>
  <c r="M120" i="1" s="1"/>
  <c r="Q121" i="1"/>
  <c r="H37" i="1"/>
  <c r="AB137" i="1"/>
  <c r="A136" i="6"/>
  <c r="I61" i="1"/>
  <c r="Z61" i="1"/>
  <c r="M61" i="1" s="1"/>
  <c r="Q62" i="1"/>
  <c r="AF15" i="5"/>
  <c r="F329" i="6"/>
  <c r="AA119" i="1"/>
  <c r="V119" i="1"/>
  <c r="U119" i="1"/>
  <c r="AB119" i="1" s="1"/>
  <c r="T119" i="1"/>
  <c r="H119" i="1"/>
  <c r="A265" i="6"/>
  <c r="Q97" i="1"/>
  <c r="Z96" i="1"/>
  <c r="M96" i="1" s="1"/>
  <c r="I96" i="1"/>
  <c r="F135" i="6"/>
  <c r="U60" i="1"/>
  <c r="AB60" i="1" s="1"/>
  <c r="AA60" i="1"/>
  <c r="T60" i="1"/>
  <c r="V60" i="1"/>
  <c r="H60" i="1"/>
  <c r="A197" i="6"/>
  <c r="Q79" i="1"/>
  <c r="Z78" i="1"/>
  <c r="M78" i="1" s="1"/>
  <c r="I78" i="1"/>
  <c r="A77" i="6"/>
  <c r="Z39" i="1"/>
  <c r="M39" i="1" s="1"/>
  <c r="I39" i="1"/>
  <c r="Q40" i="1"/>
  <c r="W13" i="1"/>
  <c r="L13" i="1"/>
  <c r="AG22" i="5"/>
  <c r="AF23" i="5" s="1"/>
  <c r="I161" i="6"/>
  <c r="W137" i="1"/>
  <c r="L137" i="1"/>
  <c r="F196" i="6"/>
  <c r="AA77" i="1"/>
  <c r="T77" i="1"/>
  <c r="U77" i="1"/>
  <c r="AB77" i="1" s="1"/>
  <c r="V77" i="1"/>
  <c r="H77" i="1"/>
  <c r="D75" i="6"/>
  <c r="B37" i="1"/>
  <c r="W118" i="1"/>
  <c r="L118" i="1"/>
  <c r="W76" i="1"/>
  <c r="L76" i="1"/>
  <c r="F76" i="6"/>
  <c r="AA38" i="1"/>
  <c r="T38" i="1"/>
  <c r="V38" i="1"/>
  <c r="U38" i="1"/>
  <c r="AB38" i="1" s="1"/>
  <c r="H38" i="1"/>
  <c r="W117" i="1"/>
  <c r="L117" i="1"/>
  <c r="Z139" i="1"/>
  <c r="M139" i="1" s="1"/>
  <c r="W93" i="1"/>
  <c r="L93" i="1"/>
  <c r="A78" i="6" l="1"/>
  <c r="I40" i="1"/>
  <c r="Z40" i="1"/>
  <c r="M40" i="1" s="1"/>
  <c r="Q41" i="1"/>
  <c r="A266" i="6"/>
  <c r="Z97" i="1"/>
  <c r="M97" i="1" s="1"/>
  <c r="Q98" i="1"/>
  <c r="I97" i="1"/>
  <c r="F77" i="6"/>
  <c r="U39" i="1"/>
  <c r="AB39" i="1" s="1"/>
  <c r="T39" i="1"/>
  <c r="AA39" i="1"/>
  <c r="V39" i="1"/>
  <c r="H39" i="1"/>
  <c r="W37" i="1"/>
  <c r="L37" i="1"/>
  <c r="L119" i="1"/>
  <c r="W119" i="1"/>
  <c r="A331" i="6"/>
  <c r="I121" i="1"/>
  <c r="Z121" i="1"/>
  <c r="M121" i="1" s="1"/>
  <c r="Q122" i="1"/>
  <c r="AG68" i="5"/>
  <c r="AF69" i="5" s="1"/>
  <c r="I357" i="6"/>
  <c r="W77" i="1"/>
  <c r="L77" i="1"/>
  <c r="F197" i="6"/>
  <c r="U78" i="1"/>
  <c r="AB78" i="1" s="1"/>
  <c r="V78" i="1"/>
  <c r="T78" i="1"/>
  <c r="AA78" i="1"/>
  <c r="H78" i="1"/>
  <c r="F330" i="6"/>
  <c r="T120" i="1"/>
  <c r="U120" i="1"/>
  <c r="AB120" i="1" s="1"/>
  <c r="AA120" i="1"/>
  <c r="V120" i="1"/>
  <c r="H120" i="1"/>
  <c r="W14" i="1"/>
  <c r="L14" i="1"/>
  <c r="A198" i="6"/>
  <c r="I79" i="1"/>
  <c r="Z79" i="1"/>
  <c r="M79" i="1" s="1"/>
  <c r="Q80" i="1"/>
  <c r="W38" i="1"/>
  <c r="L38" i="1"/>
  <c r="AG57" i="5"/>
  <c r="AF58" i="5" s="1"/>
  <c r="I298" i="6"/>
  <c r="W60" i="1"/>
  <c r="L60" i="1"/>
  <c r="AG15" i="5"/>
  <c r="AF16" i="5" s="1"/>
  <c r="I108" i="6"/>
  <c r="AG37" i="5"/>
  <c r="AF38" i="5" s="1"/>
  <c r="W95" i="1"/>
  <c r="L95" i="1"/>
  <c r="A15" i="6"/>
  <c r="I16" i="1"/>
  <c r="Q17" i="1"/>
  <c r="Q63" i="1"/>
  <c r="Z62" i="1"/>
  <c r="M62" i="1" s="1"/>
  <c r="H62" i="1" s="1"/>
  <c r="L62" i="1" s="1"/>
  <c r="AA62" i="1"/>
  <c r="F14" i="6"/>
  <c r="V15" i="1"/>
  <c r="T15" i="1"/>
  <c r="H15" i="1"/>
  <c r="AA15" i="1"/>
  <c r="U15" i="1"/>
  <c r="AG23" i="5"/>
  <c r="AF24" i="5" s="1"/>
  <c r="F136" i="6"/>
  <c r="T61" i="1"/>
  <c r="V61" i="1"/>
  <c r="AA61" i="1"/>
  <c r="U61" i="1"/>
  <c r="AB61" i="1" s="1"/>
  <c r="H61" i="1"/>
  <c r="F265" i="6"/>
  <c r="AA96" i="1"/>
  <c r="V96" i="1"/>
  <c r="U96" i="1"/>
  <c r="AB96" i="1" s="1"/>
  <c r="T96" i="1"/>
  <c r="H96" i="1"/>
  <c r="V121" i="1" l="1"/>
  <c r="AA121" i="1"/>
  <c r="F331" i="6"/>
  <c r="T121" i="1"/>
  <c r="U121" i="1"/>
  <c r="AB121" i="1" s="1"/>
  <c r="H121" i="1"/>
  <c r="V97" i="1"/>
  <c r="F266" i="6"/>
  <c r="AA97" i="1"/>
  <c r="T97" i="1"/>
  <c r="U97" i="1"/>
  <c r="AB97" i="1" s="1"/>
  <c r="H97" i="1"/>
  <c r="Q81" i="1"/>
  <c r="AA80" i="1"/>
  <c r="Z80" i="1"/>
  <c r="M80" i="1" s="1"/>
  <c r="H80" i="1" s="1"/>
  <c r="L80" i="1" s="1"/>
  <c r="A79" i="6"/>
  <c r="Z41" i="1"/>
  <c r="M41" i="1" s="1"/>
  <c r="Q42" i="1"/>
  <c r="I41" i="1"/>
  <c r="L78" i="1"/>
  <c r="W78" i="1"/>
  <c r="AG38" i="5"/>
  <c r="AF39" i="5" s="1"/>
  <c r="L96" i="1"/>
  <c r="W96" i="1"/>
  <c r="Z122" i="1"/>
  <c r="M122" i="1" s="1"/>
  <c r="H122" i="1" s="1"/>
  <c r="L122" i="1" s="1"/>
  <c r="Q123" i="1"/>
  <c r="AA122" i="1"/>
  <c r="AG16" i="5"/>
  <c r="AF17" i="5" s="1"/>
  <c r="I109" i="6"/>
  <c r="A267" i="6"/>
  <c r="Z98" i="1"/>
  <c r="M98" i="1" s="1"/>
  <c r="Q99" i="1"/>
  <c r="I98" i="1"/>
  <c r="L61" i="1"/>
  <c r="W61" i="1"/>
  <c r="Z63" i="1"/>
  <c r="M63" i="1" s="1"/>
  <c r="A16" i="6"/>
  <c r="I17" i="1"/>
  <c r="Q18" i="1"/>
  <c r="P17" i="1"/>
  <c r="AG69" i="5"/>
  <c r="AF70" i="5" s="1"/>
  <c r="I358" i="6"/>
  <c r="L39" i="1"/>
  <c r="W39" i="1"/>
  <c r="F15" i="6"/>
  <c r="V16" i="1"/>
  <c r="AA16" i="1"/>
  <c r="T16" i="1"/>
  <c r="H16" i="1"/>
  <c r="U16" i="1"/>
  <c r="W120" i="1"/>
  <c r="L120" i="1"/>
  <c r="L15" i="1"/>
  <c r="W15" i="1"/>
  <c r="F198" i="6"/>
  <c r="V79" i="1"/>
  <c r="AA79" i="1"/>
  <c r="U79" i="1"/>
  <c r="AB79" i="1" s="1"/>
  <c r="T79" i="1"/>
  <c r="H79" i="1"/>
  <c r="F78" i="6"/>
  <c r="T40" i="1"/>
  <c r="V40" i="1"/>
  <c r="AA40" i="1"/>
  <c r="U40" i="1"/>
  <c r="AB40" i="1" s="1"/>
  <c r="H40" i="1"/>
  <c r="I162" i="6"/>
  <c r="AG58" i="5"/>
  <c r="AF59" i="5" s="1"/>
  <c r="I299" i="6"/>
  <c r="AG24" i="5"/>
  <c r="AF25" i="5" s="1"/>
  <c r="I224" i="6"/>
  <c r="I163" i="6" l="1"/>
  <c r="AG17" i="5"/>
  <c r="I110" i="6"/>
  <c r="Z81" i="1"/>
  <c r="M81" i="1" s="1"/>
  <c r="W97" i="1"/>
  <c r="L97" i="1"/>
  <c r="Z123" i="1"/>
  <c r="M123" i="1" s="1"/>
  <c r="AB17" i="1"/>
  <c r="F17" i="1"/>
  <c r="O17" i="1"/>
  <c r="K17" i="1"/>
  <c r="J17" i="1"/>
  <c r="G16" i="6" s="1"/>
  <c r="G17" i="1"/>
  <c r="E17" i="1"/>
  <c r="Z17" i="1"/>
  <c r="AC17" i="1"/>
  <c r="D17" i="1"/>
  <c r="E16" i="6" s="1"/>
  <c r="U17" i="1"/>
  <c r="M17" i="1"/>
  <c r="L85" i="7"/>
  <c r="M85" i="7" s="1"/>
  <c r="L70" i="7"/>
  <c r="M70" i="7" s="1"/>
  <c r="L9" i="7"/>
  <c r="M9" i="7" s="1"/>
  <c r="L63" i="7"/>
  <c r="M63" i="7" s="1"/>
  <c r="N26" i="7"/>
  <c r="N7" i="7"/>
  <c r="N61" i="7"/>
  <c r="N82" i="7"/>
  <c r="N52" i="7"/>
  <c r="N57" i="7"/>
  <c r="N64" i="7"/>
  <c r="N81" i="7"/>
  <c r="N3" i="7"/>
  <c r="A17" i="6"/>
  <c r="I18" i="1"/>
  <c r="Q19" i="1"/>
  <c r="P18" i="1"/>
  <c r="L57" i="7" s="1"/>
  <c r="M57" i="7" s="1"/>
  <c r="L40" i="1"/>
  <c r="W40" i="1"/>
  <c r="F16" i="6"/>
  <c r="AA17" i="1"/>
  <c r="V17" i="1"/>
  <c r="T17" i="1"/>
  <c r="AG70" i="5"/>
  <c r="AF71" i="5" s="1"/>
  <c r="I359" i="6"/>
  <c r="I225" i="6"/>
  <c r="AG39" i="5"/>
  <c r="AF40" i="5" s="1"/>
  <c r="I226" i="6"/>
  <c r="L121" i="1"/>
  <c r="W121" i="1"/>
  <c r="AG25" i="5"/>
  <c r="AF26" i="5" s="1"/>
  <c r="L79" i="1"/>
  <c r="W79" i="1"/>
  <c r="AG59" i="5"/>
  <c r="AF60" i="5" s="1"/>
  <c r="L16" i="1"/>
  <c r="W16" i="1"/>
  <c r="F79" i="6"/>
  <c r="U41" i="1"/>
  <c r="AB41" i="1" s="1"/>
  <c r="T41" i="1"/>
  <c r="AA41" i="1"/>
  <c r="V41" i="1"/>
  <c r="H41" i="1"/>
  <c r="F267" i="6"/>
  <c r="AA98" i="1"/>
  <c r="U98" i="1"/>
  <c r="AB98" i="1" s="1"/>
  <c r="T98" i="1"/>
  <c r="V98" i="1"/>
  <c r="H98" i="1"/>
  <c r="A80" i="6"/>
  <c r="Q43" i="1"/>
  <c r="Z42" i="1"/>
  <c r="M42" i="1" s="1"/>
  <c r="I42" i="1"/>
  <c r="A268" i="6"/>
  <c r="Q100" i="1"/>
  <c r="I99" i="1"/>
  <c r="Z99" i="1"/>
  <c r="M99" i="1" s="1"/>
  <c r="N59" i="7" l="1"/>
  <c r="N38" i="7"/>
  <c r="L12" i="7"/>
  <c r="M12" i="7" s="1"/>
  <c r="L55" i="7"/>
  <c r="M55" i="7" s="1"/>
  <c r="L40" i="7"/>
  <c r="M40" i="7" s="1"/>
  <c r="L71" i="7"/>
  <c r="M71" i="7" s="1"/>
  <c r="L10" i="7"/>
  <c r="M10" i="7" s="1"/>
  <c r="N44" i="7"/>
  <c r="L76" i="7"/>
  <c r="M76" i="7" s="1"/>
  <c r="N14" i="7"/>
  <c r="L75" i="7"/>
  <c r="M75" i="7" s="1"/>
  <c r="N79" i="7"/>
  <c r="L13" i="7"/>
  <c r="M13" i="7" s="1"/>
  <c r="L17" i="7"/>
  <c r="M17" i="7" s="1"/>
  <c r="N80" i="7"/>
  <c r="N20" i="7"/>
  <c r="L51" i="7"/>
  <c r="M51" i="7" s="1"/>
  <c r="L87" i="7"/>
  <c r="M87" i="7" s="1"/>
  <c r="L5" i="7"/>
  <c r="M5" i="7" s="1"/>
  <c r="N29" i="7"/>
  <c r="N77" i="7"/>
  <c r="L68" i="7"/>
  <c r="M68" i="7" s="1"/>
  <c r="N4" i="7"/>
  <c r="L47" i="7"/>
  <c r="M47" i="7" s="1"/>
  <c r="N10" i="7"/>
  <c r="N16" i="7"/>
  <c r="L11" i="7"/>
  <c r="M11" i="7" s="1"/>
  <c r="N40" i="7"/>
  <c r="N51" i="7"/>
  <c r="N68" i="7"/>
  <c r="L46" i="7"/>
  <c r="M46" i="7" s="1"/>
  <c r="N39" i="7"/>
  <c r="L3" i="7"/>
  <c r="M3" i="7" s="1"/>
  <c r="N66" i="7"/>
  <c r="N11" i="7"/>
  <c r="N17" i="7"/>
  <c r="N69" i="7"/>
  <c r="N8" i="7"/>
  <c r="N9" i="7"/>
  <c r="L61" i="7"/>
  <c r="M61" i="7" s="1"/>
  <c r="L39" i="7"/>
  <c r="M39" i="7" s="1"/>
  <c r="N55" i="7"/>
  <c r="N12" i="7"/>
  <c r="L83" i="7"/>
  <c r="M83" i="7" s="1"/>
  <c r="N22" i="7"/>
  <c r="N76" i="7"/>
  <c r="N27" i="7"/>
  <c r="L16" i="7"/>
  <c r="M16" i="7" s="1"/>
  <c r="L23" i="7"/>
  <c r="M23" i="7" s="1"/>
  <c r="N21" i="7"/>
  <c r="L54" i="7"/>
  <c r="M54" i="7" s="1"/>
  <c r="L73" i="7"/>
  <c r="M73" i="7" s="1"/>
  <c r="N23" i="7"/>
  <c r="N75" i="7"/>
  <c r="N72" i="7"/>
  <c r="N62" i="7"/>
  <c r="N41" i="7"/>
  <c r="L60" i="7"/>
  <c r="M60" i="7" s="1"/>
  <c r="AG26" i="5"/>
  <c r="AF27" i="5" s="1"/>
  <c r="L30" i="7"/>
  <c r="M30" i="7" s="1"/>
  <c r="N25" i="7"/>
  <c r="L88" i="7"/>
  <c r="M88" i="7" s="1"/>
  <c r="L82" i="7"/>
  <c r="M82" i="7" s="1"/>
  <c r="L41" i="7"/>
  <c r="M41" i="7" s="1"/>
  <c r="L25" i="7"/>
  <c r="M25" i="7" s="1"/>
  <c r="Z18" i="1"/>
  <c r="E18" i="1"/>
  <c r="G18" i="1"/>
  <c r="F18" i="1"/>
  <c r="AC18" i="1"/>
  <c r="D18" i="1"/>
  <c r="E17" i="6" s="1"/>
  <c r="AB18" i="1"/>
  <c r="U18" i="1"/>
  <c r="O18" i="1"/>
  <c r="M18" i="1"/>
  <c r="K18" i="1"/>
  <c r="J18" i="1"/>
  <c r="G17" i="6" s="1"/>
  <c r="N6" i="7"/>
  <c r="L66" i="7"/>
  <c r="M66" i="7" s="1"/>
  <c r="L45" i="7"/>
  <c r="M45" i="7" s="1"/>
  <c r="A269" i="6"/>
  <c r="I100" i="1"/>
  <c r="Z100" i="1"/>
  <c r="M100" i="1" s="1"/>
  <c r="Q101" i="1"/>
  <c r="N60" i="7"/>
  <c r="L38" i="7"/>
  <c r="M38" i="7" s="1"/>
  <c r="F17" i="6"/>
  <c r="T18" i="1"/>
  <c r="AA18" i="1"/>
  <c r="V18" i="1"/>
  <c r="N53" i="7"/>
  <c r="N88" i="7"/>
  <c r="N84" i="7"/>
  <c r="N19" i="7"/>
  <c r="N24" i="7"/>
  <c r="L27" i="7"/>
  <c r="M27" i="7" s="1"/>
  <c r="L80" i="7"/>
  <c r="M80" i="7" s="1"/>
  <c r="L69" i="7"/>
  <c r="M69" i="7" s="1"/>
  <c r="L8" i="7"/>
  <c r="M8" i="7" s="1"/>
  <c r="W41" i="1"/>
  <c r="L41" i="1"/>
  <c r="AG40" i="5"/>
  <c r="AF41" i="5" s="1"/>
  <c r="I227" i="6"/>
  <c r="F80" i="6"/>
  <c r="V42" i="1"/>
  <c r="AA42" i="1"/>
  <c r="U42" i="1"/>
  <c r="AB42" i="1" s="1"/>
  <c r="T42" i="1"/>
  <c r="H42" i="1"/>
  <c r="L22" i="7"/>
  <c r="M22" i="7" s="1"/>
  <c r="N58" i="7"/>
  <c r="L79" i="7"/>
  <c r="M79" i="7" s="1"/>
  <c r="L86" i="7"/>
  <c r="M86" i="7" s="1"/>
  <c r="L62" i="7"/>
  <c r="M62" i="7" s="1"/>
  <c r="L74" i="7"/>
  <c r="M74" i="7" s="1"/>
  <c r="A81" i="6"/>
  <c r="Q44" i="1"/>
  <c r="Z43" i="1"/>
  <c r="M43" i="1" s="1"/>
  <c r="I43" i="1"/>
  <c r="N54" i="7"/>
  <c r="N56" i="7"/>
  <c r="N78" i="7"/>
  <c r="N5" i="7"/>
  <c r="L14" i="7"/>
  <c r="M14" i="7" s="1"/>
  <c r="L67" i="7"/>
  <c r="M67" i="7" s="1"/>
  <c r="L77" i="7"/>
  <c r="M77" i="7" s="1"/>
  <c r="L20" i="7"/>
  <c r="M20" i="7" s="1"/>
  <c r="AG71" i="5"/>
  <c r="AF72" i="5" s="1"/>
  <c r="N13" i="7"/>
  <c r="A18" i="6"/>
  <c r="Q20" i="1"/>
  <c r="Z19" i="1"/>
  <c r="M19" i="1" s="1"/>
  <c r="I19" i="1"/>
  <c r="N85" i="7"/>
  <c r="L24" i="7"/>
  <c r="M24" i="7" s="1"/>
  <c r="I300" i="6"/>
  <c r="L48" i="7"/>
  <c r="M48" i="7" s="1"/>
  <c r="N74" i="7"/>
  <c r="N86" i="7"/>
  <c r="N71" i="7"/>
  <c r="N45" i="7"/>
  <c r="N15" i="7"/>
  <c r="L26" i="7"/>
  <c r="M26" i="7" s="1"/>
  <c r="L21" i="7"/>
  <c r="M21" i="7" s="1"/>
  <c r="L44" i="7"/>
  <c r="M44" i="7" s="1"/>
  <c r="L56" i="7"/>
  <c r="M56" i="7" s="1"/>
  <c r="D16" i="6"/>
  <c r="B17" i="1"/>
  <c r="AG60" i="5"/>
  <c r="AF61" i="5" s="1"/>
  <c r="L19" i="7"/>
  <c r="M19" i="7" s="1"/>
  <c r="H17" i="1"/>
  <c r="N63" i="7"/>
  <c r="N28" i="7"/>
  <c r="L58" i="7"/>
  <c r="M58" i="7" s="1"/>
  <c r="L28" i="7"/>
  <c r="M28" i="7" s="1"/>
  <c r="L81" i="7"/>
  <c r="M81" i="7" s="1"/>
  <c r="L29" i="7"/>
  <c r="M29" i="7" s="1"/>
  <c r="L7" i="7"/>
  <c r="M7" i="7" s="1"/>
  <c r="L53" i="7"/>
  <c r="M53" i="7" s="1"/>
  <c r="F268" i="6"/>
  <c r="V99" i="1"/>
  <c r="T99" i="1"/>
  <c r="AA99" i="1"/>
  <c r="U99" i="1"/>
  <c r="AB99" i="1" s="1"/>
  <c r="H99" i="1"/>
  <c r="L4" i="7"/>
  <c r="M4" i="7" s="1"/>
  <c r="N2" i="7"/>
  <c r="N70" i="7"/>
  <c r="N18" i="7"/>
  <c r="N87" i="7"/>
  <c r="N73" i="7"/>
  <c r="N65" i="7"/>
  <c r="L78" i="7"/>
  <c r="M78" i="7" s="1"/>
  <c r="L15" i="7"/>
  <c r="M15" i="7" s="1"/>
  <c r="L59" i="7"/>
  <c r="M59" i="7" s="1"/>
  <c r="L72" i="7"/>
  <c r="M72" i="7" s="1"/>
  <c r="L52" i="7"/>
  <c r="M52" i="7" s="1"/>
  <c r="L98" i="1"/>
  <c r="W98" i="1"/>
  <c r="I164" i="6"/>
  <c r="L18" i="7"/>
  <c r="M18" i="7" s="1"/>
  <c r="L2" i="7"/>
  <c r="M2" i="7" s="1"/>
  <c r="N83" i="7"/>
  <c r="N67" i="7"/>
  <c r="N30" i="7"/>
  <c r="L84" i="7"/>
  <c r="M84" i="7" s="1"/>
  <c r="L65" i="7"/>
  <c r="M65" i="7" s="1"/>
  <c r="L6" i="7"/>
  <c r="M6" i="7" s="1"/>
  <c r="L64" i="7"/>
  <c r="M64" i="7" s="1"/>
  <c r="A19" i="6" l="1"/>
  <c r="I20" i="1"/>
  <c r="Q21" i="1"/>
  <c r="Z20" i="1"/>
  <c r="M20" i="1" s="1"/>
  <c r="F81" i="6"/>
  <c r="AA43" i="1"/>
  <c r="V43" i="1"/>
  <c r="U43" i="1"/>
  <c r="AB43" i="1" s="1"/>
  <c r="T43" i="1"/>
  <c r="H43" i="1"/>
  <c r="A82" i="6"/>
  <c r="I44" i="1"/>
  <c r="Z44" i="1"/>
  <c r="M44" i="1" s="1"/>
  <c r="Q45" i="1"/>
  <c r="I360" i="6"/>
  <c r="AG41" i="5"/>
  <c r="AF42" i="5" s="1"/>
  <c r="I228" i="6"/>
  <c r="AG72" i="5"/>
  <c r="AF73" i="5" s="1"/>
  <c r="I361" i="6"/>
  <c r="W99" i="1"/>
  <c r="L99" i="1"/>
  <c r="I301" i="6"/>
  <c r="A270" i="6"/>
  <c r="Z101" i="1"/>
  <c r="M101" i="1" s="1"/>
  <c r="I101" i="1"/>
  <c r="Q102" i="1"/>
  <c r="W42" i="1"/>
  <c r="L42" i="1"/>
  <c r="F269" i="6"/>
  <c r="T100" i="1"/>
  <c r="H100" i="1"/>
  <c r="V100" i="1"/>
  <c r="AA100" i="1"/>
  <c r="L31" i="7" s="1"/>
  <c r="M31" i="7" s="1"/>
  <c r="U100" i="1"/>
  <c r="AB100" i="1" s="1"/>
  <c r="L17" i="1"/>
  <c r="W17" i="1"/>
  <c r="AG61" i="5"/>
  <c r="AF62" i="5" s="1"/>
  <c r="H18" i="1"/>
  <c r="D17" i="6"/>
  <c r="B18" i="1"/>
  <c r="I165" i="6"/>
  <c r="F18" i="6"/>
  <c r="AA19" i="1"/>
  <c r="V19" i="1"/>
  <c r="U19" i="1"/>
  <c r="AB19" i="1" s="1"/>
  <c r="T19" i="1"/>
  <c r="H19" i="1"/>
  <c r="AG27" i="5"/>
  <c r="AF28" i="5" s="1"/>
  <c r="A271" i="6" l="1"/>
  <c r="Z102" i="1"/>
  <c r="M102" i="1" s="1"/>
  <c r="Q103" i="1"/>
  <c r="I102" i="1"/>
  <c r="AG73" i="5"/>
  <c r="AF74" i="5" s="1"/>
  <c r="I362" i="6"/>
  <c r="I166" i="6"/>
  <c r="I302" i="6"/>
  <c r="F270" i="6"/>
  <c r="AA101" i="1"/>
  <c r="N34" i="7" s="1"/>
  <c r="V101" i="1"/>
  <c r="U101" i="1"/>
  <c r="AB101" i="1" s="1"/>
  <c r="T101" i="1"/>
  <c r="H101" i="1"/>
  <c r="F82" i="6"/>
  <c r="U44" i="1"/>
  <c r="AB44" i="1" s="1"/>
  <c r="V44" i="1"/>
  <c r="T44" i="1"/>
  <c r="AA44" i="1"/>
  <c r="L33" i="7" s="1"/>
  <c r="M33" i="7" s="1"/>
  <c r="H44" i="1"/>
  <c r="W18" i="1"/>
  <c r="L18" i="1"/>
  <c r="AG28" i="5"/>
  <c r="AF29" i="5" s="1"/>
  <c r="I167" i="6"/>
  <c r="AG62" i="5"/>
  <c r="I303" i="6" s="1"/>
  <c r="W19" i="1"/>
  <c r="L19" i="1"/>
  <c r="A20" i="6"/>
  <c r="I21" i="1"/>
  <c r="Q22" i="1"/>
  <c r="Z21" i="1"/>
  <c r="M21" i="1" s="1"/>
  <c r="F19" i="6"/>
  <c r="U20" i="1"/>
  <c r="AB20" i="1" s="1"/>
  <c r="T20" i="1"/>
  <c r="AA20" i="1"/>
  <c r="L37" i="7" s="1"/>
  <c r="M37" i="7" s="1"/>
  <c r="V20" i="1"/>
  <c r="H20" i="1"/>
  <c r="AG42" i="5"/>
  <c r="AF43" i="5" s="1"/>
  <c r="I229" i="6"/>
  <c r="L36" i="7"/>
  <c r="M36" i="7" s="1"/>
  <c r="N36" i="7"/>
  <c r="L43" i="1"/>
  <c r="W43" i="1"/>
  <c r="L100" i="1"/>
  <c r="W100" i="1"/>
  <c r="A83" i="6"/>
  <c r="I45" i="1"/>
  <c r="Z45" i="1"/>
  <c r="M45" i="1" s="1"/>
  <c r="Q46" i="1"/>
  <c r="L20" i="1" l="1"/>
  <c r="W20" i="1"/>
  <c r="F83" i="6"/>
  <c r="V45" i="1"/>
  <c r="AA45" i="1"/>
  <c r="U45" i="1"/>
  <c r="AB45" i="1" s="1"/>
  <c r="T45" i="1"/>
  <c r="H45" i="1"/>
  <c r="AG43" i="5"/>
  <c r="AF44" i="5" s="1"/>
  <c r="AG29" i="5"/>
  <c r="AF30" i="5" s="1"/>
  <c r="I168" i="6"/>
  <c r="Q47" i="1"/>
  <c r="Z46" i="1"/>
  <c r="M46" i="1" s="1"/>
  <c r="H46" i="1" s="1"/>
  <c r="L46" i="1" s="1"/>
  <c r="AA46" i="1"/>
  <c r="W44" i="1"/>
  <c r="L44" i="1"/>
  <c r="AG74" i="5"/>
  <c r="AF75" i="5" s="1"/>
  <c r="F271" i="6"/>
  <c r="U102" i="1"/>
  <c r="AB102" i="1" s="1"/>
  <c r="T102" i="1"/>
  <c r="AA102" i="1"/>
  <c r="L32" i="7" s="1"/>
  <c r="M32" i="7" s="1"/>
  <c r="V102" i="1"/>
  <c r="H102" i="1"/>
  <c r="A21" i="6"/>
  <c r="Q23" i="1"/>
  <c r="Z22" i="1"/>
  <c r="M22" i="1" s="1"/>
  <c r="I22" i="1"/>
  <c r="N32" i="7"/>
  <c r="F20" i="6"/>
  <c r="V21" i="1"/>
  <c r="T21" i="1"/>
  <c r="AA21" i="1"/>
  <c r="L42" i="7" s="1"/>
  <c r="M42" i="7" s="1"/>
  <c r="U21" i="1"/>
  <c r="AB21" i="1" s="1"/>
  <c r="H21" i="1"/>
  <c r="L34" i="7"/>
  <c r="M34" i="7" s="1"/>
  <c r="N42" i="7"/>
  <c r="A272" i="6"/>
  <c r="I103" i="1"/>
  <c r="Q104" i="1"/>
  <c r="Z103" i="1"/>
  <c r="M103" i="1" s="1"/>
  <c r="W101" i="1"/>
  <c r="L101" i="1"/>
  <c r="N33" i="7"/>
  <c r="F21" i="6" l="1"/>
  <c r="H22" i="1"/>
  <c r="U22" i="1"/>
  <c r="AB22" i="1" s="1"/>
  <c r="AA22" i="1"/>
  <c r="L43" i="7" s="1"/>
  <c r="M43" i="7" s="1"/>
  <c r="V22" i="1"/>
  <c r="T22" i="1"/>
  <c r="AG44" i="5"/>
  <c r="AF45" i="5" s="1"/>
  <c r="I231" i="6"/>
  <c r="Q24" i="1"/>
  <c r="H143" i="6" s="1"/>
  <c r="Z23" i="1"/>
  <c r="M23" i="1" s="1"/>
  <c r="AA23" i="1"/>
  <c r="AI6" i="2"/>
  <c r="AH7" i="2"/>
  <c r="AH8" i="2"/>
  <c r="AH9" i="2"/>
  <c r="AH5" i="2"/>
  <c r="AH10" i="2"/>
  <c r="AI11" i="2"/>
  <c r="AH6" i="2"/>
  <c r="AG7" i="2"/>
  <c r="H334" i="6"/>
  <c r="H23" i="6"/>
  <c r="L65" i="9"/>
  <c r="AH11" i="2"/>
  <c r="L45" i="1"/>
  <c r="W45" i="1"/>
  <c r="W102" i="1"/>
  <c r="L102" i="1"/>
  <c r="L21" i="1"/>
  <c r="W21" i="1"/>
  <c r="AA104" i="1"/>
  <c r="Q105" i="1"/>
  <c r="H146" i="6" s="1"/>
  <c r="Z104" i="1"/>
  <c r="M104" i="1" s="1"/>
  <c r="H104" i="1" s="1"/>
  <c r="L104" i="1" s="1"/>
  <c r="F272" i="6"/>
  <c r="AA103" i="1"/>
  <c r="L35" i="7" s="1"/>
  <c r="M35" i="7" s="1"/>
  <c r="V103" i="1"/>
  <c r="U103" i="1"/>
  <c r="T103" i="1"/>
  <c r="H103" i="1"/>
  <c r="I363" i="6"/>
  <c r="AG75" i="5"/>
  <c r="AF76" i="5" s="1"/>
  <c r="Z47" i="1"/>
  <c r="M47" i="1" s="1"/>
  <c r="AG30" i="5"/>
  <c r="AF31" i="5" s="1"/>
  <c r="I169" i="6"/>
  <c r="I230" i="6"/>
  <c r="H405" i="6" l="1"/>
  <c r="AN9" i="4"/>
  <c r="H144" i="6"/>
  <c r="AG9" i="2"/>
  <c r="L57" i="9"/>
  <c r="H404" i="6"/>
  <c r="H36" i="6"/>
  <c r="H406" i="6"/>
  <c r="H290" i="6"/>
  <c r="S9" i="2"/>
  <c r="AM5" i="2"/>
  <c r="H37" i="6"/>
  <c r="U6" i="2"/>
  <c r="L52" i="9"/>
  <c r="H342" i="6"/>
  <c r="H92" i="6"/>
  <c r="X11" i="2"/>
  <c r="L98" i="9"/>
  <c r="AQ9" i="2"/>
  <c r="L78" i="9"/>
  <c r="L106" i="9"/>
  <c r="H274" i="6"/>
  <c r="L100" i="9"/>
  <c r="H202" i="6"/>
  <c r="H39" i="6"/>
  <c r="H285" i="6"/>
  <c r="H415" i="6"/>
  <c r="N9" i="2"/>
  <c r="L62" i="9"/>
  <c r="H145" i="6"/>
  <c r="H29" i="6"/>
  <c r="AQ8" i="2"/>
  <c r="H24" i="6"/>
  <c r="L94" i="9"/>
  <c r="H147" i="6"/>
  <c r="Z105" i="1"/>
  <c r="M105" i="1" s="1"/>
  <c r="T9" i="2" s="1"/>
  <c r="I105" i="1"/>
  <c r="E10" i="2"/>
  <c r="H26" i="6"/>
  <c r="L51" i="9"/>
  <c r="AM8" i="2"/>
  <c r="U8" i="2"/>
  <c r="AK7" i="2"/>
  <c r="L90" i="9"/>
  <c r="H98" i="6"/>
  <c r="L60" i="9"/>
  <c r="AQ5" i="2"/>
  <c r="H214" i="6"/>
  <c r="Q10" i="2"/>
  <c r="X6" i="2"/>
  <c r="H275" i="6"/>
  <c r="H201" i="6"/>
  <c r="X10" i="2"/>
  <c r="V6" i="2"/>
  <c r="V11" i="2"/>
  <c r="Q11" i="2"/>
  <c r="L91" i="9"/>
  <c r="H349" i="6"/>
  <c r="H95" i="6"/>
  <c r="H99" i="6"/>
  <c r="S10" i="2"/>
  <c r="AG11" i="2"/>
  <c r="L56" i="9"/>
  <c r="S5" i="2"/>
  <c r="L89" i="9"/>
  <c r="AN5" i="4"/>
  <c r="L85" i="9"/>
  <c r="H335" i="6"/>
  <c r="H102" i="6"/>
  <c r="AQ7" i="2"/>
  <c r="H89" i="6"/>
  <c r="L59" i="9"/>
  <c r="H211" i="6"/>
  <c r="L99" i="9"/>
  <c r="E11" i="2"/>
  <c r="W11" i="2"/>
  <c r="H291" i="6"/>
  <c r="L38" i="9"/>
  <c r="H341" i="6"/>
  <c r="L92" i="9"/>
  <c r="H338" i="6"/>
  <c r="H85" i="6"/>
  <c r="AG5" i="2"/>
  <c r="L76" i="9"/>
  <c r="H94" i="6"/>
  <c r="H30" i="6"/>
  <c r="H138" i="6"/>
  <c r="H408" i="6"/>
  <c r="H286" i="6"/>
  <c r="H216" i="6"/>
  <c r="I139" i="1"/>
  <c r="X9" i="2"/>
  <c r="L53" i="9"/>
  <c r="H409" i="6"/>
  <c r="AJ11" i="2"/>
  <c r="H31" i="6"/>
  <c r="H140" i="6"/>
  <c r="H333" i="6"/>
  <c r="AJ8" i="2"/>
  <c r="T7" i="2"/>
  <c r="H153" i="6"/>
  <c r="H213" i="6"/>
  <c r="H25" i="6"/>
  <c r="H28" i="6"/>
  <c r="AK6" i="2"/>
  <c r="E9" i="2"/>
  <c r="T8" i="2"/>
  <c r="AJ5" i="2"/>
  <c r="H332" i="6"/>
  <c r="W8" i="2"/>
  <c r="H400" i="6"/>
  <c r="H396" i="6"/>
  <c r="H33" i="6"/>
  <c r="L87" i="9"/>
  <c r="AJ6" i="2"/>
  <c r="L45" i="9"/>
  <c r="L105" i="9"/>
  <c r="H32" i="6"/>
  <c r="H276" i="6"/>
  <c r="H203" i="6"/>
  <c r="Q8" i="2"/>
  <c r="H339" i="6"/>
  <c r="N10" i="2"/>
  <c r="E7" i="2"/>
  <c r="Q7" i="2"/>
  <c r="H279" i="6"/>
  <c r="H22" i="6"/>
  <c r="L68" i="9"/>
  <c r="H35" i="6"/>
  <c r="H152" i="6"/>
  <c r="H137" i="6"/>
  <c r="S7" i="2"/>
  <c r="H41" i="6"/>
  <c r="H208" i="6"/>
  <c r="H288" i="6"/>
  <c r="H100" i="6"/>
  <c r="H86" i="6"/>
  <c r="L104" i="9"/>
  <c r="H90" i="6"/>
  <c r="AN6" i="4"/>
  <c r="H141" i="6"/>
  <c r="L39" i="9"/>
  <c r="H403" i="6"/>
  <c r="V7" i="2"/>
  <c r="AJ9" i="2"/>
  <c r="Q6" i="2"/>
  <c r="H351" i="6"/>
  <c r="H402" i="6"/>
  <c r="H150" i="6"/>
  <c r="H149" i="6"/>
  <c r="U10" i="2"/>
  <c r="H407" i="6"/>
  <c r="L101" i="9"/>
  <c r="T11" i="2"/>
  <c r="AJ7" i="2"/>
  <c r="H103" i="6"/>
  <c r="L93" i="9"/>
  <c r="AP7" i="2"/>
  <c r="H280" i="6"/>
  <c r="H97" i="6"/>
  <c r="H93" i="6"/>
  <c r="L61" i="9"/>
  <c r="T6" i="2"/>
  <c r="S11" i="2"/>
  <c r="L102" i="9"/>
  <c r="L69" i="9"/>
  <c r="L44" i="9"/>
  <c r="Q9" i="2"/>
  <c r="AN10" i="4"/>
  <c r="H350" i="6"/>
  <c r="H156" i="6"/>
  <c r="AQ10" i="2"/>
  <c r="H91" i="6"/>
  <c r="H397" i="6"/>
  <c r="H204" i="6"/>
  <c r="S6" i="2"/>
  <c r="AJ10" i="2"/>
  <c r="H410" i="6"/>
  <c r="H101" i="6"/>
  <c r="H199" i="6"/>
  <c r="H151" i="6"/>
  <c r="H345" i="6"/>
  <c r="L41" i="9"/>
  <c r="L54" i="9"/>
  <c r="X8" i="2"/>
  <c r="L74" i="9"/>
  <c r="AP10" i="2"/>
  <c r="L97" i="9"/>
  <c r="L71" i="9"/>
  <c r="AP8" i="2"/>
  <c r="H413" i="6"/>
  <c r="L84" i="9"/>
  <c r="H217" i="6"/>
  <c r="H84" i="6"/>
  <c r="L48" i="9"/>
  <c r="H142" i="6"/>
  <c r="H27" i="6"/>
  <c r="L79" i="9"/>
  <c r="AQ11" i="2"/>
  <c r="L95" i="9"/>
  <c r="L75" i="9"/>
  <c r="L40" i="9"/>
  <c r="AK10" i="2"/>
  <c r="H411" i="6"/>
  <c r="AK9" i="2"/>
  <c r="H148" i="6"/>
  <c r="H398" i="6"/>
  <c r="L83" i="9"/>
  <c r="AN8" i="4"/>
  <c r="H155" i="6"/>
  <c r="L77" i="9"/>
  <c r="N7" i="2"/>
  <c r="AG10" i="2"/>
  <c r="H348" i="6"/>
  <c r="L88" i="9"/>
  <c r="L50" i="9"/>
  <c r="H414" i="6"/>
  <c r="H139" i="6"/>
  <c r="N11" i="2"/>
  <c r="AK11" i="2"/>
  <c r="H277" i="6"/>
  <c r="I123" i="1"/>
  <c r="H212" i="6"/>
  <c r="E8" i="2"/>
  <c r="H88" i="6"/>
  <c r="H207" i="6"/>
  <c r="H209" i="6"/>
  <c r="AG31" i="5"/>
  <c r="I170" i="6" s="1"/>
  <c r="H96" i="6"/>
  <c r="U7" i="2"/>
  <c r="L55" i="9"/>
  <c r="L70" i="9"/>
  <c r="AQ6" i="2"/>
  <c r="L72" i="9"/>
  <c r="L63" i="9"/>
  <c r="L50" i="7"/>
  <c r="M50" i="7" s="1"/>
  <c r="H284" i="6"/>
  <c r="I81" i="1"/>
  <c r="H87" i="6"/>
  <c r="H215" i="6"/>
  <c r="AM6" i="2"/>
  <c r="E6" i="2"/>
  <c r="H210" i="6"/>
  <c r="AM11" i="2"/>
  <c r="H336" i="6"/>
  <c r="W7" i="2"/>
  <c r="H23" i="1"/>
  <c r="L23" i="1" s="1"/>
  <c r="N50" i="7"/>
  <c r="L46" i="9"/>
  <c r="AM10" i="2"/>
  <c r="I47" i="1"/>
  <c r="H289" i="6"/>
  <c r="AG8" i="2"/>
  <c r="H205" i="6"/>
  <c r="H287" i="6"/>
  <c r="H337" i="6"/>
  <c r="Z24" i="1"/>
  <c r="M24" i="1" s="1"/>
  <c r="I24" i="1"/>
  <c r="AI10" i="2"/>
  <c r="AI7" i="2"/>
  <c r="AI5" i="2"/>
  <c r="I63" i="1"/>
  <c r="AI9" i="2"/>
  <c r="AI8" i="2"/>
  <c r="H401" i="6"/>
  <c r="I364" i="6"/>
  <c r="H200" i="6"/>
  <c r="Q5" i="2"/>
  <c r="L58" i="9"/>
  <c r="N6" i="2"/>
  <c r="H218" i="6"/>
  <c r="L86" i="9"/>
  <c r="U11" i="2"/>
  <c r="L80" i="9"/>
  <c r="H278" i="6"/>
  <c r="H206" i="6"/>
  <c r="H399" i="6"/>
  <c r="L81" i="9"/>
  <c r="AG45" i="5"/>
  <c r="AF46" i="5" s="1"/>
  <c r="I232" i="6"/>
  <c r="AK8" i="2"/>
  <c r="T10" i="2"/>
  <c r="AN7" i="4"/>
  <c r="AN11" i="4"/>
  <c r="H346" i="6"/>
  <c r="V10" i="2"/>
  <c r="H292" i="6"/>
  <c r="H344" i="6"/>
  <c r="L96" i="9"/>
  <c r="AP6" i="2"/>
  <c r="L82" i="9"/>
  <c r="H273" i="6"/>
  <c r="H282" i="6"/>
  <c r="L73" i="9"/>
  <c r="X7" i="2"/>
  <c r="AB103" i="1"/>
  <c r="N5" i="2"/>
  <c r="AM7" i="2"/>
  <c r="H347" i="6"/>
  <c r="H283" i="6"/>
  <c r="L64" i="9"/>
  <c r="L103" i="9"/>
  <c r="W10" i="2"/>
  <c r="H412" i="6"/>
  <c r="N8" i="2"/>
  <c r="H154" i="6"/>
  <c r="AP11" i="2"/>
  <c r="L66" i="9"/>
  <c r="AG76" i="5"/>
  <c r="AF77" i="5" s="1"/>
  <c r="I365" i="6"/>
  <c r="L103" i="1"/>
  <c r="W103" i="1"/>
  <c r="L49" i="9"/>
  <c r="AK5" i="2"/>
  <c r="L67" i="9"/>
  <c r="H281" i="6"/>
  <c r="AM9" i="2"/>
  <c r="H34" i="6"/>
  <c r="H340" i="6"/>
  <c r="AG6" i="2"/>
  <c r="H38" i="6"/>
  <c r="H343" i="6"/>
  <c r="L22" i="1"/>
  <c r="W22" i="1"/>
  <c r="H40" i="6"/>
  <c r="V8" i="2"/>
  <c r="S8" i="2"/>
  <c r="Y7" i="2" l="1"/>
  <c r="Z7" i="2"/>
  <c r="AG77" i="5"/>
  <c r="AF78" i="5" s="1"/>
  <c r="I366" i="6"/>
  <c r="AG46" i="5"/>
  <c r="AF47" i="5" s="1"/>
  <c r="I233" i="6"/>
  <c r="Z11" i="2"/>
  <c r="Y11" i="2"/>
  <c r="F139" i="1"/>
  <c r="V139" i="1"/>
  <c r="AA139" i="1"/>
  <c r="H139" i="1"/>
  <c r="Y6" i="2"/>
  <c r="Z6" i="2"/>
  <c r="V24" i="1"/>
  <c r="AA24" i="1"/>
  <c r="F24" i="1"/>
  <c r="H24" i="1"/>
  <c r="Z10" i="2"/>
  <c r="Y10" i="2"/>
  <c r="V63" i="1"/>
  <c r="F63" i="1"/>
  <c r="AA63" i="1"/>
  <c r="H63" i="1"/>
  <c r="Z8" i="2"/>
  <c r="Y8" i="2"/>
  <c r="F105" i="1"/>
  <c r="V105" i="1"/>
  <c r="R9" i="2" s="1"/>
  <c r="AA105" i="1"/>
  <c r="H105" i="1"/>
  <c r="W5" i="2"/>
  <c r="V5" i="2"/>
  <c r="X5" i="2"/>
  <c r="X13" i="2" s="1"/>
  <c r="U5" i="2"/>
  <c r="T5" i="2"/>
  <c r="U9" i="2"/>
  <c r="W9" i="2"/>
  <c r="V9" i="2"/>
  <c r="W6" i="2"/>
  <c r="AA81" i="1"/>
  <c r="V81" i="1"/>
  <c r="F81" i="1"/>
  <c r="H81" i="1"/>
  <c r="AP5" i="2"/>
  <c r="Z5" i="2" s="1"/>
  <c r="AP9" i="2"/>
  <c r="Y9" i="2" s="1"/>
  <c r="V47" i="1"/>
  <c r="R6" i="2" s="1"/>
  <c r="F47" i="1"/>
  <c r="AA47" i="1"/>
  <c r="N49" i="7" s="1"/>
  <c r="H47" i="1"/>
  <c r="V123" i="1"/>
  <c r="R10" i="2" s="1"/>
  <c r="F123" i="1"/>
  <c r="AA123" i="1"/>
  <c r="H123" i="1"/>
  <c r="Z9" i="2"/>
  <c r="L123" i="1" l="1"/>
  <c r="L124" i="1" s="1"/>
  <c r="H124" i="1"/>
  <c r="AC10" i="2"/>
  <c r="F10" i="2" s="1"/>
  <c r="H10" i="2" s="1"/>
  <c r="L105" i="1"/>
  <c r="L106" i="1" s="1"/>
  <c r="H106" i="1"/>
  <c r="AC9" i="2"/>
  <c r="F9" i="2" s="1"/>
  <c r="H9" i="2" s="1"/>
  <c r="AG47" i="5"/>
  <c r="AF48" i="5" s="1"/>
  <c r="I234" i="6"/>
  <c r="L24" i="1"/>
  <c r="L25" i="1" s="1"/>
  <c r="H25" i="1"/>
  <c r="AC5" i="2"/>
  <c r="F5" i="2" s="1"/>
  <c r="L81" i="1"/>
  <c r="L82" i="1" s="1"/>
  <c r="H82" i="1"/>
  <c r="AC8" i="2"/>
  <c r="F8" i="2" s="1"/>
  <c r="H8" i="2" s="1"/>
  <c r="Y5" i="2"/>
  <c r="B15" i="2" s="1"/>
  <c r="A1" i="3" s="1"/>
  <c r="AG78" i="5"/>
  <c r="AF79" i="5" s="1"/>
  <c r="L63" i="1"/>
  <c r="L64" i="1" s="1"/>
  <c r="H64" i="1"/>
  <c r="L139" i="1"/>
  <c r="L140" i="1" s="1"/>
  <c r="H140" i="1"/>
  <c r="AC11" i="2"/>
  <c r="F11" i="2" s="1"/>
  <c r="H11" i="2" s="1"/>
  <c r="L49" i="7"/>
  <c r="M49" i="7" s="1"/>
  <c r="N31" i="7"/>
  <c r="N37" i="7"/>
  <c r="N35" i="7"/>
  <c r="N43" i="7"/>
  <c r="L47" i="1"/>
  <c r="L48" i="1" s="1"/>
  <c r="H48" i="1"/>
  <c r="R5" i="2"/>
  <c r="R7" i="2"/>
  <c r="R8" i="2"/>
  <c r="R11" i="2"/>
  <c r="I8" i="2" l="1"/>
  <c r="AG48" i="5"/>
  <c r="AF49" i="5" s="1"/>
  <c r="I235" i="6"/>
  <c r="I9" i="2"/>
  <c r="E5" i="2"/>
  <c r="L42" i="9"/>
  <c r="L43" i="9"/>
  <c r="L47" i="9"/>
  <c r="AC6" i="2"/>
  <c r="F6" i="2" s="1"/>
  <c r="H6" i="2" s="1"/>
  <c r="AC7" i="2"/>
  <c r="F7" i="2" s="1"/>
  <c r="H7" i="2" s="1"/>
  <c r="AG79" i="5"/>
  <c r="I368" i="6"/>
  <c r="I11" i="2"/>
  <c r="I10" i="2"/>
  <c r="I367" i="6"/>
  <c r="I7" i="2" l="1"/>
  <c r="I6" i="2"/>
  <c r="X14" i="2"/>
  <c r="H5" i="2"/>
  <c r="AG49" i="5"/>
  <c r="AF50" i="5" s="1"/>
  <c r="I236" i="6"/>
  <c r="AG50" i="5" l="1"/>
  <c r="AF51" i="5" s="1"/>
  <c r="I237" i="6"/>
  <c r="J9" i="2"/>
  <c r="J10" i="2"/>
  <c r="I5" i="2"/>
  <c r="J8" i="2"/>
  <c r="J11" i="2"/>
  <c r="J6" i="2"/>
  <c r="J5" i="2"/>
  <c r="J7" i="2"/>
  <c r="K7" i="2" s="1"/>
  <c r="K5" i="2" l="1"/>
  <c r="L5" i="2" s="1"/>
  <c r="K11" i="2"/>
  <c r="L11" i="2" s="1"/>
  <c r="K9" i="2"/>
  <c r="L9" i="2" s="1"/>
  <c r="AG51" i="5"/>
  <c r="I238" i="6" s="1"/>
  <c r="K6" i="2"/>
  <c r="L6" i="2" s="1"/>
  <c r="K8" i="2"/>
  <c r="L8" i="2"/>
  <c r="K10" i="2"/>
  <c r="L10" i="2"/>
  <c r="L7" i="2"/>
  <c r="E11" i="3" l="1"/>
  <c r="F11" i="3" s="1"/>
  <c r="M6" i="2"/>
  <c r="M11" i="2"/>
  <c r="E16" i="3"/>
  <c r="F16" i="3" s="1"/>
  <c r="E14" i="3"/>
  <c r="F14" i="3" s="1"/>
  <c r="M9" i="2"/>
  <c r="M10" i="2"/>
  <c r="E15" i="3"/>
  <c r="F15" i="3" s="1"/>
  <c r="E13" i="3"/>
  <c r="F13" i="3" s="1"/>
  <c r="M8" i="2"/>
  <c r="E12" i="3"/>
  <c r="F12" i="3" s="1"/>
  <c r="M7" i="2"/>
  <c r="E10" i="3"/>
  <c r="F10" i="3" s="1"/>
  <c r="M5" i="2"/>
  <c r="F17" i="3" l="1"/>
  <c r="F18" i="3" s="1"/>
  <c r="F19" i="3" s="1"/>
  <c r="M12" i="2"/>
  <c r="F20" i="3" l="1"/>
  <c r="F21" i="3" s="1"/>
</calcChain>
</file>

<file path=xl/sharedStrings.xml><?xml version="1.0" encoding="utf-8"?>
<sst xmlns="http://schemas.openxmlformats.org/spreadsheetml/2006/main" count="5619" uniqueCount="1446">
  <si>
    <t>ROW</t>
  </si>
  <si>
    <t>Наименование1</t>
  </si>
  <si>
    <t>Тип</t>
  </si>
  <si>
    <t>Артикул</t>
  </si>
  <si>
    <t>Номенклатура</t>
  </si>
  <si>
    <t>Цена</t>
  </si>
  <si>
    <t>net</t>
  </si>
  <si>
    <t>сумма</t>
  </si>
  <si>
    <t>Qty</t>
  </si>
  <si>
    <t>Ед.изм</t>
  </si>
  <si>
    <t>Завод</t>
  </si>
  <si>
    <t>tutar</t>
  </si>
  <si>
    <t>DURUM</t>
  </si>
  <si>
    <t>NOT</t>
  </si>
  <si>
    <t>KAYNAK</t>
  </si>
  <si>
    <t>ANAHTAR</t>
  </si>
  <si>
    <t>PANO_ID</t>
  </si>
  <si>
    <t>NORM_ANAHTAR</t>
  </si>
  <si>
    <t>ETIKET_ELLE</t>
  </si>
  <si>
    <t>ISCILIK_DK</t>
  </si>
  <si>
    <t>ALAN_MODUL</t>
  </si>
  <si>
    <t>BARA_KG</t>
  </si>
  <si>
    <t>MALZ_TABAN</t>
  </si>
  <si>
    <t>SARF_KESIT</t>
  </si>
  <si>
    <t>NEDEN</t>
  </si>
  <si>
    <t>DEVRE_SEV</t>
  </si>
  <si>
    <t>TOPLAM_QTY</t>
  </si>
  <si>
    <t>ALAN_EKSIK</t>
  </si>
  <si>
    <t>BOBIN_EKSIK</t>
  </si>
  <si>
    <t>компл.</t>
  </si>
  <si>
    <t>P01</t>
  </si>
  <si>
    <t>korpus</t>
  </si>
  <si>
    <t>ОЛ: ВРУ-2 20.80.45 IP31 2000х800х450 → KAZTEK 2000x800x450 (IP açıklamada yok)</t>
  </si>
  <si>
    <t>KORPUS_AYAKLI</t>
  </si>
  <si>
    <t>KORPUS</t>
  </si>
  <si>
    <t>TMŞ</t>
  </si>
  <si>
    <t>DEVRE: QF1, QF2 · şema 2</t>
  </si>
  <si>
    <t>CHINT-844326</t>
  </si>
  <si>
    <t>MCCB_3P_250</t>
  </si>
  <si>
    <t>DEVRE</t>
  </si>
  <si>
    <t>sayac</t>
  </si>
  <si>
    <t>DEVRE: PI1 · şema 1</t>
  </si>
  <si>
    <t>KAZTEK-989-190-0114</t>
  </si>
  <si>
    <t>SAYAC_AT</t>
  </si>
  <si>
    <t>tt</t>
  </si>
  <si>
    <t>DEVRE: PI1 · şema 3</t>
  </si>
  <si>
    <t>EKT-ст-9951729</t>
  </si>
  <si>
    <t>OTO</t>
  </si>
  <si>
    <t>DEVRE: МС-1 · şema 1</t>
  </si>
  <si>
    <t>CHINT-816141</t>
  </si>
  <si>
    <t>MCB_3P</t>
  </si>
  <si>
    <t>аксессуар</t>
  </si>
  <si>
    <t>реверс (ОЛ s.11) → mekanik kilit MI-9 NXC-120..225</t>
  </si>
  <si>
    <t>CHINT-263761</t>
  </si>
  <si>
    <t>VARSAYIM</t>
  </si>
  <si>
    <t>SEMA_DISI</t>
  </si>
  <si>
    <t>kontaktör</t>
  </si>
  <si>
    <t>KM1.1, KM1.2 КМИ-49512 125А 230В (ОЛ s.11); CHINT 125A AC-3 yok</t>
  </si>
  <si>
    <t>YOK-KONTAKTOR-3P-125-230V</t>
  </si>
  <si>
    <t>KONTAKTOR</t>
  </si>
  <si>
    <t>DEVRE: QF3, QF4, QF-OTO1, QF-OTO2, QF-OTO3 · şema 2 · OTO 3</t>
  </si>
  <si>
    <t>CHINT-814012</t>
  </si>
  <si>
    <t>KUMANDA_MCB</t>
  </si>
  <si>
    <t>Röle</t>
  </si>
  <si>
    <t>Реле фаз ORF ×2 (ОЛ s.11) → NJB1-X AC380V</t>
  </si>
  <si>
    <t>CHINT-310008</t>
  </si>
  <si>
    <t>AVR_KONTROL</t>
  </si>
  <si>
    <t>lamb</t>
  </si>
  <si>
    <t>HL1, HL2 ЛПО 2001 8Вт (ОЛ s.11)</t>
  </si>
  <si>
    <t>YOK-LAMB-LPO2001-8W</t>
  </si>
  <si>
    <t>PRIZ_AYD</t>
  </si>
  <si>
    <t>ГЗШ · GZS_KOD boş</t>
  </si>
  <si>
    <t>OTO:GZS</t>
  </si>
  <si>
    <t>PEN köprüsü (TN-C-S ise)</t>
  </si>
  <si>
    <t>OTO:PEN</t>
  </si>
  <si>
    <t>N/PE barası · NOTR_BARA_KOD boş</t>
  </si>
  <si>
    <t>OTO:NPE</t>
  </si>
  <si>
    <t>DIN</t>
  </si>
  <si>
    <t>DIN ray · DINRAY_KOD / SIRA_ARALIK_MM / KORPUS_IC_PAY_M boş</t>
  </si>
  <si>
    <t>DINRAY_M</t>
  </si>
  <si>
    <t>OTO:DIN</t>
  </si>
  <si>
    <t>кабель-канал</t>
  </si>
  <si>
    <t>perforeli lоток EKT 280300704 (kalıcı kural) · MÜHENDİS ONAYI GEREKLİ</t>
  </si>
  <si>
    <t>KANAL_M</t>
  </si>
  <si>
    <t>MUADIL_ONAY</t>
  </si>
  <si>
    <t>OTO:KANAL</t>
  </si>
  <si>
    <t>lоток kapağı EKT 280300718 · MÜHENDİS ONAYI GEREKLİ</t>
  </si>
  <si>
    <t>кабель</t>
  </si>
  <si>
    <t>ПВ3 1.5 mm² · DEVRE KABLO_M × KABLO_FIRE</t>
  </si>
  <si>
    <t>HARMONY-151.01.PV3.01,5</t>
  </si>
  <si>
    <t>KABLO_IC_M</t>
  </si>
  <si>
    <t>OTO:KABLO</t>
  </si>
  <si>
    <t>ПВ3 2.5 mm² · DEVRE KABLO_M × KABLO_FIRE</t>
  </si>
  <si>
    <t>HARMONY-151.01.PV3.02,5</t>
  </si>
  <si>
    <t>ПВ3 25 mm² · DEVRE KABLO_M × KABLO_FIRE</t>
  </si>
  <si>
    <t>HARMONY-151.01.PV3.25</t>
  </si>
  <si>
    <t>ПВ3 35 mm² · DEVRE KABLO_M × KABLO_FIRE</t>
  </si>
  <si>
    <t>HARMONY-151.01.PV3.35</t>
  </si>
  <si>
    <t>монтажный материал</t>
  </si>
  <si>
    <t>MONTAJ_MALZ_ORANI × malzeme tabanı · oran boş</t>
  </si>
  <si>
    <t>MONTAJ-MALZ</t>
  </si>
  <si>
    <t>HESAP</t>
  </si>
  <si>
    <t>монтажная работа</t>
  </si>
  <si>
    <t>Σ norm dk × ISCILIK_CARPANI (F = saat)</t>
  </si>
  <si>
    <t>ISCILIK-MONTAJ</t>
  </si>
  <si>
    <t>P02</t>
  </si>
  <si>
    <t>şema ЩРн-36з → KAZTEK ЩРн-36 540х310х120 IP54</t>
  </si>
  <si>
    <t>KORPUS_ORTA</t>
  </si>
  <si>
    <t>rubilnik</t>
  </si>
  <si>
    <t>DEVRE: QS · şema 1</t>
  </si>
  <si>
    <t>CHINT-193185</t>
  </si>
  <si>
    <t>MODULER_SALTER</t>
  </si>
  <si>
    <t>DEVRE: МС-1, МВ-1 · şema 2</t>
  </si>
  <si>
    <t>CHINT-814174</t>
  </si>
  <si>
    <t>DEVRE: МС-2 · şema 1</t>
  </si>
  <si>
    <t>CHINT-814175</t>
  </si>
  <si>
    <t>DEVRE: МО-1 · şema 1</t>
  </si>
  <si>
    <t>CHINT-814173</t>
  </si>
  <si>
    <t>DEVRE: МАО-1, МСН-1 · şema 2</t>
  </si>
  <si>
    <t>CHINT-814172</t>
  </si>
  <si>
    <t>LOOBAR</t>
  </si>
  <si>
    <t>CHINT tarak L=1000 mm (≈57 mod) · TARAK_MOD_ADET=12 → adet/birim uyuşmazlığı · besleme 100А &gt; tarak 63А</t>
  </si>
  <si>
    <t>CHINT-811002</t>
  </si>
  <si>
    <t>TARAK_BARA</t>
  </si>
  <si>
    <t>KONTROL</t>
  </si>
  <si>
    <t>3P</t>
  </si>
  <si>
    <t>OTO:TARAK</t>
  </si>
  <si>
    <t>ПВ3 4 mm² · DEVRE KABLO_M × KABLO_FIRE</t>
  </si>
  <si>
    <t>HARMONY-151.01.PV3.04</t>
  </si>
  <si>
    <t>ПВ3 6 mm² · DEVRE KABLO_M × KABLO_FIRE</t>
  </si>
  <si>
    <t>HARMONY-151.01.PV3.06</t>
  </si>
  <si>
    <t>ПВ3 10 mm² · DEVRE KABLO_M × KABLO_FIRE</t>
  </si>
  <si>
    <t>HARMONY-151.01.PV3.10</t>
  </si>
  <si>
    <t>Klemens</t>
  </si>
  <si>
    <t>L/N klemens 4 mm² · max(x+4, x×1.1)</t>
  </si>
  <si>
    <t>EKT-130300041</t>
  </si>
  <si>
    <t>KLEMENS</t>
  </si>
  <si>
    <t>OTO:KLEMENS</t>
  </si>
  <si>
    <t>PE klemens 4 mm²</t>
  </si>
  <si>
    <t>EKT-5130300225</t>
  </si>
  <si>
    <t>L/N klemens 10 mm² · max(x+4, x×1.1)</t>
  </si>
  <si>
    <t>EKT-130300039</t>
  </si>
  <si>
    <t>PE klemens 10 mm²</t>
  </si>
  <si>
    <t>EKT-130300227</t>
  </si>
  <si>
    <t>P03</t>
  </si>
  <si>
    <t>şema ЩРв-18з modül yetersiz → KAZTEK ЩРв 1000х500х180 IP31</t>
  </si>
  <si>
    <t>CHINT-193183</t>
  </si>
  <si>
    <t>DİF</t>
  </si>
  <si>
    <t>DEVRE: А1, А2.1, А3.1, А4.1, А5.1, А6 … · şema 13</t>
  </si>
  <si>
    <t>CHINT-819977</t>
  </si>
  <si>
    <t>DIF_1PN</t>
  </si>
  <si>
    <t>CHINT tarak L=1000 mm (≈57 mod) · TARAK_MOD_ADET=12 → adet/birim uyuşmazlığı · 2P tarak tek faza bağlar</t>
  </si>
  <si>
    <t>CHINT-811001</t>
  </si>
  <si>
    <t>2P</t>
  </si>
  <si>
    <t>ПВ3 16 mm² · DEVRE KABLO_M × KABLO_FIRE</t>
  </si>
  <si>
    <t>HARMONY-151.01.PV3.16</t>
  </si>
  <si>
    <t>P04</t>
  </si>
  <si>
    <t>şema ЩРв-36з modül yetersiz → KAZTEK ЩРв 1150х500х180 IP31</t>
  </si>
  <si>
    <t>DEVRE: НДА1 · şema 1</t>
  </si>
  <si>
    <t>CHINT-814169</t>
  </si>
  <si>
    <t>DEVRE: НА1, НА2, НА3, НА4, НА5, НА6 … · şema 18</t>
  </si>
  <si>
    <t>P05</t>
  </si>
  <si>
    <t>şema ЩРв-12з modül yetersiz → KAZTEK ЩРВ 700х300х150 IP31</t>
  </si>
  <si>
    <t>DEVRE: НП1-1, НП2-1 · şema 2</t>
  </si>
  <si>
    <t>CHINT-814013</t>
  </si>
  <si>
    <t>MCB_1P</t>
  </si>
  <si>
    <t>DEVRE: НВ1-1, НВ2-1, НВ3-1, НВ4-1, НВ5-1, НВ6-1 … · şema 7</t>
  </si>
  <si>
    <t>CHINT-814014</t>
  </si>
  <si>
    <t>DEVRE: НТП1 · şema 1</t>
  </si>
  <si>
    <t>CHINT-982161</t>
  </si>
  <si>
    <t>DIF_3PN</t>
  </si>
  <si>
    <t>CHINT tarak L=1000 mm (≈57 mod) · TARAK_MOD_ADET=12 → adet/birim uyuşmazlığı</t>
  </si>
  <si>
    <t>CHINT-811008</t>
  </si>
  <si>
    <t>1P</t>
  </si>
  <si>
    <t>L/N klemens 2.5 mm² · max(x+4, x×1.1)</t>
  </si>
  <si>
    <t>EKT-130300223</t>
  </si>
  <si>
    <t>PE klemens 2.5 mm² · PE 2.5 PEN yok → ЗНИ-4PEN</t>
  </si>
  <si>
    <t>L/N klemens 6 mm² · max(x+4, x×1.1)</t>
  </si>
  <si>
    <t>EKT-130300042</t>
  </si>
  <si>
    <t>PE klemens 6 mm² · PE 6 PEN yok → ЗНИ-10PEN</t>
  </si>
  <si>
    <t>P06</t>
  </si>
  <si>
    <t>şema ЩРв-П-36 plastik → KAZTEK metal ЩРВ 700х300х150 IP31</t>
  </si>
  <si>
    <t>YOK-RUBILNIK-3P-25</t>
  </si>
  <si>
    <t>DEVRE: Гр1, Гр2, Гр3, Гр4, Гр5, Гр6 … · şema 12</t>
  </si>
  <si>
    <t>CHINT-296697</t>
  </si>
  <si>
    <t>DEVRE: Гр12, Гр13, Гр14, Гр15, Гр16 · şema 5</t>
  </si>
  <si>
    <t>P07</t>
  </si>
  <si>
    <t>şema ЩРв-П-8 plastik → KAZTEK metal ЩРв-18 275х450х120</t>
  </si>
  <si>
    <t>KORPUS_KUCUK</t>
  </si>
  <si>
    <t>DEVRE: Гр1А, Гр2А, Гр3А, Гр4А, Резерв · şema 5</t>
  </si>
  <si>
    <t>OZET (СВОД) — MALİYET</t>
  </si>
  <si>
    <t>ФОК с. Елтай · CHINT</t>
  </si>
  <si>
    <t>KZT</t>
  </si>
  <si>
    <t>SIRA</t>
  </si>
  <si>
    <t>PANO</t>
  </si>
  <si>
    <t>ADET</t>
  </si>
  <si>
    <t>MALZEME</t>
  </si>
  <si>
    <t>İŞÇİLİK</t>
  </si>
  <si>
    <t>AMBALAJ</t>
  </si>
  <si>
    <t>DİREKT</t>
  </si>
  <si>
    <t>GENEL GİDER</t>
  </si>
  <si>
    <t>PROJE PAYI</t>
  </si>
  <si>
    <t>FİN+GARANTİ</t>
  </si>
  <si>
    <t>BİRİM MALİYET</t>
  </si>
  <si>
    <t>TOPLAM MALİYET</t>
  </si>
  <si>
    <t>ALAN MODÜL</t>
  </si>
  <si>
    <t>KAPASİTE</t>
  </si>
  <si>
    <t>DOLULUK</t>
  </si>
  <si>
    <t>BARA m</t>
  </si>
  <si>
    <t>BARA kg</t>
  </si>
  <si>
    <t>BARA KZT</t>
  </si>
  <si>
    <t>FIYAT_YOK</t>
  </si>
  <si>
    <t>ENGEL</t>
  </si>
  <si>
    <t>MUADİL</t>
  </si>
  <si>
    <t>ŞART</t>
  </si>
  <si>
    <t>ŞARTLI TUTAR</t>
  </si>
  <si>
    <t>TEKNİK BAYRAK</t>
  </si>
  <si>
    <t>BAYRAK METNİ</t>
  </si>
  <si>
    <t>UYARI</t>
  </si>
  <si>
    <t>UYARI METNİ</t>
  </si>
  <si>
    <t>İŞÇİLİK HAM</t>
  </si>
  <si>
    <t>IN_ANA YOK</t>
  </si>
  <si>
    <t>KORPUS ÖLÇÜ YOK</t>
  </si>
  <si>
    <t>BARA SEÇİLEMEDİ</t>
  </si>
  <si>
    <t>BARA SATIRI YOK</t>
  </si>
  <si>
    <t>KABLO KESİT SATIRI YOK</t>
  </si>
  <si>
    <t>KLEMENS KESİT SATIRI YOK</t>
  </si>
  <si>
    <t>DEVRE KOD BOM'DA YOK</t>
  </si>
  <si>
    <t>KUMANDA MCB AZ</t>
  </si>
  <si>
    <t>DOLULUK AŞIMI</t>
  </si>
  <si>
    <t>İŞÇİLİK/MONTAJ SATIRI YOK</t>
  </si>
  <si>
    <t>KA YETERSİZ</t>
  </si>
  <si>
    <t>KABLO TABLO DIŞI</t>
  </si>
  <si>
    <t>ALAN VERİSİ YOK</t>
  </si>
  <si>
    <t>BOBİN V YOK</t>
  </si>
  <si>
    <t>EK ADET YOK</t>
  </si>
  <si>
    <t>SELEKTİVİTE</t>
  </si>
  <si>
    <t>ICU YOK</t>
  </si>
  <si>
    <t>DOLULUK UYARI</t>
  </si>
  <si>
    <t>GENEL MALİYET</t>
  </si>
  <si>
    <t>ŞARTLI ORAN</t>
  </si>
  <si>
    <t>OZET_DAMGA</t>
  </si>
  <si>
    <t>PARAM_EKSIK</t>
  </si>
  <si>
    <t>KUR_VARSAYIM</t>
  </si>
  <si>
    <t>№ КП</t>
  </si>
  <si>
    <t>Дата</t>
  </si>
  <si>
    <t>Срок действия, дн.</t>
  </si>
  <si>
    <t>Заказчик</t>
  </si>
  <si>
    <t>Объект</t>
  </si>
  <si>
    <t>Адрес</t>
  </si>
  <si>
    <t>Валюта</t>
  </si>
  <si>
    <t>№</t>
  </si>
  <si>
    <t>Наименование</t>
  </si>
  <si>
    <t>Кол-во</t>
  </si>
  <si>
    <t>Цена за ед.</t>
  </si>
  <si>
    <t>Сумма</t>
  </si>
  <si>
    <t>Итого</t>
  </si>
  <si>
    <t>Скидка</t>
  </si>
  <si>
    <t>Итого со скидкой</t>
  </si>
  <si>
    <t>НДС</t>
  </si>
  <si>
    <t>Всего с НДС</t>
  </si>
  <si>
    <t>Срок изготовления, раб. дн.</t>
  </si>
  <si>
    <t>Условия оплаты</t>
  </si>
  <si>
    <t>Гарантия</t>
  </si>
  <si>
    <t>PANO KARTI — A–M mavi giriş, N+ formül</t>
  </si>
  <si>
    <t>ФОК с. Елтай — 01-2024-ЭОМ</t>
  </si>
  <si>
    <t>satır 5+ veri</t>
  </si>
  <si>
    <t>KOD</t>
  </si>
  <si>
    <t>TAM_AD</t>
  </si>
  <si>
    <t>KORPUS_KOD</t>
  </si>
  <si>
    <t>MONTAJ</t>
  </si>
  <si>
    <t>SISTEM</t>
  </si>
  <si>
    <t>IP</t>
  </si>
  <si>
    <t>RAL</t>
  </si>
  <si>
    <t>ICU_KA</t>
  </si>
  <si>
    <t>BARA_MALZ</t>
  </si>
  <si>
    <t>AVR_KAYNAK</t>
  </si>
  <si>
    <t>GIRIS</t>
  </si>
  <si>
    <t>IN_ANA</t>
  </si>
  <si>
    <t>KORPUS_G</t>
  </si>
  <si>
    <t>KORPUS_Y</t>
  </si>
  <si>
    <t>KAPASITE</t>
  </si>
  <si>
    <t>SIRA_ADET</t>
  </si>
  <si>
    <t>L_TEK</t>
  </si>
  <si>
    <t>N3</t>
  </si>
  <si>
    <t>N4</t>
  </si>
  <si>
    <t>ANA_BARA</t>
  </si>
  <si>
    <t>ANA_BARA_4P</t>
  </si>
  <si>
    <t>BARA_GEREK</t>
  </si>
  <si>
    <t>FAZ_SIRA</t>
  </si>
  <si>
    <t>FAZ_KOD</t>
  </si>
  <si>
    <t>FAZ_SERIT</t>
  </si>
  <si>
    <t>FAZ_MM2T</t>
  </si>
  <si>
    <t>N_SIRA</t>
  </si>
  <si>
    <t>N_KOD</t>
  </si>
  <si>
    <t>N_SERIT</t>
  </si>
  <si>
    <t>PE_SIRA</t>
  </si>
  <si>
    <t>PE_KOD</t>
  </si>
  <si>
    <t>PE_SERIT</t>
  </si>
  <si>
    <t>FAZ_M</t>
  </si>
  <si>
    <t>N_M</t>
  </si>
  <si>
    <t>PE_M</t>
  </si>
  <si>
    <t>IZOL_3F</t>
  </si>
  <si>
    <t>IZOL_1F</t>
  </si>
  <si>
    <t>KLEMENS_MM</t>
  </si>
  <si>
    <t>DIN_M</t>
  </si>
  <si>
    <t>DEVRE_MODUL</t>
  </si>
  <si>
    <t>KANAL_KOD</t>
  </si>
  <si>
    <t>KAPAK_KOD</t>
  </si>
  <si>
    <t>MOD_CIKIS</t>
  </si>
  <si>
    <t>GRUP_BESLEME</t>
  </si>
  <si>
    <t>GRUP_KABLO_M</t>
  </si>
  <si>
    <t>PEN</t>
  </si>
  <si>
    <t>SELEKTIF_UYARI</t>
  </si>
  <si>
    <t>ВРУ-1</t>
  </si>
  <si>
    <t>Вводно-распределительное устройство ВРУ-1 (с АВР)</t>
  </si>
  <si>
    <t>KAZTEK-719-15696</t>
  </si>
  <si>
    <t>AYAKLI</t>
  </si>
  <si>
    <t>TN-S</t>
  </si>
  <si>
    <t>31</t>
  </si>
  <si>
    <t>CU</t>
  </si>
  <si>
    <t>EVET</t>
  </si>
  <si>
    <t>ЩР-1</t>
  </si>
  <si>
    <t>Щит распределительный ЩР-1</t>
  </si>
  <si>
    <t>KAZTEK-714-15070</t>
  </si>
  <si>
    <t>DUVAR</t>
  </si>
  <si>
    <t>HAYIR</t>
  </si>
  <si>
    <t>ЩС-1</t>
  </si>
  <si>
    <t>Щит силовой ЩС-1</t>
  </si>
  <si>
    <t>KAZTEK-713-15050</t>
  </si>
  <si>
    <t>GOMME</t>
  </si>
  <si>
    <t>ЩС-2</t>
  </si>
  <si>
    <t>Щит силовой ЩС-2</t>
  </si>
  <si>
    <t>KAZTEK-713-15052</t>
  </si>
  <si>
    <t>ЩВ-1</t>
  </si>
  <si>
    <t>Щит вентиляции ЩВ-1</t>
  </si>
  <si>
    <t>KAZTEK-713-15040</t>
  </si>
  <si>
    <t>ЩО-1</t>
  </si>
  <si>
    <t>Щит осветительный ЩО-1</t>
  </si>
  <si>
    <t>ЩАО-1</t>
  </si>
  <si>
    <t>Щит аварийного освещения ЩАО-1</t>
  </si>
  <si>
    <t>KAZTEK-713-09054</t>
  </si>
  <si>
    <t>DEVRE_NO</t>
  </si>
  <si>
    <t>DEVRE_TIPI</t>
  </si>
  <si>
    <t>YUK</t>
  </si>
  <si>
    <t>FAZ</t>
  </si>
  <si>
    <t>N_YOK</t>
  </si>
  <si>
    <t>EK_KOD</t>
  </si>
  <si>
    <t>SINYAL_KLEMENS</t>
  </si>
  <si>
    <t>SAHA_KABLO</t>
  </si>
  <si>
    <t>SAHA_KESIT</t>
  </si>
  <si>
    <t>KAYNAK_TIPI</t>
  </si>
  <si>
    <t>KAYNAK_REF</t>
  </si>
  <si>
    <t>KASKAD</t>
  </si>
  <si>
    <t>FTIP</t>
  </si>
  <si>
    <t>IN_A</t>
  </si>
  <si>
    <t>KUTUP</t>
  </si>
  <si>
    <t>KA</t>
  </si>
  <si>
    <t>CIHAZ_ADET</t>
  </si>
  <si>
    <t>EK_ADET</t>
  </si>
  <si>
    <t>KESIT</t>
  </si>
  <si>
    <t>PARALEL</t>
  </si>
  <si>
    <t>ILETKEN</t>
  </si>
  <si>
    <t>ILETKEN_NPE</t>
  </si>
  <si>
    <t>KABLO_M</t>
  </si>
  <si>
    <t>KLEM_LN</t>
  </si>
  <si>
    <t>KLEM_PE</t>
  </si>
  <si>
    <t>KLEM_BAZ</t>
  </si>
  <si>
    <t>KLEM_KESIT</t>
  </si>
  <si>
    <t>KLEM_MM</t>
  </si>
  <si>
    <t>XT_BAS</t>
  </si>
  <si>
    <t>XT_SON</t>
  </si>
  <si>
    <t>MODUL</t>
  </si>
  <si>
    <t>PABUC</t>
  </si>
  <si>
    <t>YUKSUK</t>
  </si>
  <si>
    <t>NUMARA</t>
  </si>
  <si>
    <t>RENK</t>
  </si>
  <si>
    <t>SEV</t>
  </si>
  <si>
    <t>KA_YETERSIZ</t>
  </si>
  <si>
    <t>KUTUP_AD</t>
  </si>
  <si>
    <t>QF1</t>
  </si>
  <si>
    <t>ANA</t>
  </si>
  <si>
    <t>Ввод №1 380/220В</t>
  </si>
  <si>
    <t>L123</t>
  </si>
  <si>
    <t>см. часть ЭСН</t>
  </si>
  <si>
    <t>PARSER</t>
  </si>
  <si>
    <t>ЭОМ_раздел_-_Kopya.pdf · s.11 ОЛ QF1; s.2</t>
  </si>
  <si>
    <t>QF2</t>
  </si>
  <si>
    <t>Ввод №2 380/220В</t>
  </si>
  <si>
    <t>ЭОМ_раздел_-_Kopya.pdf · s.11 ОЛ QF2; s.2</t>
  </si>
  <si>
    <t>МС-1</t>
  </si>
  <si>
    <t>CIKIS</t>
  </si>
  <si>
    <t>ЩР-1 59,1/38,4 кВт 64,9 А</t>
  </si>
  <si>
    <t>АВВГнг(А)-LS 5х50 L=3</t>
  </si>
  <si>
    <t>ЭОМ_раздел_-_Kopya.pdf · s.2 ВА47-100 3П 100А</t>
  </si>
  <si>
    <t>saha 50 mm² &gt; 35: klemens yok, doğrudan bağlantı</t>
  </si>
  <si>
    <t>PI1</t>
  </si>
  <si>
    <t>OLCU</t>
  </si>
  <si>
    <t>Учет, Меркурий 230 ART-03</t>
  </si>
  <si>
    <t>ЭОМ_раздел_-_Kopya.pdf · s.11 PI1, TA1-TA3; s.2</t>
  </si>
  <si>
    <t>QF3</t>
  </si>
  <si>
    <t>KUMANDA</t>
  </si>
  <si>
    <t>HL1, реле фаз (ввод 1)</t>
  </si>
  <si>
    <t>L1</t>
  </si>
  <si>
    <t>ЭОМ_раздел_-_Kopya.pdf · s.11 QF3 ВА47-29 1Р 6А C</t>
  </si>
  <si>
    <t>QF4</t>
  </si>
  <si>
    <t>HL2, реле фаз (ввод 2)</t>
  </si>
  <si>
    <t>ЭОМ_раздел_-_Kopya.pdf · s.11 QF4 ВА47-29 1Р 6А C</t>
  </si>
  <si>
    <t>QF-OTO1</t>
  </si>
  <si>
    <t>АВР kontrol ünitesi</t>
  </si>
  <si>
    <t>ЭОМ_раздел_-_Kopya.pdf · §12.5</t>
  </si>
  <si>
    <t>OTO: АВР kontrol</t>
  </si>
  <si>
    <t>QF-OTO2</t>
  </si>
  <si>
    <t>ölçü / sayaç gerilim devresi</t>
  </si>
  <si>
    <t>OTO: ölçü</t>
  </si>
  <si>
    <t>QF-OTO3</t>
  </si>
  <si>
    <t>iç aydınlatma</t>
  </si>
  <si>
    <t>OTO: priz+iç aydınlatma</t>
  </si>
  <si>
    <t>QS</t>
  </si>
  <si>
    <t>Ввод ~380/220В от ВРУ-1 (МР-1)</t>
  </si>
  <si>
    <t>см. лист ЭОМ-3</t>
  </si>
  <si>
    <t>ЭОМ_раздел_-_Kopya.pdf · s.3 ВН-32 3П 100А</t>
  </si>
  <si>
    <t>ЩС-1 10,81 кВт</t>
  </si>
  <si>
    <t>ВВГнг(А)-LS 5х10 L=10</t>
  </si>
  <si>
    <t>ЭОМ_раздел_-_Kopya.pdf · s.3 ВА47-100 МС-1</t>
  </si>
  <si>
    <t>МС-2</t>
  </si>
  <si>
    <t>ЩС-2 25,4 кВт</t>
  </si>
  <si>
    <t>ВВГнг(А)-LS 5х10 L=15</t>
  </si>
  <si>
    <t>ЭОМ_раздел_-_Kopya.pdf · s.3 ВА47-100 МС-2</t>
  </si>
  <si>
    <t>МВ-1</t>
  </si>
  <si>
    <t>ЩВ-1 9,722 кВт</t>
  </si>
  <si>
    <t>ЭОМ_раздел_-_Kopya.pdf · s.3 ВА47-100 МВ-1</t>
  </si>
  <si>
    <t>МО-1</t>
  </si>
  <si>
    <t>ЩО-1 10,535 кВт</t>
  </si>
  <si>
    <t>ВВГнг(А)-LS 5х10 L=25</t>
  </si>
  <si>
    <t>ЭОМ_раздел_-_Kopya.pdf · s.3 ВА47-100 МО-1</t>
  </si>
  <si>
    <t>МАО-1</t>
  </si>
  <si>
    <t>ЩАО-1 2,497 кВт</t>
  </si>
  <si>
    <t>ВВГнг(А)-LS 5х4 L=30</t>
  </si>
  <si>
    <t>ЭОМ_раздел_-_Kopya.pdf · s.3 ВА47-100 МАО-1</t>
  </si>
  <si>
    <t>МСН-1</t>
  </si>
  <si>
    <t>ПКП-1 0,2 кВт</t>
  </si>
  <si>
    <t>ВВГнг(А)-FRLS 5х4 L=15</t>
  </si>
  <si>
    <t>ЭОМ_раздел_-_Kopya.pdf · s.3 ВА47-100 МСН-1</t>
  </si>
  <si>
    <t>Ввод ~380/220В (МС-1)</t>
  </si>
  <si>
    <t>см. лист ЭОМ-2</t>
  </si>
  <si>
    <t>ЭОМ_раздел_-_Kopya.pdf · s.4 ВН-32 3П 63А</t>
  </si>
  <si>
    <t>А1</t>
  </si>
  <si>
    <t>К1.1 Компьютер 0,45 кВт</t>
  </si>
  <si>
    <t>ВВГнг(А)-LS 3х4 L=23</t>
  </si>
  <si>
    <t>ЭОМ_раздел_-_Kopya.pdf · s.4 АД12 2Р 16А-30мА А1</t>
  </si>
  <si>
    <t>А2.1</t>
  </si>
  <si>
    <t>М1/М4/К1.2 (А2.1–А2.3)</t>
  </si>
  <si>
    <t>L2</t>
  </si>
  <si>
    <t>ВВГнг(А)-LS 3х4 L=35</t>
  </si>
  <si>
    <t>ЭОМ_раздел_-_Kopya.pdf · s.4 АД12 2Р 16А-30мА А2.1</t>
  </si>
  <si>
    <t>çoklu hat, tek klemens seti</t>
  </si>
  <si>
    <t>А3.1</t>
  </si>
  <si>
    <t>К10 Телевизор / К1.3 (А3.1–А3.2)</t>
  </si>
  <si>
    <t>L3</t>
  </si>
  <si>
    <t>ВВГнг(А)-LS 3х4 L=40</t>
  </si>
  <si>
    <t>ЭОМ_раздел_-_Kopya.pdf · s.4 АД12 2Р 16А-30мА А3.1</t>
  </si>
  <si>
    <t>А4.1</t>
  </si>
  <si>
    <t>К1.4 / К1.5 (А4.1–А4.2)</t>
  </si>
  <si>
    <t>ВВГнг(А)-LS 3х4 L=50</t>
  </si>
  <si>
    <t>ЭОМ_раздел_-_Kopya.pdf · s.4 АД12 2Р 16А-30мА А4.1</t>
  </si>
  <si>
    <t>А5.1</t>
  </si>
  <si>
    <t>У2.1 / У2.2 (А5.1–А5.2)</t>
  </si>
  <si>
    <t>ЭОМ_раздел_-_Kopya.pdf · s.4 АД12 2Р 16А-30мА А5.1</t>
  </si>
  <si>
    <t>А6</t>
  </si>
  <si>
    <t>Т1.1 Беговая дорожка 1,85 кВт</t>
  </si>
  <si>
    <t>ЭОМ_раздел_-_Kopya.pdf · s.4 АД12 2Р 16А-30мА А6</t>
  </si>
  <si>
    <t>А7</t>
  </si>
  <si>
    <t>Т1.2 Беговая дорожка 1,85 кВт</t>
  </si>
  <si>
    <t>ВВГнг(А)-LS 3х4 L=52</t>
  </si>
  <si>
    <t>ЭОМ_раздел_-_Kopya.pdf · s.4 АД12 2Р 16А-30мА А7</t>
  </si>
  <si>
    <t>А8</t>
  </si>
  <si>
    <t>Т1.3 Беговая дорожка 1,85 кВт</t>
  </si>
  <si>
    <t>ВВГнг(А)-LS 3х4 L=54</t>
  </si>
  <si>
    <t>ЭОМ_раздел_-_Kopya.pdf · s.4 АД12 2Р 16А-30мА А8</t>
  </si>
  <si>
    <t>А9.1</t>
  </si>
  <si>
    <t>К1.6 Компьютер 0,45 кВт</t>
  </si>
  <si>
    <t>ВВГнг(А)-LS 3х4 L=38</t>
  </si>
  <si>
    <t>ЭОМ_раздел_-_Kopya.pdf · s.4 АД12 2Р 16А-30мА А9.1</t>
  </si>
  <si>
    <t>А9.2</t>
  </si>
  <si>
    <t>К1.7 Компьютер 0,45 кВт</t>
  </si>
  <si>
    <t>ВВГнг(А)-LS 3х4 L=4</t>
  </si>
  <si>
    <t>ЭОМ_раздел_-_Kopya.pdf · s.4 АД12 2Р 16А-30мА А9.2</t>
  </si>
  <si>
    <t>А10.1</t>
  </si>
  <si>
    <t>К1.8 Компьютер 0,45 кВт</t>
  </si>
  <si>
    <t>ЭОМ_раздел_-_Kopya.pdf · s.4 АД12 2Р 16А-30мА А10.1</t>
  </si>
  <si>
    <t>А10.2</t>
  </si>
  <si>
    <t>К1.9 Компьютер 0,45 кВт</t>
  </si>
  <si>
    <t>ЭОМ_раздел_-_Kopya.pdf · s.4 АД12 2Р 16А-30мА А10.2</t>
  </si>
  <si>
    <t>А11</t>
  </si>
  <si>
    <t>У2.3 0,2 кВт</t>
  </si>
  <si>
    <t>ЭОМ_раздел_-_Kopya.pdf · s.4 АД12 2Р 16А-30мА А11</t>
  </si>
  <si>
    <t>Ввод ~380/220В (МС-2)</t>
  </si>
  <si>
    <t>ЭОМ_раздел_-_Kopya.pdf · s.5 ВН-32 3П 63А</t>
  </si>
  <si>
    <t>НА1</t>
  </si>
  <si>
    <t>ЭВН1 Аристон-15л 1,2 кВт</t>
  </si>
  <si>
    <t>ВВГнг(А)-LS 3х4 L=25</t>
  </si>
  <si>
    <t>ЭОМ_раздел_-_Kopya.pdf · s.5 АД12 2Р 16А-30мА НА1</t>
  </si>
  <si>
    <t>НА2</t>
  </si>
  <si>
    <t>ЭВН2 Аристон-15л 1,2 кВт</t>
  </si>
  <si>
    <t>ВВГнг(А)-LS 3х4 L=26</t>
  </si>
  <si>
    <t>ЭОМ_раздел_-_Kopya.pdf · s.5 АД12 2Р 16А-30мА НА2</t>
  </si>
  <si>
    <t>НА3</t>
  </si>
  <si>
    <t>ЭВН3 Аристон-100л 1,5 кВт</t>
  </si>
  <si>
    <t>ВВГнг(А)-LS 3х4 L=44</t>
  </si>
  <si>
    <t>ЭОМ_раздел_-_Kopya.pdf · s.5 АД12 2Р 16А-30мА НА3</t>
  </si>
  <si>
    <t>НА4</t>
  </si>
  <si>
    <t>ЭВН4 Аристон-100л 1,5 кВт</t>
  </si>
  <si>
    <t>ВВГнг(А)-LS 3х4 L=45</t>
  </si>
  <si>
    <t>ЭОМ_раздел_-_Kopya.pdf · s.5 АД12 2Р 16А-30мА НА4</t>
  </si>
  <si>
    <t>НА5</t>
  </si>
  <si>
    <t>ЭВН5 Аристон-100л 1,5 кВт</t>
  </si>
  <si>
    <t>ВВГнг(А)-LS 3х4 L=46</t>
  </si>
  <si>
    <t>ЭОМ_раздел_-_Kopya.pdf · s.5 АД12 2Р 16А-30мА НА5</t>
  </si>
  <si>
    <t>НА6</t>
  </si>
  <si>
    <t>ЭВН6 Аристон-100л 1,5 кВт</t>
  </si>
  <si>
    <t>ВВГнг(А)-LS 3х4 L=47</t>
  </si>
  <si>
    <t>ЭОМ_раздел_-_Kopya.pdf · s.5 АД12 2Р 16А-30мА НА6</t>
  </si>
  <si>
    <t>НА7</t>
  </si>
  <si>
    <t>ЭВН7 Аристон-15л 1,2 кВт</t>
  </si>
  <si>
    <t>ВВГнг(А)-LS 3х4 L=48</t>
  </si>
  <si>
    <t>ЭОМ_раздел_-_Kopya.pdf · s.5 АД12 2Р 16А-30мА НА7</t>
  </si>
  <si>
    <t>НА8</t>
  </si>
  <si>
    <t>ЭВН8 Аристон-10л 1,5 кВт</t>
  </si>
  <si>
    <t>ВВГнг(А)-LS 3х4 L=53</t>
  </si>
  <si>
    <t>ЭОМ_раздел_-_Kopya.pdf · s.5 АД12 2Р 16А-30мА НА8</t>
  </si>
  <si>
    <t>НА9</t>
  </si>
  <si>
    <t>ЭВН9 Аристон-100л 1,5 кВт</t>
  </si>
  <si>
    <t>ВВГнг(А)-LS 3х4 L=49</t>
  </si>
  <si>
    <t>ЭОМ_раздел_-_Kopya.pdf · s.5 АД12 2Р 16А-30мА НА9</t>
  </si>
  <si>
    <t>НА10</t>
  </si>
  <si>
    <t>ЭВН10 Аристон-100л 1,5 кВт</t>
  </si>
  <si>
    <t>ЭОМ_раздел_-_Kopya.pdf · s.5 АД12 2Р 16А-30мА НА10</t>
  </si>
  <si>
    <t>НА11</t>
  </si>
  <si>
    <t>ЭВН11 Аристон-100л 1,5 кВт</t>
  </si>
  <si>
    <t>ВВГнг(А)-LS 3х4 L=51</t>
  </si>
  <si>
    <t>ЭОМ_раздел_-_Kopya.pdf · s.5 АД12 2Р 16А-30мА НА11</t>
  </si>
  <si>
    <t>НА12</t>
  </si>
  <si>
    <t>ЭВН12 Аристон-100л 1,5 кВт</t>
  </si>
  <si>
    <t>ЭОМ_раздел_-_Kopya.pdf · s.5 АД12 2Р 16А-30мА НА12</t>
  </si>
  <si>
    <t>НА13</t>
  </si>
  <si>
    <t>ЭВН13 Аристон-15л 1,2 кВт</t>
  </si>
  <si>
    <t>ВВГнг(А)-LS 3х4 L=41</t>
  </si>
  <si>
    <t>ЭОМ_раздел_-_Kopya.pdf · s.5 АД12 2Р 16А-30мА НА13</t>
  </si>
  <si>
    <t>НА14</t>
  </si>
  <si>
    <t>ЭВН14 Аристон-10л 1,2 кВт</t>
  </si>
  <si>
    <t>ЭОМ_раздел_-_Kopya.pdf · s.5 АД12 2Р 16А-30мА НА14</t>
  </si>
  <si>
    <t>НА15</t>
  </si>
  <si>
    <t>ЭВН15 Аристон-100л 1,5 кВт</t>
  </si>
  <si>
    <t>ВВГнг(А)-LS 3х4 L=42</t>
  </si>
  <si>
    <t>ЭОМ_раздел_-_Kopya.pdf · s.5 АД12 2Р 16А-30мА НА15</t>
  </si>
  <si>
    <t>НА16</t>
  </si>
  <si>
    <t>ЭВН16 Аристон-100л 1,5 кВт</t>
  </si>
  <si>
    <t>ЭОМ_раздел_-_Kopya.pdf · s.5 АД12 2Р 16А-30мА НА16</t>
  </si>
  <si>
    <t>НА17</t>
  </si>
  <si>
    <t>ЭВН17 Аристон-100л 1,5 кВт</t>
  </si>
  <si>
    <t>ЭОМ_раздел_-_Kopya.pdf · s.5 АД12 2Р 16А-30мА НА17</t>
  </si>
  <si>
    <t>НА18</t>
  </si>
  <si>
    <t>ЭВН18 Аристон-10л 1,2 кВт</t>
  </si>
  <si>
    <t>ВВГнг(А)-LS 3х4 L=57</t>
  </si>
  <si>
    <t>ЭОМ_раздел_-_Kopya.pdf · s.5 АД12 2Р 16А-30мА НА18</t>
  </si>
  <si>
    <t>НДА1</t>
  </si>
  <si>
    <t>Н3 Дренажный насос 0,2 кВт (компл.)</t>
  </si>
  <si>
    <t>YOK</t>
  </si>
  <si>
    <t>ВВГнг(А)-LS 3х4 L=56</t>
  </si>
  <si>
    <t>ЭОМ_раздел_-_Kopya.pdf · s.5 ВА47-29 3П 10А НДА1</t>
  </si>
  <si>
    <t>3P + 3 damarlı kablo</t>
  </si>
  <si>
    <t>Ввод ~380/220В (МВ-1)</t>
  </si>
  <si>
    <t>ЭОМ_раздел_-_Kopya.pdf · s.6 ВН-32 3П 63А</t>
  </si>
  <si>
    <t>НТП1</t>
  </si>
  <si>
    <t>ТП1 Тепловой пункт 1,0 кВт</t>
  </si>
  <si>
    <t>ЭОМ_раздел_-_Kopya.pdf · s.6 АД12 3Р 40А-30мА</t>
  </si>
  <si>
    <t>CIHAZ_BELIRSIZ</t>
  </si>
  <si>
    <t>şema 3Р; CHINT 3P RCBO yok → 4P; kablo 3х4</t>
  </si>
  <si>
    <t>НП1-1</t>
  </si>
  <si>
    <t>П1 Приточная установка 3,0 кВт (ШУ-П1 компл.)</t>
  </si>
  <si>
    <t>ЭОМ_раздел_-_Kopya.pdf · s.6 ВА47-29 1П 10А</t>
  </si>
  <si>
    <t>НП2-1</t>
  </si>
  <si>
    <t>П2 Приточная установка 2,2 кВт (ШУ-П2 компл.)</t>
  </si>
  <si>
    <t>НВ1-1</t>
  </si>
  <si>
    <t>В1 Вентилятор 1,15 кВт</t>
  </si>
  <si>
    <t>ВВГнг(А)-LS 3х2,5 L=37</t>
  </si>
  <si>
    <t>ЭОМ_раздел_-_Kopya.pdf · s.6 ВА47-29 1П 16А НВ1-1</t>
  </si>
  <si>
    <t>НВ2-1</t>
  </si>
  <si>
    <t>В2 Вентилятор 0,071 кВт</t>
  </si>
  <si>
    <t>ВВГнг(А)-LS 3х2,5 L=46</t>
  </si>
  <si>
    <t>ЭОМ_раздел_-_Kopya.pdf · s.6 ВА47-29 1П 16А НВ2-1</t>
  </si>
  <si>
    <t>НВ3-1</t>
  </si>
  <si>
    <t>В3 Вентилятор 0,295 кВт</t>
  </si>
  <si>
    <t>ВВГнг(А)-LS 3х1,5 L=41</t>
  </si>
  <si>
    <t>ЭОМ_раздел_-_Kopya.pdf · s.6 ВА47-29 1П 16А НВ3-1</t>
  </si>
  <si>
    <t>НВ4-1</t>
  </si>
  <si>
    <t>В4 Вентилятор 0,230 кВт</t>
  </si>
  <si>
    <t>ВВГнг(А)-LS 3х2,5 L=38</t>
  </si>
  <si>
    <t>ЭОМ_раздел_-_Kopya.pdf · s.6 ВА47-29 1П 16А НВ4-1</t>
  </si>
  <si>
    <t>НВ5-1</t>
  </si>
  <si>
    <t>В5 Вентилятор 0,071 кВт</t>
  </si>
  <si>
    <t>ВВГнг(А)-LS 3х2,5 L=14</t>
  </si>
  <si>
    <t>ЭОМ_раздел_-_Kopya.pdf · s.6 ВА47-29 1П 16А НВ5-1</t>
  </si>
  <si>
    <t>НВ6-1</t>
  </si>
  <si>
    <t>В6 Вентилятор 0,105 кВт</t>
  </si>
  <si>
    <t>ВВГнг(А)-LS 3х2,5 L=24</t>
  </si>
  <si>
    <t>ЭОМ_раздел_-_Kopya.pdf · s.6 ВА47-29 1П 16А НВ6-1</t>
  </si>
  <si>
    <t>НВ7-1</t>
  </si>
  <si>
    <t>В7 Вентилятор 1,6 кВт</t>
  </si>
  <si>
    <t>ВВГнг(А)-LS 3х4 L=7</t>
  </si>
  <si>
    <t>ЭОМ_раздел_-_Kopya.pdf · s.6 ВА47-29 1П 16А НВ7-1</t>
  </si>
  <si>
    <t>Ввод от ВРУ (МО-1)</t>
  </si>
  <si>
    <t>ЭОМ_раздел_-_Kopya.pdf · s.8 raster ВН-32 3П 25А; s.13 СО</t>
  </si>
  <si>
    <t>ВН-32 25А &lt; вышестоящий МО-1 32А</t>
  </si>
  <si>
    <t>Гр1</t>
  </si>
  <si>
    <t>Рабочее освещение 0,54 кВт</t>
  </si>
  <si>
    <t>ВВГнг(А)-LS 3х1,5</t>
  </si>
  <si>
    <t>VISION</t>
  </si>
  <si>
    <t>ЭОМ_раздел_-_Kopya.pdf · s.8 raster ВА47-29В 1П 16А Гр1</t>
  </si>
  <si>
    <t>Гр2</t>
  </si>
  <si>
    <t>Рабочее освещение 0,582 кВт</t>
  </si>
  <si>
    <t>ЭОМ_раздел_-_Kopya.pdf · s.8 raster ВА47-29В 1П 16А Гр2</t>
  </si>
  <si>
    <t>Гр3</t>
  </si>
  <si>
    <t>Рабочее освещение 0,702 кВт</t>
  </si>
  <si>
    <t>ЭОМ_раздел_-_Kopya.pdf · s.8 raster ВА47-29В 1П 16А Гр3</t>
  </si>
  <si>
    <t>Гр4</t>
  </si>
  <si>
    <t>Рабочее освещение 0,624 кВт</t>
  </si>
  <si>
    <t>ЭОМ_раздел_-_Kopya.pdf · s.8 raster ВА47-29В 1П 16А Гр4</t>
  </si>
  <si>
    <t>Гр5</t>
  </si>
  <si>
    <t>Рабочее освещение 0,612 кВт</t>
  </si>
  <si>
    <t>ЭОМ_раздел_-_Kopya.pdf · s.8 raster ВА47-29В 1П 16А Гр5</t>
  </si>
  <si>
    <t>Гр6</t>
  </si>
  <si>
    <t>Рабочее освещение 0,6 кВт</t>
  </si>
  <si>
    <t>ЭОМ_раздел_-_Kopya.pdf · s.8 raster ВА47-29В 1П 16А Гр6</t>
  </si>
  <si>
    <t>Гр7</t>
  </si>
  <si>
    <t>Рабочее освещение 0,45 кВт</t>
  </si>
  <si>
    <t>ЭОМ_раздел_-_Kopya.pdf · s.8 raster ВА47-29В 1П 16А Гр7</t>
  </si>
  <si>
    <t>Гр8</t>
  </si>
  <si>
    <t>Рабочее освещение 0,432 кВт</t>
  </si>
  <si>
    <t>ЭОМ_раздел_-_Kopya.pdf · s.8 raster ВА47-29В 1П 16А Гр8</t>
  </si>
  <si>
    <t>Гр9</t>
  </si>
  <si>
    <t>Рабочее освещение 0,504 кВт</t>
  </si>
  <si>
    <t>ЭОМ_раздел_-_Kopya.pdf · s.8 raster ВА47-29В 1П 16А Гр9</t>
  </si>
  <si>
    <t>Гр10</t>
  </si>
  <si>
    <t>Рабочее освещение 0,513 кВт</t>
  </si>
  <si>
    <t>ЭОМ_раздел_-_Kopya.pdf · s.8 raster ВА47-29В 1П 16А Гр10</t>
  </si>
  <si>
    <t>Гр11</t>
  </si>
  <si>
    <t>Рабочее освещение 0,576 кВт</t>
  </si>
  <si>
    <t>ЭОМ_раздел_-_Kopya.pdf · s.8 raster ВА47-29В 1П 16А Гр11</t>
  </si>
  <si>
    <t>Гр12</t>
  </si>
  <si>
    <t>Розеточная группа 0,8 кВт</t>
  </si>
  <si>
    <t>ВВГнг(А)-LS 3х2,5</t>
  </si>
  <si>
    <t>ЭОМ_раздел_-_Kopya.pdf · s.8 raster АД12 16А-2Р Гр12</t>
  </si>
  <si>
    <t>Гр13</t>
  </si>
  <si>
    <t>Розеточная группа 1,0 кВт</t>
  </si>
  <si>
    <t>ЭОМ_раздел_-_Kopya.pdf · s.8 raster АД12 16А-2Р Гр13</t>
  </si>
  <si>
    <t>Гр14</t>
  </si>
  <si>
    <t>Розеточная группа 0,9 кВт</t>
  </si>
  <si>
    <t>ЭОМ_раздел_-_Kopya.pdf · s.8 raster АД12 16А-2Р Гр14</t>
  </si>
  <si>
    <t>Гр15</t>
  </si>
  <si>
    <t>ЭОМ_раздел_-_Kopya.pdf · s.8 raster АД12 16А-2Р Гр15</t>
  </si>
  <si>
    <t>Гр16</t>
  </si>
  <si>
    <t>Розеточная группа 0,7 кВт</t>
  </si>
  <si>
    <t>ЭОМ_раздел_-_Kopya.pdf · s.8 raster АД12 16А-2Р Гр16</t>
  </si>
  <si>
    <t>Резерв</t>
  </si>
  <si>
    <t>YEDEK</t>
  </si>
  <si>
    <t>ЭОМ_раздел_-_Kopya.pdf · s.8 raster ВА47-29В 1П 16А</t>
  </si>
  <si>
    <t>Ввод от ВРУ (МАО-1)</t>
  </si>
  <si>
    <t>ЭОМ_раздел_-_Kopya.pdf · s.9 raster ВН-32 3П 25А; s.13 СО</t>
  </si>
  <si>
    <t>Гр1А</t>
  </si>
  <si>
    <t>Аварийное освещение 0,579 кВт</t>
  </si>
  <si>
    <t>ЭОМ_раздел_-_Kopya.pdf · s.9 raster ВА47-29В 1П 16А Гр1А</t>
  </si>
  <si>
    <t>Гр2А</t>
  </si>
  <si>
    <t>Аварийное освещение 0,759 кВт</t>
  </si>
  <si>
    <t>ЭОМ_раздел_-_Kopya.pdf · s.9 raster ВА47-29В 1П 16А Гр2А</t>
  </si>
  <si>
    <t>Гр3А</t>
  </si>
  <si>
    <t>Аварийное освещение 0,558 кВт</t>
  </si>
  <si>
    <t>ЭОМ_раздел_-_Kopya.pdf · s.9 raster ВА47-29В 1П 16А Гр3А</t>
  </si>
  <si>
    <t>Гр4А</t>
  </si>
  <si>
    <t>Аварийное освещение 0,601 кВт</t>
  </si>
  <si>
    <t>ЭОМ_раздел_-_Kopya.pdf · s.9 raster ВА47-29В 1П 16А Гр4А</t>
  </si>
  <si>
    <t>ЭОМ_раздел_-_Kopya.pdf · s.9 raster ВА47-29В 1П 16А</t>
  </si>
  <si>
    <t>BÖLÜM</t>
  </si>
  <si>
    <t>İŞLEM / KALEM</t>
  </si>
  <si>
    <t>KESİT / ÖLÇÜ</t>
  </si>
  <si>
    <t>BİRİM</t>
  </si>
  <si>
    <t>DK</t>
  </si>
  <si>
    <t>✓</t>
  </si>
  <si>
    <t>1 MALZEME HAZIRLIK</t>
  </si>
  <si>
    <t>BOM</t>
  </si>
  <si>
    <t>3 OPERASYON ROTASI</t>
  </si>
  <si>
    <t>norm grubu</t>
  </si>
  <si>
    <t>мин</t>
  </si>
  <si>
    <t>BOM W</t>
  </si>
  <si>
    <t>SABIT_AMBALAJ</t>
  </si>
  <si>
    <t>4 KABLAJ</t>
  </si>
  <si>
    <t>м</t>
  </si>
  <si>
    <t>5 SARF</t>
  </si>
  <si>
    <t>pabuç</t>
  </si>
  <si>
    <t>шт</t>
  </si>
  <si>
    <t>DEVRE AI</t>
  </si>
  <si>
    <t>yüksük</t>
  </si>
  <si>
    <t>DEVRE AJ</t>
  </si>
  <si>
    <t>numara</t>
  </si>
  <si>
    <t>DEVRE AK</t>
  </si>
  <si>
    <t>stoper</t>
  </si>
  <si>
    <t>PANO R</t>
  </si>
  <si>
    <t>kapak topraklama kablosu</t>
  </si>
  <si>
    <t>6 mm² 0,3 м</t>
  </si>
  <si>
    <t>§15</t>
  </si>
  <si>
    <t>6 RUTİN TEST (ГОСТ IEC 61439-2)</t>
  </si>
  <si>
    <t>11.2 koruma derecesi</t>
  </si>
  <si>
    <t>sabit metin</t>
  </si>
  <si>
    <t>11.3 hava/yüzey mesafeleri</t>
  </si>
  <si>
    <t>11.4 elektrik çarpmasına karşı koruma ve PE sürekliliği</t>
  </si>
  <si>
    <t>11.5 cihaz montajı</t>
  </si>
  <si>
    <t>11.6 iç devre ve bağlantılar (sıkma torku)</t>
  </si>
  <si>
    <t>11.7 dış iletken terminalleri</t>
  </si>
  <si>
    <t>11.8 mekanik çalışma</t>
  </si>
  <si>
    <t>11.9 dielektrik</t>
  </si>
  <si>
    <t>11.10 kablaj, işlev ve çalışma</t>
  </si>
  <si>
    <t>ARTIKUL</t>
  </si>
  <si>
    <t>ACIKLAMA</t>
  </si>
  <si>
    <t>TIP</t>
  </si>
  <si>
    <t>LISTE_FIYAT</t>
  </si>
  <si>
    <t>MARKA</t>
  </si>
  <si>
    <t>PARA</t>
  </si>
  <si>
    <t>KATSAYI</t>
  </si>
  <si>
    <t>NET_KZT</t>
  </si>
  <si>
    <t>BIRIM</t>
  </si>
  <si>
    <t>TOPLAM_ADET</t>
  </si>
  <si>
    <t>SIPARIS</t>
  </si>
  <si>
    <t>TOPLAM_TUTAR</t>
  </si>
  <si>
    <t>ETIKET</t>
  </si>
  <si>
    <t>MARKA_ILK</t>
  </si>
  <si>
    <t>GENISLIK_MM</t>
  </si>
  <si>
    <t>KORPUS_G_MM</t>
  </si>
  <si>
    <t>KORPUS_Y_MM</t>
  </si>
  <si>
    <t>KORPUS_D_MM</t>
  </si>
  <si>
    <t>KG_M</t>
  </si>
  <si>
    <t>KAPASITE_MOD</t>
  </si>
  <si>
    <t>SERI</t>
  </si>
  <si>
    <t>EGRI</t>
  </si>
  <si>
    <t>KACAK_MA</t>
  </si>
  <si>
    <t>KACAK_TIP</t>
  </si>
  <si>
    <t>BOBIN_V</t>
  </si>
  <si>
    <t>ALAN_MOD</t>
  </si>
  <si>
    <t>PARSE</t>
  </si>
  <si>
    <t>844326</t>
  </si>
  <si>
    <t>Авт. выкл. NXM-160S/3Р 125A 36кА</t>
  </si>
  <si>
    <t>CHINT</t>
  </si>
  <si>
    <t>CHINT2608</t>
  </si>
  <si>
    <t>birlesik.csv CHINT2608 · 844326</t>
  </si>
  <si>
    <t>NXM</t>
  </si>
  <si>
    <t>TAM</t>
  </si>
  <si>
    <t>816141</t>
  </si>
  <si>
    <t>Авт. выкл. NXB-125 3P 100A 10кА х-ка C</t>
  </si>
  <si>
    <t>birlesik.csv CHINT2608 · 816141</t>
  </si>
  <si>
    <t>NXB-125</t>
  </si>
  <si>
    <t>C</t>
  </si>
  <si>
    <t>814012</t>
  </si>
  <si>
    <t>Авт. выкл. NXB-63 1P 6A 6кА х-ка C</t>
  </si>
  <si>
    <t>birlesik.csv CHINT2608 · 814012</t>
  </si>
  <si>
    <t>NXB-63</t>
  </si>
  <si>
    <t>814013</t>
  </si>
  <si>
    <t>Авт. выкл. NXB-63 1P 10A 6кА х-ка C</t>
  </si>
  <si>
    <t>birlesik.csv CHINT2608 · 814013</t>
  </si>
  <si>
    <t>814014</t>
  </si>
  <si>
    <t>Авт. выкл. NXB-63 1P 16A 6кА х-ка C</t>
  </si>
  <si>
    <t>birlesik.csv CHINT2608 · 814014</t>
  </si>
  <si>
    <t>814169</t>
  </si>
  <si>
    <t>Авт. выкл. NXB-63 3P 10A 6кА х-ка C</t>
  </si>
  <si>
    <t>birlesik.csv CHINT2608 · 814169</t>
  </si>
  <si>
    <t>814172</t>
  </si>
  <si>
    <t>Авт. выкл. NXB-63 3P 25A 6кА х-ка C</t>
  </si>
  <si>
    <t>birlesik.csv CHINT2608 · 814172</t>
  </si>
  <si>
    <t>814173</t>
  </si>
  <si>
    <t>Авт. выкл. NXB-63 3P 32A 6кА х-ка C</t>
  </si>
  <si>
    <t>birlesik.csv CHINT2608 · 814173</t>
  </si>
  <si>
    <t>814174</t>
  </si>
  <si>
    <t>Авт. выкл. NXB-63 3P 40A 6кА х-ка C</t>
  </si>
  <si>
    <t>birlesik.csv CHINT2608 · 814174</t>
  </si>
  <si>
    <t>814175</t>
  </si>
  <si>
    <t>Авт. выкл. NXB-63 3P 50A 6кА х-ка C</t>
  </si>
  <si>
    <t>birlesik.csv CHINT2608 · 814175</t>
  </si>
  <si>
    <t>296697</t>
  </si>
  <si>
    <t>Авт. выкл. NXB-63S 1P 16А 4.5kA х-ка B</t>
  </si>
  <si>
    <t>birlesik.csv CHINT2608 · 296697</t>
  </si>
  <si>
    <t>NXB-63S</t>
  </si>
  <si>
    <t>B</t>
  </si>
  <si>
    <t>819977</t>
  </si>
  <si>
    <t>Диф. авт. выкл. NXBLE-63 2P C16 30mA тип AC 6kA</t>
  </si>
  <si>
    <t>birlesik.csv CHINT2608 · 819977</t>
  </si>
  <si>
    <t>NXBLE-63</t>
  </si>
  <si>
    <t>AC</t>
  </si>
  <si>
    <t>982161</t>
  </si>
  <si>
    <t>Диф. авт. выкл. NXBLE-63 4P C40 30mA тип AC 6kA</t>
  </si>
  <si>
    <t>birlesik.csv CHINT2608 · 982161</t>
  </si>
  <si>
    <t>4P</t>
  </si>
  <si>
    <t>193183</t>
  </si>
  <si>
    <t>Выключатель нагрузки NXHB-125 3P 63A</t>
  </si>
  <si>
    <t>birlesik.csv CHINT2608 · 193183</t>
  </si>
  <si>
    <t>NXHB-125</t>
  </si>
  <si>
    <t>193185</t>
  </si>
  <si>
    <t>Выключатель нагрузки NXHB-125 3P 100A</t>
  </si>
  <si>
    <t>birlesik.csv CHINT2608 · 193185</t>
  </si>
  <si>
    <t>263761</t>
  </si>
  <si>
    <t>Механическая блокировка MI-9 для NXC-120-225</t>
  </si>
  <si>
    <t>birlesik.csv CHINT2608 · 263761</t>
  </si>
  <si>
    <t>MI-9</t>
  </si>
  <si>
    <t>310008</t>
  </si>
  <si>
    <t>Реле контроля фаз NJB1-X AC380V</t>
  </si>
  <si>
    <t>birlesik.csv CHINT2608 · 310008</t>
  </si>
  <si>
    <t>NJB1-X</t>
  </si>
  <si>
    <t>811001</t>
  </si>
  <si>
    <t>Шина соединительная типа PIN 2P, 63А, L=1000мм</t>
  </si>
  <si>
    <t>birlesik.csv CHINT2608 · 811001</t>
  </si>
  <si>
    <t>811002</t>
  </si>
  <si>
    <t>Шина соединительная типа PIN 3P, 63А, L=1000мм</t>
  </si>
  <si>
    <t>birlesik.csv CHINT2608 · 811002</t>
  </si>
  <si>
    <t>811008</t>
  </si>
  <si>
    <t>Шина соединительная типа FORK 1P, 63А, L=1000мм</t>
  </si>
  <si>
    <t>birlesik.csv CHINT2608 · 811008</t>
  </si>
  <si>
    <t>989-190-0114</t>
  </si>
  <si>
    <t>Счет.элек Меркурий 3ф 5 (7,5)A 230 ART-03 PQRSIDN многотариф/трансф</t>
  </si>
  <si>
    <t>KAZTEK</t>
  </si>
  <si>
    <t>KAZTEK2607</t>
  </si>
  <si>
    <t>birlesik.csv KAZTEK2607 · 989-190-0114</t>
  </si>
  <si>
    <t>Меркурий 230 ART-03</t>
  </si>
  <si>
    <t>ст-9951729</t>
  </si>
  <si>
    <t>Трансформатор тока ТТИ-А 125\5А 5ВА кл.т.0,5 IEK</t>
  </si>
  <si>
    <t>EKT</t>
  </si>
  <si>
    <t>EKT2506</t>
  </si>
  <si>
    <t>birlesik.csv EKT2506 · ст-9951729</t>
  </si>
  <si>
    <t>ТТИ-А 125/5</t>
  </si>
  <si>
    <t>719-15696</t>
  </si>
  <si>
    <t>Shit 2000x800x450+100mm</t>
  </si>
  <si>
    <t>birlesik.csv KAZTEK2607 · 719-15696</t>
  </si>
  <si>
    <t>KISMI</t>
  </si>
  <si>
    <t>714-15070</t>
  </si>
  <si>
    <t>Щит мет.ЩРн-36 б/o (540х310х120) S/U 36 IP54</t>
  </si>
  <si>
    <t>birlesik.csv KAZTEK2607 · 714-15070</t>
  </si>
  <si>
    <t>713-15050</t>
  </si>
  <si>
    <t>Met. Щит Щит ЩРв инд (1000х500х180mm) S/A IP31</t>
  </si>
  <si>
    <t>birlesik.csv KAZTEK2607 · 713-15050</t>
  </si>
  <si>
    <t>713-15052</t>
  </si>
  <si>
    <t>Met. Щит Щит ЩРв инд (1150х500х180mm) S/A IP31</t>
  </si>
  <si>
    <t>birlesik.csv KAZTEK2607 · 713-15052</t>
  </si>
  <si>
    <t>713-15040</t>
  </si>
  <si>
    <t>Мет.Щит ЩРВ-7-3 S/A 700x300x150мм IP31</t>
  </si>
  <si>
    <t>birlesik.csv KAZTEK2607 · 713-15040</t>
  </si>
  <si>
    <t>713-09054</t>
  </si>
  <si>
    <t>Щит мет.ЩРв-18 (275х450х120)</t>
  </si>
  <si>
    <t>birlesik.csv KAZTEK2607 · 713-09054</t>
  </si>
  <si>
    <t>130300223</t>
  </si>
  <si>
    <t>ЗНИ 2.5мм ² (24А) серый IEK</t>
  </si>
  <si>
    <t>birlesik.csv EKT2506 · 130300223</t>
  </si>
  <si>
    <t>ЗНИ</t>
  </si>
  <si>
    <t>130300041</t>
  </si>
  <si>
    <t>ЗНИ 4мм ² (35А) серый IEK</t>
  </si>
  <si>
    <t>birlesik.csv EKT2506 · 130300041</t>
  </si>
  <si>
    <t>130300042</t>
  </si>
  <si>
    <t>ЗНИ 6мм ² серый IEK</t>
  </si>
  <si>
    <t>birlesik.csv EKT2506 · 130300042</t>
  </si>
  <si>
    <t>130300039</t>
  </si>
  <si>
    <t>ЗНИ 10мм ² (70А) серый IEK</t>
  </si>
  <si>
    <t>birlesik.csv EKT2506 · 130300039</t>
  </si>
  <si>
    <t>5130300225</t>
  </si>
  <si>
    <t>Зажим наборный ЗНИ - 4PEN 4мм2 (JXB-земля) IEK</t>
  </si>
  <si>
    <t>birlesik.csv EKT2506 · 5130300225</t>
  </si>
  <si>
    <t>ЗНИ PEN</t>
  </si>
  <si>
    <t>130300227</t>
  </si>
  <si>
    <t>ЗНИ 10PEN 10мм2 (JXB-земля) IEK E-PRO</t>
  </si>
  <si>
    <t>birlesik.csv EKT2506 · 130300227</t>
  </si>
  <si>
    <t>151.01.PV3.01,5</t>
  </si>
  <si>
    <t>HARMONY ПВ3 1 1,5</t>
  </si>
  <si>
    <t>HARMONY</t>
  </si>
  <si>
    <t>birlesik.csv HARMONY · 151.01.PV3.01,5</t>
  </si>
  <si>
    <t>151.01.PV3.02,5</t>
  </si>
  <si>
    <t>HARMONY ПВ3 1 2,5</t>
  </si>
  <si>
    <t>birlesik.csv HARMONY · 151.01.PV3.02,5</t>
  </si>
  <si>
    <t>151.01.PV3.04</t>
  </si>
  <si>
    <t>HARMONY ПВ3 1 4</t>
  </si>
  <si>
    <t>birlesik.csv HARMONY · 151.01.PV3.04</t>
  </si>
  <si>
    <t>151.01.PV3.06</t>
  </si>
  <si>
    <t>HARMONY ПВ3 1 6</t>
  </si>
  <si>
    <t>birlesik.csv HARMONY · 151.01.PV3.06</t>
  </si>
  <si>
    <t>151.01.PV3.10</t>
  </si>
  <si>
    <t>HARMONY ПВ3 1 10</t>
  </si>
  <si>
    <t>birlesik.csv HARMONY · 151.01.PV3.10</t>
  </si>
  <si>
    <t>151.01.PV3.16</t>
  </si>
  <si>
    <t>HARMONY ПВ3 1 16</t>
  </si>
  <si>
    <t>birlesik.csv HARMONY · 151.01.PV3.16</t>
  </si>
  <si>
    <t>151.01.PV3.25</t>
  </si>
  <si>
    <t>HARMONY ПВ3 1 25</t>
  </si>
  <si>
    <t>birlesik.csv HARMONY · 151.01.PV3.25</t>
  </si>
  <si>
    <t>151.01.PV3.35</t>
  </si>
  <si>
    <t>HARMONY ПВ3 1 35</t>
  </si>
  <si>
    <t>birlesik.csv HARMONY · 151.01.PV3.35</t>
  </si>
  <si>
    <t>EKT-280300704</t>
  </si>
  <si>
    <t>280300704</t>
  </si>
  <si>
    <t>Лоток перфорированный 50х 50х3000 (0,7 мм) EKT</t>
  </si>
  <si>
    <t>birlesik.csv EKT2506 · 280300704</t>
  </si>
  <si>
    <t>EKT-280300718</t>
  </si>
  <si>
    <t>280300718</t>
  </si>
  <si>
    <t>Крышка на лоток осн. 50мм. (0,6 мм) EKT</t>
  </si>
  <si>
    <t>birlesik.csv EKT2506 · 280300718</t>
  </si>
  <si>
    <t>Контактор 3P 125A AC-3 230V</t>
  </si>
  <si>
    <t>CHINT listesinde 125A AC-3 yok; alt: NXC-160 220V 836515 / NXC-120 220V 836511</t>
  </si>
  <si>
    <t>Выключатель нагрузки 3P 25A</t>
  </si>
  <si>
    <t>NXHB-125 3P 25A yok; alt: NXHB-125 3P 32A 193181</t>
  </si>
  <si>
    <t>Светильник ЛПО 2001 8Вт</t>
  </si>
  <si>
    <t>fiyat listelerinde yok</t>
  </si>
  <si>
    <t>Монтажная работа</t>
  </si>
  <si>
    <t>BLOK 3</t>
  </si>
  <si>
    <t>Монтажный материал</t>
  </si>
  <si>
    <t>тг</t>
  </si>
  <si>
    <t>BARA-CU-3X15</t>
  </si>
  <si>
    <t>Шина медн 3*15*4000</t>
  </si>
  <si>
    <t>шина</t>
  </si>
  <si>
    <t>BAKIR-BARA</t>
  </si>
  <si>
    <t>METAL</t>
  </si>
  <si>
    <t>BARA_TABLO</t>
  </si>
  <si>
    <t>BARA-AL-3X15</t>
  </si>
  <si>
    <t>Шина алюм АД31Т 3*15*4000</t>
  </si>
  <si>
    <t>ALUM-BARA</t>
  </si>
  <si>
    <t>BARA-CU-3X20</t>
  </si>
  <si>
    <t>Шина медн 3*20*4000</t>
  </si>
  <si>
    <t>BARA-AL-3X20</t>
  </si>
  <si>
    <t>Шина алюм АД31Т 3*20*4000</t>
  </si>
  <si>
    <t>BARA-CU-3X25</t>
  </si>
  <si>
    <t>Шина медн 3*25*4000</t>
  </si>
  <si>
    <t>BARA-AL-3X25</t>
  </si>
  <si>
    <t>Шина алюм АД31Т 3*25*4000</t>
  </si>
  <si>
    <t>BARA-CU-4X30</t>
  </si>
  <si>
    <t>Шина медн 4*30*4000</t>
  </si>
  <si>
    <t>BARA-AL-4X30</t>
  </si>
  <si>
    <t>Шина алюм АД31Т 4*30*4000</t>
  </si>
  <si>
    <t>BARA-CU-4X40</t>
  </si>
  <si>
    <t>Шина медн 4*40*4000</t>
  </si>
  <si>
    <t>BARA-AL-4X40</t>
  </si>
  <si>
    <t>Шина алюм АД31Т 4*40*4000</t>
  </si>
  <si>
    <t>BARA-CU-5X40</t>
  </si>
  <si>
    <t>Шина медн 5*40*4000</t>
  </si>
  <si>
    <t>BARA-AL-5X40</t>
  </si>
  <si>
    <t>Шина алюм АД31Т 5*40*4000</t>
  </si>
  <si>
    <t>BARA-CU-5X50</t>
  </si>
  <si>
    <t>Шина медн 5*50*4000</t>
  </si>
  <si>
    <t>BARA-AL-5X50</t>
  </si>
  <si>
    <t>Шина алюм АД31Т 5*50*4000</t>
  </si>
  <si>
    <t>BARA-CU-6X50</t>
  </si>
  <si>
    <t>Шина медн 6*50*4000</t>
  </si>
  <si>
    <t>BARA-AL-6X50</t>
  </si>
  <si>
    <t>Шина алюм АД31Т 6*50*4000</t>
  </si>
  <si>
    <t>BARA-CU-6X60</t>
  </si>
  <si>
    <t>Шина медн 6*60*4000</t>
  </si>
  <si>
    <t>BARA-AL-6X60</t>
  </si>
  <si>
    <t>Шина алюм АД31Т 6*60*4000</t>
  </si>
  <si>
    <t>BARA-CU-6X80</t>
  </si>
  <si>
    <t>Шина медн 6*80*4000</t>
  </si>
  <si>
    <t>BARA-AL-6X80</t>
  </si>
  <si>
    <t>Шина алюм АД31Т 6*80*4000</t>
  </si>
  <si>
    <t>BARA-CU-6X100</t>
  </si>
  <si>
    <t>Шина медн 6*100*4000</t>
  </si>
  <si>
    <t>BARA-AL-6X100</t>
  </si>
  <si>
    <t>Шина алюм АД31Т 6*100*4000</t>
  </si>
  <si>
    <t>BARA-CU-8X60</t>
  </si>
  <si>
    <t>Шина медн 8*60*4000</t>
  </si>
  <si>
    <t>BARA-AL-8X60</t>
  </si>
  <si>
    <t>Шина алюм АД31Т 8*60*4000</t>
  </si>
  <si>
    <t>BARA-CU-8X80</t>
  </si>
  <si>
    <t>Шина медн 8*80*4000</t>
  </si>
  <si>
    <t>BARA-AL-8X80</t>
  </si>
  <si>
    <t>Шина алюм АД31Т 8*80*4000</t>
  </si>
  <si>
    <t>BARA-CU-8X100</t>
  </si>
  <si>
    <t>Шина медн 8*100*4000</t>
  </si>
  <si>
    <t>BARA-AL-8X100</t>
  </si>
  <si>
    <t>Шина алюм АД31Т 8*100*4000</t>
  </si>
  <si>
    <t>BARA-CU-8X120</t>
  </si>
  <si>
    <t>Шина медн 8*120*4000</t>
  </si>
  <si>
    <t>BARA-AL-8X120</t>
  </si>
  <si>
    <t>Шина алюм АД31Т 8*120*4000</t>
  </si>
  <si>
    <t>BARA-CU-10X60</t>
  </si>
  <si>
    <t>Шина медн 10*60*4000</t>
  </si>
  <si>
    <t>BARA-AL-10X60</t>
  </si>
  <si>
    <t>Шина алюм АД31Т 10*60*4000</t>
  </si>
  <si>
    <t>BARA-CU-10X80</t>
  </si>
  <si>
    <t>Шина медн 10*80*4000</t>
  </si>
  <si>
    <t>BARA-AL-10X80</t>
  </si>
  <si>
    <t>Шина алюм АД31Т 10*80*4000</t>
  </si>
  <si>
    <t>BARA-CU-10X100</t>
  </si>
  <si>
    <t>Шина медн 10*100*4000</t>
  </si>
  <si>
    <t>BARA-AL-10X100</t>
  </si>
  <si>
    <t>Шина алюм АД31Т 10*100*4000</t>
  </si>
  <si>
    <t>BARA-CU-10X120</t>
  </si>
  <si>
    <t>Шина медн 10*120*4000</t>
  </si>
  <si>
    <t>BARA-AL-10X120</t>
  </si>
  <si>
    <t>Шина алюм АД31Т 10*120*4000</t>
  </si>
  <si>
    <t>BLOK 0 · META</t>
  </si>
  <si>
    <t>ROBOT_SURUM</t>
  </si>
  <si>
    <t>v19.2</t>
  </si>
  <si>
    <t>MOD</t>
  </si>
  <si>
    <t>TEK</t>
  </si>
  <si>
    <t>URETIM_ZAMANI</t>
  </si>
  <si>
    <t>2026-09-16T12:07:16</t>
  </si>
  <si>
    <t>BIRLESIK_TARIH</t>
  </si>
  <si>
    <t>2026-08-27</t>
  </si>
  <si>
    <t>BIRLESIK_SATIR</t>
  </si>
  <si>
    <t>BIRLESIK_SHA1</t>
  </si>
  <si>
    <t>457fb82edac4</t>
  </si>
  <si>
    <t>MUADIL_SURUM</t>
  </si>
  <si>
    <t>GIRDI_1</t>
  </si>
  <si>
    <t>ЭОМ_раздел_-_Kopya.pdf · 13 s. · 7f3c4d6bd3a6</t>
  </si>
  <si>
    <t>ONCEKI_DOSYA</t>
  </si>
  <si>
    <t>BETIK_KAYNAK</t>
  </si>
  <si>
    <t>OTURUM</t>
  </si>
  <si>
    <t>QA_HATA</t>
  </si>
  <si>
    <t>qa.py + validate.py düzeltilemeyen hata</t>
  </si>
  <si>
    <t>BLOK 1 · KUR VE SABİTLER</t>
  </si>
  <si>
    <t>KUR</t>
  </si>
  <si>
    <t>TARIH</t>
  </si>
  <si>
    <t>TEYITLI</t>
  </si>
  <si>
    <t>EUR</t>
  </si>
  <si>
    <t>USD</t>
  </si>
  <si>
    <t>TRY</t>
  </si>
  <si>
    <t>RAPOR_TARIHI</t>
  </si>
  <si>
    <t>GUN_AY</t>
  </si>
  <si>
    <t>DK_SAAT</t>
  </si>
  <si>
    <t>BLOK 2 · MARKA</t>
  </si>
  <si>
    <t>KAT1</t>
  </si>
  <si>
    <t>KAT2</t>
  </si>
  <si>
    <t>GIRDI_TIPI</t>
  </si>
  <si>
    <t>FIYAT_IZNI</t>
  </si>
  <si>
    <t>GRUP</t>
  </si>
  <si>
    <t>ON</t>
  </si>
  <si>
    <t>ABB</t>
  </si>
  <si>
    <t>LISTE</t>
  </si>
  <si>
    <t>standart</t>
  </si>
  <si>
    <t>ABB-ACIK</t>
  </si>
  <si>
    <t>ayar sahalı</t>
  </si>
  <si>
    <t>SCHNEIDER</t>
  </si>
  <si>
    <t>SE</t>
  </si>
  <si>
    <t>TR listesi</t>
  </si>
  <si>
    <t>LEGRAND</t>
  </si>
  <si>
    <t>LEG</t>
  </si>
  <si>
    <t>katsayı teyitsiz</t>
  </si>
  <si>
    <t>0.60 DEĞİL</t>
  </si>
  <si>
    <t>SAIMAN</t>
  </si>
  <si>
    <t>liste tarihi bilinmiyor</t>
  </si>
  <si>
    <t>IEK</t>
  </si>
  <si>
    <t>kaynak yok</t>
  </si>
  <si>
    <t>EKF</t>
  </si>
  <si>
    <t>yalnız referans</t>
  </si>
  <si>
    <t>CNC</t>
  </si>
  <si>
    <t>KLEMSAN</t>
  </si>
  <si>
    <t>2022 verisi</t>
  </si>
  <si>
    <t>BARA</t>
  </si>
  <si>
    <t>MUADIL-NET</t>
  </si>
  <si>
    <t>NET</t>
  </si>
  <si>
    <t>MUADIL</t>
  </si>
  <si>
    <t>işçilik, montaj malz.</t>
  </si>
  <si>
    <t>BLOK 3 · İŞÇİLİK</t>
  </si>
  <si>
    <t>ISCILIK_DK_UCRETI</t>
  </si>
  <si>
    <t>ISCILIK_CARPANI</t>
  </si>
  <si>
    <t>OGRENME_ORANI</t>
  </si>
  <si>
    <t>MONTAJ_MALZ_ORANI</t>
  </si>
  <si>
    <t>NORM</t>
  </si>
  <si>
    <t>NORM_AD</t>
  </si>
  <si>
    <t>dk</t>
  </si>
  <si>
    <t>MCB_2P</t>
  </si>
  <si>
    <t>MCB_4P</t>
  </si>
  <si>
    <t>UZO_2P</t>
  </si>
  <si>
    <t>UZO_4P</t>
  </si>
  <si>
    <t>MCCB_4P_250</t>
  </si>
  <si>
    <t>MCCB_3P_1600</t>
  </si>
  <si>
    <t>PABUC_YUKSUK</t>
  </si>
  <si>
    <t>MCCB_ANA</t>
  </si>
  <si>
    <t>RUBILNIK</t>
  </si>
  <si>
    <t>OPN_SPD</t>
  </si>
  <si>
    <t>SIGORTA_YUVASI</t>
  </si>
  <si>
    <t>TERMIK</t>
  </si>
  <si>
    <t>ROLE</t>
  </si>
  <si>
    <t>ZAMAN_ROLESI</t>
  </si>
  <si>
    <t>LAMBA_BUTON</t>
  </si>
  <si>
    <t>MCCB_3P_630</t>
  </si>
  <si>
    <t>MCCB_4P_630</t>
  </si>
  <si>
    <t>MCCB_4P_1600</t>
  </si>
  <si>
    <t>IMPULS</t>
  </si>
  <si>
    <t>TERMOSTAT_FAN</t>
  </si>
  <si>
    <t>KUMANDA_TRAFO_PSU</t>
  </si>
  <si>
    <t>BARA_M</t>
  </si>
  <si>
    <t>IZOLATOR_BARA</t>
  </si>
  <si>
    <t>PEN_KOPRU</t>
  </si>
  <si>
    <t>KUMANDA_KEYS</t>
  </si>
  <si>
    <t>KEY</t>
  </si>
  <si>
    <t>BLOK 6 · OTOMATİK HESAP PARAMETRELERİ</t>
  </si>
  <si>
    <t>BARA_T_ORTAM</t>
  </si>
  <si>
    <t>BARA_T_ILETKEN</t>
  </si>
  <si>
    <t>BARA_T_NORM</t>
  </si>
  <si>
    <t>BARA_FIRE</t>
  </si>
  <si>
    <t>BARA_N_ORANI</t>
  </si>
  <si>
    <t>BARA_PE_ORANI</t>
  </si>
  <si>
    <t>BARA_PE_MIN_MM2</t>
  </si>
  <si>
    <t>BARA_KOPRU_M</t>
  </si>
  <si>
    <t>BARA_BOY_M</t>
  </si>
  <si>
    <t>BARA_KENAR_PAY_M</t>
  </si>
  <si>
    <t>BARA_DIKEY_PAY_M</t>
  </si>
  <si>
    <t>BARA_IZOLATOR_ARALIK_M</t>
  </si>
  <si>
    <t>KOPRU_KABLO_MAX_A</t>
  </si>
  <si>
    <t>TARAK_MOD_ADET</t>
  </si>
  <si>
    <t>TARAK_MAX_A</t>
  </si>
  <si>
    <t>TARAK_MIN_CIHAZ</t>
  </si>
  <si>
    <t>PABUC_ESIK_MM2</t>
  </si>
  <si>
    <t>YUKSUK_ESIK_MM2</t>
  </si>
  <si>
    <t>YUKSUK_FIRE</t>
  </si>
  <si>
    <t>MODUL_GENISLIK_MM</t>
  </si>
  <si>
    <t>SIRA_ARALIK_MM</t>
  </si>
  <si>
    <t>KORPUS_IC_PAY_M</t>
  </si>
  <si>
    <t>DOLULUK_UYARI</t>
  </si>
  <si>
    <t>DOLULUK_MAX</t>
  </si>
  <si>
    <t>FAN_ESIK_A</t>
  </si>
  <si>
    <t>SAYAC_OPN_ESIK_A</t>
  </si>
  <si>
    <t>SELEKTIVITE_ORANI</t>
  </si>
  <si>
    <t>KUMANDA_KA_MIN</t>
  </si>
  <si>
    <t>KABLO_FIRE</t>
  </si>
  <si>
    <t>KABLO_M_MODULER</t>
  </si>
  <si>
    <t>KABLO_M_MCCB</t>
  </si>
  <si>
    <t>KABLO_M_SAYAC</t>
  </si>
  <si>
    <t>KABLO_M_AT</t>
  </si>
  <si>
    <t>KABLO_M_KUMANDA</t>
  </si>
  <si>
    <t>KABLO_MAX_A</t>
  </si>
  <si>
    <t>KUMANDA_KESIT</t>
  </si>
  <si>
    <t>OLCU_KESIT</t>
  </si>
  <si>
    <t>SINYAL_KLEMENS_KESIT</t>
  </si>
  <si>
    <t>KLEMENS_YEDEK</t>
  </si>
  <si>
    <t>KLEMENS_MIN_YEDEK</t>
  </si>
  <si>
    <t>KLEMENS_RAY_PAY</t>
  </si>
  <si>
    <t>NPE_YOLU</t>
  </si>
  <si>
    <t>DINRAY_FIRE</t>
  </si>
  <si>
    <t>KANAL_FIRE</t>
  </si>
  <si>
    <t>KANAL_ESIK1_MOD</t>
  </si>
  <si>
    <t>KANAL_ESIK2_MOD</t>
  </si>
  <si>
    <t>KANAL_KOD_KUCUK</t>
  </si>
  <si>
    <t>KANAL_KAPAK_KOD_KUCUK</t>
  </si>
  <si>
    <t>KANAL_KOD_ORTA</t>
  </si>
  <si>
    <t>KANAL_KOD_BUYUK</t>
  </si>
  <si>
    <t>KANAL_KAPAK_KOD_ORTA</t>
  </si>
  <si>
    <t>KANAL_KAPAK_KOD_BUYUK</t>
  </si>
  <si>
    <t>DINRAY_KOD</t>
  </si>
  <si>
    <t>GZS_KOD</t>
  </si>
  <si>
    <t>NOTR_BARA_KOD</t>
  </si>
  <si>
    <t>PEN_KOPRU_KOD</t>
  </si>
  <si>
    <t>GRUP_BESLEME_KESIT</t>
  </si>
  <si>
    <t>GRUP_BESLEME_M</t>
  </si>
  <si>
    <t>BARA_DERATING</t>
  </si>
  <si>
    <t>BLOK 7 · TİCARİ</t>
  </si>
  <si>
    <t>TEKLIF_NO</t>
  </si>
  <si>
    <t>MUSTERI</t>
  </si>
  <si>
    <t>Rahmi</t>
  </si>
  <si>
    <t>PROJE</t>
  </si>
  <si>
    <t>ФОК с. Елтай, Индерский р-н, Атырауская обл. (01-2024-ЭОМ)</t>
  </si>
  <si>
    <t>ADRES</t>
  </si>
  <si>
    <t>с. Елтай, Атырауская обл.</t>
  </si>
  <si>
    <t>PARA_BIRIMI</t>
  </si>
  <si>
    <t>KAR_ORANI</t>
  </si>
  <si>
    <t>ISKONTO</t>
  </si>
  <si>
    <t>NDS_ORANI</t>
  </si>
  <si>
    <t>TEKLIF_YUVARLAMA</t>
  </si>
  <si>
    <t>TEKLIF_GECERLILIK</t>
  </si>
  <si>
    <t>URETIM_SURESI</t>
  </si>
  <si>
    <t>ODEME_SARTI</t>
  </si>
  <si>
    <t>GARANTI</t>
  </si>
  <si>
    <t>BLOK 8 · MALİYET</t>
  </si>
  <si>
    <t>AMBALAJ_KZT_PANO</t>
  </si>
  <si>
    <t>GENEL_GIDER_ORANI</t>
  </si>
  <si>
    <t>NAKLIYE_KZT</t>
  </si>
  <si>
    <t>TEST_SERTIFIKA_KZT</t>
  </si>
  <si>
    <t>DOKUMAN_KZT</t>
  </si>
  <si>
    <t>FINANSMAN_ORANI</t>
  </si>
  <si>
    <t>GARANTI_ORANI</t>
  </si>
  <si>
    <t>BLOK 9 · METAL</t>
  </si>
  <si>
    <t>BAKIR_KG_USD</t>
  </si>
  <si>
    <t>ALUM_KG_USD</t>
  </si>
  <si>
    <t>METAL_TARIH</t>
  </si>
  <si>
    <t>BARA_ISLEM_KAT</t>
  </si>
  <si>
    <t>CU_YOGUNLUK</t>
  </si>
  <si>
    <t>AL_YOGUNLUK</t>
  </si>
  <si>
    <t>BAKIR_KG_KZT</t>
  </si>
  <si>
    <t>ALUM_KG_KZT</t>
  </si>
  <si>
    <t>ZORUNLU_PARAM</t>
  </si>
  <si>
    <t>ZP_AD</t>
  </si>
  <si>
    <t>ZP_BOS</t>
  </si>
  <si>
    <t>BLOK 4 · FİYAT LİSTESİ YAŞI</t>
  </si>
  <si>
    <t>YAS_ESKI_AY</t>
  </si>
  <si>
    <t>YAS_YASAK_AY</t>
  </si>
  <si>
    <t>YAS_UYARI_GUN</t>
  </si>
  <si>
    <t>DOSYA</t>
  </si>
  <si>
    <t>KAYIT_DURUM</t>
  </si>
  <si>
    <t>YAS_AY</t>
  </si>
  <si>
    <t>YAS_DURUM</t>
  </si>
  <si>
    <t>260827_chint_price_Остатки_и_доступность_товаров_с_ценой_для_рассылки_XLSX.xlsx</t>
  </si>
  <si>
    <t>ok</t>
  </si>
  <si>
    <t>2607_15_Kaztek_pano_fiyat_listesi.XLSX</t>
  </si>
  <si>
    <t>KAZTEK/TEKSAN</t>
  </si>
  <si>
    <t>Harmony_Кабель_Прайс_лист.pdf</t>
  </si>
  <si>
    <t>HARMONY kablo</t>
  </si>
  <si>
    <t>uyari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</si>
  <si>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</si>
  <si>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</si>
  <si>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</si>
  <si>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</si>
  <si>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</si>
  <si>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</si>
  <si>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</si>
  <si>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</si>
  <si>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</si>
  <si>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yasak</t>
  </si>
  <si>
    <t>KLEMSAN2211</t>
  </si>
  <si>
    <t>CNC2502</t>
  </si>
  <si>
    <t>BLOK 9</t>
  </si>
  <si>
    <t>—</t>
  </si>
  <si>
    <t>muadil tablosu</t>
  </si>
  <si>
    <t>BLOK 10 · BARA_TABLO (ПУЭ 1.3.31)</t>
  </si>
  <si>
    <t>KOD_CU</t>
  </si>
  <si>
    <t>KOD_AL</t>
  </si>
  <si>
    <t>t</t>
  </si>
  <si>
    <t>w</t>
  </si>
  <si>
    <t>MM2</t>
  </si>
  <si>
    <t>CU_KGM</t>
  </si>
  <si>
    <t>AL_KGM</t>
  </si>
  <si>
    <t>CU_A</t>
  </si>
  <si>
    <t>CU2_A</t>
  </si>
  <si>
    <t>AL_A</t>
  </si>
  <si>
    <t>AL2_A</t>
  </si>
  <si>
    <t>BLOK 11 · BARA_SIRALI_CU</t>
  </si>
  <si>
    <t>SERIT</t>
  </si>
  <si>
    <t>MM2T</t>
  </si>
  <si>
    <t>A</t>
  </si>
  <si>
    <t>CUMMAX</t>
  </si>
  <si>
    <t>BLOK 11 · BARA_SIRALI_AL</t>
  </si>
  <si>
    <t>BLOK 12 · KABLO_TABLO (ПуГВ)</t>
  </si>
  <si>
    <t>IN_ALT</t>
  </si>
  <si>
    <t>KABLO_KESIT_LIST</t>
  </si>
  <si>
    <t>BLOK 13 · KLEMENS_TABLO</t>
  </si>
  <si>
    <t>ALT</t>
  </si>
  <si>
    <t>KLEM</t>
  </si>
  <si>
    <t>MM</t>
  </si>
  <si>
    <t>KLEMENS_KESIT_LIST</t>
  </si>
  <si>
    <t>BLOK 14 · STANDART_IN</t>
  </si>
  <si>
    <t>IN</t>
  </si>
  <si>
    <t>BLOK 15 · DURUM</t>
  </si>
  <si>
    <t>KAPSAM_DISI</t>
  </si>
  <si>
    <t>OKUNAMADI</t>
  </si>
  <si>
    <t>FIYAT_ESKI</t>
  </si>
  <si>
    <t>OK</t>
  </si>
  <si>
    <t>SARTLI_LIST</t>
  </si>
  <si>
    <t>KULLANICI</t>
  </si>
  <si>
    <t>VISION_ONAY</t>
  </si>
  <si>
    <t>YORUM</t>
  </si>
  <si>
    <t>TIP_LIST</t>
  </si>
  <si>
    <t>УЗО</t>
  </si>
  <si>
    <t>İmpuls</t>
  </si>
  <si>
    <t>Röle Altlığı</t>
  </si>
  <si>
    <t>Sinyal Lambası</t>
  </si>
  <si>
    <t>buton</t>
  </si>
  <si>
    <t>termik</t>
  </si>
  <si>
    <t>blok</t>
  </si>
  <si>
    <t>opn</t>
  </si>
  <si>
    <t>fu</t>
  </si>
  <si>
    <t>шинодержатель</t>
  </si>
  <si>
    <t>ALAN_TIP_LIST</t>
  </si>
  <si>
    <t>DEVRE_TIPI_LIST</t>
  </si>
  <si>
    <t>KUTUP_AD_LIST</t>
  </si>
  <si>
    <t>1P+N</t>
  </si>
  <si>
    <t>3P+N</t>
  </si>
  <si>
    <t>AD</t>
  </si>
  <si>
    <t>RU</t>
  </si>
  <si>
    <t>навесной</t>
  </si>
  <si>
    <t>встраиваемый</t>
  </si>
  <si>
    <t>напольный</t>
  </si>
  <si>
    <t>BLOK 16 · PİLOT</t>
  </si>
  <si>
    <t>PILOT_ADET_ESIK</t>
  </si>
  <si>
    <t>PILOT_TUTAR_ESIK</t>
  </si>
  <si>
    <t>PILOT_RECALL_ESIK</t>
  </si>
  <si>
    <t>PILOT_PRECISION_ESIK</t>
  </si>
  <si>
    <t>PILOT_ARTIKUL_ESIK</t>
  </si>
  <si>
    <t>BLOK 17 · SÜTUN EŞLEŞTİRME</t>
  </si>
  <si>
    <t>KAYNAK_SUTUN | ANLAM | HEDEF — bu projede kullanılmadı (PDF girdi)</t>
  </si>
  <si>
    <t>TUR</t>
  </si>
  <si>
    <t>REF</t>
  </si>
  <si>
    <t>KONU</t>
  </si>
  <si>
    <t>ESKI / ALTERNATIF</t>
  </si>
  <si>
    <t>YENI / SECILEN</t>
  </si>
  <si>
    <t>KANIT</t>
  </si>
  <si>
    <t>AKSIYON</t>
  </si>
  <si>
    <t>TUTAR_KZT</t>
  </si>
  <si>
    <t>SAYFA</t>
  </si>
  <si>
    <t>ЭОМ_раздел_-_Kopya.pdf s.1</t>
  </si>
  <si>
    <t>Общие данные (л.1)</t>
  </si>
  <si>
    <t>ведомость, тех. показатели, общие указания</t>
  </si>
  <si>
    <t>OKUNDU</t>
  </si>
  <si>
    <t>ЭОМ_раздел_-_Kopya.pdf s.2</t>
  </si>
  <si>
    <t>Схема питания ВРУ-1 (л.2)</t>
  </si>
  <si>
    <t>P01 çıkış, sayaç, AT</t>
  </si>
  <si>
    <t>ЭОМ_раздел_-_Kopya.pdf s.3</t>
  </si>
  <si>
    <t>Схема питания ЩР-1 (л.3)</t>
  </si>
  <si>
    <t>P02 tablo</t>
  </si>
  <si>
    <t>ЭОМ_раздел_-_Kopya.pdf s.4</t>
  </si>
  <si>
    <t>Схема ЩС-1 (л.4)</t>
  </si>
  <si>
    <t>P03 tablo, 13 АД12</t>
  </si>
  <si>
    <t>ЭОМ_раздел_-_Kopya.pdf s.5</t>
  </si>
  <si>
    <t>Схема ЩС-2 (л.5)</t>
  </si>
  <si>
    <t>P04 tablo, 18 АД12 + НДА1</t>
  </si>
  <si>
    <t>ЭОМ_раздел_-_Kopya.pdf s.6</t>
  </si>
  <si>
    <t>Схема ЩВ-1 (л.6)</t>
  </si>
  <si>
    <t>P05 tablo</t>
  </si>
  <si>
    <t>ЭОМ_раздел_-_Kopya.pdf s.7</t>
  </si>
  <si>
    <t>Электрозадвижка (л.7)</t>
  </si>
  <si>
    <t>по месту Я5141 — pano dışı</t>
  </si>
  <si>
    <t>İLGİSİZ</t>
  </si>
  <si>
    <t>ЭОМ_раздел_-_Kopya.pdf s.8</t>
  </si>
  <si>
    <t>ЩО-1 (л.11)</t>
  </si>
  <si>
    <t>raster; cihaz tag metin katmanında yok → VISION</t>
  </si>
  <si>
    <t>ЭОМ_раздел_-_Kopya.pdf s.9</t>
  </si>
  <si>
    <t>ЩАО-1 (л.12)</t>
  </si>
  <si>
    <t>ЭОМ_раздел_-_Kopya.pdf s.10</t>
  </si>
  <si>
    <t>Отключение вентиляции при пожаре (л.15)</t>
  </si>
  <si>
    <t>KT КМИ-22510 по месту — pano dışı</t>
  </si>
  <si>
    <t>ЭОМ_раздел_-_Kopya.pdf s.11</t>
  </si>
  <si>
    <t>Опросный лист ВРУ-1 (СС.ОЛ)</t>
  </si>
  <si>
    <t>P01 içerik: QF1/QF2, KM1.1/1.2, TA, PI1, QF3/4, HL, ORF, korpus</t>
  </si>
  <si>
    <t>ЭОМ_раздел_-_Kopya.pdf s.12</t>
  </si>
  <si>
    <t>СО л.1</t>
  </si>
  <si>
    <t>sayım karşılaştırma</t>
  </si>
  <si>
    <t>ЭОМ_раздел_-_Kopya.pdf s.13</t>
  </si>
  <si>
    <t>СО л.2</t>
  </si>
  <si>
    <t>sayım karşılaştırma; aydınlatma armatürleri pano dışı</t>
  </si>
  <si>
    <t>KARAR</t>
  </si>
  <si>
    <t>QF1/QF2 giriş TMŞ</t>
  </si>
  <si>
    <t>ОЛ ВА88-32 3P 125A 35kA IEK; СО ВА47-100 3P 125A</t>
  </si>
  <si>
    <t>CHINT NXM-160S/3P 125A 36kA</t>
  </si>
  <si>
    <t>kalıcı kural NXM; NM1 yasak; kA≥35</t>
  </si>
  <si>
    <t>KM1.1/KM1.2 АВР kontaktörü</t>
  </si>
  <si>
    <t>КМИ-49512 125A 230V AC-3</t>
  </si>
  <si>
    <t>CHINT fiyat listesinde 125A AC-3 230V yok; alt: NXC-120 (836511) / NXC-160 (836515)</t>
  </si>
  <si>
    <t>birlesik.csv CHINT tarama</t>
  </si>
  <si>
    <t>seçim + fiyat teyidi</t>
  </si>
  <si>
    <t>реверс mekanik kilit</t>
  </si>
  <si>
    <t>ОЛ "реверс"</t>
  </si>
  <si>
    <t>MI-9 (NXC-120…225)</t>
  </si>
  <si>
    <t>kontaktör seçimine bağlı</t>
  </si>
  <si>
    <t>kontaktör seçimiyle birlikte teyit</t>
  </si>
  <si>
    <t>Реле фаз ORF ×2</t>
  </si>
  <si>
    <t>IEK ORF-06-220-460VAC</t>
  </si>
  <si>
    <t>CHINT NJB1-X AC380V</t>
  </si>
  <si>
    <t>parmak izi: faz kontrol, 380V</t>
  </si>
  <si>
    <t>HL1/HL2 ЛПО 2001 8Вт</t>
  </si>
  <si>
    <t>IEK LLPO0-2001</t>
  </si>
  <si>
    <t>CHINT/birlesik karşılığı yok</t>
  </si>
  <si>
    <t>tedarik fiyatı gir</t>
  </si>
  <si>
    <t>Korpus ВРУ-1</t>
  </si>
  <si>
    <t>ОЛ YKM2 ВРУ-2 20.80.45 IP31</t>
  </si>
  <si>
    <t>KAZTEK 2000x800x450+100</t>
  </si>
  <si>
    <t>açıklama PARSE=KISMI; IP/tip teyitsiz</t>
  </si>
  <si>
    <t>KAZTEK teyidi</t>
  </si>
  <si>
    <t>Korpus ЩС-1</t>
  </si>
  <si>
    <t>ЩРв-18з (18 mod)</t>
  </si>
  <si>
    <t>ЩРв 1000х500х180 IP31</t>
  </si>
  <si>
    <t>13 АД12 2P + giriş + tarak &gt; 18 modül</t>
  </si>
  <si>
    <t>Korpus ЩС-2</t>
  </si>
  <si>
    <t>ЩРв-36з (36 mod)</t>
  </si>
  <si>
    <t>ЩРв 1150х500х180 IP31</t>
  </si>
  <si>
    <t>18 АД12 2P + 3P + giriş &gt; 36 modül</t>
  </si>
  <si>
    <t>Korpus ЩВ-1</t>
  </si>
  <si>
    <t>ЩРв-12з</t>
  </si>
  <si>
    <t>ЩРВ 700х300х150 IP31</t>
  </si>
  <si>
    <t>12 modül yetersiz</t>
  </si>
  <si>
    <t>Korpus ЩО-1</t>
  </si>
  <si>
    <t>ЩРв-П-36 plastik</t>
  </si>
  <si>
    <t>KAZTEK metal ЩРВ 700х300х150</t>
  </si>
  <si>
    <t>plastik korpus kaynağı yok; CHINT NEX yasak</t>
  </si>
  <si>
    <t>Korpus ЩАО-1</t>
  </si>
  <si>
    <t>ЩРв-П-8 plastik</t>
  </si>
  <si>
    <t>KAZTEK metal ЩРв-18</t>
  </si>
  <si>
    <t>PARSE=KISMI</t>
  </si>
  <si>
    <t>boyut/IP teyidi</t>
  </si>
  <si>
    <t>НТП1 АД12 3P 40A 30mA</t>
  </si>
  <si>
    <t>АД12 3Р 40А-30мА</t>
  </si>
  <si>
    <t>NXBLE-63 4P C40 30mA</t>
  </si>
  <si>
    <t>CHINT'te 3P RCBO yok; 4P modül farkı +1</t>
  </si>
  <si>
    <t>alternatif: RCCB 4P 40A 30mA + NXB-63 3P C40</t>
  </si>
  <si>
    <t>ЩО-1 giriş ВН-32 3P 25A</t>
  </si>
  <si>
    <t>ВН-32 3П 25А</t>
  </si>
  <si>
    <t>NXHB-125 3P 25A yok; alt 3P 32A (193181)</t>
  </si>
  <si>
    <t>32A kabulü mühendis kararı</t>
  </si>
  <si>
    <t>ЩАО-1 giriş ВН-32 3P 25A</t>
  </si>
  <si>
    <t>АД12 2P 16A 30mA</t>
  </si>
  <si>
    <t>АД12 2Р 16А-30мА</t>
  </si>
  <si>
    <t>NXBLE-63 2P C16 30mA AC</t>
  </si>
  <si>
    <t>parmak izi KUTUP_AD/IN/KACAK_MA/TIP</t>
  </si>
  <si>
    <t>ЩО-1/ЩАО-1 aydınlatma grupları</t>
  </si>
  <si>
    <t>ВА47-29В 1П 16А</t>
  </si>
  <si>
    <t>NXB-63S 1P 16A B</t>
  </si>
  <si>
    <t>raster okuma; eğri B şemadan</t>
  </si>
  <si>
    <t>ARA/VISION_ONAY ile teyit</t>
  </si>
  <si>
    <t>tarak bara</t>
  </si>
  <si>
    <t>PIN 3P 63A L=1000</t>
  </si>
  <si>
    <t>TARAK_MOD_ADET=12 ile birim uyuşmazlığı</t>
  </si>
  <si>
    <t>P02 besleme 100A &gt; tarak 63A</t>
  </si>
  <si>
    <t>tarak kesim/adet teyidi</t>
  </si>
  <si>
    <t>kablo kanalı</t>
  </si>
  <si>
    <t>EKT perforeli 280300704 + kapak 280300718</t>
  </si>
  <si>
    <t>kalıcı kural claude_kablo-kanali-tercihi</t>
  </si>
  <si>
    <t>MÜHENDİS ONAYI GEREKLİ; KANAL_KOD parametreleri boş</t>
  </si>
  <si>
    <t>ЩР-1 çıkış sayımı</t>
  </si>
  <si>
    <t>СО: 25A×5, 40A×2, 50A×1 (8)</t>
  </si>
  <si>
    <t>şema: 50·40·40·32·25·25 (6)</t>
  </si>
  <si>
    <t>şema &gt; спецификация (öncelik 3&gt;6)</t>
  </si>
  <si>
    <t>ЩС-2 3P cihaz</t>
  </si>
  <si>
    <t>СО: "Вводной 25A ВА47-29 3Р"</t>
  </si>
  <si>
    <t>şema: НДА1 ВА47-29 3П 10А (drenaj pompası)</t>
  </si>
  <si>
    <t>şema esas; giriş ВН-32 63A</t>
  </si>
  <si>
    <t>sayaç + AT</t>
  </si>
  <si>
    <t>Меркурий 230 ART-03, ТТИ-А 125/5</t>
  </si>
  <si>
    <t>KAZTEK sayaç; AT EKT ст-9951729 ×3</t>
  </si>
  <si>
    <t>AT fiyatı EKT2506 eski</t>
  </si>
  <si>
    <t>ЩО-1 / ЩАО-1 giriş kademe</t>
  </si>
  <si>
    <t>ЩР-1 МО-1 32A → ЩО-1 ВН-32 25A</t>
  </si>
  <si>
    <t>yük kesici &lt; üst koruma</t>
  </si>
  <si>
    <t>SELEKTİVİTE uyarısı</t>
  </si>
  <si>
    <t>kademe teyidi</t>
  </si>
  <si>
    <t>Pano dışı kalemler</t>
  </si>
  <si>
    <t>л.7 Я5141, ПКЕ-212; л.15 KT КМИ-22510, FU1, SB1/SB2, KK, HLR; СО aydınlatma armatürleri, ЯТП-0,25</t>
  </si>
  <si>
    <t>eklenmedi</t>
  </si>
  <si>
    <t>"по месту" / pano dışı</t>
  </si>
  <si>
    <t>RISK</t>
  </si>
  <si>
    <t>CHINT tarak L=1000 mm (≈57 mod) · TARAK_MOD_ADET=12 → adet/birim uyuşmazlığı · b</t>
  </si>
  <si>
    <t>CHINT tarak L=1000 mm (≈57 mod) · TARAK_MOD_ADET=12 → adet/birim uyuşmazlığı · 2</t>
  </si>
  <si>
    <t>TEKNİK BAYRAK: ALAN VERİSİ YOK</t>
  </si>
  <si>
    <t>UYARI: SELEKTİVİTE</t>
  </si>
  <si>
    <t>UYARI: ICU YOK</t>
  </si>
  <si>
    <t>VERI_NOTU</t>
  </si>
  <si>
    <t>BETIK_KAYNAK=OTURUM (hazirla, devre_veri, build, qa, log_veri)</t>
  </si>
  <si>
    <t>BILGI</t>
  </si>
  <si>
    <t>muadil tablosu yok (260806_MUADIL_TABLOSU_v1.xlsx) → muadil adımı atlandı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</si>
</sst>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.mm\.yyyy"/>
    <numFmt numFmtId="166" formatCode="yyyy\-mm\-dd"/>
  </numFmts>
  <fonts count="4" x14ac:knownFonts="1">
    <font>
      <sz val="11"/>
      <color theme="1"/>
      <name val="Calibri"/>
      <family val="2"/>
      <charset val="1"/>
    </font>
    <font>
      <b/>
      <sz val="9"/>
      <name val="Arial"/>
      <charset val="1"/>
    </font>
    <font>
      <sz val="9"/>
      <name val="Arial"/>
      <charset val="1"/>
    </font>
    <font>
      <b/>
      <sz val="10"/>
      <color rgb="FFFF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BE5D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0" borderId="0" xfId="0" applyFont="1"/>
    <xf numFmtId="0" fontId="2" fillId="4" borderId="0" xfId="0" applyFont="1" applyFill="1"/>
    <xf numFmtId="0" fontId="0" fillId="4" borderId="0" xfId="0" applyFill="1"/>
    <xf numFmtId="0" fontId="1" fillId="0" borderId="0" xfId="0" applyFont="1"/>
    <xf numFmtId="9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/>
    <xf numFmtId="0" fontId="2" fillId="5" borderId="1" xfId="0" applyFont="1" applyFill="1" applyBorder="1"/>
    <xf numFmtId="0" fontId="0" fillId="5" borderId="1" xfId="0" applyFill="1" applyBorder="1"/>
    <xf numFmtId="166" fontId="2" fillId="5" borderId="1" xfId="0" applyNumberFormat="1" applyFont="1" applyFill="1" applyBorder="1"/>
    <xf numFmtId="166" fontId="2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8">
    <dxf>
      <font>
        <color rgb="FF808080"/>
      </font>
    </dxf>
    <dxf>
      <fill>
        <patternFill>
          <bgColor rgb="FFFFF2CC"/>
        </patternFill>
      </fill>
    </dxf>
    <dxf>
      <fill>
        <patternFill>
          <bgColor rgb="FFFFFF99"/>
        </patternFill>
      </fill>
    </dxf>
    <dxf>
      <fill>
        <patternFill>
          <bgColor rgb="FFFBE5D6"/>
        </patternFill>
      </fill>
    </dxf>
    <dxf>
      <fill>
        <patternFill>
          <bgColor rgb="FFF4B183"/>
        </patternFill>
      </fill>
    </dxf>
    <dxf>
      <fill>
        <patternFill>
          <bgColor rgb="FFF8CBAD"/>
        </patternFill>
      </fill>
    </dxf>
    <dxf>
      <font>
        <color rgb="FFC00000"/>
      </font>
    </dxf>
    <dxf>
      <font>
        <color rgb="FFC00000"/>
      </font>
    </dxf>
    <dxf>
      <fill>
        <patternFill>
          <bgColor rgb="FFFFC7CE"/>
        </patternFill>
      </fill>
    </dxf>
    <dxf>
      <font>
        <color rgb="FF808080"/>
      </font>
    </dxf>
    <dxf>
      <fill>
        <patternFill>
          <bgColor rgb="FFFFF2CC"/>
        </patternFill>
      </fill>
    </dxf>
    <dxf>
      <fill>
        <patternFill>
          <bgColor rgb="FFFFFF99"/>
        </patternFill>
      </fill>
    </dxf>
    <dxf>
      <fill>
        <patternFill>
          <bgColor rgb="FFFBE5D6"/>
        </patternFill>
      </fill>
    </dxf>
    <dxf>
      <fill>
        <patternFill>
          <bgColor rgb="FFF4B183"/>
        </patternFill>
      </fill>
    </dxf>
    <dxf>
      <fill>
        <patternFill>
          <bgColor rgb="FFF8CBAD"/>
        </patternFill>
      </fill>
    </dxf>
    <dxf>
      <font>
        <color rgb="FFC00000"/>
      </font>
    </dxf>
    <dxf>
      <font>
        <color rgb="FFC00000"/>
      </font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FFC7CE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0"/>
  <sheetViews>
    <sheetView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M1" sqref="M1:O1048576"/>
    </sheetView>
  </sheetViews>
  <sheetFormatPr defaultColWidth="8.6328125" defaultRowHeight="14.5" x14ac:dyDescent="0.35"/>
  <cols>
    <col min="3" max="3" width="17.453125" customWidth="1"/>
    <col min="5" max="5" width="52.26953125" customWidth="1"/>
    <col min="14" max="14" width="40" customWidth="1"/>
    <col min="16" max="16" width="24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>
        <f t="shared" ref="A2:A33" si="0">ROW()-1</f>
        <v>1</v>
      </c>
      <c r="B2" s="2" t="str">
        <f t="shared" ref="B2:B24" si="1">$E2</f>
        <v>Вводно-распределительное устройство ВРУ-1 (с АВР)</v>
      </c>
      <c r="C2" s="3"/>
      <c r="D2" s="3"/>
      <c r="E2" s="2" t="str">
        <f>INDEX(PANO_TAMAD,MATCH($Q2,PANO_ID,0))</f>
        <v>Вводно-распределительное устройство ВРУ-1 (с АВР)</v>
      </c>
      <c r="F2" s="3"/>
      <c r="G2" s="3"/>
      <c r="H2" s="3"/>
      <c r="I2" s="2">
        <v>1</v>
      </c>
      <c r="J2" s="2" t="s">
        <v>29</v>
      </c>
      <c r="K2" s="3"/>
      <c r="L2" s="3"/>
      <c r="M2" s="3"/>
      <c r="N2" s="3"/>
      <c r="O2" s="3"/>
      <c r="P2" s="3"/>
      <c r="Q2" s="2" t="s">
        <v>30</v>
      </c>
    </row>
    <row r="3" spans="1:29" x14ac:dyDescent="0.35">
      <c r="A3" s="4">
        <f t="shared" si="0"/>
        <v>2</v>
      </c>
      <c r="B3" s="4" t="str">
        <f t="shared" si="1"/>
        <v>Shit 2000x800x450+100mm</v>
      </c>
      <c r="C3" s="5" t="s">
        <v>31</v>
      </c>
      <c r="D3" s="4" t="str">
        <f t="shared" ref="D3:D24" si="2">IF($P3="","",IF(INDEX(FIYAT_ARTIKUL,MATCH($P3,FIYAT_KOD,0))="","",INDEX(FIYAT_ARTIKUL,MATCH($P3,FIYAT_KOD,0))))</f>
        <v>719-15696</v>
      </c>
      <c r="E3" s="4" t="str">
        <f t="shared" ref="E3:E24" si="3">IF($P3="","",INDEX(FIYAT_ACK,MATCH($P3,FIYAT_KOD,0)))</f>
        <v>Shit 2000x800x450+100mm</v>
      </c>
      <c r="F3" s="4">
        <f t="shared" ref="F3:F23" si="4">IF($P3="","",IF(INDEX(FIYAT_LISTE,MATCH($P3,FIYAT_KOD,0))="","",INDEX(FIYAT_LISTE,MATCH($P3,FIYAT_KOD,0))))</f>
        <v>172785</v>
      </c>
      <c r="G3" s="4">
        <f t="shared" ref="G3:G24" si="5">IF($P3="","",IF(INDEX(FIYAT_NET,MATCH($P3,FIYAT_KOD,0))="","",INDEX(FIYAT_NET,MATCH($P3,FIYAT_KOD,0))))</f>
        <v>103671</v>
      </c>
      <c r="H3" s="4" t="str">
        <f>IF(OR($G3="",$I3="",$M3="KONTROL",$M3="KAPSAM_DISI"),"",$G3*$I3)</f>
        <v/>
      </c>
      <c r="I3" s="4">
        <v>1</v>
      </c>
      <c r="J3" s="4" t="str">
        <f t="shared" ref="J3:J24" si="6">IF($P3="","",INDEX(FIYAT_BIRIM,MATCH($P3,FIYAT_KOD,0)))</f>
        <v>шт</v>
      </c>
      <c r="K3" s="4" t="str">
        <f t="shared" ref="K3:K24" si="7">IF($P3="","",INDEX(FIYAT_MARKA,MATCH($P3,FIYAT_KOD,0)))</f>
        <v>KAZTEK</v>
      </c>
      <c r="L3" s="4" t="str">
        <f t="shared" ref="L3:L24" si="8">IF($H3="","",$H3)</f>
        <v/>
      </c>
      <c r="M3" s="4" t="str">
        <f t="shared" ref="M3:M24" si="9">IF($P3="","",INDEX(DURUM_LIST,MATCH(MAX(INDEX(DURUM_SEV,MATCH(INDEX(FIYAT_DURUM,MATCH($P3,FIYAT_KOD,0)),DURUM_LIST,0)),IF($S3="",0,INDEX(DURUM_SEV,MATCH($S3,DURUM_LIST,0))),$Z3),DURUM_SEV,0)))</f>
        <v>KONTROL</v>
      </c>
      <c r="N3" s="4" t="s">
        <v>32</v>
      </c>
      <c r="O3" s="4" t="str">
        <f t="shared" ref="O3:O24" si="10">IF($P3="","",INDEX(FIYAT_KAYNAK,MATCH($P3,FIYAT_KOD,0)))</f>
        <v>KAZTEK2607</v>
      </c>
      <c r="P3" s="4" t="str">
        <f>INDEX(PANO_KORPUS,MATCH($Q3,PANO_ID,0))</f>
        <v>KAZTEK-719-15696</v>
      </c>
      <c r="Q3" s="4" t="str">
        <f t="shared" ref="Q3:Q24" si="11">$Q2</f>
        <v>P01</v>
      </c>
      <c r="R3" s="5" t="s">
        <v>33</v>
      </c>
      <c r="S3" s="6"/>
      <c r="T3" s="4">
        <f>IF(OR($R3="",$I3=""),"",$I3*INDEX(NORM_DK,MATCH($R3,NORM_AD,0)))</f>
        <v>90</v>
      </c>
      <c r="U3" s="4" t="str">
        <f>IF(OR($P3="",$I3=""),"",IF(IF(INDEX(FIYAT_ALAN,MATCH($P3,FIYAT_KOD,0))="","",INDEX(FIYAT_ALAN,MATCH($P3,FIYAT_KOD,0)))&lt;&gt;"",$I3*IF(INDEX(FIYAT_ALAN,MATCH($P3,FIYAT_KOD,0))="","",INDEX(FIYAT_ALAN,MATCH($P3,FIYAT_KOD,0))),IF(IF(INDEX(FIYAT_MODUL,MATCH($P3,FIYAT_KOD,0))="","",INDEX(FIYAT_MODUL,MATCH($P3,FIYAT_KOD,0)))&lt;&gt;"",$I3*IF(INDEX(FIYAT_MODUL,MATCH($P3,FIYAT_KOD,0))="","",INDEX(FIYAT_MODUL,MATCH($P3,FIYAT_KOD,0))),IF(IF(INDEX(FIYAT_GENISLIK,MATCH($P3,FIYAT_KOD,0))="","",INDEX(FIYAT_GENISLIK,MATCH($P3,FIYAT_KOD,0)))&lt;&gt;"",$I3*IF(INDEX(FIYAT_GENISLIK,MATCH($P3,FIYAT_KOD,0))="","",INDEX(FIYAT_GENISLIK,MATCH($P3,FIYAT_KOD,0)))/MODUL_GENISLIK_MM,""))))</f>
        <v/>
      </c>
      <c r="V3" s="4" t="str">
        <f>IF(OR($C3&lt;&gt;"шина",$I3=""),"",$I3*INDEX(FIYAT_KGM,MATCH($P3,FIYAT_KOD,0)))</f>
        <v/>
      </c>
      <c r="W3" s="4" t="str">
        <f t="shared" ref="W3:W22" si="12">IF($H3="","",$H3)</f>
        <v/>
      </c>
      <c r="Y3" s="5" t="s">
        <v>34</v>
      </c>
      <c r="Z3" s="4">
        <f>IF($P3="","",MAX(_xlfn.MAXIFS(DEVRE!$AM:$AM,DEVRE!$A:$A,$Q3,DEVRE!$C:$C,$P3),_xlfn.MAXIFS(DEVRE!$AM:$AM,DEVRE!$A:$A,$Q3,DEVRE!$H:$H,$P3)))</f>
        <v>0</v>
      </c>
      <c r="AA3" s="4">
        <f>IF(OR($I3="",$Q3="",$P3=""),"",$I3*INDEX(PANO_ADET,MATCH($Q3,PANO_ID,0)))</f>
        <v>1</v>
      </c>
      <c r="AB3" s="4">
        <f>IF($P3="",0,IF(AND($U3="",COUNTIF(ALAN_TIP_LIST,$C3)&gt;0),1,0))</f>
        <v>0</v>
      </c>
      <c r="AC3" s="4">
        <f>IF(OR($P3="",$C3&lt;&gt;"kontaktör"),0,IF(IF(INDEX(FIYAT_BOBIN,MATCH($P3,FIYAT_KOD,0))="","",INDEX(FIYAT_BOBIN,MATCH($P3,FIYAT_KOD,0)))="",1,0))</f>
        <v>0</v>
      </c>
    </row>
    <row r="4" spans="1:29" x14ac:dyDescent="0.35">
      <c r="A4" s="4">
        <f t="shared" si="0"/>
        <v>3</v>
      </c>
      <c r="B4" s="4" t="str">
        <f t="shared" si="1"/>
        <v>Авт. выкл. NXM-160S/3Р 125A 36кА</v>
      </c>
      <c r="C4" s="5" t="s">
        <v>35</v>
      </c>
      <c r="D4" s="4" t="str">
        <f t="shared" si="2"/>
        <v>844326</v>
      </c>
      <c r="E4" s="4" t="str">
        <f t="shared" si="3"/>
        <v>Авт. выкл. NXM-160S/3Р 125A 36кА</v>
      </c>
      <c r="F4" s="4">
        <f t="shared" si="4"/>
        <v>27656</v>
      </c>
      <c r="G4" s="4">
        <f t="shared" si="5"/>
        <v>16593.599999999999</v>
      </c>
      <c r="H4" s="4">
        <f>IF(OR($G4="",$I4="",$M4="KONTROL",$M4="KAPSAM_DISI"),"",$G4*$I4)</f>
        <v>33187.199999999997</v>
      </c>
      <c r="I4" s="4">
        <f>SUMIFS(DEVRE!$T:$T,DEVRE!$A:$A,$Q4,DEVRE!$C:$C,$P4)+SUMIFS(DEVRE!$U:$U,DEVRE!$A:$A,$Q4,DEVRE!$H:$H,$P4)</f>
        <v>2</v>
      </c>
      <c r="J4" s="4" t="str">
        <f t="shared" si="6"/>
        <v>шт</v>
      </c>
      <c r="K4" s="4" t="str">
        <f t="shared" si="7"/>
        <v>CHINT</v>
      </c>
      <c r="L4" s="4">
        <f t="shared" si="8"/>
        <v>33187.199999999997</v>
      </c>
      <c r="M4" s="4" t="str">
        <f t="shared" si="9"/>
        <v>OK</v>
      </c>
      <c r="N4" s="4" t="s">
        <v>36</v>
      </c>
      <c r="O4" s="4" t="str">
        <f t="shared" si="10"/>
        <v>CHINT2608</v>
      </c>
      <c r="P4" s="5" t="s">
        <v>37</v>
      </c>
      <c r="Q4" s="4" t="str">
        <f t="shared" si="11"/>
        <v>P01</v>
      </c>
      <c r="R4" s="5" t="s">
        <v>38</v>
      </c>
      <c r="T4" s="4">
        <f>IF(OR($R4="",$I4=""),"",$I4*INDEX(NORM_DK,MATCH($R4,NORM_AD,0)))</f>
        <v>120</v>
      </c>
      <c r="U4" s="4" t="str">
        <f>IF(OR($P4="",$I4=""),"",IF(IF(INDEX(FIYAT_ALAN,MATCH($P4,FIYAT_KOD,0))="","",INDEX(FIYAT_ALAN,MATCH($P4,FIYAT_KOD,0)))&lt;&gt;"",$I4*IF(INDEX(FIYAT_ALAN,MATCH($P4,FIYAT_KOD,0))="","",INDEX(FIYAT_ALAN,MATCH($P4,FIYAT_KOD,0))),IF(IF(INDEX(FIYAT_MODUL,MATCH($P4,FIYAT_KOD,0))="","",INDEX(FIYAT_MODUL,MATCH($P4,FIYAT_KOD,0)))&lt;&gt;"",$I4*IF(INDEX(FIYAT_MODUL,MATCH($P4,FIYAT_KOD,0))="","",INDEX(FIYAT_MODUL,MATCH($P4,FIYAT_KOD,0))),IF(IF(INDEX(FIYAT_GENISLIK,MATCH($P4,FIYAT_KOD,0))="","",INDEX(FIYAT_GENISLIK,MATCH($P4,FIYAT_KOD,0)))&lt;&gt;"",$I4*IF(INDEX(FIYAT_GENISLIK,MATCH($P4,FIYAT_KOD,0))="","",INDEX(FIYAT_GENISLIK,MATCH($P4,FIYAT_KOD,0)))/MODUL_GENISLIK_MM,""))))</f>
        <v/>
      </c>
      <c r="V4" s="4" t="str">
        <f>IF(OR($C4&lt;&gt;"шина",$I4=""),"",$I4*INDEX(FIYAT_KGM,MATCH($P4,FIYAT_KOD,0)))</f>
        <v/>
      </c>
      <c r="W4" s="4">
        <f t="shared" si="12"/>
        <v>33187.199999999997</v>
      </c>
      <c r="Y4" s="5" t="s">
        <v>39</v>
      </c>
      <c r="Z4" s="4">
        <f>IF($P4="","",MAX(_xlfn.MAXIFS(DEVRE!$AM:$AM,DEVRE!$A:$A,$Q4,DEVRE!$C:$C,$P4),_xlfn.MAXIFS(DEVRE!$AM:$AM,DEVRE!$A:$A,$Q4,DEVRE!$H:$H,$P4)))</f>
        <v>0</v>
      </c>
      <c r="AA4" s="4">
        <f>IF(OR($I4="",$Q4="",$P4=""),"",$I4*INDEX(PANO_ADET,MATCH($Q4,PANO_ID,0)))</f>
        <v>2</v>
      </c>
      <c r="AB4" s="4">
        <f>IF($P4="",0,IF(AND($U4="",COUNTIF(ALAN_TIP_LIST,$C4)&gt;0),1,0))</f>
        <v>1</v>
      </c>
      <c r="AC4" s="4">
        <f>IF(OR($P4="",$C4&lt;&gt;"kontaktör"),0,IF(IF(INDEX(FIYAT_BOBIN,MATCH($P4,FIYAT_KOD,0))="","",INDEX(FIYAT_BOBIN,MATCH($P4,FIYAT_KOD,0)))="",1,0))</f>
        <v>0</v>
      </c>
    </row>
    <row r="5" spans="1:29" x14ac:dyDescent="0.35">
      <c r="A5" s="4">
        <f t="shared" si="0"/>
        <v>4</v>
      </c>
      <c r="B5" s="4" t="str">
        <f t="shared" si="1"/>
        <v>Счет.элек Меркурий 3ф 5 (7,5)A 230 ART-03 PQRSIDN многотариф/трансф</v>
      </c>
      <c r="C5" s="5" t="s">
        <v>40</v>
      </c>
      <c r="D5" s="4" t="str">
        <f t="shared" si="2"/>
        <v>989-190-0114</v>
      </c>
      <c r="E5" s="4" t="str">
        <f t="shared" si="3"/>
        <v>Счет.элек Меркурий 3ф 5 (7,5)A 230 ART-03 PQRSIDN многотариф/трансф</v>
      </c>
      <c r="F5" s="4">
        <f t="shared" si="4"/>
        <v>35380</v>
      </c>
      <c r="G5" s="4">
        <f t="shared" si="5"/>
        <v>21228</v>
      </c>
      <c r="H5" s="4">
        <f>IF(OR($G5="",$I5="",$M5="KONTROL",$M5="KAPSAM_DISI"),"",$G5*$I5)</f>
        <v>21228</v>
      </c>
      <c r="I5" s="4">
        <f>SUMIFS(DEVRE!$T:$T,DEVRE!$A:$A,$Q5,DEVRE!$C:$C,$P5)+SUMIFS(DEVRE!$U:$U,DEVRE!$A:$A,$Q5,DEVRE!$H:$H,$P5)</f>
        <v>1</v>
      </c>
      <c r="J5" s="4" t="str">
        <f t="shared" si="6"/>
        <v>шт</v>
      </c>
      <c r="K5" s="4" t="str">
        <f t="shared" si="7"/>
        <v>KAZTEK</v>
      </c>
      <c r="L5" s="4">
        <f t="shared" si="8"/>
        <v>21228</v>
      </c>
      <c r="M5" s="4" t="str">
        <f t="shared" si="9"/>
        <v>OK</v>
      </c>
      <c r="N5" s="4" t="s">
        <v>41</v>
      </c>
      <c r="O5" s="4" t="str">
        <f t="shared" si="10"/>
        <v>KAZTEK2607</v>
      </c>
      <c r="P5" s="5" t="s">
        <v>42</v>
      </c>
      <c r="Q5" s="4" t="str">
        <f t="shared" si="11"/>
        <v>P01</v>
      </c>
      <c r="R5" s="5" t="s">
        <v>43</v>
      </c>
      <c r="T5" s="4">
        <f>IF(OR($R5="",$I5=""),"",$I5*INDEX(NORM_DK,MATCH($R5,NORM_AD,0)))</f>
        <v>90</v>
      </c>
      <c r="U5" s="4" t="str">
        <f>IF(OR($P5="",$I5=""),"",IF(IF(INDEX(FIYAT_ALAN,MATCH($P5,FIYAT_KOD,0))="","",INDEX(FIYAT_ALAN,MATCH($P5,FIYAT_KOD,0)))&lt;&gt;"",$I5*IF(INDEX(FIYAT_ALAN,MATCH($P5,FIYAT_KOD,0))="","",INDEX(FIYAT_ALAN,MATCH($P5,FIYAT_KOD,0))),IF(IF(INDEX(FIYAT_MODUL,MATCH($P5,FIYAT_KOD,0))="","",INDEX(FIYAT_MODUL,MATCH($P5,FIYAT_KOD,0)))&lt;&gt;"",$I5*IF(INDEX(FIYAT_MODUL,MATCH($P5,FIYAT_KOD,0))="","",INDEX(FIYAT_MODUL,MATCH($P5,FIYAT_KOD,0))),IF(IF(INDEX(FIYAT_GENISLIK,MATCH($P5,FIYAT_KOD,0))="","",INDEX(FIYAT_GENISLIK,MATCH($P5,FIYAT_KOD,0)))&lt;&gt;"",$I5*IF(INDEX(FIYAT_GENISLIK,MATCH($P5,FIYAT_KOD,0))="","",INDEX(FIYAT_GENISLIK,MATCH($P5,FIYAT_KOD,0)))/MODUL_GENISLIK_MM,""))))</f>
        <v/>
      </c>
      <c r="V5" s="4" t="str">
        <f>IF(OR($C5&lt;&gt;"шина",$I5=""),"",$I5*INDEX(FIYAT_KGM,MATCH($P5,FIYAT_KOD,0)))</f>
        <v/>
      </c>
      <c r="W5" s="4">
        <f t="shared" si="12"/>
        <v>21228</v>
      </c>
      <c r="Y5" s="5" t="s">
        <v>39</v>
      </c>
      <c r="Z5" s="4">
        <f>IF($P5="","",MAX(_xlfn.MAXIFS(DEVRE!$AM:$AM,DEVRE!$A:$A,$Q5,DEVRE!$C:$C,$P5),_xlfn.MAXIFS(DEVRE!$AM:$AM,DEVRE!$A:$A,$Q5,DEVRE!$H:$H,$P5)))</f>
        <v>0</v>
      </c>
      <c r="AA5" s="4">
        <f>IF(OR($I5="",$Q5="",$P5=""),"",$I5*INDEX(PANO_ADET,MATCH($Q5,PANO_ID,0)))</f>
        <v>1</v>
      </c>
      <c r="AB5" s="4">
        <f>IF($P5="",0,IF(AND($U5="",COUNTIF(ALAN_TIP_LIST,$C5)&gt;0),1,0))</f>
        <v>1</v>
      </c>
      <c r="AC5" s="4">
        <f>IF(OR($P5="",$C5&lt;&gt;"kontaktör"),0,IF(IF(INDEX(FIYAT_BOBIN,MATCH($P5,FIYAT_KOD,0))="","",INDEX(FIYAT_BOBIN,MATCH($P5,FIYAT_KOD,0)))="",1,0))</f>
        <v>0</v>
      </c>
    </row>
    <row r="6" spans="1:29" x14ac:dyDescent="0.35">
      <c r="A6" s="4">
        <f t="shared" si="0"/>
        <v>5</v>
      </c>
      <c r="B6" s="4" t="str">
        <f t="shared" si="1"/>
        <v>Трансформатор тока ТТИ-А 125\5А 5ВА кл.т.0,5 IEK</v>
      </c>
      <c r="C6" s="5" t="s">
        <v>44</v>
      </c>
      <c r="D6" s="4" t="str">
        <f t="shared" si="2"/>
        <v>ст-9951729</v>
      </c>
      <c r="E6" s="4" t="str">
        <f t="shared" si="3"/>
        <v>Трансформатор тока ТТИ-А 125\5А 5ВА кл.т.0,5 IEK</v>
      </c>
      <c r="F6" s="4">
        <f t="shared" si="4"/>
        <v>4701</v>
      </c>
      <c r="G6" s="4">
        <f t="shared" si="5"/>
        <v>4701</v>
      </c>
      <c r="H6" s="4">
        <f>IF(OR($G6="",$I6="",$M6="KONTROL",$M6="KAPSAM_DISI"),"",$G6*$I6)</f>
        <v>14103</v>
      </c>
      <c r="I6" s="4">
        <f>SUMIFS(DEVRE!$T:$T,DEVRE!$A:$A,$Q6,DEVRE!$C:$C,$P6)+SUMIFS(DEVRE!$U:$U,DEVRE!$A:$A,$Q6,DEVRE!$H:$H,$P6)</f>
        <v>3</v>
      </c>
      <c r="J6" s="4" t="str">
        <f t="shared" si="6"/>
        <v>шт</v>
      </c>
      <c r="K6" s="4" t="str">
        <f t="shared" si="7"/>
        <v>EKT</v>
      </c>
      <c r="L6" s="4">
        <f t="shared" si="8"/>
        <v>14103</v>
      </c>
      <c r="M6" s="4" t="str">
        <f t="shared" si="9"/>
        <v>FIYAT_ESKI</v>
      </c>
      <c r="N6" s="4" t="s">
        <v>45</v>
      </c>
      <c r="O6" s="4" t="str">
        <f t="shared" si="10"/>
        <v>EKT2506</v>
      </c>
      <c r="P6" s="5" t="s">
        <v>46</v>
      </c>
      <c r="Q6" s="4" t="str">
        <f t="shared" si="11"/>
        <v>P01</v>
      </c>
      <c r="R6" s="6"/>
      <c r="T6" s="4" t="str">
        <f>IF(OR($R6="",$I6=""),"",$I6*INDEX(NORM_DK,MATCH($R6,NORM_AD,0)))</f>
        <v/>
      </c>
      <c r="U6" s="4" t="str">
        <f>IF(OR($P6="",$I6=""),"",IF(IF(INDEX(FIYAT_ALAN,MATCH($P6,FIYAT_KOD,0))="","",INDEX(FIYAT_ALAN,MATCH($P6,FIYAT_KOD,0)))&lt;&gt;"",$I6*IF(INDEX(FIYAT_ALAN,MATCH($P6,FIYAT_KOD,0))="","",INDEX(FIYAT_ALAN,MATCH($P6,FIYAT_KOD,0))),IF(IF(INDEX(FIYAT_MODUL,MATCH($P6,FIYAT_KOD,0))="","",INDEX(FIYAT_MODUL,MATCH($P6,FIYAT_KOD,0)))&lt;&gt;"",$I6*IF(INDEX(FIYAT_MODUL,MATCH($P6,FIYAT_KOD,0))="","",INDEX(FIYAT_MODUL,MATCH($P6,FIYAT_KOD,0))),IF(IF(INDEX(FIYAT_GENISLIK,MATCH($P6,FIYAT_KOD,0))="","",INDEX(FIYAT_GENISLIK,MATCH($P6,FIYAT_KOD,0)))&lt;&gt;"",$I6*IF(INDEX(FIYAT_GENISLIK,MATCH($P6,FIYAT_KOD,0))="","",INDEX(FIYAT_GENISLIK,MATCH($P6,FIYAT_KOD,0)))/MODUL_GENISLIK_MM,""))))</f>
        <v/>
      </c>
      <c r="V6" s="4" t="str">
        <f>IF(OR($C6&lt;&gt;"шина",$I6=""),"",$I6*INDEX(FIYAT_KGM,MATCH($P6,FIYAT_KOD,0)))</f>
        <v/>
      </c>
      <c r="W6" s="4">
        <f t="shared" si="12"/>
        <v>14103</v>
      </c>
      <c r="Y6" s="5" t="s">
        <v>39</v>
      </c>
      <c r="Z6" s="4">
        <f>IF($P6="","",MAX(_xlfn.MAXIFS(DEVRE!$AM:$AM,DEVRE!$A:$A,$Q6,DEVRE!$C:$C,$P6),_xlfn.MAXIFS(DEVRE!$AM:$AM,DEVRE!$A:$A,$Q6,DEVRE!$H:$H,$P6)))</f>
        <v>0</v>
      </c>
      <c r="AA6" s="4">
        <f>IF(OR($I6="",$Q6="",$P6=""),"",$I6*INDEX(PANO_ADET,MATCH($Q6,PANO_ID,0)))</f>
        <v>3</v>
      </c>
      <c r="AB6" s="4">
        <f>IF($P6="",0,IF(AND($U6="",COUNTIF(ALAN_TIP_LIST,$C6)&gt;0),1,0))</f>
        <v>1</v>
      </c>
      <c r="AC6" s="4">
        <f>IF(OR($P6="",$C6&lt;&gt;"kontaktör"),0,IF(IF(INDEX(FIYAT_BOBIN,MATCH($P6,FIYAT_KOD,0))="","",INDEX(FIYAT_BOBIN,MATCH($P6,FIYAT_KOD,0)))="",1,0))</f>
        <v>0</v>
      </c>
    </row>
    <row r="7" spans="1:29" x14ac:dyDescent="0.35">
      <c r="A7" s="4">
        <f t="shared" si="0"/>
        <v>6</v>
      </c>
      <c r="B7" s="4" t="str">
        <f t="shared" si="1"/>
        <v>Авт. выкл. NXB-125 3P 100A 10кА х-ка C</v>
      </c>
      <c r="C7" s="5" t="s">
        <v>47</v>
      </c>
      <c r="D7" s="4" t="str">
        <f t="shared" si="2"/>
        <v>816141</v>
      </c>
      <c r="E7" s="4" t="str">
        <f t="shared" si="3"/>
        <v>Авт. выкл. NXB-125 3P 100A 10кА х-ка C</v>
      </c>
      <c r="F7" s="4">
        <f t="shared" si="4"/>
        <v>11015</v>
      </c>
      <c r="G7" s="4">
        <f t="shared" si="5"/>
        <v>6609</v>
      </c>
      <c r="H7" s="4">
        <f>IF(OR($G7="",$I7="",$M7="KONTROL",$M7="KAPSAM_DISI"),"",$G7*$I7)</f>
        <v>6609</v>
      </c>
      <c r="I7" s="4">
        <f>SUMIFS(DEVRE!$T:$T,DEVRE!$A:$A,$Q7,DEVRE!$C:$C,$P7)+SUMIFS(DEVRE!$U:$U,DEVRE!$A:$A,$Q7,DEVRE!$H:$H,$P7)</f>
        <v>1</v>
      </c>
      <c r="J7" s="4" t="str">
        <f t="shared" si="6"/>
        <v>шт</v>
      </c>
      <c r="K7" s="4" t="str">
        <f t="shared" si="7"/>
        <v>CHINT</v>
      </c>
      <c r="L7" s="4">
        <f t="shared" si="8"/>
        <v>6609</v>
      </c>
      <c r="M7" s="4" t="str">
        <f t="shared" si="9"/>
        <v>OK</v>
      </c>
      <c r="N7" s="4" t="s">
        <v>48</v>
      </c>
      <c r="O7" s="4" t="str">
        <f t="shared" si="10"/>
        <v>CHINT2608</v>
      </c>
      <c r="P7" s="5" t="s">
        <v>49</v>
      </c>
      <c r="Q7" s="4" t="str">
        <f t="shared" si="11"/>
        <v>P01</v>
      </c>
      <c r="R7" s="5" t="s">
        <v>50</v>
      </c>
      <c r="T7" s="4">
        <f>IF(OR($R7="",$I7=""),"",$I7*INDEX(NORM_DK,MATCH($R7,NORM_AD,0)))</f>
        <v>8</v>
      </c>
      <c r="U7" s="4">
        <f>IF(OR($P7="",$I7=""),"",IF(IF(INDEX(FIYAT_ALAN,MATCH($P7,FIYAT_KOD,0))="","",INDEX(FIYAT_ALAN,MATCH($P7,FIYAT_KOD,0)))&lt;&gt;"",$I7*IF(INDEX(FIYAT_ALAN,MATCH($P7,FIYAT_KOD,0))="","",INDEX(FIYAT_ALAN,MATCH($P7,FIYAT_KOD,0))),IF(IF(INDEX(FIYAT_MODUL,MATCH($P7,FIYAT_KOD,0))="","",INDEX(FIYAT_MODUL,MATCH($P7,FIYAT_KOD,0)))&lt;&gt;"",$I7*IF(INDEX(FIYAT_MODUL,MATCH($P7,FIYAT_KOD,0))="","",INDEX(FIYAT_MODUL,MATCH($P7,FIYAT_KOD,0))),IF(IF(INDEX(FIYAT_GENISLIK,MATCH($P7,FIYAT_KOD,0))="","",INDEX(FIYAT_GENISLIK,MATCH($P7,FIYAT_KOD,0)))&lt;&gt;"",$I7*IF(INDEX(FIYAT_GENISLIK,MATCH($P7,FIYAT_KOD,0))="","",INDEX(FIYAT_GENISLIK,MATCH($P7,FIYAT_KOD,0)))/MODUL_GENISLIK_MM,""))))</f>
        <v>3</v>
      </c>
      <c r="V7" s="4" t="str">
        <f>IF(OR($C7&lt;&gt;"шина",$I7=""),"",$I7*INDEX(FIYAT_KGM,MATCH($P7,FIYAT_KOD,0)))</f>
        <v/>
      </c>
      <c r="W7" s="4">
        <f t="shared" si="12"/>
        <v>6609</v>
      </c>
      <c r="Y7" s="5" t="s">
        <v>39</v>
      </c>
      <c r="Z7" s="4">
        <f>IF($P7="","",MAX(_xlfn.MAXIFS(DEVRE!$AM:$AM,DEVRE!$A:$A,$Q7,DEVRE!$C:$C,$P7),_xlfn.MAXIFS(DEVRE!$AM:$AM,DEVRE!$A:$A,$Q7,DEVRE!$H:$H,$P7)))</f>
        <v>0</v>
      </c>
      <c r="AA7" s="4">
        <f>IF(OR($I7="",$Q7="",$P7=""),"",$I7*INDEX(PANO_ADET,MATCH($Q7,PANO_ID,0)))</f>
        <v>1</v>
      </c>
      <c r="AB7" s="4">
        <f>IF($P7="",0,IF(AND($U7="",COUNTIF(ALAN_TIP_LIST,$C7)&gt;0),1,0))</f>
        <v>0</v>
      </c>
      <c r="AC7" s="4">
        <f>IF(OR($P7="",$C7&lt;&gt;"kontaktör"),0,IF(IF(INDEX(FIYAT_BOBIN,MATCH($P7,FIYAT_KOD,0))="","",INDEX(FIYAT_BOBIN,MATCH($P7,FIYAT_KOD,0)))="",1,0))</f>
        <v>0</v>
      </c>
    </row>
    <row r="8" spans="1:29" x14ac:dyDescent="0.35">
      <c r="A8" s="4">
        <f t="shared" si="0"/>
        <v>7</v>
      </c>
      <c r="B8" s="4" t="str">
        <f t="shared" si="1"/>
        <v>Механическая блокировка MI-9 для NXC-120-225</v>
      </c>
      <c r="C8" s="5" t="s">
        <v>51</v>
      </c>
      <c r="D8" s="4" t="str">
        <f t="shared" si="2"/>
        <v>263761</v>
      </c>
      <c r="E8" s="4" t="str">
        <f t="shared" si="3"/>
        <v>Механическая блокировка MI-9 для NXC-120-225</v>
      </c>
      <c r="F8" s="4">
        <f t="shared" si="4"/>
        <v>3506</v>
      </c>
      <c r="G8" s="4">
        <f t="shared" si="5"/>
        <v>2103.6</v>
      </c>
      <c r="H8" s="4">
        <f>IF(OR($G8="",$I8="",$M8="KONTROL",$M8="KAPSAM_DISI"),"",$G8*$I8)</f>
        <v>2103.6</v>
      </c>
      <c r="I8" s="5">
        <v>1</v>
      </c>
      <c r="J8" s="4" t="str">
        <f t="shared" si="6"/>
        <v>шт</v>
      </c>
      <c r="K8" s="4" t="str">
        <f t="shared" si="7"/>
        <v>CHINT</v>
      </c>
      <c r="L8" s="4">
        <f t="shared" si="8"/>
        <v>2103.6</v>
      </c>
      <c r="M8" s="4" t="str">
        <f t="shared" si="9"/>
        <v>VARSAYIM</v>
      </c>
      <c r="N8" s="4" t="s">
        <v>52</v>
      </c>
      <c r="O8" s="4" t="str">
        <f t="shared" si="10"/>
        <v>CHINT2608</v>
      </c>
      <c r="P8" s="5" t="s">
        <v>53</v>
      </c>
      <c r="Q8" s="4" t="str">
        <f t="shared" si="11"/>
        <v>P01</v>
      </c>
      <c r="R8" s="6"/>
      <c r="S8" s="5" t="s">
        <v>54</v>
      </c>
      <c r="T8" s="4" t="str">
        <f>IF(OR($R8="",$I8=""),"",$I8*INDEX(NORM_DK,MATCH($R8,NORM_AD,0)))</f>
        <v/>
      </c>
      <c r="U8" s="4" t="str">
        <f>IF(OR($P8="",$I8=""),"",IF(IF(INDEX(FIYAT_ALAN,MATCH($P8,FIYAT_KOD,0))="","",INDEX(FIYAT_ALAN,MATCH($P8,FIYAT_KOD,0)))&lt;&gt;"",$I8*IF(INDEX(FIYAT_ALAN,MATCH($P8,FIYAT_KOD,0))="","",INDEX(FIYAT_ALAN,MATCH($P8,FIYAT_KOD,0))),IF(IF(INDEX(FIYAT_MODUL,MATCH($P8,FIYAT_KOD,0))="","",INDEX(FIYAT_MODUL,MATCH($P8,FIYAT_KOD,0)))&lt;&gt;"",$I8*IF(INDEX(FIYAT_MODUL,MATCH($P8,FIYAT_KOD,0))="","",INDEX(FIYAT_MODUL,MATCH($P8,FIYAT_KOD,0))),IF(IF(INDEX(FIYAT_GENISLIK,MATCH($P8,FIYAT_KOD,0))="","",INDEX(FIYAT_GENISLIK,MATCH($P8,FIYAT_KOD,0)))&lt;&gt;"",$I8*IF(INDEX(FIYAT_GENISLIK,MATCH($P8,FIYAT_KOD,0))="","",INDEX(FIYAT_GENISLIK,MATCH($P8,FIYAT_KOD,0)))/MODUL_GENISLIK_MM,""))))</f>
        <v/>
      </c>
      <c r="V8" s="4" t="str">
        <f>IF(OR($C8&lt;&gt;"шина",$I8=""),"",$I8*INDEX(FIYAT_KGM,MATCH($P8,FIYAT_KOD,0)))</f>
        <v/>
      </c>
      <c r="W8" s="4">
        <f t="shared" si="12"/>
        <v>2103.6</v>
      </c>
      <c r="Y8" s="5" t="s">
        <v>55</v>
      </c>
      <c r="Z8" s="4">
        <f>IF($P8="","",MAX(_xlfn.MAXIFS(DEVRE!$AM:$AM,DEVRE!$A:$A,$Q8,DEVRE!$C:$C,$P8),_xlfn.MAXIFS(DEVRE!$AM:$AM,DEVRE!$A:$A,$Q8,DEVRE!$H:$H,$P8)))</f>
        <v>0</v>
      </c>
      <c r="AA8" s="4">
        <f>IF(OR($I8="",$Q8="",$P8=""),"",$I8*INDEX(PANO_ADET,MATCH($Q8,PANO_ID,0)))</f>
        <v>1</v>
      </c>
      <c r="AB8" s="4">
        <f>IF($P8="",0,IF(AND($U8="",COUNTIF(ALAN_TIP_LIST,$C8)&gt;0),1,0))</f>
        <v>0</v>
      </c>
      <c r="AC8" s="4">
        <f>IF(OR($P8="",$C8&lt;&gt;"kontaktör"),0,IF(IF(INDEX(FIYAT_BOBIN,MATCH($P8,FIYAT_KOD,0))="","",INDEX(FIYAT_BOBIN,MATCH($P8,FIYAT_KOD,0)))="",1,0))</f>
        <v>0</v>
      </c>
    </row>
    <row r="9" spans="1:29" x14ac:dyDescent="0.35">
      <c r="A9" s="4">
        <f t="shared" si="0"/>
        <v>8</v>
      </c>
      <c r="B9" s="4" t="str">
        <f t="shared" si="1"/>
        <v>Контактор 3P 125A AC-3 230V</v>
      </c>
      <c r="C9" s="5" t="s">
        <v>56</v>
      </c>
      <c r="D9" s="4" t="str">
        <f t="shared" si="2"/>
        <v/>
      </c>
      <c r="E9" s="4" t="str">
        <f t="shared" si="3"/>
        <v>Контактор 3P 125A AC-3 230V</v>
      </c>
      <c r="F9" s="4" t="str">
        <f t="shared" si="4"/>
        <v/>
      </c>
      <c r="G9" s="4" t="str">
        <f t="shared" si="5"/>
        <v/>
      </c>
      <c r="H9" s="4" t="str">
        <f>IF(OR($G9="",$I9="",$M9="KONTROL",$M9="KAPSAM_DISI"),"",$G9*$I9)</f>
        <v/>
      </c>
      <c r="I9" s="5">
        <v>2</v>
      </c>
      <c r="J9" s="4" t="str">
        <f t="shared" si="6"/>
        <v>шт</v>
      </c>
      <c r="K9" s="4" t="str">
        <f t="shared" si="7"/>
        <v>CHINT</v>
      </c>
      <c r="L9" s="4" t="str">
        <f t="shared" si="8"/>
        <v/>
      </c>
      <c r="M9" s="4" t="str">
        <f t="shared" si="9"/>
        <v>FIYAT_YOK</v>
      </c>
      <c r="N9" s="4" t="s">
        <v>57</v>
      </c>
      <c r="O9" s="4" t="str">
        <f t="shared" si="10"/>
        <v>CHINT2608</v>
      </c>
      <c r="P9" s="5" t="s">
        <v>58</v>
      </c>
      <c r="Q9" s="4" t="str">
        <f t="shared" si="11"/>
        <v>P01</v>
      </c>
      <c r="R9" s="5" t="s">
        <v>59</v>
      </c>
      <c r="S9" s="6"/>
      <c r="T9" s="4">
        <f>IF(OR($R9="",$I9=""),"",$I9*INDEX(NORM_DK,MATCH($R9,NORM_AD,0)))</f>
        <v>0</v>
      </c>
      <c r="U9" s="4" t="str">
        <f>IF(OR($P9="",$I9=""),"",IF(IF(INDEX(FIYAT_ALAN,MATCH($P9,FIYAT_KOD,0))="","",INDEX(FIYAT_ALAN,MATCH($P9,FIYAT_KOD,0)))&lt;&gt;"",$I9*IF(INDEX(FIYAT_ALAN,MATCH($P9,FIYAT_KOD,0))="","",INDEX(FIYAT_ALAN,MATCH($P9,FIYAT_KOD,0))),IF(IF(INDEX(FIYAT_MODUL,MATCH($P9,FIYAT_KOD,0))="","",INDEX(FIYAT_MODUL,MATCH($P9,FIYAT_KOD,0)))&lt;&gt;"",$I9*IF(INDEX(FIYAT_MODUL,MATCH($P9,FIYAT_KOD,0))="","",INDEX(FIYAT_MODUL,MATCH($P9,FIYAT_KOD,0))),IF(IF(INDEX(FIYAT_GENISLIK,MATCH($P9,FIYAT_KOD,0))="","",INDEX(FIYAT_GENISLIK,MATCH($P9,FIYAT_KOD,0)))&lt;&gt;"",$I9*IF(INDEX(FIYAT_GENISLIK,MATCH($P9,FIYAT_KOD,0))="","",INDEX(FIYAT_GENISLIK,MATCH($P9,FIYAT_KOD,0)))/MODUL_GENISLIK_MM,""))))</f>
        <v/>
      </c>
      <c r="V9" s="4" t="str">
        <f>IF(OR($C9&lt;&gt;"шина",$I9=""),"",$I9*INDEX(FIYAT_KGM,MATCH($P9,FIYAT_KOD,0)))</f>
        <v/>
      </c>
      <c r="W9" s="4" t="str">
        <f t="shared" si="12"/>
        <v/>
      </c>
      <c r="Y9" s="5" t="s">
        <v>55</v>
      </c>
      <c r="Z9" s="4">
        <f>IF($P9="","",MAX(_xlfn.MAXIFS(DEVRE!$AM:$AM,DEVRE!$A:$A,$Q9,DEVRE!$C:$C,$P9),_xlfn.MAXIFS(DEVRE!$AM:$AM,DEVRE!$A:$A,$Q9,DEVRE!$H:$H,$P9)))</f>
        <v>0</v>
      </c>
      <c r="AA9" s="4">
        <f>IF(OR($I9="",$Q9="",$P9=""),"",$I9*INDEX(PANO_ADET,MATCH($Q9,PANO_ID,0)))</f>
        <v>2</v>
      </c>
      <c r="AB9" s="4">
        <f>IF($P9="",0,IF(AND($U9="",COUNTIF(ALAN_TIP_LIST,$C9)&gt;0),1,0))</f>
        <v>1</v>
      </c>
      <c r="AC9" s="4">
        <f>IF(OR($P9="",$C9&lt;&gt;"kontaktör"),0,IF(IF(INDEX(FIYAT_BOBIN,MATCH($P9,FIYAT_KOD,0))="","",INDEX(FIYAT_BOBIN,MATCH($P9,FIYAT_KOD,0)))="",1,0))</f>
        <v>0</v>
      </c>
    </row>
    <row r="10" spans="1:29" x14ac:dyDescent="0.35">
      <c r="A10" s="4">
        <f t="shared" si="0"/>
        <v>9</v>
      </c>
      <c r="B10" s="4" t="str">
        <f t="shared" si="1"/>
        <v>Авт. выкл. NXB-63 1P 6A 6кА х-ка C</v>
      </c>
      <c r="C10" s="5" t="s">
        <v>47</v>
      </c>
      <c r="D10" s="4" t="str">
        <f t="shared" si="2"/>
        <v>814012</v>
      </c>
      <c r="E10" s="4" t="str">
        <f t="shared" si="3"/>
        <v>Авт. выкл. NXB-63 1P 6A 6кА х-ка C</v>
      </c>
      <c r="F10" s="4">
        <f t="shared" si="4"/>
        <v>1436</v>
      </c>
      <c r="G10" s="4">
        <f t="shared" si="5"/>
        <v>861.6</v>
      </c>
      <c r="H10" s="4">
        <f>IF(OR($G10="",$I10="",$M10="KONTROL",$M10="KAPSAM_DISI"),"",$G10*$I10)</f>
        <v>4308</v>
      </c>
      <c r="I10" s="4">
        <f>SUMIFS(DEVRE!$T:$T,DEVRE!$A:$A,$Q10,DEVRE!$C:$C,$P10)+SUMIFS(DEVRE!$U:$U,DEVRE!$A:$A,$Q10,DEVRE!$H:$H,$P10)</f>
        <v>5</v>
      </c>
      <c r="J10" s="4" t="str">
        <f t="shared" si="6"/>
        <v>шт</v>
      </c>
      <c r="K10" s="4" t="str">
        <f t="shared" si="7"/>
        <v>CHINT</v>
      </c>
      <c r="L10" s="4">
        <f t="shared" si="8"/>
        <v>4308</v>
      </c>
      <c r="M10" s="4" t="str">
        <f t="shared" si="9"/>
        <v>OTO</v>
      </c>
      <c r="N10" s="4" t="s">
        <v>60</v>
      </c>
      <c r="O10" s="4" t="str">
        <f t="shared" si="10"/>
        <v>CHINT2608</v>
      </c>
      <c r="P10" s="5" t="s">
        <v>61</v>
      </c>
      <c r="Q10" s="4" t="str">
        <f t="shared" si="11"/>
        <v>P01</v>
      </c>
      <c r="R10" s="5" t="s">
        <v>62</v>
      </c>
      <c r="T10" s="4">
        <f>IF(OR($R10="",$I10=""),"",$I10*INDEX(NORM_DK,MATCH($R10,NORM_AD,0)))</f>
        <v>0</v>
      </c>
      <c r="U10" s="4">
        <f>IF(OR($P10="",$I10=""),"",IF(IF(INDEX(FIYAT_ALAN,MATCH($P10,FIYAT_KOD,0))="","",INDEX(FIYAT_ALAN,MATCH($P10,FIYAT_KOD,0)))&lt;&gt;"",$I10*IF(INDEX(FIYAT_ALAN,MATCH($P10,FIYAT_KOD,0))="","",INDEX(FIYAT_ALAN,MATCH($P10,FIYAT_KOD,0))),IF(IF(INDEX(FIYAT_MODUL,MATCH($P10,FIYAT_KOD,0))="","",INDEX(FIYAT_MODUL,MATCH($P10,FIYAT_KOD,0)))&lt;&gt;"",$I10*IF(INDEX(FIYAT_MODUL,MATCH($P10,FIYAT_KOD,0))="","",INDEX(FIYAT_MODUL,MATCH($P10,FIYAT_KOD,0))),IF(IF(INDEX(FIYAT_GENISLIK,MATCH($P10,FIYAT_KOD,0))="","",INDEX(FIYAT_GENISLIK,MATCH($P10,FIYAT_KOD,0)))&lt;&gt;"",$I10*IF(INDEX(FIYAT_GENISLIK,MATCH($P10,FIYAT_KOD,0))="","",INDEX(FIYAT_GENISLIK,MATCH($P10,FIYAT_KOD,0)))/MODUL_GENISLIK_MM,""))))</f>
        <v>5</v>
      </c>
      <c r="V10" s="4" t="str">
        <f>IF(OR($C10&lt;&gt;"шина",$I10=""),"",$I10*INDEX(FIYAT_KGM,MATCH($P10,FIYAT_KOD,0)))</f>
        <v/>
      </c>
      <c r="W10" s="4">
        <f t="shared" si="12"/>
        <v>4308</v>
      </c>
      <c r="Y10" s="5" t="s">
        <v>39</v>
      </c>
      <c r="Z10" s="4">
        <f>IF($P10="","",MAX(_xlfn.MAXIFS(DEVRE!$AM:$AM,DEVRE!$A:$A,$Q10,DEVRE!$C:$C,$P10),_xlfn.MAXIFS(DEVRE!$AM:$AM,DEVRE!$A:$A,$Q10,DEVRE!$H:$H,$P10)))</f>
        <v>1</v>
      </c>
      <c r="AA10" s="4">
        <f>IF(OR($I10="",$Q10="",$P10=""),"",$I10*INDEX(PANO_ADET,MATCH($Q10,PANO_ID,0)))</f>
        <v>5</v>
      </c>
      <c r="AB10" s="4">
        <f>IF($P10="",0,IF(AND($U10="",COUNTIF(ALAN_TIP_LIST,$C10)&gt;0),1,0))</f>
        <v>0</v>
      </c>
      <c r="AC10" s="4">
        <f>IF(OR($P10="",$C10&lt;&gt;"kontaktör"),0,IF(IF(INDEX(FIYAT_BOBIN,MATCH($P10,FIYAT_KOD,0))="","",INDEX(FIYAT_BOBIN,MATCH($P10,FIYAT_KOD,0)))="",1,0))</f>
        <v>0</v>
      </c>
    </row>
    <row r="11" spans="1:29" x14ac:dyDescent="0.35">
      <c r="A11" s="4">
        <f t="shared" si="0"/>
        <v>10</v>
      </c>
      <c r="B11" s="4" t="str">
        <f t="shared" si="1"/>
        <v>Реле контроля фаз NJB1-X AC380V</v>
      </c>
      <c r="C11" s="5" t="s">
        <v>63</v>
      </c>
      <c r="D11" s="4" t="str">
        <f t="shared" si="2"/>
        <v>310008</v>
      </c>
      <c r="E11" s="4" t="str">
        <f t="shared" si="3"/>
        <v>Реле контроля фаз NJB1-X AC380V</v>
      </c>
      <c r="F11" s="4">
        <f t="shared" si="4"/>
        <v>16808</v>
      </c>
      <c r="G11" s="4">
        <f t="shared" si="5"/>
        <v>10084.799999999999</v>
      </c>
      <c r="H11" s="4">
        <f>IF(OR($G11="",$I11="",$M11="KONTROL",$M11="KAPSAM_DISI"),"",$G11*$I11)</f>
        <v>20169.599999999999</v>
      </c>
      <c r="I11" s="5">
        <v>2</v>
      </c>
      <c r="J11" s="4" t="str">
        <f t="shared" si="6"/>
        <v>шт</v>
      </c>
      <c r="K11" s="4" t="str">
        <f t="shared" si="7"/>
        <v>CHINT</v>
      </c>
      <c r="L11" s="4">
        <f t="shared" si="8"/>
        <v>20169.599999999999</v>
      </c>
      <c r="M11" s="4" t="str">
        <f t="shared" si="9"/>
        <v>VARSAYIM</v>
      </c>
      <c r="N11" s="4" t="s">
        <v>64</v>
      </c>
      <c r="O11" s="4" t="str">
        <f t="shared" si="10"/>
        <v>CHINT2608</v>
      </c>
      <c r="P11" s="5" t="s">
        <v>65</v>
      </c>
      <c r="Q11" s="4" t="str">
        <f t="shared" si="11"/>
        <v>P01</v>
      </c>
      <c r="R11" s="5" t="s">
        <v>66</v>
      </c>
      <c r="S11" s="5" t="s">
        <v>54</v>
      </c>
      <c r="T11" s="4">
        <f>IF(OR($R11="",$I11=""),"",$I11*INDEX(NORM_DK,MATCH($R11,NORM_AD,0)))</f>
        <v>0</v>
      </c>
      <c r="U11" s="4" t="str">
        <f>IF(OR($P11="",$I11=""),"",IF(IF(INDEX(FIYAT_ALAN,MATCH($P11,FIYAT_KOD,0))="","",INDEX(FIYAT_ALAN,MATCH($P11,FIYAT_KOD,0)))&lt;&gt;"",$I11*IF(INDEX(FIYAT_ALAN,MATCH($P11,FIYAT_KOD,0))="","",INDEX(FIYAT_ALAN,MATCH($P11,FIYAT_KOD,0))),IF(IF(INDEX(FIYAT_MODUL,MATCH($P11,FIYAT_KOD,0))="","",INDEX(FIYAT_MODUL,MATCH($P11,FIYAT_KOD,0)))&lt;&gt;"",$I11*IF(INDEX(FIYAT_MODUL,MATCH($P11,FIYAT_KOD,0))="","",INDEX(FIYAT_MODUL,MATCH($P11,FIYAT_KOD,0))),IF(IF(INDEX(FIYAT_GENISLIK,MATCH($P11,FIYAT_KOD,0))="","",INDEX(FIYAT_GENISLIK,MATCH($P11,FIYAT_KOD,0)))&lt;&gt;"",$I11*IF(INDEX(FIYAT_GENISLIK,MATCH($P11,FIYAT_KOD,0))="","",INDEX(FIYAT_GENISLIK,MATCH($P11,FIYAT_KOD,0)))/MODUL_GENISLIK_MM,""))))</f>
        <v/>
      </c>
      <c r="V11" s="4" t="str">
        <f>IF(OR($C11&lt;&gt;"шина",$I11=""),"",$I11*INDEX(FIYAT_KGM,MATCH($P11,FIYAT_KOD,0)))</f>
        <v/>
      </c>
      <c r="W11" s="4">
        <f t="shared" si="12"/>
        <v>20169.599999999999</v>
      </c>
      <c r="Y11" s="5" t="s">
        <v>55</v>
      </c>
      <c r="Z11" s="4">
        <f>IF($P11="","",MAX(_xlfn.MAXIFS(DEVRE!$AM:$AM,DEVRE!$A:$A,$Q11,DEVRE!$C:$C,$P11),_xlfn.MAXIFS(DEVRE!$AM:$AM,DEVRE!$A:$A,$Q11,DEVRE!$H:$H,$P11)))</f>
        <v>0</v>
      </c>
      <c r="AA11" s="4">
        <f>IF(OR($I11="",$Q11="",$P11=""),"",$I11*INDEX(PANO_ADET,MATCH($Q11,PANO_ID,0)))</f>
        <v>2</v>
      </c>
      <c r="AB11" s="4">
        <f>IF($P11="",0,IF(AND($U11="",COUNTIF(ALAN_TIP_LIST,$C11)&gt;0),1,0))</f>
        <v>0</v>
      </c>
      <c r="AC11" s="4">
        <f>IF(OR($P11="",$C11&lt;&gt;"kontaktör"),0,IF(IF(INDEX(FIYAT_BOBIN,MATCH($P11,FIYAT_KOD,0))="","",INDEX(FIYAT_BOBIN,MATCH($P11,FIYAT_KOD,0)))="",1,0))</f>
        <v>0</v>
      </c>
    </row>
    <row r="12" spans="1:29" x14ac:dyDescent="0.35">
      <c r="A12" s="4">
        <f t="shared" si="0"/>
        <v>11</v>
      </c>
      <c r="B12" s="4" t="str">
        <f t="shared" si="1"/>
        <v>Светильник ЛПО 2001 8Вт</v>
      </c>
      <c r="C12" s="5" t="s">
        <v>67</v>
      </c>
      <c r="D12" s="4" t="str">
        <f t="shared" si="2"/>
        <v/>
      </c>
      <c r="E12" s="4" t="str">
        <f t="shared" si="3"/>
        <v>Светильник ЛПО 2001 8Вт</v>
      </c>
      <c r="F12" s="4" t="str">
        <f t="shared" si="4"/>
        <v/>
      </c>
      <c r="G12" s="4" t="str">
        <f t="shared" si="5"/>
        <v/>
      </c>
      <c r="H12" s="4" t="str">
        <f>IF(OR($G12="",$I12="",$M12="KONTROL",$M12="KAPSAM_DISI"),"",$G12*$I12)</f>
        <v/>
      </c>
      <c r="I12" s="5">
        <v>2</v>
      </c>
      <c r="J12" s="4" t="str">
        <f t="shared" si="6"/>
        <v>шт</v>
      </c>
      <c r="K12" s="4" t="str">
        <f t="shared" si="7"/>
        <v>CHINT</v>
      </c>
      <c r="L12" s="4" t="str">
        <f t="shared" si="8"/>
        <v/>
      </c>
      <c r="M12" s="4" t="str">
        <f t="shared" si="9"/>
        <v>FIYAT_YOK</v>
      </c>
      <c r="N12" s="4" t="s">
        <v>68</v>
      </c>
      <c r="O12" s="4" t="str">
        <f t="shared" si="10"/>
        <v>CHINT2608</v>
      </c>
      <c r="P12" s="5" t="s">
        <v>69</v>
      </c>
      <c r="Q12" s="4" t="str">
        <f t="shared" si="11"/>
        <v>P01</v>
      </c>
      <c r="R12" s="5" t="s">
        <v>70</v>
      </c>
      <c r="S12" s="6"/>
      <c r="T12" s="4">
        <f>IF(OR($R12="",$I12=""),"",$I12*INDEX(NORM_DK,MATCH($R12,NORM_AD,0)))</f>
        <v>0</v>
      </c>
      <c r="U12" s="4" t="str">
        <f>IF(OR($P12="",$I12=""),"",IF(IF(INDEX(FIYAT_ALAN,MATCH($P12,FIYAT_KOD,0))="","",INDEX(FIYAT_ALAN,MATCH($P12,FIYAT_KOD,0)))&lt;&gt;"",$I12*IF(INDEX(FIYAT_ALAN,MATCH($P12,FIYAT_KOD,0))="","",INDEX(FIYAT_ALAN,MATCH($P12,FIYAT_KOD,0))),IF(IF(INDEX(FIYAT_MODUL,MATCH($P12,FIYAT_KOD,0))="","",INDEX(FIYAT_MODUL,MATCH($P12,FIYAT_KOD,0)))&lt;&gt;"",$I12*IF(INDEX(FIYAT_MODUL,MATCH($P12,FIYAT_KOD,0))="","",INDEX(FIYAT_MODUL,MATCH($P12,FIYAT_KOD,0))),IF(IF(INDEX(FIYAT_GENISLIK,MATCH($P12,FIYAT_KOD,0))="","",INDEX(FIYAT_GENISLIK,MATCH($P12,FIYAT_KOD,0)))&lt;&gt;"",$I12*IF(INDEX(FIYAT_GENISLIK,MATCH($P12,FIYAT_KOD,0))="","",INDEX(FIYAT_GENISLIK,MATCH($P12,FIYAT_KOD,0)))/MODUL_GENISLIK_MM,""))))</f>
        <v/>
      </c>
      <c r="V12" s="4" t="str">
        <f>IF(OR($C12&lt;&gt;"шина",$I12=""),"",$I12*INDEX(FIYAT_KGM,MATCH($P12,FIYAT_KOD,0)))</f>
        <v/>
      </c>
      <c r="W12" s="4" t="str">
        <f t="shared" si="12"/>
        <v/>
      </c>
      <c r="Y12" s="5" t="s">
        <v>55</v>
      </c>
      <c r="Z12" s="4">
        <f>IF($P12="","",MAX(_xlfn.MAXIFS(DEVRE!$AM:$AM,DEVRE!$A:$A,$Q12,DEVRE!$C:$C,$P12),_xlfn.MAXIFS(DEVRE!$AM:$AM,DEVRE!$A:$A,$Q12,DEVRE!$H:$H,$P12)))</f>
        <v>0</v>
      </c>
      <c r="AA12" s="4">
        <f>IF(OR($I12="",$Q12="",$P12=""),"",$I12*INDEX(PANO_ADET,MATCH($Q12,PANO_ID,0)))</f>
        <v>2</v>
      </c>
      <c r="AB12" s="4">
        <f>IF($P12="",0,IF(AND($U12="",COUNTIF(ALAN_TIP_LIST,$C12)&gt;0),1,0))</f>
        <v>0</v>
      </c>
      <c r="AC12" s="4">
        <f>IF(OR($P12="",$C12&lt;&gt;"kontaktör"),0,IF(IF(INDEX(FIYAT_BOBIN,MATCH($P12,FIYAT_KOD,0))="","",INDEX(FIYAT_BOBIN,MATCH($P12,FIYAT_KOD,0)))="",1,0))</f>
        <v>0</v>
      </c>
    </row>
    <row r="13" spans="1:29" x14ac:dyDescent="0.35">
      <c r="A13" s="4">
        <f t="shared" si="0"/>
        <v>12</v>
      </c>
      <c r="B13" s="4" t="str">
        <f t="shared" si="1"/>
        <v/>
      </c>
      <c r="C13" s="5" t="s">
        <v>51</v>
      </c>
      <c r="D13" s="4" t="str">
        <f t="shared" si="2"/>
        <v/>
      </c>
      <c r="E13" s="4" t="str">
        <f t="shared" si="3"/>
        <v/>
      </c>
      <c r="F13" s="4" t="str">
        <f t="shared" si="4"/>
        <v/>
      </c>
      <c r="G13" s="4" t="str">
        <f t="shared" si="5"/>
        <v/>
      </c>
      <c r="H13" s="4" t="str">
        <f>IF(OR($G13="",$I13="",$M13="KONTROL",$M13="KAPSAM_DISI"),"",$G13*$I13)</f>
        <v/>
      </c>
      <c r="I13" s="4">
        <f>IF(INDEX(PANO_GIRIS,MATCH($Q13,PANO_ID,0))="EVET",1,"")</f>
        <v>1</v>
      </c>
      <c r="J13" s="4" t="str">
        <f t="shared" si="6"/>
        <v/>
      </c>
      <c r="K13" s="4" t="str">
        <f t="shared" si="7"/>
        <v/>
      </c>
      <c r="L13" s="4" t="str">
        <f t="shared" si="8"/>
        <v/>
      </c>
      <c r="M13" s="4" t="str">
        <f t="shared" si="9"/>
        <v/>
      </c>
      <c r="N13" s="4" t="s">
        <v>71</v>
      </c>
      <c r="O13" s="4" t="str">
        <f t="shared" si="10"/>
        <v/>
      </c>
      <c r="P13" s="4" t="str">
        <f>IF(GZS_KOD="","",GZS_KOD)</f>
        <v/>
      </c>
      <c r="Q13" s="4" t="str">
        <f t="shared" si="11"/>
        <v>P01</v>
      </c>
      <c r="S13" s="5" t="s">
        <v>47</v>
      </c>
      <c r="T13" s="4" t="str">
        <f>IF(OR($R13="",$I13=""),"",$I13*INDEX(NORM_DK,MATCH($R13,NORM_AD,0)))</f>
        <v/>
      </c>
      <c r="U13" s="4" t="str">
        <f>IF(OR($P13="",$I13=""),"",IF(IF(INDEX(FIYAT_ALAN,MATCH($P13,FIYAT_KOD,0))="","",INDEX(FIYAT_ALAN,MATCH($P13,FIYAT_KOD,0)))&lt;&gt;"",$I13*IF(INDEX(FIYAT_ALAN,MATCH($P13,FIYAT_KOD,0))="","",INDEX(FIYAT_ALAN,MATCH($P13,FIYAT_KOD,0))),IF(IF(INDEX(FIYAT_MODUL,MATCH($P13,FIYAT_KOD,0))="","",INDEX(FIYAT_MODUL,MATCH($P13,FIYAT_KOD,0)))&lt;&gt;"",$I13*IF(INDEX(FIYAT_MODUL,MATCH($P13,FIYAT_KOD,0))="","",INDEX(FIYAT_MODUL,MATCH($P13,FIYAT_KOD,0))),IF(IF(INDEX(FIYAT_GENISLIK,MATCH($P13,FIYAT_KOD,0))="","",INDEX(FIYAT_GENISLIK,MATCH($P13,FIYAT_KOD,0)))&lt;&gt;"",$I13*IF(INDEX(FIYAT_GENISLIK,MATCH($P13,FIYAT_KOD,0))="","",INDEX(FIYAT_GENISLIK,MATCH($P13,FIYAT_KOD,0)))/MODUL_GENISLIK_MM,""))))</f>
        <v/>
      </c>
      <c r="V13" s="4" t="str">
        <f>IF(OR($C13&lt;&gt;"шина",$I13=""),"",$I13*INDEX(FIYAT_KGM,MATCH($P13,FIYAT_KOD,0)))</f>
        <v/>
      </c>
      <c r="W13" s="4" t="str">
        <f t="shared" si="12"/>
        <v/>
      </c>
      <c r="Y13" s="5" t="s">
        <v>72</v>
      </c>
      <c r="Z13" s="4" t="str">
        <f>IF($P13="","",MAX(_xlfn.MAXIFS(DEVRE!$AM:$AM,DEVRE!$A:$A,$Q13,DEVRE!$C:$C,$P13),_xlfn.MAXIFS(DEVRE!$AM:$AM,DEVRE!$A:$A,$Q13,DEVRE!$H:$H,$P13)))</f>
        <v/>
      </c>
      <c r="AA13" s="4" t="str">
        <f>IF(OR($I13="",$Q13="",$P13=""),"",$I13*INDEX(PANO_ADET,MATCH($Q13,PANO_ID,0)))</f>
        <v/>
      </c>
      <c r="AB13" s="4">
        <f>IF($P13="",0,IF(AND($U13="",COUNTIF(ALAN_TIP_LIST,$C13)&gt;0),1,0))</f>
        <v>0</v>
      </c>
      <c r="AC13" s="4">
        <f>IF(OR($P13="",$C13&lt;&gt;"kontaktör"),0,IF(IF(INDEX(FIYAT_BOBIN,MATCH($P13,FIYAT_KOD,0))="","",INDEX(FIYAT_BOBIN,MATCH($P13,FIYAT_KOD,0)))="",1,0))</f>
        <v>0</v>
      </c>
    </row>
    <row r="14" spans="1:29" x14ac:dyDescent="0.35">
      <c r="A14" s="4">
        <f t="shared" si="0"/>
        <v>13</v>
      </c>
      <c r="B14" s="4" t="str">
        <f t="shared" si="1"/>
        <v/>
      </c>
      <c r="C14" s="5" t="s">
        <v>51</v>
      </c>
      <c r="D14" s="4" t="str">
        <f t="shared" si="2"/>
        <v/>
      </c>
      <c r="E14" s="4" t="str">
        <f t="shared" si="3"/>
        <v/>
      </c>
      <c r="F14" s="4" t="str">
        <f t="shared" si="4"/>
        <v/>
      </c>
      <c r="G14" s="4" t="str">
        <f t="shared" si="5"/>
        <v/>
      </c>
      <c r="H14" s="4" t="str">
        <f>IF(OR($G14="",$I14="",$M14="KONTROL",$M14="KAPSAM_DISI"),"",$G14*$I14)</f>
        <v/>
      </c>
      <c r="I14" s="4" t="str">
        <f>IF(INDEX(PANO_PEN,MATCH($Q14,PANO_ID,0))=0,"",1)</f>
        <v/>
      </c>
      <c r="J14" s="4" t="str">
        <f t="shared" si="6"/>
        <v/>
      </c>
      <c r="K14" s="4" t="str">
        <f t="shared" si="7"/>
        <v/>
      </c>
      <c r="L14" s="4" t="str">
        <f t="shared" si="8"/>
        <v/>
      </c>
      <c r="M14" s="4" t="str">
        <f t="shared" si="9"/>
        <v/>
      </c>
      <c r="N14" s="4" t="s">
        <v>73</v>
      </c>
      <c r="O14" s="4" t="str">
        <f t="shared" si="10"/>
        <v/>
      </c>
      <c r="P14" s="4" t="str">
        <f>IF(PEN_KOPRU_KOD="","",PEN_KOPRU_KOD)</f>
        <v/>
      </c>
      <c r="Q14" s="4" t="str">
        <f t="shared" si="11"/>
        <v>P01</v>
      </c>
      <c r="S14" s="5" t="s">
        <v>47</v>
      </c>
      <c r="T14" s="4" t="str">
        <f>IF(OR($R14="",$I14=""),"",$I14*INDEX(NORM_DK,MATCH($R14,NORM_AD,0)))</f>
        <v/>
      </c>
      <c r="U14" s="4" t="str">
        <f>IF(OR($P14="",$I14=""),"",IF(IF(INDEX(FIYAT_ALAN,MATCH($P14,FIYAT_KOD,0))="","",INDEX(FIYAT_ALAN,MATCH($P14,FIYAT_KOD,0)))&lt;&gt;"",$I14*IF(INDEX(FIYAT_ALAN,MATCH($P14,FIYAT_KOD,0))="","",INDEX(FIYAT_ALAN,MATCH($P14,FIYAT_KOD,0))),IF(IF(INDEX(FIYAT_MODUL,MATCH($P14,FIYAT_KOD,0))="","",INDEX(FIYAT_MODUL,MATCH($P14,FIYAT_KOD,0)))&lt;&gt;"",$I14*IF(INDEX(FIYAT_MODUL,MATCH($P14,FIYAT_KOD,0))="","",INDEX(FIYAT_MODUL,MATCH($P14,FIYAT_KOD,0))),IF(IF(INDEX(FIYAT_GENISLIK,MATCH($P14,FIYAT_KOD,0))="","",INDEX(FIYAT_GENISLIK,MATCH($P14,FIYAT_KOD,0)))&lt;&gt;"",$I14*IF(INDEX(FIYAT_GENISLIK,MATCH($P14,FIYAT_KOD,0))="","",INDEX(FIYAT_GENISLIK,MATCH($P14,FIYAT_KOD,0)))/MODUL_GENISLIK_MM,""))))</f>
        <v/>
      </c>
      <c r="V14" s="4" t="str">
        <f>IF(OR($C14&lt;&gt;"шина",$I14=""),"",$I14*INDEX(FIYAT_KGM,MATCH($P14,FIYAT_KOD,0)))</f>
        <v/>
      </c>
      <c r="W14" s="4" t="str">
        <f t="shared" si="12"/>
        <v/>
      </c>
      <c r="Y14" s="5" t="s">
        <v>74</v>
      </c>
      <c r="Z14" s="4" t="str">
        <f>IF($P14="","",MAX(_xlfn.MAXIFS(DEVRE!$AM:$AM,DEVRE!$A:$A,$Q14,DEVRE!$C:$C,$P14),_xlfn.MAXIFS(DEVRE!$AM:$AM,DEVRE!$A:$A,$Q14,DEVRE!$H:$H,$P14)))</f>
        <v/>
      </c>
      <c r="AA14" s="4" t="str">
        <f>IF(OR($I14="",$Q14="",$P14=""),"",$I14*INDEX(PANO_ADET,MATCH($Q14,PANO_ID,0)))</f>
        <v/>
      </c>
      <c r="AB14" s="4">
        <f>IF($P14="",0,IF(AND($U14="",COUNTIF(ALAN_TIP_LIST,$C14)&gt;0),1,0))</f>
        <v>0</v>
      </c>
      <c r="AC14" s="4">
        <f>IF(OR($P14="",$C14&lt;&gt;"kontaktör"),0,IF(IF(INDEX(FIYAT_BOBIN,MATCH($P14,FIYAT_KOD,0))="","",INDEX(FIYAT_BOBIN,MATCH($P14,FIYAT_KOD,0)))="",1,0))</f>
        <v>0</v>
      </c>
    </row>
    <row r="15" spans="1:29" x14ac:dyDescent="0.35">
      <c r="A15" s="4">
        <f t="shared" si="0"/>
        <v>14</v>
      </c>
      <c r="B15" s="4" t="str">
        <f t="shared" si="1"/>
        <v/>
      </c>
      <c r="C15" s="5" t="s">
        <v>51</v>
      </c>
      <c r="D15" s="4" t="str">
        <f t="shared" si="2"/>
        <v/>
      </c>
      <c r="E15" s="4" t="str">
        <f t="shared" si="3"/>
        <v/>
      </c>
      <c r="F15" s="4" t="str">
        <f t="shared" si="4"/>
        <v/>
      </c>
      <c r="G15" s="4" t="str">
        <f t="shared" si="5"/>
        <v/>
      </c>
      <c r="H15" s="4" t="str">
        <f>IF(OR($G15="",$I15="",$M15="KONTROL",$M15="KAPSAM_DISI"),"",$G15*$I15)</f>
        <v/>
      </c>
      <c r="I15" s="4">
        <f>IF(INDEX(PANO_BARA_GEREK,MATCH($Q15,PANO_ID,0))="HAYIR",2,"")</f>
        <v>2</v>
      </c>
      <c r="J15" s="4" t="str">
        <f t="shared" si="6"/>
        <v/>
      </c>
      <c r="K15" s="4" t="str">
        <f t="shared" si="7"/>
        <v/>
      </c>
      <c r="L15" s="4" t="str">
        <f t="shared" si="8"/>
        <v/>
      </c>
      <c r="M15" s="4" t="str">
        <f t="shared" si="9"/>
        <v/>
      </c>
      <c r="N15" s="4" t="s">
        <v>75</v>
      </c>
      <c r="O15" s="4" t="str">
        <f t="shared" si="10"/>
        <v/>
      </c>
      <c r="P15" s="4" t="str">
        <f>IF(NOTR_BARA_KOD="","",NOTR_BARA_KOD)</f>
        <v/>
      </c>
      <c r="Q15" s="4" t="str">
        <f t="shared" si="11"/>
        <v>P01</v>
      </c>
      <c r="S15" s="5" t="s">
        <v>47</v>
      </c>
      <c r="T15" s="4" t="str">
        <f>IF(OR($R15="",$I15=""),"",$I15*INDEX(NORM_DK,MATCH($R15,NORM_AD,0)))</f>
        <v/>
      </c>
      <c r="U15" s="4" t="str">
        <f>IF(OR($P15="",$I15=""),"",IF(IF(INDEX(FIYAT_ALAN,MATCH($P15,FIYAT_KOD,0))="","",INDEX(FIYAT_ALAN,MATCH($P15,FIYAT_KOD,0)))&lt;&gt;"",$I15*IF(INDEX(FIYAT_ALAN,MATCH($P15,FIYAT_KOD,0))="","",INDEX(FIYAT_ALAN,MATCH($P15,FIYAT_KOD,0))),IF(IF(INDEX(FIYAT_MODUL,MATCH($P15,FIYAT_KOD,0))="","",INDEX(FIYAT_MODUL,MATCH($P15,FIYAT_KOD,0)))&lt;&gt;"",$I15*IF(INDEX(FIYAT_MODUL,MATCH($P15,FIYAT_KOD,0))="","",INDEX(FIYAT_MODUL,MATCH($P15,FIYAT_KOD,0))),IF(IF(INDEX(FIYAT_GENISLIK,MATCH($P15,FIYAT_KOD,0))="","",INDEX(FIYAT_GENISLIK,MATCH($P15,FIYAT_KOD,0)))&lt;&gt;"",$I15*IF(INDEX(FIYAT_GENISLIK,MATCH($P15,FIYAT_KOD,0))="","",INDEX(FIYAT_GENISLIK,MATCH($P15,FIYAT_KOD,0)))/MODUL_GENISLIK_MM,""))))</f>
        <v/>
      </c>
      <c r="V15" s="4" t="str">
        <f>IF(OR($C15&lt;&gt;"шина",$I15=""),"",$I15*INDEX(FIYAT_KGM,MATCH($P15,FIYAT_KOD,0)))</f>
        <v/>
      </c>
      <c r="W15" s="4" t="str">
        <f t="shared" si="12"/>
        <v/>
      </c>
      <c r="Y15" s="5" t="s">
        <v>76</v>
      </c>
      <c r="Z15" s="4" t="str">
        <f>IF($P15="","",MAX(_xlfn.MAXIFS(DEVRE!$AM:$AM,DEVRE!$A:$A,$Q15,DEVRE!$C:$C,$P15),_xlfn.MAXIFS(DEVRE!$AM:$AM,DEVRE!$A:$A,$Q15,DEVRE!$H:$H,$P15)))</f>
        <v/>
      </c>
      <c r="AA15" s="4" t="str">
        <f>IF(OR($I15="",$Q15="",$P15=""),"",$I15*INDEX(PANO_ADET,MATCH($Q15,PANO_ID,0)))</f>
        <v/>
      </c>
      <c r="AB15" s="4">
        <f>IF($P15="",0,IF(AND($U15="",COUNTIF(ALAN_TIP_LIST,$C15)&gt;0),1,0))</f>
        <v>0</v>
      </c>
      <c r="AC15" s="4">
        <f>IF(OR($P15="",$C15&lt;&gt;"kontaktör"),0,IF(IF(INDEX(FIYAT_BOBIN,MATCH($P15,FIYAT_KOD,0))="","",INDEX(FIYAT_BOBIN,MATCH($P15,FIYAT_KOD,0)))="",1,0))</f>
        <v>0</v>
      </c>
    </row>
    <row r="16" spans="1:29" x14ac:dyDescent="0.35">
      <c r="A16" s="4">
        <f t="shared" si="0"/>
        <v>15</v>
      </c>
      <c r="B16" s="4" t="str">
        <f t="shared" si="1"/>
        <v/>
      </c>
      <c r="C16" s="5" t="s">
        <v>77</v>
      </c>
      <c r="D16" s="4" t="str">
        <f t="shared" si="2"/>
        <v/>
      </c>
      <c r="E16" s="4" t="str">
        <f t="shared" si="3"/>
        <v/>
      </c>
      <c r="F16" s="4" t="str">
        <f t="shared" si="4"/>
        <v/>
      </c>
      <c r="G16" s="4" t="str">
        <f t="shared" si="5"/>
        <v/>
      </c>
      <c r="H16" s="4" t="str">
        <f>IF(OR($G16="",$I16="",$M16="KONTROL",$M16="KAPSAM_DISI"),"",$G16*$I16)</f>
        <v/>
      </c>
      <c r="I16" s="4" t="str">
        <f>INDEX(PANO_DIN_M,MATCH($Q16,PANO_ID,0))</f>
        <v/>
      </c>
      <c r="J16" s="4" t="str">
        <f t="shared" si="6"/>
        <v/>
      </c>
      <c r="K16" s="4" t="str">
        <f t="shared" si="7"/>
        <v/>
      </c>
      <c r="L16" s="4" t="str">
        <f t="shared" si="8"/>
        <v/>
      </c>
      <c r="M16" s="4" t="str">
        <f t="shared" si="9"/>
        <v/>
      </c>
      <c r="N16" s="4" t="s">
        <v>78</v>
      </c>
      <c r="O16" s="4" t="str">
        <f t="shared" si="10"/>
        <v/>
      </c>
      <c r="P16" s="4" t="str">
        <f>IF(DINRAY_KOD="","",DINRAY_KOD)</f>
        <v/>
      </c>
      <c r="Q16" s="4" t="str">
        <f t="shared" si="11"/>
        <v>P01</v>
      </c>
      <c r="R16" s="5" t="s">
        <v>79</v>
      </c>
      <c r="S16" s="5" t="s">
        <v>47</v>
      </c>
      <c r="T16" s="4" t="str">
        <f>IF(OR($R16="",$I16=""),"",$I16*INDEX(NORM_DK,MATCH($R16,NORM_AD,0)))</f>
        <v/>
      </c>
      <c r="U16" s="4" t="str">
        <f>IF(OR($P16="",$I16=""),"",IF(IF(INDEX(FIYAT_ALAN,MATCH($P16,FIYAT_KOD,0))="","",INDEX(FIYAT_ALAN,MATCH($P16,FIYAT_KOD,0)))&lt;&gt;"",$I16*IF(INDEX(FIYAT_ALAN,MATCH($P16,FIYAT_KOD,0))="","",INDEX(FIYAT_ALAN,MATCH($P16,FIYAT_KOD,0))),IF(IF(INDEX(FIYAT_MODUL,MATCH($P16,FIYAT_KOD,0))="","",INDEX(FIYAT_MODUL,MATCH($P16,FIYAT_KOD,0)))&lt;&gt;"",$I16*IF(INDEX(FIYAT_MODUL,MATCH($P16,FIYAT_KOD,0))="","",INDEX(FIYAT_MODUL,MATCH($P16,FIYAT_KOD,0))),IF(IF(INDEX(FIYAT_GENISLIK,MATCH($P16,FIYAT_KOD,0))="","",INDEX(FIYAT_GENISLIK,MATCH($P16,FIYAT_KOD,0)))&lt;&gt;"",$I16*IF(INDEX(FIYAT_GENISLIK,MATCH($P16,FIYAT_KOD,0))="","",INDEX(FIYAT_GENISLIK,MATCH($P16,FIYAT_KOD,0)))/MODUL_GENISLIK_MM,""))))</f>
        <v/>
      </c>
      <c r="V16" s="4" t="str">
        <f>IF(OR($C16&lt;&gt;"шина",$I16=""),"",$I16*INDEX(FIYAT_KGM,MATCH($P16,FIYAT_KOD,0)))</f>
        <v/>
      </c>
      <c r="W16" s="4" t="str">
        <f t="shared" si="12"/>
        <v/>
      </c>
      <c r="Y16" s="5" t="s">
        <v>80</v>
      </c>
      <c r="Z16" s="4" t="str">
        <f>IF($P16="","",MAX(_xlfn.MAXIFS(DEVRE!$AM:$AM,DEVRE!$A:$A,$Q16,DEVRE!$C:$C,$P16),_xlfn.MAXIFS(DEVRE!$AM:$AM,DEVRE!$A:$A,$Q16,DEVRE!$H:$H,$P16)))</f>
        <v/>
      </c>
      <c r="AA16" s="4" t="str">
        <f>IF(OR($I16="",$Q16="",$P16=""),"",$I16*INDEX(PANO_ADET,MATCH($Q16,PANO_ID,0)))</f>
        <v/>
      </c>
      <c r="AB16" s="4">
        <f>IF($P16="",0,IF(AND($U16="",COUNTIF(ALAN_TIP_LIST,$C16)&gt;0),1,0))</f>
        <v>0</v>
      </c>
      <c r="AC16" s="4">
        <f>IF(OR($P16="",$C16&lt;&gt;"kontaktör"),0,IF(IF(INDEX(FIYAT_BOBIN,MATCH($P16,FIYAT_KOD,0))="","",INDEX(FIYAT_BOBIN,MATCH($P16,FIYAT_KOD,0)))="",1,0))</f>
        <v>0</v>
      </c>
    </row>
    <row r="17" spans="1:29" x14ac:dyDescent="0.35">
      <c r="A17" s="4">
        <f t="shared" si="0"/>
        <v>16</v>
      </c>
      <c r="B17" s="4" t="str">
        <f t="shared" si="1"/>
        <v/>
      </c>
      <c r="C17" s="5" t="s">
        <v>81</v>
      </c>
      <c r="D17" s="4" t="str">
        <f t="shared" si="2"/>
        <v/>
      </c>
      <c r="E17" s="4" t="str">
        <f t="shared" si="3"/>
        <v/>
      </c>
      <c r="F17" s="4" t="str">
        <f t="shared" si="4"/>
        <v/>
      </c>
      <c r="G17" s="4" t="str">
        <f t="shared" si="5"/>
        <v/>
      </c>
      <c r="H17" s="4" t="str">
        <f>IF(OR($G17="",$I17="",$M17="KONTROL",$M17="KAPSAM_DISI"),"",$G17*$I17)</f>
        <v/>
      </c>
      <c r="I17" s="4" t="str">
        <f>INDEX(PANO_KANAL_M,MATCH($Q17,PANO_ID,0))</f>
        <v/>
      </c>
      <c r="J17" s="4" t="str">
        <f t="shared" si="6"/>
        <v/>
      </c>
      <c r="K17" s="4" t="str">
        <f t="shared" si="7"/>
        <v/>
      </c>
      <c r="L17" s="4" t="str">
        <f t="shared" si="8"/>
        <v/>
      </c>
      <c r="M17" s="4" t="str">
        <f t="shared" si="9"/>
        <v/>
      </c>
      <c r="N17" s="4" t="s">
        <v>82</v>
      </c>
      <c r="O17" s="4" t="str">
        <f t="shared" si="10"/>
        <v/>
      </c>
      <c r="P17" s="4" t="str">
        <f>INDEX(PANO_KANAL_KOD,MATCH($Q17,PANO_ID,0))</f>
        <v/>
      </c>
      <c r="Q17" s="4" t="str">
        <f t="shared" si="11"/>
        <v>P01</v>
      </c>
      <c r="R17" s="5" t="s">
        <v>83</v>
      </c>
      <c r="S17" s="5" t="s">
        <v>84</v>
      </c>
      <c r="T17" s="4" t="str">
        <f>IF(OR($R17="",$I17=""),"",$I17*INDEX(NORM_DK,MATCH($R17,NORM_AD,0)))</f>
        <v/>
      </c>
      <c r="U17" s="4" t="str">
        <f>IF(OR($P17="",$I17=""),"",IF(IF(INDEX(FIYAT_ALAN,MATCH($P17,FIYAT_KOD,0))="","",INDEX(FIYAT_ALAN,MATCH($P17,FIYAT_KOD,0)))&lt;&gt;"",$I17*IF(INDEX(FIYAT_ALAN,MATCH($P17,FIYAT_KOD,0))="","",INDEX(FIYAT_ALAN,MATCH($P17,FIYAT_KOD,0))),IF(IF(INDEX(FIYAT_MODUL,MATCH($P17,FIYAT_KOD,0))="","",INDEX(FIYAT_MODUL,MATCH($P17,FIYAT_KOD,0)))&lt;&gt;"",$I17*IF(INDEX(FIYAT_MODUL,MATCH($P17,FIYAT_KOD,0))="","",INDEX(FIYAT_MODUL,MATCH($P17,FIYAT_KOD,0))),IF(IF(INDEX(FIYAT_GENISLIK,MATCH($P17,FIYAT_KOD,0))="","",INDEX(FIYAT_GENISLIK,MATCH($P17,FIYAT_KOD,0)))&lt;&gt;"",$I17*IF(INDEX(FIYAT_GENISLIK,MATCH($P17,FIYAT_KOD,0))="","",INDEX(FIYAT_GENISLIK,MATCH($P17,FIYAT_KOD,0)))/MODUL_GENISLIK_MM,""))))</f>
        <v/>
      </c>
      <c r="V17" s="4" t="str">
        <f>IF(OR($C17&lt;&gt;"шина",$I17=""),"",$I17*INDEX(FIYAT_KGM,MATCH($P17,FIYAT_KOD,0)))</f>
        <v/>
      </c>
      <c r="W17" s="4" t="str">
        <f t="shared" si="12"/>
        <v/>
      </c>
      <c r="Y17" s="5" t="s">
        <v>85</v>
      </c>
      <c r="Z17" s="4" t="str">
        <f>IF($P17="","",MAX(_xlfn.MAXIFS(DEVRE!$AM:$AM,DEVRE!$A:$A,$Q17,DEVRE!$C:$C,$P17),_xlfn.MAXIFS(DEVRE!$AM:$AM,DEVRE!$A:$A,$Q17,DEVRE!$H:$H,$P17)))</f>
        <v/>
      </c>
      <c r="AA17" s="4" t="str">
        <f>IF(OR($I17="",$Q17="",$P17=""),"",$I17*INDEX(PANO_ADET,MATCH($Q17,PANO_ID,0)))</f>
        <v/>
      </c>
      <c r="AB17" s="4">
        <f>IF($P17="",0,IF(AND($U17="",COUNTIF(ALAN_TIP_LIST,$C17)&gt;0),1,0))</f>
        <v>0</v>
      </c>
      <c r="AC17" s="4">
        <f>IF(OR($P17="",$C17&lt;&gt;"kontaktör"),0,IF(IF(INDEX(FIYAT_BOBIN,MATCH($P17,FIYAT_KOD,0))="","",INDEX(FIYAT_BOBIN,MATCH($P17,FIYAT_KOD,0)))="",1,0))</f>
        <v>0</v>
      </c>
    </row>
    <row r="18" spans="1:29" x14ac:dyDescent="0.35">
      <c r="A18" s="4">
        <f t="shared" si="0"/>
        <v>17</v>
      </c>
      <c r="B18" s="4" t="str">
        <f t="shared" si="1"/>
        <v/>
      </c>
      <c r="C18" s="5" t="s">
        <v>81</v>
      </c>
      <c r="D18" s="4" t="str">
        <f t="shared" si="2"/>
        <v/>
      </c>
      <c r="E18" s="4" t="str">
        <f t="shared" si="3"/>
        <v/>
      </c>
      <c r="F18" s="4" t="str">
        <f t="shared" si="4"/>
        <v/>
      </c>
      <c r="G18" s="4" t="str">
        <f t="shared" si="5"/>
        <v/>
      </c>
      <c r="H18" s="4" t="str">
        <f>IF(OR($G18="",$I18="",$M18="KONTROL",$M18="KAPSAM_DISI"),"",$G18*$I18)</f>
        <v/>
      </c>
      <c r="I18" s="4" t="str">
        <f>INDEX(PANO_KANAL_M,MATCH($Q18,PANO_ID,0))</f>
        <v/>
      </c>
      <c r="J18" s="4" t="str">
        <f t="shared" si="6"/>
        <v/>
      </c>
      <c r="K18" s="4" t="str">
        <f t="shared" si="7"/>
        <v/>
      </c>
      <c r="L18" s="4" t="str">
        <f t="shared" si="8"/>
        <v/>
      </c>
      <c r="M18" s="4" t="str">
        <f t="shared" si="9"/>
        <v/>
      </c>
      <c r="N18" s="4" t="s">
        <v>86</v>
      </c>
      <c r="O18" s="4" t="str">
        <f t="shared" si="10"/>
        <v/>
      </c>
      <c r="P18" s="4" t="str">
        <f>INDEX(PANO_KAPAK_KOD,MATCH($Q18,PANO_ID,0))</f>
        <v/>
      </c>
      <c r="Q18" s="4" t="str">
        <f t="shared" si="11"/>
        <v>P01</v>
      </c>
      <c r="S18" s="5" t="s">
        <v>84</v>
      </c>
      <c r="T18" s="4" t="str">
        <f>IF(OR($R18="",$I18=""),"",$I18*INDEX(NORM_DK,MATCH($R18,NORM_AD,0)))</f>
        <v/>
      </c>
      <c r="U18" s="4" t="str">
        <f>IF(OR($P18="",$I18=""),"",IF(IF(INDEX(FIYAT_ALAN,MATCH($P18,FIYAT_KOD,0))="","",INDEX(FIYAT_ALAN,MATCH($P18,FIYAT_KOD,0)))&lt;&gt;"",$I18*IF(INDEX(FIYAT_ALAN,MATCH($P18,FIYAT_KOD,0))="","",INDEX(FIYAT_ALAN,MATCH($P18,FIYAT_KOD,0))),IF(IF(INDEX(FIYAT_MODUL,MATCH($P18,FIYAT_KOD,0))="","",INDEX(FIYAT_MODUL,MATCH($P18,FIYAT_KOD,0)))&lt;&gt;"",$I18*IF(INDEX(FIYAT_MODUL,MATCH($P18,FIYAT_KOD,0))="","",INDEX(FIYAT_MODUL,MATCH($P18,FIYAT_KOD,0))),IF(IF(INDEX(FIYAT_GENISLIK,MATCH($P18,FIYAT_KOD,0))="","",INDEX(FIYAT_GENISLIK,MATCH($P18,FIYAT_KOD,0)))&lt;&gt;"",$I18*IF(INDEX(FIYAT_GENISLIK,MATCH($P18,FIYAT_KOD,0))="","",INDEX(FIYAT_GENISLIK,MATCH($P18,FIYAT_KOD,0)))/MODUL_GENISLIK_MM,""))))</f>
        <v/>
      </c>
      <c r="V18" s="4" t="str">
        <f>IF(OR($C18&lt;&gt;"шина",$I18=""),"",$I18*INDEX(FIYAT_KGM,MATCH($P18,FIYAT_KOD,0)))</f>
        <v/>
      </c>
      <c r="W18" s="4" t="str">
        <f t="shared" si="12"/>
        <v/>
      </c>
      <c r="Y18" s="5" t="s">
        <v>85</v>
      </c>
      <c r="Z18" s="4" t="str">
        <f>IF($P18="","",MAX(_xlfn.MAXIFS(DEVRE!$AM:$AM,DEVRE!$A:$A,$Q18,DEVRE!$C:$C,$P18),_xlfn.MAXIFS(DEVRE!$AM:$AM,DEVRE!$A:$A,$Q18,DEVRE!$H:$H,$P18)))</f>
        <v/>
      </c>
      <c r="AA18" s="4" t="str">
        <f>IF(OR($I18="",$Q18="",$P18=""),"",$I18*INDEX(PANO_ADET,MATCH($Q18,PANO_ID,0)))</f>
        <v/>
      </c>
      <c r="AB18" s="4">
        <f>IF($P18="",0,IF(AND($U18="",COUNTIF(ALAN_TIP_LIST,$C18)&gt;0),1,0))</f>
        <v>0</v>
      </c>
      <c r="AC18" s="4">
        <f>IF(OR($P18="",$C18&lt;&gt;"kontaktör"),0,IF(IF(INDEX(FIYAT_BOBIN,MATCH($P18,FIYAT_KOD,0))="","",INDEX(FIYAT_BOBIN,MATCH($P18,FIYAT_KOD,0)))="",1,0))</f>
        <v>0</v>
      </c>
    </row>
    <row r="19" spans="1:29" x14ac:dyDescent="0.35">
      <c r="A19" s="4">
        <f t="shared" si="0"/>
        <v>18</v>
      </c>
      <c r="B19" s="4" t="str">
        <f t="shared" si="1"/>
        <v>HARMONY ПВ3 1 1,5</v>
      </c>
      <c r="C19" s="5" t="s">
        <v>87</v>
      </c>
      <c r="D19" s="4" t="str">
        <f t="shared" si="2"/>
        <v>151.01.PV3.01,5</v>
      </c>
      <c r="E19" s="4" t="str">
        <f t="shared" si="3"/>
        <v>HARMONY ПВ3 1 1,5</v>
      </c>
      <c r="F19" s="4">
        <f t="shared" si="4"/>
        <v>105</v>
      </c>
      <c r="G19" s="4">
        <f t="shared" si="5"/>
        <v>105</v>
      </c>
      <c r="H19" s="4">
        <f>IF(OR($G19="",$I19="",$M19="KONTROL",$M19="KAPSAM_DISI"),"",$G19*$I19)</f>
        <v>1449</v>
      </c>
      <c r="I19" s="4">
        <f>ROUND((SUMIFS(DEVRE!$Z:$Z,DEVRE!$A:$A,$Q19,DEVRE!$V:$V,$X19)+IF($X19=GRUP_BESLEME_KESIT,INDEX(PANO_GRUP_KABLO_M,MATCH($Q19,PANO_ID,0)),0))*KABLO_FIRE,1)</f>
        <v>13.8</v>
      </c>
      <c r="J19" s="4" t="str">
        <f t="shared" si="6"/>
        <v>м</v>
      </c>
      <c r="K19" s="4" t="str">
        <f t="shared" si="7"/>
        <v>HARMONY</v>
      </c>
      <c r="L19" s="4">
        <f t="shared" si="8"/>
        <v>1449</v>
      </c>
      <c r="M19" s="4" t="str">
        <f t="shared" si="9"/>
        <v>FIYAT_ESKI</v>
      </c>
      <c r="N19" s="4" t="s">
        <v>88</v>
      </c>
      <c r="O19" s="4" t="str">
        <f t="shared" si="10"/>
        <v>HARMONY</v>
      </c>
      <c r="P19" s="5" t="s">
        <v>89</v>
      </c>
      <c r="Q19" s="4" t="str">
        <f t="shared" si="11"/>
        <v>P01</v>
      </c>
      <c r="R19" s="5" t="s">
        <v>90</v>
      </c>
      <c r="S19" s="5" t="s">
        <v>47</v>
      </c>
      <c r="T19" s="4">
        <f>IF(OR($R19="",$I19=""),"",$I19*INDEX(NORM_DK,MATCH($R19,NORM_AD,0)))</f>
        <v>0</v>
      </c>
      <c r="U19" s="4" t="str">
        <f>IF(OR($P19="",$I19=""),"",IF(IF(INDEX(FIYAT_ALAN,MATCH($P19,FIYAT_KOD,0))="","",INDEX(FIYAT_ALAN,MATCH($P19,FIYAT_KOD,0)))&lt;&gt;"",$I19*IF(INDEX(FIYAT_ALAN,MATCH($P19,FIYAT_KOD,0))="","",INDEX(FIYAT_ALAN,MATCH($P19,FIYAT_KOD,0))),IF(IF(INDEX(FIYAT_MODUL,MATCH($P19,FIYAT_KOD,0))="","",INDEX(FIYAT_MODUL,MATCH($P19,FIYAT_KOD,0)))&lt;&gt;"",$I19*IF(INDEX(FIYAT_MODUL,MATCH($P19,FIYAT_KOD,0))="","",INDEX(FIYAT_MODUL,MATCH($P19,FIYAT_KOD,0))),IF(IF(INDEX(FIYAT_GENISLIK,MATCH($P19,FIYAT_KOD,0))="","",INDEX(FIYAT_GENISLIK,MATCH($P19,FIYAT_KOD,0)))&lt;&gt;"",$I19*IF(INDEX(FIYAT_GENISLIK,MATCH($P19,FIYAT_KOD,0))="","",INDEX(FIYAT_GENISLIK,MATCH($P19,FIYAT_KOD,0)))/MODUL_GENISLIK_MM,""))))</f>
        <v/>
      </c>
      <c r="V19" s="4" t="str">
        <f>IF(OR($C19&lt;&gt;"шина",$I19=""),"",$I19*INDEX(FIYAT_KGM,MATCH($P19,FIYAT_KOD,0)))</f>
        <v/>
      </c>
      <c r="W19" s="4">
        <f t="shared" si="12"/>
        <v>1449</v>
      </c>
      <c r="X19" s="5">
        <v>1.5</v>
      </c>
      <c r="Y19" s="5" t="s">
        <v>91</v>
      </c>
      <c r="Z19" s="4">
        <f>IF($P19="","",MAX(_xlfn.MAXIFS(DEVRE!$AM:$AM,DEVRE!$A:$A,$Q19,DEVRE!$C:$C,$P19),_xlfn.MAXIFS(DEVRE!$AM:$AM,DEVRE!$A:$A,$Q19,DEVRE!$H:$H,$P19)))</f>
        <v>0</v>
      </c>
      <c r="AA19" s="4">
        <f>IF(OR($I19="",$Q19="",$P19=""),"",$I19*INDEX(PANO_ADET,MATCH($Q19,PANO_ID,0)))</f>
        <v>13.8</v>
      </c>
      <c r="AB19" s="4">
        <f>IF($P19="",0,IF(AND($U19="",COUNTIF(ALAN_TIP_LIST,$C19)&gt;0),1,0))</f>
        <v>0</v>
      </c>
      <c r="AC19" s="4">
        <f>IF(OR($P19="",$C19&lt;&gt;"kontaktör"),0,IF(IF(INDEX(FIYAT_BOBIN,MATCH($P19,FIYAT_KOD,0))="","",INDEX(FIYAT_BOBIN,MATCH($P19,FIYAT_KOD,0)))="",1,0))</f>
        <v>0</v>
      </c>
    </row>
    <row r="20" spans="1:29" x14ac:dyDescent="0.35">
      <c r="A20" s="4">
        <f t="shared" si="0"/>
        <v>19</v>
      </c>
      <c r="B20" s="4" t="str">
        <f t="shared" si="1"/>
        <v>HARMONY ПВ3 1 2,5</v>
      </c>
      <c r="C20" s="5" t="s">
        <v>87</v>
      </c>
      <c r="D20" s="4" t="str">
        <f t="shared" si="2"/>
        <v>151.01.PV3.02,5</v>
      </c>
      <c r="E20" s="4" t="str">
        <f t="shared" si="3"/>
        <v>HARMONY ПВ3 1 2,5</v>
      </c>
      <c r="F20" s="4">
        <f t="shared" si="4"/>
        <v>174</v>
      </c>
      <c r="G20" s="4">
        <f t="shared" si="5"/>
        <v>174</v>
      </c>
      <c r="H20" s="4">
        <f>IF(OR($G20="",$I20="",$M20="KONTROL",$M20="KAPSAM_DISI"),"",$G20*$I20)</f>
        <v>2871</v>
      </c>
      <c r="I20" s="4">
        <f>ROUND((SUMIFS(DEVRE!$Z:$Z,DEVRE!$A:$A,$Q20,DEVRE!$V:$V,$X20)+IF($X20=GRUP_BESLEME_KESIT,INDEX(PANO_GRUP_KABLO_M,MATCH($Q20,PANO_ID,0)),0))*KABLO_FIRE,1)</f>
        <v>16.5</v>
      </c>
      <c r="J20" s="4" t="str">
        <f t="shared" si="6"/>
        <v>м</v>
      </c>
      <c r="K20" s="4" t="str">
        <f t="shared" si="7"/>
        <v>HARMONY</v>
      </c>
      <c r="L20" s="4">
        <f t="shared" si="8"/>
        <v>2871</v>
      </c>
      <c r="M20" s="4" t="str">
        <f t="shared" si="9"/>
        <v>FIYAT_ESKI</v>
      </c>
      <c r="N20" s="4" t="s">
        <v>92</v>
      </c>
      <c r="O20" s="4" t="str">
        <f t="shared" si="10"/>
        <v>HARMONY</v>
      </c>
      <c r="P20" s="5" t="s">
        <v>93</v>
      </c>
      <c r="Q20" s="4" t="str">
        <f t="shared" si="11"/>
        <v>P01</v>
      </c>
      <c r="R20" s="5" t="s">
        <v>90</v>
      </c>
      <c r="S20" s="5" t="s">
        <v>47</v>
      </c>
      <c r="T20" s="4">
        <f>IF(OR($R20="",$I20=""),"",$I20*INDEX(NORM_DK,MATCH($R20,NORM_AD,0)))</f>
        <v>0</v>
      </c>
      <c r="U20" s="4" t="str">
        <f>IF(OR($P20="",$I20=""),"",IF(IF(INDEX(FIYAT_ALAN,MATCH($P20,FIYAT_KOD,0))="","",INDEX(FIYAT_ALAN,MATCH($P20,FIYAT_KOD,0)))&lt;&gt;"",$I20*IF(INDEX(FIYAT_ALAN,MATCH($P20,FIYAT_KOD,0))="","",INDEX(FIYAT_ALAN,MATCH($P20,FIYAT_KOD,0))),IF(IF(INDEX(FIYAT_MODUL,MATCH($P20,FIYAT_KOD,0))="","",INDEX(FIYAT_MODUL,MATCH($P20,FIYAT_KOD,0)))&lt;&gt;"",$I20*IF(INDEX(FIYAT_MODUL,MATCH($P20,FIYAT_KOD,0))="","",INDEX(FIYAT_MODUL,MATCH($P20,FIYAT_KOD,0))),IF(IF(INDEX(FIYAT_GENISLIK,MATCH($P20,FIYAT_KOD,0))="","",INDEX(FIYAT_GENISLIK,MATCH($P20,FIYAT_KOD,0)))&lt;&gt;"",$I20*IF(INDEX(FIYAT_GENISLIK,MATCH($P20,FIYAT_KOD,0))="","",INDEX(FIYAT_GENISLIK,MATCH($P20,FIYAT_KOD,0)))/MODUL_GENISLIK_MM,""))))</f>
        <v/>
      </c>
      <c r="V20" s="4" t="str">
        <f>IF(OR($C20&lt;&gt;"шина",$I20=""),"",$I20*INDEX(FIYAT_KGM,MATCH($P20,FIYAT_KOD,0)))</f>
        <v/>
      </c>
      <c r="W20" s="4">
        <f t="shared" si="12"/>
        <v>2871</v>
      </c>
      <c r="X20" s="5">
        <v>2.5</v>
      </c>
      <c r="Y20" s="5" t="s">
        <v>91</v>
      </c>
      <c r="Z20" s="4">
        <f>IF($P20="","",MAX(_xlfn.MAXIFS(DEVRE!$AM:$AM,DEVRE!$A:$A,$Q20,DEVRE!$C:$C,$P20),_xlfn.MAXIFS(DEVRE!$AM:$AM,DEVRE!$A:$A,$Q20,DEVRE!$H:$H,$P20)))</f>
        <v>0</v>
      </c>
      <c r="AA20" s="4">
        <f>IF(OR($I20="",$Q20="",$P20=""),"",$I20*INDEX(PANO_ADET,MATCH($Q20,PANO_ID,0)))</f>
        <v>16.5</v>
      </c>
      <c r="AB20" s="4">
        <f>IF($P20="",0,IF(AND($U20="",COUNTIF(ALAN_TIP_LIST,$C20)&gt;0),1,0))</f>
        <v>0</v>
      </c>
      <c r="AC20" s="4">
        <f>IF(OR($P20="",$C20&lt;&gt;"kontaktör"),0,IF(IF(INDEX(FIYAT_BOBIN,MATCH($P20,FIYAT_KOD,0))="","",INDEX(FIYAT_BOBIN,MATCH($P20,FIYAT_KOD,0)))="",1,0))</f>
        <v>0</v>
      </c>
    </row>
    <row r="21" spans="1:29" x14ac:dyDescent="0.35">
      <c r="A21" s="4">
        <f t="shared" si="0"/>
        <v>20</v>
      </c>
      <c r="B21" s="4" t="str">
        <f t="shared" si="1"/>
        <v>HARMONY ПВ3 1 25</v>
      </c>
      <c r="C21" s="5" t="s">
        <v>87</v>
      </c>
      <c r="D21" s="4" t="str">
        <f t="shared" si="2"/>
        <v>151.01.PV3.25</v>
      </c>
      <c r="E21" s="4" t="str">
        <f t="shared" si="3"/>
        <v>HARMONY ПВ3 1 25</v>
      </c>
      <c r="F21" s="4">
        <f t="shared" si="4"/>
        <v>1688</v>
      </c>
      <c r="G21" s="4">
        <f t="shared" si="5"/>
        <v>1688</v>
      </c>
      <c r="H21" s="4">
        <f>IF(OR($G21="",$I21="",$M21="KONTROL",$M21="KAPSAM_DISI"),"",$G21*$I21)</f>
        <v>11140.8</v>
      </c>
      <c r="I21" s="4">
        <f>ROUND((SUMIFS(DEVRE!$Z:$Z,DEVRE!$A:$A,$Q21,DEVRE!$V:$V,$X21)+IF($X21=GRUP_BESLEME_KESIT,INDEX(PANO_GRUP_KABLO_M,MATCH($Q21,PANO_ID,0)),0))*KABLO_FIRE,1)</f>
        <v>6.6</v>
      </c>
      <c r="J21" s="4" t="str">
        <f t="shared" si="6"/>
        <v>м</v>
      </c>
      <c r="K21" s="4" t="str">
        <f t="shared" si="7"/>
        <v>HARMONY</v>
      </c>
      <c r="L21" s="4">
        <f t="shared" si="8"/>
        <v>11140.8</v>
      </c>
      <c r="M21" s="4" t="str">
        <f t="shared" si="9"/>
        <v>FIYAT_ESKI</v>
      </c>
      <c r="N21" s="4" t="s">
        <v>94</v>
      </c>
      <c r="O21" s="4" t="str">
        <f t="shared" si="10"/>
        <v>HARMONY</v>
      </c>
      <c r="P21" s="5" t="s">
        <v>95</v>
      </c>
      <c r="Q21" s="4" t="str">
        <f t="shared" si="11"/>
        <v>P01</v>
      </c>
      <c r="R21" s="5" t="s">
        <v>90</v>
      </c>
      <c r="S21" s="5" t="s">
        <v>47</v>
      </c>
      <c r="T21" s="4">
        <f>IF(OR($R21="",$I21=""),"",$I21*INDEX(NORM_DK,MATCH($R21,NORM_AD,0)))</f>
        <v>0</v>
      </c>
      <c r="U21" s="4" t="str">
        <f>IF(OR($P21="",$I21=""),"",IF(IF(INDEX(FIYAT_ALAN,MATCH($P21,FIYAT_KOD,0))="","",INDEX(FIYAT_ALAN,MATCH($P21,FIYAT_KOD,0)))&lt;&gt;"",$I21*IF(INDEX(FIYAT_ALAN,MATCH($P21,FIYAT_KOD,0))="","",INDEX(FIYAT_ALAN,MATCH($P21,FIYAT_KOD,0))),IF(IF(INDEX(FIYAT_MODUL,MATCH($P21,FIYAT_KOD,0))="","",INDEX(FIYAT_MODUL,MATCH($P21,FIYAT_KOD,0)))&lt;&gt;"",$I21*IF(INDEX(FIYAT_MODUL,MATCH($P21,FIYAT_KOD,0))="","",INDEX(FIYAT_MODUL,MATCH($P21,FIYAT_KOD,0))),IF(IF(INDEX(FIYAT_GENISLIK,MATCH($P21,FIYAT_KOD,0))="","",INDEX(FIYAT_GENISLIK,MATCH($P21,FIYAT_KOD,0)))&lt;&gt;"",$I21*IF(INDEX(FIYAT_GENISLIK,MATCH($P21,FIYAT_KOD,0))="","",INDEX(FIYAT_GENISLIK,MATCH($P21,FIYAT_KOD,0)))/MODUL_GENISLIK_MM,""))))</f>
        <v/>
      </c>
      <c r="V21" s="4" t="str">
        <f>IF(OR($C21&lt;&gt;"шина",$I21=""),"",$I21*INDEX(FIYAT_KGM,MATCH($P21,FIYAT_KOD,0)))</f>
        <v/>
      </c>
      <c r="W21" s="4">
        <f t="shared" si="12"/>
        <v>11140.8</v>
      </c>
      <c r="X21" s="5">
        <v>25</v>
      </c>
      <c r="Y21" s="5" t="s">
        <v>91</v>
      </c>
      <c r="Z21" s="4">
        <f>IF($P21="","",MAX(_xlfn.MAXIFS(DEVRE!$AM:$AM,DEVRE!$A:$A,$Q21,DEVRE!$C:$C,$P21),_xlfn.MAXIFS(DEVRE!$AM:$AM,DEVRE!$A:$A,$Q21,DEVRE!$H:$H,$P21)))</f>
        <v>0</v>
      </c>
      <c r="AA21" s="4">
        <f>IF(OR($I21="",$Q21="",$P21=""),"",$I21*INDEX(PANO_ADET,MATCH($Q21,PANO_ID,0)))</f>
        <v>6.6</v>
      </c>
      <c r="AB21" s="4">
        <f>IF($P21="",0,IF(AND($U21="",COUNTIF(ALAN_TIP_LIST,$C21)&gt;0),1,0))</f>
        <v>0</v>
      </c>
      <c r="AC21" s="4">
        <f>IF(OR($P21="",$C21&lt;&gt;"kontaktör"),0,IF(IF(INDEX(FIYAT_BOBIN,MATCH($P21,FIYAT_KOD,0))="","",INDEX(FIYAT_BOBIN,MATCH($P21,FIYAT_KOD,0)))="",1,0))</f>
        <v>0</v>
      </c>
    </row>
    <row r="22" spans="1:29" x14ac:dyDescent="0.35">
      <c r="A22" s="4">
        <f t="shared" si="0"/>
        <v>21</v>
      </c>
      <c r="B22" s="4" t="str">
        <f t="shared" si="1"/>
        <v>HARMONY ПВ3 1 35</v>
      </c>
      <c r="C22" s="5" t="s">
        <v>87</v>
      </c>
      <c r="D22" s="4" t="str">
        <f t="shared" si="2"/>
        <v>151.01.PV3.35</v>
      </c>
      <c r="E22" s="4" t="str">
        <f t="shared" si="3"/>
        <v>HARMONY ПВ3 1 35</v>
      </c>
      <c r="F22" s="4">
        <f t="shared" si="4"/>
        <v>2399</v>
      </c>
      <c r="G22" s="4">
        <f t="shared" si="5"/>
        <v>2399</v>
      </c>
      <c r="H22" s="4">
        <f>IF(OR($G22="",$I22="",$M22="KONTROL",$M22="KAPSAM_DISI"),"",$G22*$I22)</f>
        <v>12714.699999999999</v>
      </c>
      <c r="I22" s="4">
        <f>ROUND((SUMIFS(DEVRE!$Z:$Z,DEVRE!$A:$A,$Q22,DEVRE!$V:$V,$X22)+IF($X22=GRUP_BESLEME_KESIT,INDEX(PANO_GRUP_KABLO_M,MATCH($Q22,PANO_ID,0)),0))*KABLO_FIRE,1)</f>
        <v>5.3</v>
      </c>
      <c r="J22" s="4" t="str">
        <f t="shared" si="6"/>
        <v>м</v>
      </c>
      <c r="K22" s="4" t="str">
        <f t="shared" si="7"/>
        <v>HARMONY</v>
      </c>
      <c r="L22" s="4">
        <f t="shared" si="8"/>
        <v>12714.699999999999</v>
      </c>
      <c r="M22" s="4" t="str">
        <f t="shared" si="9"/>
        <v>FIYAT_ESKI</v>
      </c>
      <c r="N22" s="4" t="s">
        <v>96</v>
      </c>
      <c r="O22" s="4" t="str">
        <f t="shared" si="10"/>
        <v>HARMONY</v>
      </c>
      <c r="P22" s="5" t="s">
        <v>97</v>
      </c>
      <c r="Q22" s="4" t="str">
        <f t="shared" si="11"/>
        <v>P01</v>
      </c>
      <c r="R22" s="5" t="s">
        <v>90</v>
      </c>
      <c r="S22" s="5" t="s">
        <v>47</v>
      </c>
      <c r="T22" s="4">
        <f>IF(OR($R22="",$I22=""),"",$I22*INDEX(NORM_DK,MATCH($R22,NORM_AD,0)))</f>
        <v>0</v>
      </c>
      <c r="U22" s="4" t="str">
        <f>IF(OR($P22="",$I22=""),"",IF(IF(INDEX(FIYAT_ALAN,MATCH($P22,FIYAT_KOD,0))="","",INDEX(FIYAT_ALAN,MATCH($P22,FIYAT_KOD,0)))&lt;&gt;"",$I22*IF(INDEX(FIYAT_ALAN,MATCH($P22,FIYAT_KOD,0))="","",INDEX(FIYAT_ALAN,MATCH($P22,FIYAT_KOD,0))),IF(IF(INDEX(FIYAT_MODUL,MATCH($P22,FIYAT_KOD,0))="","",INDEX(FIYAT_MODUL,MATCH($P22,FIYAT_KOD,0)))&lt;&gt;"",$I22*IF(INDEX(FIYAT_MODUL,MATCH($P22,FIYAT_KOD,0))="","",INDEX(FIYAT_MODUL,MATCH($P22,FIYAT_KOD,0))),IF(IF(INDEX(FIYAT_GENISLIK,MATCH($P22,FIYAT_KOD,0))="","",INDEX(FIYAT_GENISLIK,MATCH($P22,FIYAT_KOD,0)))&lt;&gt;"",$I22*IF(INDEX(FIYAT_GENISLIK,MATCH($P22,FIYAT_KOD,0))="","",INDEX(FIYAT_GENISLIK,MATCH($P22,FIYAT_KOD,0)))/MODUL_GENISLIK_MM,""))))</f>
        <v/>
      </c>
      <c r="V22" s="4" t="str">
        <f>IF(OR($C22&lt;&gt;"шина",$I22=""),"",$I22*INDEX(FIYAT_KGM,MATCH($P22,FIYAT_KOD,0)))</f>
        <v/>
      </c>
      <c r="W22" s="4">
        <f t="shared" si="12"/>
        <v>12714.699999999999</v>
      </c>
      <c r="X22" s="5">
        <v>35</v>
      </c>
      <c r="Y22" s="5" t="s">
        <v>91</v>
      </c>
      <c r="Z22" s="4">
        <f>IF($P22="","",MAX(_xlfn.MAXIFS(DEVRE!$AM:$AM,DEVRE!$A:$A,$Q22,DEVRE!$C:$C,$P22),_xlfn.MAXIFS(DEVRE!$AM:$AM,DEVRE!$A:$A,$Q22,DEVRE!$H:$H,$P22)))</f>
        <v>0</v>
      </c>
      <c r="AA22" s="4">
        <f>IF(OR($I22="",$Q22="",$P22=""),"",$I22*INDEX(PANO_ADET,MATCH($Q22,PANO_ID,0)))</f>
        <v>5.3</v>
      </c>
      <c r="AB22" s="4">
        <f>IF($P22="",0,IF(AND($U22="",COUNTIF(ALAN_TIP_LIST,$C22)&gt;0),1,0))</f>
        <v>0</v>
      </c>
      <c r="AC22" s="4">
        <f>IF(OR($P22="",$C22&lt;&gt;"kontaktör"),0,IF(IF(INDEX(FIYAT_BOBIN,MATCH($P22,FIYAT_KOD,0))="","",INDEX(FIYAT_BOBIN,MATCH($P22,FIYAT_KOD,0)))="",1,0))</f>
        <v>0</v>
      </c>
    </row>
    <row r="23" spans="1:29" x14ac:dyDescent="0.35">
      <c r="A23" s="4">
        <f t="shared" si="0"/>
        <v>22</v>
      </c>
      <c r="B23" s="4" t="str">
        <f t="shared" si="1"/>
        <v>Монтажный материал</v>
      </c>
      <c r="C23" s="5" t="s">
        <v>98</v>
      </c>
      <c r="D23" s="4" t="str">
        <f t="shared" si="2"/>
        <v>MONTAJ-MALZ</v>
      </c>
      <c r="E23" s="4" t="str">
        <f t="shared" si="3"/>
        <v>Монтажный материал</v>
      </c>
      <c r="F23" s="4">
        <f t="shared" si="4"/>
        <v>1</v>
      </c>
      <c r="G23" s="4">
        <f t="shared" si="5"/>
        <v>1</v>
      </c>
      <c r="H23" s="4" t="str">
        <f>IF(OR($G23="",$I23="",$M23="KONTROL",$M23="KAPSAM_DISI"),"",$G23*$I23)</f>
        <v/>
      </c>
      <c r="I23" s="4" t="str">
        <f>IF(MONTAJ_MALZ_ORANI="","",ROUND(SUMIFS($W:$W,$Q:$Q,$Q23)*MONTAJ_MALZ_ORANI,0))</f>
        <v/>
      </c>
      <c r="J23" s="4" t="str">
        <f t="shared" si="6"/>
        <v>тг</v>
      </c>
      <c r="K23" s="4" t="str">
        <f t="shared" si="7"/>
        <v>HESAP</v>
      </c>
      <c r="L23" s="4" t="str">
        <f t="shared" si="8"/>
        <v/>
      </c>
      <c r="M23" s="4" t="str">
        <f t="shared" si="9"/>
        <v>OK</v>
      </c>
      <c r="N23" s="4" t="s">
        <v>99</v>
      </c>
      <c r="O23" s="4" t="str">
        <f t="shared" si="10"/>
        <v>HESAP</v>
      </c>
      <c r="P23" s="5" t="s">
        <v>100</v>
      </c>
      <c r="Q23" s="4" t="str">
        <f t="shared" si="11"/>
        <v>P01</v>
      </c>
      <c r="V23" s="4" t="str">
        <f>IF(OR($C23&lt;&gt;"шина",$I23=""),"",$I23*INDEX(FIYAT_KGM,MATCH($P23,FIYAT_KOD,0)))</f>
        <v/>
      </c>
      <c r="Y23" s="5" t="s">
        <v>101</v>
      </c>
      <c r="Z23" s="4">
        <f>IF($P23="","",MAX(_xlfn.MAXIFS(DEVRE!$AM:$AM,DEVRE!$A:$A,$Q23,DEVRE!$C:$C,$P23),_xlfn.MAXIFS(DEVRE!$AM:$AM,DEVRE!$A:$A,$Q23,DEVRE!$H:$H,$P23)))</f>
        <v>0</v>
      </c>
      <c r="AA23" s="4" t="str">
        <f>IF(OR($I23="",$Q23="",$P23=""),"",$I23*INDEX(PANO_ADET,MATCH($Q23,PANO_ID,0)))</f>
        <v/>
      </c>
      <c r="AB23" s="4">
        <f>IF($P23="",0,IF(AND($U23="",COUNTIF(ALAN_TIP_LIST,$C23)&gt;0),1,0))</f>
        <v>0</v>
      </c>
      <c r="AC23" s="4">
        <f>IF(OR($P23="",$C23&lt;&gt;"kontaktör"),0,IF(IF(INDEX(FIYAT_BOBIN,MATCH($P23,FIYAT_KOD,0))="","",INDEX(FIYAT_BOBIN,MATCH($P23,FIYAT_KOD,0)))="",1,0))</f>
        <v>0</v>
      </c>
    </row>
    <row r="24" spans="1:29" x14ac:dyDescent="0.35">
      <c r="A24" s="4">
        <f t="shared" si="0"/>
        <v>23</v>
      </c>
      <c r="B24" s="4" t="str">
        <f t="shared" si="1"/>
        <v>Монтажная работа</v>
      </c>
      <c r="C24" s="5" t="s">
        <v>102</v>
      </c>
      <c r="D24" s="4" t="str">
        <f t="shared" si="2"/>
        <v>ISCILIK-MONTAJ</v>
      </c>
      <c r="E24" s="4" t="str">
        <f t="shared" si="3"/>
        <v>Монтажная работа</v>
      </c>
      <c r="F24" s="4">
        <f>IF($I24="","",ROUND($I24/DK_SAAT,2))</f>
        <v>5.9</v>
      </c>
      <c r="G24" s="4">
        <f t="shared" si="5"/>
        <v>100</v>
      </c>
      <c r="H24" s="4">
        <f>IF(OR($G24="",$I24="",$M24="KONTROL",$M24="KAPSAM_DISI"),"",$G24*$I24)</f>
        <v>35400</v>
      </c>
      <c r="I24" s="4">
        <f>ROUND((SUMIFS($T:$T,$Q:$Q,$Q24)+INDEX(NORM_DK,MATCH("PABUC_YUKSUK",NORM_AD,0))*(SUMIFS(DEVRE!$AI:$AI,DEVRE!$A:$A,$Q24)+SUMIFS(DEVRE!$AJ:$AJ,DEVRE!$A:$A,$Q24)))*ISCILIK_CARPANI+INDEX(NORM_DK,MATCH("SABIT_AMBALAJ",NORM_AD,0)),0)</f>
        <v>354</v>
      </c>
      <c r="J24" s="4" t="str">
        <f t="shared" si="6"/>
        <v>мин</v>
      </c>
      <c r="K24" s="4" t="str">
        <f t="shared" si="7"/>
        <v>HESAP</v>
      </c>
      <c r="L24" s="4">
        <f t="shared" si="8"/>
        <v>35400</v>
      </c>
      <c r="M24" s="4" t="str">
        <f t="shared" si="9"/>
        <v>OK</v>
      </c>
      <c r="N24" s="4" t="s">
        <v>103</v>
      </c>
      <c r="O24" s="4" t="str">
        <f t="shared" si="10"/>
        <v>HESAP</v>
      </c>
      <c r="P24" s="5" t="s">
        <v>104</v>
      </c>
      <c r="Q24" s="4" t="str">
        <f t="shared" si="11"/>
        <v>P01</v>
      </c>
      <c r="V24" s="4" t="str">
        <f>IF(OR($C24&lt;&gt;"шина",$I24=""),"",$I24*INDEX(FIYAT_KGM,MATCH($P24,FIYAT_KOD,0)))</f>
        <v/>
      </c>
      <c r="Y24" s="5" t="s">
        <v>101</v>
      </c>
      <c r="Z24" s="4">
        <f>IF($P24="","",MAX(_xlfn.MAXIFS(DEVRE!$AM:$AM,DEVRE!$A:$A,$Q24,DEVRE!$C:$C,$P24),_xlfn.MAXIFS(DEVRE!$AM:$AM,DEVRE!$A:$A,$Q24,DEVRE!$H:$H,$P24)))</f>
        <v>0</v>
      </c>
      <c r="AA24" s="4">
        <f>IF(OR($I24="",$Q24="",$P24=""),"",$I24*INDEX(PANO_ADET,MATCH($Q24,PANO_ID,0)))</f>
        <v>354</v>
      </c>
      <c r="AB24" s="4">
        <f>IF($P24="",0,IF(AND($U24="",COUNTIF(ALAN_TIP_LIST,$C24)&gt;0),1,0))</f>
        <v>0</v>
      </c>
      <c r="AC24" s="4">
        <f>IF(OR($P24="",$C24&lt;&gt;"kontaktör"),0,IF(IF(INDEX(FIYAT_BOBIN,MATCH($P24,FIYAT_KOD,0))="","",INDEX(FIYAT_BOBIN,MATCH($P24,FIYAT_KOD,0)))="",1,0))</f>
        <v>0</v>
      </c>
    </row>
    <row r="25" spans="1:29" x14ac:dyDescent="0.35">
      <c r="A25" s="7">
        <f t="shared" si="0"/>
        <v>24</v>
      </c>
      <c r="B25" s="7" t="str">
        <f>"Toplam "&amp;$E2</f>
        <v>Toplam Вводно-распределительное устройство ВРУ-1 (с АВР)</v>
      </c>
      <c r="H25" s="7">
        <f>SUBTOTAL(9,H3:H24)</f>
        <v>165283.9</v>
      </c>
      <c r="L25" s="7">
        <f>SUBTOTAL(9,L3:L24)</f>
        <v>165283.9</v>
      </c>
    </row>
    <row r="26" spans="1:29" x14ac:dyDescent="0.35">
      <c r="A26" s="2">
        <f t="shared" si="0"/>
        <v>25</v>
      </c>
      <c r="B26" s="2" t="str">
        <f t="shared" ref="B26:B47" si="13">$E26</f>
        <v>Щит распределительный ЩР-1</v>
      </c>
      <c r="C26" s="3"/>
      <c r="D26" s="3"/>
      <c r="E26" s="2" t="str">
        <f>INDEX(PANO_TAMAD,MATCH($Q26,PANO_ID,0))</f>
        <v>Щит распределительный ЩР-1</v>
      </c>
      <c r="F26" s="3"/>
      <c r="G26" s="3"/>
      <c r="H26" s="3"/>
      <c r="I26" s="2">
        <v>1</v>
      </c>
      <c r="J26" s="2" t="s">
        <v>29</v>
      </c>
      <c r="K26" s="3"/>
      <c r="L26" s="3"/>
      <c r="M26" s="3"/>
      <c r="N26" s="3"/>
      <c r="O26" s="3"/>
      <c r="P26" s="3"/>
      <c r="Q26" s="2" t="s">
        <v>105</v>
      </c>
    </row>
    <row r="27" spans="1:29" x14ac:dyDescent="0.35">
      <c r="A27" s="4">
        <f t="shared" si="0"/>
        <v>26</v>
      </c>
      <c r="B27" s="4" t="str">
        <f t="shared" si="13"/>
        <v>Щит мет.ЩРн-36 б/o (540х310х120) S/U 36 IP54</v>
      </c>
      <c r="C27" s="5" t="s">
        <v>31</v>
      </c>
      <c r="D27" s="4" t="str">
        <f t="shared" ref="D27:D47" si="14">IF($P27="","",IF(INDEX(FIYAT_ARTIKUL,MATCH($P27,FIYAT_KOD,0))="","",INDEX(FIYAT_ARTIKUL,MATCH($P27,FIYAT_KOD,0))))</f>
        <v>714-15070</v>
      </c>
      <c r="E27" s="4" t="str">
        <f t="shared" ref="E27:E47" si="15">IF($P27="","",INDEX(FIYAT_ACK,MATCH($P27,FIYAT_KOD,0)))</f>
        <v>Щит мет.ЩРн-36 б/o (540х310х120) S/U 36 IP54</v>
      </c>
      <c r="F27" s="4">
        <f t="shared" ref="F27:F46" si="16">IF($P27="","",IF(INDEX(FIYAT_LISTE,MATCH($P27,FIYAT_KOD,0))="","",INDEX(FIYAT_LISTE,MATCH($P27,FIYAT_KOD,0))))</f>
        <v>16550</v>
      </c>
      <c r="G27" s="4">
        <f t="shared" ref="G27:G47" si="17">IF($P27="","",IF(INDEX(FIYAT_NET,MATCH($P27,FIYAT_KOD,0))="","",INDEX(FIYAT_NET,MATCH($P27,FIYAT_KOD,0))))</f>
        <v>9930</v>
      </c>
      <c r="H27" s="4">
        <f>IF(OR($G27="",$I27="",$M27="KONTROL",$M27="KAPSAM_DISI"),"",$G27*$I27)</f>
        <v>9930</v>
      </c>
      <c r="I27" s="4">
        <v>1</v>
      </c>
      <c r="J27" s="4" t="str">
        <f t="shared" ref="J27:J47" si="18">IF($P27="","",INDEX(FIYAT_BIRIM,MATCH($P27,FIYAT_KOD,0)))</f>
        <v>шт</v>
      </c>
      <c r="K27" s="4" t="str">
        <f t="shared" ref="K27:K47" si="19">IF($P27="","",INDEX(FIYAT_MARKA,MATCH($P27,FIYAT_KOD,0)))</f>
        <v>KAZTEK</v>
      </c>
      <c r="L27" s="4">
        <f t="shared" ref="L27:L47" si="20">IF($H27="","",$H27)</f>
        <v>9930</v>
      </c>
      <c r="M27" s="4" t="str">
        <f t="shared" ref="M27:M47" si="21">IF($P27="","",INDEX(DURUM_LIST,MATCH(MAX(INDEX(DURUM_SEV,MATCH(INDEX(FIYAT_DURUM,MATCH($P27,FIYAT_KOD,0)),DURUM_LIST,0)),IF($S27="",0,INDEX(DURUM_SEV,MATCH($S27,DURUM_LIST,0))),$Z27),DURUM_SEV,0)))</f>
        <v>OK</v>
      </c>
      <c r="N27" s="4" t="s">
        <v>106</v>
      </c>
      <c r="O27" s="4" t="str">
        <f t="shared" ref="O27:O47" si="22">IF($P27="","",INDEX(FIYAT_KAYNAK,MATCH($P27,FIYAT_KOD,0)))</f>
        <v>KAZTEK2607</v>
      </c>
      <c r="P27" s="4" t="str">
        <f>INDEX(PANO_KORPUS,MATCH($Q27,PANO_ID,0))</f>
        <v>KAZTEK-714-15070</v>
      </c>
      <c r="Q27" s="4" t="str">
        <f t="shared" ref="Q27:Q47" si="23">$Q26</f>
        <v>P02</v>
      </c>
      <c r="R27" s="5" t="s">
        <v>107</v>
      </c>
      <c r="S27" s="6"/>
      <c r="T27" s="4">
        <f>IF(OR($R27="",$I27=""),"",$I27*INDEX(NORM_DK,MATCH($R27,NORM_AD,0)))</f>
        <v>30</v>
      </c>
      <c r="U27" s="4" t="str">
        <f>IF(OR($P27="",$I27=""),"",IF(IF(INDEX(FIYAT_ALAN,MATCH($P27,FIYAT_KOD,0))="","",INDEX(FIYAT_ALAN,MATCH($P27,FIYAT_KOD,0)))&lt;&gt;"",$I27*IF(INDEX(FIYAT_ALAN,MATCH($P27,FIYAT_KOD,0))="","",INDEX(FIYAT_ALAN,MATCH($P27,FIYAT_KOD,0))),IF(IF(INDEX(FIYAT_MODUL,MATCH($P27,FIYAT_KOD,0))="","",INDEX(FIYAT_MODUL,MATCH($P27,FIYAT_KOD,0)))&lt;&gt;"",$I27*IF(INDEX(FIYAT_MODUL,MATCH($P27,FIYAT_KOD,0))="","",INDEX(FIYAT_MODUL,MATCH($P27,FIYAT_KOD,0))),IF(IF(INDEX(FIYAT_GENISLIK,MATCH($P27,FIYAT_KOD,0))="","",INDEX(FIYAT_GENISLIK,MATCH($P27,FIYAT_KOD,0)))&lt;&gt;"",$I27*IF(INDEX(FIYAT_GENISLIK,MATCH($P27,FIYAT_KOD,0))="","",INDEX(FIYAT_GENISLIK,MATCH($P27,FIYAT_KOD,0)))/MODUL_GENISLIK_MM,""))))</f>
        <v/>
      </c>
      <c r="V27" s="4" t="str">
        <f>IF(OR($C27&lt;&gt;"шина",$I27=""),"",$I27*INDEX(FIYAT_KGM,MATCH($P27,FIYAT_KOD,0)))</f>
        <v/>
      </c>
      <c r="W27" s="4">
        <f t="shared" ref="W27:W45" si="24">IF($H27="","",$H27)</f>
        <v>9930</v>
      </c>
      <c r="Y27" s="5" t="s">
        <v>34</v>
      </c>
      <c r="Z27" s="4">
        <f>IF($P27="","",MAX(_xlfn.MAXIFS(DEVRE!$AM:$AM,DEVRE!$A:$A,$Q27,DEVRE!$C:$C,$P27),_xlfn.MAXIFS(DEVRE!$AM:$AM,DEVRE!$A:$A,$Q27,DEVRE!$H:$H,$P27)))</f>
        <v>0</v>
      </c>
      <c r="AA27" s="4">
        <f>IF(OR($I27="",$Q27="",$P27=""),"",$I27*INDEX(PANO_ADET,MATCH($Q27,PANO_ID,0)))</f>
        <v>1</v>
      </c>
      <c r="AB27" s="4">
        <f>IF($P27="",0,IF(AND($U27="",COUNTIF(ALAN_TIP_LIST,$C27)&gt;0),1,0))</f>
        <v>0</v>
      </c>
      <c r="AC27" s="4">
        <f>IF(OR($P27="",$C27&lt;&gt;"kontaktör"),0,IF(IF(INDEX(FIYAT_BOBIN,MATCH($P27,FIYAT_KOD,0))="","",INDEX(FIYAT_BOBIN,MATCH($P27,FIYAT_KOD,0)))="",1,0))</f>
        <v>0</v>
      </c>
    </row>
    <row r="28" spans="1:29" x14ac:dyDescent="0.35">
      <c r="A28" s="4">
        <f t="shared" si="0"/>
        <v>27</v>
      </c>
      <c r="B28" s="4" t="str">
        <f t="shared" si="13"/>
        <v>Выключатель нагрузки NXHB-125 3P 100A</v>
      </c>
      <c r="C28" s="5" t="s">
        <v>108</v>
      </c>
      <c r="D28" s="4" t="str">
        <f t="shared" si="14"/>
        <v>193185</v>
      </c>
      <c r="E28" s="4" t="str">
        <f t="shared" si="15"/>
        <v>Выключатель нагрузки NXHB-125 3P 100A</v>
      </c>
      <c r="F28" s="4">
        <f t="shared" si="16"/>
        <v>4334</v>
      </c>
      <c r="G28" s="4">
        <f t="shared" si="17"/>
        <v>2600.4</v>
      </c>
      <c r="H28" s="4">
        <f>IF(OR($G28="",$I28="",$M28="KONTROL",$M28="KAPSAM_DISI"),"",$G28*$I28)</f>
        <v>2600.4</v>
      </c>
      <c r="I28" s="4">
        <f>SUMIFS(DEVRE!$T:$T,DEVRE!$A:$A,$Q28,DEVRE!$C:$C,$P28)+SUMIFS(DEVRE!$U:$U,DEVRE!$A:$A,$Q28,DEVRE!$H:$H,$P28)</f>
        <v>1</v>
      </c>
      <c r="J28" s="4" t="str">
        <f t="shared" si="18"/>
        <v>шт</v>
      </c>
      <c r="K28" s="4" t="str">
        <f t="shared" si="19"/>
        <v>CHINT</v>
      </c>
      <c r="L28" s="4">
        <f t="shared" si="20"/>
        <v>2600.4</v>
      </c>
      <c r="M28" s="4" t="str">
        <f t="shared" si="21"/>
        <v>OK</v>
      </c>
      <c r="N28" s="4" t="s">
        <v>109</v>
      </c>
      <c r="O28" s="4" t="str">
        <f t="shared" si="22"/>
        <v>CHINT2608</v>
      </c>
      <c r="P28" s="5" t="s">
        <v>110</v>
      </c>
      <c r="Q28" s="4" t="str">
        <f t="shared" si="23"/>
        <v>P02</v>
      </c>
      <c r="R28" s="5" t="s">
        <v>111</v>
      </c>
      <c r="T28" s="4">
        <f>IF(OR($R28="",$I28=""),"",$I28*INDEX(NORM_DK,MATCH($R28,NORM_AD,0)))</f>
        <v>45</v>
      </c>
      <c r="U28" s="4">
        <f>IF(OR($P28="",$I28=""),"",IF(IF(INDEX(FIYAT_ALAN,MATCH($P28,FIYAT_KOD,0))="","",INDEX(FIYAT_ALAN,MATCH($P28,FIYAT_KOD,0)))&lt;&gt;"",$I28*IF(INDEX(FIYAT_ALAN,MATCH($P28,FIYAT_KOD,0))="","",INDEX(FIYAT_ALAN,MATCH($P28,FIYAT_KOD,0))),IF(IF(INDEX(FIYAT_MODUL,MATCH($P28,FIYAT_KOD,0))="","",INDEX(FIYAT_MODUL,MATCH($P28,FIYAT_KOD,0)))&lt;&gt;"",$I28*IF(INDEX(FIYAT_MODUL,MATCH($P28,FIYAT_KOD,0))="","",INDEX(FIYAT_MODUL,MATCH($P28,FIYAT_KOD,0))),IF(IF(INDEX(FIYAT_GENISLIK,MATCH($P28,FIYAT_KOD,0))="","",INDEX(FIYAT_GENISLIK,MATCH($P28,FIYAT_KOD,0)))&lt;&gt;"",$I28*IF(INDEX(FIYAT_GENISLIK,MATCH($P28,FIYAT_KOD,0))="","",INDEX(FIYAT_GENISLIK,MATCH($P28,FIYAT_KOD,0)))/MODUL_GENISLIK_MM,""))))</f>
        <v>3</v>
      </c>
      <c r="V28" s="4" t="str">
        <f>IF(OR($C28&lt;&gt;"шина",$I28=""),"",$I28*INDEX(FIYAT_KGM,MATCH($P28,FIYAT_KOD,0)))</f>
        <v/>
      </c>
      <c r="W28" s="4">
        <f t="shared" si="24"/>
        <v>2600.4</v>
      </c>
      <c r="Y28" s="5" t="s">
        <v>39</v>
      </c>
      <c r="Z28" s="4">
        <f>IF($P28="","",MAX(_xlfn.MAXIFS(DEVRE!$AM:$AM,DEVRE!$A:$A,$Q28,DEVRE!$C:$C,$P28),_xlfn.MAXIFS(DEVRE!$AM:$AM,DEVRE!$A:$A,$Q28,DEVRE!$H:$H,$P28)))</f>
        <v>0</v>
      </c>
      <c r="AA28" s="4">
        <f>IF(OR($I28="",$Q28="",$P28=""),"",$I28*INDEX(PANO_ADET,MATCH($Q28,PANO_ID,0)))</f>
        <v>1</v>
      </c>
      <c r="AB28" s="4">
        <f>IF($P28="",0,IF(AND($U28="",COUNTIF(ALAN_TIP_LIST,$C28)&gt;0),1,0))</f>
        <v>0</v>
      </c>
      <c r="AC28" s="4">
        <f>IF(OR($P28="",$C28&lt;&gt;"kontaktör"),0,IF(IF(INDEX(FIYAT_BOBIN,MATCH($P28,FIYAT_KOD,0))="","",INDEX(FIYAT_BOBIN,MATCH($P28,FIYAT_KOD,0)))="",1,0))</f>
        <v>0</v>
      </c>
    </row>
    <row r="29" spans="1:29" x14ac:dyDescent="0.35">
      <c r="A29" s="4">
        <f t="shared" si="0"/>
        <v>28</v>
      </c>
      <c r="B29" s="4" t="str">
        <f t="shared" si="13"/>
        <v>Авт. выкл. NXB-63 3P 40A 6кА х-ка C</v>
      </c>
      <c r="C29" s="5" t="s">
        <v>47</v>
      </c>
      <c r="D29" s="4" t="str">
        <f t="shared" si="14"/>
        <v>814174</v>
      </c>
      <c r="E29" s="4" t="str">
        <f t="shared" si="15"/>
        <v>Авт. выкл. NXB-63 3P 40A 6кА х-ка C</v>
      </c>
      <c r="F29" s="4">
        <f t="shared" si="16"/>
        <v>5647</v>
      </c>
      <c r="G29" s="4">
        <f t="shared" si="17"/>
        <v>3388.2</v>
      </c>
      <c r="H29" s="4">
        <f>IF(OR($G29="",$I29="",$M29="KONTROL",$M29="KAPSAM_DISI"),"",$G29*$I29)</f>
        <v>6776.4</v>
      </c>
      <c r="I29" s="4">
        <f>SUMIFS(DEVRE!$T:$T,DEVRE!$A:$A,$Q29,DEVRE!$C:$C,$P29)+SUMIFS(DEVRE!$U:$U,DEVRE!$A:$A,$Q29,DEVRE!$H:$H,$P29)</f>
        <v>2</v>
      </c>
      <c r="J29" s="4" t="str">
        <f t="shared" si="18"/>
        <v>шт</v>
      </c>
      <c r="K29" s="4" t="str">
        <f t="shared" si="19"/>
        <v>CHINT</v>
      </c>
      <c r="L29" s="4">
        <f t="shared" si="20"/>
        <v>6776.4</v>
      </c>
      <c r="M29" s="4" t="str">
        <f t="shared" si="21"/>
        <v>OK</v>
      </c>
      <c r="N29" s="4" t="s">
        <v>112</v>
      </c>
      <c r="O29" s="4" t="str">
        <f t="shared" si="22"/>
        <v>CHINT2608</v>
      </c>
      <c r="P29" s="5" t="s">
        <v>113</v>
      </c>
      <c r="Q29" s="4" t="str">
        <f t="shared" si="23"/>
        <v>P02</v>
      </c>
      <c r="R29" s="5" t="s">
        <v>50</v>
      </c>
      <c r="T29" s="4">
        <f>IF(OR($R29="",$I29=""),"",$I29*INDEX(NORM_DK,MATCH($R29,NORM_AD,0)))</f>
        <v>16</v>
      </c>
      <c r="U29" s="4">
        <f>IF(OR($P29="",$I29=""),"",IF(IF(INDEX(FIYAT_ALAN,MATCH($P29,FIYAT_KOD,0))="","",INDEX(FIYAT_ALAN,MATCH($P29,FIYAT_KOD,0)))&lt;&gt;"",$I29*IF(INDEX(FIYAT_ALAN,MATCH($P29,FIYAT_KOD,0))="","",INDEX(FIYAT_ALAN,MATCH($P29,FIYAT_KOD,0))),IF(IF(INDEX(FIYAT_MODUL,MATCH($P29,FIYAT_KOD,0))="","",INDEX(FIYAT_MODUL,MATCH($P29,FIYAT_KOD,0)))&lt;&gt;"",$I29*IF(INDEX(FIYAT_MODUL,MATCH($P29,FIYAT_KOD,0))="","",INDEX(FIYAT_MODUL,MATCH($P29,FIYAT_KOD,0))),IF(IF(INDEX(FIYAT_GENISLIK,MATCH($P29,FIYAT_KOD,0))="","",INDEX(FIYAT_GENISLIK,MATCH($P29,FIYAT_KOD,0)))&lt;&gt;"",$I29*IF(INDEX(FIYAT_GENISLIK,MATCH($P29,FIYAT_KOD,0))="","",INDEX(FIYAT_GENISLIK,MATCH($P29,FIYAT_KOD,0)))/MODUL_GENISLIK_MM,""))))</f>
        <v>6</v>
      </c>
      <c r="V29" s="4" t="str">
        <f>IF(OR($C29&lt;&gt;"шина",$I29=""),"",$I29*INDEX(FIYAT_KGM,MATCH($P29,FIYAT_KOD,0)))</f>
        <v/>
      </c>
      <c r="W29" s="4">
        <f t="shared" si="24"/>
        <v>6776.4</v>
      </c>
      <c r="Y29" s="5" t="s">
        <v>39</v>
      </c>
      <c r="Z29" s="4">
        <f>IF($P29="","",MAX(_xlfn.MAXIFS(DEVRE!$AM:$AM,DEVRE!$A:$A,$Q29,DEVRE!$C:$C,$P29),_xlfn.MAXIFS(DEVRE!$AM:$AM,DEVRE!$A:$A,$Q29,DEVRE!$H:$H,$P29)))</f>
        <v>0</v>
      </c>
      <c r="AA29" s="4">
        <f>IF(OR($I29="",$Q29="",$P29=""),"",$I29*INDEX(PANO_ADET,MATCH($Q29,PANO_ID,0)))</f>
        <v>2</v>
      </c>
      <c r="AB29" s="4">
        <f>IF($P29="",0,IF(AND($U29="",COUNTIF(ALAN_TIP_LIST,$C29)&gt;0),1,0))</f>
        <v>0</v>
      </c>
      <c r="AC29" s="4">
        <f>IF(OR($P29="",$C29&lt;&gt;"kontaktör"),0,IF(IF(INDEX(FIYAT_BOBIN,MATCH($P29,FIYAT_KOD,0))="","",INDEX(FIYAT_BOBIN,MATCH($P29,FIYAT_KOD,0)))="",1,0))</f>
        <v>0</v>
      </c>
    </row>
    <row r="30" spans="1:29" x14ac:dyDescent="0.35">
      <c r="A30" s="4">
        <f t="shared" si="0"/>
        <v>29</v>
      </c>
      <c r="B30" s="4" t="str">
        <f t="shared" si="13"/>
        <v>Авт. выкл. NXB-63 3P 50A 6кА х-ка C</v>
      </c>
      <c r="C30" s="5" t="s">
        <v>47</v>
      </c>
      <c r="D30" s="4" t="str">
        <f t="shared" si="14"/>
        <v>814175</v>
      </c>
      <c r="E30" s="4" t="str">
        <f t="shared" si="15"/>
        <v>Авт. выкл. NXB-63 3P 50A 6кА х-ка C</v>
      </c>
      <c r="F30" s="4">
        <f t="shared" si="16"/>
        <v>5719</v>
      </c>
      <c r="G30" s="4">
        <f t="shared" si="17"/>
        <v>3431.4</v>
      </c>
      <c r="H30" s="4">
        <f>IF(OR($G30="",$I30="",$M30="KONTROL",$M30="KAPSAM_DISI"),"",$G30*$I30)</f>
        <v>3431.4</v>
      </c>
      <c r="I30" s="4">
        <f>SUMIFS(DEVRE!$T:$T,DEVRE!$A:$A,$Q30,DEVRE!$C:$C,$P30)+SUMIFS(DEVRE!$U:$U,DEVRE!$A:$A,$Q30,DEVRE!$H:$H,$P30)</f>
        <v>1</v>
      </c>
      <c r="J30" s="4" t="str">
        <f t="shared" si="18"/>
        <v>шт</v>
      </c>
      <c r="K30" s="4" t="str">
        <f t="shared" si="19"/>
        <v>CHINT</v>
      </c>
      <c r="L30" s="4">
        <f t="shared" si="20"/>
        <v>3431.4</v>
      </c>
      <c r="M30" s="4" t="str">
        <f t="shared" si="21"/>
        <v>OK</v>
      </c>
      <c r="N30" s="4" t="s">
        <v>114</v>
      </c>
      <c r="O30" s="4" t="str">
        <f t="shared" si="22"/>
        <v>CHINT2608</v>
      </c>
      <c r="P30" s="5" t="s">
        <v>115</v>
      </c>
      <c r="Q30" s="4" t="str">
        <f t="shared" si="23"/>
        <v>P02</v>
      </c>
      <c r="R30" s="5" t="s">
        <v>50</v>
      </c>
      <c r="T30" s="4">
        <f>IF(OR($R30="",$I30=""),"",$I30*INDEX(NORM_DK,MATCH($R30,NORM_AD,0)))</f>
        <v>8</v>
      </c>
      <c r="U30" s="4">
        <f>IF(OR($P30="",$I30=""),"",IF(IF(INDEX(FIYAT_ALAN,MATCH($P30,FIYAT_KOD,0))="","",INDEX(FIYAT_ALAN,MATCH($P30,FIYAT_KOD,0)))&lt;&gt;"",$I30*IF(INDEX(FIYAT_ALAN,MATCH($P30,FIYAT_KOD,0))="","",INDEX(FIYAT_ALAN,MATCH($P30,FIYAT_KOD,0))),IF(IF(INDEX(FIYAT_MODUL,MATCH($P30,FIYAT_KOD,0))="","",INDEX(FIYAT_MODUL,MATCH($P30,FIYAT_KOD,0)))&lt;&gt;"",$I30*IF(INDEX(FIYAT_MODUL,MATCH($P30,FIYAT_KOD,0))="","",INDEX(FIYAT_MODUL,MATCH($P30,FIYAT_KOD,0))),IF(IF(INDEX(FIYAT_GENISLIK,MATCH($P30,FIYAT_KOD,0))="","",INDEX(FIYAT_GENISLIK,MATCH($P30,FIYAT_KOD,0)))&lt;&gt;"",$I30*IF(INDEX(FIYAT_GENISLIK,MATCH($P30,FIYAT_KOD,0))="","",INDEX(FIYAT_GENISLIK,MATCH($P30,FIYAT_KOD,0)))/MODUL_GENISLIK_MM,""))))</f>
        <v>3</v>
      </c>
      <c r="V30" s="4" t="str">
        <f>IF(OR($C30&lt;&gt;"шина",$I30=""),"",$I30*INDEX(FIYAT_KGM,MATCH($P30,FIYAT_KOD,0)))</f>
        <v/>
      </c>
      <c r="W30" s="4">
        <f t="shared" si="24"/>
        <v>3431.4</v>
      </c>
      <c r="Y30" s="5" t="s">
        <v>39</v>
      </c>
      <c r="Z30" s="4">
        <f>IF($P30="","",MAX(_xlfn.MAXIFS(DEVRE!$AM:$AM,DEVRE!$A:$A,$Q30,DEVRE!$C:$C,$P30),_xlfn.MAXIFS(DEVRE!$AM:$AM,DEVRE!$A:$A,$Q30,DEVRE!$H:$H,$P30)))</f>
        <v>0</v>
      </c>
      <c r="AA30" s="4">
        <f>IF(OR($I30="",$Q30="",$P30=""),"",$I30*INDEX(PANO_ADET,MATCH($Q30,PANO_ID,0)))</f>
        <v>1</v>
      </c>
      <c r="AB30" s="4">
        <f>IF($P30="",0,IF(AND($U30="",COUNTIF(ALAN_TIP_LIST,$C30)&gt;0),1,0))</f>
        <v>0</v>
      </c>
      <c r="AC30" s="4">
        <f>IF(OR($P30="",$C30&lt;&gt;"kontaktör"),0,IF(IF(INDEX(FIYAT_BOBIN,MATCH($P30,FIYAT_KOD,0))="","",INDEX(FIYAT_BOBIN,MATCH($P30,FIYAT_KOD,0)))="",1,0))</f>
        <v>0</v>
      </c>
    </row>
    <row r="31" spans="1:29" x14ac:dyDescent="0.35">
      <c r="A31" s="4">
        <f t="shared" si="0"/>
        <v>30</v>
      </c>
      <c r="B31" s="4" t="str">
        <f t="shared" si="13"/>
        <v>Авт. выкл. NXB-63 3P 32A 6кА х-ка C</v>
      </c>
      <c r="C31" s="5" t="s">
        <v>47</v>
      </c>
      <c r="D31" s="4" t="str">
        <f t="shared" si="14"/>
        <v>814173</v>
      </c>
      <c r="E31" s="4" t="str">
        <f t="shared" si="15"/>
        <v>Авт. выкл. NXB-63 3P 32A 6кА х-ка C</v>
      </c>
      <c r="F31" s="4">
        <f t="shared" si="16"/>
        <v>6060</v>
      </c>
      <c r="G31" s="4">
        <f t="shared" si="17"/>
        <v>3636</v>
      </c>
      <c r="H31" s="4">
        <f>IF(OR($G31="",$I31="",$M31="KONTROL",$M31="KAPSAM_DISI"),"",$G31*$I31)</f>
        <v>3636</v>
      </c>
      <c r="I31" s="4">
        <f>SUMIFS(DEVRE!$T:$T,DEVRE!$A:$A,$Q31,DEVRE!$C:$C,$P31)+SUMIFS(DEVRE!$U:$U,DEVRE!$A:$A,$Q31,DEVRE!$H:$H,$P31)</f>
        <v>1</v>
      </c>
      <c r="J31" s="4" t="str">
        <f t="shared" si="18"/>
        <v>шт</v>
      </c>
      <c r="K31" s="4" t="str">
        <f t="shared" si="19"/>
        <v>CHINT</v>
      </c>
      <c r="L31" s="4">
        <f t="shared" si="20"/>
        <v>3636</v>
      </c>
      <c r="M31" s="4" t="str">
        <f t="shared" si="21"/>
        <v>OK</v>
      </c>
      <c r="N31" s="4" t="s">
        <v>116</v>
      </c>
      <c r="O31" s="4" t="str">
        <f t="shared" si="22"/>
        <v>CHINT2608</v>
      </c>
      <c r="P31" s="5" t="s">
        <v>117</v>
      </c>
      <c r="Q31" s="4" t="str">
        <f t="shared" si="23"/>
        <v>P02</v>
      </c>
      <c r="R31" s="5" t="s">
        <v>50</v>
      </c>
      <c r="T31" s="4">
        <f>IF(OR($R31="",$I31=""),"",$I31*INDEX(NORM_DK,MATCH($R31,NORM_AD,0)))</f>
        <v>8</v>
      </c>
      <c r="U31" s="4">
        <f>IF(OR($P31="",$I31=""),"",IF(IF(INDEX(FIYAT_ALAN,MATCH($P31,FIYAT_KOD,0))="","",INDEX(FIYAT_ALAN,MATCH($P31,FIYAT_KOD,0)))&lt;&gt;"",$I31*IF(INDEX(FIYAT_ALAN,MATCH($P31,FIYAT_KOD,0))="","",INDEX(FIYAT_ALAN,MATCH($P31,FIYAT_KOD,0))),IF(IF(INDEX(FIYAT_MODUL,MATCH($P31,FIYAT_KOD,0))="","",INDEX(FIYAT_MODUL,MATCH($P31,FIYAT_KOD,0)))&lt;&gt;"",$I31*IF(INDEX(FIYAT_MODUL,MATCH($P31,FIYAT_KOD,0))="","",INDEX(FIYAT_MODUL,MATCH($P31,FIYAT_KOD,0))),IF(IF(INDEX(FIYAT_GENISLIK,MATCH($P31,FIYAT_KOD,0))="","",INDEX(FIYAT_GENISLIK,MATCH($P31,FIYAT_KOD,0)))&lt;&gt;"",$I31*IF(INDEX(FIYAT_GENISLIK,MATCH($P31,FIYAT_KOD,0))="","",INDEX(FIYAT_GENISLIK,MATCH($P31,FIYAT_KOD,0)))/MODUL_GENISLIK_MM,""))))</f>
        <v>3</v>
      </c>
      <c r="V31" s="4" t="str">
        <f>IF(OR($C31&lt;&gt;"шина",$I31=""),"",$I31*INDEX(FIYAT_KGM,MATCH($P31,FIYAT_KOD,0)))</f>
        <v/>
      </c>
      <c r="W31" s="4">
        <f t="shared" si="24"/>
        <v>3636</v>
      </c>
      <c r="Y31" s="5" t="s">
        <v>39</v>
      </c>
      <c r="Z31" s="4">
        <f>IF($P31="","",MAX(_xlfn.MAXIFS(DEVRE!$AM:$AM,DEVRE!$A:$A,$Q31,DEVRE!$C:$C,$P31),_xlfn.MAXIFS(DEVRE!$AM:$AM,DEVRE!$A:$A,$Q31,DEVRE!$H:$H,$P31)))</f>
        <v>0</v>
      </c>
      <c r="AA31" s="4">
        <f>IF(OR($I31="",$Q31="",$P31=""),"",$I31*INDEX(PANO_ADET,MATCH($Q31,PANO_ID,0)))</f>
        <v>1</v>
      </c>
      <c r="AB31" s="4">
        <f>IF($P31="",0,IF(AND($U31="",COUNTIF(ALAN_TIP_LIST,$C31)&gt;0),1,0))</f>
        <v>0</v>
      </c>
      <c r="AC31" s="4">
        <f>IF(OR($P31="",$C31&lt;&gt;"kontaktör"),0,IF(IF(INDEX(FIYAT_BOBIN,MATCH($P31,FIYAT_KOD,0))="","",INDEX(FIYAT_BOBIN,MATCH($P31,FIYAT_KOD,0)))="",1,0))</f>
        <v>0</v>
      </c>
    </row>
    <row r="32" spans="1:29" x14ac:dyDescent="0.35">
      <c r="A32" s="4">
        <f t="shared" si="0"/>
        <v>31</v>
      </c>
      <c r="B32" s="4" t="str">
        <f t="shared" si="13"/>
        <v>Авт. выкл. NXB-63 3P 25A 6кА х-ка C</v>
      </c>
      <c r="C32" s="5" t="s">
        <v>47</v>
      </c>
      <c r="D32" s="4" t="str">
        <f t="shared" si="14"/>
        <v>814172</v>
      </c>
      <c r="E32" s="4" t="str">
        <f t="shared" si="15"/>
        <v>Авт. выкл. NXB-63 3P 25A 6кА х-ка C</v>
      </c>
      <c r="F32" s="4">
        <f t="shared" si="16"/>
        <v>5334</v>
      </c>
      <c r="G32" s="4">
        <f t="shared" si="17"/>
        <v>3200.4</v>
      </c>
      <c r="H32" s="4">
        <f>IF(OR($G32="",$I32="",$M32="KONTROL",$M32="KAPSAM_DISI"),"",$G32*$I32)</f>
        <v>6400.8</v>
      </c>
      <c r="I32" s="4">
        <f>SUMIFS(DEVRE!$T:$T,DEVRE!$A:$A,$Q32,DEVRE!$C:$C,$P32)+SUMIFS(DEVRE!$U:$U,DEVRE!$A:$A,$Q32,DEVRE!$H:$H,$P32)</f>
        <v>2</v>
      </c>
      <c r="J32" s="4" t="str">
        <f t="shared" si="18"/>
        <v>шт</v>
      </c>
      <c r="K32" s="4" t="str">
        <f t="shared" si="19"/>
        <v>CHINT</v>
      </c>
      <c r="L32" s="4">
        <f t="shared" si="20"/>
        <v>6400.8</v>
      </c>
      <c r="M32" s="4" t="str">
        <f t="shared" si="21"/>
        <v>VARSAYIM</v>
      </c>
      <c r="N32" s="4" t="s">
        <v>118</v>
      </c>
      <c r="O32" s="4" t="str">
        <f t="shared" si="22"/>
        <v>CHINT2608</v>
      </c>
      <c r="P32" s="5" t="s">
        <v>119</v>
      </c>
      <c r="Q32" s="4" t="str">
        <f t="shared" si="23"/>
        <v>P02</v>
      </c>
      <c r="R32" s="5" t="s">
        <v>50</v>
      </c>
      <c r="T32" s="4">
        <f>IF(OR($R32="",$I32=""),"",$I32*INDEX(NORM_DK,MATCH($R32,NORM_AD,0)))</f>
        <v>16</v>
      </c>
      <c r="U32" s="4">
        <f>IF(OR($P32="",$I32=""),"",IF(IF(INDEX(FIYAT_ALAN,MATCH($P32,FIYAT_KOD,0))="","",INDEX(FIYAT_ALAN,MATCH($P32,FIYAT_KOD,0)))&lt;&gt;"",$I32*IF(INDEX(FIYAT_ALAN,MATCH($P32,FIYAT_KOD,0))="","",INDEX(FIYAT_ALAN,MATCH($P32,FIYAT_KOD,0))),IF(IF(INDEX(FIYAT_MODUL,MATCH($P32,FIYAT_KOD,0))="","",INDEX(FIYAT_MODUL,MATCH($P32,FIYAT_KOD,0)))&lt;&gt;"",$I32*IF(INDEX(FIYAT_MODUL,MATCH($P32,FIYAT_KOD,0))="","",INDEX(FIYAT_MODUL,MATCH($P32,FIYAT_KOD,0))),IF(IF(INDEX(FIYAT_GENISLIK,MATCH($P32,FIYAT_KOD,0))="","",INDEX(FIYAT_GENISLIK,MATCH($P32,FIYAT_KOD,0)))&lt;&gt;"",$I32*IF(INDEX(FIYAT_GENISLIK,MATCH($P32,FIYAT_KOD,0))="","",INDEX(FIYAT_GENISLIK,MATCH($P32,FIYAT_KOD,0)))/MODUL_GENISLIK_MM,""))))</f>
        <v>6</v>
      </c>
      <c r="V32" s="4" t="str">
        <f>IF(OR($C32&lt;&gt;"шина",$I32=""),"",$I32*INDEX(FIYAT_KGM,MATCH($P32,FIYAT_KOD,0)))</f>
        <v/>
      </c>
      <c r="W32" s="4">
        <f t="shared" si="24"/>
        <v>6400.8</v>
      </c>
      <c r="Y32" s="5" t="s">
        <v>39</v>
      </c>
      <c r="Z32" s="4">
        <f>IF($P32="","",MAX(_xlfn.MAXIFS(DEVRE!$AM:$AM,DEVRE!$A:$A,$Q32,DEVRE!$C:$C,$P32),_xlfn.MAXIFS(DEVRE!$AM:$AM,DEVRE!$A:$A,$Q32,DEVRE!$H:$H,$P32)))</f>
        <v>3</v>
      </c>
      <c r="AA32" s="4">
        <f>IF(OR($I32="",$Q32="",$P32=""),"",$I32*INDEX(PANO_ADET,MATCH($Q32,PANO_ID,0)))</f>
        <v>2</v>
      </c>
      <c r="AB32" s="4">
        <f>IF($P32="",0,IF(AND($U32="",COUNTIF(ALAN_TIP_LIST,$C32)&gt;0),1,0))</f>
        <v>0</v>
      </c>
      <c r="AC32" s="4">
        <f>IF(OR($P32="",$C32&lt;&gt;"kontaktör"),0,IF(IF(INDEX(FIYAT_BOBIN,MATCH($P32,FIYAT_KOD,0))="","",INDEX(FIYAT_BOBIN,MATCH($P32,FIYAT_KOD,0)))="",1,0))</f>
        <v>0</v>
      </c>
    </row>
    <row r="33" spans="1:29" x14ac:dyDescent="0.35">
      <c r="A33" s="4">
        <f t="shared" si="0"/>
        <v>32</v>
      </c>
      <c r="B33" s="4" t="str">
        <f t="shared" si="13"/>
        <v>Шина соединительная типа PIN 3P, 63А, L=1000мм</v>
      </c>
      <c r="C33" s="5" t="s">
        <v>120</v>
      </c>
      <c r="D33" s="4" t="str">
        <f t="shared" si="14"/>
        <v>811002</v>
      </c>
      <c r="E33" s="4" t="str">
        <f t="shared" si="15"/>
        <v>Шина соединительная типа PIN 3P, 63А, L=1000мм</v>
      </c>
      <c r="F33" s="4">
        <f t="shared" si="16"/>
        <v>12699</v>
      </c>
      <c r="G33" s="4">
        <f t="shared" si="17"/>
        <v>7619.4</v>
      </c>
      <c r="H33" s="4" t="str">
        <f>IF(OR($G33="",$I33="",$M33="KONTROL",$M33="KAPSAM_DISI"),"",$G33*$I33)</f>
        <v/>
      </c>
      <c r="I33" s="4">
        <f>IF(COUNTIFS(DEVRE!$A:$A,$Q33,DEVRE!$D:$D,"CIKIS",DEVRE!$AO:$AO,$X33,DEVRE!$Q:$Q,"&lt;="&amp;TARAK_MAX_A,DEVRE!$P:$P,"OTO")+COUNTIFS(DEVRE!$A:$A,$Q33,DEVRE!$D:$D,"CIKIS",DEVRE!$AO:$AO,$X33,DEVRE!$Q:$Q,"&lt;="&amp;TARAK_MAX_A,DEVRE!$P:$P,"DİF")&lt;TARAK_MIN_CIHAZ,"",ROUNDUP((SUMIFS(DEVRE!$AH:$AH,DEVRE!$A:$A,$Q33,DEVRE!$D:$D,"CIKIS",DEVRE!$AO:$AO,$X33,DEVRE!$Q:$Q,"&lt;="&amp;TARAK_MAX_A,DEVRE!$P:$P,"OTO")+SUMIFS(DEVRE!$AH:$AH,DEVRE!$A:$A,$Q33,DEVRE!$D:$D,"CIKIS",DEVRE!$AO:$AO,$X33,DEVRE!$Q:$Q,"&lt;="&amp;TARAK_MAX_A,DEVRE!$P:$P,"DİF"))/TARAK_MOD_ADET,0))</f>
        <v>2</v>
      </c>
      <c r="J33" s="4" t="str">
        <f t="shared" si="18"/>
        <v>шт</v>
      </c>
      <c r="K33" s="4" t="str">
        <f t="shared" si="19"/>
        <v>CHINT</v>
      </c>
      <c r="L33" s="4" t="str">
        <f t="shared" si="20"/>
        <v/>
      </c>
      <c r="M33" s="4" t="str">
        <f t="shared" si="21"/>
        <v>KONTROL</v>
      </c>
      <c r="N33" s="4" t="s">
        <v>121</v>
      </c>
      <c r="O33" s="4" t="str">
        <f t="shared" si="22"/>
        <v>CHINT2608</v>
      </c>
      <c r="P33" s="5" t="s">
        <v>122</v>
      </c>
      <c r="Q33" s="4" t="str">
        <f t="shared" si="23"/>
        <v>P02</v>
      </c>
      <c r="R33" s="5" t="s">
        <v>123</v>
      </c>
      <c r="S33" s="5" t="s">
        <v>124</v>
      </c>
      <c r="T33" s="4">
        <f>IF(OR($R33="",$I33=""),"",$I33*INDEX(NORM_DK,MATCH($R33,NORM_AD,0)))</f>
        <v>20</v>
      </c>
      <c r="U33" s="4" t="str">
        <f>IF(OR($P33="",$I33=""),"",IF(IF(INDEX(FIYAT_ALAN,MATCH($P33,FIYAT_KOD,0))="","",INDEX(FIYAT_ALAN,MATCH($P33,FIYAT_KOD,0)))&lt;&gt;"",$I33*IF(INDEX(FIYAT_ALAN,MATCH($P33,FIYAT_KOD,0))="","",INDEX(FIYAT_ALAN,MATCH($P33,FIYAT_KOD,0))),IF(IF(INDEX(FIYAT_MODUL,MATCH($P33,FIYAT_KOD,0))="","",INDEX(FIYAT_MODUL,MATCH($P33,FIYAT_KOD,0)))&lt;&gt;"",$I33*IF(INDEX(FIYAT_MODUL,MATCH($P33,FIYAT_KOD,0))="","",INDEX(FIYAT_MODUL,MATCH($P33,FIYAT_KOD,0))),IF(IF(INDEX(FIYAT_GENISLIK,MATCH($P33,FIYAT_KOD,0))="","",INDEX(FIYAT_GENISLIK,MATCH($P33,FIYAT_KOD,0)))&lt;&gt;"",$I33*IF(INDEX(FIYAT_GENISLIK,MATCH($P33,FIYAT_KOD,0))="","",INDEX(FIYAT_GENISLIK,MATCH($P33,FIYAT_KOD,0)))/MODUL_GENISLIK_MM,""))))</f>
        <v/>
      </c>
      <c r="V33" s="4" t="str">
        <f>IF(OR($C33&lt;&gt;"шина",$I33=""),"",$I33*INDEX(FIYAT_KGM,MATCH($P33,FIYAT_KOD,0)))</f>
        <v/>
      </c>
      <c r="W33" s="4" t="str">
        <f t="shared" si="24"/>
        <v/>
      </c>
      <c r="X33" s="5" t="s">
        <v>125</v>
      </c>
      <c r="Y33" s="5" t="s">
        <v>126</v>
      </c>
      <c r="Z33" s="4">
        <f>IF($P33="","",MAX(_xlfn.MAXIFS(DEVRE!$AM:$AM,DEVRE!$A:$A,$Q33,DEVRE!$C:$C,$P33),_xlfn.MAXIFS(DEVRE!$AM:$AM,DEVRE!$A:$A,$Q33,DEVRE!$H:$H,$P33)))</f>
        <v>0</v>
      </c>
      <c r="AA33" s="4">
        <f>IF(OR($I33="",$Q33="",$P33=""),"",$I33*INDEX(PANO_ADET,MATCH($Q33,PANO_ID,0)))</f>
        <v>2</v>
      </c>
      <c r="AB33" s="4">
        <f>IF($P33="",0,IF(AND($U33="",COUNTIF(ALAN_TIP_LIST,$C33)&gt;0),1,0))</f>
        <v>0</v>
      </c>
      <c r="AC33" s="4">
        <f>IF(OR($P33="",$C33&lt;&gt;"kontaktör"),0,IF(IF(INDEX(FIYAT_BOBIN,MATCH($P33,FIYAT_KOD,0))="","",INDEX(FIYAT_BOBIN,MATCH($P33,FIYAT_KOD,0)))="",1,0))</f>
        <v>0</v>
      </c>
    </row>
    <row r="34" spans="1:29" x14ac:dyDescent="0.35">
      <c r="A34" s="4">
        <f t="shared" ref="A34:A65" si="25">ROW()-1</f>
        <v>33</v>
      </c>
      <c r="B34" s="4" t="str">
        <f t="shared" si="13"/>
        <v/>
      </c>
      <c r="C34" s="5" t="s">
        <v>51</v>
      </c>
      <c r="D34" s="4" t="str">
        <f t="shared" si="14"/>
        <v/>
      </c>
      <c r="E34" s="4" t="str">
        <f t="shared" si="15"/>
        <v/>
      </c>
      <c r="F34" s="4" t="str">
        <f t="shared" si="16"/>
        <v/>
      </c>
      <c r="G34" s="4" t="str">
        <f t="shared" si="17"/>
        <v/>
      </c>
      <c r="H34" s="4" t="str">
        <f>IF(OR($G34="",$I34="",$M34="KONTROL",$M34="KAPSAM_DISI"),"",$G34*$I34)</f>
        <v/>
      </c>
      <c r="I34" s="4">
        <f>IF(INDEX(PANO_BARA_GEREK,MATCH($Q34,PANO_ID,0))="HAYIR",2,"")</f>
        <v>2</v>
      </c>
      <c r="J34" s="4" t="str">
        <f t="shared" si="18"/>
        <v/>
      </c>
      <c r="K34" s="4" t="str">
        <f t="shared" si="19"/>
        <v/>
      </c>
      <c r="L34" s="4" t="str">
        <f t="shared" si="20"/>
        <v/>
      </c>
      <c r="M34" s="4" t="str">
        <f t="shared" si="21"/>
        <v/>
      </c>
      <c r="N34" s="4" t="s">
        <v>75</v>
      </c>
      <c r="O34" s="4" t="str">
        <f t="shared" si="22"/>
        <v/>
      </c>
      <c r="P34" s="4" t="str">
        <f>IF(NOTR_BARA_KOD="","",NOTR_BARA_KOD)</f>
        <v/>
      </c>
      <c r="Q34" s="4" t="str">
        <f t="shared" si="23"/>
        <v>P02</v>
      </c>
      <c r="S34" s="5" t="s">
        <v>47</v>
      </c>
      <c r="T34" s="4" t="str">
        <f>IF(OR($R34="",$I34=""),"",$I34*INDEX(NORM_DK,MATCH($R34,NORM_AD,0)))</f>
        <v/>
      </c>
      <c r="U34" s="4" t="str">
        <f>IF(OR($P34="",$I34=""),"",IF(IF(INDEX(FIYAT_ALAN,MATCH($P34,FIYAT_KOD,0))="","",INDEX(FIYAT_ALAN,MATCH($P34,FIYAT_KOD,0)))&lt;&gt;"",$I34*IF(INDEX(FIYAT_ALAN,MATCH($P34,FIYAT_KOD,0))="","",INDEX(FIYAT_ALAN,MATCH($P34,FIYAT_KOD,0))),IF(IF(INDEX(FIYAT_MODUL,MATCH($P34,FIYAT_KOD,0))="","",INDEX(FIYAT_MODUL,MATCH($P34,FIYAT_KOD,0)))&lt;&gt;"",$I34*IF(INDEX(FIYAT_MODUL,MATCH($P34,FIYAT_KOD,0))="","",INDEX(FIYAT_MODUL,MATCH($P34,FIYAT_KOD,0))),IF(IF(INDEX(FIYAT_GENISLIK,MATCH($P34,FIYAT_KOD,0))="","",INDEX(FIYAT_GENISLIK,MATCH($P34,FIYAT_KOD,0)))&lt;&gt;"",$I34*IF(INDEX(FIYAT_GENISLIK,MATCH($P34,FIYAT_KOD,0))="","",INDEX(FIYAT_GENISLIK,MATCH($P34,FIYAT_KOD,0)))/MODUL_GENISLIK_MM,""))))</f>
        <v/>
      </c>
      <c r="V34" s="4" t="str">
        <f>IF(OR($C34&lt;&gt;"шина",$I34=""),"",$I34*INDEX(FIYAT_KGM,MATCH($P34,FIYAT_KOD,0)))</f>
        <v/>
      </c>
      <c r="W34" s="4" t="str">
        <f t="shared" si="24"/>
        <v/>
      </c>
      <c r="Y34" s="5" t="s">
        <v>76</v>
      </c>
      <c r="Z34" s="4" t="str">
        <f>IF($P34="","",MAX(_xlfn.MAXIFS(DEVRE!$AM:$AM,DEVRE!$A:$A,$Q34,DEVRE!$C:$C,$P34),_xlfn.MAXIFS(DEVRE!$AM:$AM,DEVRE!$A:$A,$Q34,DEVRE!$H:$H,$P34)))</f>
        <v/>
      </c>
      <c r="AA34" s="4" t="str">
        <f>IF(OR($I34="",$Q34="",$P34=""),"",$I34*INDEX(PANO_ADET,MATCH($Q34,PANO_ID,0)))</f>
        <v/>
      </c>
      <c r="AB34" s="4">
        <f>IF($P34="",0,IF(AND($U34="",COUNTIF(ALAN_TIP_LIST,$C34)&gt;0),1,0))</f>
        <v>0</v>
      </c>
      <c r="AC34" s="4">
        <f>IF(OR($P34="",$C34&lt;&gt;"kontaktör"),0,IF(IF(INDEX(FIYAT_BOBIN,MATCH($P34,FIYAT_KOD,0))="","",INDEX(FIYAT_BOBIN,MATCH($P34,FIYAT_KOD,0)))="",1,0))</f>
        <v>0</v>
      </c>
    </row>
    <row r="35" spans="1:29" x14ac:dyDescent="0.35">
      <c r="A35" s="4">
        <f t="shared" si="25"/>
        <v>34</v>
      </c>
      <c r="B35" s="4" t="str">
        <f t="shared" si="13"/>
        <v/>
      </c>
      <c r="C35" s="5" t="s">
        <v>77</v>
      </c>
      <c r="D35" s="4" t="str">
        <f t="shared" si="14"/>
        <v/>
      </c>
      <c r="E35" s="4" t="str">
        <f t="shared" si="15"/>
        <v/>
      </c>
      <c r="F35" s="4" t="str">
        <f t="shared" si="16"/>
        <v/>
      </c>
      <c r="G35" s="4" t="str">
        <f t="shared" si="17"/>
        <v/>
      </c>
      <c r="H35" s="4" t="str">
        <f>IF(OR($G35="",$I35="",$M35="KONTROL",$M35="KAPSAM_DISI"),"",$G35*$I35)</f>
        <v/>
      </c>
      <c r="I35" s="4" t="str">
        <f>INDEX(PANO_DIN_M,MATCH($Q35,PANO_ID,0))</f>
        <v/>
      </c>
      <c r="J35" s="4" t="str">
        <f t="shared" si="18"/>
        <v/>
      </c>
      <c r="K35" s="4" t="str">
        <f t="shared" si="19"/>
        <v/>
      </c>
      <c r="L35" s="4" t="str">
        <f t="shared" si="20"/>
        <v/>
      </c>
      <c r="M35" s="4" t="str">
        <f t="shared" si="21"/>
        <v/>
      </c>
      <c r="N35" s="4" t="s">
        <v>78</v>
      </c>
      <c r="O35" s="4" t="str">
        <f t="shared" si="22"/>
        <v/>
      </c>
      <c r="P35" s="4" t="str">
        <f>IF(DINRAY_KOD="","",DINRAY_KOD)</f>
        <v/>
      </c>
      <c r="Q35" s="4" t="str">
        <f t="shared" si="23"/>
        <v>P02</v>
      </c>
      <c r="R35" s="5" t="s">
        <v>79</v>
      </c>
      <c r="S35" s="5" t="s">
        <v>47</v>
      </c>
      <c r="T35" s="4" t="str">
        <f>IF(OR($R35="",$I35=""),"",$I35*INDEX(NORM_DK,MATCH($R35,NORM_AD,0)))</f>
        <v/>
      </c>
      <c r="U35" s="4" t="str">
        <f>IF(OR($P35="",$I35=""),"",IF(IF(INDEX(FIYAT_ALAN,MATCH($P35,FIYAT_KOD,0))="","",INDEX(FIYAT_ALAN,MATCH($P35,FIYAT_KOD,0)))&lt;&gt;"",$I35*IF(INDEX(FIYAT_ALAN,MATCH($P35,FIYAT_KOD,0))="","",INDEX(FIYAT_ALAN,MATCH($P35,FIYAT_KOD,0))),IF(IF(INDEX(FIYAT_MODUL,MATCH($P35,FIYAT_KOD,0))="","",INDEX(FIYAT_MODUL,MATCH($P35,FIYAT_KOD,0)))&lt;&gt;"",$I35*IF(INDEX(FIYAT_MODUL,MATCH($P35,FIYAT_KOD,0))="","",INDEX(FIYAT_MODUL,MATCH($P35,FIYAT_KOD,0))),IF(IF(INDEX(FIYAT_GENISLIK,MATCH($P35,FIYAT_KOD,0))="","",INDEX(FIYAT_GENISLIK,MATCH($P35,FIYAT_KOD,0)))&lt;&gt;"",$I35*IF(INDEX(FIYAT_GENISLIK,MATCH($P35,FIYAT_KOD,0))="","",INDEX(FIYAT_GENISLIK,MATCH($P35,FIYAT_KOD,0)))/MODUL_GENISLIK_MM,""))))</f>
        <v/>
      </c>
      <c r="V35" s="4" t="str">
        <f>IF(OR($C35&lt;&gt;"шина",$I35=""),"",$I35*INDEX(FIYAT_KGM,MATCH($P35,FIYAT_KOD,0)))</f>
        <v/>
      </c>
      <c r="W35" s="4" t="str">
        <f t="shared" si="24"/>
        <v/>
      </c>
      <c r="Y35" s="5" t="s">
        <v>80</v>
      </c>
      <c r="Z35" s="4" t="str">
        <f>IF($P35="","",MAX(_xlfn.MAXIFS(DEVRE!$AM:$AM,DEVRE!$A:$A,$Q35,DEVRE!$C:$C,$P35),_xlfn.MAXIFS(DEVRE!$AM:$AM,DEVRE!$A:$A,$Q35,DEVRE!$H:$H,$P35)))</f>
        <v/>
      </c>
      <c r="AA35" s="4" t="str">
        <f>IF(OR($I35="",$Q35="",$P35=""),"",$I35*INDEX(PANO_ADET,MATCH($Q35,PANO_ID,0)))</f>
        <v/>
      </c>
      <c r="AB35" s="4">
        <f>IF($P35="",0,IF(AND($U35="",COUNTIF(ALAN_TIP_LIST,$C35)&gt;0),1,0))</f>
        <v>0</v>
      </c>
      <c r="AC35" s="4">
        <f>IF(OR($P35="",$C35&lt;&gt;"kontaktör"),0,IF(IF(INDEX(FIYAT_BOBIN,MATCH($P35,FIYAT_KOD,0))="","",INDEX(FIYAT_BOBIN,MATCH($P35,FIYAT_KOD,0)))="",1,0))</f>
        <v>0</v>
      </c>
    </row>
    <row r="36" spans="1:29" x14ac:dyDescent="0.35">
      <c r="A36" s="4">
        <f t="shared" si="25"/>
        <v>35</v>
      </c>
      <c r="B36" s="4" t="str">
        <f t="shared" si="13"/>
        <v>Лоток перфорированный 50х 50х3000 (0,7 мм) EKT</v>
      </c>
      <c r="C36" s="5" t="s">
        <v>81</v>
      </c>
      <c r="D36" s="4" t="str">
        <f t="shared" si="14"/>
        <v>280300704</v>
      </c>
      <c r="E36" s="4" t="str">
        <f t="shared" si="15"/>
        <v>Лоток перфорированный 50х 50х3000 (0,7 мм) EKT</v>
      </c>
      <c r="F36" s="4">
        <f t="shared" si="16"/>
        <v>1022</v>
      </c>
      <c r="G36" s="4">
        <f t="shared" si="17"/>
        <v>1022</v>
      </c>
      <c r="H36" s="4" t="str">
        <f>IF(OR($G36="",$I36="",$M36="KONTROL",$M36="KAPSAM_DISI"),"",$G36*$I36)</f>
        <v/>
      </c>
      <c r="I36" s="4" t="str">
        <f>INDEX(PANO_KANAL_M,MATCH($Q36,PANO_ID,0))</f>
        <v/>
      </c>
      <c r="J36" s="4" t="str">
        <f t="shared" si="18"/>
        <v>м</v>
      </c>
      <c r="K36" s="4" t="str">
        <f t="shared" si="19"/>
        <v>EKT</v>
      </c>
      <c r="L36" s="4" t="str">
        <f t="shared" si="20"/>
        <v/>
      </c>
      <c r="M36" s="4" t="str">
        <f t="shared" si="21"/>
        <v>MUADIL_ONAY</v>
      </c>
      <c r="N36" s="4" t="s">
        <v>82</v>
      </c>
      <c r="O36" s="4" t="str">
        <f t="shared" si="22"/>
        <v>EKT2506</v>
      </c>
      <c r="P36" s="4" t="str">
        <f>INDEX(PANO_KANAL_KOD,MATCH($Q36,PANO_ID,0))</f>
        <v>EKT-280300704</v>
      </c>
      <c r="Q36" s="4" t="str">
        <f t="shared" si="23"/>
        <v>P02</v>
      </c>
      <c r="R36" s="5" t="s">
        <v>83</v>
      </c>
      <c r="S36" s="5" t="s">
        <v>84</v>
      </c>
      <c r="T36" s="4" t="str">
        <f>IF(OR($R36="",$I36=""),"",$I36*INDEX(NORM_DK,MATCH($R36,NORM_AD,0)))</f>
        <v/>
      </c>
      <c r="U36" s="4" t="str">
        <f>IF(OR($P36="",$I36=""),"",IF(IF(INDEX(FIYAT_ALAN,MATCH($P36,FIYAT_KOD,0))="","",INDEX(FIYAT_ALAN,MATCH($P36,FIYAT_KOD,0)))&lt;&gt;"",$I36*IF(INDEX(FIYAT_ALAN,MATCH($P36,FIYAT_KOD,0))="","",INDEX(FIYAT_ALAN,MATCH($P36,FIYAT_KOD,0))),IF(IF(INDEX(FIYAT_MODUL,MATCH($P36,FIYAT_KOD,0))="","",INDEX(FIYAT_MODUL,MATCH($P36,FIYAT_KOD,0)))&lt;&gt;"",$I36*IF(INDEX(FIYAT_MODUL,MATCH($P36,FIYAT_KOD,0))="","",INDEX(FIYAT_MODUL,MATCH($P36,FIYAT_KOD,0))),IF(IF(INDEX(FIYAT_GENISLIK,MATCH($P36,FIYAT_KOD,0))="","",INDEX(FIYAT_GENISLIK,MATCH($P36,FIYAT_KOD,0)))&lt;&gt;"",$I36*IF(INDEX(FIYAT_GENISLIK,MATCH($P36,FIYAT_KOD,0))="","",INDEX(FIYAT_GENISLIK,MATCH($P36,FIYAT_KOD,0)))/MODUL_GENISLIK_MM,""))))</f>
        <v/>
      </c>
      <c r="V36" s="4" t="str">
        <f>IF(OR($C36&lt;&gt;"шина",$I36=""),"",$I36*INDEX(FIYAT_KGM,MATCH($P36,FIYAT_KOD,0)))</f>
        <v/>
      </c>
      <c r="W36" s="4" t="str">
        <f t="shared" si="24"/>
        <v/>
      </c>
      <c r="Y36" s="5" t="s">
        <v>85</v>
      </c>
      <c r="Z36" s="4">
        <f>IF($P36="","",MAX(_xlfn.MAXIFS(DEVRE!$AM:$AM,DEVRE!$A:$A,$Q36,DEVRE!$C:$C,$P36),_xlfn.MAXIFS(DEVRE!$AM:$AM,DEVRE!$A:$A,$Q36,DEVRE!$H:$H,$P36)))</f>
        <v>0</v>
      </c>
      <c r="AA36" s="4" t="str">
        <f>IF(OR($I36="",$Q36="",$P36=""),"",$I36*INDEX(PANO_ADET,MATCH($Q36,PANO_ID,0)))</f>
        <v/>
      </c>
      <c r="AB36" s="4">
        <f>IF($P36="",0,IF(AND($U36="",COUNTIF(ALAN_TIP_LIST,$C36)&gt;0),1,0))</f>
        <v>0</v>
      </c>
      <c r="AC36" s="4">
        <f>IF(OR($P36="",$C36&lt;&gt;"kontaktör"),0,IF(IF(INDEX(FIYAT_BOBIN,MATCH($P36,FIYAT_KOD,0))="","",INDEX(FIYAT_BOBIN,MATCH($P36,FIYAT_KOD,0)))="",1,0))</f>
        <v>0</v>
      </c>
    </row>
    <row r="37" spans="1:29" x14ac:dyDescent="0.35">
      <c r="A37" s="4">
        <f t="shared" si="25"/>
        <v>36</v>
      </c>
      <c r="B37" s="4" t="str">
        <f t="shared" si="13"/>
        <v>Крышка на лоток осн. 50мм. (0,6 мм) EKT</v>
      </c>
      <c r="C37" s="5" t="s">
        <v>81</v>
      </c>
      <c r="D37" s="4" t="str">
        <f t="shared" si="14"/>
        <v>280300718</v>
      </c>
      <c r="E37" s="4" t="str">
        <f t="shared" si="15"/>
        <v>Крышка на лоток осн. 50мм. (0,6 мм) EKT</v>
      </c>
      <c r="F37" s="4">
        <f t="shared" si="16"/>
        <v>596</v>
      </c>
      <c r="G37" s="4">
        <f t="shared" si="17"/>
        <v>596</v>
      </c>
      <c r="H37" s="4" t="str">
        <f>IF(OR($G37="",$I37="",$M37="KONTROL",$M37="KAPSAM_DISI"),"",$G37*$I37)</f>
        <v/>
      </c>
      <c r="I37" s="4" t="str">
        <f>INDEX(PANO_KANAL_M,MATCH($Q37,PANO_ID,0))</f>
        <v/>
      </c>
      <c r="J37" s="4" t="str">
        <f t="shared" si="18"/>
        <v>м</v>
      </c>
      <c r="K37" s="4" t="str">
        <f t="shared" si="19"/>
        <v>EKT</v>
      </c>
      <c r="L37" s="4" t="str">
        <f t="shared" si="20"/>
        <v/>
      </c>
      <c r="M37" s="4" t="str">
        <f t="shared" si="21"/>
        <v>MUADIL_ONAY</v>
      </c>
      <c r="N37" s="4" t="s">
        <v>86</v>
      </c>
      <c r="O37" s="4" t="str">
        <f t="shared" si="22"/>
        <v>EKT2506</v>
      </c>
      <c r="P37" s="4" t="str">
        <f>INDEX(PANO_KAPAK_KOD,MATCH($Q37,PANO_ID,0))</f>
        <v>EKT-280300718</v>
      </c>
      <c r="Q37" s="4" t="str">
        <f t="shared" si="23"/>
        <v>P02</v>
      </c>
      <c r="S37" s="5" t="s">
        <v>84</v>
      </c>
      <c r="T37" s="4" t="str">
        <f>IF(OR($R37="",$I37=""),"",$I37*INDEX(NORM_DK,MATCH($R37,NORM_AD,0)))</f>
        <v/>
      </c>
      <c r="U37" s="4" t="str">
        <f>IF(OR($P37="",$I37=""),"",IF(IF(INDEX(FIYAT_ALAN,MATCH($P37,FIYAT_KOD,0))="","",INDEX(FIYAT_ALAN,MATCH($P37,FIYAT_KOD,0)))&lt;&gt;"",$I37*IF(INDEX(FIYAT_ALAN,MATCH($P37,FIYAT_KOD,0))="","",INDEX(FIYAT_ALAN,MATCH($P37,FIYAT_KOD,0))),IF(IF(INDEX(FIYAT_MODUL,MATCH($P37,FIYAT_KOD,0))="","",INDEX(FIYAT_MODUL,MATCH($P37,FIYAT_KOD,0)))&lt;&gt;"",$I37*IF(INDEX(FIYAT_MODUL,MATCH($P37,FIYAT_KOD,0))="","",INDEX(FIYAT_MODUL,MATCH($P37,FIYAT_KOD,0))),IF(IF(INDEX(FIYAT_GENISLIK,MATCH($P37,FIYAT_KOD,0))="","",INDEX(FIYAT_GENISLIK,MATCH($P37,FIYAT_KOD,0)))&lt;&gt;"",$I37*IF(INDEX(FIYAT_GENISLIK,MATCH($P37,FIYAT_KOD,0))="","",INDEX(FIYAT_GENISLIK,MATCH($P37,FIYAT_KOD,0)))/MODUL_GENISLIK_MM,""))))</f>
        <v/>
      </c>
      <c r="V37" s="4" t="str">
        <f>IF(OR($C37&lt;&gt;"шина",$I37=""),"",$I37*INDEX(FIYAT_KGM,MATCH($P37,FIYAT_KOD,0)))</f>
        <v/>
      </c>
      <c r="W37" s="4" t="str">
        <f t="shared" si="24"/>
        <v/>
      </c>
      <c r="Y37" s="5" t="s">
        <v>85</v>
      </c>
      <c r="Z37" s="4">
        <f>IF($P37="","",MAX(_xlfn.MAXIFS(DEVRE!$AM:$AM,DEVRE!$A:$A,$Q37,DEVRE!$C:$C,$P37),_xlfn.MAXIFS(DEVRE!$AM:$AM,DEVRE!$A:$A,$Q37,DEVRE!$H:$H,$P37)))</f>
        <v>0</v>
      </c>
      <c r="AA37" s="4" t="str">
        <f>IF(OR($I37="",$Q37="",$P37=""),"",$I37*INDEX(PANO_ADET,MATCH($Q37,PANO_ID,0)))</f>
        <v/>
      </c>
      <c r="AB37" s="4">
        <f>IF($P37="",0,IF(AND($U37="",COUNTIF(ALAN_TIP_LIST,$C37)&gt;0),1,0))</f>
        <v>0</v>
      </c>
      <c r="AC37" s="4">
        <f>IF(OR($P37="",$C37&lt;&gt;"kontaktör"),0,IF(IF(INDEX(FIYAT_BOBIN,MATCH($P37,FIYAT_KOD,0))="","",INDEX(FIYAT_BOBIN,MATCH($P37,FIYAT_KOD,0)))="",1,0))</f>
        <v>0</v>
      </c>
    </row>
    <row r="38" spans="1:29" x14ac:dyDescent="0.35">
      <c r="A38" s="4">
        <f t="shared" si="25"/>
        <v>37</v>
      </c>
      <c r="B38" s="4" t="str">
        <f t="shared" si="13"/>
        <v>HARMONY ПВ3 1 4</v>
      </c>
      <c r="C38" s="5" t="s">
        <v>87</v>
      </c>
      <c r="D38" s="4" t="str">
        <f t="shared" si="14"/>
        <v>151.01.PV3.04</v>
      </c>
      <c r="E38" s="4" t="str">
        <f t="shared" si="15"/>
        <v>HARMONY ПВ3 1 4</v>
      </c>
      <c r="F38" s="4">
        <f t="shared" si="16"/>
        <v>274</v>
      </c>
      <c r="G38" s="4">
        <f t="shared" si="17"/>
        <v>274</v>
      </c>
      <c r="H38" s="4">
        <f>IF(OR($G38="",$I38="",$M38="KONTROL",$M38="KAPSAM_DISI"),"",$G38*$I38)</f>
        <v>3616.7999999999997</v>
      </c>
      <c r="I38" s="4">
        <f>ROUND((SUMIFS(DEVRE!$Z:$Z,DEVRE!$A:$A,$Q38,DEVRE!$V:$V,$X38)+IF($X38=GRUP_BESLEME_KESIT,INDEX(PANO_GRUP_KABLO_M,MATCH($Q38,PANO_ID,0)),0))*KABLO_FIRE,1)</f>
        <v>13.2</v>
      </c>
      <c r="J38" s="4" t="str">
        <f t="shared" si="18"/>
        <v>м</v>
      </c>
      <c r="K38" s="4" t="str">
        <f t="shared" si="19"/>
        <v>HARMONY</v>
      </c>
      <c r="L38" s="4">
        <f t="shared" si="20"/>
        <v>3616.7999999999997</v>
      </c>
      <c r="M38" s="4" t="str">
        <f t="shared" si="21"/>
        <v>FIYAT_ESKI</v>
      </c>
      <c r="N38" s="4" t="s">
        <v>127</v>
      </c>
      <c r="O38" s="4" t="str">
        <f t="shared" si="22"/>
        <v>HARMONY</v>
      </c>
      <c r="P38" s="5" t="s">
        <v>128</v>
      </c>
      <c r="Q38" s="4" t="str">
        <f t="shared" si="23"/>
        <v>P02</v>
      </c>
      <c r="R38" s="5" t="s">
        <v>90</v>
      </c>
      <c r="S38" s="5" t="s">
        <v>47</v>
      </c>
      <c r="T38" s="4">
        <f>IF(OR($R38="",$I38=""),"",$I38*INDEX(NORM_DK,MATCH($R38,NORM_AD,0)))</f>
        <v>0</v>
      </c>
      <c r="U38" s="4" t="str">
        <f>IF(OR($P38="",$I38=""),"",IF(IF(INDEX(FIYAT_ALAN,MATCH($P38,FIYAT_KOD,0))="","",INDEX(FIYAT_ALAN,MATCH($P38,FIYAT_KOD,0)))&lt;&gt;"",$I38*IF(INDEX(FIYAT_ALAN,MATCH($P38,FIYAT_KOD,0))="","",INDEX(FIYAT_ALAN,MATCH($P38,FIYAT_KOD,0))),IF(IF(INDEX(FIYAT_MODUL,MATCH($P38,FIYAT_KOD,0))="","",INDEX(FIYAT_MODUL,MATCH($P38,FIYAT_KOD,0)))&lt;&gt;"",$I38*IF(INDEX(FIYAT_MODUL,MATCH($P38,FIYAT_KOD,0))="","",INDEX(FIYAT_MODUL,MATCH($P38,FIYAT_KOD,0))),IF(IF(INDEX(FIYAT_GENISLIK,MATCH($P38,FIYAT_KOD,0))="","",INDEX(FIYAT_GENISLIK,MATCH($P38,FIYAT_KOD,0)))&lt;&gt;"",$I38*IF(INDEX(FIYAT_GENISLIK,MATCH($P38,FIYAT_KOD,0))="","",INDEX(FIYAT_GENISLIK,MATCH($P38,FIYAT_KOD,0)))/MODUL_GENISLIK_MM,""))))</f>
        <v/>
      </c>
      <c r="V38" s="4" t="str">
        <f>IF(OR($C38&lt;&gt;"шина",$I38=""),"",$I38*INDEX(FIYAT_KGM,MATCH($P38,FIYAT_KOD,0)))</f>
        <v/>
      </c>
      <c r="W38" s="4">
        <f t="shared" si="24"/>
        <v>3616.7999999999997</v>
      </c>
      <c r="X38" s="5">
        <v>4</v>
      </c>
      <c r="Y38" s="5" t="s">
        <v>91</v>
      </c>
      <c r="Z38" s="4">
        <f>IF($P38="","",MAX(_xlfn.MAXIFS(DEVRE!$AM:$AM,DEVRE!$A:$A,$Q38,DEVRE!$C:$C,$P38),_xlfn.MAXIFS(DEVRE!$AM:$AM,DEVRE!$A:$A,$Q38,DEVRE!$H:$H,$P38)))</f>
        <v>0</v>
      </c>
      <c r="AA38" s="4">
        <f>IF(OR($I38="",$Q38="",$P38=""),"",$I38*INDEX(PANO_ADET,MATCH($Q38,PANO_ID,0)))</f>
        <v>13.2</v>
      </c>
      <c r="AB38" s="4">
        <f>IF($P38="",0,IF(AND($U38="",COUNTIF(ALAN_TIP_LIST,$C38)&gt;0),1,0))</f>
        <v>0</v>
      </c>
      <c r="AC38" s="4">
        <f>IF(OR($P38="",$C38&lt;&gt;"kontaktör"),0,IF(IF(INDEX(FIYAT_BOBIN,MATCH($P38,FIYAT_KOD,0))="","",INDEX(FIYAT_BOBIN,MATCH($P38,FIYAT_KOD,0)))="",1,0))</f>
        <v>0</v>
      </c>
    </row>
    <row r="39" spans="1:29" x14ac:dyDescent="0.35">
      <c r="A39" s="4">
        <f t="shared" si="25"/>
        <v>38</v>
      </c>
      <c r="B39" s="4" t="str">
        <f t="shared" si="13"/>
        <v>HARMONY ПВ3 1 6</v>
      </c>
      <c r="C39" s="5" t="s">
        <v>87</v>
      </c>
      <c r="D39" s="4" t="str">
        <f t="shared" si="14"/>
        <v>151.01.PV3.06</v>
      </c>
      <c r="E39" s="4" t="str">
        <f t="shared" si="15"/>
        <v>HARMONY ПВ3 1 6</v>
      </c>
      <c r="F39" s="4">
        <f t="shared" si="16"/>
        <v>398</v>
      </c>
      <c r="G39" s="4">
        <f t="shared" si="17"/>
        <v>398</v>
      </c>
      <c r="H39" s="4">
        <f>IF(OR($G39="",$I39="",$M39="KONTROL",$M39="KAPSAM_DISI"),"",$G39*$I39)</f>
        <v>7880.4000000000005</v>
      </c>
      <c r="I39" s="4">
        <f>ROUND((SUMIFS(DEVRE!$Z:$Z,DEVRE!$A:$A,$Q39,DEVRE!$V:$V,$X39)+IF($X39=GRUP_BESLEME_KESIT,INDEX(PANO_GRUP_KABLO_M,MATCH($Q39,PANO_ID,0)),0))*KABLO_FIRE,1)</f>
        <v>19.8</v>
      </c>
      <c r="J39" s="4" t="str">
        <f t="shared" si="18"/>
        <v>м</v>
      </c>
      <c r="K39" s="4" t="str">
        <f t="shared" si="19"/>
        <v>HARMONY</v>
      </c>
      <c r="L39" s="4">
        <f t="shared" si="20"/>
        <v>7880.4000000000005</v>
      </c>
      <c r="M39" s="4" t="str">
        <f t="shared" si="21"/>
        <v>FIYAT_ESKI</v>
      </c>
      <c r="N39" s="4" t="s">
        <v>129</v>
      </c>
      <c r="O39" s="4" t="str">
        <f t="shared" si="22"/>
        <v>HARMONY</v>
      </c>
      <c r="P39" s="5" t="s">
        <v>130</v>
      </c>
      <c r="Q39" s="4" t="str">
        <f t="shared" si="23"/>
        <v>P02</v>
      </c>
      <c r="R39" s="5" t="s">
        <v>90</v>
      </c>
      <c r="S39" s="5" t="s">
        <v>47</v>
      </c>
      <c r="T39" s="4">
        <f>IF(OR($R39="",$I39=""),"",$I39*INDEX(NORM_DK,MATCH($R39,NORM_AD,0)))</f>
        <v>0</v>
      </c>
      <c r="U39" s="4" t="str">
        <f>IF(OR($P39="",$I39=""),"",IF(IF(INDEX(FIYAT_ALAN,MATCH($P39,FIYAT_KOD,0))="","",INDEX(FIYAT_ALAN,MATCH($P39,FIYAT_KOD,0)))&lt;&gt;"",$I39*IF(INDEX(FIYAT_ALAN,MATCH($P39,FIYAT_KOD,0))="","",INDEX(FIYAT_ALAN,MATCH($P39,FIYAT_KOD,0))),IF(IF(INDEX(FIYAT_MODUL,MATCH($P39,FIYAT_KOD,0))="","",INDEX(FIYAT_MODUL,MATCH($P39,FIYAT_KOD,0)))&lt;&gt;"",$I39*IF(INDEX(FIYAT_MODUL,MATCH($P39,FIYAT_KOD,0))="","",INDEX(FIYAT_MODUL,MATCH($P39,FIYAT_KOD,0))),IF(IF(INDEX(FIYAT_GENISLIK,MATCH($P39,FIYAT_KOD,0))="","",INDEX(FIYAT_GENISLIK,MATCH($P39,FIYAT_KOD,0)))&lt;&gt;"",$I39*IF(INDEX(FIYAT_GENISLIK,MATCH($P39,FIYAT_KOD,0))="","",INDEX(FIYAT_GENISLIK,MATCH($P39,FIYAT_KOD,0)))/MODUL_GENISLIK_MM,""))))</f>
        <v/>
      </c>
      <c r="V39" s="4" t="str">
        <f>IF(OR($C39&lt;&gt;"шина",$I39=""),"",$I39*INDEX(FIYAT_KGM,MATCH($P39,FIYAT_KOD,0)))</f>
        <v/>
      </c>
      <c r="W39" s="4">
        <f t="shared" si="24"/>
        <v>7880.4000000000005</v>
      </c>
      <c r="X39" s="5">
        <v>6</v>
      </c>
      <c r="Y39" s="5" t="s">
        <v>91</v>
      </c>
      <c r="Z39" s="4">
        <f>IF($P39="","",MAX(_xlfn.MAXIFS(DEVRE!$AM:$AM,DEVRE!$A:$A,$Q39,DEVRE!$C:$C,$P39),_xlfn.MAXIFS(DEVRE!$AM:$AM,DEVRE!$A:$A,$Q39,DEVRE!$H:$H,$P39)))</f>
        <v>0</v>
      </c>
      <c r="AA39" s="4">
        <f>IF(OR($I39="",$Q39="",$P39=""),"",$I39*INDEX(PANO_ADET,MATCH($Q39,PANO_ID,0)))</f>
        <v>19.8</v>
      </c>
      <c r="AB39" s="4">
        <f>IF($P39="",0,IF(AND($U39="",COUNTIF(ALAN_TIP_LIST,$C39)&gt;0),1,0))</f>
        <v>0</v>
      </c>
      <c r="AC39" s="4">
        <f>IF(OR($P39="",$C39&lt;&gt;"kontaktör"),0,IF(IF(INDEX(FIYAT_BOBIN,MATCH($P39,FIYAT_KOD,0))="","",INDEX(FIYAT_BOBIN,MATCH($P39,FIYAT_KOD,0)))="",1,0))</f>
        <v>0</v>
      </c>
    </row>
    <row r="40" spans="1:29" x14ac:dyDescent="0.35">
      <c r="A40" s="4">
        <f t="shared" si="25"/>
        <v>39</v>
      </c>
      <c r="B40" s="4" t="str">
        <f t="shared" si="13"/>
        <v>HARMONY ПВ3 1 10</v>
      </c>
      <c r="C40" s="5" t="s">
        <v>87</v>
      </c>
      <c r="D40" s="4" t="str">
        <f t="shared" si="14"/>
        <v>151.01.PV3.10</v>
      </c>
      <c r="E40" s="4" t="str">
        <f t="shared" si="15"/>
        <v>HARMONY ПВ3 1 10</v>
      </c>
      <c r="F40" s="4">
        <f t="shared" si="16"/>
        <v>697</v>
      </c>
      <c r="G40" s="4">
        <f t="shared" si="17"/>
        <v>697</v>
      </c>
      <c r="H40" s="4">
        <f>IF(OR($G40="",$I40="",$M40="KONTROL",$M40="KAPSAM_DISI"),"",$G40*$I40)</f>
        <v>4600.2</v>
      </c>
      <c r="I40" s="4">
        <f>ROUND((SUMIFS(DEVRE!$Z:$Z,DEVRE!$A:$A,$Q40,DEVRE!$V:$V,$X40)+IF($X40=GRUP_BESLEME_KESIT,INDEX(PANO_GRUP_KABLO_M,MATCH($Q40,PANO_ID,0)),0))*KABLO_FIRE,1)</f>
        <v>6.6</v>
      </c>
      <c r="J40" s="4" t="str">
        <f t="shared" si="18"/>
        <v>м</v>
      </c>
      <c r="K40" s="4" t="str">
        <f t="shared" si="19"/>
        <v>HARMONY</v>
      </c>
      <c r="L40" s="4">
        <f t="shared" si="20"/>
        <v>4600.2</v>
      </c>
      <c r="M40" s="4" t="str">
        <f t="shared" si="21"/>
        <v>FIYAT_ESKI</v>
      </c>
      <c r="N40" s="4" t="s">
        <v>131</v>
      </c>
      <c r="O40" s="4" t="str">
        <f t="shared" si="22"/>
        <v>HARMONY</v>
      </c>
      <c r="P40" s="5" t="s">
        <v>132</v>
      </c>
      <c r="Q40" s="4" t="str">
        <f t="shared" si="23"/>
        <v>P02</v>
      </c>
      <c r="R40" s="5" t="s">
        <v>90</v>
      </c>
      <c r="S40" s="5" t="s">
        <v>47</v>
      </c>
      <c r="T40" s="4">
        <f>IF(OR($R40="",$I40=""),"",$I40*INDEX(NORM_DK,MATCH($R40,NORM_AD,0)))</f>
        <v>0</v>
      </c>
      <c r="U40" s="4" t="str">
        <f>IF(OR($P40="",$I40=""),"",IF(IF(INDEX(FIYAT_ALAN,MATCH($P40,FIYAT_KOD,0))="","",INDEX(FIYAT_ALAN,MATCH($P40,FIYAT_KOD,0)))&lt;&gt;"",$I40*IF(INDEX(FIYAT_ALAN,MATCH($P40,FIYAT_KOD,0))="","",INDEX(FIYAT_ALAN,MATCH($P40,FIYAT_KOD,0))),IF(IF(INDEX(FIYAT_MODUL,MATCH($P40,FIYAT_KOD,0))="","",INDEX(FIYAT_MODUL,MATCH($P40,FIYAT_KOD,0)))&lt;&gt;"",$I40*IF(INDEX(FIYAT_MODUL,MATCH($P40,FIYAT_KOD,0))="","",INDEX(FIYAT_MODUL,MATCH($P40,FIYAT_KOD,0))),IF(IF(INDEX(FIYAT_GENISLIK,MATCH($P40,FIYAT_KOD,0))="","",INDEX(FIYAT_GENISLIK,MATCH($P40,FIYAT_KOD,0)))&lt;&gt;"",$I40*IF(INDEX(FIYAT_GENISLIK,MATCH($P40,FIYAT_KOD,0))="","",INDEX(FIYAT_GENISLIK,MATCH($P40,FIYAT_KOD,0)))/MODUL_GENISLIK_MM,""))))</f>
        <v/>
      </c>
      <c r="V40" s="4" t="str">
        <f>IF(OR($C40&lt;&gt;"шина",$I40=""),"",$I40*INDEX(FIYAT_KGM,MATCH($P40,FIYAT_KOD,0)))</f>
        <v/>
      </c>
      <c r="W40" s="4">
        <f t="shared" si="24"/>
        <v>4600.2</v>
      </c>
      <c r="X40" s="5">
        <v>10</v>
      </c>
      <c r="Y40" s="5" t="s">
        <v>91</v>
      </c>
      <c r="Z40" s="4">
        <f>IF($P40="","",MAX(_xlfn.MAXIFS(DEVRE!$AM:$AM,DEVRE!$A:$A,$Q40,DEVRE!$C:$C,$P40),_xlfn.MAXIFS(DEVRE!$AM:$AM,DEVRE!$A:$A,$Q40,DEVRE!$H:$H,$P40)))</f>
        <v>0</v>
      </c>
      <c r="AA40" s="4">
        <f>IF(OR($I40="",$Q40="",$P40=""),"",$I40*INDEX(PANO_ADET,MATCH($Q40,PANO_ID,0)))</f>
        <v>6.6</v>
      </c>
      <c r="AB40" s="4">
        <f>IF($P40="",0,IF(AND($U40="",COUNTIF(ALAN_TIP_LIST,$C40)&gt;0),1,0))</f>
        <v>0</v>
      </c>
      <c r="AC40" s="4">
        <f>IF(OR($P40="",$C40&lt;&gt;"kontaktör"),0,IF(IF(INDEX(FIYAT_BOBIN,MATCH($P40,FIYAT_KOD,0))="","",INDEX(FIYAT_BOBIN,MATCH($P40,FIYAT_KOD,0)))="",1,0))</f>
        <v>0</v>
      </c>
    </row>
    <row r="41" spans="1:29" x14ac:dyDescent="0.35">
      <c r="A41" s="4">
        <f t="shared" si="25"/>
        <v>40</v>
      </c>
      <c r="B41" s="4" t="str">
        <f t="shared" si="13"/>
        <v>HARMONY ПВ3 1 25</v>
      </c>
      <c r="C41" s="5" t="s">
        <v>87</v>
      </c>
      <c r="D41" s="4" t="str">
        <f t="shared" si="14"/>
        <v>151.01.PV3.25</v>
      </c>
      <c r="E41" s="4" t="str">
        <f t="shared" si="15"/>
        <v>HARMONY ПВ3 1 25</v>
      </c>
      <c r="F41" s="4">
        <f t="shared" si="16"/>
        <v>1688</v>
      </c>
      <c r="G41" s="4">
        <f t="shared" si="17"/>
        <v>1688</v>
      </c>
      <c r="H41" s="4">
        <f>IF(OR($G41="",$I41="",$M41="KONTROL",$M41="KAPSAM_DISI"),"",$G41*$I41)</f>
        <v>6752</v>
      </c>
      <c r="I41" s="4">
        <f>ROUND((SUMIFS(DEVRE!$Z:$Z,DEVRE!$A:$A,$Q41,DEVRE!$V:$V,$X41)+IF($X41=GRUP_BESLEME_KESIT,INDEX(PANO_GRUP_KABLO_M,MATCH($Q41,PANO_ID,0)),0))*KABLO_FIRE,1)</f>
        <v>4</v>
      </c>
      <c r="J41" s="4" t="str">
        <f t="shared" si="18"/>
        <v>м</v>
      </c>
      <c r="K41" s="4" t="str">
        <f t="shared" si="19"/>
        <v>HARMONY</v>
      </c>
      <c r="L41" s="4">
        <f t="shared" si="20"/>
        <v>6752</v>
      </c>
      <c r="M41" s="4" t="str">
        <f t="shared" si="21"/>
        <v>FIYAT_ESKI</v>
      </c>
      <c r="N41" s="4" t="s">
        <v>94</v>
      </c>
      <c r="O41" s="4" t="str">
        <f t="shared" si="22"/>
        <v>HARMONY</v>
      </c>
      <c r="P41" s="5" t="s">
        <v>95</v>
      </c>
      <c r="Q41" s="4" t="str">
        <f t="shared" si="23"/>
        <v>P02</v>
      </c>
      <c r="R41" s="5" t="s">
        <v>90</v>
      </c>
      <c r="S41" s="5" t="s">
        <v>47</v>
      </c>
      <c r="T41" s="4">
        <f>IF(OR($R41="",$I41=""),"",$I41*INDEX(NORM_DK,MATCH($R41,NORM_AD,0)))</f>
        <v>0</v>
      </c>
      <c r="U41" s="4" t="str">
        <f>IF(OR($P41="",$I41=""),"",IF(IF(INDEX(FIYAT_ALAN,MATCH($P41,FIYAT_KOD,0))="","",INDEX(FIYAT_ALAN,MATCH($P41,FIYAT_KOD,0)))&lt;&gt;"",$I41*IF(INDEX(FIYAT_ALAN,MATCH($P41,FIYAT_KOD,0))="","",INDEX(FIYAT_ALAN,MATCH($P41,FIYAT_KOD,0))),IF(IF(INDEX(FIYAT_MODUL,MATCH($P41,FIYAT_KOD,0))="","",INDEX(FIYAT_MODUL,MATCH($P41,FIYAT_KOD,0)))&lt;&gt;"",$I41*IF(INDEX(FIYAT_MODUL,MATCH($P41,FIYAT_KOD,0))="","",INDEX(FIYAT_MODUL,MATCH($P41,FIYAT_KOD,0))),IF(IF(INDEX(FIYAT_GENISLIK,MATCH($P41,FIYAT_KOD,0))="","",INDEX(FIYAT_GENISLIK,MATCH($P41,FIYAT_KOD,0)))&lt;&gt;"",$I41*IF(INDEX(FIYAT_GENISLIK,MATCH($P41,FIYAT_KOD,0))="","",INDEX(FIYAT_GENISLIK,MATCH($P41,FIYAT_KOD,0)))/MODUL_GENISLIK_MM,""))))</f>
        <v/>
      </c>
      <c r="V41" s="4" t="str">
        <f>IF(OR($C41&lt;&gt;"шина",$I41=""),"",$I41*INDEX(FIYAT_KGM,MATCH($P41,FIYAT_KOD,0)))</f>
        <v/>
      </c>
      <c r="W41" s="4">
        <f t="shared" si="24"/>
        <v>6752</v>
      </c>
      <c r="X41" s="5">
        <v>25</v>
      </c>
      <c r="Y41" s="5" t="s">
        <v>91</v>
      </c>
      <c r="Z41" s="4">
        <f>IF($P41="","",MAX(_xlfn.MAXIFS(DEVRE!$AM:$AM,DEVRE!$A:$A,$Q41,DEVRE!$C:$C,$P41),_xlfn.MAXIFS(DEVRE!$AM:$AM,DEVRE!$A:$A,$Q41,DEVRE!$H:$H,$P41)))</f>
        <v>0</v>
      </c>
      <c r="AA41" s="4">
        <f>IF(OR($I41="",$Q41="",$P41=""),"",$I41*INDEX(PANO_ADET,MATCH($Q41,PANO_ID,0)))</f>
        <v>4</v>
      </c>
      <c r="AB41" s="4">
        <f>IF($P41="",0,IF(AND($U41="",COUNTIF(ALAN_TIP_LIST,$C41)&gt;0),1,0))</f>
        <v>0</v>
      </c>
      <c r="AC41" s="4">
        <f>IF(OR($P41="",$C41&lt;&gt;"kontaktör"),0,IF(IF(INDEX(FIYAT_BOBIN,MATCH($P41,FIYAT_KOD,0))="","",INDEX(FIYAT_BOBIN,MATCH($P41,FIYAT_KOD,0)))="",1,0))</f>
        <v>0</v>
      </c>
    </row>
    <row r="42" spans="1:29" x14ac:dyDescent="0.35">
      <c r="A42" s="4">
        <f t="shared" si="25"/>
        <v>41</v>
      </c>
      <c r="B42" s="4" t="str">
        <f t="shared" si="13"/>
        <v>ЗНИ 4мм ² (35А) серый IEK</v>
      </c>
      <c r="C42" s="5" t="s">
        <v>133</v>
      </c>
      <c r="D42" s="4" t="str">
        <f t="shared" si="14"/>
        <v>130300041</v>
      </c>
      <c r="E42" s="4" t="str">
        <f t="shared" si="15"/>
        <v>ЗНИ 4мм ² (35А) серый IEK</v>
      </c>
      <c r="F42" s="4">
        <f t="shared" si="16"/>
        <v>98</v>
      </c>
      <c r="G42" s="4">
        <f t="shared" si="17"/>
        <v>98</v>
      </c>
      <c r="H42" s="4">
        <f>IF(OR($G42="",$I42="",$M42="KONTROL",$M42="KAPSAM_DISI"),"",$G42*$I42)</f>
        <v>1176</v>
      </c>
      <c r="I42" s="4">
        <f>IF(SUMIFS(DEVRE!$AA:$AA,DEVRE!$A:$A,$Q42,DEVRE!$AD:$AD,$X42)+IF($X42=SINYAL_KLEMENS_KESIT,SUMIFS(DEVRE!$I:$I,DEVRE!$A:$A,$Q42),0)=0,"",MAX(SUMIFS(DEVRE!$AA:$AA,DEVRE!$A:$A,$Q42,DEVRE!$AD:$AD,$X42)+IF($X42=SINYAL_KLEMENS_KESIT,SUMIFS(DEVRE!$I:$I,DEVRE!$A:$A,$Q42),0)+KLEMENS_MIN_YEDEK,ROUNDUP((SUMIFS(DEVRE!$AA:$AA,DEVRE!$A:$A,$Q42,DEVRE!$AD:$AD,$X42)+IF($X42=SINYAL_KLEMENS_KESIT,SUMIFS(DEVRE!$I:$I,DEVRE!$A:$A,$Q42),0))*KLEMENS_YEDEK,0)))</f>
        <v>12</v>
      </c>
      <c r="J42" s="4" t="str">
        <f t="shared" si="18"/>
        <v>шт</v>
      </c>
      <c r="K42" s="4" t="str">
        <f t="shared" si="19"/>
        <v>EKT</v>
      </c>
      <c r="L42" s="4">
        <f t="shared" si="20"/>
        <v>1176</v>
      </c>
      <c r="M42" s="4" t="str">
        <f t="shared" si="21"/>
        <v>FIYAT_ESKI</v>
      </c>
      <c r="N42" s="4" t="s">
        <v>134</v>
      </c>
      <c r="O42" s="4" t="str">
        <f t="shared" si="22"/>
        <v>EKT2506</v>
      </c>
      <c r="P42" s="5" t="s">
        <v>135</v>
      </c>
      <c r="Q42" s="4" t="str">
        <f t="shared" si="23"/>
        <v>P02</v>
      </c>
      <c r="R42" s="5" t="s">
        <v>136</v>
      </c>
      <c r="S42" s="5" t="s">
        <v>47</v>
      </c>
      <c r="T42" s="4">
        <f>IF(OR($R42="",$I42=""),"",$I42*INDEX(NORM_DK,MATCH($R42,NORM_AD,0)))</f>
        <v>48</v>
      </c>
      <c r="U42" s="4">
        <f>IF(OR($P42="",$I42=""),"",IF(IF(INDEX(FIYAT_ALAN,MATCH($P42,FIYAT_KOD,0))="","",INDEX(FIYAT_ALAN,MATCH($P42,FIYAT_KOD,0)))&lt;&gt;"",$I42*IF(INDEX(FIYAT_ALAN,MATCH($P42,FIYAT_KOD,0))="","",INDEX(FIYAT_ALAN,MATCH($P42,FIYAT_KOD,0))),IF(IF(INDEX(FIYAT_MODUL,MATCH($P42,FIYAT_KOD,0))="","",INDEX(FIYAT_MODUL,MATCH($P42,FIYAT_KOD,0)))&lt;&gt;"",$I42*IF(INDEX(FIYAT_MODUL,MATCH($P42,FIYAT_KOD,0))="","",INDEX(FIYAT_MODUL,MATCH($P42,FIYAT_KOD,0))),IF(IF(INDEX(FIYAT_GENISLIK,MATCH($P42,FIYAT_KOD,0))="","",INDEX(FIYAT_GENISLIK,MATCH($P42,FIYAT_KOD,0)))&lt;&gt;"",$I42*IF(INDEX(FIYAT_GENISLIK,MATCH($P42,FIYAT_KOD,0))="","",INDEX(FIYAT_GENISLIK,MATCH($P42,FIYAT_KOD,0)))/MODUL_GENISLIK_MM,""))))</f>
        <v>4.2514285714285718</v>
      </c>
      <c r="V42" s="4" t="str">
        <f>IF(OR($C42&lt;&gt;"шина",$I42=""),"",$I42*INDEX(FIYAT_KGM,MATCH($P42,FIYAT_KOD,0)))</f>
        <v/>
      </c>
      <c r="W42" s="4">
        <f t="shared" si="24"/>
        <v>1176</v>
      </c>
      <c r="X42" s="5">
        <v>4</v>
      </c>
      <c r="Y42" s="5" t="s">
        <v>137</v>
      </c>
      <c r="Z42" s="4">
        <f>IF($P42="","",MAX(_xlfn.MAXIFS(DEVRE!$AM:$AM,DEVRE!$A:$A,$Q42,DEVRE!$C:$C,$P42),_xlfn.MAXIFS(DEVRE!$AM:$AM,DEVRE!$A:$A,$Q42,DEVRE!$H:$H,$P42)))</f>
        <v>0</v>
      </c>
      <c r="AA42" s="4">
        <f>IF(OR($I42="",$Q42="",$P42=""),"",$I42*INDEX(PANO_ADET,MATCH($Q42,PANO_ID,0)))</f>
        <v>12</v>
      </c>
      <c r="AB42" s="4">
        <f>IF($P42="",0,IF(AND($U42="",COUNTIF(ALAN_TIP_LIST,$C42)&gt;0),1,0))</f>
        <v>0</v>
      </c>
      <c r="AC42" s="4">
        <f>IF(OR($P42="",$C42&lt;&gt;"kontaktör"),0,IF(IF(INDEX(FIYAT_BOBIN,MATCH($P42,FIYAT_KOD,0))="","",INDEX(FIYAT_BOBIN,MATCH($P42,FIYAT_KOD,0)))="",1,0))</f>
        <v>0</v>
      </c>
    </row>
    <row r="43" spans="1:29" x14ac:dyDescent="0.35">
      <c r="A43" s="4">
        <f t="shared" si="25"/>
        <v>42</v>
      </c>
      <c r="B43" s="4" t="str">
        <f t="shared" si="13"/>
        <v>Зажим наборный ЗНИ - 4PEN 4мм2 (JXB-земля) IEK</v>
      </c>
      <c r="C43" s="5" t="s">
        <v>133</v>
      </c>
      <c r="D43" s="4" t="str">
        <f t="shared" si="14"/>
        <v>5130300225</v>
      </c>
      <c r="E43" s="4" t="str">
        <f t="shared" si="15"/>
        <v>Зажим наборный ЗНИ - 4PEN 4мм2 (JXB-земля) IEK</v>
      </c>
      <c r="F43" s="4">
        <f t="shared" si="16"/>
        <v>283</v>
      </c>
      <c r="G43" s="4">
        <f t="shared" si="17"/>
        <v>283</v>
      </c>
      <c r="H43" s="4">
        <f>IF(OR($G43="",$I43="",$M43="KONTROL",$M43="KAPSAM_DISI"),"",$G43*$I43)</f>
        <v>849</v>
      </c>
      <c r="I43" s="4">
        <f>IF(SUMIFS(DEVRE!$AB:$AB,DEVRE!$A:$A,$Q43,DEVRE!$AD:$AD,$X43)=0,"",ROUNDUP(SUMIFS(DEVRE!$AB:$AB,DEVRE!$A:$A,$Q43,DEVRE!$AD:$AD,$X43)*KLEMENS_YEDEK,0))</f>
        <v>3</v>
      </c>
      <c r="J43" s="4" t="str">
        <f t="shared" si="18"/>
        <v>шт</v>
      </c>
      <c r="K43" s="4" t="str">
        <f t="shared" si="19"/>
        <v>EKT</v>
      </c>
      <c r="L43" s="4">
        <f t="shared" si="20"/>
        <v>849</v>
      </c>
      <c r="M43" s="4" t="str">
        <f t="shared" si="21"/>
        <v>FIYAT_ESKI</v>
      </c>
      <c r="N43" s="4" t="s">
        <v>138</v>
      </c>
      <c r="O43" s="4" t="str">
        <f t="shared" si="22"/>
        <v>EKT2506</v>
      </c>
      <c r="P43" s="5" t="s">
        <v>139</v>
      </c>
      <c r="Q43" s="4" t="str">
        <f t="shared" si="23"/>
        <v>P02</v>
      </c>
      <c r="R43" s="5" t="s">
        <v>136</v>
      </c>
      <c r="S43" s="5" t="s">
        <v>47</v>
      </c>
      <c r="T43" s="4">
        <f>IF(OR($R43="",$I43=""),"",$I43*INDEX(NORM_DK,MATCH($R43,NORM_AD,0)))</f>
        <v>12</v>
      </c>
      <c r="U43" s="4">
        <f>IF(OR($P43="",$I43=""),"",IF(IF(INDEX(FIYAT_ALAN,MATCH($P43,FIYAT_KOD,0))="","",INDEX(FIYAT_ALAN,MATCH($P43,FIYAT_KOD,0)))&lt;&gt;"",$I43*IF(INDEX(FIYAT_ALAN,MATCH($P43,FIYAT_KOD,0))="","",INDEX(FIYAT_ALAN,MATCH($P43,FIYAT_KOD,0))),IF(IF(INDEX(FIYAT_MODUL,MATCH($P43,FIYAT_KOD,0))="","",INDEX(FIYAT_MODUL,MATCH($P43,FIYAT_KOD,0)))&lt;&gt;"",$I43*IF(INDEX(FIYAT_MODUL,MATCH($P43,FIYAT_KOD,0))="","",INDEX(FIYAT_MODUL,MATCH($P43,FIYAT_KOD,0))),IF(IF(INDEX(FIYAT_GENISLIK,MATCH($P43,FIYAT_KOD,0))="","",INDEX(FIYAT_GENISLIK,MATCH($P43,FIYAT_KOD,0)))&lt;&gt;"",$I43*IF(INDEX(FIYAT_GENISLIK,MATCH($P43,FIYAT_KOD,0))="","",INDEX(FIYAT_GENISLIK,MATCH($P43,FIYAT_KOD,0)))/MODUL_GENISLIK_MM,""))))</f>
        <v>1.0628571428571429</v>
      </c>
      <c r="V43" s="4" t="str">
        <f>IF(OR($C43&lt;&gt;"шина",$I43=""),"",$I43*INDEX(FIYAT_KGM,MATCH($P43,FIYAT_KOD,0)))</f>
        <v/>
      </c>
      <c r="W43" s="4">
        <f t="shared" si="24"/>
        <v>849</v>
      </c>
      <c r="X43" s="5">
        <v>4</v>
      </c>
      <c r="Y43" s="5" t="s">
        <v>137</v>
      </c>
      <c r="Z43" s="4">
        <f>IF($P43="","",MAX(_xlfn.MAXIFS(DEVRE!$AM:$AM,DEVRE!$A:$A,$Q43,DEVRE!$C:$C,$P43),_xlfn.MAXIFS(DEVRE!$AM:$AM,DEVRE!$A:$A,$Q43,DEVRE!$H:$H,$P43)))</f>
        <v>0</v>
      </c>
      <c r="AA43" s="4">
        <f>IF(OR($I43="",$Q43="",$P43=""),"",$I43*INDEX(PANO_ADET,MATCH($Q43,PANO_ID,0)))</f>
        <v>3</v>
      </c>
      <c r="AB43" s="4">
        <f>IF($P43="",0,IF(AND($U43="",COUNTIF(ALAN_TIP_LIST,$C43)&gt;0),1,0))</f>
        <v>0</v>
      </c>
      <c r="AC43" s="4">
        <f>IF(OR($P43="",$C43&lt;&gt;"kontaktör"),0,IF(IF(INDEX(FIYAT_BOBIN,MATCH($P43,FIYAT_KOD,0))="","",INDEX(FIYAT_BOBIN,MATCH($P43,FIYAT_KOD,0)))="",1,0))</f>
        <v>0</v>
      </c>
    </row>
    <row r="44" spans="1:29" x14ac:dyDescent="0.35">
      <c r="A44" s="4">
        <f t="shared" si="25"/>
        <v>43</v>
      </c>
      <c r="B44" s="4" t="str">
        <f t="shared" si="13"/>
        <v>ЗНИ 10мм ² (70А) серый IEK</v>
      </c>
      <c r="C44" s="5" t="s">
        <v>133</v>
      </c>
      <c r="D44" s="4" t="str">
        <f t="shared" si="14"/>
        <v>130300039</v>
      </c>
      <c r="E44" s="4" t="str">
        <f t="shared" si="15"/>
        <v>ЗНИ 10мм ² (70А) серый IEK</v>
      </c>
      <c r="F44" s="4">
        <f t="shared" si="16"/>
        <v>163</v>
      </c>
      <c r="G44" s="4">
        <f t="shared" si="17"/>
        <v>163</v>
      </c>
      <c r="H44" s="4">
        <f>IF(OR($G44="",$I44="",$M44="KONTROL",$M44="KAPSAM_DISI"),"",$G44*$I44)</f>
        <v>3260</v>
      </c>
      <c r="I44" s="4">
        <f>IF(SUMIFS(DEVRE!$AA:$AA,DEVRE!$A:$A,$Q44,DEVRE!$AD:$AD,$X44)+IF($X44=SINYAL_KLEMENS_KESIT,SUMIFS(DEVRE!$I:$I,DEVRE!$A:$A,$Q44),0)=0,"",MAX(SUMIFS(DEVRE!$AA:$AA,DEVRE!$A:$A,$Q44,DEVRE!$AD:$AD,$X44)+IF($X44=SINYAL_KLEMENS_KESIT,SUMIFS(DEVRE!$I:$I,DEVRE!$A:$A,$Q44),0)+KLEMENS_MIN_YEDEK,ROUNDUP((SUMIFS(DEVRE!$AA:$AA,DEVRE!$A:$A,$Q44,DEVRE!$AD:$AD,$X44)+IF($X44=SINYAL_KLEMENS_KESIT,SUMIFS(DEVRE!$I:$I,DEVRE!$A:$A,$Q44),0))*KLEMENS_YEDEK,0)))</f>
        <v>20</v>
      </c>
      <c r="J44" s="4" t="str">
        <f t="shared" si="18"/>
        <v>шт</v>
      </c>
      <c r="K44" s="4" t="str">
        <f t="shared" si="19"/>
        <v>EKT</v>
      </c>
      <c r="L44" s="4">
        <f t="shared" si="20"/>
        <v>3260</v>
      </c>
      <c r="M44" s="4" t="str">
        <f t="shared" si="21"/>
        <v>FIYAT_ESKI</v>
      </c>
      <c r="N44" s="4" t="s">
        <v>140</v>
      </c>
      <c r="O44" s="4" t="str">
        <f t="shared" si="22"/>
        <v>EKT2506</v>
      </c>
      <c r="P44" s="5" t="s">
        <v>141</v>
      </c>
      <c r="Q44" s="4" t="str">
        <f t="shared" si="23"/>
        <v>P02</v>
      </c>
      <c r="R44" s="5" t="s">
        <v>136</v>
      </c>
      <c r="S44" s="5" t="s">
        <v>47</v>
      </c>
      <c r="T44" s="4">
        <f>IF(OR($R44="",$I44=""),"",$I44*INDEX(NORM_DK,MATCH($R44,NORM_AD,0)))</f>
        <v>80</v>
      </c>
      <c r="U44" s="4">
        <f>IF(OR($P44="",$I44=""),"",IF(IF(INDEX(FIYAT_ALAN,MATCH($P44,FIYAT_KOD,0))="","",INDEX(FIYAT_ALAN,MATCH($P44,FIYAT_KOD,0)))&lt;&gt;"",$I44*IF(INDEX(FIYAT_ALAN,MATCH($P44,FIYAT_KOD,0))="","",INDEX(FIYAT_ALAN,MATCH($P44,FIYAT_KOD,0))),IF(IF(INDEX(FIYAT_MODUL,MATCH($P44,FIYAT_KOD,0))="","",INDEX(FIYAT_MODUL,MATCH($P44,FIYAT_KOD,0)))&lt;&gt;"",$I44*IF(INDEX(FIYAT_MODUL,MATCH($P44,FIYAT_KOD,0))="","",INDEX(FIYAT_MODUL,MATCH($P44,FIYAT_KOD,0))),IF(IF(INDEX(FIYAT_GENISLIK,MATCH($P44,FIYAT_KOD,0))="","",INDEX(FIYAT_GENISLIK,MATCH($P44,FIYAT_KOD,0)))&lt;&gt;"",$I44*IF(INDEX(FIYAT_GENISLIK,MATCH($P44,FIYAT_KOD,0))="","",INDEX(FIYAT_GENISLIK,MATCH($P44,FIYAT_KOD,0)))/MODUL_GENISLIK_MM,""))))</f>
        <v>11.657142857142857</v>
      </c>
      <c r="V44" s="4" t="str">
        <f>IF(OR($C44&lt;&gt;"шина",$I44=""),"",$I44*INDEX(FIYAT_KGM,MATCH($P44,FIYAT_KOD,0)))</f>
        <v/>
      </c>
      <c r="W44" s="4">
        <f t="shared" si="24"/>
        <v>3260</v>
      </c>
      <c r="X44" s="5">
        <v>10</v>
      </c>
      <c r="Y44" s="5" t="s">
        <v>137</v>
      </c>
      <c r="Z44" s="4">
        <f>IF($P44="","",MAX(_xlfn.MAXIFS(DEVRE!$AM:$AM,DEVRE!$A:$A,$Q44,DEVRE!$C:$C,$P44),_xlfn.MAXIFS(DEVRE!$AM:$AM,DEVRE!$A:$A,$Q44,DEVRE!$H:$H,$P44)))</f>
        <v>0</v>
      </c>
      <c r="AA44" s="4">
        <f>IF(OR($I44="",$Q44="",$P44=""),"",$I44*INDEX(PANO_ADET,MATCH($Q44,PANO_ID,0)))</f>
        <v>20</v>
      </c>
      <c r="AB44" s="4">
        <f>IF($P44="",0,IF(AND($U44="",COUNTIF(ALAN_TIP_LIST,$C44)&gt;0),1,0))</f>
        <v>0</v>
      </c>
      <c r="AC44" s="4">
        <f>IF(OR($P44="",$C44&lt;&gt;"kontaktör"),0,IF(IF(INDEX(FIYAT_BOBIN,MATCH($P44,FIYAT_KOD,0))="","",INDEX(FIYAT_BOBIN,MATCH($P44,FIYAT_KOD,0)))="",1,0))</f>
        <v>0</v>
      </c>
    </row>
    <row r="45" spans="1:29" x14ac:dyDescent="0.35">
      <c r="A45" s="4">
        <f t="shared" si="25"/>
        <v>44</v>
      </c>
      <c r="B45" s="4" t="str">
        <f t="shared" si="13"/>
        <v>ЗНИ 10PEN 10мм2 (JXB-земля) IEK E-PRO</v>
      </c>
      <c r="C45" s="5" t="s">
        <v>133</v>
      </c>
      <c r="D45" s="4" t="str">
        <f t="shared" si="14"/>
        <v>130300227</v>
      </c>
      <c r="E45" s="4" t="str">
        <f t="shared" si="15"/>
        <v>ЗНИ 10PEN 10мм2 (JXB-земля) IEK E-PRO</v>
      </c>
      <c r="F45" s="4">
        <f t="shared" si="16"/>
        <v>367</v>
      </c>
      <c r="G45" s="4">
        <f t="shared" si="17"/>
        <v>367</v>
      </c>
      <c r="H45" s="4">
        <f>IF(OR($G45="",$I45="",$M45="KONTROL",$M45="KAPSAM_DISI"),"",$G45*$I45)</f>
        <v>1835</v>
      </c>
      <c r="I45" s="4">
        <f>IF(SUMIFS(DEVRE!$AB:$AB,DEVRE!$A:$A,$Q45,DEVRE!$AD:$AD,$X45)=0,"",ROUNDUP(SUMIFS(DEVRE!$AB:$AB,DEVRE!$A:$A,$Q45,DEVRE!$AD:$AD,$X45)*KLEMENS_YEDEK,0))</f>
        <v>5</v>
      </c>
      <c r="J45" s="4" t="str">
        <f t="shared" si="18"/>
        <v>шт</v>
      </c>
      <c r="K45" s="4" t="str">
        <f t="shared" si="19"/>
        <v>EKT</v>
      </c>
      <c r="L45" s="4">
        <f t="shared" si="20"/>
        <v>1835</v>
      </c>
      <c r="M45" s="4" t="str">
        <f t="shared" si="21"/>
        <v>FIYAT_ESKI</v>
      </c>
      <c r="N45" s="4" t="s">
        <v>142</v>
      </c>
      <c r="O45" s="4" t="str">
        <f t="shared" si="22"/>
        <v>EKT2506</v>
      </c>
      <c r="P45" s="5" t="s">
        <v>143</v>
      </c>
      <c r="Q45" s="4" t="str">
        <f t="shared" si="23"/>
        <v>P02</v>
      </c>
      <c r="R45" s="5" t="s">
        <v>136</v>
      </c>
      <c r="S45" s="5" t="s">
        <v>47</v>
      </c>
      <c r="T45" s="4">
        <f>IF(OR($R45="",$I45=""),"",$I45*INDEX(NORM_DK,MATCH($R45,NORM_AD,0)))</f>
        <v>20</v>
      </c>
      <c r="U45" s="4">
        <f>IF(OR($P45="",$I45=""),"",IF(IF(INDEX(FIYAT_ALAN,MATCH($P45,FIYAT_KOD,0))="","",INDEX(FIYAT_ALAN,MATCH($P45,FIYAT_KOD,0)))&lt;&gt;"",$I45*IF(INDEX(FIYAT_ALAN,MATCH($P45,FIYAT_KOD,0))="","",INDEX(FIYAT_ALAN,MATCH($P45,FIYAT_KOD,0))),IF(IF(INDEX(FIYAT_MODUL,MATCH($P45,FIYAT_KOD,0))="","",INDEX(FIYAT_MODUL,MATCH($P45,FIYAT_KOD,0)))&lt;&gt;"",$I45*IF(INDEX(FIYAT_MODUL,MATCH($P45,FIYAT_KOD,0))="","",INDEX(FIYAT_MODUL,MATCH($P45,FIYAT_KOD,0))),IF(IF(INDEX(FIYAT_GENISLIK,MATCH($P45,FIYAT_KOD,0))="","",INDEX(FIYAT_GENISLIK,MATCH($P45,FIYAT_KOD,0)))&lt;&gt;"",$I45*IF(INDEX(FIYAT_GENISLIK,MATCH($P45,FIYAT_KOD,0))="","",INDEX(FIYAT_GENISLIK,MATCH($P45,FIYAT_KOD,0)))/MODUL_GENISLIK_MM,""))))</f>
        <v>2.9142857142857141</v>
      </c>
      <c r="V45" s="4" t="str">
        <f>IF(OR($C45&lt;&gt;"шина",$I45=""),"",$I45*INDEX(FIYAT_KGM,MATCH($P45,FIYAT_KOD,0)))</f>
        <v/>
      </c>
      <c r="W45" s="4">
        <f t="shared" si="24"/>
        <v>1835</v>
      </c>
      <c r="X45" s="5">
        <v>10</v>
      </c>
      <c r="Y45" s="5" t="s">
        <v>137</v>
      </c>
      <c r="Z45" s="4">
        <f>IF($P45="","",MAX(_xlfn.MAXIFS(DEVRE!$AM:$AM,DEVRE!$A:$A,$Q45,DEVRE!$C:$C,$P45),_xlfn.MAXIFS(DEVRE!$AM:$AM,DEVRE!$A:$A,$Q45,DEVRE!$H:$H,$P45)))</f>
        <v>0</v>
      </c>
      <c r="AA45" s="4">
        <f>IF(OR($I45="",$Q45="",$P45=""),"",$I45*INDEX(PANO_ADET,MATCH($Q45,PANO_ID,0)))</f>
        <v>5</v>
      </c>
      <c r="AB45" s="4">
        <f>IF($P45="",0,IF(AND($U45="",COUNTIF(ALAN_TIP_LIST,$C45)&gt;0),1,0))</f>
        <v>0</v>
      </c>
      <c r="AC45" s="4">
        <f>IF(OR($P45="",$C45&lt;&gt;"kontaktör"),0,IF(IF(INDEX(FIYAT_BOBIN,MATCH($P45,FIYAT_KOD,0))="","",INDEX(FIYAT_BOBIN,MATCH($P45,FIYAT_KOD,0)))="",1,0))</f>
        <v>0</v>
      </c>
    </row>
    <row r="46" spans="1:29" x14ac:dyDescent="0.35">
      <c r="A46" s="4">
        <f t="shared" si="25"/>
        <v>45</v>
      </c>
      <c r="B46" s="4" t="str">
        <f t="shared" si="13"/>
        <v>Монтажный материал</v>
      </c>
      <c r="C46" s="5" t="s">
        <v>98</v>
      </c>
      <c r="D46" s="4" t="str">
        <f t="shared" si="14"/>
        <v>MONTAJ-MALZ</v>
      </c>
      <c r="E46" s="4" t="str">
        <f t="shared" si="15"/>
        <v>Монтажный материал</v>
      </c>
      <c r="F46" s="4">
        <f t="shared" si="16"/>
        <v>1</v>
      </c>
      <c r="G46" s="4">
        <f t="shared" si="17"/>
        <v>1</v>
      </c>
      <c r="H46" s="4" t="str">
        <f>IF(OR($G46="",$I46="",$M46="KONTROL",$M46="KAPSAM_DISI"),"",$G46*$I46)</f>
        <v/>
      </c>
      <c r="I46" s="4" t="str">
        <f>IF(MONTAJ_MALZ_ORANI="","",ROUND(SUMIFS($W:$W,$Q:$Q,$Q46)*MONTAJ_MALZ_ORANI,0))</f>
        <v/>
      </c>
      <c r="J46" s="4" t="str">
        <f t="shared" si="18"/>
        <v>тг</v>
      </c>
      <c r="K46" s="4" t="str">
        <f t="shared" si="19"/>
        <v>HESAP</v>
      </c>
      <c r="L46" s="4" t="str">
        <f t="shared" si="20"/>
        <v/>
      </c>
      <c r="M46" s="4" t="str">
        <f t="shared" si="21"/>
        <v>OK</v>
      </c>
      <c r="N46" s="4" t="s">
        <v>99</v>
      </c>
      <c r="O46" s="4" t="str">
        <f t="shared" si="22"/>
        <v>HESAP</v>
      </c>
      <c r="P46" s="5" t="s">
        <v>100</v>
      </c>
      <c r="Q46" s="4" t="str">
        <f t="shared" si="23"/>
        <v>P02</v>
      </c>
      <c r="V46" s="4" t="str">
        <f>IF(OR($C46&lt;&gt;"шина",$I46=""),"",$I46*INDEX(FIYAT_KGM,MATCH($P46,FIYAT_KOD,0)))</f>
        <v/>
      </c>
      <c r="Y46" s="5" t="s">
        <v>101</v>
      </c>
      <c r="Z46" s="4">
        <f>IF($P46="","",MAX(_xlfn.MAXIFS(DEVRE!$AM:$AM,DEVRE!$A:$A,$Q46,DEVRE!$C:$C,$P46),_xlfn.MAXIFS(DEVRE!$AM:$AM,DEVRE!$A:$A,$Q46,DEVRE!$H:$H,$P46)))</f>
        <v>0</v>
      </c>
      <c r="AA46" s="4" t="str">
        <f>IF(OR($I46="",$Q46="",$P46=""),"",$I46*INDEX(PANO_ADET,MATCH($Q46,PANO_ID,0)))</f>
        <v/>
      </c>
      <c r="AB46" s="4">
        <f>IF($P46="",0,IF(AND($U46="",COUNTIF(ALAN_TIP_LIST,$C46)&gt;0),1,0))</f>
        <v>0</v>
      </c>
      <c r="AC46" s="4">
        <f>IF(OR($P46="",$C46&lt;&gt;"kontaktör"),0,IF(IF(INDEX(FIYAT_BOBIN,MATCH($P46,FIYAT_KOD,0))="","",INDEX(FIYAT_BOBIN,MATCH($P46,FIYAT_KOD,0)))="",1,0))</f>
        <v>0</v>
      </c>
    </row>
    <row r="47" spans="1:29" x14ac:dyDescent="0.35">
      <c r="A47" s="4">
        <f t="shared" si="25"/>
        <v>46</v>
      </c>
      <c r="B47" s="4" t="str">
        <f t="shared" si="13"/>
        <v>Монтажная работа</v>
      </c>
      <c r="C47" s="5" t="s">
        <v>102</v>
      </c>
      <c r="D47" s="4" t="str">
        <f t="shared" si="14"/>
        <v>ISCILIK-MONTAJ</v>
      </c>
      <c r="E47" s="4" t="str">
        <f t="shared" si="15"/>
        <v>Монтажная работа</v>
      </c>
      <c r="F47" s="4">
        <f>IF($I47="","",ROUND($I47/DK_SAAT,2))</f>
        <v>5.8</v>
      </c>
      <c r="G47" s="4">
        <f t="shared" si="17"/>
        <v>100</v>
      </c>
      <c r="H47" s="4">
        <f>IF(OR($G47="",$I47="",$M47="KONTROL",$M47="KAPSAM_DISI"),"",$G47*$I47)</f>
        <v>34800</v>
      </c>
      <c r="I47" s="4">
        <f>ROUND((SUMIFS($T:$T,$Q:$Q,$Q47)+INDEX(NORM_DK,MATCH("PABUC_YUKSUK",NORM_AD,0))*(SUMIFS(DEVRE!$AI:$AI,DEVRE!$A:$A,$Q47)+SUMIFS(DEVRE!$AJ:$AJ,DEVRE!$A:$A,$Q47)))*ISCILIK_CARPANI+INDEX(NORM_DK,MATCH("SABIT_AMBALAJ",NORM_AD,0)),0)</f>
        <v>348</v>
      </c>
      <c r="J47" s="4" t="str">
        <f t="shared" si="18"/>
        <v>мин</v>
      </c>
      <c r="K47" s="4" t="str">
        <f t="shared" si="19"/>
        <v>HESAP</v>
      </c>
      <c r="L47" s="4">
        <f t="shared" si="20"/>
        <v>34800</v>
      </c>
      <c r="M47" s="4" t="str">
        <f t="shared" si="21"/>
        <v>OK</v>
      </c>
      <c r="N47" s="4" t="s">
        <v>103</v>
      </c>
      <c r="O47" s="4" t="str">
        <f t="shared" si="22"/>
        <v>HESAP</v>
      </c>
      <c r="P47" s="5" t="s">
        <v>104</v>
      </c>
      <c r="Q47" s="4" t="str">
        <f t="shared" si="23"/>
        <v>P02</v>
      </c>
      <c r="V47" s="4" t="str">
        <f>IF(OR($C47&lt;&gt;"шина",$I47=""),"",$I47*INDEX(FIYAT_KGM,MATCH($P47,FIYAT_KOD,0)))</f>
        <v/>
      </c>
      <c r="Y47" s="5" t="s">
        <v>101</v>
      </c>
      <c r="Z47" s="4">
        <f>IF($P47="","",MAX(_xlfn.MAXIFS(DEVRE!$AM:$AM,DEVRE!$A:$A,$Q47,DEVRE!$C:$C,$P47),_xlfn.MAXIFS(DEVRE!$AM:$AM,DEVRE!$A:$A,$Q47,DEVRE!$H:$H,$P47)))</f>
        <v>0</v>
      </c>
      <c r="AA47" s="4">
        <f>IF(OR($I47="",$Q47="",$P47=""),"",$I47*INDEX(PANO_ADET,MATCH($Q47,PANO_ID,0)))</f>
        <v>348</v>
      </c>
      <c r="AB47" s="4">
        <f>IF($P47="",0,IF(AND($U47="",COUNTIF(ALAN_TIP_LIST,$C47)&gt;0),1,0))</f>
        <v>0</v>
      </c>
      <c r="AC47" s="4">
        <f>IF(OR($P47="",$C47&lt;&gt;"kontaktör"),0,IF(IF(INDEX(FIYAT_BOBIN,MATCH($P47,FIYAT_KOD,0))="","",INDEX(FIYAT_BOBIN,MATCH($P47,FIYAT_KOD,0)))="",1,0))</f>
        <v>0</v>
      </c>
    </row>
    <row r="48" spans="1:29" x14ac:dyDescent="0.35">
      <c r="A48" s="7">
        <f t="shared" si="25"/>
        <v>47</v>
      </c>
      <c r="B48" s="7" t="str">
        <f>"Toplam "&amp;$E26</f>
        <v>Toplam Щит распределительный ЩР-1</v>
      </c>
      <c r="H48" s="7">
        <f>SUBTOTAL(9,H27:H47)</f>
        <v>97544.4</v>
      </c>
      <c r="L48" s="7">
        <f>SUBTOTAL(9,L27:L47)</f>
        <v>97544.4</v>
      </c>
    </row>
    <row r="49" spans="1:29" x14ac:dyDescent="0.35">
      <c r="A49" s="2">
        <f t="shared" si="25"/>
        <v>48</v>
      </c>
      <c r="B49" s="2" t="str">
        <f t="shared" ref="B49:B63" si="26">$E49</f>
        <v>Щит силовой ЩС-1</v>
      </c>
      <c r="C49" s="3"/>
      <c r="D49" s="3"/>
      <c r="E49" s="2" t="str">
        <f>INDEX(PANO_TAMAD,MATCH($Q49,PANO_ID,0))</f>
        <v>Щит силовой ЩС-1</v>
      </c>
      <c r="F49" s="3"/>
      <c r="G49" s="3"/>
      <c r="H49" s="3"/>
      <c r="I49" s="2">
        <v>1</v>
      </c>
      <c r="J49" s="2" t="s">
        <v>29</v>
      </c>
      <c r="K49" s="3"/>
      <c r="L49" s="3"/>
      <c r="M49" s="3"/>
      <c r="N49" s="3"/>
      <c r="O49" s="3"/>
      <c r="P49" s="3"/>
      <c r="Q49" s="2" t="s">
        <v>144</v>
      </c>
    </row>
    <row r="50" spans="1:29" x14ac:dyDescent="0.35">
      <c r="A50" s="4">
        <f t="shared" si="25"/>
        <v>49</v>
      </c>
      <c r="B50" s="4" t="str">
        <f t="shared" si="26"/>
        <v>Met. Щит Щит ЩРв инд (1000х500х180mm) S/A IP31</v>
      </c>
      <c r="C50" s="5" t="s">
        <v>31</v>
      </c>
      <c r="D50" s="4" t="str">
        <f t="shared" ref="D50:D63" si="27">IF($P50="","",IF(INDEX(FIYAT_ARTIKUL,MATCH($P50,FIYAT_KOD,0))="","",INDEX(FIYAT_ARTIKUL,MATCH($P50,FIYAT_KOD,0))))</f>
        <v>713-15050</v>
      </c>
      <c r="E50" s="4" t="str">
        <f t="shared" ref="E50:E63" si="28">IF($P50="","",INDEX(FIYAT_ACK,MATCH($P50,FIYAT_KOD,0)))</f>
        <v>Met. Щит Щит ЩРв инд (1000х500х180mm) S/A IP31</v>
      </c>
      <c r="F50" s="4">
        <f t="shared" ref="F50:F62" si="29">IF($P50="","",IF(INDEX(FIYAT_LISTE,MATCH($P50,FIYAT_KOD,0))="","",INDEX(FIYAT_LISTE,MATCH($P50,FIYAT_KOD,0))))</f>
        <v>26470</v>
      </c>
      <c r="G50" s="4">
        <f t="shared" ref="G50:G63" si="30">IF($P50="","",IF(INDEX(FIYAT_NET,MATCH($P50,FIYAT_KOD,0))="","",INDEX(FIYAT_NET,MATCH($P50,FIYAT_KOD,0))))</f>
        <v>15882</v>
      </c>
      <c r="H50" s="4">
        <f>IF(OR($G50="",$I50="",$M50="KONTROL",$M50="KAPSAM_DISI"),"",$G50*$I50)</f>
        <v>15882</v>
      </c>
      <c r="I50" s="4">
        <v>1</v>
      </c>
      <c r="J50" s="4" t="str">
        <f t="shared" ref="J50:J63" si="31">IF($P50="","",INDEX(FIYAT_BIRIM,MATCH($P50,FIYAT_KOD,0)))</f>
        <v>шт</v>
      </c>
      <c r="K50" s="4" t="str">
        <f t="shared" ref="K50:K63" si="32">IF($P50="","",INDEX(FIYAT_MARKA,MATCH($P50,FIYAT_KOD,0)))</f>
        <v>KAZTEK</v>
      </c>
      <c r="L50" s="4">
        <f t="shared" ref="L50:L63" si="33">IF($H50="","",$H50)</f>
        <v>15882</v>
      </c>
      <c r="M50" s="4" t="str">
        <f t="shared" ref="M50:M63" si="34">IF($P50="","",INDEX(DURUM_LIST,MATCH(MAX(INDEX(DURUM_SEV,MATCH(INDEX(FIYAT_DURUM,MATCH($P50,FIYAT_KOD,0)),DURUM_LIST,0)),IF($S50="",0,INDEX(DURUM_SEV,MATCH($S50,DURUM_LIST,0))),$Z50),DURUM_SEV,0)))</f>
        <v>VARSAYIM</v>
      </c>
      <c r="N50" s="4" t="s">
        <v>145</v>
      </c>
      <c r="O50" s="4" t="str">
        <f t="shared" ref="O50:O63" si="35">IF($P50="","",INDEX(FIYAT_KAYNAK,MATCH($P50,FIYAT_KOD,0)))</f>
        <v>KAZTEK2607</v>
      </c>
      <c r="P50" s="4" t="str">
        <f>INDEX(PANO_KORPUS,MATCH($Q50,PANO_ID,0))</f>
        <v>KAZTEK-713-15050</v>
      </c>
      <c r="Q50" s="4" t="str">
        <f t="shared" ref="Q50:Q63" si="36">$Q49</f>
        <v>P03</v>
      </c>
      <c r="R50" s="5" t="s">
        <v>107</v>
      </c>
      <c r="S50" s="5" t="s">
        <v>54</v>
      </c>
      <c r="T50" s="4">
        <f>IF(OR($R50="",$I50=""),"",$I50*INDEX(NORM_DK,MATCH($R50,NORM_AD,0)))</f>
        <v>30</v>
      </c>
      <c r="U50" s="4" t="str">
        <f>IF(OR($P50="",$I50=""),"",IF(IF(INDEX(FIYAT_ALAN,MATCH($P50,FIYAT_KOD,0))="","",INDEX(FIYAT_ALAN,MATCH($P50,FIYAT_KOD,0)))&lt;&gt;"",$I50*IF(INDEX(FIYAT_ALAN,MATCH($P50,FIYAT_KOD,0))="","",INDEX(FIYAT_ALAN,MATCH($P50,FIYAT_KOD,0))),IF(IF(INDEX(FIYAT_MODUL,MATCH($P50,FIYAT_KOD,0))="","",INDEX(FIYAT_MODUL,MATCH($P50,FIYAT_KOD,0)))&lt;&gt;"",$I50*IF(INDEX(FIYAT_MODUL,MATCH($P50,FIYAT_KOD,0))="","",INDEX(FIYAT_MODUL,MATCH($P50,FIYAT_KOD,0))),IF(IF(INDEX(FIYAT_GENISLIK,MATCH($P50,FIYAT_KOD,0))="","",INDEX(FIYAT_GENISLIK,MATCH($P50,FIYAT_KOD,0)))&lt;&gt;"",$I50*IF(INDEX(FIYAT_GENISLIK,MATCH($P50,FIYAT_KOD,0))="","",INDEX(FIYAT_GENISLIK,MATCH($P50,FIYAT_KOD,0)))/MODUL_GENISLIK_MM,""))))</f>
        <v/>
      </c>
      <c r="V50" s="4" t="str">
        <f>IF(OR($C50&lt;&gt;"шина",$I50=""),"",$I50*INDEX(FIYAT_KGM,MATCH($P50,FIYAT_KOD,0)))</f>
        <v/>
      </c>
      <c r="W50" s="4">
        <f t="shared" ref="W50:W61" si="37">IF($H50="","",$H50)</f>
        <v>15882</v>
      </c>
      <c r="Y50" s="5" t="s">
        <v>34</v>
      </c>
      <c r="Z50" s="4">
        <f>IF($P50="","",MAX(_xlfn.MAXIFS(DEVRE!$AM:$AM,DEVRE!$A:$A,$Q50,DEVRE!$C:$C,$P50),_xlfn.MAXIFS(DEVRE!$AM:$AM,DEVRE!$A:$A,$Q50,DEVRE!$H:$H,$P50)))</f>
        <v>0</v>
      </c>
      <c r="AA50" s="4">
        <f>IF(OR($I50="",$Q50="",$P50=""),"",$I50*INDEX(PANO_ADET,MATCH($Q50,PANO_ID,0)))</f>
        <v>1</v>
      </c>
      <c r="AB50" s="4">
        <f>IF($P50="",0,IF(AND($U50="",COUNTIF(ALAN_TIP_LIST,$C50)&gt;0),1,0))</f>
        <v>0</v>
      </c>
      <c r="AC50" s="4">
        <f>IF(OR($P50="",$C50&lt;&gt;"kontaktör"),0,IF(IF(INDEX(FIYAT_BOBIN,MATCH($P50,FIYAT_KOD,0))="","",INDEX(FIYAT_BOBIN,MATCH($P50,FIYAT_KOD,0)))="",1,0))</f>
        <v>0</v>
      </c>
    </row>
    <row r="51" spans="1:29" x14ac:dyDescent="0.35">
      <c r="A51" s="4">
        <f t="shared" si="25"/>
        <v>50</v>
      </c>
      <c r="B51" s="4" t="str">
        <f t="shared" si="26"/>
        <v>Выключатель нагрузки NXHB-125 3P 63A</v>
      </c>
      <c r="C51" s="5" t="s">
        <v>108</v>
      </c>
      <c r="D51" s="4" t="str">
        <f t="shared" si="27"/>
        <v>193183</v>
      </c>
      <c r="E51" s="4" t="str">
        <f t="shared" si="28"/>
        <v>Выключатель нагрузки NXHB-125 3P 63A</v>
      </c>
      <c r="F51" s="4">
        <f t="shared" si="29"/>
        <v>4217</v>
      </c>
      <c r="G51" s="4">
        <f t="shared" si="30"/>
        <v>2530.1999999999998</v>
      </c>
      <c r="H51" s="4">
        <f>IF(OR($G51="",$I51="",$M51="KONTROL",$M51="KAPSAM_DISI"),"",$G51*$I51)</f>
        <v>2530.1999999999998</v>
      </c>
      <c r="I51" s="4">
        <f>SUMIFS(DEVRE!$T:$T,DEVRE!$A:$A,$Q51,DEVRE!$C:$C,$P51)+SUMIFS(DEVRE!$U:$U,DEVRE!$A:$A,$Q51,DEVRE!$H:$H,$P51)</f>
        <v>1</v>
      </c>
      <c r="J51" s="4" t="str">
        <f t="shared" si="31"/>
        <v>шт</v>
      </c>
      <c r="K51" s="4" t="str">
        <f t="shared" si="32"/>
        <v>CHINT</v>
      </c>
      <c r="L51" s="4">
        <f t="shared" si="33"/>
        <v>2530.1999999999998</v>
      </c>
      <c r="M51" s="4" t="str">
        <f t="shared" si="34"/>
        <v>OK</v>
      </c>
      <c r="N51" s="4" t="s">
        <v>109</v>
      </c>
      <c r="O51" s="4" t="str">
        <f t="shared" si="35"/>
        <v>CHINT2608</v>
      </c>
      <c r="P51" s="5" t="s">
        <v>146</v>
      </c>
      <c r="Q51" s="4" t="str">
        <f t="shared" si="36"/>
        <v>P03</v>
      </c>
      <c r="R51" s="5" t="s">
        <v>111</v>
      </c>
      <c r="T51" s="4">
        <f>IF(OR($R51="",$I51=""),"",$I51*INDEX(NORM_DK,MATCH($R51,NORM_AD,0)))</f>
        <v>45</v>
      </c>
      <c r="U51" s="4">
        <f>IF(OR($P51="",$I51=""),"",IF(IF(INDEX(FIYAT_ALAN,MATCH($P51,FIYAT_KOD,0))="","",INDEX(FIYAT_ALAN,MATCH($P51,FIYAT_KOD,0)))&lt;&gt;"",$I51*IF(INDEX(FIYAT_ALAN,MATCH($P51,FIYAT_KOD,0))="","",INDEX(FIYAT_ALAN,MATCH($P51,FIYAT_KOD,0))),IF(IF(INDEX(FIYAT_MODUL,MATCH($P51,FIYAT_KOD,0))="","",INDEX(FIYAT_MODUL,MATCH($P51,FIYAT_KOD,0)))&lt;&gt;"",$I51*IF(INDEX(FIYAT_MODUL,MATCH($P51,FIYAT_KOD,0))="","",INDEX(FIYAT_MODUL,MATCH($P51,FIYAT_KOD,0))),IF(IF(INDEX(FIYAT_GENISLIK,MATCH($P51,FIYAT_KOD,0))="","",INDEX(FIYAT_GENISLIK,MATCH($P51,FIYAT_KOD,0)))&lt;&gt;"",$I51*IF(INDEX(FIYAT_GENISLIK,MATCH($P51,FIYAT_KOD,0))="","",INDEX(FIYAT_GENISLIK,MATCH($P51,FIYAT_KOD,0)))/MODUL_GENISLIK_MM,""))))</f>
        <v>3</v>
      </c>
      <c r="V51" s="4" t="str">
        <f>IF(OR($C51&lt;&gt;"шина",$I51=""),"",$I51*INDEX(FIYAT_KGM,MATCH($P51,FIYAT_KOD,0)))</f>
        <v/>
      </c>
      <c r="W51" s="4">
        <f t="shared" si="37"/>
        <v>2530.1999999999998</v>
      </c>
      <c r="Y51" s="5" t="s">
        <v>39</v>
      </c>
      <c r="Z51" s="4">
        <f>IF($P51="","",MAX(_xlfn.MAXIFS(DEVRE!$AM:$AM,DEVRE!$A:$A,$Q51,DEVRE!$C:$C,$P51),_xlfn.MAXIFS(DEVRE!$AM:$AM,DEVRE!$A:$A,$Q51,DEVRE!$H:$H,$P51)))</f>
        <v>0</v>
      </c>
      <c r="AA51" s="4">
        <f>IF(OR($I51="",$Q51="",$P51=""),"",$I51*INDEX(PANO_ADET,MATCH($Q51,PANO_ID,0)))</f>
        <v>1</v>
      </c>
      <c r="AB51" s="4">
        <f>IF($P51="",0,IF(AND($U51="",COUNTIF(ALAN_TIP_LIST,$C51)&gt;0),1,0))</f>
        <v>0</v>
      </c>
      <c r="AC51" s="4">
        <f>IF(OR($P51="",$C51&lt;&gt;"kontaktör"),0,IF(IF(INDEX(FIYAT_BOBIN,MATCH($P51,FIYAT_KOD,0))="","",INDEX(FIYAT_BOBIN,MATCH($P51,FIYAT_KOD,0)))="",1,0))</f>
        <v>0</v>
      </c>
    </row>
    <row r="52" spans="1:29" x14ac:dyDescent="0.35">
      <c r="A52" s="4">
        <f t="shared" si="25"/>
        <v>51</v>
      </c>
      <c r="B52" s="4" t="str">
        <f t="shared" si="26"/>
        <v>Диф. авт. выкл. NXBLE-63 2P C16 30mA тип AC 6kA</v>
      </c>
      <c r="C52" s="5" t="s">
        <v>147</v>
      </c>
      <c r="D52" s="4" t="str">
        <f t="shared" si="27"/>
        <v>819977</v>
      </c>
      <c r="E52" s="4" t="str">
        <f t="shared" si="28"/>
        <v>Диф. авт. выкл. NXBLE-63 2P C16 30mA тип AC 6kA</v>
      </c>
      <c r="F52" s="4">
        <f t="shared" si="29"/>
        <v>5934</v>
      </c>
      <c r="G52" s="4">
        <f t="shared" si="30"/>
        <v>3560.4</v>
      </c>
      <c r="H52" s="4">
        <f>IF(OR($G52="",$I52="",$M52="KONTROL",$M52="KAPSAM_DISI"),"",$G52*$I52)</f>
        <v>46285.200000000004</v>
      </c>
      <c r="I52" s="4">
        <f>SUMIFS(DEVRE!$T:$T,DEVRE!$A:$A,$Q52,DEVRE!$C:$C,$P52)+SUMIFS(DEVRE!$U:$U,DEVRE!$A:$A,$Q52,DEVRE!$H:$H,$P52)</f>
        <v>13</v>
      </c>
      <c r="J52" s="4" t="str">
        <f t="shared" si="31"/>
        <v>шт</v>
      </c>
      <c r="K52" s="4" t="str">
        <f t="shared" si="32"/>
        <v>CHINT</v>
      </c>
      <c r="L52" s="4">
        <f t="shared" si="33"/>
        <v>46285.200000000004</v>
      </c>
      <c r="M52" s="4" t="str">
        <f t="shared" si="34"/>
        <v>OK</v>
      </c>
      <c r="N52" s="4" t="s">
        <v>148</v>
      </c>
      <c r="O52" s="4" t="str">
        <f t="shared" si="35"/>
        <v>CHINT2608</v>
      </c>
      <c r="P52" s="5" t="s">
        <v>149</v>
      </c>
      <c r="Q52" s="4" t="str">
        <f t="shared" si="36"/>
        <v>P03</v>
      </c>
      <c r="R52" s="5" t="s">
        <v>150</v>
      </c>
      <c r="T52" s="4">
        <f>IF(OR($R52="",$I52=""),"",$I52*INDEX(NORM_DK,MATCH($R52,NORM_AD,0)))</f>
        <v>0</v>
      </c>
      <c r="U52" s="4">
        <f>IF(OR($P52="",$I52=""),"",IF(IF(INDEX(FIYAT_ALAN,MATCH($P52,FIYAT_KOD,0))="","",INDEX(FIYAT_ALAN,MATCH($P52,FIYAT_KOD,0)))&lt;&gt;"",$I52*IF(INDEX(FIYAT_ALAN,MATCH($P52,FIYAT_KOD,0))="","",INDEX(FIYAT_ALAN,MATCH($P52,FIYAT_KOD,0))),IF(IF(INDEX(FIYAT_MODUL,MATCH($P52,FIYAT_KOD,0))="","",INDEX(FIYAT_MODUL,MATCH($P52,FIYAT_KOD,0)))&lt;&gt;"",$I52*IF(INDEX(FIYAT_MODUL,MATCH($P52,FIYAT_KOD,0))="","",INDEX(FIYAT_MODUL,MATCH($P52,FIYAT_KOD,0))),IF(IF(INDEX(FIYAT_GENISLIK,MATCH($P52,FIYAT_KOD,0))="","",INDEX(FIYAT_GENISLIK,MATCH($P52,FIYAT_KOD,0)))&lt;&gt;"",$I52*IF(INDEX(FIYAT_GENISLIK,MATCH($P52,FIYAT_KOD,0))="","",INDEX(FIYAT_GENISLIK,MATCH($P52,FIYAT_KOD,0)))/MODUL_GENISLIK_MM,""))))</f>
        <v>26</v>
      </c>
      <c r="V52" s="4" t="str">
        <f>IF(OR($C52&lt;&gt;"шина",$I52=""),"",$I52*INDEX(FIYAT_KGM,MATCH($P52,FIYAT_KOD,0)))</f>
        <v/>
      </c>
      <c r="W52" s="4">
        <f t="shared" si="37"/>
        <v>46285.200000000004</v>
      </c>
      <c r="Y52" s="5" t="s">
        <v>39</v>
      </c>
      <c r="Z52" s="4">
        <f>IF($P52="","",MAX(_xlfn.MAXIFS(DEVRE!$AM:$AM,DEVRE!$A:$A,$Q52,DEVRE!$C:$C,$P52),_xlfn.MAXIFS(DEVRE!$AM:$AM,DEVRE!$A:$A,$Q52,DEVRE!$H:$H,$P52)))</f>
        <v>0</v>
      </c>
      <c r="AA52" s="4">
        <f>IF(OR($I52="",$Q52="",$P52=""),"",$I52*INDEX(PANO_ADET,MATCH($Q52,PANO_ID,0)))</f>
        <v>13</v>
      </c>
      <c r="AB52" s="4">
        <f>IF($P52="",0,IF(AND($U52="",COUNTIF(ALAN_TIP_LIST,$C52)&gt;0),1,0))</f>
        <v>0</v>
      </c>
      <c r="AC52" s="4">
        <f>IF(OR($P52="",$C52&lt;&gt;"kontaktör"),0,IF(IF(INDEX(FIYAT_BOBIN,MATCH($P52,FIYAT_KOD,0))="","",INDEX(FIYAT_BOBIN,MATCH($P52,FIYAT_KOD,0)))="",1,0))</f>
        <v>0</v>
      </c>
    </row>
    <row r="53" spans="1:29" x14ac:dyDescent="0.35">
      <c r="A53" s="4">
        <f t="shared" si="25"/>
        <v>52</v>
      </c>
      <c r="B53" s="4" t="str">
        <f t="shared" si="26"/>
        <v>Шина соединительная типа PIN 2P, 63А, L=1000мм</v>
      </c>
      <c r="C53" s="5" t="s">
        <v>120</v>
      </c>
      <c r="D53" s="4" t="str">
        <f t="shared" si="27"/>
        <v>811001</v>
      </c>
      <c r="E53" s="4" t="str">
        <f t="shared" si="28"/>
        <v>Шина соединительная типа PIN 2P, 63А, L=1000мм</v>
      </c>
      <c r="F53" s="4">
        <f t="shared" si="29"/>
        <v>8819</v>
      </c>
      <c r="G53" s="4">
        <f t="shared" si="30"/>
        <v>5291.4</v>
      </c>
      <c r="H53" s="4" t="str">
        <f>IF(OR($G53="",$I53="",$M53="KONTROL",$M53="KAPSAM_DISI"),"",$G53*$I53)</f>
        <v/>
      </c>
      <c r="I53" s="4">
        <f>IF(COUNTIFS(DEVRE!$A:$A,$Q53,DEVRE!$D:$D,"CIKIS",DEVRE!$AO:$AO,$X53,DEVRE!$Q:$Q,"&lt;="&amp;TARAK_MAX_A,DEVRE!$P:$P,"OTO")+COUNTIFS(DEVRE!$A:$A,$Q53,DEVRE!$D:$D,"CIKIS",DEVRE!$AO:$AO,$X53,DEVRE!$Q:$Q,"&lt;="&amp;TARAK_MAX_A,DEVRE!$P:$P,"DİF")&lt;TARAK_MIN_CIHAZ,"",ROUNDUP((SUMIFS(DEVRE!$AH:$AH,DEVRE!$A:$A,$Q53,DEVRE!$D:$D,"CIKIS",DEVRE!$AO:$AO,$X53,DEVRE!$Q:$Q,"&lt;="&amp;TARAK_MAX_A,DEVRE!$P:$P,"OTO")+SUMIFS(DEVRE!$AH:$AH,DEVRE!$A:$A,$Q53,DEVRE!$D:$D,"CIKIS",DEVRE!$AO:$AO,$X53,DEVRE!$Q:$Q,"&lt;="&amp;TARAK_MAX_A,DEVRE!$P:$P,"DİF"))/TARAK_MOD_ADET,0))</f>
        <v>3</v>
      </c>
      <c r="J53" s="4" t="str">
        <f t="shared" si="31"/>
        <v>шт</v>
      </c>
      <c r="K53" s="4" t="str">
        <f t="shared" si="32"/>
        <v>CHINT</v>
      </c>
      <c r="L53" s="4" t="str">
        <f t="shared" si="33"/>
        <v/>
      </c>
      <c r="M53" s="4" t="str">
        <f t="shared" si="34"/>
        <v>KONTROL</v>
      </c>
      <c r="N53" s="4" t="s">
        <v>151</v>
      </c>
      <c r="O53" s="4" t="str">
        <f t="shared" si="35"/>
        <v>CHINT2608</v>
      </c>
      <c r="P53" s="5" t="s">
        <v>152</v>
      </c>
      <c r="Q53" s="4" t="str">
        <f t="shared" si="36"/>
        <v>P03</v>
      </c>
      <c r="R53" s="5" t="s">
        <v>123</v>
      </c>
      <c r="S53" s="5" t="s">
        <v>124</v>
      </c>
      <c r="T53" s="4">
        <f>IF(OR($R53="",$I53=""),"",$I53*INDEX(NORM_DK,MATCH($R53,NORM_AD,0)))</f>
        <v>30</v>
      </c>
      <c r="U53" s="4" t="str">
        <f>IF(OR($P53="",$I53=""),"",IF(IF(INDEX(FIYAT_ALAN,MATCH($P53,FIYAT_KOD,0))="","",INDEX(FIYAT_ALAN,MATCH($P53,FIYAT_KOD,0)))&lt;&gt;"",$I53*IF(INDEX(FIYAT_ALAN,MATCH($P53,FIYAT_KOD,0))="","",INDEX(FIYAT_ALAN,MATCH($P53,FIYAT_KOD,0))),IF(IF(INDEX(FIYAT_MODUL,MATCH($P53,FIYAT_KOD,0))="","",INDEX(FIYAT_MODUL,MATCH($P53,FIYAT_KOD,0)))&lt;&gt;"",$I53*IF(INDEX(FIYAT_MODUL,MATCH($P53,FIYAT_KOD,0))="","",INDEX(FIYAT_MODUL,MATCH($P53,FIYAT_KOD,0))),IF(IF(INDEX(FIYAT_GENISLIK,MATCH($P53,FIYAT_KOD,0))="","",INDEX(FIYAT_GENISLIK,MATCH($P53,FIYAT_KOD,0)))&lt;&gt;"",$I53*IF(INDEX(FIYAT_GENISLIK,MATCH($P53,FIYAT_KOD,0))="","",INDEX(FIYAT_GENISLIK,MATCH($P53,FIYAT_KOD,0)))/MODUL_GENISLIK_MM,""))))</f>
        <v/>
      </c>
      <c r="V53" s="4" t="str">
        <f>IF(OR($C53&lt;&gt;"шина",$I53=""),"",$I53*INDEX(FIYAT_KGM,MATCH($P53,FIYAT_KOD,0)))</f>
        <v/>
      </c>
      <c r="W53" s="4" t="str">
        <f t="shared" si="37"/>
        <v/>
      </c>
      <c r="X53" s="5" t="s">
        <v>153</v>
      </c>
      <c r="Y53" s="5" t="s">
        <v>126</v>
      </c>
      <c r="Z53" s="4">
        <f>IF($P53="","",MAX(_xlfn.MAXIFS(DEVRE!$AM:$AM,DEVRE!$A:$A,$Q53,DEVRE!$C:$C,$P53),_xlfn.MAXIFS(DEVRE!$AM:$AM,DEVRE!$A:$A,$Q53,DEVRE!$H:$H,$P53)))</f>
        <v>0</v>
      </c>
      <c r="AA53" s="4">
        <f>IF(OR($I53="",$Q53="",$P53=""),"",$I53*INDEX(PANO_ADET,MATCH($Q53,PANO_ID,0)))</f>
        <v>3</v>
      </c>
      <c r="AB53" s="4">
        <f>IF($P53="",0,IF(AND($U53="",COUNTIF(ALAN_TIP_LIST,$C53)&gt;0),1,0))</f>
        <v>0</v>
      </c>
      <c r="AC53" s="4">
        <f>IF(OR($P53="",$C53&lt;&gt;"kontaktör"),0,IF(IF(INDEX(FIYAT_BOBIN,MATCH($P53,FIYAT_KOD,0))="","",INDEX(FIYAT_BOBIN,MATCH($P53,FIYAT_KOD,0)))="",1,0))</f>
        <v>0</v>
      </c>
    </row>
    <row r="54" spans="1:29" x14ac:dyDescent="0.35">
      <c r="A54" s="4">
        <f t="shared" si="25"/>
        <v>53</v>
      </c>
      <c r="B54" s="4" t="str">
        <f t="shared" si="26"/>
        <v/>
      </c>
      <c r="C54" s="5" t="s">
        <v>51</v>
      </c>
      <c r="D54" s="4" t="str">
        <f t="shared" si="27"/>
        <v/>
      </c>
      <c r="E54" s="4" t="str">
        <f t="shared" si="28"/>
        <v/>
      </c>
      <c r="F54" s="4" t="str">
        <f t="shared" si="29"/>
        <v/>
      </c>
      <c r="G54" s="4" t="str">
        <f t="shared" si="30"/>
        <v/>
      </c>
      <c r="H54" s="4" t="str">
        <f>IF(OR($G54="",$I54="",$M54="KONTROL",$M54="KAPSAM_DISI"),"",$G54*$I54)</f>
        <v/>
      </c>
      <c r="I54" s="4">
        <f>IF(INDEX(PANO_BARA_GEREK,MATCH($Q54,PANO_ID,0))="HAYIR",2,"")</f>
        <v>2</v>
      </c>
      <c r="J54" s="4" t="str">
        <f t="shared" si="31"/>
        <v/>
      </c>
      <c r="K54" s="4" t="str">
        <f t="shared" si="32"/>
        <v/>
      </c>
      <c r="L54" s="4" t="str">
        <f t="shared" si="33"/>
        <v/>
      </c>
      <c r="M54" s="4" t="str">
        <f t="shared" si="34"/>
        <v/>
      </c>
      <c r="N54" s="4" t="s">
        <v>75</v>
      </c>
      <c r="O54" s="4" t="str">
        <f t="shared" si="35"/>
        <v/>
      </c>
      <c r="P54" s="4" t="str">
        <f>IF(NOTR_BARA_KOD="","",NOTR_BARA_KOD)</f>
        <v/>
      </c>
      <c r="Q54" s="4" t="str">
        <f t="shared" si="36"/>
        <v>P03</v>
      </c>
      <c r="S54" s="5" t="s">
        <v>47</v>
      </c>
      <c r="T54" s="4" t="str">
        <f>IF(OR($R54="",$I54=""),"",$I54*INDEX(NORM_DK,MATCH($R54,NORM_AD,0)))</f>
        <v/>
      </c>
      <c r="U54" s="4" t="str">
        <f>IF(OR($P54="",$I54=""),"",IF(IF(INDEX(FIYAT_ALAN,MATCH($P54,FIYAT_KOD,0))="","",INDEX(FIYAT_ALAN,MATCH($P54,FIYAT_KOD,0)))&lt;&gt;"",$I54*IF(INDEX(FIYAT_ALAN,MATCH($P54,FIYAT_KOD,0))="","",INDEX(FIYAT_ALAN,MATCH($P54,FIYAT_KOD,0))),IF(IF(INDEX(FIYAT_MODUL,MATCH($P54,FIYAT_KOD,0))="","",INDEX(FIYAT_MODUL,MATCH($P54,FIYAT_KOD,0)))&lt;&gt;"",$I54*IF(INDEX(FIYAT_MODUL,MATCH($P54,FIYAT_KOD,0))="","",INDEX(FIYAT_MODUL,MATCH($P54,FIYAT_KOD,0))),IF(IF(INDEX(FIYAT_GENISLIK,MATCH($P54,FIYAT_KOD,0))="","",INDEX(FIYAT_GENISLIK,MATCH($P54,FIYAT_KOD,0)))&lt;&gt;"",$I54*IF(INDEX(FIYAT_GENISLIK,MATCH($P54,FIYAT_KOD,0))="","",INDEX(FIYAT_GENISLIK,MATCH($P54,FIYAT_KOD,0)))/MODUL_GENISLIK_MM,""))))</f>
        <v/>
      </c>
      <c r="V54" s="4" t="str">
        <f>IF(OR($C54&lt;&gt;"шина",$I54=""),"",$I54*INDEX(FIYAT_KGM,MATCH($P54,FIYAT_KOD,0)))</f>
        <v/>
      </c>
      <c r="W54" s="4" t="str">
        <f t="shared" si="37"/>
        <v/>
      </c>
      <c r="Y54" s="5" t="s">
        <v>76</v>
      </c>
      <c r="Z54" s="4" t="str">
        <f>IF($P54="","",MAX(_xlfn.MAXIFS(DEVRE!$AM:$AM,DEVRE!$A:$A,$Q54,DEVRE!$C:$C,$P54),_xlfn.MAXIFS(DEVRE!$AM:$AM,DEVRE!$A:$A,$Q54,DEVRE!$H:$H,$P54)))</f>
        <v/>
      </c>
      <c r="AA54" s="4" t="str">
        <f>IF(OR($I54="",$Q54="",$P54=""),"",$I54*INDEX(PANO_ADET,MATCH($Q54,PANO_ID,0)))</f>
        <v/>
      </c>
      <c r="AB54" s="4">
        <f>IF($P54="",0,IF(AND($U54="",COUNTIF(ALAN_TIP_LIST,$C54)&gt;0),1,0))</f>
        <v>0</v>
      </c>
      <c r="AC54" s="4">
        <f>IF(OR($P54="",$C54&lt;&gt;"kontaktör"),0,IF(IF(INDEX(FIYAT_BOBIN,MATCH($P54,FIYAT_KOD,0))="","",INDEX(FIYAT_BOBIN,MATCH($P54,FIYAT_KOD,0)))="",1,0))</f>
        <v>0</v>
      </c>
    </row>
    <row r="55" spans="1:29" x14ac:dyDescent="0.35">
      <c r="A55" s="4">
        <f t="shared" si="25"/>
        <v>54</v>
      </c>
      <c r="B55" s="4" t="str">
        <f t="shared" si="26"/>
        <v/>
      </c>
      <c r="C55" s="5" t="s">
        <v>77</v>
      </c>
      <c r="D55" s="4" t="str">
        <f t="shared" si="27"/>
        <v/>
      </c>
      <c r="E55" s="4" t="str">
        <f t="shared" si="28"/>
        <v/>
      </c>
      <c r="F55" s="4" t="str">
        <f t="shared" si="29"/>
        <v/>
      </c>
      <c r="G55" s="4" t="str">
        <f t="shared" si="30"/>
        <v/>
      </c>
      <c r="H55" s="4" t="str">
        <f>IF(OR($G55="",$I55="",$M55="KONTROL",$M55="KAPSAM_DISI"),"",$G55*$I55)</f>
        <v/>
      </c>
      <c r="I55" s="4" t="str">
        <f>INDEX(PANO_DIN_M,MATCH($Q55,PANO_ID,0))</f>
        <v/>
      </c>
      <c r="J55" s="4" t="str">
        <f t="shared" si="31"/>
        <v/>
      </c>
      <c r="K55" s="4" t="str">
        <f t="shared" si="32"/>
        <v/>
      </c>
      <c r="L55" s="4" t="str">
        <f t="shared" si="33"/>
        <v/>
      </c>
      <c r="M55" s="4" t="str">
        <f t="shared" si="34"/>
        <v/>
      </c>
      <c r="N55" s="4" t="s">
        <v>78</v>
      </c>
      <c r="O55" s="4" t="str">
        <f t="shared" si="35"/>
        <v/>
      </c>
      <c r="P55" s="4" t="str">
        <f>IF(DINRAY_KOD="","",DINRAY_KOD)</f>
        <v/>
      </c>
      <c r="Q55" s="4" t="str">
        <f t="shared" si="36"/>
        <v>P03</v>
      </c>
      <c r="R55" s="5" t="s">
        <v>79</v>
      </c>
      <c r="S55" s="5" t="s">
        <v>47</v>
      </c>
      <c r="T55" s="4" t="str">
        <f>IF(OR($R55="",$I55=""),"",$I55*INDEX(NORM_DK,MATCH($R55,NORM_AD,0)))</f>
        <v/>
      </c>
      <c r="U55" s="4" t="str">
        <f>IF(OR($P55="",$I55=""),"",IF(IF(INDEX(FIYAT_ALAN,MATCH($P55,FIYAT_KOD,0))="","",INDEX(FIYAT_ALAN,MATCH($P55,FIYAT_KOD,0)))&lt;&gt;"",$I55*IF(INDEX(FIYAT_ALAN,MATCH($P55,FIYAT_KOD,0))="","",INDEX(FIYAT_ALAN,MATCH($P55,FIYAT_KOD,0))),IF(IF(INDEX(FIYAT_MODUL,MATCH($P55,FIYAT_KOD,0))="","",INDEX(FIYAT_MODUL,MATCH($P55,FIYAT_KOD,0)))&lt;&gt;"",$I55*IF(INDEX(FIYAT_MODUL,MATCH($P55,FIYAT_KOD,0))="","",INDEX(FIYAT_MODUL,MATCH($P55,FIYAT_KOD,0))),IF(IF(INDEX(FIYAT_GENISLIK,MATCH($P55,FIYAT_KOD,0))="","",INDEX(FIYAT_GENISLIK,MATCH($P55,FIYAT_KOD,0)))&lt;&gt;"",$I55*IF(INDEX(FIYAT_GENISLIK,MATCH($P55,FIYAT_KOD,0))="","",INDEX(FIYAT_GENISLIK,MATCH($P55,FIYAT_KOD,0)))/MODUL_GENISLIK_MM,""))))</f>
        <v/>
      </c>
      <c r="V55" s="4" t="str">
        <f>IF(OR($C55&lt;&gt;"шина",$I55=""),"",$I55*INDEX(FIYAT_KGM,MATCH($P55,FIYAT_KOD,0)))</f>
        <v/>
      </c>
      <c r="W55" s="4" t="str">
        <f t="shared" si="37"/>
        <v/>
      </c>
      <c r="Y55" s="5" t="s">
        <v>80</v>
      </c>
      <c r="Z55" s="4" t="str">
        <f>IF($P55="","",MAX(_xlfn.MAXIFS(DEVRE!$AM:$AM,DEVRE!$A:$A,$Q55,DEVRE!$C:$C,$P55),_xlfn.MAXIFS(DEVRE!$AM:$AM,DEVRE!$A:$A,$Q55,DEVRE!$H:$H,$P55)))</f>
        <v/>
      </c>
      <c r="AA55" s="4" t="str">
        <f>IF(OR($I55="",$Q55="",$P55=""),"",$I55*INDEX(PANO_ADET,MATCH($Q55,PANO_ID,0)))</f>
        <v/>
      </c>
      <c r="AB55" s="4">
        <f>IF($P55="",0,IF(AND($U55="",COUNTIF(ALAN_TIP_LIST,$C55)&gt;0),1,0))</f>
        <v>0</v>
      </c>
      <c r="AC55" s="4">
        <f>IF(OR($P55="",$C55&lt;&gt;"kontaktör"),0,IF(IF(INDEX(FIYAT_BOBIN,MATCH($P55,FIYAT_KOD,0))="","",INDEX(FIYAT_BOBIN,MATCH($P55,FIYAT_KOD,0)))="",1,0))</f>
        <v>0</v>
      </c>
    </row>
    <row r="56" spans="1:29" x14ac:dyDescent="0.35">
      <c r="A56" s="4">
        <f t="shared" si="25"/>
        <v>55</v>
      </c>
      <c r="B56" s="4" t="str">
        <f t="shared" si="26"/>
        <v/>
      </c>
      <c r="C56" s="5" t="s">
        <v>81</v>
      </c>
      <c r="D56" s="4" t="str">
        <f t="shared" si="27"/>
        <v/>
      </c>
      <c r="E56" s="4" t="str">
        <f t="shared" si="28"/>
        <v/>
      </c>
      <c r="F56" s="4" t="str">
        <f t="shared" si="29"/>
        <v/>
      </c>
      <c r="G56" s="4" t="str">
        <f t="shared" si="30"/>
        <v/>
      </c>
      <c r="H56" s="4" t="str">
        <f>IF(OR($G56="",$I56="",$M56="KONTROL",$M56="KAPSAM_DISI"),"",$G56*$I56)</f>
        <v/>
      </c>
      <c r="I56" s="4" t="str">
        <f>INDEX(PANO_KANAL_M,MATCH($Q56,PANO_ID,0))</f>
        <v/>
      </c>
      <c r="J56" s="4" t="str">
        <f t="shared" si="31"/>
        <v/>
      </c>
      <c r="K56" s="4" t="str">
        <f t="shared" si="32"/>
        <v/>
      </c>
      <c r="L56" s="4" t="str">
        <f t="shared" si="33"/>
        <v/>
      </c>
      <c r="M56" s="4" t="str">
        <f t="shared" si="34"/>
        <v/>
      </c>
      <c r="N56" s="4" t="s">
        <v>82</v>
      </c>
      <c r="O56" s="4" t="str">
        <f t="shared" si="35"/>
        <v/>
      </c>
      <c r="P56" s="4" t="str">
        <f>INDEX(PANO_KANAL_KOD,MATCH($Q56,PANO_ID,0))</f>
        <v/>
      </c>
      <c r="Q56" s="4" t="str">
        <f t="shared" si="36"/>
        <v>P03</v>
      </c>
      <c r="R56" s="5" t="s">
        <v>83</v>
      </c>
      <c r="S56" s="5" t="s">
        <v>84</v>
      </c>
      <c r="T56" s="4" t="str">
        <f>IF(OR($R56="",$I56=""),"",$I56*INDEX(NORM_DK,MATCH($R56,NORM_AD,0)))</f>
        <v/>
      </c>
      <c r="U56" s="4" t="str">
        <f>IF(OR($P56="",$I56=""),"",IF(IF(INDEX(FIYAT_ALAN,MATCH($P56,FIYAT_KOD,0))="","",INDEX(FIYAT_ALAN,MATCH($P56,FIYAT_KOD,0)))&lt;&gt;"",$I56*IF(INDEX(FIYAT_ALAN,MATCH($P56,FIYAT_KOD,0))="","",INDEX(FIYAT_ALAN,MATCH($P56,FIYAT_KOD,0))),IF(IF(INDEX(FIYAT_MODUL,MATCH($P56,FIYAT_KOD,0))="","",INDEX(FIYAT_MODUL,MATCH($P56,FIYAT_KOD,0)))&lt;&gt;"",$I56*IF(INDEX(FIYAT_MODUL,MATCH($P56,FIYAT_KOD,0))="","",INDEX(FIYAT_MODUL,MATCH($P56,FIYAT_KOD,0))),IF(IF(INDEX(FIYAT_GENISLIK,MATCH($P56,FIYAT_KOD,0))="","",INDEX(FIYAT_GENISLIK,MATCH($P56,FIYAT_KOD,0)))&lt;&gt;"",$I56*IF(INDEX(FIYAT_GENISLIK,MATCH($P56,FIYAT_KOD,0))="","",INDEX(FIYAT_GENISLIK,MATCH($P56,FIYAT_KOD,0)))/MODUL_GENISLIK_MM,""))))</f>
        <v/>
      </c>
      <c r="V56" s="4" t="str">
        <f>IF(OR($C56&lt;&gt;"шина",$I56=""),"",$I56*INDEX(FIYAT_KGM,MATCH($P56,FIYAT_KOD,0)))</f>
        <v/>
      </c>
      <c r="W56" s="4" t="str">
        <f t="shared" si="37"/>
        <v/>
      </c>
      <c r="Y56" s="5" t="s">
        <v>85</v>
      </c>
      <c r="Z56" s="4" t="str">
        <f>IF($P56="","",MAX(_xlfn.MAXIFS(DEVRE!$AM:$AM,DEVRE!$A:$A,$Q56,DEVRE!$C:$C,$P56),_xlfn.MAXIFS(DEVRE!$AM:$AM,DEVRE!$A:$A,$Q56,DEVRE!$H:$H,$P56)))</f>
        <v/>
      </c>
      <c r="AA56" s="4" t="str">
        <f>IF(OR($I56="",$Q56="",$P56=""),"",$I56*INDEX(PANO_ADET,MATCH($Q56,PANO_ID,0)))</f>
        <v/>
      </c>
      <c r="AB56" s="4">
        <f>IF($P56="",0,IF(AND($U56="",COUNTIF(ALAN_TIP_LIST,$C56)&gt;0),1,0))</f>
        <v>0</v>
      </c>
      <c r="AC56" s="4">
        <f>IF(OR($P56="",$C56&lt;&gt;"kontaktör"),0,IF(IF(INDEX(FIYAT_BOBIN,MATCH($P56,FIYAT_KOD,0))="","",INDEX(FIYAT_BOBIN,MATCH($P56,FIYAT_KOD,0)))="",1,0))</f>
        <v>0</v>
      </c>
    </row>
    <row r="57" spans="1:29" x14ac:dyDescent="0.35">
      <c r="A57" s="4">
        <f t="shared" si="25"/>
        <v>56</v>
      </c>
      <c r="B57" s="4" t="str">
        <f t="shared" si="26"/>
        <v/>
      </c>
      <c r="C57" s="5" t="s">
        <v>81</v>
      </c>
      <c r="D57" s="4" t="str">
        <f t="shared" si="27"/>
        <v/>
      </c>
      <c r="E57" s="4" t="str">
        <f t="shared" si="28"/>
        <v/>
      </c>
      <c r="F57" s="4" t="str">
        <f t="shared" si="29"/>
        <v/>
      </c>
      <c r="G57" s="4" t="str">
        <f t="shared" si="30"/>
        <v/>
      </c>
      <c r="H57" s="4" t="str">
        <f>IF(OR($G57="",$I57="",$M57="KONTROL",$M57="KAPSAM_DISI"),"",$G57*$I57)</f>
        <v/>
      </c>
      <c r="I57" s="4" t="str">
        <f>INDEX(PANO_KANAL_M,MATCH($Q57,PANO_ID,0))</f>
        <v/>
      </c>
      <c r="J57" s="4" t="str">
        <f t="shared" si="31"/>
        <v/>
      </c>
      <c r="K57" s="4" t="str">
        <f t="shared" si="32"/>
        <v/>
      </c>
      <c r="L57" s="4" t="str">
        <f t="shared" si="33"/>
        <v/>
      </c>
      <c r="M57" s="4" t="str">
        <f t="shared" si="34"/>
        <v/>
      </c>
      <c r="N57" s="4" t="s">
        <v>86</v>
      </c>
      <c r="O57" s="4" t="str">
        <f t="shared" si="35"/>
        <v/>
      </c>
      <c r="P57" s="4" t="str">
        <f>INDEX(PANO_KAPAK_KOD,MATCH($Q57,PANO_ID,0))</f>
        <v/>
      </c>
      <c r="Q57" s="4" t="str">
        <f t="shared" si="36"/>
        <v>P03</v>
      </c>
      <c r="S57" s="5" t="s">
        <v>84</v>
      </c>
      <c r="T57" s="4" t="str">
        <f>IF(OR($R57="",$I57=""),"",$I57*INDEX(NORM_DK,MATCH($R57,NORM_AD,0)))</f>
        <v/>
      </c>
      <c r="U57" s="4" t="str">
        <f>IF(OR($P57="",$I57=""),"",IF(IF(INDEX(FIYAT_ALAN,MATCH($P57,FIYAT_KOD,0))="","",INDEX(FIYAT_ALAN,MATCH($P57,FIYAT_KOD,0)))&lt;&gt;"",$I57*IF(INDEX(FIYAT_ALAN,MATCH($P57,FIYAT_KOD,0))="","",INDEX(FIYAT_ALAN,MATCH($P57,FIYAT_KOD,0))),IF(IF(INDEX(FIYAT_MODUL,MATCH($P57,FIYAT_KOD,0))="","",INDEX(FIYAT_MODUL,MATCH($P57,FIYAT_KOD,0)))&lt;&gt;"",$I57*IF(INDEX(FIYAT_MODUL,MATCH($P57,FIYAT_KOD,0))="","",INDEX(FIYAT_MODUL,MATCH($P57,FIYAT_KOD,0))),IF(IF(INDEX(FIYAT_GENISLIK,MATCH($P57,FIYAT_KOD,0))="","",INDEX(FIYAT_GENISLIK,MATCH($P57,FIYAT_KOD,0)))&lt;&gt;"",$I57*IF(INDEX(FIYAT_GENISLIK,MATCH($P57,FIYAT_KOD,0))="","",INDEX(FIYAT_GENISLIK,MATCH($P57,FIYAT_KOD,0)))/MODUL_GENISLIK_MM,""))))</f>
        <v/>
      </c>
      <c r="V57" s="4" t="str">
        <f>IF(OR($C57&lt;&gt;"шина",$I57=""),"",$I57*INDEX(FIYAT_KGM,MATCH($P57,FIYAT_KOD,0)))</f>
        <v/>
      </c>
      <c r="W57" s="4" t="str">
        <f t="shared" si="37"/>
        <v/>
      </c>
      <c r="Y57" s="5" t="s">
        <v>85</v>
      </c>
      <c r="Z57" s="4" t="str">
        <f>IF($P57="","",MAX(_xlfn.MAXIFS(DEVRE!$AM:$AM,DEVRE!$A:$A,$Q57,DEVRE!$C:$C,$P57),_xlfn.MAXIFS(DEVRE!$AM:$AM,DEVRE!$A:$A,$Q57,DEVRE!$H:$H,$P57)))</f>
        <v/>
      </c>
      <c r="AA57" s="4" t="str">
        <f>IF(OR($I57="",$Q57="",$P57=""),"",$I57*INDEX(PANO_ADET,MATCH($Q57,PANO_ID,0)))</f>
        <v/>
      </c>
      <c r="AB57" s="4">
        <f>IF($P57="",0,IF(AND($U57="",COUNTIF(ALAN_TIP_LIST,$C57)&gt;0),1,0))</f>
        <v>0</v>
      </c>
      <c r="AC57" s="4">
        <f>IF(OR($P57="",$C57&lt;&gt;"kontaktör"),0,IF(IF(INDEX(FIYAT_BOBIN,MATCH($P57,FIYAT_KOD,0))="","",INDEX(FIYAT_BOBIN,MATCH($P57,FIYAT_KOD,0)))="",1,0))</f>
        <v>0</v>
      </c>
    </row>
    <row r="58" spans="1:29" x14ac:dyDescent="0.35">
      <c r="A58" s="4">
        <f t="shared" si="25"/>
        <v>57</v>
      </c>
      <c r="B58" s="4" t="str">
        <f t="shared" si="26"/>
        <v>HARMONY ПВ3 1 2,5</v>
      </c>
      <c r="C58" s="5" t="s">
        <v>87</v>
      </c>
      <c r="D58" s="4" t="str">
        <f t="shared" si="27"/>
        <v>151.01.PV3.02,5</v>
      </c>
      <c r="E58" s="4" t="str">
        <f t="shared" si="28"/>
        <v>HARMONY ПВ3 1 2,5</v>
      </c>
      <c r="F58" s="4">
        <f t="shared" si="29"/>
        <v>174</v>
      </c>
      <c r="G58" s="4">
        <f t="shared" si="30"/>
        <v>174</v>
      </c>
      <c r="H58" s="4">
        <f>IF(OR($G58="",$I58="",$M58="KONTROL",$M58="KAPSAM_DISI"),"",$G58*$I58)</f>
        <v>8961</v>
      </c>
      <c r="I58" s="4">
        <f>ROUND((SUMIFS(DEVRE!$Z:$Z,DEVRE!$A:$A,$Q58,DEVRE!$V:$V,$X58)+IF($X58=GRUP_BESLEME_KESIT,INDEX(PANO_GRUP_KABLO_M,MATCH($Q58,PANO_ID,0)),0))*KABLO_FIRE,1)</f>
        <v>51.5</v>
      </c>
      <c r="J58" s="4" t="str">
        <f t="shared" si="31"/>
        <v>м</v>
      </c>
      <c r="K58" s="4" t="str">
        <f t="shared" si="32"/>
        <v>HARMONY</v>
      </c>
      <c r="L58" s="4">
        <f t="shared" si="33"/>
        <v>8961</v>
      </c>
      <c r="M58" s="4" t="str">
        <f t="shared" si="34"/>
        <v>FIYAT_ESKI</v>
      </c>
      <c r="N58" s="4" t="s">
        <v>92</v>
      </c>
      <c r="O58" s="4" t="str">
        <f t="shared" si="35"/>
        <v>HARMONY</v>
      </c>
      <c r="P58" s="5" t="s">
        <v>93</v>
      </c>
      <c r="Q58" s="4" t="str">
        <f t="shared" si="36"/>
        <v>P03</v>
      </c>
      <c r="R58" s="5" t="s">
        <v>90</v>
      </c>
      <c r="S58" s="5" t="s">
        <v>47</v>
      </c>
      <c r="T58" s="4">
        <f>IF(OR($R58="",$I58=""),"",$I58*INDEX(NORM_DK,MATCH($R58,NORM_AD,0)))</f>
        <v>0</v>
      </c>
      <c r="U58" s="4" t="str">
        <f>IF(OR($P58="",$I58=""),"",IF(IF(INDEX(FIYAT_ALAN,MATCH($P58,FIYAT_KOD,0))="","",INDEX(FIYAT_ALAN,MATCH($P58,FIYAT_KOD,0)))&lt;&gt;"",$I58*IF(INDEX(FIYAT_ALAN,MATCH($P58,FIYAT_KOD,0))="","",INDEX(FIYAT_ALAN,MATCH($P58,FIYAT_KOD,0))),IF(IF(INDEX(FIYAT_MODUL,MATCH($P58,FIYAT_KOD,0))="","",INDEX(FIYAT_MODUL,MATCH($P58,FIYAT_KOD,0)))&lt;&gt;"",$I58*IF(INDEX(FIYAT_MODUL,MATCH($P58,FIYAT_KOD,0))="","",INDEX(FIYAT_MODUL,MATCH($P58,FIYAT_KOD,0))),IF(IF(INDEX(FIYAT_GENISLIK,MATCH($P58,FIYAT_KOD,0))="","",INDEX(FIYAT_GENISLIK,MATCH($P58,FIYAT_KOD,0)))&lt;&gt;"",$I58*IF(INDEX(FIYAT_GENISLIK,MATCH($P58,FIYAT_KOD,0))="","",INDEX(FIYAT_GENISLIK,MATCH($P58,FIYAT_KOD,0)))/MODUL_GENISLIK_MM,""))))</f>
        <v/>
      </c>
      <c r="V58" s="4" t="str">
        <f>IF(OR($C58&lt;&gt;"шина",$I58=""),"",$I58*INDEX(FIYAT_KGM,MATCH($P58,FIYAT_KOD,0)))</f>
        <v/>
      </c>
      <c r="W58" s="4">
        <f t="shared" si="37"/>
        <v>8961</v>
      </c>
      <c r="X58" s="5">
        <v>2.5</v>
      </c>
      <c r="Y58" s="5" t="s">
        <v>91</v>
      </c>
      <c r="Z58" s="4">
        <f>IF($P58="","",MAX(_xlfn.MAXIFS(DEVRE!$AM:$AM,DEVRE!$A:$A,$Q58,DEVRE!$C:$C,$P58),_xlfn.MAXIFS(DEVRE!$AM:$AM,DEVRE!$A:$A,$Q58,DEVRE!$H:$H,$P58)))</f>
        <v>0</v>
      </c>
      <c r="AA58" s="4">
        <f>IF(OR($I58="",$Q58="",$P58=""),"",$I58*INDEX(PANO_ADET,MATCH($Q58,PANO_ID,0)))</f>
        <v>51.5</v>
      </c>
      <c r="AB58" s="4">
        <f>IF($P58="",0,IF(AND($U58="",COUNTIF(ALAN_TIP_LIST,$C58)&gt;0),1,0))</f>
        <v>0</v>
      </c>
      <c r="AC58" s="4">
        <f>IF(OR($P58="",$C58&lt;&gt;"kontaktör"),0,IF(IF(INDEX(FIYAT_BOBIN,MATCH($P58,FIYAT_KOD,0))="","",INDEX(FIYAT_BOBIN,MATCH($P58,FIYAT_KOD,0)))="",1,0))</f>
        <v>0</v>
      </c>
    </row>
    <row r="59" spans="1:29" x14ac:dyDescent="0.35">
      <c r="A59" s="4">
        <f t="shared" si="25"/>
        <v>58</v>
      </c>
      <c r="B59" s="4" t="str">
        <f t="shared" si="26"/>
        <v>HARMONY ПВ3 1 16</v>
      </c>
      <c r="C59" s="5" t="s">
        <v>87</v>
      </c>
      <c r="D59" s="4" t="str">
        <f t="shared" si="27"/>
        <v>151.01.PV3.16</v>
      </c>
      <c r="E59" s="4" t="str">
        <f t="shared" si="28"/>
        <v>HARMONY ПВ3 1 16</v>
      </c>
      <c r="F59" s="4">
        <f t="shared" si="29"/>
        <v>1084</v>
      </c>
      <c r="G59" s="4">
        <f t="shared" si="30"/>
        <v>1084</v>
      </c>
      <c r="H59" s="4">
        <f>IF(OR($G59="",$I59="",$M59="KONTROL",$M59="KAPSAM_DISI"),"",$G59*$I59)</f>
        <v>4336</v>
      </c>
      <c r="I59" s="4">
        <f>ROUND((SUMIFS(DEVRE!$Z:$Z,DEVRE!$A:$A,$Q59,DEVRE!$V:$V,$X59)+IF($X59=GRUP_BESLEME_KESIT,INDEX(PANO_GRUP_KABLO_M,MATCH($Q59,PANO_ID,0)),0))*KABLO_FIRE,1)</f>
        <v>4</v>
      </c>
      <c r="J59" s="4" t="str">
        <f t="shared" si="31"/>
        <v>м</v>
      </c>
      <c r="K59" s="4" t="str">
        <f t="shared" si="32"/>
        <v>HARMONY</v>
      </c>
      <c r="L59" s="4">
        <f t="shared" si="33"/>
        <v>4336</v>
      </c>
      <c r="M59" s="4" t="str">
        <f t="shared" si="34"/>
        <v>FIYAT_ESKI</v>
      </c>
      <c r="N59" s="4" t="s">
        <v>154</v>
      </c>
      <c r="O59" s="4" t="str">
        <f t="shared" si="35"/>
        <v>HARMONY</v>
      </c>
      <c r="P59" s="5" t="s">
        <v>155</v>
      </c>
      <c r="Q59" s="4" t="str">
        <f t="shared" si="36"/>
        <v>P03</v>
      </c>
      <c r="R59" s="5" t="s">
        <v>90</v>
      </c>
      <c r="S59" s="5" t="s">
        <v>47</v>
      </c>
      <c r="T59" s="4">
        <f>IF(OR($R59="",$I59=""),"",$I59*INDEX(NORM_DK,MATCH($R59,NORM_AD,0)))</f>
        <v>0</v>
      </c>
      <c r="U59" s="4" t="str">
        <f>IF(OR($P59="",$I59=""),"",IF(IF(INDEX(FIYAT_ALAN,MATCH($P59,FIYAT_KOD,0))="","",INDEX(FIYAT_ALAN,MATCH($P59,FIYAT_KOD,0)))&lt;&gt;"",$I59*IF(INDEX(FIYAT_ALAN,MATCH($P59,FIYAT_KOD,0))="","",INDEX(FIYAT_ALAN,MATCH($P59,FIYAT_KOD,0))),IF(IF(INDEX(FIYAT_MODUL,MATCH($P59,FIYAT_KOD,0))="","",INDEX(FIYAT_MODUL,MATCH($P59,FIYAT_KOD,0)))&lt;&gt;"",$I59*IF(INDEX(FIYAT_MODUL,MATCH($P59,FIYAT_KOD,0))="","",INDEX(FIYAT_MODUL,MATCH($P59,FIYAT_KOD,0))),IF(IF(INDEX(FIYAT_GENISLIK,MATCH($P59,FIYAT_KOD,0))="","",INDEX(FIYAT_GENISLIK,MATCH($P59,FIYAT_KOD,0)))&lt;&gt;"",$I59*IF(INDEX(FIYAT_GENISLIK,MATCH($P59,FIYAT_KOD,0))="","",INDEX(FIYAT_GENISLIK,MATCH($P59,FIYAT_KOD,0)))/MODUL_GENISLIK_MM,""))))</f>
        <v/>
      </c>
      <c r="V59" s="4" t="str">
        <f>IF(OR($C59&lt;&gt;"шина",$I59=""),"",$I59*INDEX(FIYAT_KGM,MATCH($P59,FIYAT_KOD,0)))</f>
        <v/>
      </c>
      <c r="W59" s="4">
        <f t="shared" si="37"/>
        <v>4336</v>
      </c>
      <c r="X59" s="5">
        <v>16</v>
      </c>
      <c r="Y59" s="5" t="s">
        <v>91</v>
      </c>
      <c r="Z59" s="4">
        <f>IF($P59="","",MAX(_xlfn.MAXIFS(DEVRE!$AM:$AM,DEVRE!$A:$A,$Q59,DEVRE!$C:$C,$P59),_xlfn.MAXIFS(DEVRE!$AM:$AM,DEVRE!$A:$A,$Q59,DEVRE!$H:$H,$P59)))</f>
        <v>0</v>
      </c>
      <c r="AA59" s="4">
        <f>IF(OR($I59="",$Q59="",$P59=""),"",$I59*INDEX(PANO_ADET,MATCH($Q59,PANO_ID,0)))</f>
        <v>4</v>
      </c>
      <c r="AB59" s="4">
        <f>IF($P59="",0,IF(AND($U59="",COUNTIF(ALAN_TIP_LIST,$C59)&gt;0),1,0))</f>
        <v>0</v>
      </c>
      <c r="AC59" s="4">
        <f>IF(OR($P59="",$C59&lt;&gt;"kontaktör"),0,IF(IF(INDEX(FIYAT_BOBIN,MATCH($P59,FIYAT_KOD,0))="","",INDEX(FIYAT_BOBIN,MATCH($P59,FIYAT_KOD,0)))="",1,0))</f>
        <v>0</v>
      </c>
    </row>
    <row r="60" spans="1:29" x14ac:dyDescent="0.35">
      <c r="A60" s="4">
        <f t="shared" si="25"/>
        <v>59</v>
      </c>
      <c r="B60" s="4" t="str">
        <f t="shared" si="26"/>
        <v>ЗНИ 4мм ² (35А) серый IEK</v>
      </c>
      <c r="C60" s="5" t="s">
        <v>133</v>
      </c>
      <c r="D60" s="4" t="str">
        <f t="shared" si="27"/>
        <v>130300041</v>
      </c>
      <c r="E60" s="4" t="str">
        <f t="shared" si="28"/>
        <v>ЗНИ 4мм ² (35А) серый IEK</v>
      </c>
      <c r="F60" s="4">
        <f t="shared" si="29"/>
        <v>98</v>
      </c>
      <c r="G60" s="4">
        <f t="shared" si="30"/>
        <v>98</v>
      </c>
      <c r="H60" s="4">
        <f>IF(OR($G60="",$I60="",$M60="KONTROL",$M60="KAPSAM_DISI"),"",$G60*$I60)</f>
        <v>2940</v>
      </c>
      <c r="I60" s="4">
        <f>IF(SUMIFS(DEVRE!$AA:$AA,DEVRE!$A:$A,$Q60,DEVRE!$AD:$AD,$X60)+IF($X60=SINYAL_KLEMENS_KESIT,SUMIFS(DEVRE!$I:$I,DEVRE!$A:$A,$Q60),0)=0,"",MAX(SUMIFS(DEVRE!$AA:$AA,DEVRE!$A:$A,$Q60,DEVRE!$AD:$AD,$X60)+IF($X60=SINYAL_KLEMENS_KESIT,SUMIFS(DEVRE!$I:$I,DEVRE!$A:$A,$Q60),0)+KLEMENS_MIN_YEDEK,ROUNDUP((SUMIFS(DEVRE!$AA:$AA,DEVRE!$A:$A,$Q60,DEVRE!$AD:$AD,$X60)+IF($X60=SINYAL_KLEMENS_KESIT,SUMIFS(DEVRE!$I:$I,DEVRE!$A:$A,$Q60),0))*KLEMENS_YEDEK,0)))</f>
        <v>30</v>
      </c>
      <c r="J60" s="4" t="str">
        <f t="shared" si="31"/>
        <v>шт</v>
      </c>
      <c r="K60" s="4" t="str">
        <f t="shared" si="32"/>
        <v>EKT</v>
      </c>
      <c r="L60" s="4">
        <f t="shared" si="33"/>
        <v>2940</v>
      </c>
      <c r="M60" s="4" t="str">
        <f t="shared" si="34"/>
        <v>FIYAT_ESKI</v>
      </c>
      <c r="N60" s="4" t="s">
        <v>134</v>
      </c>
      <c r="O60" s="4" t="str">
        <f t="shared" si="35"/>
        <v>EKT2506</v>
      </c>
      <c r="P60" s="5" t="s">
        <v>135</v>
      </c>
      <c r="Q60" s="4" t="str">
        <f t="shared" si="36"/>
        <v>P03</v>
      </c>
      <c r="R60" s="5" t="s">
        <v>136</v>
      </c>
      <c r="S60" s="5" t="s">
        <v>47</v>
      </c>
      <c r="T60" s="4">
        <f>IF(OR($R60="",$I60=""),"",$I60*INDEX(NORM_DK,MATCH($R60,NORM_AD,0)))</f>
        <v>120</v>
      </c>
      <c r="U60" s="4">
        <f>IF(OR($P60="",$I60=""),"",IF(IF(INDEX(FIYAT_ALAN,MATCH($P60,FIYAT_KOD,0))="","",INDEX(FIYAT_ALAN,MATCH($P60,FIYAT_KOD,0)))&lt;&gt;"",$I60*IF(INDEX(FIYAT_ALAN,MATCH($P60,FIYAT_KOD,0))="","",INDEX(FIYAT_ALAN,MATCH($P60,FIYAT_KOD,0))),IF(IF(INDEX(FIYAT_MODUL,MATCH($P60,FIYAT_KOD,0))="","",INDEX(FIYAT_MODUL,MATCH($P60,FIYAT_KOD,0)))&lt;&gt;"",$I60*IF(INDEX(FIYAT_MODUL,MATCH($P60,FIYAT_KOD,0))="","",INDEX(FIYAT_MODUL,MATCH($P60,FIYAT_KOD,0))),IF(IF(INDEX(FIYAT_GENISLIK,MATCH($P60,FIYAT_KOD,0))="","",INDEX(FIYAT_GENISLIK,MATCH($P60,FIYAT_KOD,0)))&lt;&gt;"",$I60*IF(INDEX(FIYAT_GENISLIK,MATCH($P60,FIYAT_KOD,0))="","",INDEX(FIYAT_GENISLIK,MATCH($P60,FIYAT_KOD,0)))/MODUL_GENISLIK_MM,""))))</f>
        <v>10.628571428571428</v>
      </c>
      <c r="V60" s="4" t="str">
        <f>IF(OR($C60&lt;&gt;"шина",$I60=""),"",$I60*INDEX(FIYAT_KGM,MATCH($P60,FIYAT_KOD,0)))</f>
        <v/>
      </c>
      <c r="W60" s="4">
        <f t="shared" si="37"/>
        <v>2940</v>
      </c>
      <c r="X60" s="5">
        <v>4</v>
      </c>
      <c r="Y60" s="5" t="s">
        <v>137</v>
      </c>
      <c r="Z60" s="4">
        <f>IF($P60="","",MAX(_xlfn.MAXIFS(DEVRE!$AM:$AM,DEVRE!$A:$A,$Q60,DEVRE!$C:$C,$P60),_xlfn.MAXIFS(DEVRE!$AM:$AM,DEVRE!$A:$A,$Q60,DEVRE!$H:$H,$P60)))</f>
        <v>0</v>
      </c>
      <c r="AA60" s="4">
        <f>IF(OR($I60="",$Q60="",$P60=""),"",$I60*INDEX(PANO_ADET,MATCH($Q60,PANO_ID,0)))</f>
        <v>30</v>
      </c>
      <c r="AB60" s="4">
        <f>IF($P60="",0,IF(AND($U60="",COUNTIF(ALAN_TIP_LIST,$C60)&gt;0),1,0))</f>
        <v>0</v>
      </c>
      <c r="AC60" s="4">
        <f>IF(OR($P60="",$C60&lt;&gt;"kontaktör"),0,IF(IF(INDEX(FIYAT_BOBIN,MATCH($P60,FIYAT_KOD,0))="","",INDEX(FIYAT_BOBIN,MATCH($P60,FIYAT_KOD,0)))="",1,0))</f>
        <v>0</v>
      </c>
    </row>
    <row r="61" spans="1:29" x14ac:dyDescent="0.35">
      <c r="A61" s="4">
        <f t="shared" si="25"/>
        <v>60</v>
      </c>
      <c r="B61" s="4" t="str">
        <f t="shared" si="26"/>
        <v>Зажим наборный ЗНИ - 4PEN 4мм2 (JXB-земля) IEK</v>
      </c>
      <c r="C61" s="5" t="s">
        <v>133</v>
      </c>
      <c r="D61" s="4" t="str">
        <f t="shared" si="27"/>
        <v>5130300225</v>
      </c>
      <c r="E61" s="4" t="str">
        <f t="shared" si="28"/>
        <v>Зажим наборный ЗНИ - 4PEN 4мм2 (JXB-земля) IEK</v>
      </c>
      <c r="F61" s="4">
        <f t="shared" si="29"/>
        <v>283</v>
      </c>
      <c r="G61" s="4">
        <f t="shared" si="30"/>
        <v>283</v>
      </c>
      <c r="H61" s="4">
        <f>IF(OR($G61="",$I61="",$M61="KONTROL",$M61="KAPSAM_DISI"),"",$G61*$I61)</f>
        <v>4245</v>
      </c>
      <c r="I61" s="4">
        <f>IF(SUMIFS(DEVRE!$AB:$AB,DEVRE!$A:$A,$Q61,DEVRE!$AD:$AD,$X61)=0,"",ROUNDUP(SUMIFS(DEVRE!$AB:$AB,DEVRE!$A:$A,$Q61,DEVRE!$AD:$AD,$X61)*KLEMENS_YEDEK,0))</f>
        <v>15</v>
      </c>
      <c r="J61" s="4" t="str">
        <f t="shared" si="31"/>
        <v>шт</v>
      </c>
      <c r="K61" s="4" t="str">
        <f t="shared" si="32"/>
        <v>EKT</v>
      </c>
      <c r="L61" s="4">
        <f t="shared" si="33"/>
        <v>4245</v>
      </c>
      <c r="M61" s="4" t="str">
        <f t="shared" si="34"/>
        <v>FIYAT_ESKI</v>
      </c>
      <c r="N61" s="4" t="s">
        <v>138</v>
      </c>
      <c r="O61" s="4" t="str">
        <f t="shared" si="35"/>
        <v>EKT2506</v>
      </c>
      <c r="P61" s="5" t="s">
        <v>139</v>
      </c>
      <c r="Q61" s="4" t="str">
        <f t="shared" si="36"/>
        <v>P03</v>
      </c>
      <c r="R61" s="5" t="s">
        <v>136</v>
      </c>
      <c r="S61" s="5" t="s">
        <v>47</v>
      </c>
      <c r="T61" s="4">
        <f>IF(OR($R61="",$I61=""),"",$I61*INDEX(NORM_DK,MATCH($R61,NORM_AD,0)))</f>
        <v>60</v>
      </c>
      <c r="U61" s="4">
        <f>IF(OR($P61="",$I61=""),"",IF(IF(INDEX(FIYAT_ALAN,MATCH($P61,FIYAT_KOD,0))="","",INDEX(FIYAT_ALAN,MATCH($P61,FIYAT_KOD,0)))&lt;&gt;"",$I61*IF(INDEX(FIYAT_ALAN,MATCH($P61,FIYAT_KOD,0))="","",INDEX(FIYAT_ALAN,MATCH($P61,FIYAT_KOD,0))),IF(IF(INDEX(FIYAT_MODUL,MATCH($P61,FIYAT_KOD,0))="","",INDEX(FIYAT_MODUL,MATCH($P61,FIYAT_KOD,0)))&lt;&gt;"",$I61*IF(INDEX(FIYAT_MODUL,MATCH($P61,FIYAT_KOD,0))="","",INDEX(FIYAT_MODUL,MATCH($P61,FIYAT_KOD,0))),IF(IF(INDEX(FIYAT_GENISLIK,MATCH($P61,FIYAT_KOD,0))="","",INDEX(FIYAT_GENISLIK,MATCH($P61,FIYAT_KOD,0)))&lt;&gt;"",$I61*IF(INDEX(FIYAT_GENISLIK,MATCH($P61,FIYAT_KOD,0))="","",INDEX(FIYAT_GENISLIK,MATCH($P61,FIYAT_KOD,0)))/MODUL_GENISLIK_MM,""))))</f>
        <v>5.3142857142857141</v>
      </c>
      <c r="V61" s="4" t="str">
        <f>IF(OR($C61&lt;&gt;"шина",$I61=""),"",$I61*INDEX(FIYAT_KGM,MATCH($P61,FIYAT_KOD,0)))</f>
        <v/>
      </c>
      <c r="W61" s="4">
        <f t="shared" si="37"/>
        <v>4245</v>
      </c>
      <c r="X61" s="5">
        <v>4</v>
      </c>
      <c r="Y61" s="5" t="s">
        <v>137</v>
      </c>
      <c r="Z61" s="4">
        <f>IF($P61="","",MAX(_xlfn.MAXIFS(DEVRE!$AM:$AM,DEVRE!$A:$A,$Q61,DEVRE!$C:$C,$P61),_xlfn.MAXIFS(DEVRE!$AM:$AM,DEVRE!$A:$A,$Q61,DEVRE!$H:$H,$P61)))</f>
        <v>0</v>
      </c>
      <c r="AA61" s="4">
        <f>IF(OR($I61="",$Q61="",$P61=""),"",$I61*INDEX(PANO_ADET,MATCH($Q61,PANO_ID,0)))</f>
        <v>15</v>
      </c>
      <c r="AB61" s="4">
        <f>IF($P61="",0,IF(AND($U61="",COUNTIF(ALAN_TIP_LIST,$C61)&gt;0),1,0))</f>
        <v>0</v>
      </c>
      <c r="AC61" s="4">
        <f>IF(OR($P61="",$C61&lt;&gt;"kontaktör"),0,IF(IF(INDEX(FIYAT_BOBIN,MATCH($P61,FIYAT_KOD,0))="","",INDEX(FIYAT_BOBIN,MATCH($P61,FIYAT_KOD,0)))="",1,0))</f>
        <v>0</v>
      </c>
    </row>
    <row r="62" spans="1:29" x14ac:dyDescent="0.35">
      <c r="A62" s="4">
        <f t="shared" si="25"/>
        <v>61</v>
      </c>
      <c r="B62" s="4" t="str">
        <f t="shared" si="26"/>
        <v>Монтажный материал</v>
      </c>
      <c r="C62" s="5" t="s">
        <v>98</v>
      </c>
      <c r="D62" s="4" t="str">
        <f t="shared" si="27"/>
        <v>MONTAJ-MALZ</v>
      </c>
      <c r="E62" s="4" t="str">
        <f t="shared" si="28"/>
        <v>Монтажный материал</v>
      </c>
      <c r="F62" s="4">
        <f t="shared" si="29"/>
        <v>1</v>
      </c>
      <c r="G62" s="4">
        <f t="shared" si="30"/>
        <v>1</v>
      </c>
      <c r="H62" s="4" t="str">
        <f>IF(OR($G62="",$I62="",$M62="KONTROL",$M62="KAPSAM_DISI"),"",$G62*$I62)</f>
        <v/>
      </c>
      <c r="I62" s="4" t="str">
        <f>IF(MONTAJ_MALZ_ORANI="","",ROUND(SUMIFS($W:$W,$Q:$Q,$Q62)*MONTAJ_MALZ_ORANI,0))</f>
        <v/>
      </c>
      <c r="J62" s="4" t="str">
        <f t="shared" si="31"/>
        <v>тг</v>
      </c>
      <c r="K62" s="4" t="str">
        <f t="shared" si="32"/>
        <v>HESAP</v>
      </c>
      <c r="L62" s="4" t="str">
        <f t="shared" si="33"/>
        <v/>
      </c>
      <c r="M62" s="4" t="str">
        <f t="shared" si="34"/>
        <v>OK</v>
      </c>
      <c r="N62" s="4" t="s">
        <v>99</v>
      </c>
      <c r="O62" s="4" t="str">
        <f t="shared" si="35"/>
        <v>HESAP</v>
      </c>
      <c r="P62" s="5" t="s">
        <v>100</v>
      </c>
      <c r="Q62" s="4" t="str">
        <f t="shared" si="36"/>
        <v>P03</v>
      </c>
      <c r="V62" s="4" t="str">
        <f>IF(OR($C62&lt;&gt;"шина",$I62=""),"",$I62*INDEX(FIYAT_KGM,MATCH($P62,FIYAT_KOD,0)))</f>
        <v/>
      </c>
      <c r="Y62" s="5" t="s">
        <v>101</v>
      </c>
      <c r="Z62" s="4">
        <f>IF($P62="","",MAX(_xlfn.MAXIFS(DEVRE!$AM:$AM,DEVRE!$A:$A,$Q62,DEVRE!$C:$C,$P62),_xlfn.MAXIFS(DEVRE!$AM:$AM,DEVRE!$A:$A,$Q62,DEVRE!$H:$H,$P62)))</f>
        <v>0</v>
      </c>
      <c r="AA62" s="4" t="str">
        <f>IF(OR($I62="",$Q62="",$P62=""),"",$I62*INDEX(PANO_ADET,MATCH($Q62,PANO_ID,0)))</f>
        <v/>
      </c>
      <c r="AB62" s="4">
        <f>IF($P62="",0,IF(AND($U62="",COUNTIF(ALAN_TIP_LIST,$C62)&gt;0),1,0))</f>
        <v>0</v>
      </c>
      <c r="AC62" s="4">
        <f>IF(OR($P62="",$C62&lt;&gt;"kontaktör"),0,IF(IF(INDEX(FIYAT_BOBIN,MATCH($P62,FIYAT_KOD,0))="","",INDEX(FIYAT_BOBIN,MATCH($P62,FIYAT_KOD,0)))="",1,0))</f>
        <v>0</v>
      </c>
    </row>
    <row r="63" spans="1:29" x14ac:dyDescent="0.35">
      <c r="A63" s="4">
        <f t="shared" si="25"/>
        <v>62</v>
      </c>
      <c r="B63" s="4" t="str">
        <f t="shared" si="26"/>
        <v>Монтажная работа</v>
      </c>
      <c r="C63" s="5" t="s">
        <v>102</v>
      </c>
      <c r="D63" s="4" t="str">
        <f t="shared" si="27"/>
        <v>ISCILIK-MONTAJ</v>
      </c>
      <c r="E63" s="4" t="str">
        <f t="shared" si="28"/>
        <v>Монтажная работа</v>
      </c>
      <c r="F63" s="4">
        <f>IF($I63="","",ROUND($I63/DK_SAAT,2))</f>
        <v>5.47</v>
      </c>
      <c r="G63" s="4">
        <f t="shared" si="30"/>
        <v>100</v>
      </c>
      <c r="H63" s="4">
        <f>IF(OR($G63="",$I63="",$M63="KONTROL",$M63="KAPSAM_DISI"),"",$G63*$I63)</f>
        <v>32800</v>
      </c>
      <c r="I63" s="4">
        <f>ROUND((SUMIFS($T:$T,$Q:$Q,$Q63)+INDEX(NORM_DK,MATCH("PABUC_YUKSUK",NORM_AD,0))*(SUMIFS(DEVRE!$AI:$AI,DEVRE!$A:$A,$Q63)+SUMIFS(DEVRE!$AJ:$AJ,DEVRE!$A:$A,$Q63)))*ISCILIK_CARPANI+INDEX(NORM_DK,MATCH("SABIT_AMBALAJ",NORM_AD,0)),0)</f>
        <v>328</v>
      </c>
      <c r="J63" s="4" t="str">
        <f t="shared" si="31"/>
        <v>мин</v>
      </c>
      <c r="K63" s="4" t="str">
        <f t="shared" si="32"/>
        <v>HESAP</v>
      </c>
      <c r="L63" s="4">
        <f t="shared" si="33"/>
        <v>32800</v>
      </c>
      <c r="M63" s="4" t="str">
        <f t="shared" si="34"/>
        <v>OK</v>
      </c>
      <c r="N63" s="4" t="s">
        <v>103</v>
      </c>
      <c r="O63" s="4" t="str">
        <f t="shared" si="35"/>
        <v>HESAP</v>
      </c>
      <c r="P63" s="5" t="s">
        <v>104</v>
      </c>
      <c r="Q63" s="4" t="str">
        <f t="shared" si="36"/>
        <v>P03</v>
      </c>
      <c r="V63" s="4" t="str">
        <f>IF(OR($C63&lt;&gt;"шина",$I63=""),"",$I63*INDEX(FIYAT_KGM,MATCH($P63,FIYAT_KOD,0)))</f>
        <v/>
      </c>
      <c r="Y63" s="5" t="s">
        <v>101</v>
      </c>
      <c r="Z63" s="4">
        <f>IF($P63="","",MAX(_xlfn.MAXIFS(DEVRE!$AM:$AM,DEVRE!$A:$A,$Q63,DEVRE!$C:$C,$P63),_xlfn.MAXIFS(DEVRE!$AM:$AM,DEVRE!$A:$A,$Q63,DEVRE!$H:$H,$P63)))</f>
        <v>0</v>
      </c>
      <c r="AA63" s="4">
        <f>IF(OR($I63="",$Q63="",$P63=""),"",$I63*INDEX(PANO_ADET,MATCH($Q63,PANO_ID,0)))</f>
        <v>328</v>
      </c>
      <c r="AB63" s="4">
        <f>IF($P63="",0,IF(AND($U63="",COUNTIF(ALAN_TIP_LIST,$C63)&gt;0),1,0))</f>
        <v>0</v>
      </c>
      <c r="AC63" s="4">
        <f>IF(OR($P63="",$C63&lt;&gt;"kontaktör"),0,IF(IF(INDEX(FIYAT_BOBIN,MATCH($P63,FIYAT_KOD,0))="","",INDEX(FIYAT_BOBIN,MATCH($P63,FIYAT_KOD,0)))="",1,0))</f>
        <v>0</v>
      </c>
    </row>
    <row r="64" spans="1:29" x14ac:dyDescent="0.35">
      <c r="A64" s="7">
        <f t="shared" si="25"/>
        <v>63</v>
      </c>
      <c r="B64" s="7" t="str">
        <f>"Toplam "&amp;$E49</f>
        <v>Toplam Щит силовой ЩС-1</v>
      </c>
      <c r="H64" s="7">
        <f>SUBTOTAL(9,H50:H63)</f>
        <v>117979.40000000001</v>
      </c>
      <c r="L64" s="7">
        <f>SUBTOTAL(9,L50:L63)</f>
        <v>117979.40000000001</v>
      </c>
    </row>
    <row r="65" spans="1:29" x14ac:dyDescent="0.35">
      <c r="A65" s="2">
        <f t="shared" si="25"/>
        <v>64</v>
      </c>
      <c r="B65" s="2" t="str">
        <f t="shared" ref="B65:B81" si="38">$E65</f>
        <v>Щит силовой ЩС-2</v>
      </c>
      <c r="C65" s="3"/>
      <c r="D65" s="3"/>
      <c r="E65" s="2" t="str">
        <f>INDEX(PANO_TAMAD,MATCH($Q65,PANO_ID,0))</f>
        <v>Щит силовой ЩС-2</v>
      </c>
      <c r="F65" s="3"/>
      <c r="G65" s="3"/>
      <c r="H65" s="3"/>
      <c r="I65" s="2">
        <v>1</v>
      </c>
      <c r="J65" s="2" t="s">
        <v>29</v>
      </c>
      <c r="K65" s="3"/>
      <c r="L65" s="3"/>
      <c r="M65" s="3"/>
      <c r="N65" s="3"/>
      <c r="O65" s="3"/>
      <c r="P65" s="3"/>
      <c r="Q65" s="2" t="s">
        <v>156</v>
      </c>
    </row>
    <row r="66" spans="1:29" x14ac:dyDescent="0.35">
      <c r="A66" s="4">
        <f t="shared" ref="A66:A97" si="39">ROW()-1</f>
        <v>65</v>
      </c>
      <c r="B66" s="4" t="str">
        <f t="shared" si="38"/>
        <v>Met. Щит Щит ЩРв инд (1150х500х180mm) S/A IP31</v>
      </c>
      <c r="C66" s="5" t="s">
        <v>31</v>
      </c>
      <c r="D66" s="4" t="str">
        <f t="shared" ref="D66:D81" si="40">IF($P66="","",IF(INDEX(FIYAT_ARTIKUL,MATCH($P66,FIYAT_KOD,0))="","",INDEX(FIYAT_ARTIKUL,MATCH($P66,FIYAT_KOD,0))))</f>
        <v>713-15052</v>
      </c>
      <c r="E66" s="4" t="str">
        <f t="shared" ref="E66:E81" si="41">IF($P66="","",INDEX(FIYAT_ACK,MATCH($P66,FIYAT_KOD,0)))</f>
        <v>Met. Щит Щит ЩРв инд (1150х500х180mm) S/A IP31</v>
      </c>
      <c r="F66" s="4">
        <f t="shared" ref="F66:F80" si="42">IF($P66="","",IF(INDEX(FIYAT_LISTE,MATCH($P66,FIYAT_KOD,0))="","",INDEX(FIYAT_LISTE,MATCH($P66,FIYAT_KOD,0))))</f>
        <v>27290</v>
      </c>
      <c r="G66" s="4">
        <f t="shared" ref="G66:G81" si="43">IF($P66="","",IF(INDEX(FIYAT_NET,MATCH($P66,FIYAT_KOD,0))="","",INDEX(FIYAT_NET,MATCH($P66,FIYAT_KOD,0))))</f>
        <v>16374</v>
      </c>
      <c r="H66" s="4">
        <f>IF(OR($G66="",$I66="",$M66="KONTROL",$M66="KAPSAM_DISI"),"",$G66*$I66)</f>
        <v>16374</v>
      </c>
      <c r="I66" s="4">
        <v>1</v>
      </c>
      <c r="J66" s="4" t="str">
        <f t="shared" ref="J66:J81" si="44">IF($P66="","",INDEX(FIYAT_BIRIM,MATCH($P66,FIYAT_KOD,0)))</f>
        <v>шт</v>
      </c>
      <c r="K66" s="4" t="str">
        <f t="shared" ref="K66:K81" si="45">IF($P66="","",INDEX(FIYAT_MARKA,MATCH($P66,FIYAT_KOD,0)))</f>
        <v>KAZTEK</v>
      </c>
      <c r="L66" s="4">
        <f t="shared" ref="L66:L81" si="46">IF($H66="","",$H66)</f>
        <v>16374</v>
      </c>
      <c r="M66" s="4" t="str">
        <f t="shared" ref="M66:M81" si="47">IF($P66="","",INDEX(DURUM_LIST,MATCH(MAX(INDEX(DURUM_SEV,MATCH(INDEX(FIYAT_DURUM,MATCH($P66,FIYAT_KOD,0)),DURUM_LIST,0)),IF($S66="",0,INDEX(DURUM_SEV,MATCH($S66,DURUM_LIST,0))),$Z66),DURUM_SEV,0)))</f>
        <v>VARSAYIM</v>
      </c>
      <c r="N66" s="4" t="s">
        <v>157</v>
      </c>
      <c r="O66" s="4" t="str">
        <f t="shared" ref="O66:O81" si="48">IF($P66="","",INDEX(FIYAT_KAYNAK,MATCH($P66,FIYAT_KOD,0)))</f>
        <v>KAZTEK2607</v>
      </c>
      <c r="P66" s="4" t="str">
        <f>INDEX(PANO_KORPUS,MATCH($Q66,PANO_ID,0))</f>
        <v>KAZTEK-713-15052</v>
      </c>
      <c r="Q66" s="4" t="str">
        <f t="shared" ref="Q66:Q81" si="49">$Q65</f>
        <v>P04</v>
      </c>
      <c r="R66" s="5" t="s">
        <v>107</v>
      </c>
      <c r="S66" s="5" t="s">
        <v>54</v>
      </c>
      <c r="T66" s="4">
        <f>IF(OR($R66="",$I66=""),"",$I66*INDEX(NORM_DK,MATCH($R66,NORM_AD,0)))</f>
        <v>30</v>
      </c>
      <c r="U66" s="4" t="str">
        <f>IF(OR($P66="",$I66=""),"",IF(IF(INDEX(FIYAT_ALAN,MATCH($P66,FIYAT_KOD,0))="","",INDEX(FIYAT_ALAN,MATCH($P66,FIYAT_KOD,0)))&lt;&gt;"",$I66*IF(INDEX(FIYAT_ALAN,MATCH($P66,FIYAT_KOD,0))="","",INDEX(FIYAT_ALAN,MATCH($P66,FIYAT_KOD,0))),IF(IF(INDEX(FIYAT_MODUL,MATCH($P66,FIYAT_KOD,0))="","",INDEX(FIYAT_MODUL,MATCH($P66,FIYAT_KOD,0)))&lt;&gt;"",$I66*IF(INDEX(FIYAT_MODUL,MATCH($P66,FIYAT_KOD,0))="","",INDEX(FIYAT_MODUL,MATCH($P66,FIYAT_KOD,0))),IF(IF(INDEX(FIYAT_GENISLIK,MATCH($P66,FIYAT_KOD,0))="","",INDEX(FIYAT_GENISLIK,MATCH($P66,FIYAT_KOD,0)))&lt;&gt;"",$I66*IF(INDEX(FIYAT_GENISLIK,MATCH($P66,FIYAT_KOD,0))="","",INDEX(FIYAT_GENISLIK,MATCH($P66,FIYAT_KOD,0)))/MODUL_GENISLIK_MM,""))))</f>
        <v/>
      </c>
      <c r="V66" s="4" t="str">
        <f>IF(OR($C66&lt;&gt;"шина",$I66=""),"",$I66*INDEX(FIYAT_KGM,MATCH($P66,FIYAT_KOD,0)))</f>
        <v/>
      </c>
      <c r="W66" s="4">
        <f t="shared" ref="W66:W79" si="50">IF($H66="","",$H66)</f>
        <v>16374</v>
      </c>
      <c r="Y66" s="5" t="s">
        <v>34</v>
      </c>
      <c r="Z66" s="4">
        <f>IF($P66="","",MAX(_xlfn.MAXIFS(DEVRE!$AM:$AM,DEVRE!$A:$A,$Q66,DEVRE!$C:$C,$P66),_xlfn.MAXIFS(DEVRE!$AM:$AM,DEVRE!$A:$A,$Q66,DEVRE!$H:$H,$P66)))</f>
        <v>0</v>
      </c>
      <c r="AA66" s="4">
        <f>IF(OR($I66="",$Q66="",$P66=""),"",$I66*INDEX(PANO_ADET,MATCH($Q66,PANO_ID,0)))</f>
        <v>1</v>
      </c>
      <c r="AB66" s="4">
        <f>IF($P66="",0,IF(AND($U66="",COUNTIF(ALAN_TIP_LIST,$C66)&gt;0),1,0))</f>
        <v>0</v>
      </c>
      <c r="AC66" s="4">
        <f>IF(OR($P66="",$C66&lt;&gt;"kontaktör"),0,IF(IF(INDEX(FIYAT_BOBIN,MATCH($P66,FIYAT_KOD,0))="","",INDEX(FIYAT_BOBIN,MATCH($P66,FIYAT_KOD,0)))="",1,0))</f>
        <v>0</v>
      </c>
    </row>
    <row r="67" spans="1:29" x14ac:dyDescent="0.35">
      <c r="A67" s="4">
        <f t="shared" si="39"/>
        <v>66</v>
      </c>
      <c r="B67" s="4" t="str">
        <f t="shared" si="38"/>
        <v>Выключатель нагрузки NXHB-125 3P 63A</v>
      </c>
      <c r="C67" s="5" t="s">
        <v>108</v>
      </c>
      <c r="D67" s="4" t="str">
        <f t="shared" si="40"/>
        <v>193183</v>
      </c>
      <c r="E67" s="4" t="str">
        <f t="shared" si="41"/>
        <v>Выключатель нагрузки NXHB-125 3P 63A</v>
      </c>
      <c r="F67" s="4">
        <f t="shared" si="42"/>
        <v>4217</v>
      </c>
      <c r="G67" s="4">
        <f t="shared" si="43"/>
        <v>2530.1999999999998</v>
      </c>
      <c r="H67" s="4">
        <f>IF(OR($G67="",$I67="",$M67="KONTROL",$M67="KAPSAM_DISI"),"",$G67*$I67)</f>
        <v>2530.1999999999998</v>
      </c>
      <c r="I67" s="4">
        <f>SUMIFS(DEVRE!$T:$T,DEVRE!$A:$A,$Q67,DEVRE!$C:$C,$P67)+SUMIFS(DEVRE!$U:$U,DEVRE!$A:$A,$Q67,DEVRE!$H:$H,$P67)</f>
        <v>1</v>
      </c>
      <c r="J67" s="4" t="str">
        <f t="shared" si="44"/>
        <v>шт</v>
      </c>
      <c r="K67" s="4" t="str">
        <f t="shared" si="45"/>
        <v>CHINT</v>
      </c>
      <c r="L67" s="4">
        <f t="shared" si="46"/>
        <v>2530.1999999999998</v>
      </c>
      <c r="M67" s="4" t="str">
        <f t="shared" si="47"/>
        <v>OK</v>
      </c>
      <c r="N67" s="4" t="s">
        <v>109</v>
      </c>
      <c r="O67" s="4" t="str">
        <f t="shared" si="48"/>
        <v>CHINT2608</v>
      </c>
      <c r="P67" s="5" t="s">
        <v>146</v>
      </c>
      <c r="Q67" s="4" t="str">
        <f t="shared" si="49"/>
        <v>P04</v>
      </c>
      <c r="R67" s="5" t="s">
        <v>111</v>
      </c>
      <c r="T67" s="4">
        <f>IF(OR($R67="",$I67=""),"",$I67*INDEX(NORM_DK,MATCH($R67,NORM_AD,0)))</f>
        <v>45</v>
      </c>
      <c r="U67" s="4">
        <f>IF(OR($P67="",$I67=""),"",IF(IF(INDEX(FIYAT_ALAN,MATCH($P67,FIYAT_KOD,0))="","",INDEX(FIYAT_ALAN,MATCH($P67,FIYAT_KOD,0)))&lt;&gt;"",$I67*IF(INDEX(FIYAT_ALAN,MATCH($P67,FIYAT_KOD,0))="","",INDEX(FIYAT_ALAN,MATCH($P67,FIYAT_KOD,0))),IF(IF(INDEX(FIYAT_MODUL,MATCH($P67,FIYAT_KOD,0))="","",INDEX(FIYAT_MODUL,MATCH($P67,FIYAT_KOD,0)))&lt;&gt;"",$I67*IF(INDEX(FIYAT_MODUL,MATCH($P67,FIYAT_KOD,0))="","",INDEX(FIYAT_MODUL,MATCH($P67,FIYAT_KOD,0))),IF(IF(INDEX(FIYAT_GENISLIK,MATCH($P67,FIYAT_KOD,0))="","",INDEX(FIYAT_GENISLIK,MATCH($P67,FIYAT_KOD,0)))&lt;&gt;"",$I67*IF(INDEX(FIYAT_GENISLIK,MATCH($P67,FIYAT_KOD,0))="","",INDEX(FIYAT_GENISLIK,MATCH($P67,FIYAT_KOD,0)))/MODUL_GENISLIK_MM,""))))</f>
        <v>3</v>
      </c>
      <c r="V67" s="4" t="str">
        <f>IF(OR($C67&lt;&gt;"шина",$I67=""),"",$I67*INDEX(FIYAT_KGM,MATCH($P67,FIYAT_KOD,0)))</f>
        <v/>
      </c>
      <c r="W67" s="4">
        <f t="shared" si="50"/>
        <v>2530.1999999999998</v>
      </c>
      <c r="Y67" s="5" t="s">
        <v>39</v>
      </c>
      <c r="Z67" s="4">
        <f>IF($P67="","",MAX(_xlfn.MAXIFS(DEVRE!$AM:$AM,DEVRE!$A:$A,$Q67,DEVRE!$C:$C,$P67),_xlfn.MAXIFS(DEVRE!$AM:$AM,DEVRE!$A:$A,$Q67,DEVRE!$H:$H,$P67)))</f>
        <v>0</v>
      </c>
      <c r="AA67" s="4">
        <f>IF(OR($I67="",$Q67="",$P67=""),"",$I67*INDEX(PANO_ADET,MATCH($Q67,PANO_ID,0)))</f>
        <v>1</v>
      </c>
      <c r="AB67" s="4">
        <f>IF($P67="",0,IF(AND($U67="",COUNTIF(ALAN_TIP_LIST,$C67)&gt;0),1,0))</f>
        <v>0</v>
      </c>
      <c r="AC67" s="4">
        <f>IF(OR($P67="",$C67&lt;&gt;"kontaktör"),0,IF(IF(INDEX(FIYAT_BOBIN,MATCH($P67,FIYAT_KOD,0))="","",INDEX(FIYAT_BOBIN,MATCH($P67,FIYAT_KOD,0)))="",1,0))</f>
        <v>0</v>
      </c>
    </row>
    <row r="68" spans="1:29" x14ac:dyDescent="0.35">
      <c r="A68" s="4">
        <f t="shared" si="39"/>
        <v>67</v>
      </c>
      <c r="B68" s="4" t="str">
        <f t="shared" si="38"/>
        <v>Авт. выкл. NXB-63 3P 10A 6кА х-ка C</v>
      </c>
      <c r="C68" s="5" t="s">
        <v>47</v>
      </c>
      <c r="D68" s="4" t="str">
        <f t="shared" si="40"/>
        <v>814169</v>
      </c>
      <c r="E68" s="4" t="str">
        <f t="shared" si="41"/>
        <v>Авт. выкл. NXB-63 3P 10A 6кА х-ка C</v>
      </c>
      <c r="F68" s="4">
        <f t="shared" si="42"/>
        <v>5878</v>
      </c>
      <c r="G68" s="4">
        <f t="shared" si="43"/>
        <v>3526.7999999999997</v>
      </c>
      <c r="H68" s="4">
        <f>IF(OR($G68="",$I68="",$M68="KONTROL",$M68="KAPSAM_DISI"),"",$G68*$I68)</f>
        <v>3526.7999999999997</v>
      </c>
      <c r="I68" s="4">
        <f>SUMIFS(DEVRE!$T:$T,DEVRE!$A:$A,$Q68,DEVRE!$C:$C,$P68)+SUMIFS(DEVRE!$U:$U,DEVRE!$A:$A,$Q68,DEVRE!$H:$H,$P68)</f>
        <v>1</v>
      </c>
      <c r="J68" s="4" t="str">
        <f t="shared" si="44"/>
        <v>шт</v>
      </c>
      <c r="K68" s="4" t="str">
        <f t="shared" si="45"/>
        <v>CHINT</v>
      </c>
      <c r="L68" s="4">
        <f t="shared" si="46"/>
        <v>3526.7999999999997</v>
      </c>
      <c r="M68" s="4" t="str">
        <f t="shared" si="47"/>
        <v>VARSAYIM</v>
      </c>
      <c r="N68" s="4" t="s">
        <v>158</v>
      </c>
      <c r="O68" s="4" t="str">
        <f t="shared" si="48"/>
        <v>CHINT2608</v>
      </c>
      <c r="P68" s="5" t="s">
        <v>159</v>
      </c>
      <c r="Q68" s="4" t="str">
        <f t="shared" si="49"/>
        <v>P04</v>
      </c>
      <c r="R68" s="5" t="s">
        <v>50</v>
      </c>
      <c r="T68" s="4">
        <f>IF(OR($R68="",$I68=""),"",$I68*INDEX(NORM_DK,MATCH($R68,NORM_AD,0)))</f>
        <v>8</v>
      </c>
      <c r="U68" s="4">
        <f>IF(OR($P68="",$I68=""),"",IF(IF(INDEX(FIYAT_ALAN,MATCH($P68,FIYAT_KOD,0))="","",INDEX(FIYAT_ALAN,MATCH($P68,FIYAT_KOD,0)))&lt;&gt;"",$I68*IF(INDEX(FIYAT_ALAN,MATCH($P68,FIYAT_KOD,0))="","",INDEX(FIYAT_ALAN,MATCH($P68,FIYAT_KOD,0))),IF(IF(INDEX(FIYAT_MODUL,MATCH($P68,FIYAT_KOD,0))="","",INDEX(FIYAT_MODUL,MATCH($P68,FIYAT_KOD,0)))&lt;&gt;"",$I68*IF(INDEX(FIYAT_MODUL,MATCH($P68,FIYAT_KOD,0))="","",INDEX(FIYAT_MODUL,MATCH($P68,FIYAT_KOD,0))),IF(IF(INDEX(FIYAT_GENISLIK,MATCH($P68,FIYAT_KOD,0))="","",INDEX(FIYAT_GENISLIK,MATCH($P68,FIYAT_KOD,0)))&lt;&gt;"",$I68*IF(INDEX(FIYAT_GENISLIK,MATCH($P68,FIYAT_KOD,0))="","",INDEX(FIYAT_GENISLIK,MATCH($P68,FIYAT_KOD,0)))/MODUL_GENISLIK_MM,""))))</f>
        <v>3</v>
      </c>
      <c r="V68" s="4" t="str">
        <f>IF(OR($C68&lt;&gt;"шина",$I68=""),"",$I68*INDEX(FIYAT_KGM,MATCH($P68,FIYAT_KOD,0)))</f>
        <v/>
      </c>
      <c r="W68" s="4">
        <f t="shared" si="50"/>
        <v>3526.7999999999997</v>
      </c>
      <c r="Y68" s="5" t="s">
        <v>39</v>
      </c>
      <c r="Z68" s="4">
        <f>IF($P68="","",MAX(_xlfn.MAXIFS(DEVRE!$AM:$AM,DEVRE!$A:$A,$Q68,DEVRE!$C:$C,$P68),_xlfn.MAXIFS(DEVRE!$AM:$AM,DEVRE!$A:$A,$Q68,DEVRE!$H:$H,$P68)))</f>
        <v>3</v>
      </c>
      <c r="AA68" s="4">
        <f>IF(OR($I68="",$Q68="",$P68=""),"",$I68*INDEX(PANO_ADET,MATCH($Q68,PANO_ID,0)))</f>
        <v>1</v>
      </c>
      <c r="AB68" s="4">
        <f>IF($P68="",0,IF(AND($U68="",COUNTIF(ALAN_TIP_LIST,$C68)&gt;0),1,0))</f>
        <v>0</v>
      </c>
      <c r="AC68" s="4">
        <f>IF(OR($P68="",$C68&lt;&gt;"kontaktör"),0,IF(IF(INDEX(FIYAT_BOBIN,MATCH($P68,FIYAT_KOD,0))="","",INDEX(FIYAT_BOBIN,MATCH($P68,FIYAT_KOD,0)))="",1,0))</f>
        <v>0</v>
      </c>
    </row>
    <row r="69" spans="1:29" x14ac:dyDescent="0.35">
      <c r="A69" s="4">
        <f t="shared" si="39"/>
        <v>68</v>
      </c>
      <c r="B69" s="4" t="str">
        <f t="shared" si="38"/>
        <v>Диф. авт. выкл. NXBLE-63 2P C16 30mA тип AC 6kA</v>
      </c>
      <c r="C69" s="5" t="s">
        <v>147</v>
      </c>
      <c r="D69" s="4" t="str">
        <f t="shared" si="40"/>
        <v>819977</v>
      </c>
      <c r="E69" s="4" t="str">
        <f t="shared" si="41"/>
        <v>Диф. авт. выкл. NXBLE-63 2P C16 30mA тип AC 6kA</v>
      </c>
      <c r="F69" s="4">
        <f t="shared" si="42"/>
        <v>5934</v>
      </c>
      <c r="G69" s="4">
        <f t="shared" si="43"/>
        <v>3560.4</v>
      </c>
      <c r="H69" s="4">
        <f>IF(OR($G69="",$I69="",$M69="KONTROL",$M69="KAPSAM_DISI"),"",$G69*$I69)</f>
        <v>64087.200000000004</v>
      </c>
      <c r="I69" s="4">
        <f>SUMIFS(DEVRE!$T:$T,DEVRE!$A:$A,$Q69,DEVRE!$C:$C,$P69)+SUMIFS(DEVRE!$U:$U,DEVRE!$A:$A,$Q69,DEVRE!$H:$H,$P69)</f>
        <v>18</v>
      </c>
      <c r="J69" s="4" t="str">
        <f t="shared" si="44"/>
        <v>шт</v>
      </c>
      <c r="K69" s="4" t="str">
        <f t="shared" si="45"/>
        <v>CHINT</v>
      </c>
      <c r="L69" s="4">
        <f t="shared" si="46"/>
        <v>64087.200000000004</v>
      </c>
      <c r="M69" s="4" t="str">
        <f t="shared" si="47"/>
        <v>OK</v>
      </c>
      <c r="N69" s="4" t="s">
        <v>160</v>
      </c>
      <c r="O69" s="4" t="str">
        <f t="shared" si="48"/>
        <v>CHINT2608</v>
      </c>
      <c r="P69" s="5" t="s">
        <v>149</v>
      </c>
      <c r="Q69" s="4" t="str">
        <f t="shared" si="49"/>
        <v>P04</v>
      </c>
      <c r="R69" s="5" t="s">
        <v>150</v>
      </c>
      <c r="T69" s="4">
        <f>IF(OR($R69="",$I69=""),"",$I69*INDEX(NORM_DK,MATCH($R69,NORM_AD,0)))</f>
        <v>0</v>
      </c>
      <c r="U69" s="4">
        <f>IF(OR($P69="",$I69=""),"",IF(IF(INDEX(FIYAT_ALAN,MATCH($P69,FIYAT_KOD,0))="","",INDEX(FIYAT_ALAN,MATCH($P69,FIYAT_KOD,0)))&lt;&gt;"",$I69*IF(INDEX(FIYAT_ALAN,MATCH($P69,FIYAT_KOD,0))="","",INDEX(FIYAT_ALAN,MATCH($P69,FIYAT_KOD,0))),IF(IF(INDEX(FIYAT_MODUL,MATCH($P69,FIYAT_KOD,0))="","",INDEX(FIYAT_MODUL,MATCH($P69,FIYAT_KOD,0)))&lt;&gt;"",$I69*IF(INDEX(FIYAT_MODUL,MATCH($P69,FIYAT_KOD,0))="","",INDEX(FIYAT_MODUL,MATCH($P69,FIYAT_KOD,0))),IF(IF(INDEX(FIYAT_GENISLIK,MATCH($P69,FIYAT_KOD,0))="","",INDEX(FIYAT_GENISLIK,MATCH($P69,FIYAT_KOD,0)))&lt;&gt;"",$I69*IF(INDEX(FIYAT_GENISLIK,MATCH($P69,FIYAT_KOD,0))="","",INDEX(FIYAT_GENISLIK,MATCH($P69,FIYAT_KOD,0)))/MODUL_GENISLIK_MM,""))))</f>
        <v>36</v>
      </c>
      <c r="V69" s="4" t="str">
        <f>IF(OR($C69&lt;&gt;"шина",$I69=""),"",$I69*INDEX(FIYAT_KGM,MATCH($P69,FIYAT_KOD,0)))</f>
        <v/>
      </c>
      <c r="W69" s="4">
        <f t="shared" si="50"/>
        <v>64087.200000000004</v>
      </c>
      <c r="Y69" s="5" t="s">
        <v>39</v>
      </c>
      <c r="Z69" s="4">
        <f>IF($P69="","",MAX(_xlfn.MAXIFS(DEVRE!$AM:$AM,DEVRE!$A:$A,$Q69,DEVRE!$C:$C,$P69),_xlfn.MAXIFS(DEVRE!$AM:$AM,DEVRE!$A:$A,$Q69,DEVRE!$H:$H,$P69)))</f>
        <v>0</v>
      </c>
      <c r="AA69" s="4">
        <f>IF(OR($I69="",$Q69="",$P69=""),"",$I69*INDEX(PANO_ADET,MATCH($Q69,PANO_ID,0)))</f>
        <v>18</v>
      </c>
      <c r="AB69" s="4">
        <f>IF($P69="",0,IF(AND($U69="",COUNTIF(ALAN_TIP_LIST,$C69)&gt;0),1,0))</f>
        <v>0</v>
      </c>
      <c r="AC69" s="4">
        <f>IF(OR($P69="",$C69&lt;&gt;"kontaktör"),0,IF(IF(INDEX(FIYAT_BOBIN,MATCH($P69,FIYAT_KOD,0))="","",INDEX(FIYAT_BOBIN,MATCH($P69,FIYAT_KOD,0)))="",1,0))</f>
        <v>0</v>
      </c>
    </row>
    <row r="70" spans="1:29" x14ac:dyDescent="0.35">
      <c r="A70" s="4">
        <f t="shared" si="39"/>
        <v>69</v>
      </c>
      <c r="B70" s="4" t="str">
        <f t="shared" si="38"/>
        <v>Шина соединительная типа PIN 2P, 63А, L=1000мм</v>
      </c>
      <c r="C70" s="5" t="s">
        <v>120</v>
      </c>
      <c r="D70" s="4" t="str">
        <f t="shared" si="40"/>
        <v>811001</v>
      </c>
      <c r="E70" s="4" t="str">
        <f t="shared" si="41"/>
        <v>Шина соединительная типа PIN 2P, 63А, L=1000мм</v>
      </c>
      <c r="F70" s="4">
        <f t="shared" si="42"/>
        <v>8819</v>
      </c>
      <c r="G70" s="4">
        <f t="shared" si="43"/>
        <v>5291.4</v>
      </c>
      <c r="H70" s="4" t="str">
        <f>IF(OR($G70="",$I70="",$M70="KONTROL",$M70="KAPSAM_DISI"),"",$G70*$I70)</f>
        <v/>
      </c>
      <c r="I70" s="4">
        <f>IF(COUNTIFS(DEVRE!$A:$A,$Q70,DEVRE!$D:$D,"CIKIS",DEVRE!$AO:$AO,$X70,DEVRE!$Q:$Q,"&lt;="&amp;TARAK_MAX_A,DEVRE!$P:$P,"OTO")+COUNTIFS(DEVRE!$A:$A,$Q70,DEVRE!$D:$D,"CIKIS",DEVRE!$AO:$AO,$X70,DEVRE!$Q:$Q,"&lt;="&amp;TARAK_MAX_A,DEVRE!$P:$P,"DİF")&lt;TARAK_MIN_CIHAZ,"",ROUNDUP((SUMIFS(DEVRE!$AH:$AH,DEVRE!$A:$A,$Q70,DEVRE!$D:$D,"CIKIS",DEVRE!$AO:$AO,$X70,DEVRE!$Q:$Q,"&lt;="&amp;TARAK_MAX_A,DEVRE!$P:$P,"OTO")+SUMIFS(DEVRE!$AH:$AH,DEVRE!$A:$A,$Q70,DEVRE!$D:$D,"CIKIS",DEVRE!$AO:$AO,$X70,DEVRE!$Q:$Q,"&lt;="&amp;TARAK_MAX_A,DEVRE!$P:$P,"DİF"))/TARAK_MOD_ADET,0))</f>
        <v>3</v>
      </c>
      <c r="J70" s="4" t="str">
        <f t="shared" si="44"/>
        <v>шт</v>
      </c>
      <c r="K70" s="4" t="str">
        <f t="shared" si="45"/>
        <v>CHINT</v>
      </c>
      <c r="L70" s="4" t="str">
        <f t="shared" si="46"/>
        <v/>
      </c>
      <c r="M70" s="4" t="str">
        <f t="shared" si="47"/>
        <v>KONTROL</v>
      </c>
      <c r="N70" s="4" t="s">
        <v>151</v>
      </c>
      <c r="O70" s="4" t="str">
        <f t="shared" si="48"/>
        <v>CHINT2608</v>
      </c>
      <c r="P70" s="5" t="s">
        <v>152</v>
      </c>
      <c r="Q70" s="4" t="str">
        <f t="shared" si="49"/>
        <v>P04</v>
      </c>
      <c r="R70" s="5" t="s">
        <v>123</v>
      </c>
      <c r="S70" s="5" t="s">
        <v>124</v>
      </c>
      <c r="T70" s="4">
        <f>IF(OR($R70="",$I70=""),"",$I70*INDEX(NORM_DK,MATCH($R70,NORM_AD,0)))</f>
        <v>30</v>
      </c>
      <c r="U70" s="4" t="str">
        <f>IF(OR($P70="",$I70=""),"",IF(IF(INDEX(FIYAT_ALAN,MATCH($P70,FIYAT_KOD,0))="","",INDEX(FIYAT_ALAN,MATCH($P70,FIYAT_KOD,0)))&lt;&gt;"",$I70*IF(INDEX(FIYAT_ALAN,MATCH($P70,FIYAT_KOD,0))="","",INDEX(FIYAT_ALAN,MATCH($P70,FIYAT_KOD,0))),IF(IF(INDEX(FIYAT_MODUL,MATCH($P70,FIYAT_KOD,0))="","",INDEX(FIYAT_MODUL,MATCH($P70,FIYAT_KOD,0)))&lt;&gt;"",$I70*IF(INDEX(FIYAT_MODUL,MATCH($P70,FIYAT_KOD,0))="","",INDEX(FIYAT_MODUL,MATCH($P70,FIYAT_KOD,0))),IF(IF(INDEX(FIYAT_GENISLIK,MATCH($P70,FIYAT_KOD,0))="","",INDEX(FIYAT_GENISLIK,MATCH($P70,FIYAT_KOD,0)))&lt;&gt;"",$I70*IF(INDEX(FIYAT_GENISLIK,MATCH($P70,FIYAT_KOD,0))="","",INDEX(FIYAT_GENISLIK,MATCH($P70,FIYAT_KOD,0)))/MODUL_GENISLIK_MM,""))))</f>
        <v/>
      </c>
      <c r="V70" s="4" t="str">
        <f>IF(OR($C70&lt;&gt;"шина",$I70=""),"",$I70*INDEX(FIYAT_KGM,MATCH($P70,FIYAT_KOD,0)))</f>
        <v/>
      </c>
      <c r="W70" s="4" t="str">
        <f t="shared" si="50"/>
        <v/>
      </c>
      <c r="X70" s="5" t="s">
        <v>153</v>
      </c>
      <c r="Y70" s="5" t="s">
        <v>126</v>
      </c>
      <c r="Z70" s="4">
        <f>IF($P70="","",MAX(_xlfn.MAXIFS(DEVRE!$AM:$AM,DEVRE!$A:$A,$Q70,DEVRE!$C:$C,$P70),_xlfn.MAXIFS(DEVRE!$AM:$AM,DEVRE!$A:$A,$Q70,DEVRE!$H:$H,$P70)))</f>
        <v>0</v>
      </c>
      <c r="AA70" s="4">
        <f>IF(OR($I70="",$Q70="",$P70=""),"",$I70*INDEX(PANO_ADET,MATCH($Q70,PANO_ID,0)))</f>
        <v>3</v>
      </c>
      <c r="AB70" s="4">
        <f>IF($P70="",0,IF(AND($U70="",COUNTIF(ALAN_TIP_LIST,$C70)&gt;0),1,0))</f>
        <v>0</v>
      </c>
      <c r="AC70" s="4">
        <f>IF(OR($P70="",$C70&lt;&gt;"kontaktör"),0,IF(IF(INDEX(FIYAT_BOBIN,MATCH($P70,FIYAT_KOD,0))="","",INDEX(FIYAT_BOBIN,MATCH($P70,FIYAT_KOD,0)))="",1,0))</f>
        <v>0</v>
      </c>
    </row>
    <row r="71" spans="1:29" x14ac:dyDescent="0.35">
      <c r="A71" s="4">
        <f t="shared" si="39"/>
        <v>70</v>
      </c>
      <c r="B71" s="4" t="str">
        <f t="shared" si="38"/>
        <v/>
      </c>
      <c r="C71" s="5" t="s">
        <v>51</v>
      </c>
      <c r="D71" s="4" t="str">
        <f t="shared" si="40"/>
        <v/>
      </c>
      <c r="E71" s="4" t="str">
        <f t="shared" si="41"/>
        <v/>
      </c>
      <c r="F71" s="4" t="str">
        <f t="shared" si="42"/>
        <v/>
      </c>
      <c r="G71" s="4" t="str">
        <f t="shared" si="43"/>
        <v/>
      </c>
      <c r="H71" s="4" t="str">
        <f>IF(OR($G71="",$I71="",$M71="KONTROL",$M71="KAPSAM_DISI"),"",$G71*$I71)</f>
        <v/>
      </c>
      <c r="I71" s="4">
        <f>IF(INDEX(PANO_BARA_GEREK,MATCH($Q71,PANO_ID,0))="HAYIR",2,"")</f>
        <v>2</v>
      </c>
      <c r="J71" s="4" t="str">
        <f t="shared" si="44"/>
        <v/>
      </c>
      <c r="K71" s="4" t="str">
        <f t="shared" si="45"/>
        <v/>
      </c>
      <c r="L71" s="4" t="str">
        <f t="shared" si="46"/>
        <v/>
      </c>
      <c r="M71" s="4" t="str">
        <f t="shared" si="47"/>
        <v/>
      </c>
      <c r="N71" s="4" t="s">
        <v>75</v>
      </c>
      <c r="O71" s="4" t="str">
        <f t="shared" si="48"/>
        <v/>
      </c>
      <c r="P71" s="4" t="str">
        <f>IF(NOTR_BARA_KOD="","",NOTR_BARA_KOD)</f>
        <v/>
      </c>
      <c r="Q71" s="4" t="str">
        <f t="shared" si="49"/>
        <v>P04</v>
      </c>
      <c r="S71" s="5" t="s">
        <v>47</v>
      </c>
      <c r="T71" s="4" t="str">
        <f>IF(OR($R71="",$I71=""),"",$I71*INDEX(NORM_DK,MATCH($R71,NORM_AD,0)))</f>
        <v/>
      </c>
      <c r="U71" s="4" t="str">
        <f>IF(OR($P71="",$I71=""),"",IF(IF(INDEX(FIYAT_ALAN,MATCH($P71,FIYAT_KOD,0))="","",INDEX(FIYAT_ALAN,MATCH($P71,FIYAT_KOD,0)))&lt;&gt;"",$I71*IF(INDEX(FIYAT_ALAN,MATCH($P71,FIYAT_KOD,0))="","",INDEX(FIYAT_ALAN,MATCH($P71,FIYAT_KOD,0))),IF(IF(INDEX(FIYAT_MODUL,MATCH($P71,FIYAT_KOD,0))="","",INDEX(FIYAT_MODUL,MATCH($P71,FIYAT_KOD,0)))&lt;&gt;"",$I71*IF(INDEX(FIYAT_MODUL,MATCH($P71,FIYAT_KOD,0))="","",INDEX(FIYAT_MODUL,MATCH($P71,FIYAT_KOD,0))),IF(IF(INDEX(FIYAT_GENISLIK,MATCH($P71,FIYAT_KOD,0))="","",INDEX(FIYAT_GENISLIK,MATCH($P71,FIYAT_KOD,0)))&lt;&gt;"",$I71*IF(INDEX(FIYAT_GENISLIK,MATCH($P71,FIYAT_KOD,0))="","",INDEX(FIYAT_GENISLIK,MATCH($P71,FIYAT_KOD,0)))/MODUL_GENISLIK_MM,""))))</f>
        <v/>
      </c>
      <c r="V71" s="4" t="str">
        <f>IF(OR($C71&lt;&gt;"шина",$I71=""),"",$I71*INDEX(FIYAT_KGM,MATCH($P71,FIYAT_KOD,0)))</f>
        <v/>
      </c>
      <c r="W71" s="4" t="str">
        <f t="shared" si="50"/>
        <v/>
      </c>
      <c r="Y71" s="5" t="s">
        <v>76</v>
      </c>
      <c r="Z71" s="4" t="str">
        <f>IF($P71="","",MAX(_xlfn.MAXIFS(DEVRE!$AM:$AM,DEVRE!$A:$A,$Q71,DEVRE!$C:$C,$P71),_xlfn.MAXIFS(DEVRE!$AM:$AM,DEVRE!$A:$A,$Q71,DEVRE!$H:$H,$P71)))</f>
        <v/>
      </c>
      <c r="AA71" s="4" t="str">
        <f>IF(OR($I71="",$Q71="",$P71=""),"",$I71*INDEX(PANO_ADET,MATCH($Q71,PANO_ID,0)))</f>
        <v/>
      </c>
      <c r="AB71" s="4">
        <f>IF($P71="",0,IF(AND($U71="",COUNTIF(ALAN_TIP_LIST,$C71)&gt;0),1,0))</f>
        <v>0</v>
      </c>
      <c r="AC71" s="4">
        <f>IF(OR($P71="",$C71&lt;&gt;"kontaktör"),0,IF(IF(INDEX(FIYAT_BOBIN,MATCH($P71,FIYAT_KOD,0))="","",INDEX(FIYAT_BOBIN,MATCH($P71,FIYAT_KOD,0)))="",1,0))</f>
        <v>0</v>
      </c>
    </row>
    <row r="72" spans="1:29" x14ac:dyDescent="0.35">
      <c r="A72" s="4">
        <f t="shared" si="39"/>
        <v>71</v>
      </c>
      <c r="B72" s="4" t="str">
        <f t="shared" si="38"/>
        <v/>
      </c>
      <c r="C72" s="5" t="s">
        <v>77</v>
      </c>
      <c r="D72" s="4" t="str">
        <f t="shared" si="40"/>
        <v/>
      </c>
      <c r="E72" s="4" t="str">
        <f t="shared" si="41"/>
        <v/>
      </c>
      <c r="F72" s="4" t="str">
        <f t="shared" si="42"/>
        <v/>
      </c>
      <c r="G72" s="4" t="str">
        <f t="shared" si="43"/>
        <v/>
      </c>
      <c r="H72" s="4" t="str">
        <f>IF(OR($G72="",$I72="",$M72="KONTROL",$M72="KAPSAM_DISI"),"",$G72*$I72)</f>
        <v/>
      </c>
      <c r="I72" s="4" t="str">
        <f>INDEX(PANO_DIN_M,MATCH($Q72,PANO_ID,0))</f>
        <v/>
      </c>
      <c r="J72" s="4" t="str">
        <f t="shared" si="44"/>
        <v/>
      </c>
      <c r="K72" s="4" t="str">
        <f t="shared" si="45"/>
        <v/>
      </c>
      <c r="L72" s="4" t="str">
        <f t="shared" si="46"/>
        <v/>
      </c>
      <c r="M72" s="4" t="str">
        <f t="shared" si="47"/>
        <v/>
      </c>
      <c r="N72" s="4" t="s">
        <v>78</v>
      </c>
      <c r="O72" s="4" t="str">
        <f t="shared" si="48"/>
        <v/>
      </c>
      <c r="P72" s="4" t="str">
        <f>IF(DINRAY_KOD="","",DINRAY_KOD)</f>
        <v/>
      </c>
      <c r="Q72" s="4" t="str">
        <f t="shared" si="49"/>
        <v>P04</v>
      </c>
      <c r="R72" s="5" t="s">
        <v>79</v>
      </c>
      <c r="S72" s="5" t="s">
        <v>47</v>
      </c>
      <c r="T72" s="4" t="str">
        <f>IF(OR($R72="",$I72=""),"",$I72*INDEX(NORM_DK,MATCH($R72,NORM_AD,0)))</f>
        <v/>
      </c>
      <c r="U72" s="4" t="str">
        <f>IF(OR($P72="",$I72=""),"",IF(IF(INDEX(FIYAT_ALAN,MATCH($P72,FIYAT_KOD,0))="","",INDEX(FIYAT_ALAN,MATCH($P72,FIYAT_KOD,0)))&lt;&gt;"",$I72*IF(INDEX(FIYAT_ALAN,MATCH($P72,FIYAT_KOD,0))="","",INDEX(FIYAT_ALAN,MATCH($P72,FIYAT_KOD,0))),IF(IF(INDEX(FIYAT_MODUL,MATCH($P72,FIYAT_KOD,0))="","",INDEX(FIYAT_MODUL,MATCH($P72,FIYAT_KOD,0)))&lt;&gt;"",$I72*IF(INDEX(FIYAT_MODUL,MATCH($P72,FIYAT_KOD,0))="","",INDEX(FIYAT_MODUL,MATCH($P72,FIYAT_KOD,0))),IF(IF(INDEX(FIYAT_GENISLIK,MATCH($P72,FIYAT_KOD,0))="","",INDEX(FIYAT_GENISLIK,MATCH($P72,FIYAT_KOD,0)))&lt;&gt;"",$I72*IF(INDEX(FIYAT_GENISLIK,MATCH($P72,FIYAT_KOD,0))="","",INDEX(FIYAT_GENISLIK,MATCH($P72,FIYAT_KOD,0)))/MODUL_GENISLIK_MM,""))))</f>
        <v/>
      </c>
      <c r="V72" s="4" t="str">
        <f>IF(OR($C72&lt;&gt;"шина",$I72=""),"",$I72*INDEX(FIYAT_KGM,MATCH($P72,FIYAT_KOD,0)))</f>
        <v/>
      </c>
      <c r="W72" s="4" t="str">
        <f t="shared" si="50"/>
        <v/>
      </c>
      <c r="Y72" s="5" t="s">
        <v>80</v>
      </c>
      <c r="Z72" s="4" t="str">
        <f>IF($P72="","",MAX(_xlfn.MAXIFS(DEVRE!$AM:$AM,DEVRE!$A:$A,$Q72,DEVRE!$C:$C,$P72),_xlfn.MAXIFS(DEVRE!$AM:$AM,DEVRE!$A:$A,$Q72,DEVRE!$H:$H,$P72)))</f>
        <v/>
      </c>
      <c r="AA72" s="4" t="str">
        <f>IF(OR($I72="",$Q72="",$P72=""),"",$I72*INDEX(PANO_ADET,MATCH($Q72,PANO_ID,0)))</f>
        <v/>
      </c>
      <c r="AB72" s="4">
        <f>IF($P72="",0,IF(AND($U72="",COUNTIF(ALAN_TIP_LIST,$C72)&gt;0),1,0))</f>
        <v>0</v>
      </c>
      <c r="AC72" s="4">
        <f>IF(OR($P72="",$C72&lt;&gt;"kontaktör"),0,IF(IF(INDEX(FIYAT_BOBIN,MATCH($P72,FIYAT_KOD,0))="","",INDEX(FIYAT_BOBIN,MATCH($P72,FIYAT_KOD,0)))="",1,0))</f>
        <v>0</v>
      </c>
    </row>
    <row r="73" spans="1:29" x14ac:dyDescent="0.35">
      <c r="A73" s="4">
        <f t="shared" si="39"/>
        <v>72</v>
      </c>
      <c r="B73" s="4" t="str">
        <f t="shared" si="38"/>
        <v/>
      </c>
      <c r="C73" s="5" t="s">
        <v>81</v>
      </c>
      <c r="D73" s="4" t="str">
        <f t="shared" si="40"/>
        <v/>
      </c>
      <c r="E73" s="4" t="str">
        <f t="shared" si="41"/>
        <v/>
      </c>
      <c r="F73" s="4" t="str">
        <f t="shared" si="42"/>
        <v/>
      </c>
      <c r="G73" s="4" t="str">
        <f t="shared" si="43"/>
        <v/>
      </c>
      <c r="H73" s="4" t="str">
        <f>IF(OR($G73="",$I73="",$M73="KONTROL",$M73="KAPSAM_DISI"),"",$G73*$I73)</f>
        <v/>
      </c>
      <c r="I73" s="4" t="str">
        <f>INDEX(PANO_KANAL_M,MATCH($Q73,PANO_ID,0))</f>
        <v/>
      </c>
      <c r="J73" s="4" t="str">
        <f t="shared" si="44"/>
        <v/>
      </c>
      <c r="K73" s="4" t="str">
        <f t="shared" si="45"/>
        <v/>
      </c>
      <c r="L73" s="4" t="str">
        <f t="shared" si="46"/>
        <v/>
      </c>
      <c r="M73" s="4" t="str">
        <f t="shared" si="47"/>
        <v/>
      </c>
      <c r="N73" s="4" t="s">
        <v>82</v>
      </c>
      <c r="O73" s="4" t="str">
        <f t="shared" si="48"/>
        <v/>
      </c>
      <c r="P73" s="4" t="str">
        <f>INDEX(PANO_KANAL_KOD,MATCH($Q73,PANO_ID,0))</f>
        <v/>
      </c>
      <c r="Q73" s="4" t="str">
        <f t="shared" si="49"/>
        <v>P04</v>
      </c>
      <c r="R73" s="5" t="s">
        <v>83</v>
      </c>
      <c r="S73" s="5" t="s">
        <v>84</v>
      </c>
      <c r="T73" s="4" t="str">
        <f>IF(OR($R73="",$I73=""),"",$I73*INDEX(NORM_DK,MATCH($R73,NORM_AD,0)))</f>
        <v/>
      </c>
      <c r="U73" s="4" t="str">
        <f>IF(OR($P73="",$I73=""),"",IF(IF(INDEX(FIYAT_ALAN,MATCH($P73,FIYAT_KOD,0))="","",INDEX(FIYAT_ALAN,MATCH($P73,FIYAT_KOD,0)))&lt;&gt;"",$I73*IF(INDEX(FIYAT_ALAN,MATCH($P73,FIYAT_KOD,0))="","",INDEX(FIYAT_ALAN,MATCH($P73,FIYAT_KOD,0))),IF(IF(INDEX(FIYAT_MODUL,MATCH($P73,FIYAT_KOD,0))="","",INDEX(FIYAT_MODUL,MATCH($P73,FIYAT_KOD,0)))&lt;&gt;"",$I73*IF(INDEX(FIYAT_MODUL,MATCH($P73,FIYAT_KOD,0))="","",INDEX(FIYAT_MODUL,MATCH($P73,FIYAT_KOD,0))),IF(IF(INDEX(FIYAT_GENISLIK,MATCH($P73,FIYAT_KOD,0))="","",INDEX(FIYAT_GENISLIK,MATCH($P73,FIYAT_KOD,0)))&lt;&gt;"",$I73*IF(INDEX(FIYAT_GENISLIK,MATCH($P73,FIYAT_KOD,0))="","",INDEX(FIYAT_GENISLIK,MATCH($P73,FIYAT_KOD,0)))/MODUL_GENISLIK_MM,""))))</f>
        <v/>
      </c>
      <c r="V73" s="4" t="str">
        <f>IF(OR($C73&lt;&gt;"шина",$I73=""),"",$I73*INDEX(FIYAT_KGM,MATCH($P73,FIYAT_KOD,0)))</f>
        <v/>
      </c>
      <c r="W73" s="4" t="str">
        <f t="shared" si="50"/>
        <v/>
      </c>
      <c r="Y73" s="5" t="s">
        <v>85</v>
      </c>
      <c r="Z73" s="4" t="str">
        <f>IF($P73="","",MAX(_xlfn.MAXIFS(DEVRE!$AM:$AM,DEVRE!$A:$A,$Q73,DEVRE!$C:$C,$P73),_xlfn.MAXIFS(DEVRE!$AM:$AM,DEVRE!$A:$A,$Q73,DEVRE!$H:$H,$P73)))</f>
        <v/>
      </c>
      <c r="AA73" s="4" t="str">
        <f>IF(OR($I73="",$Q73="",$P73=""),"",$I73*INDEX(PANO_ADET,MATCH($Q73,PANO_ID,0)))</f>
        <v/>
      </c>
      <c r="AB73" s="4">
        <f>IF($P73="",0,IF(AND($U73="",COUNTIF(ALAN_TIP_LIST,$C73)&gt;0),1,0))</f>
        <v>0</v>
      </c>
      <c r="AC73" s="4">
        <f>IF(OR($P73="",$C73&lt;&gt;"kontaktör"),0,IF(IF(INDEX(FIYAT_BOBIN,MATCH($P73,FIYAT_KOD,0))="","",INDEX(FIYAT_BOBIN,MATCH($P73,FIYAT_KOD,0)))="",1,0))</f>
        <v>0</v>
      </c>
    </row>
    <row r="74" spans="1:29" x14ac:dyDescent="0.35">
      <c r="A74" s="4">
        <f t="shared" si="39"/>
        <v>73</v>
      </c>
      <c r="B74" s="4" t="str">
        <f t="shared" si="38"/>
        <v/>
      </c>
      <c r="C74" s="5" t="s">
        <v>81</v>
      </c>
      <c r="D74" s="4" t="str">
        <f t="shared" si="40"/>
        <v/>
      </c>
      <c r="E74" s="4" t="str">
        <f t="shared" si="41"/>
        <v/>
      </c>
      <c r="F74" s="4" t="str">
        <f t="shared" si="42"/>
        <v/>
      </c>
      <c r="G74" s="4" t="str">
        <f t="shared" si="43"/>
        <v/>
      </c>
      <c r="H74" s="4" t="str">
        <f>IF(OR($G74="",$I74="",$M74="KONTROL",$M74="KAPSAM_DISI"),"",$G74*$I74)</f>
        <v/>
      </c>
      <c r="I74" s="4" t="str">
        <f>INDEX(PANO_KANAL_M,MATCH($Q74,PANO_ID,0))</f>
        <v/>
      </c>
      <c r="J74" s="4" t="str">
        <f t="shared" si="44"/>
        <v/>
      </c>
      <c r="K74" s="4" t="str">
        <f t="shared" si="45"/>
        <v/>
      </c>
      <c r="L74" s="4" t="str">
        <f t="shared" si="46"/>
        <v/>
      </c>
      <c r="M74" s="4" t="str">
        <f t="shared" si="47"/>
        <v/>
      </c>
      <c r="N74" s="4" t="s">
        <v>86</v>
      </c>
      <c r="O74" s="4" t="str">
        <f t="shared" si="48"/>
        <v/>
      </c>
      <c r="P74" s="4" t="str">
        <f>INDEX(PANO_KAPAK_KOD,MATCH($Q74,PANO_ID,0))</f>
        <v/>
      </c>
      <c r="Q74" s="4" t="str">
        <f t="shared" si="49"/>
        <v>P04</v>
      </c>
      <c r="S74" s="5" t="s">
        <v>84</v>
      </c>
      <c r="T74" s="4" t="str">
        <f>IF(OR($R74="",$I74=""),"",$I74*INDEX(NORM_DK,MATCH($R74,NORM_AD,0)))</f>
        <v/>
      </c>
      <c r="U74" s="4" t="str">
        <f>IF(OR($P74="",$I74=""),"",IF(IF(INDEX(FIYAT_ALAN,MATCH($P74,FIYAT_KOD,0))="","",INDEX(FIYAT_ALAN,MATCH($P74,FIYAT_KOD,0)))&lt;&gt;"",$I74*IF(INDEX(FIYAT_ALAN,MATCH($P74,FIYAT_KOD,0))="","",INDEX(FIYAT_ALAN,MATCH($P74,FIYAT_KOD,0))),IF(IF(INDEX(FIYAT_MODUL,MATCH($P74,FIYAT_KOD,0))="","",INDEX(FIYAT_MODUL,MATCH($P74,FIYAT_KOD,0)))&lt;&gt;"",$I74*IF(INDEX(FIYAT_MODUL,MATCH($P74,FIYAT_KOD,0))="","",INDEX(FIYAT_MODUL,MATCH($P74,FIYAT_KOD,0))),IF(IF(INDEX(FIYAT_GENISLIK,MATCH($P74,FIYAT_KOD,0))="","",INDEX(FIYAT_GENISLIK,MATCH($P74,FIYAT_KOD,0)))&lt;&gt;"",$I74*IF(INDEX(FIYAT_GENISLIK,MATCH($P74,FIYAT_KOD,0))="","",INDEX(FIYAT_GENISLIK,MATCH($P74,FIYAT_KOD,0)))/MODUL_GENISLIK_MM,""))))</f>
        <v/>
      </c>
      <c r="V74" s="4" t="str">
        <f>IF(OR($C74&lt;&gt;"шина",$I74=""),"",$I74*INDEX(FIYAT_KGM,MATCH($P74,FIYAT_KOD,0)))</f>
        <v/>
      </c>
      <c r="W74" s="4" t="str">
        <f t="shared" si="50"/>
        <v/>
      </c>
      <c r="Y74" s="5" t="s">
        <v>85</v>
      </c>
      <c r="Z74" s="4" t="str">
        <f>IF($P74="","",MAX(_xlfn.MAXIFS(DEVRE!$AM:$AM,DEVRE!$A:$A,$Q74,DEVRE!$C:$C,$P74),_xlfn.MAXIFS(DEVRE!$AM:$AM,DEVRE!$A:$A,$Q74,DEVRE!$H:$H,$P74)))</f>
        <v/>
      </c>
      <c r="AA74" s="4" t="str">
        <f>IF(OR($I74="",$Q74="",$P74=""),"",$I74*INDEX(PANO_ADET,MATCH($Q74,PANO_ID,0)))</f>
        <v/>
      </c>
      <c r="AB74" s="4">
        <f>IF($P74="",0,IF(AND($U74="",COUNTIF(ALAN_TIP_LIST,$C74)&gt;0),1,0))</f>
        <v>0</v>
      </c>
      <c r="AC74" s="4">
        <f>IF(OR($P74="",$C74&lt;&gt;"kontaktör"),0,IF(IF(INDEX(FIYAT_BOBIN,MATCH($P74,FIYAT_KOD,0))="","",INDEX(FIYAT_BOBIN,MATCH($P74,FIYAT_KOD,0)))="",1,0))</f>
        <v>0</v>
      </c>
    </row>
    <row r="75" spans="1:29" x14ac:dyDescent="0.35">
      <c r="A75" s="4">
        <f t="shared" si="39"/>
        <v>74</v>
      </c>
      <c r="B75" s="4" t="str">
        <f t="shared" si="38"/>
        <v>HARMONY ПВ3 1 1,5</v>
      </c>
      <c r="C75" s="5" t="s">
        <v>87</v>
      </c>
      <c r="D75" s="4" t="str">
        <f t="shared" si="40"/>
        <v>151.01.PV3.01,5</v>
      </c>
      <c r="E75" s="4" t="str">
        <f t="shared" si="41"/>
        <v>HARMONY ПВ3 1 1,5</v>
      </c>
      <c r="F75" s="4">
        <f t="shared" si="42"/>
        <v>105</v>
      </c>
      <c r="G75" s="4">
        <f t="shared" si="43"/>
        <v>105</v>
      </c>
      <c r="H75" s="4">
        <f>IF(OR($G75="",$I75="",$M75="KONTROL",$M75="KAPSAM_DISI"),"",$G75*$I75)</f>
        <v>556.5</v>
      </c>
      <c r="I75" s="4">
        <f>ROUND((SUMIFS(DEVRE!$Z:$Z,DEVRE!$A:$A,$Q75,DEVRE!$V:$V,$X75)+IF($X75=GRUP_BESLEME_KESIT,INDEX(PANO_GRUP_KABLO_M,MATCH($Q75,PANO_ID,0)),0))*KABLO_FIRE,1)</f>
        <v>5.3</v>
      </c>
      <c r="J75" s="4" t="str">
        <f t="shared" si="44"/>
        <v>м</v>
      </c>
      <c r="K75" s="4" t="str">
        <f t="shared" si="45"/>
        <v>HARMONY</v>
      </c>
      <c r="L75" s="4">
        <f t="shared" si="46"/>
        <v>556.5</v>
      </c>
      <c r="M75" s="4" t="str">
        <f t="shared" si="47"/>
        <v>FIYAT_ESKI</v>
      </c>
      <c r="N75" s="4" t="s">
        <v>88</v>
      </c>
      <c r="O75" s="4" t="str">
        <f t="shared" si="48"/>
        <v>HARMONY</v>
      </c>
      <c r="P75" s="5" t="s">
        <v>89</v>
      </c>
      <c r="Q75" s="4" t="str">
        <f t="shared" si="49"/>
        <v>P04</v>
      </c>
      <c r="R75" s="5" t="s">
        <v>90</v>
      </c>
      <c r="S75" s="5" t="s">
        <v>47</v>
      </c>
      <c r="T75" s="4">
        <f>IF(OR($R75="",$I75=""),"",$I75*INDEX(NORM_DK,MATCH($R75,NORM_AD,0)))</f>
        <v>0</v>
      </c>
      <c r="U75" s="4" t="str">
        <f>IF(OR($P75="",$I75=""),"",IF(IF(INDEX(FIYAT_ALAN,MATCH($P75,FIYAT_KOD,0))="","",INDEX(FIYAT_ALAN,MATCH($P75,FIYAT_KOD,0)))&lt;&gt;"",$I75*IF(INDEX(FIYAT_ALAN,MATCH($P75,FIYAT_KOD,0))="","",INDEX(FIYAT_ALAN,MATCH($P75,FIYAT_KOD,0))),IF(IF(INDEX(FIYAT_MODUL,MATCH($P75,FIYAT_KOD,0))="","",INDEX(FIYAT_MODUL,MATCH($P75,FIYAT_KOD,0)))&lt;&gt;"",$I75*IF(INDEX(FIYAT_MODUL,MATCH($P75,FIYAT_KOD,0))="","",INDEX(FIYAT_MODUL,MATCH($P75,FIYAT_KOD,0))),IF(IF(INDEX(FIYAT_GENISLIK,MATCH($P75,FIYAT_KOD,0))="","",INDEX(FIYAT_GENISLIK,MATCH($P75,FIYAT_KOD,0)))&lt;&gt;"",$I75*IF(INDEX(FIYAT_GENISLIK,MATCH($P75,FIYAT_KOD,0))="","",INDEX(FIYAT_GENISLIK,MATCH($P75,FIYAT_KOD,0)))/MODUL_GENISLIK_MM,""))))</f>
        <v/>
      </c>
      <c r="V75" s="4" t="str">
        <f>IF(OR($C75&lt;&gt;"шина",$I75=""),"",$I75*INDEX(FIYAT_KGM,MATCH($P75,FIYAT_KOD,0)))</f>
        <v/>
      </c>
      <c r="W75" s="4">
        <f t="shared" si="50"/>
        <v>556.5</v>
      </c>
      <c r="X75" s="5">
        <v>1.5</v>
      </c>
      <c r="Y75" s="5" t="s">
        <v>91</v>
      </c>
      <c r="Z75" s="4">
        <f>IF($P75="","",MAX(_xlfn.MAXIFS(DEVRE!$AM:$AM,DEVRE!$A:$A,$Q75,DEVRE!$C:$C,$P75),_xlfn.MAXIFS(DEVRE!$AM:$AM,DEVRE!$A:$A,$Q75,DEVRE!$H:$H,$P75)))</f>
        <v>0</v>
      </c>
      <c r="AA75" s="4">
        <f>IF(OR($I75="",$Q75="",$P75=""),"",$I75*INDEX(PANO_ADET,MATCH($Q75,PANO_ID,0)))</f>
        <v>5.3</v>
      </c>
      <c r="AB75" s="4">
        <f>IF($P75="",0,IF(AND($U75="",COUNTIF(ALAN_TIP_LIST,$C75)&gt;0),1,0))</f>
        <v>0</v>
      </c>
      <c r="AC75" s="4">
        <f>IF(OR($P75="",$C75&lt;&gt;"kontaktör"),0,IF(IF(INDEX(FIYAT_BOBIN,MATCH($P75,FIYAT_KOD,0))="","",INDEX(FIYAT_BOBIN,MATCH($P75,FIYAT_KOD,0)))="",1,0))</f>
        <v>0</v>
      </c>
    </row>
    <row r="76" spans="1:29" x14ac:dyDescent="0.35">
      <c r="A76" s="4">
        <f t="shared" si="39"/>
        <v>75</v>
      </c>
      <c r="B76" s="4" t="str">
        <f t="shared" si="38"/>
        <v>HARMONY ПВ3 1 2,5</v>
      </c>
      <c r="C76" s="5" t="s">
        <v>87</v>
      </c>
      <c r="D76" s="4" t="str">
        <f t="shared" si="40"/>
        <v>151.01.PV3.02,5</v>
      </c>
      <c r="E76" s="4" t="str">
        <f t="shared" si="41"/>
        <v>HARMONY ПВ3 1 2,5</v>
      </c>
      <c r="F76" s="4">
        <f t="shared" si="42"/>
        <v>174</v>
      </c>
      <c r="G76" s="4">
        <f t="shared" si="43"/>
        <v>174</v>
      </c>
      <c r="H76" s="4">
        <f>IF(OR($G76="",$I76="",$M76="KONTROL",$M76="KAPSAM_DISI"),"",$G76*$I76)</f>
        <v>12406.199999999999</v>
      </c>
      <c r="I76" s="4">
        <f>ROUND((SUMIFS(DEVRE!$Z:$Z,DEVRE!$A:$A,$Q76,DEVRE!$V:$V,$X76)+IF($X76=GRUP_BESLEME_KESIT,INDEX(PANO_GRUP_KABLO_M,MATCH($Q76,PANO_ID,0)),0))*KABLO_FIRE,1)</f>
        <v>71.3</v>
      </c>
      <c r="J76" s="4" t="str">
        <f t="shared" si="44"/>
        <v>м</v>
      </c>
      <c r="K76" s="4" t="str">
        <f t="shared" si="45"/>
        <v>HARMONY</v>
      </c>
      <c r="L76" s="4">
        <f t="shared" si="46"/>
        <v>12406.199999999999</v>
      </c>
      <c r="M76" s="4" t="str">
        <f t="shared" si="47"/>
        <v>FIYAT_ESKI</v>
      </c>
      <c r="N76" s="4" t="s">
        <v>92</v>
      </c>
      <c r="O76" s="4" t="str">
        <f t="shared" si="48"/>
        <v>HARMONY</v>
      </c>
      <c r="P76" s="5" t="s">
        <v>93</v>
      </c>
      <c r="Q76" s="4" t="str">
        <f t="shared" si="49"/>
        <v>P04</v>
      </c>
      <c r="R76" s="5" t="s">
        <v>90</v>
      </c>
      <c r="S76" s="5" t="s">
        <v>47</v>
      </c>
      <c r="T76" s="4">
        <f>IF(OR($R76="",$I76=""),"",$I76*INDEX(NORM_DK,MATCH($R76,NORM_AD,0)))</f>
        <v>0</v>
      </c>
      <c r="U76" s="4" t="str">
        <f>IF(OR($P76="",$I76=""),"",IF(IF(INDEX(FIYAT_ALAN,MATCH($P76,FIYAT_KOD,0))="","",INDEX(FIYAT_ALAN,MATCH($P76,FIYAT_KOD,0)))&lt;&gt;"",$I76*IF(INDEX(FIYAT_ALAN,MATCH($P76,FIYAT_KOD,0))="","",INDEX(FIYAT_ALAN,MATCH($P76,FIYAT_KOD,0))),IF(IF(INDEX(FIYAT_MODUL,MATCH($P76,FIYAT_KOD,0))="","",INDEX(FIYAT_MODUL,MATCH($P76,FIYAT_KOD,0)))&lt;&gt;"",$I76*IF(INDEX(FIYAT_MODUL,MATCH($P76,FIYAT_KOD,0))="","",INDEX(FIYAT_MODUL,MATCH($P76,FIYAT_KOD,0))),IF(IF(INDEX(FIYAT_GENISLIK,MATCH($P76,FIYAT_KOD,0))="","",INDEX(FIYAT_GENISLIK,MATCH($P76,FIYAT_KOD,0)))&lt;&gt;"",$I76*IF(INDEX(FIYAT_GENISLIK,MATCH($P76,FIYAT_KOD,0))="","",INDEX(FIYAT_GENISLIK,MATCH($P76,FIYAT_KOD,0)))/MODUL_GENISLIK_MM,""))))</f>
        <v/>
      </c>
      <c r="V76" s="4" t="str">
        <f>IF(OR($C76&lt;&gt;"шина",$I76=""),"",$I76*INDEX(FIYAT_KGM,MATCH($P76,FIYAT_KOD,0)))</f>
        <v/>
      </c>
      <c r="W76" s="4">
        <f t="shared" si="50"/>
        <v>12406.199999999999</v>
      </c>
      <c r="X76" s="5">
        <v>2.5</v>
      </c>
      <c r="Y76" s="5" t="s">
        <v>91</v>
      </c>
      <c r="Z76" s="4">
        <f>IF($P76="","",MAX(_xlfn.MAXIFS(DEVRE!$AM:$AM,DEVRE!$A:$A,$Q76,DEVRE!$C:$C,$P76),_xlfn.MAXIFS(DEVRE!$AM:$AM,DEVRE!$A:$A,$Q76,DEVRE!$H:$H,$P76)))</f>
        <v>0</v>
      </c>
      <c r="AA76" s="4">
        <f>IF(OR($I76="",$Q76="",$P76=""),"",$I76*INDEX(PANO_ADET,MATCH($Q76,PANO_ID,0)))</f>
        <v>71.3</v>
      </c>
      <c r="AB76" s="4">
        <f>IF($P76="",0,IF(AND($U76="",COUNTIF(ALAN_TIP_LIST,$C76)&gt;0),1,0))</f>
        <v>0</v>
      </c>
      <c r="AC76" s="4">
        <f>IF(OR($P76="",$C76&lt;&gt;"kontaktör"),0,IF(IF(INDEX(FIYAT_BOBIN,MATCH($P76,FIYAT_KOD,0))="","",INDEX(FIYAT_BOBIN,MATCH($P76,FIYAT_KOD,0)))="",1,0))</f>
        <v>0</v>
      </c>
    </row>
    <row r="77" spans="1:29" x14ac:dyDescent="0.35">
      <c r="A77" s="4">
        <f t="shared" si="39"/>
        <v>76</v>
      </c>
      <c r="B77" s="4" t="str">
        <f t="shared" si="38"/>
        <v>HARMONY ПВ3 1 16</v>
      </c>
      <c r="C77" s="5" t="s">
        <v>87</v>
      </c>
      <c r="D77" s="4" t="str">
        <f t="shared" si="40"/>
        <v>151.01.PV3.16</v>
      </c>
      <c r="E77" s="4" t="str">
        <f t="shared" si="41"/>
        <v>HARMONY ПВ3 1 16</v>
      </c>
      <c r="F77" s="4">
        <f t="shared" si="42"/>
        <v>1084</v>
      </c>
      <c r="G77" s="4">
        <f t="shared" si="43"/>
        <v>1084</v>
      </c>
      <c r="H77" s="4">
        <f>IF(OR($G77="",$I77="",$M77="KONTROL",$M77="KAPSAM_DISI"),"",$G77*$I77)</f>
        <v>4336</v>
      </c>
      <c r="I77" s="4">
        <f>ROUND((SUMIFS(DEVRE!$Z:$Z,DEVRE!$A:$A,$Q77,DEVRE!$V:$V,$X77)+IF($X77=GRUP_BESLEME_KESIT,INDEX(PANO_GRUP_KABLO_M,MATCH($Q77,PANO_ID,0)),0))*KABLO_FIRE,1)</f>
        <v>4</v>
      </c>
      <c r="J77" s="4" t="str">
        <f t="shared" si="44"/>
        <v>м</v>
      </c>
      <c r="K77" s="4" t="str">
        <f t="shared" si="45"/>
        <v>HARMONY</v>
      </c>
      <c r="L77" s="4">
        <f t="shared" si="46"/>
        <v>4336</v>
      </c>
      <c r="M77" s="4" t="str">
        <f t="shared" si="47"/>
        <v>FIYAT_ESKI</v>
      </c>
      <c r="N77" s="4" t="s">
        <v>154</v>
      </c>
      <c r="O77" s="4" t="str">
        <f t="shared" si="48"/>
        <v>HARMONY</v>
      </c>
      <c r="P77" s="5" t="s">
        <v>155</v>
      </c>
      <c r="Q77" s="4" t="str">
        <f t="shared" si="49"/>
        <v>P04</v>
      </c>
      <c r="R77" s="5" t="s">
        <v>90</v>
      </c>
      <c r="S77" s="5" t="s">
        <v>47</v>
      </c>
      <c r="T77" s="4">
        <f>IF(OR($R77="",$I77=""),"",$I77*INDEX(NORM_DK,MATCH($R77,NORM_AD,0)))</f>
        <v>0</v>
      </c>
      <c r="U77" s="4" t="str">
        <f>IF(OR($P77="",$I77=""),"",IF(IF(INDEX(FIYAT_ALAN,MATCH($P77,FIYAT_KOD,0))="","",INDEX(FIYAT_ALAN,MATCH($P77,FIYAT_KOD,0)))&lt;&gt;"",$I77*IF(INDEX(FIYAT_ALAN,MATCH($P77,FIYAT_KOD,0))="","",INDEX(FIYAT_ALAN,MATCH($P77,FIYAT_KOD,0))),IF(IF(INDEX(FIYAT_MODUL,MATCH($P77,FIYAT_KOD,0))="","",INDEX(FIYAT_MODUL,MATCH($P77,FIYAT_KOD,0)))&lt;&gt;"",$I77*IF(INDEX(FIYAT_MODUL,MATCH($P77,FIYAT_KOD,0))="","",INDEX(FIYAT_MODUL,MATCH($P77,FIYAT_KOD,0))),IF(IF(INDEX(FIYAT_GENISLIK,MATCH($P77,FIYAT_KOD,0))="","",INDEX(FIYAT_GENISLIK,MATCH($P77,FIYAT_KOD,0)))&lt;&gt;"",$I77*IF(INDEX(FIYAT_GENISLIK,MATCH($P77,FIYAT_KOD,0))="","",INDEX(FIYAT_GENISLIK,MATCH($P77,FIYAT_KOD,0)))/MODUL_GENISLIK_MM,""))))</f>
        <v/>
      </c>
      <c r="V77" s="4" t="str">
        <f>IF(OR($C77&lt;&gt;"шина",$I77=""),"",$I77*INDEX(FIYAT_KGM,MATCH($P77,FIYAT_KOD,0)))</f>
        <v/>
      </c>
      <c r="W77" s="4">
        <f t="shared" si="50"/>
        <v>4336</v>
      </c>
      <c r="X77" s="5">
        <v>16</v>
      </c>
      <c r="Y77" s="5" t="s">
        <v>91</v>
      </c>
      <c r="Z77" s="4">
        <f>IF($P77="","",MAX(_xlfn.MAXIFS(DEVRE!$AM:$AM,DEVRE!$A:$A,$Q77,DEVRE!$C:$C,$P77),_xlfn.MAXIFS(DEVRE!$AM:$AM,DEVRE!$A:$A,$Q77,DEVRE!$H:$H,$P77)))</f>
        <v>0</v>
      </c>
      <c r="AA77" s="4">
        <f>IF(OR($I77="",$Q77="",$P77=""),"",$I77*INDEX(PANO_ADET,MATCH($Q77,PANO_ID,0)))</f>
        <v>4</v>
      </c>
      <c r="AB77" s="4">
        <f>IF($P77="",0,IF(AND($U77="",COUNTIF(ALAN_TIP_LIST,$C77)&gt;0),1,0))</f>
        <v>0</v>
      </c>
      <c r="AC77" s="4">
        <f>IF(OR($P77="",$C77&lt;&gt;"kontaktör"),0,IF(IF(INDEX(FIYAT_BOBIN,MATCH($P77,FIYAT_KOD,0))="","",INDEX(FIYAT_BOBIN,MATCH($P77,FIYAT_KOD,0)))="",1,0))</f>
        <v>0</v>
      </c>
    </row>
    <row r="78" spans="1:29" x14ac:dyDescent="0.35">
      <c r="A78" s="4">
        <f t="shared" si="39"/>
        <v>77</v>
      </c>
      <c r="B78" s="4" t="str">
        <f t="shared" si="38"/>
        <v>ЗНИ 4мм ² (35А) серый IEK</v>
      </c>
      <c r="C78" s="5" t="s">
        <v>133</v>
      </c>
      <c r="D78" s="4" t="str">
        <f t="shared" si="40"/>
        <v>130300041</v>
      </c>
      <c r="E78" s="4" t="str">
        <f t="shared" si="41"/>
        <v>ЗНИ 4мм ² (35А) серый IEK</v>
      </c>
      <c r="F78" s="4">
        <f t="shared" si="42"/>
        <v>98</v>
      </c>
      <c r="G78" s="4">
        <f t="shared" si="43"/>
        <v>98</v>
      </c>
      <c r="H78" s="4">
        <f>IF(OR($G78="",$I78="",$M78="KONTROL",$M78="KAPSAM_DISI"),"",$G78*$I78)</f>
        <v>4214</v>
      </c>
      <c r="I78" s="4">
        <f>IF(SUMIFS(DEVRE!$AA:$AA,DEVRE!$A:$A,$Q78,DEVRE!$AD:$AD,$X78)+IF($X78=SINYAL_KLEMENS_KESIT,SUMIFS(DEVRE!$I:$I,DEVRE!$A:$A,$Q78),0)=0,"",MAX(SUMIFS(DEVRE!$AA:$AA,DEVRE!$A:$A,$Q78,DEVRE!$AD:$AD,$X78)+IF($X78=SINYAL_KLEMENS_KESIT,SUMIFS(DEVRE!$I:$I,DEVRE!$A:$A,$Q78),0)+KLEMENS_MIN_YEDEK,ROUNDUP((SUMIFS(DEVRE!$AA:$AA,DEVRE!$A:$A,$Q78,DEVRE!$AD:$AD,$X78)+IF($X78=SINYAL_KLEMENS_KESIT,SUMIFS(DEVRE!$I:$I,DEVRE!$A:$A,$Q78),0))*KLEMENS_YEDEK,0)))</f>
        <v>43</v>
      </c>
      <c r="J78" s="4" t="str">
        <f t="shared" si="44"/>
        <v>шт</v>
      </c>
      <c r="K78" s="4" t="str">
        <f t="shared" si="45"/>
        <v>EKT</v>
      </c>
      <c r="L78" s="4">
        <f t="shared" si="46"/>
        <v>4214</v>
      </c>
      <c r="M78" s="4" t="str">
        <f t="shared" si="47"/>
        <v>FIYAT_ESKI</v>
      </c>
      <c r="N78" s="4" t="s">
        <v>134</v>
      </c>
      <c r="O78" s="4" t="str">
        <f t="shared" si="48"/>
        <v>EKT2506</v>
      </c>
      <c r="P78" s="5" t="s">
        <v>135</v>
      </c>
      <c r="Q78" s="4" t="str">
        <f t="shared" si="49"/>
        <v>P04</v>
      </c>
      <c r="R78" s="5" t="s">
        <v>136</v>
      </c>
      <c r="S78" s="5" t="s">
        <v>47</v>
      </c>
      <c r="T78" s="4">
        <f>IF(OR($R78="",$I78=""),"",$I78*INDEX(NORM_DK,MATCH($R78,NORM_AD,0)))</f>
        <v>172</v>
      </c>
      <c r="U78" s="4">
        <f>IF(OR($P78="",$I78=""),"",IF(IF(INDEX(FIYAT_ALAN,MATCH($P78,FIYAT_KOD,0))="","",INDEX(FIYAT_ALAN,MATCH($P78,FIYAT_KOD,0)))&lt;&gt;"",$I78*IF(INDEX(FIYAT_ALAN,MATCH($P78,FIYAT_KOD,0))="","",INDEX(FIYAT_ALAN,MATCH($P78,FIYAT_KOD,0))),IF(IF(INDEX(FIYAT_MODUL,MATCH($P78,FIYAT_KOD,0))="","",INDEX(FIYAT_MODUL,MATCH($P78,FIYAT_KOD,0)))&lt;&gt;"",$I78*IF(INDEX(FIYAT_MODUL,MATCH($P78,FIYAT_KOD,0))="","",INDEX(FIYAT_MODUL,MATCH($P78,FIYAT_KOD,0))),IF(IF(INDEX(FIYAT_GENISLIK,MATCH($P78,FIYAT_KOD,0))="","",INDEX(FIYAT_GENISLIK,MATCH($P78,FIYAT_KOD,0)))&lt;&gt;"",$I78*IF(INDEX(FIYAT_GENISLIK,MATCH($P78,FIYAT_KOD,0))="","",INDEX(FIYAT_GENISLIK,MATCH($P78,FIYAT_KOD,0)))/MODUL_GENISLIK_MM,""))))</f>
        <v>15.234285714285715</v>
      </c>
      <c r="V78" s="4" t="str">
        <f>IF(OR($C78&lt;&gt;"шина",$I78=""),"",$I78*INDEX(FIYAT_KGM,MATCH($P78,FIYAT_KOD,0)))</f>
        <v/>
      </c>
      <c r="W78" s="4">
        <f t="shared" si="50"/>
        <v>4214</v>
      </c>
      <c r="X78" s="5">
        <v>4</v>
      </c>
      <c r="Y78" s="5" t="s">
        <v>137</v>
      </c>
      <c r="Z78" s="4">
        <f>IF($P78="","",MAX(_xlfn.MAXIFS(DEVRE!$AM:$AM,DEVRE!$A:$A,$Q78,DEVRE!$C:$C,$P78),_xlfn.MAXIFS(DEVRE!$AM:$AM,DEVRE!$A:$A,$Q78,DEVRE!$H:$H,$P78)))</f>
        <v>0</v>
      </c>
      <c r="AA78" s="4">
        <f>IF(OR($I78="",$Q78="",$P78=""),"",$I78*INDEX(PANO_ADET,MATCH($Q78,PANO_ID,0)))</f>
        <v>43</v>
      </c>
      <c r="AB78" s="4">
        <f>IF($P78="",0,IF(AND($U78="",COUNTIF(ALAN_TIP_LIST,$C78)&gt;0),1,0))</f>
        <v>0</v>
      </c>
      <c r="AC78" s="4">
        <f>IF(OR($P78="",$C78&lt;&gt;"kontaktör"),0,IF(IF(INDEX(FIYAT_BOBIN,MATCH($P78,FIYAT_KOD,0))="","",INDEX(FIYAT_BOBIN,MATCH($P78,FIYAT_KOD,0)))="",1,0))</f>
        <v>0</v>
      </c>
    </row>
    <row r="79" spans="1:29" x14ac:dyDescent="0.35">
      <c r="A79" s="4">
        <f t="shared" si="39"/>
        <v>78</v>
      </c>
      <c r="B79" s="4" t="str">
        <f t="shared" si="38"/>
        <v>Зажим наборный ЗНИ - 4PEN 4мм2 (JXB-земля) IEK</v>
      </c>
      <c r="C79" s="5" t="s">
        <v>133</v>
      </c>
      <c r="D79" s="4" t="str">
        <f t="shared" si="40"/>
        <v>5130300225</v>
      </c>
      <c r="E79" s="4" t="str">
        <f t="shared" si="41"/>
        <v>Зажим наборный ЗНИ - 4PEN 4мм2 (JXB-земля) IEK</v>
      </c>
      <c r="F79" s="4">
        <f t="shared" si="42"/>
        <v>283</v>
      </c>
      <c r="G79" s="4">
        <f t="shared" si="43"/>
        <v>283</v>
      </c>
      <c r="H79" s="4">
        <f>IF(OR($G79="",$I79="",$M79="KONTROL",$M79="KAPSAM_DISI"),"",$G79*$I79)</f>
        <v>5943</v>
      </c>
      <c r="I79" s="4">
        <f>IF(SUMIFS(DEVRE!$AB:$AB,DEVRE!$A:$A,$Q79,DEVRE!$AD:$AD,$X79)=0,"",ROUNDUP(SUMIFS(DEVRE!$AB:$AB,DEVRE!$A:$A,$Q79,DEVRE!$AD:$AD,$X79)*KLEMENS_YEDEK,0))</f>
        <v>21</v>
      </c>
      <c r="J79" s="4" t="str">
        <f t="shared" si="44"/>
        <v>шт</v>
      </c>
      <c r="K79" s="4" t="str">
        <f t="shared" si="45"/>
        <v>EKT</v>
      </c>
      <c r="L79" s="4">
        <f t="shared" si="46"/>
        <v>5943</v>
      </c>
      <c r="M79" s="4" t="str">
        <f t="shared" si="47"/>
        <v>FIYAT_ESKI</v>
      </c>
      <c r="N79" s="4" t="s">
        <v>138</v>
      </c>
      <c r="O79" s="4" t="str">
        <f t="shared" si="48"/>
        <v>EKT2506</v>
      </c>
      <c r="P79" s="5" t="s">
        <v>139</v>
      </c>
      <c r="Q79" s="4" t="str">
        <f t="shared" si="49"/>
        <v>P04</v>
      </c>
      <c r="R79" s="5" t="s">
        <v>136</v>
      </c>
      <c r="S79" s="5" t="s">
        <v>47</v>
      </c>
      <c r="T79" s="4">
        <f>IF(OR($R79="",$I79=""),"",$I79*INDEX(NORM_DK,MATCH($R79,NORM_AD,0)))</f>
        <v>84</v>
      </c>
      <c r="U79" s="4">
        <f>IF(OR($P79="",$I79=""),"",IF(IF(INDEX(FIYAT_ALAN,MATCH($P79,FIYAT_KOD,0))="","",INDEX(FIYAT_ALAN,MATCH($P79,FIYAT_KOD,0)))&lt;&gt;"",$I79*IF(INDEX(FIYAT_ALAN,MATCH($P79,FIYAT_KOD,0))="","",INDEX(FIYAT_ALAN,MATCH($P79,FIYAT_KOD,0))),IF(IF(INDEX(FIYAT_MODUL,MATCH($P79,FIYAT_KOD,0))="","",INDEX(FIYAT_MODUL,MATCH($P79,FIYAT_KOD,0)))&lt;&gt;"",$I79*IF(INDEX(FIYAT_MODUL,MATCH($P79,FIYAT_KOD,0))="","",INDEX(FIYAT_MODUL,MATCH($P79,FIYAT_KOD,0))),IF(IF(INDEX(FIYAT_GENISLIK,MATCH($P79,FIYAT_KOD,0))="","",INDEX(FIYAT_GENISLIK,MATCH($P79,FIYAT_KOD,0)))&lt;&gt;"",$I79*IF(INDEX(FIYAT_GENISLIK,MATCH($P79,FIYAT_KOD,0))="","",INDEX(FIYAT_GENISLIK,MATCH($P79,FIYAT_KOD,0)))/MODUL_GENISLIK_MM,""))))</f>
        <v>7.4400000000000013</v>
      </c>
      <c r="V79" s="4" t="str">
        <f>IF(OR($C79&lt;&gt;"шина",$I79=""),"",$I79*INDEX(FIYAT_KGM,MATCH($P79,FIYAT_KOD,0)))</f>
        <v/>
      </c>
      <c r="W79" s="4">
        <f t="shared" si="50"/>
        <v>5943</v>
      </c>
      <c r="X79" s="5">
        <v>4</v>
      </c>
      <c r="Y79" s="5" t="s">
        <v>137</v>
      </c>
      <c r="Z79" s="4">
        <f>IF($P79="","",MAX(_xlfn.MAXIFS(DEVRE!$AM:$AM,DEVRE!$A:$A,$Q79,DEVRE!$C:$C,$P79),_xlfn.MAXIFS(DEVRE!$AM:$AM,DEVRE!$A:$A,$Q79,DEVRE!$H:$H,$P79)))</f>
        <v>0</v>
      </c>
      <c r="AA79" s="4">
        <f>IF(OR($I79="",$Q79="",$P79=""),"",$I79*INDEX(PANO_ADET,MATCH($Q79,PANO_ID,0)))</f>
        <v>21</v>
      </c>
      <c r="AB79" s="4">
        <f>IF($P79="",0,IF(AND($U79="",COUNTIF(ALAN_TIP_LIST,$C79)&gt;0),1,0))</f>
        <v>0</v>
      </c>
      <c r="AC79" s="4">
        <f>IF(OR($P79="",$C79&lt;&gt;"kontaktör"),0,IF(IF(INDEX(FIYAT_BOBIN,MATCH($P79,FIYAT_KOD,0))="","",INDEX(FIYAT_BOBIN,MATCH($P79,FIYAT_KOD,0)))="",1,0))</f>
        <v>0</v>
      </c>
    </row>
    <row r="80" spans="1:29" x14ac:dyDescent="0.35">
      <c r="A80" s="4">
        <f t="shared" si="39"/>
        <v>79</v>
      </c>
      <c r="B80" s="4" t="str">
        <f t="shared" si="38"/>
        <v>Монтажный материал</v>
      </c>
      <c r="C80" s="5" t="s">
        <v>98</v>
      </c>
      <c r="D80" s="4" t="str">
        <f t="shared" si="40"/>
        <v>MONTAJ-MALZ</v>
      </c>
      <c r="E80" s="4" t="str">
        <f t="shared" si="41"/>
        <v>Монтажный материал</v>
      </c>
      <c r="F80" s="4">
        <f t="shared" si="42"/>
        <v>1</v>
      </c>
      <c r="G80" s="4">
        <f t="shared" si="43"/>
        <v>1</v>
      </c>
      <c r="H80" s="4" t="str">
        <f>IF(OR($G80="",$I80="",$M80="KONTROL",$M80="KAPSAM_DISI"),"",$G80*$I80)</f>
        <v/>
      </c>
      <c r="I80" s="4" t="str">
        <f>IF(MONTAJ_MALZ_ORANI="","",ROUND(SUMIFS($W:$W,$Q:$Q,$Q80)*MONTAJ_MALZ_ORANI,0))</f>
        <v/>
      </c>
      <c r="J80" s="4" t="str">
        <f t="shared" si="44"/>
        <v>тг</v>
      </c>
      <c r="K80" s="4" t="str">
        <f t="shared" si="45"/>
        <v>HESAP</v>
      </c>
      <c r="L80" s="4" t="str">
        <f t="shared" si="46"/>
        <v/>
      </c>
      <c r="M80" s="4" t="str">
        <f t="shared" si="47"/>
        <v>OK</v>
      </c>
      <c r="N80" s="4" t="s">
        <v>99</v>
      </c>
      <c r="O80" s="4" t="str">
        <f t="shared" si="48"/>
        <v>HESAP</v>
      </c>
      <c r="P80" s="5" t="s">
        <v>100</v>
      </c>
      <c r="Q80" s="4" t="str">
        <f t="shared" si="49"/>
        <v>P04</v>
      </c>
      <c r="V80" s="4" t="str">
        <f>IF(OR($C80&lt;&gt;"шина",$I80=""),"",$I80*INDEX(FIYAT_KGM,MATCH($P80,FIYAT_KOD,0)))</f>
        <v/>
      </c>
      <c r="Y80" s="5" t="s">
        <v>101</v>
      </c>
      <c r="Z80" s="4">
        <f>IF($P80="","",MAX(_xlfn.MAXIFS(DEVRE!$AM:$AM,DEVRE!$A:$A,$Q80,DEVRE!$C:$C,$P80),_xlfn.MAXIFS(DEVRE!$AM:$AM,DEVRE!$A:$A,$Q80,DEVRE!$H:$H,$P80)))</f>
        <v>0</v>
      </c>
      <c r="AA80" s="4" t="str">
        <f>IF(OR($I80="",$Q80="",$P80=""),"",$I80*INDEX(PANO_ADET,MATCH($Q80,PANO_ID,0)))</f>
        <v/>
      </c>
      <c r="AB80" s="4">
        <f>IF($P80="",0,IF(AND($U80="",COUNTIF(ALAN_TIP_LIST,$C80)&gt;0),1,0))</f>
        <v>0</v>
      </c>
      <c r="AC80" s="4">
        <f>IF(OR($P80="",$C80&lt;&gt;"kontaktör"),0,IF(IF(INDEX(FIYAT_BOBIN,MATCH($P80,FIYAT_KOD,0))="","",INDEX(FIYAT_BOBIN,MATCH($P80,FIYAT_KOD,0)))="",1,0))</f>
        <v>0</v>
      </c>
    </row>
    <row r="81" spans="1:29" x14ac:dyDescent="0.35">
      <c r="A81" s="4">
        <f t="shared" si="39"/>
        <v>80</v>
      </c>
      <c r="B81" s="4" t="str">
        <f t="shared" si="38"/>
        <v>Монтажная работа</v>
      </c>
      <c r="C81" s="5" t="s">
        <v>102</v>
      </c>
      <c r="D81" s="4" t="str">
        <f t="shared" si="40"/>
        <v>ISCILIK-MONTAJ</v>
      </c>
      <c r="E81" s="4" t="str">
        <f t="shared" si="41"/>
        <v>Монтажная работа</v>
      </c>
      <c r="F81" s="4">
        <f>IF($I81="","",ROUND($I81/DK_SAAT,2))</f>
        <v>7.07</v>
      </c>
      <c r="G81" s="4">
        <f t="shared" si="43"/>
        <v>100</v>
      </c>
      <c r="H81" s="4">
        <f>IF(OR($G81="",$I81="",$M81="KONTROL",$M81="KAPSAM_DISI"),"",$G81*$I81)</f>
        <v>42400</v>
      </c>
      <c r="I81" s="4">
        <f>ROUND((SUMIFS($T:$T,$Q:$Q,$Q81)+INDEX(NORM_DK,MATCH("PABUC_YUKSUK",NORM_AD,0))*(SUMIFS(DEVRE!$AI:$AI,DEVRE!$A:$A,$Q81)+SUMIFS(DEVRE!$AJ:$AJ,DEVRE!$A:$A,$Q81)))*ISCILIK_CARPANI+INDEX(NORM_DK,MATCH("SABIT_AMBALAJ",NORM_AD,0)),0)</f>
        <v>424</v>
      </c>
      <c r="J81" s="4" t="str">
        <f t="shared" si="44"/>
        <v>мин</v>
      </c>
      <c r="K81" s="4" t="str">
        <f t="shared" si="45"/>
        <v>HESAP</v>
      </c>
      <c r="L81" s="4">
        <f t="shared" si="46"/>
        <v>42400</v>
      </c>
      <c r="M81" s="4" t="str">
        <f t="shared" si="47"/>
        <v>OK</v>
      </c>
      <c r="N81" s="4" t="s">
        <v>103</v>
      </c>
      <c r="O81" s="4" t="str">
        <f t="shared" si="48"/>
        <v>HESAP</v>
      </c>
      <c r="P81" s="5" t="s">
        <v>104</v>
      </c>
      <c r="Q81" s="4" t="str">
        <f t="shared" si="49"/>
        <v>P04</v>
      </c>
      <c r="V81" s="4" t="str">
        <f>IF(OR($C81&lt;&gt;"шина",$I81=""),"",$I81*INDEX(FIYAT_KGM,MATCH($P81,FIYAT_KOD,0)))</f>
        <v/>
      </c>
      <c r="Y81" s="5" t="s">
        <v>101</v>
      </c>
      <c r="Z81" s="4">
        <f>IF($P81="","",MAX(_xlfn.MAXIFS(DEVRE!$AM:$AM,DEVRE!$A:$A,$Q81,DEVRE!$C:$C,$P81),_xlfn.MAXIFS(DEVRE!$AM:$AM,DEVRE!$A:$A,$Q81,DEVRE!$H:$H,$P81)))</f>
        <v>0</v>
      </c>
      <c r="AA81" s="4">
        <f>IF(OR($I81="",$Q81="",$P81=""),"",$I81*INDEX(PANO_ADET,MATCH($Q81,PANO_ID,0)))</f>
        <v>424</v>
      </c>
      <c r="AB81" s="4">
        <f>IF($P81="",0,IF(AND($U81="",COUNTIF(ALAN_TIP_LIST,$C81)&gt;0),1,0))</f>
        <v>0</v>
      </c>
      <c r="AC81" s="4">
        <f>IF(OR($P81="",$C81&lt;&gt;"kontaktör"),0,IF(IF(INDEX(FIYAT_BOBIN,MATCH($P81,FIYAT_KOD,0))="","",INDEX(FIYAT_BOBIN,MATCH($P81,FIYAT_KOD,0)))="",1,0))</f>
        <v>0</v>
      </c>
    </row>
    <row r="82" spans="1:29" x14ac:dyDescent="0.35">
      <c r="A82" s="7">
        <f t="shared" si="39"/>
        <v>81</v>
      </c>
      <c r="B82" s="7" t="str">
        <f>"Toplam "&amp;$E65</f>
        <v>Toplam Щит силовой ЩС-2</v>
      </c>
      <c r="H82" s="7">
        <f>SUBTOTAL(9,H66:H81)</f>
        <v>156373.90000000002</v>
      </c>
      <c r="L82" s="7">
        <f>SUBTOTAL(9,L66:L81)</f>
        <v>156373.90000000002</v>
      </c>
    </row>
    <row r="83" spans="1:29" x14ac:dyDescent="0.35">
      <c r="A83" s="2">
        <f t="shared" si="39"/>
        <v>82</v>
      </c>
      <c r="B83" s="2" t="str">
        <f t="shared" ref="B83:B105" si="51">$E83</f>
        <v>Щит вентиляции ЩВ-1</v>
      </c>
      <c r="C83" s="3"/>
      <c r="D83" s="3"/>
      <c r="E83" s="2" t="str">
        <f>INDEX(PANO_TAMAD,MATCH($Q83,PANO_ID,0))</f>
        <v>Щит вентиляции ЩВ-1</v>
      </c>
      <c r="F83" s="3"/>
      <c r="G83" s="3"/>
      <c r="H83" s="3"/>
      <c r="I83" s="2">
        <v>1</v>
      </c>
      <c r="J83" s="2" t="s">
        <v>29</v>
      </c>
      <c r="K83" s="3"/>
      <c r="L83" s="3"/>
      <c r="M83" s="3"/>
      <c r="N83" s="3"/>
      <c r="O83" s="3"/>
      <c r="P83" s="3"/>
      <c r="Q83" s="2" t="s">
        <v>161</v>
      </c>
    </row>
    <row r="84" spans="1:29" x14ac:dyDescent="0.35">
      <c r="A84" s="4">
        <f t="shared" si="39"/>
        <v>83</v>
      </c>
      <c r="B84" s="4" t="str">
        <f t="shared" si="51"/>
        <v>Мет.Щит ЩРВ-7-3 S/A 700x300x150мм IP31</v>
      </c>
      <c r="C84" s="5" t="s">
        <v>31</v>
      </c>
      <c r="D84" s="4" t="str">
        <f t="shared" ref="D84:D105" si="52">IF($P84="","",IF(INDEX(FIYAT_ARTIKUL,MATCH($P84,FIYAT_KOD,0))="","",INDEX(FIYAT_ARTIKUL,MATCH($P84,FIYAT_KOD,0))))</f>
        <v>713-15040</v>
      </c>
      <c r="E84" s="4" t="str">
        <f t="shared" ref="E84:E105" si="53">IF($P84="","",INDEX(FIYAT_ACK,MATCH($P84,FIYAT_KOD,0)))</f>
        <v>Мет.Щит ЩРВ-7-3 S/A 700x300x150мм IP31</v>
      </c>
      <c r="F84" s="4">
        <f t="shared" ref="F84:F104" si="54">IF($P84="","",IF(INDEX(FIYAT_LISTE,MATCH($P84,FIYAT_KOD,0))="","",INDEX(FIYAT_LISTE,MATCH($P84,FIYAT_KOD,0))))</f>
        <v>20445</v>
      </c>
      <c r="G84" s="4">
        <f t="shared" ref="G84:G105" si="55">IF($P84="","",IF(INDEX(FIYAT_NET,MATCH($P84,FIYAT_KOD,0))="","",INDEX(FIYAT_NET,MATCH($P84,FIYAT_KOD,0))))</f>
        <v>12267</v>
      </c>
      <c r="H84" s="4">
        <f>IF(OR($G84="",$I84="",$M84="KONTROL",$M84="KAPSAM_DISI"),"",$G84*$I84)</f>
        <v>12267</v>
      </c>
      <c r="I84" s="4">
        <v>1</v>
      </c>
      <c r="J84" s="4" t="str">
        <f t="shared" ref="J84:J105" si="56">IF($P84="","",INDEX(FIYAT_BIRIM,MATCH($P84,FIYAT_KOD,0)))</f>
        <v>шт</v>
      </c>
      <c r="K84" s="4" t="str">
        <f t="shared" ref="K84:K105" si="57">IF($P84="","",INDEX(FIYAT_MARKA,MATCH($P84,FIYAT_KOD,0)))</f>
        <v>KAZTEK</v>
      </c>
      <c r="L84" s="4">
        <f t="shared" ref="L84:L105" si="58">IF($H84="","",$H84)</f>
        <v>12267</v>
      </c>
      <c r="M84" s="4" t="str">
        <f t="shared" ref="M84:M105" si="59">IF($P84="","",INDEX(DURUM_LIST,MATCH(MAX(INDEX(DURUM_SEV,MATCH(INDEX(FIYAT_DURUM,MATCH($P84,FIYAT_KOD,0)),DURUM_LIST,0)),IF($S84="",0,INDEX(DURUM_SEV,MATCH($S84,DURUM_LIST,0))),$Z84),DURUM_SEV,0)))</f>
        <v>VARSAYIM</v>
      </c>
      <c r="N84" s="4" t="s">
        <v>162</v>
      </c>
      <c r="O84" s="4" t="str">
        <f t="shared" ref="O84:O105" si="60">IF($P84="","",INDEX(FIYAT_KAYNAK,MATCH($P84,FIYAT_KOD,0)))</f>
        <v>KAZTEK2607</v>
      </c>
      <c r="P84" s="4" t="str">
        <f>INDEX(PANO_KORPUS,MATCH($Q84,PANO_ID,0))</f>
        <v>KAZTEK-713-15040</v>
      </c>
      <c r="Q84" s="4" t="str">
        <f t="shared" ref="Q84:Q105" si="61">$Q83</f>
        <v>P05</v>
      </c>
      <c r="R84" s="5" t="s">
        <v>107</v>
      </c>
      <c r="S84" s="5" t="s">
        <v>54</v>
      </c>
      <c r="T84" s="4">
        <f>IF(OR($R84="",$I84=""),"",$I84*INDEX(NORM_DK,MATCH($R84,NORM_AD,0)))</f>
        <v>30</v>
      </c>
      <c r="U84" s="4" t="str">
        <f>IF(OR($P84="",$I84=""),"",IF(IF(INDEX(FIYAT_ALAN,MATCH($P84,FIYAT_KOD,0))="","",INDEX(FIYAT_ALAN,MATCH($P84,FIYAT_KOD,0)))&lt;&gt;"",$I84*IF(INDEX(FIYAT_ALAN,MATCH($P84,FIYAT_KOD,0))="","",INDEX(FIYAT_ALAN,MATCH($P84,FIYAT_KOD,0))),IF(IF(INDEX(FIYAT_MODUL,MATCH($P84,FIYAT_KOD,0))="","",INDEX(FIYAT_MODUL,MATCH($P84,FIYAT_KOD,0)))&lt;&gt;"",$I84*IF(INDEX(FIYAT_MODUL,MATCH($P84,FIYAT_KOD,0))="","",INDEX(FIYAT_MODUL,MATCH($P84,FIYAT_KOD,0))),IF(IF(INDEX(FIYAT_GENISLIK,MATCH($P84,FIYAT_KOD,0))="","",INDEX(FIYAT_GENISLIK,MATCH($P84,FIYAT_KOD,0)))&lt;&gt;"",$I84*IF(INDEX(FIYAT_GENISLIK,MATCH($P84,FIYAT_KOD,0))="","",INDEX(FIYAT_GENISLIK,MATCH($P84,FIYAT_KOD,0)))/MODUL_GENISLIK_MM,""))))</f>
        <v/>
      </c>
      <c r="V84" s="4" t="str">
        <f>IF(OR($C84&lt;&gt;"шина",$I84=""),"",$I84*INDEX(FIYAT_KGM,MATCH($P84,FIYAT_KOD,0)))</f>
        <v/>
      </c>
      <c r="W84" s="4">
        <f t="shared" ref="W84:W103" si="62">IF($H84="","",$H84)</f>
        <v>12267</v>
      </c>
      <c r="Y84" s="5" t="s">
        <v>34</v>
      </c>
      <c r="Z84" s="4">
        <f>IF($P84="","",MAX(_xlfn.MAXIFS(DEVRE!$AM:$AM,DEVRE!$A:$A,$Q84,DEVRE!$C:$C,$P84),_xlfn.MAXIFS(DEVRE!$AM:$AM,DEVRE!$A:$A,$Q84,DEVRE!$H:$H,$P84)))</f>
        <v>0</v>
      </c>
      <c r="AA84" s="4">
        <f>IF(OR($I84="",$Q84="",$P84=""),"",$I84*INDEX(PANO_ADET,MATCH($Q84,PANO_ID,0)))</f>
        <v>1</v>
      </c>
      <c r="AB84" s="4">
        <f>IF($P84="",0,IF(AND($U84="",COUNTIF(ALAN_TIP_LIST,$C84)&gt;0),1,0))</f>
        <v>0</v>
      </c>
      <c r="AC84" s="4">
        <f>IF(OR($P84="",$C84&lt;&gt;"kontaktör"),0,IF(IF(INDEX(FIYAT_BOBIN,MATCH($P84,FIYAT_KOD,0))="","",INDEX(FIYAT_BOBIN,MATCH($P84,FIYAT_KOD,0)))="",1,0))</f>
        <v>0</v>
      </c>
    </row>
    <row r="85" spans="1:29" x14ac:dyDescent="0.35">
      <c r="A85" s="4">
        <f t="shared" si="39"/>
        <v>84</v>
      </c>
      <c r="B85" s="4" t="str">
        <f t="shared" si="51"/>
        <v>Выключатель нагрузки NXHB-125 3P 63A</v>
      </c>
      <c r="C85" s="5" t="s">
        <v>108</v>
      </c>
      <c r="D85" s="4" t="str">
        <f t="shared" si="52"/>
        <v>193183</v>
      </c>
      <c r="E85" s="4" t="str">
        <f t="shared" si="53"/>
        <v>Выключатель нагрузки NXHB-125 3P 63A</v>
      </c>
      <c r="F85" s="4">
        <f t="shared" si="54"/>
        <v>4217</v>
      </c>
      <c r="G85" s="4">
        <f t="shared" si="55"/>
        <v>2530.1999999999998</v>
      </c>
      <c r="H85" s="4">
        <f>IF(OR($G85="",$I85="",$M85="KONTROL",$M85="KAPSAM_DISI"),"",$G85*$I85)</f>
        <v>2530.1999999999998</v>
      </c>
      <c r="I85" s="4">
        <f>SUMIFS(DEVRE!$T:$T,DEVRE!$A:$A,$Q85,DEVRE!$C:$C,$P85)+SUMIFS(DEVRE!$U:$U,DEVRE!$A:$A,$Q85,DEVRE!$H:$H,$P85)</f>
        <v>1</v>
      </c>
      <c r="J85" s="4" t="str">
        <f t="shared" si="56"/>
        <v>шт</v>
      </c>
      <c r="K85" s="4" t="str">
        <f t="shared" si="57"/>
        <v>CHINT</v>
      </c>
      <c r="L85" s="4">
        <f t="shared" si="58"/>
        <v>2530.1999999999998</v>
      </c>
      <c r="M85" s="4" t="str">
        <f t="shared" si="59"/>
        <v>OK</v>
      </c>
      <c r="N85" s="4" t="s">
        <v>109</v>
      </c>
      <c r="O85" s="4" t="str">
        <f t="shared" si="60"/>
        <v>CHINT2608</v>
      </c>
      <c r="P85" s="5" t="s">
        <v>146</v>
      </c>
      <c r="Q85" s="4" t="str">
        <f t="shared" si="61"/>
        <v>P05</v>
      </c>
      <c r="R85" s="5" t="s">
        <v>111</v>
      </c>
      <c r="T85" s="4">
        <f>IF(OR($R85="",$I85=""),"",$I85*INDEX(NORM_DK,MATCH($R85,NORM_AD,0)))</f>
        <v>45</v>
      </c>
      <c r="U85" s="4">
        <f>IF(OR($P85="",$I85=""),"",IF(IF(INDEX(FIYAT_ALAN,MATCH($P85,FIYAT_KOD,0))="","",INDEX(FIYAT_ALAN,MATCH($P85,FIYAT_KOD,0)))&lt;&gt;"",$I85*IF(INDEX(FIYAT_ALAN,MATCH($P85,FIYAT_KOD,0))="","",INDEX(FIYAT_ALAN,MATCH($P85,FIYAT_KOD,0))),IF(IF(INDEX(FIYAT_MODUL,MATCH($P85,FIYAT_KOD,0))="","",INDEX(FIYAT_MODUL,MATCH($P85,FIYAT_KOD,0)))&lt;&gt;"",$I85*IF(INDEX(FIYAT_MODUL,MATCH($P85,FIYAT_KOD,0))="","",INDEX(FIYAT_MODUL,MATCH($P85,FIYAT_KOD,0))),IF(IF(INDEX(FIYAT_GENISLIK,MATCH($P85,FIYAT_KOD,0))="","",INDEX(FIYAT_GENISLIK,MATCH($P85,FIYAT_KOD,0)))&lt;&gt;"",$I85*IF(INDEX(FIYAT_GENISLIK,MATCH($P85,FIYAT_KOD,0))="","",INDEX(FIYAT_GENISLIK,MATCH($P85,FIYAT_KOD,0)))/MODUL_GENISLIK_MM,""))))</f>
        <v>3</v>
      </c>
      <c r="V85" s="4" t="str">
        <f>IF(OR($C85&lt;&gt;"шина",$I85=""),"",$I85*INDEX(FIYAT_KGM,MATCH($P85,FIYAT_KOD,0)))</f>
        <v/>
      </c>
      <c r="W85" s="4">
        <f t="shared" si="62"/>
        <v>2530.1999999999998</v>
      </c>
      <c r="Y85" s="5" t="s">
        <v>39</v>
      </c>
      <c r="Z85" s="4">
        <f>IF($P85="","",MAX(_xlfn.MAXIFS(DEVRE!$AM:$AM,DEVRE!$A:$A,$Q85,DEVRE!$C:$C,$P85),_xlfn.MAXIFS(DEVRE!$AM:$AM,DEVRE!$A:$A,$Q85,DEVRE!$H:$H,$P85)))</f>
        <v>0</v>
      </c>
      <c r="AA85" s="4">
        <f>IF(OR($I85="",$Q85="",$P85=""),"",$I85*INDEX(PANO_ADET,MATCH($Q85,PANO_ID,0)))</f>
        <v>1</v>
      </c>
      <c r="AB85" s="4">
        <f>IF($P85="",0,IF(AND($U85="",COUNTIF(ALAN_TIP_LIST,$C85)&gt;0),1,0))</f>
        <v>0</v>
      </c>
      <c r="AC85" s="4">
        <f>IF(OR($P85="",$C85&lt;&gt;"kontaktör"),0,IF(IF(INDEX(FIYAT_BOBIN,MATCH($P85,FIYAT_KOD,0))="","",INDEX(FIYAT_BOBIN,MATCH($P85,FIYAT_KOD,0)))="",1,0))</f>
        <v>0</v>
      </c>
    </row>
    <row r="86" spans="1:29" x14ac:dyDescent="0.35">
      <c r="A86" s="4">
        <f t="shared" si="39"/>
        <v>85</v>
      </c>
      <c r="B86" s="4" t="str">
        <f t="shared" si="51"/>
        <v>Авт. выкл. NXB-63 1P 10A 6кА х-ка C</v>
      </c>
      <c r="C86" s="5" t="s">
        <v>47</v>
      </c>
      <c r="D86" s="4" t="str">
        <f t="shared" si="52"/>
        <v>814013</v>
      </c>
      <c r="E86" s="4" t="str">
        <f t="shared" si="53"/>
        <v>Авт. выкл. NXB-63 1P 10A 6кА х-ка C</v>
      </c>
      <c r="F86" s="4">
        <f t="shared" si="54"/>
        <v>1362</v>
      </c>
      <c r="G86" s="4">
        <f t="shared" si="55"/>
        <v>817.19999999999993</v>
      </c>
      <c r="H86" s="4">
        <f>IF(OR($G86="",$I86="",$M86="KONTROL",$M86="KAPSAM_DISI"),"",$G86*$I86)</f>
        <v>1634.3999999999999</v>
      </c>
      <c r="I86" s="4">
        <f>SUMIFS(DEVRE!$T:$T,DEVRE!$A:$A,$Q86,DEVRE!$C:$C,$P86)+SUMIFS(DEVRE!$U:$U,DEVRE!$A:$A,$Q86,DEVRE!$H:$H,$P86)</f>
        <v>2</v>
      </c>
      <c r="J86" s="4" t="str">
        <f t="shared" si="56"/>
        <v>шт</v>
      </c>
      <c r="K86" s="4" t="str">
        <f t="shared" si="57"/>
        <v>CHINT</v>
      </c>
      <c r="L86" s="4">
        <f t="shared" si="58"/>
        <v>1634.3999999999999</v>
      </c>
      <c r="M86" s="4" t="str">
        <f t="shared" si="59"/>
        <v>OK</v>
      </c>
      <c r="N86" s="4" t="s">
        <v>163</v>
      </c>
      <c r="O86" s="4" t="str">
        <f t="shared" si="60"/>
        <v>CHINT2608</v>
      </c>
      <c r="P86" s="5" t="s">
        <v>164</v>
      </c>
      <c r="Q86" s="4" t="str">
        <f t="shared" si="61"/>
        <v>P05</v>
      </c>
      <c r="R86" s="5" t="s">
        <v>165</v>
      </c>
      <c r="T86" s="4">
        <f>IF(OR($R86="",$I86=""),"",$I86*INDEX(NORM_DK,MATCH($R86,NORM_AD,0)))</f>
        <v>6</v>
      </c>
      <c r="U86" s="4">
        <f>IF(OR($P86="",$I86=""),"",IF(IF(INDEX(FIYAT_ALAN,MATCH($P86,FIYAT_KOD,0))="","",INDEX(FIYAT_ALAN,MATCH($P86,FIYAT_KOD,0)))&lt;&gt;"",$I86*IF(INDEX(FIYAT_ALAN,MATCH($P86,FIYAT_KOD,0))="","",INDEX(FIYAT_ALAN,MATCH($P86,FIYAT_KOD,0))),IF(IF(INDEX(FIYAT_MODUL,MATCH($P86,FIYAT_KOD,0))="","",INDEX(FIYAT_MODUL,MATCH($P86,FIYAT_KOD,0)))&lt;&gt;"",$I86*IF(INDEX(FIYAT_MODUL,MATCH($P86,FIYAT_KOD,0))="","",INDEX(FIYAT_MODUL,MATCH($P86,FIYAT_KOD,0))),IF(IF(INDEX(FIYAT_GENISLIK,MATCH($P86,FIYAT_KOD,0))="","",INDEX(FIYAT_GENISLIK,MATCH($P86,FIYAT_KOD,0)))&lt;&gt;"",$I86*IF(INDEX(FIYAT_GENISLIK,MATCH($P86,FIYAT_KOD,0))="","",INDEX(FIYAT_GENISLIK,MATCH($P86,FIYAT_KOD,0)))/MODUL_GENISLIK_MM,""))))</f>
        <v>2</v>
      </c>
      <c r="V86" s="4" t="str">
        <f>IF(OR($C86&lt;&gt;"шина",$I86=""),"",$I86*INDEX(FIYAT_KGM,MATCH($P86,FIYAT_KOD,0)))</f>
        <v/>
      </c>
      <c r="W86" s="4">
        <f t="shared" si="62"/>
        <v>1634.3999999999999</v>
      </c>
      <c r="Y86" s="5" t="s">
        <v>39</v>
      </c>
      <c r="Z86" s="4">
        <f>IF($P86="","",MAX(_xlfn.MAXIFS(DEVRE!$AM:$AM,DEVRE!$A:$A,$Q86,DEVRE!$C:$C,$P86),_xlfn.MAXIFS(DEVRE!$AM:$AM,DEVRE!$A:$A,$Q86,DEVRE!$H:$H,$P86)))</f>
        <v>0</v>
      </c>
      <c r="AA86" s="4">
        <f>IF(OR($I86="",$Q86="",$P86=""),"",$I86*INDEX(PANO_ADET,MATCH($Q86,PANO_ID,0)))</f>
        <v>2</v>
      </c>
      <c r="AB86" s="4">
        <f>IF($P86="",0,IF(AND($U86="",COUNTIF(ALAN_TIP_LIST,$C86)&gt;0),1,0))</f>
        <v>0</v>
      </c>
      <c r="AC86" s="4">
        <f>IF(OR($P86="",$C86&lt;&gt;"kontaktör"),0,IF(IF(INDEX(FIYAT_BOBIN,MATCH($P86,FIYAT_KOD,0))="","",INDEX(FIYAT_BOBIN,MATCH($P86,FIYAT_KOD,0)))="",1,0))</f>
        <v>0</v>
      </c>
    </row>
    <row r="87" spans="1:29" x14ac:dyDescent="0.35">
      <c r="A87" s="4">
        <f t="shared" si="39"/>
        <v>86</v>
      </c>
      <c r="B87" s="4" t="str">
        <f t="shared" si="51"/>
        <v>Авт. выкл. NXB-63 1P 16A 6кА х-ка C</v>
      </c>
      <c r="C87" s="5" t="s">
        <v>47</v>
      </c>
      <c r="D87" s="4" t="str">
        <f t="shared" si="52"/>
        <v>814014</v>
      </c>
      <c r="E87" s="4" t="str">
        <f t="shared" si="53"/>
        <v>Авт. выкл. NXB-63 1P 16A 6кА х-ка C</v>
      </c>
      <c r="F87" s="4">
        <f t="shared" si="54"/>
        <v>1389</v>
      </c>
      <c r="G87" s="4">
        <f t="shared" si="55"/>
        <v>833.4</v>
      </c>
      <c r="H87" s="4">
        <f>IF(OR($G87="",$I87="",$M87="KONTROL",$M87="KAPSAM_DISI"),"",$G87*$I87)</f>
        <v>5833.8</v>
      </c>
      <c r="I87" s="4">
        <f>SUMIFS(DEVRE!$T:$T,DEVRE!$A:$A,$Q87,DEVRE!$C:$C,$P87)+SUMIFS(DEVRE!$U:$U,DEVRE!$A:$A,$Q87,DEVRE!$H:$H,$P87)</f>
        <v>7</v>
      </c>
      <c r="J87" s="4" t="str">
        <f t="shared" si="56"/>
        <v>шт</v>
      </c>
      <c r="K87" s="4" t="str">
        <f t="shared" si="57"/>
        <v>CHINT</v>
      </c>
      <c r="L87" s="4">
        <f t="shared" si="58"/>
        <v>5833.8</v>
      </c>
      <c r="M87" s="4" t="str">
        <f t="shared" si="59"/>
        <v>OK</v>
      </c>
      <c r="N87" s="4" t="s">
        <v>166</v>
      </c>
      <c r="O87" s="4" t="str">
        <f t="shared" si="60"/>
        <v>CHINT2608</v>
      </c>
      <c r="P87" s="5" t="s">
        <v>167</v>
      </c>
      <c r="Q87" s="4" t="str">
        <f t="shared" si="61"/>
        <v>P05</v>
      </c>
      <c r="R87" s="5" t="s">
        <v>165</v>
      </c>
      <c r="T87" s="4">
        <f>IF(OR($R87="",$I87=""),"",$I87*INDEX(NORM_DK,MATCH($R87,NORM_AD,0)))</f>
        <v>21</v>
      </c>
      <c r="U87" s="4">
        <f>IF(OR($P87="",$I87=""),"",IF(IF(INDEX(FIYAT_ALAN,MATCH($P87,FIYAT_KOD,0))="","",INDEX(FIYAT_ALAN,MATCH($P87,FIYAT_KOD,0)))&lt;&gt;"",$I87*IF(INDEX(FIYAT_ALAN,MATCH($P87,FIYAT_KOD,0))="","",INDEX(FIYAT_ALAN,MATCH($P87,FIYAT_KOD,0))),IF(IF(INDEX(FIYAT_MODUL,MATCH($P87,FIYAT_KOD,0))="","",INDEX(FIYAT_MODUL,MATCH($P87,FIYAT_KOD,0)))&lt;&gt;"",$I87*IF(INDEX(FIYAT_MODUL,MATCH($P87,FIYAT_KOD,0))="","",INDEX(FIYAT_MODUL,MATCH($P87,FIYAT_KOD,0))),IF(IF(INDEX(FIYAT_GENISLIK,MATCH($P87,FIYAT_KOD,0))="","",INDEX(FIYAT_GENISLIK,MATCH($P87,FIYAT_KOD,0)))&lt;&gt;"",$I87*IF(INDEX(FIYAT_GENISLIK,MATCH($P87,FIYAT_KOD,0))="","",INDEX(FIYAT_GENISLIK,MATCH($P87,FIYAT_KOD,0)))/MODUL_GENISLIK_MM,""))))</f>
        <v>7</v>
      </c>
      <c r="V87" s="4" t="str">
        <f>IF(OR($C87&lt;&gt;"шина",$I87=""),"",$I87*INDEX(FIYAT_KGM,MATCH($P87,FIYAT_KOD,0)))</f>
        <v/>
      </c>
      <c r="W87" s="4">
        <f t="shared" si="62"/>
        <v>5833.8</v>
      </c>
      <c r="Y87" s="5" t="s">
        <v>39</v>
      </c>
      <c r="Z87" s="4">
        <f>IF($P87="","",MAX(_xlfn.MAXIFS(DEVRE!$AM:$AM,DEVRE!$A:$A,$Q87,DEVRE!$C:$C,$P87),_xlfn.MAXIFS(DEVRE!$AM:$AM,DEVRE!$A:$A,$Q87,DEVRE!$H:$H,$P87)))</f>
        <v>0</v>
      </c>
      <c r="AA87" s="4">
        <f>IF(OR($I87="",$Q87="",$P87=""),"",$I87*INDEX(PANO_ADET,MATCH($Q87,PANO_ID,0)))</f>
        <v>7</v>
      </c>
      <c r="AB87" s="4">
        <f>IF($P87="",0,IF(AND($U87="",COUNTIF(ALAN_TIP_LIST,$C87)&gt;0),1,0))</f>
        <v>0</v>
      </c>
      <c r="AC87" s="4">
        <f>IF(OR($P87="",$C87&lt;&gt;"kontaktör"),0,IF(IF(INDEX(FIYAT_BOBIN,MATCH($P87,FIYAT_KOD,0))="","",INDEX(FIYAT_BOBIN,MATCH($P87,FIYAT_KOD,0)))="",1,0))</f>
        <v>0</v>
      </c>
    </row>
    <row r="88" spans="1:29" x14ac:dyDescent="0.35">
      <c r="A88" s="4">
        <f t="shared" si="39"/>
        <v>87</v>
      </c>
      <c r="B88" s="4" t="str">
        <f t="shared" si="51"/>
        <v>Диф. авт. выкл. NXBLE-63 4P C40 30mA тип AC 6kA</v>
      </c>
      <c r="C88" s="5" t="s">
        <v>147</v>
      </c>
      <c r="D88" s="4" t="str">
        <f t="shared" si="52"/>
        <v>982161</v>
      </c>
      <c r="E88" s="4" t="str">
        <f t="shared" si="53"/>
        <v>Диф. авт. выкл. NXBLE-63 4P C40 30mA тип AC 6kA</v>
      </c>
      <c r="F88" s="4">
        <f t="shared" si="54"/>
        <v>11813</v>
      </c>
      <c r="G88" s="4">
        <f t="shared" si="55"/>
        <v>7087.8</v>
      </c>
      <c r="H88" s="4">
        <f>IF(OR($G88="",$I88="",$M88="KONTROL",$M88="KAPSAM_DISI"),"",$G88*$I88)</f>
        <v>7087.8</v>
      </c>
      <c r="I88" s="4">
        <f>SUMIFS(DEVRE!$T:$T,DEVRE!$A:$A,$Q88,DEVRE!$C:$C,$P88)+SUMIFS(DEVRE!$U:$U,DEVRE!$A:$A,$Q88,DEVRE!$H:$H,$P88)</f>
        <v>1</v>
      </c>
      <c r="J88" s="4" t="str">
        <f t="shared" si="56"/>
        <v>шт</v>
      </c>
      <c r="K88" s="4" t="str">
        <f t="shared" si="57"/>
        <v>CHINT</v>
      </c>
      <c r="L88" s="4">
        <f t="shared" si="58"/>
        <v>7087.8</v>
      </c>
      <c r="M88" s="4" t="str">
        <f t="shared" si="59"/>
        <v>CIHAZ_BELIRSIZ</v>
      </c>
      <c r="N88" s="4" t="s">
        <v>168</v>
      </c>
      <c r="O88" s="4" t="str">
        <f t="shared" si="60"/>
        <v>CHINT2608</v>
      </c>
      <c r="P88" s="5" t="s">
        <v>169</v>
      </c>
      <c r="Q88" s="4" t="str">
        <f t="shared" si="61"/>
        <v>P05</v>
      </c>
      <c r="R88" s="5" t="s">
        <v>170</v>
      </c>
      <c r="T88" s="4">
        <f>IF(OR($R88="",$I88=""),"",$I88*INDEX(NORM_DK,MATCH($R88,NORM_AD,0)))</f>
        <v>0</v>
      </c>
      <c r="U88" s="4">
        <f>IF(OR($P88="",$I88=""),"",IF(IF(INDEX(FIYAT_ALAN,MATCH($P88,FIYAT_KOD,0))="","",INDEX(FIYAT_ALAN,MATCH($P88,FIYAT_KOD,0)))&lt;&gt;"",$I88*IF(INDEX(FIYAT_ALAN,MATCH($P88,FIYAT_KOD,0))="","",INDEX(FIYAT_ALAN,MATCH($P88,FIYAT_KOD,0))),IF(IF(INDEX(FIYAT_MODUL,MATCH($P88,FIYAT_KOD,0))="","",INDEX(FIYAT_MODUL,MATCH($P88,FIYAT_KOD,0)))&lt;&gt;"",$I88*IF(INDEX(FIYAT_MODUL,MATCH($P88,FIYAT_KOD,0))="","",INDEX(FIYAT_MODUL,MATCH($P88,FIYAT_KOD,0))),IF(IF(INDEX(FIYAT_GENISLIK,MATCH($P88,FIYAT_KOD,0))="","",INDEX(FIYAT_GENISLIK,MATCH($P88,FIYAT_KOD,0)))&lt;&gt;"",$I88*IF(INDEX(FIYAT_GENISLIK,MATCH($P88,FIYAT_KOD,0))="","",INDEX(FIYAT_GENISLIK,MATCH($P88,FIYAT_KOD,0)))/MODUL_GENISLIK_MM,""))))</f>
        <v>4</v>
      </c>
      <c r="V88" s="4" t="str">
        <f>IF(OR($C88&lt;&gt;"шина",$I88=""),"",$I88*INDEX(FIYAT_KGM,MATCH($P88,FIYAT_KOD,0)))</f>
        <v/>
      </c>
      <c r="W88" s="4">
        <f t="shared" si="62"/>
        <v>7087.8</v>
      </c>
      <c r="Y88" s="5" t="s">
        <v>39</v>
      </c>
      <c r="Z88" s="4">
        <f>IF($P88="","",MAX(_xlfn.MAXIFS(DEVRE!$AM:$AM,DEVRE!$A:$A,$Q88,DEVRE!$C:$C,$P88),_xlfn.MAXIFS(DEVRE!$AM:$AM,DEVRE!$A:$A,$Q88,DEVRE!$H:$H,$P88)))</f>
        <v>7</v>
      </c>
      <c r="AA88" s="4">
        <f>IF(OR($I88="",$Q88="",$P88=""),"",$I88*INDEX(PANO_ADET,MATCH($Q88,PANO_ID,0)))</f>
        <v>1</v>
      </c>
      <c r="AB88" s="4">
        <f>IF($P88="",0,IF(AND($U88="",COUNTIF(ALAN_TIP_LIST,$C88)&gt;0),1,0))</f>
        <v>0</v>
      </c>
      <c r="AC88" s="4">
        <f>IF(OR($P88="",$C88&lt;&gt;"kontaktör"),0,IF(IF(INDEX(FIYAT_BOBIN,MATCH($P88,FIYAT_KOD,0))="","",INDEX(FIYAT_BOBIN,MATCH($P88,FIYAT_KOD,0)))="",1,0))</f>
        <v>0</v>
      </c>
    </row>
    <row r="89" spans="1:29" x14ac:dyDescent="0.35">
      <c r="A89" s="4">
        <f t="shared" si="39"/>
        <v>88</v>
      </c>
      <c r="B89" s="4" t="str">
        <f t="shared" si="51"/>
        <v>Шина соединительная типа FORK 1P, 63А, L=1000мм</v>
      </c>
      <c r="C89" s="5" t="s">
        <v>120</v>
      </c>
      <c r="D89" s="4" t="str">
        <f t="shared" si="52"/>
        <v>811008</v>
      </c>
      <c r="E89" s="4" t="str">
        <f t="shared" si="53"/>
        <v>Шина соединительная типа FORK 1P, 63А, L=1000мм</v>
      </c>
      <c r="F89" s="4">
        <f t="shared" si="54"/>
        <v>5438</v>
      </c>
      <c r="G89" s="4">
        <f t="shared" si="55"/>
        <v>3262.7999999999997</v>
      </c>
      <c r="H89" s="4" t="str">
        <f>IF(OR($G89="",$I89="",$M89="KONTROL",$M89="KAPSAM_DISI"),"",$G89*$I89)</f>
        <v/>
      </c>
      <c r="I89" s="4">
        <f>IF(COUNTIFS(DEVRE!$A:$A,$Q89,DEVRE!$D:$D,"CIKIS",DEVRE!$AO:$AO,$X89,DEVRE!$Q:$Q,"&lt;="&amp;TARAK_MAX_A,DEVRE!$P:$P,"OTO")+COUNTIFS(DEVRE!$A:$A,$Q89,DEVRE!$D:$D,"CIKIS",DEVRE!$AO:$AO,$X89,DEVRE!$Q:$Q,"&lt;="&amp;TARAK_MAX_A,DEVRE!$P:$P,"DİF")&lt;TARAK_MIN_CIHAZ,"",ROUNDUP((SUMIFS(DEVRE!$AH:$AH,DEVRE!$A:$A,$Q89,DEVRE!$D:$D,"CIKIS",DEVRE!$AO:$AO,$X89,DEVRE!$Q:$Q,"&lt;="&amp;TARAK_MAX_A,DEVRE!$P:$P,"OTO")+SUMIFS(DEVRE!$AH:$AH,DEVRE!$A:$A,$Q89,DEVRE!$D:$D,"CIKIS",DEVRE!$AO:$AO,$X89,DEVRE!$Q:$Q,"&lt;="&amp;TARAK_MAX_A,DEVRE!$P:$P,"DİF"))/TARAK_MOD_ADET,0))</f>
        <v>1</v>
      </c>
      <c r="J89" s="4" t="str">
        <f t="shared" si="56"/>
        <v>шт</v>
      </c>
      <c r="K89" s="4" t="str">
        <f t="shared" si="57"/>
        <v>CHINT</v>
      </c>
      <c r="L89" s="4" t="str">
        <f t="shared" si="58"/>
        <v/>
      </c>
      <c r="M89" s="4" t="str">
        <f t="shared" si="59"/>
        <v>KONTROL</v>
      </c>
      <c r="N89" s="4" t="s">
        <v>171</v>
      </c>
      <c r="O89" s="4" t="str">
        <f t="shared" si="60"/>
        <v>CHINT2608</v>
      </c>
      <c r="P89" s="5" t="s">
        <v>172</v>
      </c>
      <c r="Q89" s="4" t="str">
        <f t="shared" si="61"/>
        <v>P05</v>
      </c>
      <c r="R89" s="5" t="s">
        <v>123</v>
      </c>
      <c r="S89" s="5" t="s">
        <v>124</v>
      </c>
      <c r="T89" s="4">
        <f>IF(OR($R89="",$I89=""),"",$I89*INDEX(NORM_DK,MATCH($R89,NORM_AD,0)))</f>
        <v>10</v>
      </c>
      <c r="U89" s="4" t="str">
        <f>IF(OR($P89="",$I89=""),"",IF(IF(INDEX(FIYAT_ALAN,MATCH($P89,FIYAT_KOD,0))="","",INDEX(FIYAT_ALAN,MATCH($P89,FIYAT_KOD,0)))&lt;&gt;"",$I89*IF(INDEX(FIYAT_ALAN,MATCH($P89,FIYAT_KOD,0))="","",INDEX(FIYAT_ALAN,MATCH($P89,FIYAT_KOD,0))),IF(IF(INDEX(FIYAT_MODUL,MATCH($P89,FIYAT_KOD,0))="","",INDEX(FIYAT_MODUL,MATCH($P89,FIYAT_KOD,0)))&lt;&gt;"",$I89*IF(INDEX(FIYAT_MODUL,MATCH($P89,FIYAT_KOD,0))="","",INDEX(FIYAT_MODUL,MATCH($P89,FIYAT_KOD,0))),IF(IF(INDEX(FIYAT_GENISLIK,MATCH($P89,FIYAT_KOD,0))="","",INDEX(FIYAT_GENISLIK,MATCH($P89,FIYAT_KOD,0)))&lt;&gt;"",$I89*IF(INDEX(FIYAT_GENISLIK,MATCH($P89,FIYAT_KOD,0))="","",INDEX(FIYAT_GENISLIK,MATCH($P89,FIYAT_KOD,0)))/MODUL_GENISLIK_MM,""))))</f>
        <v/>
      </c>
      <c r="V89" s="4" t="str">
        <f>IF(OR($C89&lt;&gt;"шина",$I89=""),"",$I89*INDEX(FIYAT_KGM,MATCH($P89,FIYAT_KOD,0)))</f>
        <v/>
      </c>
      <c r="W89" s="4" t="str">
        <f t="shared" si="62"/>
        <v/>
      </c>
      <c r="X89" s="5" t="s">
        <v>173</v>
      </c>
      <c r="Y89" s="5" t="s">
        <v>126</v>
      </c>
      <c r="Z89" s="4">
        <f>IF($P89="","",MAX(_xlfn.MAXIFS(DEVRE!$AM:$AM,DEVRE!$A:$A,$Q89,DEVRE!$C:$C,$P89),_xlfn.MAXIFS(DEVRE!$AM:$AM,DEVRE!$A:$A,$Q89,DEVRE!$H:$H,$P89)))</f>
        <v>0</v>
      </c>
      <c r="AA89" s="4">
        <f>IF(OR($I89="",$Q89="",$P89=""),"",$I89*INDEX(PANO_ADET,MATCH($Q89,PANO_ID,0)))</f>
        <v>1</v>
      </c>
      <c r="AB89" s="4">
        <f>IF($P89="",0,IF(AND($U89="",COUNTIF(ALAN_TIP_LIST,$C89)&gt;0),1,0))</f>
        <v>0</v>
      </c>
      <c r="AC89" s="4">
        <f>IF(OR($P89="",$C89&lt;&gt;"kontaktör"),0,IF(IF(INDEX(FIYAT_BOBIN,MATCH($P89,FIYAT_KOD,0))="","",INDEX(FIYAT_BOBIN,MATCH($P89,FIYAT_KOD,0)))="",1,0))</f>
        <v>0</v>
      </c>
    </row>
    <row r="90" spans="1:29" x14ac:dyDescent="0.35">
      <c r="A90" s="4">
        <f t="shared" si="39"/>
        <v>89</v>
      </c>
      <c r="B90" s="4" t="str">
        <f t="shared" si="51"/>
        <v/>
      </c>
      <c r="C90" s="5" t="s">
        <v>51</v>
      </c>
      <c r="D90" s="4" t="str">
        <f t="shared" si="52"/>
        <v/>
      </c>
      <c r="E90" s="4" t="str">
        <f t="shared" si="53"/>
        <v/>
      </c>
      <c r="F90" s="4" t="str">
        <f t="shared" si="54"/>
        <v/>
      </c>
      <c r="G90" s="4" t="str">
        <f t="shared" si="55"/>
        <v/>
      </c>
      <c r="H90" s="4" t="str">
        <f>IF(OR($G90="",$I90="",$M90="KONTROL",$M90="KAPSAM_DISI"),"",$G90*$I90)</f>
        <v/>
      </c>
      <c r="I90" s="4">
        <f>IF(INDEX(PANO_BARA_GEREK,MATCH($Q90,PANO_ID,0))="HAYIR",2,"")</f>
        <v>2</v>
      </c>
      <c r="J90" s="4" t="str">
        <f t="shared" si="56"/>
        <v/>
      </c>
      <c r="K90" s="4" t="str">
        <f t="shared" si="57"/>
        <v/>
      </c>
      <c r="L90" s="4" t="str">
        <f t="shared" si="58"/>
        <v/>
      </c>
      <c r="M90" s="4" t="str">
        <f t="shared" si="59"/>
        <v/>
      </c>
      <c r="N90" s="4" t="s">
        <v>75</v>
      </c>
      <c r="O90" s="4" t="str">
        <f t="shared" si="60"/>
        <v/>
      </c>
      <c r="P90" s="4" t="str">
        <f>IF(NOTR_BARA_KOD="","",NOTR_BARA_KOD)</f>
        <v/>
      </c>
      <c r="Q90" s="4" t="str">
        <f t="shared" si="61"/>
        <v>P05</v>
      </c>
      <c r="S90" s="5" t="s">
        <v>47</v>
      </c>
      <c r="T90" s="4" t="str">
        <f>IF(OR($R90="",$I90=""),"",$I90*INDEX(NORM_DK,MATCH($R90,NORM_AD,0)))</f>
        <v/>
      </c>
      <c r="U90" s="4" t="str">
        <f>IF(OR($P90="",$I90=""),"",IF(IF(INDEX(FIYAT_ALAN,MATCH($P90,FIYAT_KOD,0))="","",INDEX(FIYAT_ALAN,MATCH($P90,FIYAT_KOD,0)))&lt;&gt;"",$I90*IF(INDEX(FIYAT_ALAN,MATCH($P90,FIYAT_KOD,0))="","",INDEX(FIYAT_ALAN,MATCH($P90,FIYAT_KOD,0))),IF(IF(INDEX(FIYAT_MODUL,MATCH($P90,FIYAT_KOD,0))="","",INDEX(FIYAT_MODUL,MATCH($P90,FIYAT_KOD,0)))&lt;&gt;"",$I90*IF(INDEX(FIYAT_MODUL,MATCH($P90,FIYAT_KOD,0))="","",INDEX(FIYAT_MODUL,MATCH($P90,FIYAT_KOD,0))),IF(IF(INDEX(FIYAT_GENISLIK,MATCH($P90,FIYAT_KOD,0))="","",INDEX(FIYAT_GENISLIK,MATCH($P90,FIYAT_KOD,0)))&lt;&gt;"",$I90*IF(INDEX(FIYAT_GENISLIK,MATCH($P90,FIYAT_KOD,0))="","",INDEX(FIYAT_GENISLIK,MATCH($P90,FIYAT_KOD,0)))/MODUL_GENISLIK_MM,""))))</f>
        <v/>
      </c>
      <c r="V90" s="4" t="str">
        <f>IF(OR($C90&lt;&gt;"шина",$I90=""),"",$I90*INDEX(FIYAT_KGM,MATCH($P90,FIYAT_KOD,0)))</f>
        <v/>
      </c>
      <c r="W90" s="4" t="str">
        <f t="shared" si="62"/>
        <v/>
      </c>
      <c r="Y90" s="5" t="s">
        <v>76</v>
      </c>
      <c r="Z90" s="4" t="str">
        <f>IF($P90="","",MAX(_xlfn.MAXIFS(DEVRE!$AM:$AM,DEVRE!$A:$A,$Q90,DEVRE!$C:$C,$P90),_xlfn.MAXIFS(DEVRE!$AM:$AM,DEVRE!$A:$A,$Q90,DEVRE!$H:$H,$P90)))</f>
        <v/>
      </c>
      <c r="AA90" s="4" t="str">
        <f>IF(OR($I90="",$Q90="",$P90=""),"",$I90*INDEX(PANO_ADET,MATCH($Q90,PANO_ID,0)))</f>
        <v/>
      </c>
      <c r="AB90" s="4">
        <f>IF($P90="",0,IF(AND($U90="",COUNTIF(ALAN_TIP_LIST,$C90)&gt;0),1,0))</f>
        <v>0</v>
      </c>
      <c r="AC90" s="4">
        <f>IF(OR($P90="",$C90&lt;&gt;"kontaktör"),0,IF(IF(INDEX(FIYAT_BOBIN,MATCH($P90,FIYAT_KOD,0))="","",INDEX(FIYAT_BOBIN,MATCH($P90,FIYAT_KOD,0)))="",1,0))</f>
        <v>0</v>
      </c>
    </row>
    <row r="91" spans="1:29" x14ac:dyDescent="0.35">
      <c r="A91" s="4">
        <f t="shared" si="39"/>
        <v>90</v>
      </c>
      <c r="B91" s="4" t="str">
        <f t="shared" si="51"/>
        <v/>
      </c>
      <c r="C91" s="5" t="s">
        <v>77</v>
      </c>
      <c r="D91" s="4" t="str">
        <f t="shared" si="52"/>
        <v/>
      </c>
      <c r="E91" s="4" t="str">
        <f t="shared" si="53"/>
        <v/>
      </c>
      <c r="F91" s="4" t="str">
        <f t="shared" si="54"/>
        <v/>
      </c>
      <c r="G91" s="4" t="str">
        <f t="shared" si="55"/>
        <v/>
      </c>
      <c r="H91" s="4" t="str">
        <f>IF(OR($G91="",$I91="",$M91="KONTROL",$M91="KAPSAM_DISI"),"",$G91*$I91)</f>
        <v/>
      </c>
      <c r="I91" s="4" t="str">
        <f>INDEX(PANO_DIN_M,MATCH($Q91,PANO_ID,0))</f>
        <v/>
      </c>
      <c r="J91" s="4" t="str">
        <f t="shared" si="56"/>
        <v/>
      </c>
      <c r="K91" s="4" t="str">
        <f t="shared" si="57"/>
        <v/>
      </c>
      <c r="L91" s="4" t="str">
        <f t="shared" si="58"/>
        <v/>
      </c>
      <c r="M91" s="4" t="str">
        <f t="shared" si="59"/>
        <v/>
      </c>
      <c r="N91" s="4" t="s">
        <v>78</v>
      </c>
      <c r="O91" s="4" t="str">
        <f t="shared" si="60"/>
        <v/>
      </c>
      <c r="P91" s="4" t="str">
        <f>IF(DINRAY_KOD="","",DINRAY_KOD)</f>
        <v/>
      </c>
      <c r="Q91" s="4" t="str">
        <f t="shared" si="61"/>
        <v>P05</v>
      </c>
      <c r="R91" s="5" t="s">
        <v>79</v>
      </c>
      <c r="S91" s="5" t="s">
        <v>47</v>
      </c>
      <c r="T91" s="4" t="str">
        <f>IF(OR($R91="",$I91=""),"",$I91*INDEX(NORM_DK,MATCH($R91,NORM_AD,0)))</f>
        <v/>
      </c>
      <c r="U91" s="4" t="str">
        <f>IF(OR($P91="",$I91=""),"",IF(IF(INDEX(FIYAT_ALAN,MATCH($P91,FIYAT_KOD,0))="","",INDEX(FIYAT_ALAN,MATCH($P91,FIYAT_KOD,0)))&lt;&gt;"",$I91*IF(INDEX(FIYAT_ALAN,MATCH($P91,FIYAT_KOD,0))="","",INDEX(FIYAT_ALAN,MATCH($P91,FIYAT_KOD,0))),IF(IF(INDEX(FIYAT_MODUL,MATCH($P91,FIYAT_KOD,0))="","",INDEX(FIYAT_MODUL,MATCH($P91,FIYAT_KOD,0)))&lt;&gt;"",$I91*IF(INDEX(FIYAT_MODUL,MATCH($P91,FIYAT_KOD,0))="","",INDEX(FIYAT_MODUL,MATCH($P91,FIYAT_KOD,0))),IF(IF(INDEX(FIYAT_GENISLIK,MATCH($P91,FIYAT_KOD,0))="","",INDEX(FIYAT_GENISLIK,MATCH($P91,FIYAT_KOD,0)))&lt;&gt;"",$I91*IF(INDEX(FIYAT_GENISLIK,MATCH($P91,FIYAT_KOD,0))="","",INDEX(FIYAT_GENISLIK,MATCH($P91,FIYAT_KOD,0)))/MODUL_GENISLIK_MM,""))))</f>
        <v/>
      </c>
      <c r="V91" s="4" t="str">
        <f>IF(OR($C91&lt;&gt;"шина",$I91=""),"",$I91*INDEX(FIYAT_KGM,MATCH($P91,FIYAT_KOD,0)))</f>
        <v/>
      </c>
      <c r="W91" s="4" t="str">
        <f t="shared" si="62"/>
        <v/>
      </c>
      <c r="Y91" s="5" t="s">
        <v>80</v>
      </c>
      <c r="Z91" s="4" t="str">
        <f>IF($P91="","",MAX(_xlfn.MAXIFS(DEVRE!$AM:$AM,DEVRE!$A:$A,$Q91,DEVRE!$C:$C,$P91),_xlfn.MAXIFS(DEVRE!$AM:$AM,DEVRE!$A:$A,$Q91,DEVRE!$H:$H,$P91)))</f>
        <v/>
      </c>
      <c r="AA91" s="4" t="str">
        <f>IF(OR($I91="",$Q91="",$P91=""),"",$I91*INDEX(PANO_ADET,MATCH($Q91,PANO_ID,0)))</f>
        <v/>
      </c>
      <c r="AB91" s="4">
        <f>IF($P91="",0,IF(AND($U91="",COUNTIF(ALAN_TIP_LIST,$C91)&gt;0),1,0))</f>
        <v>0</v>
      </c>
      <c r="AC91" s="4">
        <f>IF(OR($P91="",$C91&lt;&gt;"kontaktör"),0,IF(IF(INDEX(FIYAT_BOBIN,MATCH($P91,FIYAT_KOD,0))="","",INDEX(FIYAT_BOBIN,MATCH($P91,FIYAT_KOD,0)))="",1,0))</f>
        <v>0</v>
      </c>
    </row>
    <row r="92" spans="1:29" x14ac:dyDescent="0.35">
      <c r="A92" s="4">
        <f t="shared" si="39"/>
        <v>91</v>
      </c>
      <c r="B92" s="4" t="str">
        <f t="shared" si="51"/>
        <v>Лоток перфорированный 50х 50х3000 (0,7 мм) EKT</v>
      </c>
      <c r="C92" s="5" t="s">
        <v>81</v>
      </c>
      <c r="D92" s="4" t="str">
        <f t="shared" si="52"/>
        <v>280300704</v>
      </c>
      <c r="E92" s="4" t="str">
        <f t="shared" si="53"/>
        <v>Лоток перфорированный 50х 50х3000 (0,7 мм) EKT</v>
      </c>
      <c r="F92" s="4">
        <f t="shared" si="54"/>
        <v>1022</v>
      </c>
      <c r="G92" s="4">
        <f t="shared" si="55"/>
        <v>1022</v>
      </c>
      <c r="H92" s="4" t="str">
        <f>IF(OR($G92="",$I92="",$M92="KONTROL",$M92="KAPSAM_DISI"),"",$G92*$I92)</f>
        <v/>
      </c>
      <c r="I92" s="4" t="str">
        <f>INDEX(PANO_KANAL_M,MATCH($Q92,PANO_ID,0))</f>
        <v/>
      </c>
      <c r="J92" s="4" t="str">
        <f t="shared" si="56"/>
        <v>м</v>
      </c>
      <c r="K92" s="4" t="str">
        <f t="shared" si="57"/>
        <v>EKT</v>
      </c>
      <c r="L92" s="4" t="str">
        <f t="shared" si="58"/>
        <v/>
      </c>
      <c r="M92" s="4" t="str">
        <f t="shared" si="59"/>
        <v>MUADIL_ONAY</v>
      </c>
      <c r="N92" s="4" t="s">
        <v>82</v>
      </c>
      <c r="O92" s="4" t="str">
        <f t="shared" si="60"/>
        <v>EKT2506</v>
      </c>
      <c r="P92" s="4" t="str">
        <f>INDEX(PANO_KANAL_KOD,MATCH($Q92,PANO_ID,0))</f>
        <v>EKT-280300704</v>
      </c>
      <c r="Q92" s="4" t="str">
        <f t="shared" si="61"/>
        <v>P05</v>
      </c>
      <c r="R92" s="5" t="s">
        <v>83</v>
      </c>
      <c r="S92" s="5" t="s">
        <v>84</v>
      </c>
      <c r="T92" s="4" t="str">
        <f>IF(OR($R92="",$I92=""),"",$I92*INDEX(NORM_DK,MATCH($R92,NORM_AD,0)))</f>
        <v/>
      </c>
      <c r="U92" s="4" t="str">
        <f>IF(OR($P92="",$I92=""),"",IF(IF(INDEX(FIYAT_ALAN,MATCH($P92,FIYAT_KOD,0))="","",INDEX(FIYAT_ALAN,MATCH($P92,FIYAT_KOD,0)))&lt;&gt;"",$I92*IF(INDEX(FIYAT_ALAN,MATCH($P92,FIYAT_KOD,0))="","",INDEX(FIYAT_ALAN,MATCH($P92,FIYAT_KOD,0))),IF(IF(INDEX(FIYAT_MODUL,MATCH($P92,FIYAT_KOD,0))="","",INDEX(FIYAT_MODUL,MATCH($P92,FIYAT_KOD,0)))&lt;&gt;"",$I92*IF(INDEX(FIYAT_MODUL,MATCH($P92,FIYAT_KOD,0))="","",INDEX(FIYAT_MODUL,MATCH($P92,FIYAT_KOD,0))),IF(IF(INDEX(FIYAT_GENISLIK,MATCH($P92,FIYAT_KOD,0))="","",INDEX(FIYAT_GENISLIK,MATCH($P92,FIYAT_KOD,0)))&lt;&gt;"",$I92*IF(INDEX(FIYAT_GENISLIK,MATCH($P92,FIYAT_KOD,0))="","",INDEX(FIYAT_GENISLIK,MATCH($P92,FIYAT_KOD,0)))/MODUL_GENISLIK_MM,""))))</f>
        <v/>
      </c>
      <c r="V92" s="4" t="str">
        <f>IF(OR($C92&lt;&gt;"шина",$I92=""),"",$I92*INDEX(FIYAT_KGM,MATCH($P92,FIYAT_KOD,0)))</f>
        <v/>
      </c>
      <c r="W92" s="4" t="str">
        <f t="shared" si="62"/>
        <v/>
      </c>
      <c r="Y92" s="5" t="s">
        <v>85</v>
      </c>
      <c r="Z92" s="4">
        <f>IF($P92="","",MAX(_xlfn.MAXIFS(DEVRE!$AM:$AM,DEVRE!$A:$A,$Q92,DEVRE!$C:$C,$P92),_xlfn.MAXIFS(DEVRE!$AM:$AM,DEVRE!$A:$A,$Q92,DEVRE!$H:$H,$P92)))</f>
        <v>0</v>
      </c>
      <c r="AA92" s="4" t="str">
        <f>IF(OR($I92="",$Q92="",$P92=""),"",$I92*INDEX(PANO_ADET,MATCH($Q92,PANO_ID,0)))</f>
        <v/>
      </c>
      <c r="AB92" s="4">
        <f>IF($P92="",0,IF(AND($U92="",COUNTIF(ALAN_TIP_LIST,$C92)&gt;0),1,0))</f>
        <v>0</v>
      </c>
      <c r="AC92" s="4">
        <f>IF(OR($P92="",$C92&lt;&gt;"kontaktör"),0,IF(IF(INDEX(FIYAT_BOBIN,MATCH($P92,FIYAT_KOD,0))="","",INDEX(FIYAT_BOBIN,MATCH($P92,FIYAT_KOD,0)))="",1,0))</f>
        <v>0</v>
      </c>
    </row>
    <row r="93" spans="1:29" x14ac:dyDescent="0.35">
      <c r="A93" s="4">
        <f t="shared" si="39"/>
        <v>92</v>
      </c>
      <c r="B93" s="4" t="str">
        <f t="shared" si="51"/>
        <v>Крышка на лоток осн. 50мм. (0,6 мм) EKT</v>
      </c>
      <c r="C93" s="5" t="s">
        <v>81</v>
      </c>
      <c r="D93" s="4" t="str">
        <f t="shared" si="52"/>
        <v>280300718</v>
      </c>
      <c r="E93" s="4" t="str">
        <f t="shared" si="53"/>
        <v>Крышка на лоток осн. 50мм. (0,6 мм) EKT</v>
      </c>
      <c r="F93" s="4">
        <f t="shared" si="54"/>
        <v>596</v>
      </c>
      <c r="G93" s="4">
        <f t="shared" si="55"/>
        <v>596</v>
      </c>
      <c r="H93" s="4" t="str">
        <f>IF(OR($G93="",$I93="",$M93="KONTROL",$M93="KAPSAM_DISI"),"",$G93*$I93)</f>
        <v/>
      </c>
      <c r="I93" s="4" t="str">
        <f>INDEX(PANO_KANAL_M,MATCH($Q93,PANO_ID,0))</f>
        <v/>
      </c>
      <c r="J93" s="4" t="str">
        <f t="shared" si="56"/>
        <v>м</v>
      </c>
      <c r="K93" s="4" t="str">
        <f t="shared" si="57"/>
        <v>EKT</v>
      </c>
      <c r="L93" s="4" t="str">
        <f t="shared" si="58"/>
        <v/>
      </c>
      <c r="M93" s="4" t="str">
        <f t="shared" si="59"/>
        <v>MUADIL_ONAY</v>
      </c>
      <c r="N93" s="4" t="s">
        <v>86</v>
      </c>
      <c r="O93" s="4" t="str">
        <f t="shared" si="60"/>
        <v>EKT2506</v>
      </c>
      <c r="P93" s="4" t="str">
        <f>INDEX(PANO_KAPAK_KOD,MATCH($Q93,PANO_ID,0))</f>
        <v>EKT-280300718</v>
      </c>
      <c r="Q93" s="4" t="str">
        <f t="shared" si="61"/>
        <v>P05</v>
      </c>
      <c r="S93" s="5" t="s">
        <v>84</v>
      </c>
      <c r="T93" s="4" t="str">
        <f>IF(OR($R93="",$I93=""),"",$I93*INDEX(NORM_DK,MATCH($R93,NORM_AD,0)))</f>
        <v/>
      </c>
      <c r="U93" s="4" t="str">
        <f>IF(OR($P93="",$I93=""),"",IF(IF(INDEX(FIYAT_ALAN,MATCH($P93,FIYAT_KOD,0))="","",INDEX(FIYAT_ALAN,MATCH($P93,FIYAT_KOD,0)))&lt;&gt;"",$I93*IF(INDEX(FIYAT_ALAN,MATCH($P93,FIYAT_KOD,0))="","",INDEX(FIYAT_ALAN,MATCH($P93,FIYAT_KOD,0))),IF(IF(INDEX(FIYAT_MODUL,MATCH($P93,FIYAT_KOD,0))="","",INDEX(FIYAT_MODUL,MATCH($P93,FIYAT_KOD,0)))&lt;&gt;"",$I93*IF(INDEX(FIYAT_MODUL,MATCH($P93,FIYAT_KOD,0))="","",INDEX(FIYAT_MODUL,MATCH($P93,FIYAT_KOD,0))),IF(IF(INDEX(FIYAT_GENISLIK,MATCH($P93,FIYAT_KOD,0))="","",INDEX(FIYAT_GENISLIK,MATCH($P93,FIYAT_KOD,0)))&lt;&gt;"",$I93*IF(INDEX(FIYAT_GENISLIK,MATCH($P93,FIYAT_KOD,0))="","",INDEX(FIYAT_GENISLIK,MATCH($P93,FIYAT_KOD,0)))/MODUL_GENISLIK_MM,""))))</f>
        <v/>
      </c>
      <c r="V93" s="4" t="str">
        <f>IF(OR($C93&lt;&gt;"шина",$I93=""),"",$I93*INDEX(FIYAT_KGM,MATCH($P93,FIYAT_KOD,0)))</f>
        <v/>
      </c>
      <c r="W93" s="4" t="str">
        <f t="shared" si="62"/>
        <v/>
      </c>
      <c r="Y93" s="5" t="s">
        <v>85</v>
      </c>
      <c r="Z93" s="4">
        <f>IF($P93="","",MAX(_xlfn.MAXIFS(DEVRE!$AM:$AM,DEVRE!$A:$A,$Q93,DEVRE!$C:$C,$P93),_xlfn.MAXIFS(DEVRE!$AM:$AM,DEVRE!$A:$A,$Q93,DEVRE!$H:$H,$P93)))</f>
        <v>0</v>
      </c>
      <c r="AA93" s="4" t="str">
        <f>IF(OR($I93="",$Q93="",$P93=""),"",$I93*INDEX(PANO_ADET,MATCH($Q93,PANO_ID,0)))</f>
        <v/>
      </c>
      <c r="AB93" s="4">
        <f>IF($P93="",0,IF(AND($U93="",COUNTIF(ALAN_TIP_LIST,$C93)&gt;0),1,0))</f>
        <v>0</v>
      </c>
      <c r="AC93" s="4">
        <f>IF(OR($P93="",$C93&lt;&gt;"kontaktör"),0,IF(IF(INDEX(FIYAT_BOBIN,MATCH($P93,FIYAT_KOD,0))="","",INDEX(FIYAT_BOBIN,MATCH($P93,FIYAT_KOD,0)))="",1,0))</f>
        <v>0</v>
      </c>
    </row>
    <row r="94" spans="1:29" x14ac:dyDescent="0.35">
      <c r="A94" s="4">
        <f t="shared" si="39"/>
        <v>93</v>
      </c>
      <c r="B94" s="4" t="str">
        <f t="shared" si="51"/>
        <v>HARMONY ПВ3 1 1,5</v>
      </c>
      <c r="C94" s="5" t="s">
        <v>87</v>
      </c>
      <c r="D94" s="4" t="str">
        <f t="shared" si="52"/>
        <v>151.01.PV3.01,5</v>
      </c>
      <c r="E94" s="4" t="str">
        <f t="shared" si="53"/>
        <v>HARMONY ПВ3 1 1,5</v>
      </c>
      <c r="F94" s="4">
        <f t="shared" si="54"/>
        <v>105</v>
      </c>
      <c r="G94" s="4">
        <f t="shared" si="55"/>
        <v>105</v>
      </c>
      <c r="H94" s="4">
        <f>IF(OR($G94="",$I94="",$M94="KONTROL",$M94="KAPSAM_DISI"),"",$G94*$I94)</f>
        <v>829.5</v>
      </c>
      <c r="I94" s="4">
        <f>ROUND((SUMIFS(DEVRE!$Z:$Z,DEVRE!$A:$A,$Q94,DEVRE!$V:$V,$X94)+IF($X94=GRUP_BESLEME_KESIT,INDEX(PANO_GRUP_KABLO_M,MATCH($Q94,PANO_ID,0)),0))*KABLO_FIRE,1)</f>
        <v>7.9</v>
      </c>
      <c r="J94" s="4" t="str">
        <f t="shared" si="56"/>
        <v>м</v>
      </c>
      <c r="K94" s="4" t="str">
        <f t="shared" si="57"/>
        <v>HARMONY</v>
      </c>
      <c r="L94" s="4">
        <f t="shared" si="58"/>
        <v>829.5</v>
      </c>
      <c r="M94" s="4" t="str">
        <f t="shared" si="59"/>
        <v>FIYAT_ESKI</v>
      </c>
      <c r="N94" s="4" t="s">
        <v>88</v>
      </c>
      <c r="O94" s="4" t="str">
        <f t="shared" si="60"/>
        <v>HARMONY</v>
      </c>
      <c r="P94" s="5" t="s">
        <v>89</v>
      </c>
      <c r="Q94" s="4" t="str">
        <f t="shared" si="61"/>
        <v>P05</v>
      </c>
      <c r="R94" s="5" t="s">
        <v>90</v>
      </c>
      <c r="S94" s="5" t="s">
        <v>47</v>
      </c>
      <c r="T94" s="4">
        <f>IF(OR($R94="",$I94=""),"",$I94*INDEX(NORM_DK,MATCH($R94,NORM_AD,0)))</f>
        <v>0</v>
      </c>
      <c r="U94" s="4" t="str">
        <f>IF(OR($P94="",$I94=""),"",IF(IF(INDEX(FIYAT_ALAN,MATCH($P94,FIYAT_KOD,0))="","",INDEX(FIYAT_ALAN,MATCH($P94,FIYAT_KOD,0)))&lt;&gt;"",$I94*IF(INDEX(FIYAT_ALAN,MATCH($P94,FIYAT_KOD,0))="","",INDEX(FIYAT_ALAN,MATCH($P94,FIYAT_KOD,0))),IF(IF(INDEX(FIYAT_MODUL,MATCH($P94,FIYAT_KOD,0))="","",INDEX(FIYAT_MODUL,MATCH($P94,FIYAT_KOD,0)))&lt;&gt;"",$I94*IF(INDEX(FIYAT_MODUL,MATCH($P94,FIYAT_KOD,0))="","",INDEX(FIYAT_MODUL,MATCH($P94,FIYAT_KOD,0))),IF(IF(INDEX(FIYAT_GENISLIK,MATCH($P94,FIYAT_KOD,0))="","",INDEX(FIYAT_GENISLIK,MATCH($P94,FIYAT_KOD,0)))&lt;&gt;"",$I94*IF(INDEX(FIYAT_GENISLIK,MATCH($P94,FIYAT_KOD,0))="","",INDEX(FIYAT_GENISLIK,MATCH($P94,FIYAT_KOD,0)))/MODUL_GENISLIK_MM,""))))</f>
        <v/>
      </c>
      <c r="V94" s="4" t="str">
        <f>IF(OR($C94&lt;&gt;"шина",$I94=""),"",$I94*INDEX(FIYAT_KGM,MATCH($P94,FIYAT_KOD,0)))</f>
        <v/>
      </c>
      <c r="W94" s="4">
        <f t="shared" si="62"/>
        <v>829.5</v>
      </c>
      <c r="X94" s="5">
        <v>1.5</v>
      </c>
      <c r="Y94" s="5" t="s">
        <v>91</v>
      </c>
      <c r="Z94" s="4">
        <f>IF($P94="","",MAX(_xlfn.MAXIFS(DEVRE!$AM:$AM,DEVRE!$A:$A,$Q94,DEVRE!$C:$C,$P94),_xlfn.MAXIFS(DEVRE!$AM:$AM,DEVRE!$A:$A,$Q94,DEVRE!$H:$H,$P94)))</f>
        <v>0</v>
      </c>
      <c r="AA94" s="4">
        <f>IF(OR($I94="",$Q94="",$P94=""),"",$I94*INDEX(PANO_ADET,MATCH($Q94,PANO_ID,0)))</f>
        <v>7.9</v>
      </c>
      <c r="AB94" s="4">
        <f>IF($P94="",0,IF(AND($U94="",COUNTIF(ALAN_TIP_LIST,$C94)&gt;0),1,0))</f>
        <v>0</v>
      </c>
      <c r="AC94" s="4">
        <f>IF(OR($P94="",$C94&lt;&gt;"kontaktör"),0,IF(IF(INDEX(FIYAT_BOBIN,MATCH($P94,FIYAT_KOD,0))="","",INDEX(FIYAT_BOBIN,MATCH($P94,FIYAT_KOD,0)))="",1,0))</f>
        <v>0</v>
      </c>
    </row>
    <row r="95" spans="1:29" x14ac:dyDescent="0.35">
      <c r="A95" s="4">
        <f t="shared" si="39"/>
        <v>94</v>
      </c>
      <c r="B95" s="4" t="str">
        <f t="shared" si="51"/>
        <v>HARMONY ПВ3 1 2,5</v>
      </c>
      <c r="C95" s="5" t="s">
        <v>87</v>
      </c>
      <c r="D95" s="4" t="str">
        <f t="shared" si="52"/>
        <v>151.01.PV3.02,5</v>
      </c>
      <c r="E95" s="4" t="str">
        <f t="shared" si="53"/>
        <v>HARMONY ПВ3 1 2,5</v>
      </c>
      <c r="F95" s="4">
        <f t="shared" si="54"/>
        <v>174</v>
      </c>
      <c r="G95" s="4">
        <f t="shared" si="55"/>
        <v>174</v>
      </c>
      <c r="H95" s="4">
        <f>IF(OR($G95="",$I95="",$M95="KONTROL",$M95="KAPSAM_DISI"),"",$G95*$I95)</f>
        <v>4819.8</v>
      </c>
      <c r="I95" s="4">
        <f>ROUND((SUMIFS(DEVRE!$Z:$Z,DEVRE!$A:$A,$Q95,DEVRE!$V:$V,$X95)+IF($X95=GRUP_BESLEME_KESIT,INDEX(PANO_GRUP_KABLO_M,MATCH($Q95,PANO_ID,0)),0))*KABLO_FIRE,1)</f>
        <v>27.7</v>
      </c>
      <c r="J95" s="4" t="str">
        <f t="shared" si="56"/>
        <v>м</v>
      </c>
      <c r="K95" s="4" t="str">
        <f t="shared" si="57"/>
        <v>HARMONY</v>
      </c>
      <c r="L95" s="4">
        <f t="shared" si="58"/>
        <v>4819.8</v>
      </c>
      <c r="M95" s="4" t="str">
        <f t="shared" si="59"/>
        <v>FIYAT_ESKI</v>
      </c>
      <c r="N95" s="4" t="s">
        <v>92</v>
      </c>
      <c r="O95" s="4" t="str">
        <f t="shared" si="60"/>
        <v>HARMONY</v>
      </c>
      <c r="P95" s="5" t="s">
        <v>93</v>
      </c>
      <c r="Q95" s="4" t="str">
        <f t="shared" si="61"/>
        <v>P05</v>
      </c>
      <c r="R95" s="5" t="s">
        <v>90</v>
      </c>
      <c r="S95" s="5" t="s">
        <v>47</v>
      </c>
      <c r="T95" s="4">
        <f>IF(OR($R95="",$I95=""),"",$I95*INDEX(NORM_DK,MATCH($R95,NORM_AD,0)))</f>
        <v>0</v>
      </c>
      <c r="U95" s="4" t="str">
        <f>IF(OR($P95="",$I95=""),"",IF(IF(INDEX(FIYAT_ALAN,MATCH($P95,FIYAT_KOD,0))="","",INDEX(FIYAT_ALAN,MATCH($P95,FIYAT_KOD,0)))&lt;&gt;"",$I95*IF(INDEX(FIYAT_ALAN,MATCH($P95,FIYAT_KOD,0))="","",INDEX(FIYAT_ALAN,MATCH($P95,FIYAT_KOD,0))),IF(IF(INDEX(FIYAT_MODUL,MATCH($P95,FIYAT_KOD,0))="","",INDEX(FIYAT_MODUL,MATCH($P95,FIYAT_KOD,0)))&lt;&gt;"",$I95*IF(INDEX(FIYAT_MODUL,MATCH($P95,FIYAT_KOD,0))="","",INDEX(FIYAT_MODUL,MATCH($P95,FIYAT_KOD,0))),IF(IF(INDEX(FIYAT_GENISLIK,MATCH($P95,FIYAT_KOD,0))="","",INDEX(FIYAT_GENISLIK,MATCH($P95,FIYAT_KOD,0)))&lt;&gt;"",$I95*IF(INDEX(FIYAT_GENISLIK,MATCH($P95,FIYAT_KOD,0))="","",INDEX(FIYAT_GENISLIK,MATCH($P95,FIYAT_KOD,0)))/MODUL_GENISLIK_MM,""))))</f>
        <v/>
      </c>
      <c r="V95" s="4" t="str">
        <f>IF(OR($C95&lt;&gt;"шина",$I95=""),"",$I95*INDEX(FIYAT_KGM,MATCH($P95,FIYAT_KOD,0)))</f>
        <v/>
      </c>
      <c r="W95" s="4">
        <f t="shared" si="62"/>
        <v>4819.8</v>
      </c>
      <c r="X95" s="5">
        <v>2.5</v>
      </c>
      <c r="Y95" s="5" t="s">
        <v>91</v>
      </c>
      <c r="Z95" s="4">
        <f>IF($P95="","",MAX(_xlfn.MAXIFS(DEVRE!$AM:$AM,DEVRE!$A:$A,$Q95,DEVRE!$C:$C,$P95),_xlfn.MAXIFS(DEVRE!$AM:$AM,DEVRE!$A:$A,$Q95,DEVRE!$H:$H,$P95)))</f>
        <v>0</v>
      </c>
      <c r="AA95" s="4">
        <f>IF(OR($I95="",$Q95="",$P95=""),"",$I95*INDEX(PANO_ADET,MATCH($Q95,PANO_ID,0)))</f>
        <v>27.7</v>
      </c>
      <c r="AB95" s="4">
        <f>IF($P95="",0,IF(AND($U95="",COUNTIF(ALAN_TIP_LIST,$C95)&gt;0),1,0))</f>
        <v>0</v>
      </c>
      <c r="AC95" s="4">
        <f>IF(OR($P95="",$C95&lt;&gt;"kontaktör"),0,IF(IF(INDEX(FIYAT_BOBIN,MATCH($P95,FIYAT_KOD,0))="","",INDEX(FIYAT_BOBIN,MATCH($P95,FIYAT_KOD,0)))="",1,0))</f>
        <v>0</v>
      </c>
    </row>
    <row r="96" spans="1:29" x14ac:dyDescent="0.35">
      <c r="A96" s="4">
        <f t="shared" si="39"/>
        <v>95</v>
      </c>
      <c r="B96" s="4" t="str">
        <f t="shared" si="51"/>
        <v>HARMONY ПВ3 1 6</v>
      </c>
      <c r="C96" s="5" t="s">
        <v>87</v>
      </c>
      <c r="D96" s="4" t="str">
        <f t="shared" si="52"/>
        <v>151.01.PV3.06</v>
      </c>
      <c r="E96" s="4" t="str">
        <f t="shared" si="53"/>
        <v>HARMONY ПВ3 1 6</v>
      </c>
      <c r="F96" s="4">
        <f t="shared" si="54"/>
        <v>398</v>
      </c>
      <c r="G96" s="4">
        <f t="shared" si="55"/>
        <v>398</v>
      </c>
      <c r="H96" s="4">
        <f>IF(OR($G96="",$I96="",$M96="KONTROL",$M96="KAPSAM_DISI"),"",$G96*$I96)</f>
        <v>2626.7999999999997</v>
      </c>
      <c r="I96" s="4">
        <f>ROUND((SUMIFS(DEVRE!$Z:$Z,DEVRE!$A:$A,$Q96,DEVRE!$V:$V,$X96)+IF($X96=GRUP_BESLEME_KESIT,INDEX(PANO_GRUP_KABLO_M,MATCH($Q96,PANO_ID,0)),0))*KABLO_FIRE,1)</f>
        <v>6.6</v>
      </c>
      <c r="J96" s="4" t="str">
        <f t="shared" si="56"/>
        <v>м</v>
      </c>
      <c r="K96" s="4" t="str">
        <f t="shared" si="57"/>
        <v>HARMONY</v>
      </c>
      <c r="L96" s="4">
        <f t="shared" si="58"/>
        <v>2626.7999999999997</v>
      </c>
      <c r="M96" s="4" t="str">
        <f t="shared" si="59"/>
        <v>FIYAT_ESKI</v>
      </c>
      <c r="N96" s="4" t="s">
        <v>129</v>
      </c>
      <c r="O96" s="4" t="str">
        <f t="shared" si="60"/>
        <v>HARMONY</v>
      </c>
      <c r="P96" s="5" t="s">
        <v>130</v>
      </c>
      <c r="Q96" s="4" t="str">
        <f t="shared" si="61"/>
        <v>P05</v>
      </c>
      <c r="R96" s="5" t="s">
        <v>90</v>
      </c>
      <c r="S96" s="5" t="s">
        <v>47</v>
      </c>
      <c r="T96" s="4">
        <f>IF(OR($R96="",$I96=""),"",$I96*INDEX(NORM_DK,MATCH($R96,NORM_AD,0)))</f>
        <v>0</v>
      </c>
      <c r="U96" s="4" t="str">
        <f>IF(OR($P96="",$I96=""),"",IF(IF(INDEX(FIYAT_ALAN,MATCH($P96,FIYAT_KOD,0))="","",INDEX(FIYAT_ALAN,MATCH($P96,FIYAT_KOD,0)))&lt;&gt;"",$I96*IF(INDEX(FIYAT_ALAN,MATCH($P96,FIYAT_KOD,0))="","",INDEX(FIYAT_ALAN,MATCH($P96,FIYAT_KOD,0))),IF(IF(INDEX(FIYAT_MODUL,MATCH($P96,FIYAT_KOD,0))="","",INDEX(FIYAT_MODUL,MATCH($P96,FIYAT_KOD,0)))&lt;&gt;"",$I96*IF(INDEX(FIYAT_MODUL,MATCH($P96,FIYAT_KOD,0))="","",INDEX(FIYAT_MODUL,MATCH($P96,FIYAT_KOD,0))),IF(IF(INDEX(FIYAT_GENISLIK,MATCH($P96,FIYAT_KOD,0))="","",INDEX(FIYAT_GENISLIK,MATCH($P96,FIYAT_KOD,0)))&lt;&gt;"",$I96*IF(INDEX(FIYAT_GENISLIK,MATCH($P96,FIYAT_KOD,0))="","",INDEX(FIYAT_GENISLIK,MATCH($P96,FIYAT_KOD,0)))/MODUL_GENISLIK_MM,""))))</f>
        <v/>
      </c>
      <c r="V96" s="4" t="str">
        <f>IF(OR($C96&lt;&gt;"шина",$I96=""),"",$I96*INDEX(FIYAT_KGM,MATCH($P96,FIYAT_KOD,0)))</f>
        <v/>
      </c>
      <c r="W96" s="4">
        <f t="shared" si="62"/>
        <v>2626.7999999999997</v>
      </c>
      <c r="X96" s="5">
        <v>6</v>
      </c>
      <c r="Y96" s="5" t="s">
        <v>91</v>
      </c>
      <c r="Z96" s="4">
        <f>IF($P96="","",MAX(_xlfn.MAXIFS(DEVRE!$AM:$AM,DEVRE!$A:$A,$Q96,DEVRE!$C:$C,$P96),_xlfn.MAXIFS(DEVRE!$AM:$AM,DEVRE!$A:$A,$Q96,DEVRE!$H:$H,$P96)))</f>
        <v>0</v>
      </c>
      <c r="AA96" s="4">
        <f>IF(OR($I96="",$Q96="",$P96=""),"",$I96*INDEX(PANO_ADET,MATCH($Q96,PANO_ID,0)))</f>
        <v>6.6</v>
      </c>
      <c r="AB96" s="4">
        <f>IF($P96="",0,IF(AND($U96="",COUNTIF(ALAN_TIP_LIST,$C96)&gt;0),1,0))</f>
        <v>0</v>
      </c>
      <c r="AC96" s="4">
        <f>IF(OR($P96="",$C96&lt;&gt;"kontaktör"),0,IF(IF(INDEX(FIYAT_BOBIN,MATCH($P96,FIYAT_KOD,0))="","",INDEX(FIYAT_BOBIN,MATCH($P96,FIYAT_KOD,0)))="",1,0))</f>
        <v>0</v>
      </c>
    </row>
    <row r="97" spans="1:29" x14ac:dyDescent="0.35">
      <c r="A97" s="4">
        <f t="shared" si="39"/>
        <v>96</v>
      </c>
      <c r="B97" s="4" t="str">
        <f t="shared" si="51"/>
        <v>HARMONY ПВ3 1 16</v>
      </c>
      <c r="C97" s="5" t="s">
        <v>87</v>
      </c>
      <c r="D97" s="4" t="str">
        <f t="shared" si="52"/>
        <v>151.01.PV3.16</v>
      </c>
      <c r="E97" s="4" t="str">
        <f t="shared" si="53"/>
        <v>HARMONY ПВ3 1 16</v>
      </c>
      <c r="F97" s="4">
        <f t="shared" si="54"/>
        <v>1084</v>
      </c>
      <c r="G97" s="4">
        <f t="shared" si="55"/>
        <v>1084</v>
      </c>
      <c r="H97" s="4">
        <f>IF(OR($G97="",$I97="",$M97="KONTROL",$M97="KAPSAM_DISI"),"",$G97*$I97)</f>
        <v>4336</v>
      </c>
      <c r="I97" s="4">
        <f>ROUND((SUMIFS(DEVRE!$Z:$Z,DEVRE!$A:$A,$Q97,DEVRE!$V:$V,$X97)+IF($X97=GRUP_BESLEME_KESIT,INDEX(PANO_GRUP_KABLO_M,MATCH($Q97,PANO_ID,0)),0))*KABLO_FIRE,1)</f>
        <v>4</v>
      </c>
      <c r="J97" s="4" t="str">
        <f t="shared" si="56"/>
        <v>м</v>
      </c>
      <c r="K97" s="4" t="str">
        <f t="shared" si="57"/>
        <v>HARMONY</v>
      </c>
      <c r="L97" s="4">
        <f t="shared" si="58"/>
        <v>4336</v>
      </c>
      <c r="M97" s="4" t="str">
        <f t="shared" si="59"/>
        <v>FIYAT_ESKI</v>
      </c>
      <c r="N97" s="4" t="s">
        <v>154</v>
      </c>
      <c r="O97" s="4" t="str">
        <f t="shared" si="60"/>
        <v>HARMONY</v>
      </c>
      <c r="P97" s="5" t="s">
        <v>155</v>
      </c>
      <c r="Q97" s="4" t="str">
        <f t="shared" si="61"/>
        <v>P05</v>
      </c>
      <c r="R97" s="5" t="s">
        <v>90</v>
      </c>
      <c r="S97" s="5" t="s">
        <v>47</v>
      </c>
      <c r="T97" s="4">
        <f>IF(OR($R97="",$I97=""),"",$I97*INDEX(NORM_DK,MATCH($R97,NORM_AD,0)))</f>
        <v>0</v>
      </c>
      <c r="U97" s="4" t="str">
        <f>IF(OR($P97="",$I97=""),"",IF(IF(INDEX(FIYAT_ALAN,MATCH($P97,FIYAT_KOD,0))="","",INDEX(FIYAT_ALAN,MATCH($P97,FIYAT_KOD,0)))&lt;&gt;"",$I97*IF(INDEX(FIYAT_ALAN,MATCH($P97,FIYAT_KOD,0))="","",INDEX(FIYAT_ALAN,MATCH($P97,FIYAT_KOD,0))),IF(IF(INDEX(FIYAT_MODUL,MATCH($P97,FIYAT_KOD,0))="","",INDEX(FIYAT_MODUL,MATCH($P97,FIYAT_KOD,0)))&lt;&gt;"",$I97*IF(INDEX(FIYAT_MODUL,MATCH($P97,FIYAT_KOD,0))="","",INDEX(FIYAT_MODUL,MATCH($P97,FIYAT_KOD,0))),IF(IF(INDEX(FIYAT_GENISLIK,MATCH($P97,FIYAT_KOD,0))="","",INDEX(FIYAT_GENISLIK,MATCH($P97,FIYAT_KOD,0)))&lt;&gt;"",$I97*IF(INDEX(FIYAT_GENISLIK,MATCH($P97,FIYAT_KOD,0))="","",INDEX(FIYAT_GENISLIK,MATCH($P97,FIYAT_KOD,0)))/MODUL_GENISLIK_MM,""))))</f>
        <v/>
      </c>
      <c r="V97" s="4" t="str">
        <f>IF(OR($C97&lt;&gt;"шина",$I97=""),"",$I97*INDEX(FIYAT_KGM,MATCH($P97,FIYAT_KOD,0)))</f>
        <v/>
      </c>
      <c r="W97" s="4">
        <f t="shared" si="62"/>
        <v>4336</v>
      </c>
      <c r="X97" s="5">
        <v>16</v>
      </c>
      <c r="Y97" s="5" t="s">
        <v>91</v>
      </c>
      <c r="Z97" s="4">
        <f>IF($P97="","",MAX(_xlfn.MAXIFS(DEVRE!$AM:$AM,DEVRE!$A:$A,$Q97,DEVRE!$C:$C,$P97),_xlfn.MAXIFS(DEVRE!$AM:$AM,DEVRE!$A:$A,$Q97,DEVRE!$H:$H,$P97)))</f>
        <v>0</v>
      </c>
      <c r="AA97" s="4">
        <f>IF(OR($I97="",$Q97="",$P97=""),"",$I97*INDEX(PANO_ADET,MATCH($Q97,PANO_ID,0)))</f>
        <v>4</v>
      </c>
      <c r="AB97" s="4">
        <f>IF($P97="",0,IF(AND($U97="",COUNTIF(ALAN_TIP_LIST,$C97)&gt;0),1,0))</f>
        <v>0</v>
      </c>
      <c r="AC97" s="4">
        <f>IF(OR($P97="",$C97&lt;&gt;"kontaktör"),0,IF(IF(INDEX(FIYAT_BOBIN,MATCH($P97,FIYAT_KOD,0))="","",INDEX(FIYAT_BOBIN,MATCH($P97,FIYAT_KOD,0)))="",1,0))</f>
        <v>0</v>
      </c>
    </row>
    <row r="98" spans="1:29" x14ac:dyDescent="0.35">
      <c r="A98" s="4">
        <f t="shared" ref="A98:A129" si="63">ROW()-1</f>
        <v>97</v>
      </c>
      <c r="B98" s="4" t="str">
        <f t="shared" si="51"/>
        <v>ЗНИ 2.5мм ² (24А) серый IEK</v>
      </c>
      <c r="C98" s="5" t="s">
        <v>133</v>
      </c>
      <c r="D98" s="4" t="str">
        <f t="shared" si="52"/>
        <v>130300223</v>
      </c>
      <c r="E98" s="4" t="str">
        <f t="shared" si="53"/>
        <v>ЗНИ 2.5мм ² (24А) серый IEK</v>
      </c>
      <c r="F98" s="4">
        <f t="shared" si="54"/>
        <v>97</v>
      </c>
      <c r="G98" s="4">
        <f t="shared" si="55"/>
        <v>97</v>
      </c>
      <c r="H98" s="4">
        <f>IF(OR($G98="",$I98="",$M98="KONTROL",$M98="KAPSAM_DISI"),"",$G98*$I98)</f>
        <v>1552</v>
      </c>
      <c r="I98" s="4">
        <f>IF(SUMIFS(DEVRE!$AA:$AA,DEVRE!$A:$A,$Q98,DEVRE!$AD:$AD,$X98)+IF($X98=SINYAL_KLEMENS_KESIT,SUMIFS(DEVRE!$I:$I,DEVRE!$A:$A,$Q98),0)=0,"",MAX(SUMIFS(DEVRE!$AA:$AA,DEVRE!$A:$A,$Q98,DEVRE!$AD:$AD,$X98)+IF($X98=SINYAL_KLEMENS_KESIT,SUMIFS(DEVRE!$I:$I,DEVRE!$A:$A,$Q98),0)+KLEMENS_MIN_YEDEK,ROUNDUP((SUMIFS(DEVRE!$AA:$AA,DEVRE!$A:$A,$Q98,DEVRE!$AD:$AD,$X98)+IF($X98=SINYAL_KLEMENS_KESIT,SUMIFS(DEVRE!$I:$I,DEVRE!$A:$A,$Q98),0))*KLEMENS_YEDEK,0)))</f>
        <v>16</v>
      </c>
      <c r="J98" s="4" t="str">
        <f t="shared" si="56"/>
        <v>шт</v>
      </c>
      <c r="K98" s="4" t="str">
        <f t="shared" si="57"/>
        <v>EKT</v>
      </c>
      <c r="L98" s="4">
        <f t="shared" si="58"/>
        <v>1552</v>
      </c>
      <c r="M98" s="4" t="str">
        <f t="shared" si="59"/>
        <v>FIYAT_ESKI</v>
      </c>
      <c r="N98" s="4" t="s">
        <v>174</v>
      </c>
      <c r="O98" s="4" t="str">
        <f t="shared" si="60"/>
        <v>EKT2506</v>
      </c>
      <c r="P98" s="5" t="s">
        <v>175</v>
      </c>
      <c r="Q98" s="4" t="str">
        <f t="shared" si="61"/>
        <v>P05</v>
      </c>
      <c r="R98" s="5" t="s">
        <v>136</v>
      </c>
      <c r="S98" s="5" t="s">
        <v>47</v>
      </c>
      <c r="T98" s="4">
        <f>IF(OR($R98="",$I98=""),"",$I98*INDEX(NORM_DK,MATCH($R98,NORM_AD,0)))</f>
        <v>64</v>
      </c>
      <c r="U98" s="4">
        <f>IF(OR($P98="",$I98=""),"",IF(IF(INDEX(FIYAT_ALAN,MATCH($P98,FIYAT_KOD,0))="","",INDEX(FIYAT_ALAN,MATCH($P98,FIYAT_KOD,0)))&lt;&gt;"",$I98*IF(INDEX(FIYAT_ALAN,MATCH($P98,FIYAT_KOD,0))="","",INDEX(FIYAT_ALAN,MATCH($P98,FIYAT_KOD,0))),IF(IF(INDEX(FIYAT_MODUL,MATCH($P98,FIYAT_KOD,0))="","",INDEX(FIYAT_MODUL,MATCH($P98,FIYAT_KOD,0)))&lt;&gt;"",$I98*IF(INDEX(FIYAT_MODUL,MATCH($P98,FIYAT_KOD,0))="","",INDEX(FIYAT_MODUL,MATCH($P98,FIYAT_KOD,0))),IF(IF(INDEX(FIYAT_GENISLIK,MATCH($P98,FIYAT_KOD,0))="","",INDEX(FIYAT_GENISLIK,MATCH($P98,FIYAT_KOD,0)))&lt;&gt;"",$I98*IF(INDEX(FIYAT_GENISLIK,MATCH($P98,FIYAT_KOD,0))="","",INDEX(FIYAT_GENISLIK,MATCH($P98,FIYAT_KOD,0)))/MODUL_GENISLIK_MM,""))))</f>
        <v>4.7542857142857144</v>
      </c>
      <c r="V98" s="4" t="str">
        <f>IF(OR($C98&lt;&gt;"шина",$I98=""),"",$I98*INDEX(FIYAT_KGM,MATCH($P98,FIYAT_KOD,0)))</f>
        <v/>
      </c>
      <c r="W98" s="4">
        <f t="shared" si="62"/>
        <v>1552</v>
      </c>
      <c r="X98" s="5">
        <v>2.5</v>
      </c>
      <c r="Y98" s="5" t="s">
        <v>137</v>
      </c>
      <c r="Z98" s="4">
        <f>IF($P98="","",MAX(_xlfn.MAXIFS(DEVRE!$AM:$AM,DEVRE!$A:$A,$Q98,DEVRE!$C:$C,$P98),_xlfn.MAXIFS(DEVRE!$AM:$AM,DEVRE!$A:$A,$Q98,DEVRE!$H:$H,$P98)))</f>
        <v>0</v>
      </c>
      <c r="AA98" s="4">
        <f>IF(OR($I98="",$Q98="",$P98=""),"",$I98*INDEX(PANO_ADET,MATCH($Q98,PANO_ID,0)))</f>
        <v>16</v>
      </c>
      <c r="AB98" s="4">
        <f>IF($P98="",0,IF(AND($U98="",COUNTIF(ALAN_TIP_LIST,$C98)&gt;0),1,0))</f>
        <v>0</v>
      </c>
      <c r="AC98" s="4">
        <f>IF(OR($P98="",$C98&lt;&gt;"kontaktör"),0,IF(IF(INDEX(FIYAT_BOBIN,MATCH($P98,FIYAT_KOD,0))="","",INDEX(FIYAT_BOBIN,MATCH($P98,FIYAT_KOD,0)))="",1,0))</f>
        <v>0</v>
      </c>
    </row>
    <row r="99" spans="1:29" x14ac:dyDescent="0.35">
      <c r="A99" s="4">
        <f t="shared" si="63"/>
        <v>98</v>
      </c>
      <c r="B99" s="4" t="str">
        <f t="shared" si="51"/>
        <v>Зажим наборный ЗНИ - 4PEN 4мм2 (JXB-земля) IEK</v>
      </c>
      <c r="C99" s="5" t="s">
        <v>133</v>
      </c>
      <c r="D99" s="4" t="str">
        <f t="shared" si="52"/>
        <v>5130300225</v>
      </c>
      <c r="E99" s="4" t="str">
        <f t="shared" si="53"/>
        <v>Зажим наборный ЗНИ - 4PEN 4мм2 (JXB-земля) IEK</v>
      </c>
      <c r="F99" s="4">
        <f t="shared" si="54"/>
        <v>283</v>
      </c>
      <c r="G99" s="4">
        <f t="shared" si="55"/>
        <v>283</v>
      </c>
      <c r="H99" s="4">
        <f>IF(OR($G99="",$I99="",$M99="KONTROL",$M99="KAPSAM_DISI"),"",$G99*$I99)</f>
        <v>1981</v>
      </c>
      <c r="I99" s="4">
        <f>IF(SUMIFS(DEVRE!$AB:$AB,DEVRE!$A:$A,$Q99,DEVRE!$AD:$AD,$X99)=0,"",ROUNDUP(SUMIFS(DEVRE!$AB:$AB,DEVRE!$A:$A,$Q99,DEVRE!$AD:$AD,$X99)*KLEMENS_YEDEK,0))</f>
        <v>7</v>
      </c>
      <c r="J99" s="4" t="str">
        <f t="shared" si="56"/>
        <v>шт</v>
      </c>
      <c r="K99" s="4" t="str">
        <f t="shared" si="57"/>
        <v>EKT</v>
      </c>
      <c r="L99" s="4">
        <f t="shared" si="58"/>
        <v>1981</v>
      </c>
      <c r="M99" s="4" t="str">
        <f t="shared" si="59"/>
        <v>VARSAYIM</v>
      </c>
      <c r="N99" s="4" t="s">
        <v>176</v>
      </c>
      <c r="O99" s="4" t="str">
        <f t="shared" si="60"/>
        <v>EKT2506</v>
      </c>
      <c r="P99" s="5" t="s">
        <v>139</v>
      </c>
      <c r="Q99" s="4" t="str">
        <f t="shared" si="61"/>
        <v>P05</v>
      </c>
      <c r="R99" s="5" t="s">
        <v>136</v>
      </c>
      <c r="S99" s="5" t="s">
        <v>54</v>
      </c>
      <c r="T99" s="4">
        <f>IF(OR($R99="",$I99=""),"",$I99*INDEX(NORM_DK,MATCH($R99,NORM_AD,0)))</f>
        <v>28</v>
      </c>
      <c r="U99" s="4">
        <f>IF(OR($P99="",$I99=""),"",IF(IF(INDEX(FIYAT_ALAN,MATCH($P99,FIYAT_KOD,0))="","",INDEX(FIYAT_ALAN,MATCH($P99,FIYAT_KOD,0)))&lt;&gt;"",$I99*IF(INDEX(FIYAT_ALAN,MATCH($P99,FIYAT_KOD,0))="","",INDEX(FIYAT_ALAN,MATCH($P99,FIYAT_KOD,0))),IF(IF(INDEX(FIYAT_MODUL,MATCH($P99,FIYAT_KOD,0))="","",INDEX(FIYAT_MODUL,MATCH($P99,FIYAT_KOD,0)))&lt;&gt;"",$I99*IF(INDEX(FIYAT_MODUL,MATCH($P99,FIYAT_KOD,0))="","",INDEX(FIYAT_MODUL,MATCH($P99,FIYAT_KOD,0))),IF(IF(INDEX(FIYAT_GENISLIK,MATCH($P99,FIYAT_KOD,0))="","",INDEX(FIYAT_GENISLIK,MATCH($P99,FIYAT_KOD,0)))&lt;&gt;"",$I99*IF(INDEX(FIYAT_GENISLIK,MATCH($P99,FIYAT_KOD,0))="","",INDEX(FIYAT_GENISLIK,MATCH($P99,FIYAT_KOD,0)))/MODUL_GENISLIK_MM,""))))</f>
        <v>2.48</v>
      </c>
      <c r="V99" s="4" t="str">
        <f>IF(OR($C99&lt;&gt;"шина",$I99=""),"",$I99*INDEX(FIYAT_KGM,MATCH($P99,FIYAT_KOD,0)))</f>
        <v/>
      </c>
      <c r="W99" s="4">
        <f t="shared" si="62"/>
        <v>1981</v>
      </c>
      <c r="X99" s="5">
        <v>2.5</v>
      </c>
      <c r="Y99" s="5" t="s">
        <v>137</v>
      </c>
      <c r="Z99" s="4">
        <f>IF($P99="","",MAX(_xlfn.MAXIFS(DEVRE!$AM:$AM,DEVRE!$A:$A,$Q99,DEVRE!$C:$C,$P99),_xlfn.MAXIFS(DEVRE!$AM:$AM,DEVRE!$A:$A,$Q99,DEVRE!$H:$H,$P99)))</f>
        <v>0</v>
      </c>
      <c r="AA99" s="4">
        <f>IF(OR($I99="",$Q99="",$P99=""),"",$I99*INDEX(PANO_ADET,MATCH($Q99,PANO_ID,0)))</f>
        <v>7</v>
      </c>
      <c r="AB99" s="4">
        <f>IF($P99="",0,IF(AND($U99="",COUNTIF(ALAN_TIP_LIST,$C99)&gt;0),1,0))</f>
        <v>0</v>
      </c>
      <c r="AC99" s="4">
        <f>IF(OR($P99="",$C99&lt;&gt;"kontaktör"),0,IF(IF(INDEX(FIYAT_BOBIN,MATCH($P99,FIYAT_KOD,0))="","",INDEX(FIYAT_BOBIN,MATCH($P99,FIYAT_KOD,0)))="",1,0))</f>
        <v>0</v>
      </c>
    </row>
    <row r="100" spans="1:29" x14ac:dyDescent="0.35">
      <c r="A100" s="4">
        <f t="shared" si="63"/>
        <v>99</v>
      </c>
      <c r="B100" s="4" t="str">
        <f t="shared" si="51"/>
        <v>ЗНИ 4мм ² (35А) серый IEK</v>
      </c>
      <c r="C100" s="5" t="s">
        <v>133</v>
      </c>
      <c r="D100" s="4" t="str">
        <f t="shared" si="52"/>
        <v>130300041</v>
      </c>
      <c r="E100" s="4" t="str">
        <f t="shared" si="53"/>
        <v>ЗНИ 4мм ² (35А) серый IEK</v>
      </c>
      <c r="F100" s="4">
        <f t="shared" si="54"/>
        <v>98</v>
      </c>
      <c r="G100" s="4">
        <f t="shared" si="55"/>
        <v>98</v>
      </c>
      <c r="H100" s="4">
        <f>IF(OR($G100="",$I100="",$M100="KONTROL",$M100="KAPSAM_DISI"),"",$G100*$I100)</f>
        <v>980</v>
      </c>
      <c r="I100" s="4">
        <f>IF(SUMIFS(DEVRE!$AA:$AA,DEVRE!$A:$A,$Q100,DEVRE!$AD:$AD,$X100)+IF($X100=SINYAL_KLEMENS_KESIT,SUMIFS(DEVRE!$I:$I,DEVRE!$A:$A,$Q100),0)=0,"",MAX(SUMIFS(DEVRE!$AA:$AA,DEVRE!$A:$A,$Q100,DEVRE!$AD:$AD,$X100)+IF($X100=SINYAL_KLEMENS_KESIT,SUMIFS(DEVRE!$I:$I,DEVRE!$A:$A,$Q100),0)+KLEMENS_MIN_YEDEK,ROUNDUP((SUMIFS(DEVRE!$AA:$AA,DEVRE!$A:$A,$Q100,DEVRE!$AD:$AD,$X100)+IF($X100=SINYAL_KLEMENS_KESIT,SUMIFS(DEVRE!$I:$I,DEVRE!$A:$A,$Q100),0))*KLEMENS_YEDEK,0)))</f>
        <v>10</v>
      </c>
      <c r="J100" s="4" t="str">
        <f t="shared" si="56"/>
        <v>шт</v>
      </c>
      <c r="K100" s="4" t="str">
        <f t="shared" si="57"/>
        <v>EKT</v>
      </c>
      <c r="L100" s="4">
        <f t="shared" si="58"/>
        <v>980</v>
      </c>
      <c r="M100" s="4" t="str">
        <f t="shared" si="59"/>
        <v>FIYAT_ESKI</v>
      </c>
      <c r="N100" s="4" t="s">
        <v>134</v>
      </c>
      <c r="O100" s="4" t="str">
        <f t="shared" si="60"/>
        <v>EKT2506</v>
      </c>
      <c r="P100" s="5" t="s">
        <v>135</v>
      </c>
      <c r="Q100" s="4" t="str">
        <f t="shared" si="61"/>
        <v>P05</v>
      </c>
      <c r="R100" s="5" t="s">
        <v>136</v>
      </c>
      <c r="S100" s="5" t="s">
        <v>47</v>
      </c>
      <c r="T100" s="4">
        <f>IF(OR($R100="",$I100=""),"",$I100*INDEX(NORM_DK,MATCH($R100,NORM_AD,0)))</f>
        <v>40</v>
      </c>
      <c r="U100" s="4">
        <f>IF(OR($P100="",$I100=""),"",IF(IF(INDEX(FIYAT_ALAN,MATCH($P100,FIYAT_KOD,0))="","",INDEX(FIYAT_ALAN,MATCH($P100,FIYAT_KOD,0)))&lt;&gt;"",$I100*IF(INDEX(FIYAT_ALAN,MATCH($P100,FIYAT_KOD,0))="","",INDEX(FIYAT_ALAN,MATCH($P100,FIYAT_KOD,0))),IF(IF(INDEX(FIYAT_MODUL,MATCH($P100,FIYAT_KOD,0))="","",INDEX(FIYAT_MODUL,MATCH($P100,FIYAT_KOD,0)))&lt;&gt;"",$I100*IF(INDEX(FIYAT_MODUL,MATCH($P100,FIYAT_KOD,0))="","",INDEX(FIYAT_MODUL,MATCH($P100,FIYAT_KOD,0))),IF(IF(INDEX(FIYAT_GENISLIK,MATCH($P100,FIYAT_KOD,0))="","",INDEX(FIYAT_GENISLIK,MATCH($P100,FIYAT_KOD,0)))&lt;&gt;"",$I100*IF(INDEX(FIYAT_GENISLIK,MATCH($P100,FIYAT_KOD,0))="","",INDEX(FIYAT_GENISLIK,MATCH($P100,FIYAT_KOD,0)))/MODUL_GENISLIK_MM,""))))</f>
        <v>3.5428571428571427</v>
      </c>
      <c r="V100" s="4" t="str">
        <f>IF(OR($C100&lt;&gt;"шина",$I100=""),"",$I100*INDEX(FIYAT_KGM,MATCH($P100,FIYAT_KOD,0)))</f>
        <v/>
      </c>
      <c r="W100" s="4">
        <f t="shared" si="62"/>
        <v>980</v>
      </c>
      <c r="X100" s="5">
        <v>4</v>
      </c>
      <c r="Y100" s="5" t="s">
        <v>137</v>
      </c>
      <c r="Z100" s="4">
        <f>IF($P100="","",MAX(_xlfn.MAXIFS(DEVRE!$AM:$AM,DEVRE!$A:$A,$Q100,DEVRE!$C:$C,$P100),_xlfn.MAXIFS(DEVRE!$AM:$AM,DEVRE!$A:$A,$Q100,DEVRE!$H:$H,$P100)))</f>
        <v>0</v>
      </c>
      <c r="AA100" s="4">
        <f>IF(OR($I100="",$Q100="",$P100=""),"",$I100*INDEX(PANO_ADET,MATCH($Q100,PANO_ID,0)))</f>
        <v>10</v>
      </c>
      <c r="AB100" s="4">
        <f>IF($P100="",0,IF(AND($U100="",COUNTIF(ALAN_TIP_LIST,$C100)&gt;0),1,0))</f>
        <v>0</v>
      </c>
      <c r="AC100" s="4">
        <f>IF(OR($P100="",$C100&lt;&gt;"kontaktör"),0,IF(IF(INDEX(FIYAT_BOBIN,MATCH($P100,FIYAT_KOD,0))="","",INDEX(FIYAT_BOBIN,MATCH($P100,FIYAT_KOD,0)))="",1,0))</f>
        <v>0</v>
      </c>
    </row>
    <row r="101" spans="1:29" x14ac:dyDescent="0.35">
      <c r="A101" s="4">
        <f t="shared" si="63"/>
        <v>100</v>
      </c>
      <c r="B101" s="4" t="str">
        <f t="shared" si="51"/>
        <v>Зажим наборный ЗНИ - 4PEN 4мм2 (JXB-земля) IEK</v>
      </c>
      <c r="C101" s="5" t="s">
        <v>133</v>
      </c>
      <c r="D101" s="4" t="str">
        <f t="shared" si="52"/>
        <v>5130300225</v>
      </c>
      <c r="E101" s="4" t="str">
        <f t="shared" si="53"/>
        <v>Зажим наборный ЗНИ - 4PEN 4мм2 (JXB-земля) IEK</v>
      </c>
      <c r="F101" s="4">
        <f t="shared" si="54"/>
        <v>283</v>
      </c>
      <c r="G101" s="4">
        <f t="shared" si="55"/>
        <v>283</v>
      </c>
      <c r="H101" s="4">
        <f>IF(OR($G101="",$I101="",$M101="KONTROL",$M101="KAPSAM_DISI"),"",$G101*$I101)</f>
        <v>1132</v>
      </c>
      <c r="I101" s="4">
        <f>IF(SUMIFS(DEVRE!$AB:$AB,DEVRE!$A:$A,$Q101,DEVRE!$AD:$AD,$X101)=0,"",ROUNDUP(SUMIFS(DEVRE!$AB:$AB,DEVRE!$A:$A,$Q101,DEVRE!$AD:$AD,$X101)*KLEMENS_YEDEK,0))</f>
        <v>4</v>
      </c>
      <c r="J101" s="4" t="str">
        <f t="shared" si="56"/>
        <v>шт</v>
      </c>
      <c r="K101" s="4" t="str">
        <f t="shared" si="57"/>
        <v>EKT</v>
      </c>
      <c r="L101" s="4">
        <f t="shared" si="58"/>
        <v>1132</v>
      </c>
      <c r="M101" s="4" t="str">
        <f t="shared" si="59"/>
        <v>FIYAT_ESKI</v>
      </c>
      <c r="N101" s="4" t="s">
        <v>138</v>
      </c>
      <c r="O101" s="4" t="str">
        <f t="shared" si="60"/>
        <v>EKT2506</v>
      </c>
      <c r="P101" s="5" t="s">
        <v>139</v>
      </c>
      <c r="Q101" s="4" t="str">
        <f t="shared" si="61"/>
        <v>P05</v>
      </c>
      <c r="R101" s="5" t="s">
        <v>136</v>
      </c>
      <c r="S101" s="5" t="s">
        <v>47</v>
      </c>
      <c r="T101" s="4">
        <f>IF(OR($R101="",$I101=""),"",$I101*INDEX(NORM_DK,MATCH($R101,NORM_AD,0)))</f>
        <v>16</v>
      </c>
      <c r="U101" s="4">
        <f>IF(OR($P101="",$I101=""),"",IF(IF(INDEX(FIYAT_ALAN,MATCH($P101,FIYAT_KOD,0))="","",INDEX(FIYAT_ALAN,MATCH($P101,FIYAT_KOD,0)))&lt;&gt;"",$I101*IF(INDEX(FIYAT_ALAN,MATCH($P101,FIYAT_KOD,0))="","",INDEX(FIYAT_ALAN,MATCH($P101,FIYAT_KOD,0))),IF(IF(INDEX(FIYAT_MODUL,MATCH($P101,FIYAT_KOD,0))="","",INDEX(FIYAT_MODUL,MATCH($P101,FIYAT_KOD,0)))&lt;&gt;"",$I101*IF(INDEX(FIYAT_MODUL,MATCH($P101,FIYAT_KOD,0))="","",INDEX(FIYAT_MODUL,MATCH($P101,FIYAT_KOD,0))),IF(IF(INDEX(FIYAT_GENISLIK,MATCH($P101,FIYAT_KOD,0))="","",INDEX(FIYAT_GENISLIK,MATCH($P101,FIYAT_KOD,0)))&lt;&gt;"",$I101*IF(INDEX(FIYAT_GENISLIK,MATCH($P101,FIYAT_KOD,0))="","",INDEX(FIYAT_GENISLIK,MATCH($P101,FIYAT_KOD,0)))/MODUL_GENISLIK_MM,""))))</f>
        <v>1.4171428571428573</v>
      </c>
      <c r="V101" s="4" t="str">
        <f>IF(OR($C101&lt;&gt;"шина",$I101=""),"",$I101*INDEX(FIYAT_KGM,MATCH($P101,FIYAT_KOD,0)))</f>
        <v/>
      </c>
      <c r="W101" s="4">
        <f t="shared" si="62"/>
        <v>1132</v>
      </c>
      <c r="X101" s="5">
        <v>4</v>
      </c>
      <c r="Y101" s="5" t="s">
        <v>137</v>
      </c>
      <c r="Z101" s="4">
        <f>IF($P101="","",MAX(_xlfn.MAXIFS(DEVRE!$AM:$AM,DEVRE!$A:$A,$Q101,DEVRE!$C:$C,$P101),_xlfn.MAXIFS(DEVRE!$AM:$AM,DEVRE!$A:$A,$Q101,DEVRE!$H:$H,$P101)))</f>
        <v>0</v>
      </c>
      <c r="AA101" s="4">
        <f>IF(OR($I101="",$Q101="",$P101=""),"",$I101*INDEX(PANO_ADET,MATCH($Q101,PANO_ID,0)))</f>
        <v>4</v>
      </c>
      <c r="AB101" s="4">
        <f>IF($P101="",0,IF(AND($U101="",COUNTIF(ALAN_TIP_LIST,$C101)&gt;0),1,0))</f>
        <v>0</v>
      </c>
      <c r="AC101" s="4">
        <f>IF(OR($P101="",$C101&lt;&gt;"kontaktör"),0,IF(IF(INDEX(FIYAT_BOBIN,MATCH($P101,FIYAT_KOD,0))="","",INDEX(FIYAT_BOBIN,MATCH($P101,FIYAT_KOD,0)))="",1,0))</f>
        <v>0</v>
      </c>
    </row>
    <row r="102" spans="1:29" x14ac:dyDescent="0.35">
      <c r="A102" s="4">
        <f t="shared" si="63"/>
        <v>101</v>
      </c>
      <c r="B102" s="4" t="str">
        <f t="shared" si="51"/>
        <v>ЗНИ 6мм ² серый IEK</v>
      </c>
      <c r="C102" s="5" t="s">
        <v>133</v>
      </c>
      <c r="D102" s="4" t="str">
        <f t="shared" si="52"/>
        <v>130300042</v>
      </c>
      <c r="E102" s="4" t="str">
        <f t="shared" si="53"/>
        <v>ЗНИ 6мм ² серый IEK</v>
      </c>
      <c r="F102" s="4">
        <f t="shared" si="54"/>
        <v>116</v>
      </c>
      <c r="G102" s="4">
        <f t="shared" si="55"/>
        <v>116</v>
      </c>
      <c r="H102" s="4">
        <f>IF(OR($G102="",$I102="",$M102="KONTROL",$M102="KAPSAM_DISI"),"",$G102*$I102)</f>
        <v>928</v>
      </c>
      <c r="I102" s="4">
        <f>IF(SUMIFS(DEVRE!$AA:$AA,DEVRE!$A:$A,$Q102,DEVRE!$AD:$AD,$X102)+IF($X102=SINYAL_KLEMENS_KESIT,SUMIFS(DEVRE!$I:$I,DEVRE!$A:$A,$Q102),0)=0,"",MAX(SUMIFS(DEVRE!$AA:$AA,DEVRE!$A:$A,$Q102,DEVRE!$AD:$AD,$X102)+IF($X102=SINYAL_KLEMENS_KESIT,SUMIFS(DEVRE!$I:$I,DEVRE!$A:$A,$Q102),0)+KLEMENS_MIN_YEDEK,ROUNDUP((SUMIFS(DEVRE!$AA:$AA,DEVRE!$A:$A,$Q102,DEVRE!$AD:$AD,$X102)+IF($X102=SINYAL_KLEMENS_KESIT,SUMIFS(DEVRE!$I:$I,DEVRE!$A:$A,$Q102),0))*KLEMENS_YEDEK,0)))</f>
        <v>8</v>
      </c>
      <c r="J102" s="4" t="str">
        <f t="shared" si="56"/>
        <v>шт</v>
      </c>
      <c r="K102" s="4" t="str">
        <f t="shared" si="57"/>
        <v>EKT</v>
      </c>
      <c r="L102" s="4">
        <f t="shared" si="58"/>
        <v>928</v>
      </c>
      <c r="M102" s="4" t="str">
        <f t="shared" si="59"/>
        <v>FIYAT_ESKI</v>
      </c>
      <c r="N102" s="4" t="s">
        <v>177</v>
      </c>
      <c r="O102" s="4" t="str">
        <f t="shared" si="60"/>
        <v>EKT2506</v>
      </c>
      <c r="P102" s="5" t="s">
        <v>178</v>
      </c>
      <c r="Q102" s="4" t="str">
        <f t="shared" si="61"/>
        <v>P05</v>
      </c>
      <c r="R102" s="5" t="s">
        <v>136</v>
      </c>
      <c r="S102" s="5" t="s">
        <v>47</v>
      </c>
      <c r="T102" s="4">
        <f>IF(OR($R102="",$I102=""),"",$I102*INDEX(NORM_DK,MATCH($R102,NORM_AD,0)))</f>
        <v>32</v>
      </c>
      <c r="U102" s="4">
        <f>IF(OR($P102="",$I102=""),"",IF(IF(INDEX(FIYAT_ALAN,MATCH($P102,FIYAT_KOD,0))="","",INDEX(FIYAT_ALAN,MATCH($P102,FIYAT_KOD,0)))&lt;&gt;"",$I102*IF(INDEX(FIYAT_ALAN,MATCH($P102,FIYAT_KOD,0))="","",INDEX(FIYAT_ALAN,MATCH($P102,FIYAT_KOD,0))),IF(IF(INDEX(FIYAT_MODUL,MATCH($P102,FIYAT_KOD,0))="","",INDEX(FIYAT_MODUL,MATCH($P102,FIYAT_KOD,0)))&lt;&gt;"",$I102*IF(INDEX(FIYAT_MODUL,MATCH($P102,FIYAT_KOD,0))="","",INDEX(FIYAT_MODUL,MATCH($P102,FIYAT_KOD,0))),IF(IF(INDEX(FIYAT_GENISLIK,MATCH($P102,FIYAT_KOD,0))="","",INDEX(FIYAT_GENISLIK,MATCH($P102,FIYAT_KOD,0)))&lt;&gt;"",$I102*IF(INDEX(FIYAT_GENISLIK,MATCH($P102,FIYAT_KOD,0))="","",INDEX(FIYAT_GENISLIK,MATCH($P102,FIYAT_KOD,0)))/MODUL_GENISLIK_MM,""))))</f>
        <v>3.7485714285714282</v>
      </c>
      <c r="V102" s="4" t="str">
        <f>IF(OR($C102&lt;&gt;"шина",$I102=""),"",$I102*INDEX(FIYAT_KGM,MATCH($P102,FIYAT_KOD,0)))</f>
        <v/>
      </c>
      <c r="W102" s="4">
        <f t="shared" si="62"/>
        <v>928</v>
      </c>
      <c r="X102" s="5">
        <v>6</v>
      </c>
      <c r="Y102" s="5" t="s">
        <v>137</v>
      </c>
      <c r="Z102" s="4">
        <f>IF($P102="","",MAX(_xlfn.MAXIFS(DEVRE!$AM:$AM,DEVRE!$A:$A,$Q102,DEVRE!$C:$C,$P102),_xlfn.MAXIFS(DEVRE!$AM:$AM,DEVRE!$A:$A,$Q102,DEVRE!$H:$H,$P102)))</f>
        <v>0</v>
      </c>
      <c r="AA102" s="4">
        <f>IF(OR($I102="",$Q102="",$P102=""),"",$I102*INDEX(PANO_ADET,MATCH($Q102,PANO_ID,0)))</f>
        <v>8</v>
      </c>
      <c r="AB102" s="4">
        <f>IF($P102="",0,IF(AND($U102="",COUNTIF(ALAN_TIP_LIST,$C102)&gt;0),1,0))</f>
        <v>0</v>
      </c>
      <c r="AC102" s="4">
        <f>IF(OR($P102="",$C102&lt;&gt;"kontaktör"),0,IF(IF(INDEX(FIYAT_BOBIN,MATCH($P102,FIYAT_KOD,0))="","",INDEX(FIYAT_BOBIN,MATCH($P102,FIYAT_KOD,0)))="",1,0))</f>
        <v>0</v>
      </c>
    </row>
    <row r="103" spans="1:29" x14ac:dyDescent="0.35">
      <c r="A103" s="4">
        <f t="shared" si="63"/>
        <v>102</v>
      </c>
      <c r="B103" s="4" t="str">
        <f t="shared" si="51"/>
        <v>ЗНИ 10PEN 10мм2 (JXB-земля) IEK E-PRO</v>
      </c>
      <c r="C103" s="5" t="s">
        <v>133</v>
      </c>
      <c r="D103" s="4" t="str">
        <f t="shared" si="52"/>
        <v>130300227</v>
      </c>
      <c r="E103" s="4" t="str">
        <f t="shared" si="53"/>
        <v>ЗНИ 10PEN 10мм2 (JXB-земля) IEK E-PRO</v>
      </c>
      <c r="F103" s="4">
        <f t="shared" si="54"/>
        <v>367</v>
      </c>
      <c r="G103" s="4">
        <f t="shared" si="55"/>
        <v>367</v>
      </c>
      <c r="H103" s="4">
        <f>IF(OR($G103="",$I103="",$M103="KONTROL",$M103="KAPSAM_DISI"),"",$G103*$I103)</f>
        <v>734</v>
      </c>
      <c r="I103" s="4">
        <f>IF(SUMIFS(DEVRE!$AB:$AB,DEVRE!$A:$A,$Q103,DEVRE!$AD:$AD,$X103)=0,"",ROUNDUP(SUMIFS(DEVRE!$AB:$AB,DEVRE!$A:$A,$Q103,DEVRE!$AD:$AD,$X103)*KLEMENS_YEDEK,0))</f>
        <v>2</v>
      </c>
      <c r="J103" s="4" t="str">
        <f t="shared" si="56"/>
        <v>шт</v>
      </c>
      <c r="K103" s="4" t="str">
        <f t="shared" si="57"/>
        <v>EKT</v>
      </c>
      <c r="L103" s="4">
        <f t="shared" si="58"/>
        <v>734</v>
      </c>
      <c r="M103" s="4" t="str">
        <f t="shared" si="59"/>
        <v>VARSAYIM</v>
      </c>
      <c r="N103" s="4" t="s">
        <v>179</v>
      </c>
      <c r="O103" s="4" t="str">
        <f t="shared" si="60"/>
        <v>EKT2506</v>
      </c>
      <c r="P103" s="5" t="s">
        <v>143</v>
      </c>
      <c r="Q103" s="4" t="str">
        <f t="shared" si="61"/>
        <v>P05</v>
      </c>
      <c r="R103" s="5" t="s">
        <v>136</v>
      </c>
      <c r="S103" s="5" t="s">
        <v>54</v>
      </c>
      <c r="T103" s="4">
        <f>IF(OR($R103="",$I103=""),"",$I103*INDEX(NORM_DK,MATCH($R103,NORM_AD,0)))</f>
        <v>8</v>
      </c>
      <c r="U103" s="4">
        <f>IF(OR($P103="",$I103=""),"",IF(IF(INDEX(FIYAT_ALAN,MATCH($P103,FIYAT_KOD,0))="","",INDEX(FIYAT_ALAN,MATCH($P103,FIYAT_KOD,0)))&lt;&gt;"",$I103*IF(INDEX(FIYAT_ALAN,MATCH($P103,FIYAT_KOD,0))="","",INDEX(FIYAT_ALAN,MATCH($P103,FIYAT_KOD,0))),IF(IF(INDEX(FIYAT_MODUL,MATCH($P103,FIYAT_KOD,0))="","",INDEX(FIYAT_MODUL,MATCH($P103,FIYAT_KOD,0)))&lt;&gt;"",$I103*IF(INDEX(FIYAT_MODUL,MATCH($P103,FIYAT_KOD,0))="","",INDEX(FIYAT_MODUL,MATCH($P103,FIYAT_KOD,0))),IF(IF(INDEX(FIYAT_GENISLIK,MATCH($P103,FIYAT_KOD,0))="","",INDEX(FIYAT_GENISLIK,MATCH($P103,FIYAT_KOD,0)))&lt;&gt;"",$I103*IF(INDEX(FIYAT_GENISLIK,MATCH($P103,FIYAT_KOD,0))="","",INDEX(FIYAT_GENISLIK,MATCH($P103,FIYAT_KOD,0)))/MODUL_GENISLIK_MM,""))))</f>
        <v>1.1657142857142857</v>
      </c>
      <c r="V103" s="4" t="str">
        <f>IF(OR($C103&lt;&gt;"шина",$I103=""),"",$I103*INDEX(FIYAT_KGM,MATCH($P103,FIYAT_KOD,0)))</f>
        <v/>
      </c>
      <c r="W103" s="4">
        <f t="shared" si="62"/>
        <v>734</v>
      </c>
      <c r="X103" s="5">
        <v>6</v>
      </c>
      <c r="Y103" s="5" t="s">
        <v>137</v>
      </c>
      <c r="Z103" s="4">
        <f>IF($P103="","",MAX(_xlfn.MAXIFS(DEVRE!$AM:$AM,DEVRE!$A:$A,$Q103,DEVRE!$C:$C,$P103),_xlfn.MAXIFS(DEVRE!$AM:$AM,DEVRE!$A:$A,$Q103,DEVRE!$H:$H,$P103)))</f>
        <v>0</v>
      </c>
      <c r="AA103" s="4">
        <f>IF(OR($I103="",$Q103="",$P103=""),"",$I103*INDEX(PANO_ADET,MATCH($Q103,PANO_ID,0)))</f>
        <v>2</v>
      </c>
      <c r="AB103" s="4">
        <f>IF($P103="",0,IF(AND($U103="",COUNTIF(ALAN_TIP_LIST,$C103)&gt;0),1,0))</f>
        <v>0</v>
      </c>
      <c r="AC103" s="4">
        <f>IF(OR($P103="",$C103&lt;&gt;"kontaktör"),0,IF(IF(INDEX(FIYAT_BOBIN,MATCH($P103,FIYAT_KOD,0))="","",INDEX(FIYAT_BOBIN,MATCH($P103,FIYAT_KOD,0)))="",1,0))</f>
        <v>0</v>
      </c>
    </row>
    <row r="104" spans="1:29" x14ac:dyDescent="0.35">
      <c r="A104" s="4">
        <f t="shared" si="63"/>
        <v>103</v>
      </c>
      <c r="B104" s="4" t="str">
        <f t="shared" si="51"/>
        <v>Монтажный материал</v>
      </c>
      <c r="C104" s="5" t="s">
        <v>98</v>
      </c>
      <c r="D104" s="4" t="str">
        <f t="shared" si="52"/>
        <v>MONTAJ-MALZ</v>
      </c>
      <c r="E104" s="4" t="str">
        <f t="shared" si="53"/>
        <v>Монтажный материал</v>
      </c>
      <c r="F104" s="4">
        <f t="shared" si="54"/>
        <v>1</v>
      </c>
      <c r="G104" s="4">
        <f t="shared" si="55"/>
        <v>1</v>
      </c>
      <c r="H104" s="4" t="str">
        <f>IF(OR($G104="",$I104="",$M104="KONTROL",$M104="KAPSAM_DISI"),"",$G104*$I104)</f>
        <v/>
      </c>
      <c r="I104" s="4" t="str">
        <f>IF(MONTAJ_MALZ_ORANI="","",ROUND(SUMIFS($W:$W,$Q:$Q,$Q104)*MONTAJ_MALZ_ORANI,0))</f>
        <v/>
      </c>
      <c r="J104" s="4" t="str">
        <f t="shared" si="56"/>
        <v>тг</v>
      </c>
      <c r="K104" s="4" t="str">
        <f t="shared" si="57"/>
        <v>HESAP</v>
      </c>
      <c r="L104" s="4" t="str">
        <f t="shared" si="58"/>
        <v/>
      </c>
      <c r="M104" s="4" t="str">
        <f t="shared" si="59"/>
        <v>OK</v>
      </c>
      <c r="N104" s="4" t="s">
        <v>99</v>
      </c>
      <c r="O104" s="4" t="str">
        <f t="shared" si="60"/>
        <v>HESAP</v>
      </c>
      <c r="P104" s="5" t="s">
        <v>100</v>
      </c>
      <c r="Q104" s="4" t="str">
        <f t="shared" si="61"/>
        <v>P05</v>
      </c>
      <c r="V104" s="4" t="str">
        <f>IF(OR($C104&lt;&gt;"шина",$I104=""),"",$I104*INDEX(FIYAT_KGM,MATCH($P104,FIYAT_KOD,0)))</f>
        <v/>
      </c>
      <c r="Y104" s="5" t="s">
        <v>101</v>
      </c>
      <c r="Z104" s="4">
        <f>IF($P104="","",MAX(_xlfn.MAXIFS(DEVRE!$AM:$AM,DEVRE!$A:$A,$Q104,DEVRE!$C:$C,$P104),_xlfn.MAXIFS(DEVRE!$AM:$AM,DEVRE!$A:$A,$Q104,DEVRE!$H:$H,$P104)))</f>
        <v>0</v>
      </c>
      <c r="AA104" s="4" t="str">
        <f>IF(OR($I104="",$Q104="",$P104=""),"",$I104*INDEX(PANO_ADET,MATCH($Q104,PANO_ID,0)))</f>
        <v/>
      </c>
      <c r="AB104" s="4">
        <f>IF($P104="",0,IF(AND($U104="",COUNTIF(ALAN_TIP_LIST,$C104)&gt;0),1,0))</f>
        <v>0</v>
      </c>
      <c r="AC104" s="4">
        <f>IF(OR($P104="",$C104&lt;&gt;"kontaktör"),0,IF(IF(INDEX(FIYAT_BOBIN,MATCH($P104,FIYAT_KOD,0))="","",INDEX(FIYAT_BOBIN,MATCH($P104,FIYAT_KOD,0)))="",1,0))</f>
        <v>0</v>
      </c>
    </row>
    <row r="105" spans="1:29" x14ac:dyDescent="0.35">
      <c r="A105" s="4">
        <f t="shared" si="63"/>
        <v>104</v>
      </c>
      <c r="B105" s="4" t="str">
        <f t="shared" si="51"/>
        <v>Монтажная работа</v>
      </c>
      <c r="C105" s="5" t="s">
        <v>102</v>
      </c>
      <c r="D105" s="4" t="str">
        <f t="shared" si="52"/>
        <v>ISCILIK-MONTAJ</v>
      </c>
      <c r="E105" s="4" t="str">
        <f t="shared" si="53"/>
        <v>Монтажная работа</v>
      </c>
      <c r="F105" s="4">
        <f>IF($I105="","",ROUND($I105/DK_SAAT,2))</f>
        <v>5.75</v>
      </c>
      <c r="G105" s="4">
        <f t="shared" si="55"/>
        <v>100</v>
      </c>
      <c r="H105" s="4">
        <f>IF(OR($G105="",$I105="",$M105="KONTROL",$M105="KAPSAM_DISI"),"",$G105*$I105)</f>
        <v>34500</v>
      </c>
      <c r="I105" s="4">
        <f>ROUND((SUMIFS($T:$T,$Q:$Q,$Q105)+INDEX(NORM_DK,MATCH("PABUC_YUKSUK",NORM_AD,0))*(SUMIFS(DEVRE!$AI:$AI,DEVRE!$A:$A,$Q105)+SUMIFS(DEVRE!$AJ:$AJ,DEVRE!$A:$A,$Q105)))*ISCILIK_CARPANI+INDEX(NORM_DK,MATCH("SABIT_AMBALAJ",NORM_AD,0)),0)</f>
        <v>345</v>
      </c>
      <c r="J105" s="4" t="str">
        <f t="shared" si="56"/>
        <v>мин</v>
      </c>
      <c r="K105" s="4" t="str">
        <f t="shared" si="57"/>
        <v>HESAP</v>
      </c>
      <c r="L105" s="4">
        <f t="shared" si="58"/>
        <v>34500</v>
      </c>
      <c r="M105" s="4" t="str">
        <f t="shared" si="59"/>
        <v>OK</v>
      </c>
      <c r="N105" s="4" t="s">
        <v>103</v>
      </c>
      <c r="O105" s="4" t="str">
        <f t="shared" si="60"/>
        <v>HESAP</v>
      </c>
      <c r="P105" s="5" t="s">
        <v>104</v>
      </c>
      <c r="Q105" s="4" t="str">
        <f t="shared" si="61"/>
        <v>P05</v>
      </c>
      <c r="V105" s="4" t="str">
        <f>IF(OR($C105&lt;&gt;"шина",$I105=""),"",$I105*INDEX(FIYAT_KGM,MATCH($P105,FIYAT_KOD,0)))</f>
        <v/>
      </c>
      <c r="Y105" s="5" t="s">
        <v>101</v>
      </c>
      <c r="Z105" s="4">
        <f>IF($P105="","",MAX(_xlfn.MAXIFS(DEVRE!$AM:$AM,DEVRE!$A:$A,$Q105,DEVRE!$C:$C,$P105),_xlfn.MAXIFS(DEVRE!$AM:$AM,DEVRE!$A:$A,$Q105,DEVRE!$H:$H,$P105)))</f>
        <v>0</v>
      </c>
      <c r="AA105" s="4">
        <f>IF(OR($I105="",$Q105="",$P105=""),"",$I105*INDEX(PANO_ADET,MATCH($Q105,PANO_ID,0)))</f>
        <v>345</v>
      </c>
      <c r="AB105" s="4">
        <f>IF($P105="",0,IF(AND($U105="",COUNTIF(ALAN_TIP_LIST,$C105)&gt;0),1,0))</f>
        <v>0</v>
      </c>
      <c r="AC105" s="4">
        <f>IF(OR($P105="",$C105&lt;&gt;"kontaktör"),0,IF(IF(INDEX(FIYAT_BOBIN,MATCH($P105,FIYAT_KOD,0))="","",INDEX(FIYAT_BOBIN,MATCH($P105,FIYAT_KOD,0)))="",1,0))</f>
        <v>0</v>
      </c>
    </row>
    <row r="106" spans="1:29" x14ac:dyDescent="0.35">
      <c r="A106" s="7">
        <f t="shared" si="63"/>
        <v>105</v>
      </c>
      <c r="B106" s="7" t="str">
        <f>"Toplam "&amp;$E83</f>
        <v>Toplam Щит вентиляции ЩВ-1</v>
      </c>
      <c r="H106" s="7">
        <f>SUBTOTAL(9,H84:H105)</f>
        <v>83772.3</v>
      </c>
      <c r="L106" s="7">
        <f>SUBTOTAL(9,L84:L105)</f>
        <v>83772.3</v>
      </c>
    </row>
    <row r="107" spans="1:29" x14ac:dyDescent="0.35">
      <c r="A107" s="2">
        <f t="shared" si="63"/>
        <v>106</v>
      </c>
      <c r="B107" s="2" t="str">
        <f t="shared" ref="B107:B123" si="64">$E107</f>
        <v>Щит осветительный ЩО-1</v>
      </c>
      <c r="C107" s="3"/>
      <c r="D107" s="3"/>
      <c r="E107" s="2" t="str">
        <f>INDEX(PANO_TAMAD,MATCH($Q107,PANO_ID,0))</f>
        <v>Щит осветительный ЩО-1</v>
      </c>
      <c r="F107" s="3"/>
      <c r="G107" s="3"/>
      <c r="H107" s="3"/>
      <c r="I107" s="2">
        <v>1</v>
      </c>
      <c r="J107" s="2" t="s">
        <v>29</v>
      </c>
      <c r="K107" s="3"/>
      <c r="L107" s="3"/>
      <c r="M107" s="3"/>
      <c r="N107" s="3"/>
      <c r="O107" s="3"/>
      <c r="P107" s="3"/>
      <c r="Q107" s="2" t="s">
        <v>180</v>
      </c>
    </row>
    <row r="108" spans="1:29" x14ac:dyDescent="0.35">
      <c r="A108" s="4">
        <f t="shared" si="63"/>
        <v>107</v>
      </c>
      <c r="B108" s="4" t="str">
        <f t="shared" si="64"/>
        <v>Мет.Щит ЩРВ-7-3 S/A 700x300x150мм IP31</v>
      </c>
      <c r="C108" s="5" t="s">
        <v>31</v>
      </c>
      <c r="D108" s="4" t="str">
        <f t="shared" ref="D108:D123" si="65">IF($P108="","",IF(INDEX(FIYAT_ARTIKUL,MATCH($P108,FIYAT_KOD,0))="","",INDEX(FIYAT_ARTIKUL,MATCH($P108,FIYAT_KOD,0))))</f>
        <v>713-15040</v>
      </c>
      <c r="E108" s="4" t="str">
        <f t="shared" ref="E108:E123" si="66">IF($P108="","",INDEX(FIYAT_ACK,MATCH($P108,FIYAT_KOD,0)))</f>
        <v>Мет.Щит ЩРВ-7-3 S/A 700x300x150мм IP31</v>
      </c>
      <c r="F108" s="4">
        <f t="shared" ref="F108:F122" si="67">IF($P108="","",IF(INDEX(FIYAT_LISTE,MATCH($P108,FIYAT_KOD,0))="","",INDEX(FIYAT_LISTE,MATCH($P108,FIYAT_KOD,0))))</f>
        <v>20445</v>
      </c>
      <c r="G108" s="4">
        <f t="shared" ref="G108:G123" si="68">IF($P108="","",IF(INDEX(FIYAT_NET,MATCH($P108,FIYAT_KOD,0))="","",INDEX(FIYAT_NET,MATCH($P108,FIYAT_KOD,0))))</f>
        <v>12267</v>
      </c>
      <c r="H108" s="4">
        <f>IF(OR($G108="",$I108="",$M108="KONTROL",$M108="KAPSAM_DISI"),"",$G108*$I108)</f>
        <v>12267</v>
      </c>
      <c r="I108" s="4">
        <v>1</v>
      </c>
      <c r="J108" s="4" t="str">
        <f t="shared" ref="J108:J123" si="69">IF($P108="","",INDEX(FIYAT_BIRIM,MATCH($P108,FIYAT_KOD,0)))</f>
        <v>шт</v>
      </c>
      <c r="K108" s="4" t="str">
        <f t="shared" ref="K108:K123" si="70">IF($P108="","",INDEX(FIYAT_MARKA,MATCH($P108,FIYAT_KOD,0)))</f>
        <v>KAZTEK</v>
      </c>
      <c r="L108" s="4">
        <f t="shared" ref="L108:L123" si="71">IF($H108="","",$H108)</f>
        <v>12267</v>
      </c>
      <c r="M108" s="4" t="str">
        <f t="shared" ref="M108:M123" si="72">IF($P108="","",INDEX(DURUM_LIST,MATCH(MAX(INDEX(DURUM_SEV,MATCH(INDEX(FIYAT_DURUM,MATCH($P108,FIYAT_KOD,0)),DURUM_LIST,0)),IF($S108="",0,INDEX(DURUM_SEV,MATCH($S108,DURUM_LIST,0))),$Z108),DURUM_SEV,0)))</f>
        <v>VARSAYIM</v>
      </c>
      <c r="N108" s="4" t="s">
        <v>181</v>
      </c>
      <c r="O108" s="4" t="str">
        <f t="shared" ref="O108:O123" si="73">IF($P108="","",INDEX(FIYAT_KAYNAK,MATCH($P108,FIYAT_KOD,0)))</f>
        <v>KAZTEK2607</v>
      </c>
      <c r="P108" s="4" t="str">
        <f>INDEX(PANO_KORPUS,MATCH($Q108,PANO_ID,0))</f>
        <v>KAZTEK-713-15040</v>
      </c>
      <c r="Q108" s="4" t="str">
        <f t="shared" ref="Q108:Q123" si="74">$Q107</f>
        <v>P06</v>
      </c>
      <c r="R108" s="5" t="s">
        <v>107</v>
      </c>
      <c r="S108" s="5" t="s">
        <v>54</v>
      </c>
      <c r="T108" s="4">
        <f>IF(OR($R108="",$I108=""),"",$I108*INDEX(NORM_DK,MATCH($R108,NORM_AD,0)))</f>
        <v>30</v>
      </c>
      <c r="U108" s="4" t="str">
        <f>IF(OR($P108="",$I108=""),"",IF(IF(INDEX(FIYAT_ALAN,MATCH($P108,FIYAT_KOD,0))="","",INDEX(FIYAT_ALAN,MATCH($P108,FIYAT_KOD,0)))&lt;&gt;"",$I108*IF(INDEX(FIYAT_ALAN,MATCH($P108,FIYAT_KOD,0))="","",INDEX(FIYAT_ALAN,MATCH($P108,FIYAT_KOD,0))),IF(IF(INDEX(FIYAT_MODUL,MATCH($P108,FIYAT_KOD,0))="","",INDEX(FIYAT_MODUL,MATCH($P108,FIYAT_KOD,0)))&lt;&gt;"",$I108*IF(INDEX(FIYAT_MODUL,MATCH($P108,FIYAT_KOD,0))="","",INDEX(FIYAT_MODUL,MATCH($P108,FIYAT_KOD,0))),IF(IF(INDEX(FIYAT_GENISLIK,MATCH($P108,FIYAT_KOD,0))="","",INDEX(FIYAT_GENISLIK,MATCH($P108,FIYAT_KOD,0)))&lt;&gt;"",$I108*IF(INDEX(FIYAT_GENISLIK,MATCH($P108,FIYAT_KOD,0))="","",INDEX(FIYAT_GENISLIK,MATCH($P108,FIYAT_KOD,0)))/MODUL_GENISLIK_MM,""))))</f>
        <v/>
      </c>
      <c r="V108" s="4" t="str">
        <f>IF(OR($C108&lt;&gt;"шина",$I108=""),"",$I108*INDEX(FIYAT_KGM,MATCH($P108,FIYAT_KOD,0)))</f>
        <v/>
      </c>
      <c r="W108" s="4">
        <f t="shared" ref="W108:W121" si="75">IF($H108="","",$H108)</f>
        <v>12267</v>
      </c>
      <c r="Y108" s="5" t="s">
        <v>34</v>
      </c>
      <c r="Z108" s="4">
        <f>IF($P108="","",MAX(_xlfn.MAXIFS(DEVRE!$AM:$AM,DEVRE!$A:$A,$Q108,DEVRE!$C:$C,$P108),_xlfn.MAXIFS(DEVRE!$AM:$AM,DEVRE!$A:$A,$Q108,DEVRE!$H:$H,$P108)))</f>
        <v>0</v>
      </c>
      <c r="AA108" s="4">
        <f>IF(OR($I108="",$Q108="",$P108=""),"",$I108*INDEX(PANO_ADET,MATCH($Q108,PANO_ID,0)))</f>
        <v>1</v>
      </c>
      <c r="AB108" s="4">
        <f>IF($P108="",0,IF(AND($U108="",COUNTIF(ALAN_TIP_LIST,$C108)&gt;0),1,0))</f>
        <v>0</v>
      </c>
      <c r="AC108" s="4">
        <f>IF(OR($P108="",$C108&lt;&gt;"kontaktör"),0,IF(IF(INDEX(FIYAT_BOBIN,MATCH($P108,FIYAT_KOD,0))="","",INDEX(FIYAT_BOBIN,MATCH($P108,FIYAT_KOD,0)))="",1,0))</f>
        <v>0</v>
      </c>
    </row>
    <row r="109" spans="1:29" x14ac:dyDescent="0.35">
      <c r="A109" s="4">
        <f t="shared" si="63"/>
        <v>108</v>
      </c>
      <c r="B109" s="4" t="str">
        <f t="shared" si="64"/>
        <v>Выключатель нагрузки 3P 25A</v>
      </c>
      <c r="C109" s="5" t="s">
        <v>108</v>
      </c>
      <c r="D109" s="4" t="str">
        <f t="shared" si="65"/>
        <v/>
      </c>
      <c r="E109" s="4" t="str">
        <f t="shared" si="66"/>
        <v>Выключатель нагрузки 3P 25A</v>
      </c>
      <c r="F109" s="4" t="str">
        <f t="shared" si="67"/>
        <v/>
      </c>
      <c r="G109" s="4" t="str">
        <f t="shared" si="68"/>
        <v/>
      </c>
      <c r="H109" s="4" t="str">
        <f>IF(OR($G109="",$I109="",$M109="KONTROL",$M109="KAPSAM_DISI"),"",$G109*$I109)</f>
        <v/>
      </c>
      <c r="I109" s="4">
        <f>SUMIFS(DEVRE!$T:$T,DEVRE!$A:$A,$Q109,DEVRE!$C:$C,$P109)+SUMIFS(DEVRE!$U:$U,DEVRE!$A:$A,$Q109,DEVRE!$H:$H,$P109)</f>
        <v>1</v>
      </c>
      <c r="J109" s="4" t="str">
        <f t="shared" si="69"/>
        <v>шт</v>
      </c>
      <c r="K109" s="4" t="str">
        <f t="shared" si="70"/>
        <v>CHINT</v>
      </c>
      <c r="L109" s="4" t="str">
        <f t="shared" si="71"/>
        <v/>
      </c>
      <c r="M109" s="4" t="str">
        <f t="shared" si="72"/>
        <v>FIYAT_YOK</v>
      </c>
      <c r="N109" s="4" t="s">
        <v>109</v>
      </c>
      <c r="O109" s="4" t="str">
        <f t="shared" si="73"/>
        <v>CHINT2608</v>
      </c>
      <c r="P109" s="5" t="s">
        <v>182</v>
      </c>
      <c r="Q109" s="4" t="str">
        <f t="shared" si="74"/>
        <v>P06</v>
      </c>
      <c r="R109" s="5" t="s">
        <v>111</v>
      </c>
      <c r="T109" s="4">
        <f>IF(OR($R109="",$I109=""),"",$I109*INDEX(NORM_DK,MATCH($R109,NORM_AD,0)))</f>
        <v>45</v>
      </c>
      <c r="U109" s="4">
        <f>IF(OR($P109="",$I109=""),"",IF(IF(INDEX(FIYAT_ALAN,MATCH($P109,FIYAT_KOD,0))="","",INDEX(FIYAT_ALAN,MATCH($P109,FIYAT_KOD,0)))&lt;&gt;"",$I109*IF(INDEX(FIYAT_ALAN,MATCH($P109,FIYAT_KOD,0))="","",INDEX(FIYAT_ALAN,MATCH($P109,FIYAT_KOD,0))),IF(IF(INDEX(FIYAT_MODUL,MATCH($P109,FIYAT_KOD,0))="","",INDEX(FIYAT_MODUL,MATCH($P109,FIYAT_KOD,0)))&lt;&gt;"",$I109*IF(INDEX(FIYAT_MODUL,MATCH($P109,FIYAT_KOD,0))="","",INDEX(FIYAT_MODUL,MATCH($P109,FIYAT_KOD,0))),IF(IF(INDEX(FIYAT_GENISLIK,MATCH($P109,FIYAT_KOD,0))="","",INDEX(FIYAT_GENISLIK,MATCH($P109,FIYAT_KOD,0)))&lt;&gt;"",$I109*IF(INDEX(FIYAT_GENISLIK,MATCH($P109,FIYAT_KOD,0))="","",INDEX(FIYAT_GENISLIK,MATCH($P109,FIYAT_KOD,0)))/MODUL_GENISLIK_MM,""))))</f>
        <v>3</v>
      </c>
      <c r="V109" s="4" t="str">
        <f>IF(OR($C109&lt;&gt;"шина",$I109=""),"",$I109*INDEX(FIYAT_KGM,MATCH($P109,FIYAT_KOD,0)))</f>
        <v/>
      </c>
      <c r="W109" s="4" t="str">
        <f t="shared" si="75"/>
        <v/>
      </c>
      <c r="Y109" s="5" t="s">
        <v>39</v>
      </c>
      <c r="Z109" s="4">
        <f>IF($P109="","",MAX(_xlfn.MAXIFS(DEVRE!$AM:$AM,DEVRE!$A:$A,$Q109,DEVRE!$C:$C,$P109),_xlfn.MAXIFS(DEVRE!$AM:$AM,DEVRE!$A:$A,$Q109,DEVRE!$H:$H,$P109)))</f>
        <v>8</v>
      </c>
      <c r="AA109" s="4">
        <f>IF(OR($I109="",$Q109="",$P109=""),"",$I109*INDEX(PANO_ADET,MATCH($Q109,PANO_ID,0)))</f>
        <v>1</v>
      </c>
      <c r="AB109" s="4">
        <f>IF($P109="",0,IF(AND($U109="",COUNTIF(ALAN_TIP_LIST,$C109)&gt;0),1,0))</f>
        <v>0</v>
      </c>
      <c r="AC109" s="4">
        <f>IF(OR($P109="",$C109&lt;&gt;"kontaktör"),0,IF(IF(INDEX(FIYAT_BOBIN,MATCH($P109,FIYAT_KOD,0))="","",INDEX(FIYAT_BOBIN,MATCH($P109,FIYAT_KOD,0)))="",1,0))</f>
        <v>0</v>
      </c>
    </row>
    <row r="110" spans="1:29" x14ac:dyDescent="0.35">
      <c r="A110" s="4">
        <f t="shared" si="63"/>
        <v>109</v>
      </c>
      <c r="B110" s="4" t="str">
        <f t="shared" si="64"/>
        <v>Авт. выкл. NXB-63S 1P 16А 4.5kA х-ка B</v>
      </c>
      <c r="C110" s="5" t="s">
        <v>47</v>
      </c>
      <c r="D110" s="4" t="str">
        <f t="shared" si="65"/>
        <v>296697</v>
      </c>
      <c r="E110" s="4" t="str">
        <f t="shared" si="66"/>
        <v>Авт. выкл. NXB-63S 1P 16А 4.5kA х-ка B</v>
      </c>
      <c r="F110" s="4">
        <f t="shared" si="67"/>
        <v>878</v>
      </c>
      <c r="G110" s="4">
        <f t="shared" si="68"/>
        <v>526.79999999999995</v>
      </c>
      <c r="H110" s="4">
        <f>IF(OR($G110="",$I110="",$M110="KONTROL",$M110="KAPSAM_DISI"),"",$G110*$I110)</f>
        <v>6321.5999999999995</v>
      </c>
      <c r="I110" s="4">
        <f>SUMIFS(DEVRE!$T:$T,DEVRE!$A:$A,$Q110,DEVRE!$C:$C,$P110)+SUMIFS(DEVRE!$U:$U,DEVRE!$A:$A,$Q110,DEVRE!$H:$H,$P110)</f>
        <v>12</v>
      </c>
      <c r="J110" s="4" t="str">
        <f t="shared" si="69"/>
        <v>шт</v>
      </c>
      <c r="K110" s="4" t="str">
        <f t="shared" si="70"/>
        <v>CHINT</v>
      </c>
      <c r="L110" s="4">
        <f t="shared" si="71"/>
        <v>6321.5999999999995</v>
      </c>
      <c r="M110" s="4" t="str">
        <f t="shared" si="72"/>
        <v>OKUNAMADI</v>
      </c>
      <c r="N110" s="4" t="s">
        <v>183</v>
      </c>
      <c r="O110" s="4" t="str">
        <f t="shared" si="73"/>
        <v>CHINT2608</v>
      </c>
      <c r="P110" s="5" t="s">
        <v>184</v>
      </c>
      <c r="Q110" s="4" t="str">
        <f t="shared" si="74"/>
        <v>P06</v>
      </c>
      <c r="R110" s="5" t="s">
        <v>165</v>
      </c>
      <c r="T110" s="4">
        <f>IF(OR($R110="",$I110=""),"",$I110*INDEX(NORM_DK,MATCH($R110,NORM_AD,0)))</f>
        <v>36</v>
      </c>
      <c r="U110" s="4">
        <f>IF(OR($P110="",$I110=""),"",IF(IF(INDEX(FIYAT_ALAN,MATCH($P110,FIYAT_KOD,0))="","",INDEX(FIYAT_ALAN,MATCH($P110,FIYAT_KOD,0)))&lt;&gt;"",$I110*IF(INDEX(FIYAT_ALAN,MATCH($P110,FIYAT_KOD,0))="","",INDEX(FIYAT_ALAN,MATCH($P110,FIYAT_KOD,0))),IF(IF(INDEX(FIYAT_MODUL,MATCH($P110,FIYAT_KOD,0))="","",INDEX(FIYAT_MODUL,MATCH($P110,FIYAT_KOD,0)))&lt;&gt;"",$I110*IF(INDEX(FIYAT_MODUL,MATCH($P110,FIYAT_KOD,0))="","",INDEX(FIYAT_MODUL,MATCH($P110,FIYAT_KOD,0))),IF(IF(INDEX(FIYAT_GENISLIK,MATCH($P110,FIYAT_KOD,0))="","",INDEX(FIYAT_GENISLIK,MATCH($P110,FIYAT_KOD,0)))&lt;&gt;"",$I110*IF(INDEX(FIYAT_GENISLIK,MATCH($P110,FIYAT_KOD,0))="","",INDEX(FIYAT_GENISLIK,MATCH($P110,FIYAT_KOD,0)))/MODUL_GENISLIK_MM,""))))</f>
        <v>12</v>
      </c>
      <c r="V110" s="4" t="str">
        <f>IF(OR($C110&lt;&gt;"шина",$I110=""),"",$I110*INDEX(FIYAT_KGM,MATCH($P110,FIYAT_KOD,0)))</f>
        <v/>
      </c>
      <c r="W110" s="4">
        <f t="shared" si="75"/>
        <v>6321.5999999999995</v>
      </c>
      <c r="Y110" s="5" t="s">
        <v>39</v>
      </c>
      <c r="Z110" s="4">
        <f>IF($P110="","",MAX(_xlfn.MAXIFS(DEVRE!$AM:$AM,DEVRE!$A:$A,$Q110,DEVRE!$C:$C,$P110),_xlfn.MAXIFS(DEVRE!$AM:$AM,DEVRE!$A:$A,$Q110,DEVRE!$H:$H,$P110)))</f>
        <v>6</v>
      </c>
      <c r="AA110" s="4">
        <f>IF(OR($I110="",$Q110="",$P110=""),"",$I110*INDEX(PANO_ADET,MATCH($Q110,PANO_ID,0)))</f>
        <v>12</v>
      </c>
      <c r="AB110" s="4">
        <f>IF($P110="",0,IF(AND($U110="",COUNTIF(ALAN_TIP_LIST,$C110)&gt;0),1,0))</f>
        <v>0</v>
      </c>
      <c r="AC110" s="4">
        <f>IF(OR($P110="",$C110&lt;&gt;"kontaktör"),0,IF(IF(INDEX(FIYAT_BOBIN,MATCH($P110,FIYAT_KOD,0))="","",INDEX(FIYAT_BOBIN,MATCH($P110,FIYAT_KOD,0)))="",1,0))</f>
        <v>0</v>
      </c>
    </row>
    <row r="111" spans="1:29" x14ac:dyDescent="0.35">
      <c r="A111" s="4">
        <f t="shared" si="63"/>
        <v>110</v>
      </c>
      <c r="B111" s="4" t="str">
        <f t="shared" si="64"/>
        <v>Диф. авт. выкл. NXBLE-63 2P C16 30mA тип AC 6kA</v>
      </c>
      <c r="C111" s="5" t="s">
        <v>147</v>
      </c>
      <c r="D111" s="4" t="str">
        <f t="shared" si="65"/>
        <v>819977</v>
      </c>
      <c r="E111" s="4" t="str">
        <f t="shared" si="66"/>
        <v>Диф. авт. выкл. NXBLE-63 2P C16 30mA тип AC 6kA</v>
      </c>
      <c r="F111" s="4">
        <f t="shared" si="67"/>
        <v>5934</v>
      </c>
      <c r="G111" s="4">
        <f t="shared" si="68"/>
        <v>3560.4</v>
      </c>
      <c r="H111" s="4">
        <f>IF(OR($G111="",$I111="",$M111="KONTROL",$M111="KAPSAM_DISI"),"",$G111*$I111)</f>
        <v>17802</v>
      </c>
      <c r="I111" s="4">
        <f>SUMIFS(DEVRE!$T:$T,DEVRE!$A:$A,$Q111,DEVRE!$C:$C,$P111)+SUMIFS(DEVRE!$U:$U,DEVRE!$A:$A,$Q111,DEVRE!$H:$H,$P111)</f>
        <v>5</v>
      </c>
      <c r="J111" s="4" t="str">
        <f t="shared" si="69"/>
        <v>шт</v>
      </c>
      <c r="K111" s="4" t="str">
        <f t="shared" si="70"/>
        <v>CHINT</v>
      </c>
      <c r="L111" s="4">
        <f t="shared" si="71"/>
        <v>17802</v>
      </c>
      <c r="M111" s="4" t="str">
        <f t="shared" si="72"/>
        <v>OKUNAMADI</v>
      </c>
      <c r="N111" s="4" t="s">
        <v>185</v>
      </c>
      <c r="O111" s="4" t="str">
        <f t="shared" si="73"/>
        <v>CHINT2608</v>
      </c>
      <c r="P111" s="5" t="s">
        <v>149</v>
      </c>
      <c r="Q111" s="4" t="str">
        <f t="shared" si="74"/>
        <v>P06</v>
      </c>
      <c r="R111" s="5" t="s">
        <v>150</v>
      </c>
      <c r="T111" s="4">
        <f>IF(OR($R111="",$I111=""),"",$I111*INDEX(NORM_DK,MATCH($R111,NORM_AD,0)))</f>
        <v>0</v>
      </c>
      <c r="U111" s="4">
        <f>IF(OR($P111="",$I111=""),"",IF(IF(INDEX(FIYAT_ALAN,MATCH($P111,FIYAT_KOD,0))="","",INDEX(FIYAT_ALAN,MATCH($P111,FIYAT_KOD,0)))&lt;&gt;"",$I111*IF(INDEX(FIYAT_ALAN,MATCH($P111,FIYAT_KOD,0))="","",INDEX(FIYAT_ALAN,MATCH($P111,FIYAT_KOD,0))),IF(IF(INDEX(FIYAT_MODUL,MATCH($P111,FIYAT_KOD,0))="","",INDEX(FIYAT_MODUL,MATCH($P111,FIYAT_KOD,0)))&lt;&gt;"",$I111*IF(INDEX(FIYAT_MODUL,MATCH($P111,FIYAT_KOD,0))="","",INDEX(FIYAT_MODUL,MATCH($P111,FIYAT_KOD,0))),IF(IF(INDEX(FIYAT_GENISLIK,MATCH($P111,FIYAT_KOD,0))="","",INDEX(FIYAT_GENISLIK,MATCH($P111,FIYAT_KOD,0)))&lt;&gt;"",$I111*IF(INDEX(FIYAT_GENISLIK,MATCH($P111,FIYAT_KOD,0))="","",INDEX(FIYAT_GENISLIK,MATCH($P111,FIYAT_KOD,0)))/MODUL_GENISLIK_MM,""))))</f>
        <v>10</v>
      </c>
      <c r="V111" s="4" t="str">
        <f>IF(OR($C111&lt;&gt;"шина",$I111=""),"",$I111*INDEX(FIYAT_KGM,MATCH($P111,FIYAT_KOD,0)))</f>
        <v/>
      </c>
      <c r="W111" s="4">
        <f t="shared" si="75"/>
        <v>17802</v>
      </c>
      <c r="Y111" s="5" t="s">
        <v>39</v>
      </c>
      <c r="Z111" s="4">
        <f>IF($P111="","",MAX(_xlfn.MAXIFS(DEVRE!$AM:$AM,DEVRE!$A:$A,$Q111,DEVRE!$C:$C,$P111),_xlfn.MAXIFS(DEVRE!$AM:$AM,DEVRE!$A:$A,$Q111,DEVRE!$H:$H,$P111)))</f>
        <v>6</v>
      </c>
      <c r="AA111" s="4">
        <f>IF(OR($I111="",$Q111="",$P111=""),"",$I111*INDEX(PANO_ADET,MATCH($Q111,PANO_ID,0)))</f>
        <v>5</v>
      </c>
      <c r="AB111" s="4">
        <f>IF($P111="",0,IF(AND($U111="",COUNTIF(ALAN_TIP_LIST,$C111)&gt;0),1,0))</f>
        <v>0</v>
      </c>
      <c r="AC111" s="4">
        <f>IF(OR($P111="",$C111&lt;&gt;"kontaktör"),0,IF(IF(INDEX(FIYAT_BOBIN,MATCH($P111,FIYAT_KOD,0))="","",INDEX(FIYAT_BOBIN,MATCH($P111,FIYAT_KOD,0)))="",1,0))</f>
        <v>0</v>
      </c>
    </row>
    <row r="112" spans="1:29" x14ac:dyDescent="0.35">
      <c r="A112" s="4">
        <f t="shared" si="63"/>
        <v>111</v>
      </c>
      <c r="B112" s="4" t="str">
        <f t="shared" si="64"/>
        <v>Шина соединительная типа FORK 1P, 63А, L=1000мм</v>
      </c>
      <c r="C112" s="5" t="s">
        <v>120</v>
      </c>
      <c r="D112" s="4" t="str">
        <f t="shared" si="65"/>
        <v>811008</v>
      </c>
      <c r="E112" s="4" t="str">
        <f t="shared" si="66"/>
        <v>Шина соединительная типа FORK 1P, 63А, L=1000мм</v>
      </c>
      <c r="F112" s="4">
        <f t="shared" si="67"/>
        <v>5438</v>
      </c>
      <c r="G112" s="4">
        <f t="shared" si="68"/>
        <v>3262.7999999999997</v>
      </c>
      <c r="H112" s="4" t="str">
        <f>IF(OR($G112="",$I112="",$M112="KONTROL",$M112="KAPSAM_DISI"),"",$G112*$I112)</f>
        <v/>
      </c>
      <c r="I112" s="4">
        <f>IF(COUNTIFS(DEVRE!$A:$A,$Q112,DEVRE!$D:$D,"CIKIS",DEVRE!$AO:$AO,$X112,DEVRE!$Q:$Q,"&lt;="&amp;TARAK_MAX_A,DEVRE!$P:$P,"OTO")+COUNTIFS(DEVRE!$A:$A,$Q112,DEVRE!$D:$D,"CIKIS",DEVRE!$AO:$AO,$X112,DEVRE!$Q:$Q,"&lt;="&amp;TARAK_MAX_A,DEVRE!$P:$P,"DİF")&lt;TARAK_MIN_CIHAZ,"",ROUNDUP((SUMIFS(DEVRE!$AH:$AH,DEVRE!$A:$A,$Q112,DEVRE!$D:$D,"CIKIS",DEVRE!$AO:$AO,$X112,DEVRE!$Q:$Q,"&lt;="&amp;TARAK_MAX_A,DEVRE!$P:$P,"OTO")+SUMIFS(DEVRE!$AH:$AH,DEVRE!$A:$A,$Q112,DEVRE!$D:$D,"CIKIS",DEVRE!$AO:$AO,$X112,DEVRE!$Q:$Q,"&lt;="&amp;TARAK_MAX_A,DEVRE!$P:$P,"DİF"))/TARAK_MOD_ADET,0))</f>
        <v>1</v>
      </c>
      <c r="J112" s="4" t="str">
        <f t="shared" si="69"/>
        <v>шт</v>
      </c>
      <c r="K112" s="4" t="str">
        <f t="shared" si="70"/>
        <v>CHINT</v>
      </c>
      <c r="L112" s="4" t="str">
        <f t="shared" si="71"/>
        <v/>
      </c>
      <c r="M112" s="4" t="str">
        <f t="shared" si="72"/>
        <v>KONTROL</v>
      </c>
      <c r="N112" s="4" t="s">
        <v>171</v>
      </c>
      <c r="O112" s="4" t="str">
        <f t="shared" si="73"/>
        <v>CHINT2608</v>
      </c>
      <c r="P112" s="5" t="s">
        <v>172</v>
      </c>
      <c r="Q112" s="4" t="str">
        <f t="shared" si="74"/>
        <v>P06</v>
      </c>
      <c r="R112" s="5" t="s">
        <v>123</v>
      </c>
      <c r="S112" s="5" t="s">
        <v>124</v>
      </c>
      <c r="T112" s="4">
        <f>IF(OR($R112="",$I112=""),"",$I112*INDEX(NORM_DK,MATCH($R112,NORM_AD,0)))</f>
        <v>10</v>
      </c>
      <c r="U112" s="4" t="str">
        <f>IF(OR($P112="",$I112=""),"",IF(IF(INDEX(FIYAT_ALAN,MATCH($P112,FIYAT_KOD,0))="","",INDEX(FIYAT_ALAN,MATCH($P112,FIYAT_KOD,0)))&lt;&gt;"",$I112*IF(INDEX(FIYAT_ALAN,MATCH($P112,FIYAT_KOD,0))="","",INDEX(FIYAT_ALAN,MATCH($P112,FIYAT_KOD,0))),IF(IF(INDEX(FIYAT_MODUL,MATCH($P112,FIYAT_KOD,0))="","",INDEX(FIYAT_MODUL,MATCH($P112,FIYAT_KOD,0)))&lt;&gt;"",$I112*IF(INDEX(FIYAT_MODUL,MATCH($P112,FIYAT_KOD,0))="","",INDEX(FIYAT_MODUL,MATCH($P112,FIYAT_KOD,0))),IF(IF(INDEX(FIYAT_GENISLIK,MATCH($P112,FIYAT_KOD,0))="","",INDEX(FIYAT_GENISLIK,MATCH($P112,FIYAT_KOD,0)))&lt;&gt;"",$I112*IF(INDEX(FIYAT_GENISLIK,MATCH($P112,FIYAT_KOD,0))="","",INDEX(FIYAT_GENISLIK,MATCH($P112,FIYAT_KOD,0)))/MODUL_GENISLIK_MM,""))))</f>
        <v/>
      </c>
      <c r="V112" s="4" t="str">
        <f>IF(OR($C112&lt;&gt;"шина",$I112=""),"",$I112*INDEX(FIYAT_KGM,MATCH($P112,FIYAT_KOD,0)))</f>
        <v/>
      </c>
      <c r="W112" s="4" t="str">
        <f t="shared" si="75"/>
        <v/>
      </c>
      <c r="X112" s="5" t="s">
        <v>173</v>
      </c>
      <c r="Y112" s="5" t="s">
        <v>126</v>
      </c>
      <c r="Z112" s="4">
        <f>IF($P112="","",MAX(_xlfn.MAXIFS(DEVRE!$AM:$AM,DEVRE!$A:$A,$Q112,DEVRE!$C:$C,$P112),_xlfn.MAXIFS(DEVRE!$AM:$AM,DEVRE!$A:$A,$Q112,DEVRE!$H:$H,$P112)))</f>
        <v>0</v>
      </c>
      <c r="AA112" s="4">
        <f>IF(OR($I112="",$Q112="",$P112=""),"",$I112*INDEX(PANO_ADET,MATCH($Q112,PANO_ID,0)))</f>
        <v>1</v>
      </c>
      <c r="AB112" s="4">
        <f>IF($P112="",0,IF(AND($U112="",COUNTIF(ALAN_TIP_LIST,$C112)&gt;0),1,0))</f>
        <v>0</v>
      </c>
      <c r="AC112" s="4">
        <f>IF(OR($P112="",$C112&lt;&gt;"kontaktör"),0,IF(IF(INDEX(FIYAT_BOBIN,MATCH($P112,FIYAT_KOD,0))="","",INDEX(FIYAT_BOBIN,MATCH($P112,FIYAT_KOD,0)))="",1,0))</f>
        <v>0</v>
      </c>
    </row>
    <row r="113" spans="1:29" x14ac:dyDescent="0.35">
      <c r="A113" s="4">
        <f t="shared" si="63"/>
        <v>112</v>
      </c>
      <c r="B113" s="4" t="str">
        <f t="shared" si="64"/>
        <v>Шина соединительная типа PIN 2P, 63А, L=1000мм</v>
      </c>
      <c r="C113" s="5" t="s">
        <v>120</v>
      </c>
      <c r="D113" s="4" t="str">
        <f t="shared" si="65"/>
        <v>811001</v>
      </c>
      <c r="E113" s="4" t="str">
        <f t="shared" si="66"/>
        <v>Шина соединительная типа PIN 2P, 63А, L=1000мм</v>
      </c>
      <c r="F113" s="4">
        <f t="shared" si="67"/>
        <v>8819</v>
      </c>
      <c r="G113" s="4">
        <f t="shared" si="68"/>
        <v>5291.4</v>
      </c>
      <c r="H113" s="4" t="str">
        <f>IF(OR($G113="",$I113="",$M113="KONTROL",$M113="KAPSAM_DISI"),"",$G113*$I113)</f>
        <v/>
      </c>
      <c r="I113" s="4">
        <f>IF(COUNTIFS(DEVRE!$A:$A,$Q113,DEVRE!$D:$D,"CIKIS",DEVRE!$AO:$AO,$X113,DEVRE!$Q:$Q,"&lt;="&amp;TARAK_MAX_A,DEVRE!$P:$P,"OTO")+COUNTIFS(DEVRE!$A:$A,$Q113,DEVRE!$D:$D,"CIKIS",DEVRE!$AO:$AO,$X113,DEVRE!$Q:$Q,"&lt;="&amp;TARAK_MAX_A,DEVRE!$P:$P,"DİF")&lt;TARAK_MIN_CIHAZ,"",ROUNDUP((SUMIFS(DEVRE!$AH:$AH,DEVRE!$A:$A,$Q113,DEVRE!$D:$D,"CIKIS",DEVRE!$AO:$AO,$X113,DEVRE!$Q:$Q,"&lt;="&amp;TARAK_MAX_A,DEVRE!$P:$P,"OTO")+SUMIFS(DEVRE!$AH:$AH,DEVRE!$A:$A,$Q113,DEVRE!$D:$D,"CIKIS",DEVRE!$AO:$AO,$X113,DEVRE!$Q:$Q,"&lt;="&amp;TARAK_MAX_A,DEVRE!$P:$P,"DİF"))/TARAK_MOD_ADET,0))</f>
        <v>1</v>
      </c>
      <c r="J113" s="4" t="str">
        <f t="shared" si="69"/>
        <v>шт</v>
      </c>
      <c r="K113" s="4" t="str">
        <f t="shared" si="70"/>
        <v>CHINT</v>
      </c>
      <c r="L113" s="4" t="str">
        <f t="shared" si="71"/>
        <v/>
      </c>
      <c r="M113" s="4" t="str">
        <f t="shared" si="72"/>
        <v>KONTROL</v>
      </c>
      <c r="N113" s="4" t="s">
        <v>151</v>
      </c>
      <c r="O113" s="4" t="str">
        <f t="shared" si="73"/>
        <v>CHINT2608</v>
      </c>
      <c r="P113" s="5" t="s">
        <v>152</v>
      </c>
      <c r="Q113" s="4" t="str">
        <f t="shared" si="74"/>
        <v>P06</v>
      </c>
      <c r="R113" s="5" t="s">
        <v>123</v>
      </c>
      <c r="S113" s="5" t="s">
        <v>124</v>
      </c>
      <c r="T113" s="4">
        <f>IF(OR($R113="",$I113=""),"",$I113*INDEX(NORM_DK,MATCH($R113,NORM_AD,0)))</f>
        <v>10</v>
      </c>
      <c r="U113" s="4" t="str">
        <f>IF(OR($P113="",$I113=""),"",IF(IF(INDEX(FIYAT_ALAN,MATCH($P113,FIYAT_KOD,0))="","",INDEX(FIYAT_ALAN,MATCH($P113,FIYAT_KOD,0)))&lt;&gt;"",$I113*IF(INDEX(FIYAT_ALAN,MATCH($P113,FIYAT_KOD,0))="","",INDEX(FIYAT_ALAN,MATCH($P113,FIYAT_KOD,0))),IF(IF(INDEX(FIYAT_MODUL,MATCH($P113,FIYAT_KOD,0))="","",INDEX(FIYAT_MODUL,MATCH($P113,FIYAT_KOD,0)))&lt;&gt;"",$I113*IF(INDEX(FIYAT_MODUL,MATCH($P113,FIYAT_KOD,0))="","",INDEX(FIYAT_MODUL,MATCH($P113,FIYAT_KOD,0))),IF(IF(INDEX(FIYAT_GENISLIK,MATCH($P113,FIYAT_KOD,0))="","",INDEX(FIYAT_GENISLIK,MATCH($P113,FIYAT_KOD,0)))&lt;&gt;"",$I113*IF(INDEX(FIYAT_GENISLIK,MATCH($P113,FIYAT_KOD,0))="","",INDEX(FIYAT_GENISLIK,MATCH($P113,FIYAT_KOD,0)))/MODUL_GENISLIK_MM,""))))</f>
        <v/>
      </c>
      <c r="V113" s="4" t="str">
        <f>IF(OR($C113&lt;&gt;"шина",$I113=""),"",$I113*INDEX(FIYAT_KGM,MATCH($P113,FIYAT_KOD,0)))</f>
        <v/>
      </c>
      <c r="W113" s="4" t="str">
        <f t="shared" si="75"/>
        <v/>
      </c>
      <c r="X113" s="5" t="s">
        <v>153</v>
      </c>
      <c r="Y113" s="5" t="s">
        <v>126</v>
      </c>
      <c r="Z113" s="4">
        <f>IF($P113="","",MAX(_xlfn.MAXIFS(DEVRE!$AM:$AM,DEVRE!$A:$A,$Q113,DEVRE!$C:$C,$P113),_xlfn.MAXIFS(DEVRE!$AM:$AM,DEVRE!$A:$A,$Q113,DEVRE!$H:$H,$P113)))</f>
        <v>0</v>
      </c>
      <c r="AA113" s="4">
        <f>IF(OR($I113="",$Q113="",$P113=""),"",$I113*INDEX(PANO_ADET,MATCH($Q113,PANO_ID,0)))</f>
        <v>1</v>
      </c>
      <c r="AB113" s="4">
        <f>IF($P113="",0,IF(AND($U113="",COUNTIF(ALAN_TIP_LIST,$C113)&gt;0),1,0))</f>
        <v>0</v>
      </c>
      <c r="AC113" s="4">
        <f>IF(OR($P113="",$C113&lt;&gt;"kontaktör"),0,IF(IF(INDEX(FIYAT_BOBIN,MATCH($P113,FIYAT_KOD,0))="","",INDEX(FIYAT_BOBIN,MATCH($P113,FIYAT_KOD,0)))="",1,0))</f>
        <v>0</v>
      </c>
    </row>
    <row r="114" spans="1:29" x14ac:dyDescent="0.35">
      <c r="A114" s="4">
        <f t="shared" si="63"/>
        <v>113</v>
      </c>
      <c r="B114" s="4" t="str">
        <f t="shared" si="64"/>
        <v/>
      </c>
      <c r="C114" s="5" t="s">
        <v>51</v>
      </c>
      <c r="D114" s="4" t="str">
        <f t="shared" si="65"/>
        <v/>
      </c>
      <c r="E114" s="4" t="str">
        <f t="shared" si="66"/>
        <v/>
      </c>
      <c r="F114" s="4" t="str">
        <f t="shared" si="67"/>
        <v/>
      </c>
      <c r="G114" s="4" t="str">
        <f t="shared" si="68"/>
        <v/>
      </c>
      <c r="H114" s="4" t="str">
        <f>IF(OR($G114="",$I114="",$M114="KONTROL",$M114="KAPSAM_DISI"),"",$G114*$I114)</f>
        <v/>
      </c>
      <c r="I114" s="4">
        <f>IF(INDEX(PANO_BARA_GEREK,MATCH($Q114,PANO_ID,0))="HAYIR",2,"")</f>
        <v>2</v>
      </c>
      <c r="J114" s="4" t="str">
        <f t="shared" si="69"/>
        <v/>
      </c>
      <c r="K114" s="4" t="str">
        <f t="shared" si="70"/>
        <v/>
      </c>
      <c r="L114" s="4" t="str">
        <f t="shared" si="71"/>
        <v/>
      </c>
      <c r="M114" s="4" t="str">
        <f t="shared" si="72"/>
        <v/>
      </c>
      <c r="N114" s="4" t="s">
        <v>75</v>
      </c>
      <c r="O114" s="4" t="str">
        <f t="shared" si="73"/>
        <v/>
      </c>
      <c r="P114" s="4" t="str">
        <f>IF(NOTR_BARA_KOD="","",NOTR_BARA_KOD)</f>
        <v/>
      </c>
      <c r="Q114" s="4" t="str">
        <f t="shared" si="74"/>
        <v>P06</v>
      </c>
      <c r="S114" s="5" t="s">
        <v>47</v>
      </c>
      <c r="T114" s="4" t="str">
        <f>IF(OR($R114="",$I114=""),"",$I114*INDEX(NORM_DK,MATCH($R114,NORM_AD,0)))</f>
        <v/>
      </c>
      <c r="U114" s="4" t="str">
        <f>IF(OR($P114="",$I114=""),"",IF(IF(INDEX(FIYAT_ALAN,MATCH($P114,FIYAT_KOD,0))="","",INDEX(FIYAT_ALAN,MATCH($P114,FIYAT_KOD,0)))&lt;&gt;"",$I114*IF(INDEX(FIYAT_ALAN,MATCH($P114,FIYAT_KOD,0))="","",INDEX(FIYAT_ALAN,MATCH($P114,FIYAT_KOD,0))),IF(IF(INDEX(FIYAT_MODUL,MATCH($P114,FIYAT_KOD,0))="","",INDEX(FIYAT_MODUL,MATCH($P114,FIYAT_KOD,0)))&lt;&gt;"",$I114*IF(INDEX(FIYAT_MODUL,MATCH($P114,FIYAT_KOD,0))="","",INDEX(FIYAT_MODUL,MATCH($P114,FIYAT_KOD,0))),IF(IF(INDEX(FIYAT_GENISLIK,MATCH($P114,FIYAT_KOD,0))="","",INDEX(FIYAT_GENISLIK,MATCH($P114,FIYAT_KOD,0)))&lt;&gt;"",$I114*IF(INDEX(FIYAT_GENISLIK,MATCH($P114,FIYAT_KOD,0))="","",INDEX(FIYAT_GENISLIK,MATCH($P114,FIYAT_KOD,0)))/MODUL_GENISLIK_MM,""))))</f>
        <v/>
      </c>
      <c r="V114" s="4" t="str">
        <f>IF(OR($C114&lt;&gt;"шина",$I114=""),"",$I114*INDEX(FIYAT_KGM,MATCH($P114,FIYAT_KOD,0)))</f>
        <v/>
      </c>
      <c r="W114" s="4" t="str">
        <f t="shared" si="75"/>
        <v/>
      </c>
      <c r="Y114" s="5" t="s">
        <v>76</v>
      </c>
      <c r="Z114" s="4" t="str">
        <f>IF($P114="","",MAX(_xlfn.MAXIFS(DEVRE!$AM:$AM,DEVRE!$A:$A,$Q114,DEVRE!$C:$C,$P114),_xlfn.MAXIFS(DEVRE!$AM:$AM,DEVRE!$A:$A,$Q114,DEVRE!$H:$H,$P114)))</f>
        <v/>
      </c>
      <c r="AA114" s="4" t="str">
        <f>IF(OR($I114="",$Q114="",$P114=""),"",$I114*INDEX(PANO_ADET,MATCH($Q114,PANO_ID,0)))</f>
        <v/>
      </c>
      <c r="AB114" s="4">
        <f>IF($P114="",0,IF(AND($U114="",COUNTIF(ALAN_TIP_LIST,$C114)&gt;0),1,0))</f>
        <v>0</v>
      </c>
      <c r="AC114" s="4">
        <f>IF(OR($P114="",$C114&lt;&gt;"kontaktör"),0,IF(IF(INDEX(FIYAT_BOBIN,MATCH($P114,FIYAT_KOD,0))="","",INDEX(FIYAT_BOBIN,MATCH($P114,FIYAT_KOD,0)))="",1,0))</f>
        <v>0</v>
      </c>
    </row>
    <row r="115" spans="1:29" x14ac:dyDescent="0.35">
      <c r="A115" s="4">
        <f t="shared" si="63"/>
        <v>114</v>
      </c>
      <c r="B115" s="4" t="str">
        <f t="shared" si="64"/>
        <v/>
      </c>
      <c r="C115" s="5" t="s">
        <v>77</v>
      </c>
      <c r="D115" s="4" t="str">
        <f t="shared" si="65"/>
        <v/>
      </c>
      <c r="E115" s="4" t="str">
        <f t="shared" si="66"/>
        <v/>
      </c>
      <c r="F115" s="4" t="str">
        <f t="shared" si="67"/>
        <v/>
      </c>
      <c r="G115" s="4" t="str">
        <f t="shared" si="68"/>
        <v/>
      </c>
      <c r="H115" s="4" t="str">
        <f>IF(OR($G115="",$I115="",$M115="KONTROL",$M115="KAPSAM_DISI"),"",$G115*$I115)</f>
        <v/>
      </c>
      <c r="I115" s="4" t="str">
        <f>INDEX(PANO_DIN_M,MATCH($Q115,PANO_ID,0))</f>
        <v/>
      </c>
      <c r="J115" s="4" t="str">
        <f t="shared" si="69"/>
        <v/>
      </c>
      <c r="K115" s="4" t="str">
        <f t="shared" si="70"/>
        <v/>
      </c>
      <c r="L115" s="4" t="str">
        <f t="shared" si="71"/>
        <v/>
      </c>
      <c r="M115" s="4" t="str">
        <f t="shared" si="72"/>
        <v/>
      </c>
      <c r="N115" s="4" t="s">
        <v>78</v>
      </c>
      <c r="O115" s="4" t="str">
        <f t="shared" si="73"/>
        <v/>
      </c>
      <c r="P115" s="4" t="str">
        <f>IF(DINRAY_KOD="","",DINRAY_KOD)</f>
        <v/>
      </c>
      <c r="Q115" s="4" t="str">
        <f t="shared" si="74"/>
        <v>P06</v>
      </c>
      <c r="R115" s="5" t="s">
        <v>79</v>
      </c>
      <c r="S115" s="5" t="s">
        <v>47</v>
      </c>
      <c r="T115" s="4" t="str">
        <f>IF(OR($R115="",$I115=""),"",$I115*INDEX(NORM_DK,MATCH($R115,NORM_AD,0)))</f>
        <v/>
      </c>
      <c r="U115" s="4" t="str">
        <f>IF(OR($P115="",$I115=""),"",IF(IF(INDEX(FIYAT_ALAN,MATCH($P115,FIYAT_KOD,0))="","",INDEX(FIYAT_ALAN,MATCH($P115,FIYAT_KOD,0)))&lt;&gt;"",$I115*IF(INDEX(FIYAT_ALAN,MATCH($P115,FIYAT_KOD,0))="","",INDEX(FIYAT_ALAN,MATCH($P115,FIYAT_KOD,0))),IF(IF(INDEX(FIYAT_MODUL,MATCH($P115,FIYAT_KOD,0))="","",INDEX(FIYAT_MODUL,MATCH($P115,FIYAT_KOD,0)))&lt;&gt;"",$I115*IF(INDEX(FIYAT_MODUL,MATCH($P115,FIYAT_KOD,0))="","",INDEX(FIYAT_MODUL,MATCH($P115,FIYAT_KOD,0))),IF(IF(INDEX(FIYAT_GENISLIK,MATCH($P115,FIYAT_KOD,0))="","",INDEX(FIYAT_GENISLIK,MATCH($P115,FIYAT_KOD,0)))&lt;&gt;"",$I115*IF(INDEX(FIYAT_GENISLIK,MATCH($P115,FIYAT_KOD,0))="","",INDEX(FIYAT_GENISLIK,MATCH($P115,FIYAT_KOD,0)))/MODUL_GENISLIK_MM,""))))</f>
        <v/>
      </c>
      <c r="V115" s="4" t="str">
        <f>IF(OR($C115&lt;&gt;"шина",$I115=""),"",$I115*INDEX(FIYAT_KGM,MATCH($P115,FIYAT_KOD,0)))</f>
        <v/>
      </c>
      <c r="W115" s="4" t="str">
        <f t="shared" si="75"/>
        <v/>
      </c>
      <c r="Y115" s="5" t="s">
        <v>80</v>
      </c>
      <c r="Z115" s="4" t="str">
        <f>IF($P115="","",MAX(_xlfn.MAXIFS(DEVRE!$AM:$AM,DEVRE!$A:$A,$Q115,DEVRE!$C:$C,$P115),_xlfn.MAXIFS(DEVRE!$AM:$AM,DEVRE!$A:$A,$Q115,DEVRE!$H:$H,$P115)))</f>
        <v/>
      </c>
      <c r="AA115" s="4" t="str">
        <f>IF(OR($I115="",$Q115="",$P115=""),"",$I115*INDEX(PANO_ADET,MATCH($Q115,PANO_ID,0)))</f>
        <v/>
      </c>
      <c r="AB115" s="4">
        <f>IF($P115="",0,IF(AND($U115="",COUNTIF(ALAN_TIP_LIST,$C115)&gt;0),1,0))</f>
        <v>0</v>
      </c>
      <c r="AC115" s="4">
        <f>IF(OR($P115="",$C115&lt;&gt;"kontaktör"),0,IF(IF(INDEX(FIYAT_BOBIN,MATCH($P115,FIYAT_KOD,0))="","",INDEX(FIYAT_BOBIN,MATCH($P115,FIYAT_KOD,0)))="",1,0))</f>
        <v>0</v>
      </c>
    </row>
    <row r="116" spans="1:29" x14ac:dyDescent="0.35">
      <c r="A116" s="4">
        <f t="shared" si="63"/>
        <v>115</v>
      </c>
      <c r="B116" s="4" t="str">
        <f t="shared" si="64"/>
        <v/>
      </c>
      <c r="C116" s="5" t="s">
        <v>81</v>
      </c>
      <c r="D116" s="4" t="str">
        <f t="shared" si="65"/>
        <v/>
      </c>
      <c r="E116" s="4" t="str">
        <f t="shared" si="66"/>
        <v/>
      </c>
      <c r="F116" s="4" t="str">
        <f t="shared" si="67"/>
        <v/>
      </c>
      <c r="G116" s="4" t="str">
        <f t="shared" si="68"/>
        <v/>
      </c>
      <c r="H116" s="4" t="str">
        <f>IF(OR($G116="",$I116="",$M116="KONTROL",$M116="KAPSAM_DISI"),"",$G116*$I116)</f>
        <v/>
      </c>
      <c r="I116" s="4" t="str">
        <f>INDEX(PANO_KANAL_M,MATCH($Q116,PANO_ID,0))</f>
        <v/>
      </c>
      <c r="J116" s="4" t="str">
        <f t="shared" si="69"/>
        <v/>
      </c>
      <c r="K116" s="4" t="str">
        <f t="shared" si="70"/>
        <v/>
      </c>
      <c r="L116" s="4" t="str">
        <f t="shared" si="71"/>
        <v/>
      </c>
      <c r="M116" s="4" t="str">
        <f t="shared" si="72"/>
        <v/>
      </c>
      <c r="N116" s="4" t="s">
        <v>82</v>
      </c>
      <c r="O116" s="4" t="str">
        <f t="shared" si="73"/>
        <v/>
      </c>
      <c r="P116" s="4" t="str">
        <f>INDEX(PANO_KANAL_KOD,MATCH($Q116,PANO_ID,0))</f>
        <v/>
      </c>
      <c r="Q116" s="4" t="str">
        <f t="shared" si="74"/>
        <v>P06</v>
      </c>
      <c r="R116" s="5" t="s">
        <v>83</v>
      </c>
      <c r="S116" s="5" t="s">
        <v>84</v>
      </c>
      <c r="T116" s="4" t="str">
        <f>IF(OR($R116="",$I116=""),"",$I116*INDEX(NORM_DK,MATCH($R116,NORM_AD,0)))</f>
        <v/>
      </c>
      <c r="U116" s="4" t="str">
        <f>IF(OR($P116="",$I116=""),"",IF(IF(INDEX(FIYAT_ALAN,MATCH($P116,FIYAT_KOD,0))="","",INDEX(FIYAT_ALAN,MATCH($P116,FIYAT_KOD,0)))&lt;&gt;"",$I116*IF(INDEX(FIYAT_ALAN,MATCH($P116,FIYAT_KOD,0))="","",INDEX(FIYAT_ALAN,MATCH($P116,FIYAT_KOD,0))),IF(IF(INDEX(FIYAT_MODUL,MATCH($P116,FIYAT_KOD,0))="","",INDEX(FIYAT_MODUL,MATCH($P116,FIYAT_KOD,0)))&lt;&gt;"",$I116*IF(INDEX(FIYAT_MODUL,MATCH($P116,FIYAT_KOD,0))="","",INDEX(FIYAT_MODUL,MATCH($P116,FIYAT_KOD,0))),IF(IF(INDEX(FIYAT_GENISLIK,MATCH($P116,FIYAT_KOD,0))="","",INDEX(FIYAT_GENISLIK,MATCH($P116,FIYAT_KOD,0)))&lt;&gt;"",$I116*IF(INDEX(FIYAT_GENISLIK,MATCH($P116,FIYAT_KOD,0))="","",INDEX(FIYAT_GENISLIK,MATCH($P116,FIYAT_KOD,0)))/MODUL_GENISLIK_MM,""))))</f>
        <v/>
      </c>
      <c r="V116" s="4" t="str">
        <f>IF(OR($C116&lt;&gt;"шина",$I116=""),"",$I116*INDEX(FIYAT_KGM,MATCH($P116,FIYAT_KOD,0)))</f>
        <v/>
      </c>
      <c r="W116" s="4" t="str">
        <f t="shared" si="75"/>
        <v/>
      </c>
      <c r="Y116" s="5" t="s">
        <v>85</v>
      </c>
      <c r="Z116" s="4" t="str">
        <f>IF($P116="","",MAX(_xlfn.MAXIFS(DEVRE!$AM:$AM,DEVRE!$A:$A,$Q116,DEVRE!$C:$C,$P116),_xlfn.MAXIFS(DEVRE!$AM:$AM,DEVRE!$A:$A,$Q116,DEVRE!$H:$H,$P116)))</f>
        <v/>
      </c>
      <c r="AA116" s="4" t="str">
        <f>IF(OR($I116="",$Q116="",$P116=""),"",$I116*INDEX(PANO_ADET,MATCH($Q116,PANO_ID,0)))</f>
        <v/>
      </c>
      <c r="AB116" s="4">
        <f>IF($P116="",0,IF(AND($U116="",COUNTIF(ALAN_TIP_LIST,$C116)&gt;0),1,0))</f>
        <v>0</v>
      </c>
      <c r="AC116" s="4">
        <f>IF(OR($P116="",$C116&lt;&gt;"kontaktör"),0,IF(IF(INDEX(FIYAT_BOBIN,MATCH($P116,FIYAT_KOD,0))="","",INDEX(FIYAT_BOBIN,MATCH($P116,FIYAT_KOD,0)))="",1,0))</f>
        <v>0</v>
      </c>
    </row>
    <row r="117" spans="1:29" x14ac:dyDescent="0.35">
      <c r="A117" s="4">
        <f t="shared" si="63"/>
        <v>116</v>
      </c>
      <c r="B117" s="4" t="str">
        <f t="shared" si="64"/>
        <v/>
      </c>
      <c r="C117" s="5" t="s">
        <v>81</v>
      </c>
      <c r="D117" s="4" t="str">
        <f t="shared" si="65"/>
        <v/>
      </c>
      <c r="E117" s="4" t="str">
        <f t="shared" si="66"/>
        <v/>
      </c>
      <c r="F117" s="4" t="str">
        <f t="shared" si="67"/>
        <v/>
      </c>
      <c r="G117" s="4" t="str">
        <f t="shared" si="68"/>
        <v/>
      </c>
      <c r="H117" s="4" t="str">
        <f>IF(OR($G117="",$I117="",$M117="KONTROL",$M117="KAPSAM_DISI"),"",$G117*$I117)</f>
        <v/>
      </c>
      <c r="I117" s="4" t="str">
        <f>INDEX(PANO_KANAL_M,MATCH($Q117,PANO_ID,0))</f>
        <v/>
      </c>
      <c r="J117" s="4" t="str">
        <f t="shared" si="69"/>
        <v/>
      </c>
      <c r="K117" s="4" t="str">
        <f t="shared" si="70"/>
        <v/>
      </c>
      <c r="L117" s="4" t="str">
        <f t="shared" si="71"/>
        <v/>
      </c>
      <c r="M117" s="4" t="str">
        <f t="shared" si="72"/>
        <v/>
      </c>
      <c r="N117" s="4" t="s">
        <v>86</v>
      </c>
      <c r="O117" s="4" t="str">
        <f t="shared" si="73"/>
        <v/>
      </c>
      <c r="P117" s="4" t="str">
        <f>INDEX(PANO_KAPAK_KOD,MATCH($Q117,PANO_ID,0))</f>
        <v/>
      </c>
      <c r="Q117" s="4" t="str">
        <f t="shared" si="74"/>
        <v>P06</v>
      </c>
      <c r="S117" s="5" t="s">
        <v>84</v>
      </c>
      <c r="T117" s="4" t="str">
        <f>IF(OR($R117="",$I117=""),"",$I117*INDEX(NORM_DK,MATCH($R117,NORM_AD,0)))</f>
        <v/>
      </c>
      <c r="U117" s="4" t="str">
        <f>IF(OR($P117="",$I117=""),"",IF(IF(INDEX(FIYAT_ALAN,MATCH($P117,FIYAT_KOD,0))="","",INDEX(FIYAT_ALAN,MATCH($P117,FIYAT_KOD,0)))&lt;&gt;"",$I117*IF(INDEX(FIYAT_ALAN,MATCH($P117,FIYAT_KOD,0))="","",INDEX(FIYAT_ALAN,MATCH($P117,FIYAT_KOD,0))),IF(IF(INDEX(FIYAT_MODUL,MATCH($P117,FIYAT_KOD,0))="","",INDEX(FIYAT_MODUL,MATCH($P117,FIYAT_KOD,0)))&lt;&gt;"",$I117*IF(INDEX(FIYAT_MODUL,MATCH($P117,FIYAT_KOD,0))="","",INDEX(FIYAT_MODUL,MATCH($P117,FIYAT_KOD,0))),IF(IF(INDEX(FIYAT_GENISLIK,MATCH($P117,FIYAT_KOD,0))="","",INDEX(FIYAT_GENISLIK,MATCH($P117,FIYAT_KOD,0)))&lt;&gt;"",$I117*IF(INDEX(FIYAT_GENISLIK,MATCH($P117,FIYAT_KOD,0))="","",INDEX(FIYAT_GENISLIK,MATCH($P117,FIYAT_KOD,0)))/MODUL_GENISLIK_MM,""))))</f>
        <v/>
      </c>
      <c r="V117" s="4" t="str">
        <f>IF(OR($C117&lt;&gt;"шина",$I117=""),"",$I117*INDEX(FIYAT_KGM,MATCH($P117,FIYAT_KOD,0)))</f>
        <v/>
      </c>
      <c r="W117" s="4" t="str">
        <f t="shared" si="75"/>
        <v/>
      </c>
      <c r="Y117" s="5" t="s">
        <v>85</v>
      </c>
      <c r="Z117" s="4" t="str">
        <f>IF($P117="","",MAX(_xlfn.MAXIFS(DEVRE!$AM:$AM,DEVRE!$A:$A,$Q117,DEVRE!$C:$C,$P117),_xlfn.MAXIFS(DEVRE!$AM:$AM,DEVRE!$A:$A,$Q117,DEVRE!$H:$H,$P117)))</f>
        <v/>
      </c>
      <c r="AA117" s="4" t="str">
        <f>IF(OR($I117="",$Q117="",$P117=""),"",$I117*INDEX(PANO_ADET,MATCH($Q117,PANO_ID,0)))</f>
        <v/>
      </c>
      <c r="AB117" s="4">
        <f>IF($P117="",0,IF(AND($U117="",COUNTIF(ALAN_TIP_LIST,$C117)&gt;0),1,0))</f>
        <v>0</v>
      </c>
      <c r="AC117" s="4">
        <f>IF(OR($P117="",$C117&lt;&gt;"kontaktör"),0,IF(IF(INDEX(FIYAT_BOBIN,MATCH($P117,FIYAT_KOD,0))="","",INDEX(FIYAT_BOBIN,MATCH($P117,FIYAT_KOD,0)))="",1,0))</f>
        <v>0</v>
      </c>
    </row>
    <row r="118" spans="1:29" x14ac:dyDescent="0.35">
      <c r="A118" s="4">
        <f t="shared" si="63"/>
        <v>117</v>
      </c>
      <c r="B118" s="4" t="str">
        <f t="shared" si="64"/>
        <v>HARMONY ПВ3 1 2,5</v>
      </c>
      <c r="C118" s="5" t="s">
        <v>87</v>
      </c>
      <c r="D118" s="4" t="str">
        <f t="shared" si="65"/>
        <v>151.01.PV3.02,5</v>
      </c>
      <c r="E118" s="4" t="str">
        <f t="shared" si="66"/>
        <v>HARMONY ПВ3 1 2,5</v>
      </c>
      <c r="F118" s="4">
        <f t="shared" si="67"/>
        <v>174</v>
      </c>
      <c r="G118" s="4">
        <f t="shared" si="68"/>
        <v>174</v>
      </c>
      <c r="H118" s="4">
        <f>IF(OR($G118="",$I118="",$M118="KONTROL",$M118="KAPSAM_DISI"),"",$G118*$I118)</f>
        <v>11031.6</v>
      </c>
      <c r="I118" s="4">
        <f>ROUND((SUMIFS(DEVRE!$Z:$Z,DEVRE!$A:$A,$Q118,DEVRE!$V:$V,$X118)+IF($X118=GRUP_BESLEME_KESIT,INDEX(PANO_GRUP_KABLO_M,MATCH($Q118,PANO_ID,0)),0))*KABLO_FIRE,1)</f>
        <v>63.4</v>
      </c>
      <c r="J118" s="4" t="str">
        <f t="shared" si="69"/>
        <v>м</v>
      </c>
      <c r="K118" s="4" t="str">
        <f t="shared" si="70"/>
        <v>HARMONY</v>
      </c>
      <c r="L118" s="4">
        <f t="shared" si="71"/>
        <v>11031.6</v>
      </c>
      <c r="M118" s="4" t="str">
        <f t="shared" si="72"/>
        <v>FIYAT_ESKI</v>
      </c>
      <c r="N118" s="4" t="s">
        <v>92</v>
      </c>
      <c r="O118" s="4" t="str">
        <f t="shared" si="73"/>
        <v>HARMONY</v>
      </c>
      <c r="P118" s="5" t="s">
        <v>93</v>
      </c>
      <c r="Q118" s="4" t="str">
        <f t="shared" si="74"/>
        <v>P06</v>
      </c>
      <c r="R118" s="5" t="s">
        <v>90</v>
      </c>
      <c r="S118" s="5" t="s">
        <v>47</v>
      </c>
      <c r="T118" s="4">
        <f>IF(OR($R118="",$I118=""),"",$I118*INDEX(NORM_DK,MATCH($R118,NORM_AD,0)))</f>
        <v>0</v>
      </c>
      <c r="U118" s="4" t="str">
        <f>IF(OR($P118="",$I118=""),"",IF(IF(INDEX(FIYAT_ALAN,MATCH($P118,FIYAT_KOD,0))="","",INDEX(FIYAT_ALAN,MATCH($P118,FIYAT_KOD,0)))&lt;&gt;"",$I118*IF(INDEX(FIYAT_ALAN,MATCH($P118,FIYAT_KOD,0))="","",INDEX(FIYAT_ALAN,MATCH($P118,FIYAT_KOD,0))),IF(IF(INDEX(FIYAT_MODUL,MATCH($P118,FIYAT_KOD,0))="","",INDEX(FIYAT_MODUL,MATCH($P118,FIYAT_KOD,0)))&lt;&gt;"",$I118*IF(INDEX(FIYAT_MODUL,MATCH($P118,FIYAT_KOD,0))="","",INDEX(FIYAT_MODUL,MATCH($P118,FIYAT_KOD,0))),IF(IF(INDEX(FIYAT_GENISLIK,MATCH($P118,FIYAT_KOD,0))="","",INDEX(FIYAT_GENISLIK,MATCH($P118,FIYAT_KOD,0)))&lt;&gt;"",$I118*IF(INDEX(FIYAT_GENISLIK,MATCH($P118,FIYAT_KOD,0))="","",INDEX(FIYAT_GENISLIK,MATCH($P118,FIYAT_KOD,0)))/MODUL_GENISLIK_MM,""))))</f>
        <v/>
      </c>
      <c r="V118" s="4" t="str">
        <f>IF(OR($C118&lt;&gt;"шина",$I118=""),"",$I118*INDEX(FIYAT_KGM,MATCH($P118,FIYAT_KOD,0)))</f>
        <v/>
      </c>
      <c r="W118" s="4">
        <f t="shared" si="75"/>
        <v>11031.6</v>
      </c>
      <c r="X118" s="5">
        <v>2.5</v>
      </c>
      <c r="Y118" s="5" t="s">
        <v>91</v>
      </c>
      <c r="Z118" s="4">
        <f>IF($P118="","",MAX(_xlfn.MAXIFS(DEVRE!$AM:$AM,DEVRE!$A:$A,$Q118,DEVRE!$C:$C,$P118),_xlfn.MAXIFS(DEVRE!$AM:$AM,DEVRE!$A:$A,$Q118,DEVRE!$H:$H,$P118)))</f>
        <v>0</v>
      </c>
      <c r="AA118" s="4">
        <f>IF(OR($I118="",$Q118="",$P118=""),"",$I118*INDEX(PANO_ADET,MATCH($Q118,PANO_ID,0)))</f>
        <v>63.4</v>
      </c>
      <c r="AB118" s="4">
        <f>IF($P118="",0,IF(AND($U118="",COUNTIF(ALAN_TIP_LIST,$C118)&gt;0),1,0))</f>
        <v>0</v>
      </c>
      <c r="AC118" s="4">
        <f>IF(OR($P118="",$C118&lt;&gt;"kontaktör"),0,IF(IF(INDEX(FIYAT_BOBIN,MATCH($P118,FIYAT_KOD,0))="","",INDEX(FIYAT_BOBIN,MATCH($P118,FIYAT_KOD,0)))="",1,0))</f>
        <v>0</v>
      </c>
    </row>
    <row r="119" spans="1:29" x14ac:dyDescent="0.35">
      <c r="A119" s="4">
        <f t="shared" si="63"/>
        <v>118</v>
      </c>
      <c r="B119" s="4" t="str">
        <f t="shared" si="64"/>
        <v>HARMONY ПВ3 1 4</v>
      </c>
      <c r="C119" s="5" t="s">
        <v>87</v>
      </c>
      <c r="D119" s="4" t="str">
        <f t="shared" si="65"/>
        <v>151.01.PV3.04</v>
      </c>
      <c r="E119" s="4" t="str">
        <f t="shared" si="66"/>
        <v>HARMONY ПВ3 1 4</v>
      </c>
      <c r="F119" s="4">
        <f t="shared" si="67"/>
        <v>274</v>
      </c>
      <c r="G119" s="4">
        <f t="shared" si="68"/>
        <v>274</v>
      </c>
      <c r="H119" s="4">
        <f>IF(OR($G119="",$I119="",$M119="KONTROL",$M119="KAPSAM_DISI"),"",$G119*$I119)</f>
        <v>1096</v>
      </c>
      <c r="I119" s="4">
        <f>ROUND((SUMIFS(DEVRE!$Z:$Z,DEVRE!$A:$A,$Q119,DEVRE!$V:$V,$X119)+IF($X119=GRUP_BESLEME_KESIT,INDEX(PANO_GRUP_KABLO_M,MATCH($Q119,PANO_ID,0)),0))*KABLO_FIRE,1)</f>
        <v>4</v>
      </c>
      <c r="J119" s="4" t="str">
        <f t="shared" si="69"/>
        <v>м</v>
      </c>
      <c r="K119" s="4" t="str">
        <f t="shared" si="70"/>
        <v>HARMONY</v>
      </c>
      <c r="L119" s="4">
        <f t="shared" si="71"/>
        <v>1096</v>
      </c>
      <c r="M119" s="4" t="str">
        <f t="shared" si="72"/>
        <v>FIYAT_ESKI</v>
      </c>
      <c r="N119" s="4" t="s">
        <v>127</v>
      </c>
      <c r="O119" s="4" t="str">
        <f t="shared" si="73"/>
        <v>HARMONY</v>
      </c>
      <c r="P119" s="5" t="s">
        <v>128</v>
      </c>
      <c r="Q119" s="4" t="str">
        <f t="shared" si="74"/>
        <v>P06</v>
      </c>
      <c r="R119" s="5" t="s">
        <v>90</v>
      </c>
      <c r="S119" s="5" t="s">
        <v>47</v>
      </c>
      <c r="T119" s="4">
        <f>IF(OR($R119="",$I119=""),"",$I119*INDEX(NORM_DK,MATCH($R119,NORM_AD,0)))</f>
        <v>0</v>
      </c>
      <c r="U119" s="4" t="str">
        <f>IF(OR($P119="",$I119=""),"",IF(IF(INDEX(FIYAT_ALAN,MATCH($P119,FIYAT_KOD,0))="","",INDEX(FIYAT_ALAN,MATCH($P119,FIYAT_KOD,0)))&lt;&gt;"",$I119*IF(INDEX(FIYAT_ALAN,MATCH($P119,FIYAT_KOD,0))="","",INDEX(FIYAT_ALAN,MATCH($P119,FIYAT_KOD,0))),IF(IF(INDEX(FIYAT_MODUL,MATCH($P119,FIYAT_KOD,0))="","",INDEX(FIYAT_MODUL,MATCH($P119,FIYAT_KOD,0)))&lt;&gt;"",$I119*IF(INDEX(FIYAT_MODUL,MATCH($P119,FIYAT_KOD,0))="","",INDEX(FIYAT_MODUL,MATCH($P119,FIYAT_KOD,0))),IF(IF(INDEX(FIYAT_GENISLIK,MATCH($P119,FIYAT_KOD,0))="","",INDEX(FIYAT_GENISLIK,MATCH($P119,FIYAT_KOD,0)))&lt;&gt;"",$I119*IF(INDEX(FIYAT_GENISLIK,MATCH($P119,FIYAT_KOD,0))="","",INDEX(FIYAT_GENISLIK,MATCH($P119,FIYAT_KOD,0)))/MODUL_GENISLIK_MM,""))))</f>
        <v/>
      </c>
      <c r="V119" s="4" t="str">
        <f>IF(OR($C119&lt;&gt;"шина",$I119=""),"",$I119*INDEX(FIYAT_KGM,MATCH($P119,FIYAT_KOD,0)))</f>
        <v/>
      </c>
      <c r="W119" s="4">
        <f t="shared" si="75"/>
        <v>1096</v>
      </c>
      <c r="X119" s="5">
        <v>4</v>
      </c>
      <c r="Y119" s="5" t="s">
        <v>91</v>
      </c>
      <c r="Z119" s="4">
        <f>IF($P119="","",MAX(_xlfn.MAXIFS(DEVRE!$AM:$AM,DEVRE!$A:$A,$Q119,DEVRE!$C:$C,$P119),_xlfn.MAXIFS(DEVRE!$AM:$AM,DEVRE!$A:$A,$Q119,DEVRE!$H:$H,$P119)))</f>
        <v>0</v>
      </c>
      <c r="AA119" s="4">
        <f>IF(OR($I119="",$Q119="",$P119=""),"",$I119*INDEX(PANO_ADET,MATCH($Q119,PANO_ID,0)))</f>
        <v>4</v>
      </c>
      <c r="AB119" s="4">
        <f>IF($P119="",0,IF(AND($U119="",COUNTIF(ALAN_TIP_LIST,$C119)&gt;0),1,0))</f>
        <v>0</v>
      </c>
      <c r="AC119" s="4">
        <f>IF(OR($P119="",$C119&lt;&gt;"kontaktör"),0,IF(IF(INDEX(FIYAT_BOBIN,MATCH($P119,FIYAT_KOD,0))="","",INDEX(FIYAT_BOBIN,MATCH($P119,FIYAT_KOD,0)))="",1,0))</f>
        <v>0</v>
      </c>
    </row>
    <row r="120" spans="1:29" x14ac:dyDescent="0.35">
      <c r="A120" s="4">
        <f t="shared" si="63"/>
        <v>119</v>
      </c>
      <c r="B120" s="4" t="str">
        <f t="shared" si="64"/>
        <v>ЗНИ 2.5мм ² (24А) серый IEK</v>
      </c>
      <c r="C120" s="5" t="s">
        <v>133</v>
      </c>
      <c r="D120" s="4" t="str">
        <f t="shared" si="65"/>
        <v>130300223</v>
      </c>
      <c r="E120" s="4" t="str">
        <f t="shared" si="66"/>
        <v>ЗНИ 2.5мм ² (24А) серый IEK</v>
      </c>
      <c r="F120" s="4">
        <f t="shared" si="67"/>
        <v>97</v>
      </c>
      <c r="G120" s="4">
        <f t="shared" si="68"/>
        <v>97</v>
      </c>
      <c r="H120" s="4">
        <f>IF(OR($G120="",$I120="",$M120="KONTROL",$M120="KAPSAM_DISI"),"",$G120*$I120)</f>
        <v>3492</v>
      </c>
      <c r="I120" s="4">
        <f>IF(SUMIFS(DEVRE!$AA:$AA,DEVRE!$A:$A,$Q120,DEVRE!$AD:$AD,$X120)+IF($X120=SINYAL_KLEMENS_KESIT,SUMIFS(DEVRE!$I:$I,DEVRE!$A:$A,$Q120),0)=0,"",MAX(SUMIFS(DEVRE!$AA:$AA,DEVRE!$A:$A,$Q120,DEVRE!$AD:$AD,$X120)+IF($X120=SINYAL_KLEMENS_KESIT,SUMIFS(DEVRE!$I:$I,DEVRE!$A:$A,$Q120),0)+KLEMENS_MIN_YEDEK,ROUNDUP((SUMIFS(DEVRE!$AA:$AA,DEVRE!$A:$A,$Q120,DEVRE!$AD:$AD,$X120)+IF($X120=SINYAL_KLEMENS_KESIT,SUMIFS(DEVRE!$I:$I,DEVRE!$A:$A,$Q120),0))*KLEMENS_YEDEK,0)))</f>
        <v>36</v>
      </c>
      <c r="J120" s="4" t="str">
        <f t="shared" si="69"/>
        <v>шт</v>
      </c>
      <c r="K120" s="4" t="str">
        <f t="shared" si="70"/>
        <v>EKT</v>
      </c>
      <c r="L120" s="4">
        <f t="shared" si="71"/>
        <v>3492</v>
      </c>
      <c r="M120" s="4" t="str">
        <f t="shared" si="72"/>
        <v>FIYAT_ESKI</v>
      </c>
      <c r="N120" s="4" t="s">
        <v>174</v>
      </c>
      <c r="O120" s="4" t="str">
        <f t="shared" si="73"/>
        <v>EKT2506</v>
      </c>
      <c r="P120" s="5" t="s">
        <v>175</v>
      </c>
      <c r="Q120" s="4" t="str">
        <f t="shared" si="74"/>
        <v>P06</v>
      </c>
      <c r="R120" s="5" t="s">
        <v>136</v>
      </c>
      <c r="S120" s="5" t="s">
        <v>47</v>
      </c>
      <c r="T120" s="4">
        <f>IF(OR($R120="",$I120=""),"",$I120*INDEX(NORM_DK,MATCH($R120,NORM_AD,0)))</f>
        <v>144</v>
      </c>
      <c r="U120" s="4">
        <f>IF(OR($P120="",$I120=""),"",IF(IF(INDEX(FIYAT_ALAN,MATCH($P120,FIYAT_KOD,0))="","",INDEX(FIYAT_ALAN,MATCH($P120,FIYAT_KOD,0)))&lt;&gt;"",$I120*IF(INDEX(FIYAT_ALAN,MATCH($P120,FIYAT_KOD,0))="","",INDEX(FIYAT_ALAN,MATCH($P120,FIYAT_KOD,0))),IF(IF(INDEX(FIYAT_MODUL,MATCH($P120,FIYAT_KOD,0))="","",INDEX(FIYAT_MODUL,MATCH($P120,FIYAT_KOD,0)))&lt;&gt;"",$I120*IF(INDEX(FIYAT_MODUL,MATCH($P120,FIYAT_KOD,0))="","",INDEX(FIYAT_MODUL,MATCH($P120,FIYAT_KOD,0))),IF(IF(INDEX(FIYAT_GENISLIK,MATCH($P120,FIYAT_KOD,0))="","",INDEX(FIYAT_GENISLIK,MATCH($P120,FIYAT_KOD,0)))&lt;&gt;"",$I120*IF(INDEX(FIYAT_GENISLIK,MATCH($P120,FIYAT_KOD,0))="","",INDEX(FIYAT_GENISLIK,MATCH($P120,FIYAT_KOD,0)))/MODUL_GENISLIK_MM,""))))</f>
        <v>10.697142857142858</v>
      </c>
      <c r="V120" s="4" t="str">
        <f>IF(OR($C120&lt;&gt;"шина",$I120=""),"",$I120*INDEX(FIYAT_KGM,MATCH($P120,FIYAT_KOD,0)))</f>
        <v/>
      </c>
      <c r="W120" s="4">
        <f t="shared" si="75"/>
        <v>3492</v>
      </c>
      <c r="X120" s="5">
        <v>2.5</v>
      </c>
      <c r="Y120" s="5" t="s">
        <v>137</v>
      </c>
      <c r="Z120" s="4">
        <f>IF($P120="","",MAX(_xlfn.MAXIFS(DEVRE!$AM:$AM,DEVRE!$A:$A,$Q120,DEVRE!$C:$C,$P120),_xlfn.MAXIFS(DEVRE!$AM:$AM,DEVRE!$A:$A,$Q120,DEVRE!$H:$H,$P120)))</f>
        <v>0</v>
      </c>
      <c r="AA120" s="4">
        <f>IF(OR($I120="",$Q120="",$P120=""),"",$I120*INDEX(PANO_ADET,MATCH($Q120,PANO_ID,0)))</f>
        <v>36</v>
      </c>
      <c r="AB120" s="4">
        <f>IF($P120="",0,IF(AND($U120="",COUNTIF(ALAN_TIP_LIST,$C120)&gt;0),1,0))</f>
        <v>0</v>
      </c>
      <c r="AC120" s="4">
        <f>IF(OR($P120="",$C120&lt;&gt;"kontaktör"),0,IF(IF(INDEX(FIYAT_BOBIN,MATCH($P120,FIYAT_KOD,0))="","",INDEX(FIYAT_BOBIN,MATCH($P120,FIYAT_KOD,0)))="",1,0))</f>
        <v>0</v>
      </c>
    </row>
    <row r="121" spans="1:29" x14ac:dyDescent="0.35">
      <c r="A121" s="4">
        <f t="shared" si="63"/>
        <v>120</v>
      </c>
      <c r="B121" s="4" t="str">
        <f t="shared" si="64"/>
        <v>Зажим наборный ЗНИ - 4PEN 4мм2 (JXB-земля) IEK</v>
      </c>
      <c r="C121" s="5" t="s">
        <v>133</v>
      </c>
      <c r="D121" s="4" t="str">
        <f t="shared" si="65"/>
        <v>5130300225</v>
      </c>
      <c r="E121" s="4" t="str">
        <f t="shared" si="66"/>
        <v>Зажим наборный ЗНИ - 4PEN 4мм2 (JXB-земля) IEK</v>
      </c>
      <c r="F121" s="4">
        <f t="shared" si="67"/>
        <v>283</v>
      </c>
      <c r="G121" s="4">
        <f t="shared" si="68"/>
        <v>283</v>
      </c>
      <c r="H121" s="4">
        <f>IF(OR($G121="",$I121="",$M121="KONTROL",$M121="KAPSAM_DISI"),"",$G121*$I121)</f>
        <v>5094</v>
      </c>
      <c r="I121" s="4">
        <f>IF(SUMIFS(DEVRE!$AB:$AB,DEVRE!$A:$A,$Q121,DEVRE!$AD:$AD,$X121)=0,"",ROUNDUP(SUMIFS(DEVRE!$AB:$AB,DEVRE!$A:$A,$Q121,DEVRE!$AD:$AD,$X121)*KLEMENS_YEDEK,0))</f>
        <v>18</v>
      </c>
      <c r="J121" s="4" t="str">
        <f t="shared" si="69"/>
        <v>шт</v>
      </c>
      <c r="K121" s="4" t="str">
        <f t="shared" si="70"/>
        <v>EKT</v>
      </c>
      <c r="L121" s="4">
        <f t="shared" si="71"/>
        <v>5094</v>
      </c>
      <c r="M121" s="4" t="str">
        <f t="shared" si="72"/>
        <v>VARSAYIM</v>
      </c>
      <c r="N121" s="4" t="s">
        <v>176</v>
      </c>
      <c r="O121" s="4" t="str">
        <f t="shared" si="73"/>
        <v>EKT2506</v>
      </c>
      <c r="P121" s="5" t="s">
        <v>139</v>
      </c>
      <c r="Q121" s="4" t="str">
        <f t="shared" si="74"/>
        <v>P06</v>
      </c>
      <c r="R121" s="5" t="s">
        <v>136</v>
      </c>
      <c r="S121" s="5" t="s">
        <v>54</v>
      </c>
      <c r="T121" s="4">
        <f>IF(OR($R121="",$I121=""),"",$I121*INDEX(NORM_DK,MATCH($R121,NORM_AD,0)))</f>
        <v>72</v>
      </c>
      <c r="U121" s="4">
        <f>IF(OR($P121="",$I121=""),"",IF(IF(INDEX(FIYAT_ALAN,MATCH($P121,FIYAT_KOD,0))="","",INDEX(FIYAT_ALAN,MATCH($P121,FIYAT_KOD,0)))&lt;&gt;"",$I121*IF(INDEX(FIYAT_ALAN,MATCH($P121,FIYAT_KOD,0))="","",INDEX(FIYAT_ALAN,MATCH($P121,FIYAT_KOD,0))),IF(IF(INDEX(FIYAT_MODUL,MATCH($P121,FIYAT_KOD,0))="","",INDEX(FIYAT_MODUL,MATCH($P121,FIYAT_KOD,0)))&lt;&gt;"",$I121*IF(INDEX(FIYAT_MODUL,MATCH($P121,FIYAT_KOD,0))="","",INDEX(FIYAT_MODUL,MATCH($P121,FIYAT_KOD,0))),IF(IF(INDEX(FIYAT_GENISLIK,MATCH($P121,FIYAT_KOD,0))="","",INDEX(FIYAT_GENISLIK,MATCH($P121,FIYAT_KOD,0)))&lt;&gt;"",$I121*IF(INDEX(FIYAT_GENISLIK,MATCH($P121,FIYAT_KOD,0))="","",INDEX(FIYAT_GENISLIK,MATCH($P121,FIYAT_KOD,0)))/MODUL_GENISLIK_MM,""))))</f>
        <v>6.3771428571428572</v>
      </c>
      <c r="V121" s="4" t="str">
        <f>IF(OR($C121&lt;&gt;"шина",$I121=""),"",$I121*INDEX(FIYAT_KGM,MATCH($P121,FIYAT_KOD,0)))</f>
        <v/>
      </c>
      <c r="W121" s="4">
        <f t="shared" si="75"/>
        <v>5094</v>
      </c>
      <c r="X121" s="5">
        <v>2.5</v>
      </c>
      <c r="Y121" s="5" t="s">
        <v>137</v>
      </c>
      <c r="Z121" s="4">
        <f>IF($P121="","",MAX(_xlfn.MAXIFS(DEVRE!$AM:$AM,DEVRE!$A:$A,$Q121,DEVRE!$C:$C,$P121),_xlfn.MAXIFS(DEVRE!$AM:$AM,DEVRE!$A:$A,$Q121,DEVRE!$H:$H,$P121)))</f>
        <v>0</v>
      </c>
      <c r="AA121" s="4">
        <f>IF(OR($I121="",$Q121="",$P121=""),"",$I121*INDEX(PANO_ADET,MATCH($Q121,PANO_ID,0)))</f>
        <v>18</v>
      </c>
      <c r="AB121" s="4">
        <f>IF($P121="",0,IF(AND($U121="",COUNTIF(ALAN_TIP_LIST,$C121)&gt;0),1,0))</f>
        <v>0</v>
      </c>
      <c r="AC121" s="4">
        <f>IF(OR($P121="",$C121&lt;&gt;"kontaktör"),0,IF(IF(INDEX(FIYAT_BOBIN,MATCH($P121,FIYAT_KOD,0))="","",INDEX(FIYAT_BOBIN,MATCH($P121,FIYAT_KOD,0)))="",1,0))</f>
        <v>0</v>
      </c>
    </row>
    <row r="122" spans="1:29" x14ac:dyDescent="0.35">
      <c r="A122" s="4">
        <f t="shared" si="63"/>
        <v>121</v>
      </c>
      <c r="B122" s="4" t="str">
        <f t="shared" si="64"/>
        <v>Монтажный материал</v>
      </c>
      <c r="C122" s="5" t="s">
        <v>98</v>
      </c>
      <c r="D122" s="4" t="str">
        <f t="shared" si="65"/>
        <v>MONTAJ-MALZ</v>
      </c>
      <c r="E122" s="4" t="str">
        <f t="shared" si="66"/>
        <v>Монтажный материал</v>
      </c>
      <c r="F122" s="4">
        <f t="shared" si="67"/>
        <v>1</v>
      </c>
      <c r="G122" s="4">
        <f t="shared" si="68"/>
        <v>1</v>
      </c>
      <c r="H122" s="4" t="str">
        <f>IF(OR($G122="",$I122="",$M122="KONTROL",$M122="KAPSAM_DISI"),"",$G122*$I122)</f>
        <v/>
      </c>
      <c r="I122" s="4" t="str">
        <f>IF(MONTAJ_MALZ_ORANI="","",ROUND(SUMIFS($W:$W,$Q:$Q,$Q122)*MONTAJ_MALZ_ORANI,0))</f>
        <v/>
      </c>
      <c r="J122" s="4" t="str">
        <f t="shared" si="69"/>
        <v>тг</v>
      </c>
      <c r="K122" s="4" t="str">
        <f t="shared" si="70"/>
        <v>HESAP</v>
      </c>
      <c r="L122" s="4" t="str">
        <f t="shared" si="71"/>
        <v/>
      </c>
      <c r="M122" s="4" t="str">
        <f t="shared" si="72"/>
        <v>OK</v>
      </c>
      <c r="N122" s="4" t="s">
        <v>99</v>
      </c>
      <c r="O122" s="4" t="str">
        <f t="shared" si="73"/>
        <v>HESAP</v>
      </c>
      <c r="P122" s="5" t="s">
        <v>100</v>
      </c>
      <c r="Q122" s="4" t="str">
        <f t="shared" si="74"/>
        <v>P06</v>
      </c>
      <c r="V122" s="4" t="str">
        <f>IF(OR($C122&lt;&gt;"шина",$I122=""),"",$I122*INDEX(FIYAT_KGM,MATCH($P122,FIYAT_KOD,0)))</f>
        <v/>
      </c>
      <c r="Y122" s="5" t="s">
        <v>101</v>
      </c>
      <c r="Z122" s="4">
        <f>IF($P122="","",MAX(_xlfn.MAXIFS(DEVRE!$AM:$AM,DEVRE!$A:$A,$Q122,DEVRE!$C:$C,$P122),_xlfn.MAXIFS(DEVRE!$AM:$AM,DEVRE!$A:$A,$Q122,DEVRE!$H:$H,$P122)))</f>
        <v>0</v>
      </c>
      <c r="AA122" s="4" t="str">
        <f>IF(OR($I122="",$Q122="",$P122=""),"",$I122*INDEX(PANO_ADET,MATCH($Q122,PANO_ID,0)))</f>
        <v/>
      </c>
      <c r="AB122" s="4">
        <f>IF($P122="",0,IF(AND($U122="",COUNTIF(ALAN_TIP_LIST,$C122)&gt;0),1,0))</f>
        <v>0</v>
      </c>
      <c r="AC122" s="4">
        <f>IF(OR($P122="",$C122&lt;&gt;"kontaktör"),0,IF(IF(INDEX(FIYAT_BOBIN,MATCH($P122,FIYAT_KOD,0))="","",INDEX(FIYAT_BOBIN,MATCH($P122,FIYAT_KOD,0)))="",1,0))</f>
        <v>0</v>
      </c>
    </row>
    <row r="123" spans="1:29" x14ac:dyDescent="0.35">
      <c r="A123" s="4">
        <f t="shared" si="63"/>
        <v>122</v>
      </c>
      <c r="B123" s="4" t="str">
        <f t="shared" si="64"/>
        <v>Монтажная работа</v>
      </c>
      <c r="C123" s="5" t="s">
        <v>102</v>
      </c>
      <c r="D123" s="4" t="str">
        <f t="shared" si="65"/>
        <v>ISCILIK-MONTAJ</v>
      </c>
      <c r="E123" s="4" t="str">
        <f t="shared" si="66"/>
        <v>Монтажная работа</v>
      </c>
      <c r="F123" s="4">
        <f>IF($I123="","",ROUND($I123/DK_SAAT,2))</f>
        <v>6.65</v>
      </c>
      <c r="G123" s="4">
        <f t="shared" si="68"/>
        <v>100</v>
      </c>
      <c r="H123" s="4">
        <f>IF(OR($G123="",$I123="",$M123="KONTROL",$M123="KAPSAM_DISI"),"",$G123*$I123)</f>
        <v>39900</v>
      </c>
      <c r="I123" s="4">
        <f>ROUND((SUMIFS($T:$T,$Q:$Q,$Q123)+INDEX(NORM_DK,MATCH("PABUC_YUKSUK",NORM_AD,0))*(SUMIFS(DEVRE!$AI:$AI,DEVRE!$A:$A,$Q123)+SUMIFS(DEVRE!$AJ:$AJ,DEVRE!$A:$A,$Q123)))*ISCILIK_CARPANI+INDEX(NORM_DK,MATCH("SABIT_AMBALAJ",NORM_AD,0)),0)</f>
        <v>399</v>
      </c>
      <c r="J123" s="4" t="str">
        <f t="shared" si="69"/>
        <v>мин</v>
      </c>
      <c r="K123" s="4" t="str">
        <f t="shared" si="70"/>
        <v>HESAP</v>
      </c>
      <c r="L123" s="4">
        <f t="shared" si="71"/>
        <v>39900</v>
      </c>
      <c r="M123" s="4" t="str">
        <f t="shared" si="72"/>
        <v>OK</v>
      </c>
      <c r="N123" s="4" t="s">
        <v>103</v>
      </c>
      <c r="O123" s="4" t="str">
        <f t="shared" si="73"/>
        <v>HESAP</v>
      </c>
      <c r="P123" s="5" t="s">
        <v>104</v>
      </c>
      <c r="Q123" s="4" t="str">
        <f t="shared" si="74"/>
        <v>P06</v>
      </c>
      <c r="V123" s="4" t="str">
        <f>IF(OR($C123&lt;&gt;"шина",$I123=""),"",$I123*INDEX(FIYAT_KGM,MATCH($P123,FIYAT_KOD,0)))</f>
        <v/>
      </c>
      <c r="Y123" s="5" t="s">
        <v>101</v>
      </c>
      <c r="Z123" s="4">
        <f>IF($P123="","",MAX(_xlfn.MAXIFS(DEVRE!$AM:$AM,DEVRE!$A:$A,$Q123,DEVRE!$C:$C,$P123),_xlfn.MAXIFS(DEVRE!$AM:$AM,DEVRE!$A:$A,$Q123,DEVRE!$H:$H,$P123)))</f>
        <v>0</v>
      </c>
      <c r="AA123" s="4">
        <f>IF(OR($I123="",$Q123="",$P123=""),"",$I123*INDEX(PANO_ADET,MATCH($Q123,PANO_ID,0)))</f>
        <v>399</v>
      </c>
      <c r="AB123" s="4">
        <f>IF($P123="",0,IF(AND($U123="",COUNTIF(ALAN_TIP_LIST,$C123)&gt;0),1,0))</f>
        <v>0</v>
      </c>
      <c r="AC123" s="4">
        <f>IF(OR($P123="",$C123&lt;&gt;"kontaktör"),0,IF(IF(INDEX(FIYAT_BOBIN,MATCH($P123,FIYAT_KOD,0))="","",INDEX(FIYAT_BOBIN,MATCH($P123,FIYAT_KOD,0)))="",1,0))</f>
        <v>0</v>
      </c>
    </row>
    <row r="124" spans="1:29" x14ac:dyDescent="0.35">
      <c r="A124" s="7">
        <f t="shared" si="63"/>
        <v>123</v>
      </c>
      <c r="B124" s="7" t="str">
        <f>"Toplam "&amp;$E107</f>
        <v>Toplam Щит осветительный ЩО-1</v>
      </c>
      <c r="H124" s="7">
        <f>SUBTOTAL(9,H108:H123)</f>
        <v>97004.2</v>
      </c>
      <c r="L124" s="7">
        <f>SUBTOTAL(9,L108:L123)</f>
        <v>97004.2</v>
      </c>
    </row>
    <row r="125" spans="1:29" x14ac:dyDescent="0.35">
      <c r="A125" s="2">
        <f t="shared" si="63"/>
        <v>124</v>
      </c>
      <c r="B125" s="2" t="str">
        <f t="shared" ref="B125:B139" si="76">$E125</f>
        <v>Щит аварийного освещения ЩАО-1</v>
      </c>
      <c r="C125" s="3"/>
      <c r="D125" s="3"/>
      <c r="E125" s="2" t="str">
        <f>INDEX(PANO_TAMAD,MATCH($Q125,PANO_ID,0))</f>
        <v>Щит аварийного освещения ЩАО-1</v>
      </c>
      <c r="F125" s="3"/>
      <c r="G125" s="3"/>
      <c r="H125" s="3"/>
      <c r="I125" s="2">
        <v>1</v>
      </c>
      <c r="J125" s="2" t="s">
        <v>29</v>
      </c>
      <c r="K125" s="3"/>
      <c r="L125" s="3"/>
      <c r="M125" s="3"/>
      <c r="N125" s="3"/>
      <c r="O125" s="3"/>
      <c r="P125" s="3"/>
      <c r="Q125" s="2" t="s">
        <v>186</v>
      </c>
    </row>
    <row r="126" spans="1:29" x14ac:dyDescent="0.35">
      <c r="A126" s="4">
        <f t="shared" si="63"/>
        <v>125</v>
      </c>
      <c r="B126" s="4" t="str">
        <f t="shared" si="76"/>
        <v>Щит мет.ЩРв-18 (275х450х120)</v>
      </c>
      <c r="C126" s="5" t="s">
        <v>31</v>
      </c>
      <c r="D126" s="4" t="str">
        <f t="shared" ref="D126:D139" si="77">IF($P126="","",IF(INDEX(FIYAT_ARTIKUL,MATCH($P126,FIYAT_KOD,0))="","",INDEX(FIYAT_ARTIKUL,MATCH($P126,FIYAT_KOD,0))))</f>
        <v>713-09054</v>
      </c>
      <c r="E126" s="4" t="str">
        <f t="shared" ref="E126:E139" si="78">IF($P126="","",INDEX(FIYAT_ACK,MATCH($P126,FIYAT_KOD,0)))</f>
        <v>Щит мет.ЩРв-18 (275х450х120)</v>
      </c>
      <c r="F126" s="4">
        <f t="shared" ref="F126:F138" si="79">IF($P126="","",IF(INDEX(FIYAT_LISTE,MATCH($P126,FIYAT_KOD,0))="","",INDEX(FIYAT_LISTE,MATCH($P126,FIYAT_KOD,0))))</f>
        <v>7735</v>
      </c>
      <c r="G126" s="4">
        <f t="shared" ref="G126:G139" si="80">IF($P126="","",IF(INDEX(FIYAT_NET,MATCH($P126,FIYAT_KOD,0))="","",INDEX(FIYAT_NET,MATCH($P126,FIYAT_KOD,0))))</f>
        <v>4641</v>
      </c>
      <c r="H126" s="4" t="str">
        <f>IF(OR($G126="",$I126="",$M126="KONTROL",$M126="KAPSAM_DISI"),"",$G126*$I126)</f>
        <v/>
      </c>
      <c r="I126" s="4">
        <v>1</v>
      </c>
      <c r="J126" s="4" t="str">
        <f t="shared" ref="J126:J139" si="81">IF($P126="","",INDEX(FIYAT_BIRIM,MATCH($P126,FIYAT_KOD,0)))</f>
        <v>шт</v>
      </c>
      <c r="K126" s="4" t="str">
        <f t="shared" ref="K126:K139" si="82">IF($P126="","",INDEX(FIYAT_MARKA,MATCH($P126,FIYAT_KOD,0)))</f>
        <v>KAZTEK</v>
      </c>
      <c r="L126" s="4" t="str">
        <f t="shared" ref="L126:L139" si="83">IF($H126="","",$H126)</f>
        <v/>
      </c>
      <c r="M126" s="4" t="str">
        <f t="shared" ref="M126:M139" si="84">IF($P126="","",INDEX(DURUM_LIST,MATCH(MAX(INDEX(DURUM_SEV,MATCH(INDEX(FIYAT_DURUM,MATCH($P126,FIYAT_KOD,0)),DURUM_LIST,0)),IF($S126="",0,INDEX(DURUM_SEV,MATCH($S126,DURUM_LIST,0))),$Z126),DURUM_SEV,0)))</f>
        <v>KONTROL</v>
      </c>
      <c r="N126" s="4" t="s">
        <v>187</v>
      </c>
      <c r="O126" s="4" t="str">
        <f t="shared" ref="O126:O139" si="85">IF($P126="","",INDEX(FIYAT_KAYNAK,MATCH($P126,FIYAT_KOD,0)))</f>
        <v>KAZTEK2607</v>
      </c>
      <c r="P126" s="4" t="str">
        <f>INDEX(PANO_KORPUS,MATCH($Q126,PANO_ID,0))</f>
        <v>KAZTEK-713-09054</v>
      </c>
      <c r="Q126" s="4" t="str">
        <f t="shared" ref="Q126:Q139" si="86">$Q125</f>
        <v>P07</v>
      </c>
      <c r="R126" s="5" t="s">
        <v>188</v>
      </c>
      <c r="S126" s="5" t="s">
        <v>54</v>
      </c>
      <c r="T126" s="4">
        <f>IF(OR($R126="",$I126=""),"",$I126*INDEX(NORM_DK,MATCH($R126,NORM_AD,0)))</f>
        <v>8</v>
      </c>
      <c r="U126" s="4" t="str">
        <f>IF(OR($P126="",$I126=""),"",IF(IF(INDEX(FIYAT_ALAN,MATCH($P126,FIYAT_KOD,0))="","",INDEX(FIYAT_ALAN,MATCH($P126,FIYAT_KOD,0)))&lt;&gt;"",$I126*IF(INDEX(FIYAT_ALAN,MATCH($P126,FIYAT_KOD,0))="","",INDEX(FIYAT_ALAN,MATCH($P126,FIYAT_KOD,0))),IF(IF(INDEX(FIYAT_MODUL,MATCH($P126,FIYAT_KOD,0))="","",INDEX(FIYAT_MODUL,MATCH($P126,FIYAT_KOD,0)))&lt;&gt;"",$I126*IF(INDEX(FIYAT_MODUL,MATCH($P126,FIYAT_KOD,0))="","",INDEX(FIYAT_MODUL,MATCH($P126,FIYAT_KOD,0))),IF(IF(INDEX(FIYAT_GENISLIK,MATCH($P126,FIYAT_KOD,0))="","",INDEX(FIYAT_GENISLIK,MATCH($P126,FIYAT_KOD,0)))&lt;&gt;"",$I126*IF(INDEX(FIYAT_GENISLIK,MATCH($P126,FIYAT_KOD,0))="","",INDEX(FIYAT_GENISLIK,MATCH($P126,FIYAT_KOD,0)))/MODUL_GENISLIK_MM,""))))</f>
        <v/>
      </c>
      <c r="V126" s="4" t="str">
        <f>IF(OR($C126&lt;&gt;"шина",$I126=""),"",$I126*INDEX(FIYAT_KGM,MATCH($P126,FIYAT_KOD,0)))</f>
        <v/>
      </c>
      <c r="W126" s="4" t="str">
        <f t="shared" ref="W126:W137" si="87">IF($H126="","",$H126)</f>
        <v/>
      </c>
      <c r="Y126" s="5" t="s">
        <v>34</v>
      </c>
      <c r="Z126" s="4">
        <f>IF($P126="","",MAX(_xlfn.MAXIFS(DEVRE!$AM:$AM,DEVRE!$A:$A,$Q126,DEVRE!$C:$C,$P126),_xlfn.MAXIFS(DEVRE!$AM:$AM,DEVRE!$A:$A,$Q126,DEVRE!$H:$H,$P126)))</f>
        <v>0</v>
      </c>
      <c r="AA126" s="4">
        <f>IF(OR($I126="",$Q126="",$P126=""),"",$I126*INDEX(PANO_ADET,MATCH($Q126,PANO_ID,0)))</f>
        <v>1</v>
      </c>
      <c r="AB126" s="4">
        <f>IF($P126="",0,IF(AND($U126="",COUNTIF(ALAN_TIP_LIST,$C126)&gt;0),1,0))</f>
        <v>0</v>
      </c>
      <c r="AC126" s="4">
        <f>IF(OR($P126="",$C126&lt;&gt;"kontaktör"),0,IF(IF(INDEX(FIYAT_BOBIN,MATCH($P126,FIYAT_KOD,0))="","",INDEX(FIYAT_BOBIN,MATCH($P126,FIYAT_KOD,0)))="",1,0))</f>
        <v>0</v>
      </c>
    </row>
    <row r="127" spans="1:29" x14ac:dyDescent="0.35">
      <c r="A127" s="4">
        <f t="shared" si="63"/>
        <v>126</v>
      </c>
      <c r="B127" s="4" t="str">
        <f t="shared" si="76"/>
        <v>Выключатель нагрузки 3P 25A</v>
      </c>
      <c r="C127" s="5" t="s">
        <v>108</v>
      </c>
      <c r="D127" s="4" t="str">
        <f t="shared" si="77"/>
        <v/>
      </c>
      <c r="E127" s="4" t="str">
        <f t="shared" si="78"/>
        <v>Выключатель нагрузки 3P 25A</v>
      </c>
      <c r="F127" s="4" t="str">
        <f t="shared" si="79"/>
        <v/>
      </c>
      <c r="G127" s="4" t="str">
        <f t="shared" si="80"/>
        <v/>
      </c>
      <c r="H127" s="4" t="str">
        <f>IF(OR($G127="",$I127="",$M127="KONTROL",$M127="KAPSAM_DISI"),"",$G127*$I127)</f>
        <v/>
      </c>
      <c r="I127" s="4">
        <f>SUMIFS(DEVRE!$T:$T,DEVRE!$A:$A,$Q127,DEVRE!$C:$C,$P127)+SUMIFS(DEVRE!$U:$U,DEVRE!$A:$A,$Q127,DEVRE!$H:$H,$P127)</f>
        <v>1</v>
      </c>
      <c r="J127" s="4" t="str">
        <f t="shared" si="81"/>
        <v>шт</v>
      </c>
      <c r="K127" s="4" t="str">
        <f t="shared" si="82"/>
        <v>CHINT</v>
      </c>
      <c r="L127" s="4" t="str">
        <f t="shared" si="83"/>
        <v/>
      </c>
      <c r="M127" s="4" t="str">
        <f t="shared" si="84"/>
        <v>FIYAT_YOK</v>
      </c>
      <c r="N127" s="4" t="s">
        <v>109</v>
      </c>
      <c r="O127" s="4" t="str">
        <f t="shared" si="85"/>
        <v>CHINT2608</v>
      </c>
      <c r="P127" s="5" t="s">
        <v>182</v>
      </c>
      <c r="Q127" s="4" t="str">
        <f t="shared" si="86"/>
        <v>P07</v>
      </c>
      <c r="R127" s="5" t="s">
        <v>111</v>
      </c>
      <c r="T127" s="4">
        <f>IF(OR($R127="",$I127=""),"",$I127*INDEX(NORM_DK,MATCH($R127,NORM_AD,0)))</f>
        <v>45</v>
      </c>
      <c r="U127" s="4">
        <f>IF(OR($P127="",$I127=""),"",IF(IF(INDEX(FIYAT_ALAN,MATCH($P127,FIYAT_KOD,0))="","",INDEX(FIYAT_ALAN,MATCH($P127,FIYAT_KOD,0)))&lt;&gt;"",$I127*IF(INDEX(FIYAT_ALAN,MATCH($P127,FIYAT_KOD,0))="","",INDEX(FIYAT_ALAN,MATCH($P127,FIYAT_KOD,0))),IF(IF(INDEX(FIYAT_MODUL,MATCH($P127,FIYAT_KOD,0))="","",INDEX(FIYAT_MODUL,MATCH($P127,FIYAT_KOD,0)))&lt;&gt;"",$I127*IF(INDEX(FIYAT_MODUL,MATCH($P127,FIYAT_KOD,0))="","",INDEX(FIYAT_MODUL,MATCH($P127,FIYAT_KOD,0))),IF(IF(INDEX(FIYAT_GENISLIK,MATCH($P127,FIYAT_KOD,0))="","",INDEX(FIYAT_GENISLIK,MATCH($P127,FIYAT_KOD,0)))&lt;&gt;"",$I127*IF(INDEX(FIYAT_GENISLIK,MATCH($P127,FIYAT_KOD,0))="","",INDEX(FIYAT_GENISLIK,MATCH($P127,FIYAT_KOD,0)))/MODUL_GENISLIK_MM,""))))</f>
        <v>3</v>
      </c>
      <c r="V127" s="4" t="str">
        <f>IF(OR($C127&lt;&gt;"шина",$I127=""),"",$I127*INDEX(FIYAT_KGM,MATCH($P127,FIYAT_KOD,0)))</f>
        <v/>
      </c>
      <c r="W127" s="4" t="str">
        <f t="shared" si="87"/>
        <v/>
      </c>
      <c r="Y127" s="5" t="s">
        <v>39</v>
      </c>
      <c r="Z127" s="4">
        <f>IF($P127="","",MAX(_xlfn.MAXIFS(DEVRE!$AM:$AM,DEVRE!$A:$A,$Q127,DEVRE!$C:$C,$P127),_xlfn.MAXIFS(DEVRE!$AM:$AM,DEVRE!$A:$A,$Q127,DEVRE!$H:$H,$P127)))</f>
        <v>0</v>
      </c>
      <c r="AA127" s="4">
        <f>IF(OR($I127="",$Q127="",$P127=""),"",$I127*INDEX(PANO_ADET,MATCH($Q127,PANO_ID,0)))</f>
        <v>1</v>
      </c>
      <c r="AB127" s="4">
        <f>IF($P127="",0,IF(AND($U127="",COUNTIF(ALAN_TIP_LIST,$C127)&gt;0),1,0))</f>
        <v>0</v>
      </c>
      <c r="AC127" s="4">
        <f>IF(OR($P127="",$C127&lt;&gt;"kontaktör"),0,IF(IF(INDEX(FIYAT_BOBIN,MATCH($P127,FIYAT_KOD,0))="","",INDEX(FIYAT_BOBIN,MATCH($P127,FIYAT_KOD,0)))="",1,0))</f>
        <v>0</v>
      </c>
    </row>
    <row r="128" spans="1:29" x14ac:dyDescent="0.35">
      <c r="A128" s="4">
        <f t="shared" si="63"/>
        <v>127</v>
      </c>
      <c r="B128" s="4" t="str">
        <f t="shared" si="76"/>
        <v>Авт. выкл. NXB-63S 1P 16А 4.5kA х-ка B</v>
      </c>
      <c r="C128" s="5" t="s">
        <v>47</v>
      </c>
      <c r="D128" s="4" t="str">
        <f t="shared" si="77"/>
        <v>296697</v>
      </c>
      <c r="E128" s="4" t="str">
        <f t="shared" si="78"/>
        <v>Авт. выкл. NXB-63S 1P 16А 4.5kA х-ка B</v>
      </c>
      <c r="F128" s="4">
        <f t="shared" si="79"/>
        <v>878</v>
      </c>
      <c r="G128" s="4">
        <f t="shared" si="80"/>
        <v>526.79999999999995</v>
      </c>
      <c r="H128" s="4">
        <f>IF(OR($G128="",$I128="",$M128="KONTROL",$M128="KAPSAM_DISI"),"",$G128*$I128)</f>
        <v>2634</v>
      </c>
      <c r="I128" s="4">
        <f>SUMIFS(DEVRE!$T:$T,DEVRE!$A:$A,$Q128,DEVRE!$C:$C,$P128)+SUMIFS(DEVRE!$U:$U,DEVRE!$A:$A,$Q128,DEVRE!$H:$H,$P128)</f>
        <v>5</v>
      </c>
      <c r="J128" s="4" t="str">
        <f t="shared" si="81"/>
        <v>шт</v>
      </c>
      <c r="K128" s="4" t="str">
        <f t="shared" si="82"/>
        <v>CHINT</v>
      </c>
      <c r="L128" s="4">
        <f t="shared" si="83"/>
        <v>2634</v>
      </c>
      <c r="M128" s="4" t="str">
        <f t="shared" si="84"/>
        <v>OKUNAMADI</v>
      </c>
      <c r="N128" s="4" t="s">
        <v>189</v>
      </c>
      <c r="O128" s="4" t="str">
        <f t="shared" si="85"/>
        <v>CHINT2608</v>
      </c>
      <c r="P128" s="5" t="s">
        <v>184</v>
      </c>
      <c r="Q128" s="4" t="str">
        <f t="shared" si="86"/>
        <v>P07</v>
      </c>
      <c r="R128" s="5" t="s">
        <v>165</v>
      </c>
      <c r="T128" s="4">
        <f>IF(OR($R128="",$I128=""),"",$I128*INDEX(NORM_DK,MATCH($R128,NORM_AD,0)))</f>
        <v>15</v>
      </c>
      <c r="U128" s="4">
        <f>IF(OR($P128="",$I128=""),"",IF(IF(INDEX(FIYAT_ALAN,MATCH($P128,FIYAT_KOD,0))="","",INDEX(FIYAT_ALAN,MATCH($P128,FIYAT_KOD,0)))&lt;&gt;"",$I128*IF(INDEX(FIYAT_ALAN,MATCH($P128,FIYAT_KOD,0))="","",INDEX(FIYAT_ALAN,MATCH($P128,FIYAT_KOD,0))),IF(IF(INDEX(FIYAT_MODUL,MATCH($P128,FIYAT_KOD,0))="","",INDEX(FIYAT_MODUL,MATCH($P128,FIYAT_KOD,0)))&lt;&gt;"",$I128*IF(INDEX(FIYAT_MODUL,MATCH($P128,FIYAT_KOD,0))="","",INDEX(FIYAT_MODUL,MATCH($P128,FIYAT_KOD,0))),IF(IF(INDEX(FIYAT_GENISLIK,MATCH($P128,FIYAT_KOD,0))="","",INDEX(FIYAT_GENISLIK,MATCH($P128,FIYAT_KOD,0)))&lt;&gt;"",$I128*IF(INDEX(FIYAT_GENISLIK,MATCH($P128,FIYAT_KOD,0))="","",INDEX(FIYAT_GENISLIK,MATCH($P128,FIYAT_KOD,0)))/MODUL_GENISLIK_MM,""))))</f>
        <v>5</v>
      </c>
      <c r="V128" s="4" t="str">
        <f>IF(OR($C128&lt;&gt;"шина",$I128=""),"",$I128*INDEX(FIYAT_KGM,MATCH($P128,FIYAT_KOD,0)))</f>
        <v/>
      </c>
      <c r="W128" s="4">
        <f t="shared" si="87"/>
        <v>2634</v>
      </c>
      <c r="Y128" s="5" t="s">
        <v>39</v>
      </c>
      <c r="Z128" s="4">
        <f>IF($P128="","",MAX(_xlfn.MAXIFS(DEVRE!$AM:$AM,DEVRE!$A:$A,$Q128,DEVRE!$C:$C,$P128),_xlfn.MAXIFS(DEVRE!$AM:$AM,DEVRE!$A:$A,$Q128,DEVRE!$H:$H,$P128)))</f>
        <v>6</v>
      </c>
      <c r="AA128" s="4">
        <f>IF(OR($I128="",$Q128="",$P128=""),"",$I128*INDEX(PANO_ADET,MATCH($Q128,PANO_ID,0)))</f>
        <v>5</v>
      </c>
      <c r="AB128" s="4">
        <f>IF($P128="",0,IF(AND($U128="",COUNTIF(ALAN_TIP_LIST,$C128)&gt;0),1,0))</f>
        <v>0</v>
      </c>
      <c r="AC128" s="4">
        <f>IF(OR($P128="",$C128&lt;&gt;"kontaktör"),0,IF(IF(INDEX(FIYAT_BOBIN,MATCH($P128,FIYAT_KOD,0))="","",INDEX(FIYAT_BOBIN,MATCH($P128,FIYAT_KOD,0)))="",1,0))</f>
        <v>0</v>
      </c>
    </row>
    <row r="129" spans="1:29" x14ac:dyDescent="0.35">
      <c r="A129" s="4">
        <f t="shared" si="63"/>
        <v>128</v>
      </c>
      <c r="B129" s="4" t="str">
        <f t="shared" si="76"/>
        <v>Шина соединительная типа FORK 1P, 63А, L=1000мм</v>
      </c>
      <c r="C129" s="5" t="s">
        <v>120</v>
      </c>
      <c r="D129" s="4" t="str">
        <f t="shared" si="77"/>
        <v>811008</v>
      </c>
      <c r="E129" s="4" t="str">
        <f t="shared" si="78"/>
        <v>Шина соединительная типа FORK 1P, 63А, L=1000мм</v>
      </c>
      <c r="F129" s="4">
        <f t="shared" si="79"/>
        <v>5438</v>
      </c>
      <c r="G129" s="4">
        <f t="shared" si="80"/>
        <v>3262.7999999999997</v>
      </c>
      <c r="H129" s="4" t="str">
        <f>IF(OR($G129="",$I129="",$M129="KONTROL",$M129="KAPSAM_DISI"),"",$G129*$I129)</f>
        <v/>
      </c>
      <c r="I129" s="4">
        <f>IF(COUNTIFS(DEVRE!$A:$A,$Q129,DEVRE!$D:$D,"CIKIS",DEVRE!$AO:$AO,$X129,DEVRE!$Q:$Q,"&lt;="&amp;TARAK_MAX_A,DEVRE!$P:$P,"OTO")+COUNTIFS(DEVRE!$A:$A,$Q129,DEVRE!$D:$D,"CIKIS",DEVRE!$AO:$AO,$X129,DEVRE!$Q:$Q,"&lt;="&amp;TARAK_MAX_A,DEVRE!$P:$P,"DİF")&lt;TARAK_MIN_CIHAZ,"",ROUNDUP((SUMIFS(DEVRE!$AH:$AH,DEVRE!$A:$A,$Q129,DEVRE!$D:$D,"CIKIS",DEVRE!$AO:$AO,$X129,DEVRE!$Q:$Q,"&lt;="&amp;TARAK_MAX_A,DEVRE!$P:$P,"OTO")+SUMIFS(DEVRE!$AH:$AH,DEVRE!$A:$A,$Q129,DEVRE!$D:$D,"CIKIS",DEVRE!$AO:$AO,$X129,DEVRE!$Q:$Q,"&lt;="&amp;TARAK_MAX_A,DEVRE!$P:$P,"DİF"))/TARAK_MOD_ADET,0))</f>
        <v>1</v>
      </c>
      <c r="J129" s="4" t="str">
        <f t="shared" si="81"/>
        <v>шт</v>
      </c>
      <c r="K129" s="4" t="str">
        <f t="shared" si="82"/>
        <v>CHINT</v>
      </c>
      <c r="L129" s="4" t="str">
        <f t="shared" si="83"/>
        <v/>
      </c>
      <c r="M129" s="4" t="str">
        <f t="shared" si="84"/>
        <v>KONTROL</v>
      </c>
      <c r="N129" s="4" t="s">
        <v>171</v>
      </c>
      <c r="O129" s="4" t="str">
        <f t="shared" si="85"/>
        <v>CHINT2608</v>
      </c>
      <c r="P129" s="5" t="s">
        <v>172</v>
      </c>
      <c r="Q129" s="4" t="str">
        <f t="shared" si="86"/>
        <v>P07</v>
      </c>
      <c r="R129" s="5" t="s">
        <v>123</v>
      </c>
      <c r="S129" s="5" t="s">
        <v>124</v>
      </c>
      <c r="T129" s="4">
        <f>IF(OR($R129="",$I129=""),"",$I129*INDEX(NORM_DK,MATCH($R129,NORM_AD,0)))</f>
        <v>10</v>
      </c>
      <c r="U129" s="4" t="str">
        <f>IF(OR($P129="",$I129=""),"",IF(IF(INDEX(FIYAT_ALAN,MATCH($P129,FIYAT_KOD,0))="","",INDEX(FIYAT_ALAN,MATCH($P129,FIYAT_KOD,0)))&lt;&gt;"",$I129*IF(INDEX(FIYAT_ALAN,MATCH($P129,FIYAT_KOD,0))="","",INDEX(FIYAT_ALAN,MATCH($P129,FIYAT_KOD,0))),IF(IF(INDEX(FIYAT_MODUL,MATCH($P129,FIYAT_KOD,0))="","",INDEX(FIYAT_MODUL,MATCH($P129,FIYAT_KOD,0)))&lt;&gt;"",$I129*IF(INDEX(FIYAT_MODUL,MATCH($P129,FIYAT_KOD,0))="","",INDEX(FIYAT_MODUL,MATCH($P129,FIYAT_KOD,0))),IF(IF(INDEX(FIYAT_GENISLIK,MATCH($P129,FIYAT_KOD,0))="","",INDEX(FIYAT_GENISLIK,MATCH($P129,FIYAT_KOD,0)))&lt;&gt;"",$I129*IF(INDEX(FIYAT_GENISLIK,MATCH($P129,FIYAT_KOD,0))="","",INDEX(FIYAT_GENISLIK,MATCH($P129,FIYAT_KOD,0)))/MODUL_GENISLIK_MM,""))))</f>
        <v/>
      </c>
      <c r="V129" s="4" t="str">
        <f>IF(OR($C129&lt;&gt;"шина",$I129=""),"",$I129*INDEX(FIYAT_KGM,MATCH($P129,FIYAT_KOD,0)))</f>
        <v/>
      </c>
      <c r="W129" s="4" t="str">
        <f t="shared" si="87"/>
        <v/>
      </c>
      <c r="X129" s="5" t="s">
        <v>173</v>
      </c>
      <c r="Y129" s="5" t="s">
        <v>126</v>
      </c>
      <c r="Z129" s="4">
        <f>IF($P129="","",MAX(_xlfn.MAXIFS(DEVRE!$AM:$AM,DEVRE!$A:$A,$Q129,DEVRE!$C:$C,$P129),_xlfn.MAXIFS(DEVRE!$AM:$AM,DEVRE!$A:$A,$Q129,DEVRE!$H:$H,$P129)))</f>
        <v>0</v>
      </c>
      <c r="AA129" s="4">
        <f>IF(OR($I129="",$Q129="",$P129=""),"",$I129*INDEX(PANO_ADET,MATCH($Q129,PANO_ID,0)))</f>
        <v>1</v>
      </c>
      <c r="AB129" s="4">
        <f>IF($P129="",0,IF(AND($U129="",COUNTIF(ALAN_TIP_LIST,$C129)&gt;0),1,0))</f>
        <v>0</v>
      </c>
      <c r="AC129" s="4">
        <f>IF(OR($P129="",$C129&lt;&gt;"kontaktör"),0,IF(IF(INDEX(FIYAT_BOBIN,MATCH($P129,FIYAT_KOD,0))="","",INDEX(FIYAT_BOBIN,MATCH($P129,FIYAT_KOD,0)))="",1,0))</f>
        <v>0</v>
      </c>
    </row>
    <row r="130" spans="1:29" x14ac:dyDescent="0.35">
      <c r="A130" s="4">
        <f t="shared" ref="A130:A140" si="88">ROW()-1</f>
        <v>129</v>
      </c>
      <c r="B130" s="4" t="str">
        <f t="shared" si="76"/>
        <v/>
      </c>
      <c r="C130" s="5" t="s">
        <v>51</v>
      </c>
      <c r="D130" s="4" t="str">
        <f t="shared" si="77"/>
        <v/>
      </c>
      <c r="E130" s="4" t="str">
        <f t="shared" si="78"/>
        <v/>
      </c>
      <c r="F130" s="4" t="str">
        <f t="shared" si="79"/>
        <v/>
      </c>
      <c r="G130" s="4" t="str">
        <f t="shared" si="80"/>
        <v/>
      </c>
      <c r="H130" s="4" t="str">
        <f>IF(OR($G130="",$I130="",$M130="KONTROL",$M130="KAPSAM_DISI"),"",$G130*$I130)</f>
        <v/>
      </c>
      <c r="I130" s="4">
        <f>IF(INDEX(PANO_BARA_GEREK,MATCH($Q130,PANO_ID,0))="HAYIR",2,"")</f>
        <v>2</v>
      </c>
      <c r="J130" s="4" t="str">
        <f t="shared" si="81"/>
        <v/>
      </c>
      <c r="K130" s="4" t="str">
        <f t="shared" si="82"/>
        <v/>
      </c>
      <c r="L130" s="4" t="str">
        <f t="shared" si="83"/>
        <v/>
      </c>
      <c r="M130" s="4" t="str">
        <f t="shared" si="84"/>
        <v/>
      </c>
      <c r="N130" s="4" t="s">
        <v>75</v>
      </c>
      <c r="O130" s="4" t="str">
        <f t="shared" si="85"/>
        <v/>
      </c>
      <c r="P130" s="4" t="str">
        <f>IF(NOTR_BARA_KOD="","",NOTR_BARA_KOD)</f>
        <v/>
      </c>
      <c r="Q130" s="4" t="str">
        <f t="shared" si="86"/>
        <v>P07</v>
      </c>
      <c r="S130" s="5" t="s">
        <v>47</v>
      </c>
      <c r="T130" s="4" t="str">
        <f>IF(OR($R130="",$I130=""),"",$I130*INDEX(NORM_DK,MATCH($R130,NORM_AD,0)))</f>
        <v/>
      </c>
      <c r="U130" s="4" t="str">
        <f>IF(OR($P130="",$I130=""),"",IF(IF(INDEX(FIYAT_ALAN,MATCH($P130,FIYAT_KOD,0))="","",INDEX(FIYAT_ALAN,MATCH($P130,FIYAT_KOD,0)))&lt;&gt;"",$I130*IF(INDEX(FIYAT_ALAN,MATCH($P130,FIYAT_KOD,0))="","",INDEX(FIYAT_ALAN,MATCH($P130,FIYAT_KOD,0))),IF(IF(INDEX(FIYAT_MODUL,MATCH($P130,FIYAT_KOD,0))="","",INDEX(FIYAT_MODUL,MATCH($P130,FIYAT_KOD,0)))&lt;&gt;"",$I130*IF(INDEX(FIYAT_MODUL,MATCH($P130,FIYAT_KOD,0))="","",INDEX(FIYAT_MODUL,MATCH($P130,FIYAT_KOD,0))),IF(IF(INDEX(FIYAT_GENISLIK,MATCH($P130,FIYAT_KOD,0))="","",INDEX(FIYAT_GENISLIK,MATCH($P130,FIYAT_KOD,0)))&lt;&gt;"",$I130*IF(INDEX(FIYAT_GENISLIK,MATCH($P130,FIYAT_KOD,0))="","",INDEX(FIYAT_GENISLIK,MATCH($P130,FIYAT_KOD,0)))/MODUL_GENISLIK_MM,""))))</f>
        <v/>
      </c>
      <c r="V130" s="4" t="str">
        <f>IF(OR($C130&lt;&gt;"шина",$I130=""),"",$I130*INDEX(FIYAT_KGM,MATCH($P130,FIYAT_KOD,0)))</f>
        <v/>
      </c>
      <c r="W130" s="4" t="str">
        <f t="shared" si="87"/>
        <v/>
      </c>
      <c r="Y130" s="5" t="s">
        <v>76</v>
      </c>
      <c r="Z130" s="4" t="str">
        <f>IF($P130="","",MAX(_xlfn.MAXIFS(DEVRE!$AM:$AM,DEVRE!$A:$A,$Q130,DEVRE!$C:$C,$P130),_xlfn.MAXIFS(DEVRE!$AM:$AM,DEVRE!$A:$A,$Q130,DEVRE!$H:$H,$P130)))</f>
        <v/>
      </c>
      <c r="AA130" s="4" t="str">
        <f>IF(OR($I130="",$Q130="",$P130=""),"",$I130*INDEX(PANO_ADET,MATCH($Q130,PANO_ID,0)))</f>
        <v/>
      </c>
      <c r="AB130" s="4">
        <f>IF($P130="",0,IF(AND($U130="",COUNTIF(ALAN_TIP_LIST,$C130)&gt;0),1,0))</f>
        <v>0</v>
      </c>
      <c r="AC130" s="4">
        <f>IF(OR($P130="",$C130&lt;&gt;"kontaktör"),0,IF(IF(INDEX(FIYAT_BOBIN,MATCH($P130,FIYAT_KOD,0))="","",INDEX(FIYAT_BOBIN,MATCH($P130,FIYAT_KOD,0)))="",1,0))</f>
        <v>0</v>
      </c>
    </row>
    <row r="131" spans="1:29" x14ac:dyDescent="0.35">
      <c r="A131" s="4">
        <f t="shared" si="88"/>
        <v>130</v>
      </c>
      <c r="B131" s="4" t="str">
        <f t="shared" si="76"/>
        <v/>
      </c>
      <c r="C131" s="5" t="s">
        <v>77</v>
      </c>
      <c r="D131" s="4" t="str">
        <f t="shared" si="77"/>
        <v/>
      </c>
      <c r="E131" s="4" t="str">
        <f t="shared" si="78"/>
        <v/>
      </c>
      <c r="F131" s="4" t="str">
        <f t="shared" si="79"/>
        <v/>
      </c>
      <c r="G131" s="4" t="str">
        <f t="shared" si="80"/>
        <v/>
      </c>
      <c r="H131" s="4" t="str">
        <f>IF(OR($G131="",$I131="",$M131="KONTROL",$M131="KAPSAM_DISI"),"",$G131*$I131)</f>
        <v/>
      </c>
      <c r="I131" s="4" t="str">
        <f>INDEX(PANO_DIN_M,MATCH($Q131,PANO_ID,0))</f>
        <v/>
      </c>
      <c r="J131" s="4" t="str">
        <f t="shared" si="81"/>
        <v/>
      </c>
      <c r="K131" s="4" t="str">
        <f t="shared" si="82"/>
        <v/>
      </c>
      <c r="L131" s="4" t="str">
        <f t="shared" si="83"/>
        <v/>
      </c>
      <c r="M131" s="4" t="str">
        <f t="shared" si="84"/>
        <v/>
      </c>
      <c r="N131" s="4" t="s">
        <v>78</v>
      </c>
      <c r="O131" s="4" t="str">
        <f t="shared" si="85"/>
        <v/>
      </c>
      <c r="P131" s="4" t="str">
        <f>IF(DINRAY_KOD="","",DINRAY_KOD)</f>
        <v/>
      </c>
      <c r="Q131" s="4" t="str">
        <f t="shared" si="86"/>
        <v>P07</v>
      </c>
      <c r="R131" s="5" t="s">
        <v>79</v>
      </c>
      <c r="S131" s="5" t="s">
        <v>47</v>
      </c>
      <c r="T131" s="4" t="str">
        <f>IF(OR($R131="",$I131=""),"",$I131*INDEX(NORM_DK,MATCH($R131,NORM_AD,0)))</f>
        <v/>
      </c>
      <c r="U131" s="4" t="str">
        <f>IF(OR($P131="",$I131=""),"",IF(IF(INDEX(FIYAT_ALAN,MATCH($P131,FIYAT_KOD,0))="","",INDEX(FIYAT_ALAN,MATCH($P131,FIYAT_KOD,0)))&lt;&gt;"",$I131*IF(INDEX(FIYAT_ALAN,MATCH($P131,FIYAT_KOD,0))="","",INDEX(FIYAT_ALAN,MATCH($P131,FIYAT_KOD,0))),IF(IF(INDEX(FIYAT_MODUL,MATCH($P131,FIYAT_KOD,0))="","",INDEX(FIYAT_MODUL,MATCH($P131,FIYAT_KOD,0)))&lt;&gt;"",$I131*IF(INDEX(FIYAT_MODUL,MATCH($P131,FIYAT_KOD,0))="","",INDEX(FIYAT_MODUL,MATCH($P131,FIYAT_KOD,0))),IF(IF(INDEX(FIYAT_GENISLIK,MATCH($P131,FIYAT_KOD,0))="","",INDEX(FIYAT_GENISLIK,MATCH($P131,FIYAT_KOD,0)))&lt;&gt;"",$I131*IF(INDEX(FIYAT_GENISLIK,MATCH($P131,FIYAT_KOD,0))="","",INDEX(FIYAT_GENISLIK,MATCH($P131,FIYAT_KOD,0)))/MODUL_GENISLIK_MM,""))))</f>
        <v/>
      </c>
      <c r="V131" s="4" t="str">
        <f>IF(OR($C131&lt;&gt;"шина",$I131=""),"",$I131*INDEX(FIYAT_KGM,MATCH($P131,FIYAT_KOD,0)))</f>
        <v/>
      </c>
      <c r="W131" s="4" t="str">
        <f t="shared" si="87"/>
        <v/>
      </c>
      <c r="Y131" s="5" t="s">
        <v>80</v>
      </c>
      <c r="Z131" s="4" t="str">
        <f>IF($P131="","",MAX(_xlfn.MAXIFS(DEVRE!$AM:$AM,DEVRE!$A:$A,$Q131,DEVRE!$C:$C,$P131),_xlfn.MAXIFS(DEVRE!$AM:$AM,DEVRE!$A:$A,$Q131,DEVRE!$H:$H,$P131)))</f>
        <v/>
      </c>
      <c r="AA131" s="4" t="str">
        <f>IF(OR($I131="",$Q131="",$P131=""),"",$I131*INDEX(PANO_ADET,MATCH($Q131,PANO_ID,0)))</f>
        <v/>
      </c>
      <c r="AB131" s="4">
        <f>IF($P131="",0,IF(AND($U131="",COUNTIF(ALAN_TIP_LIST,$C131)&gt;0),1,0))</f>
        <v>0</v>
      </c>
      <c r="AC131" s="4">
        <f>IF(OR($P131="",$C131&lt;&gt;"kontaktör"),0,IF(IF(INDEX(FIYAT_BOBIN,MATCH($P131,FIYAT_KOD,0))="","",INDEX(FIYAT_BOBIN,MATCH($P131,FIYAT_KOD,0)))="",1,0))</f>
        <v>0</v>
      </c>
    </row>
    <row r="132" spans="1:29" x14ac:dyDescent="0.35">
      <c r="A132" s="4">
        <f t="shared" si="88"/>
        <v>131</v>
      </c>
      <c r="B132" s="4" t="str">
        <f t="shared" si="76"/>
        <v>Лоток перфорированный 50х 50х3000 (0,7 мм) EKT</v>
      </c>
      <c r="C132" s="5" t="s">
        <v>81</v>
      </c>
      <c r="D132" s="4" t="str">
        <f t="shared" si="77"/>
        <v>280300704</v>
      </c>
      <c r="E132" s="4" t="str">
        <f t="shared" si="78"/>
        <v>Лоток перфорированный 50х 50х3000 (0,7 мм) EKT</v>
      </c>
      <c r="F132" s="4">
        <f t="shared" si="79"/>
        <v>1022</v>
      </c>
      <c r="G132" s="4">
        <f t="shared" si="80"/>
        <v>1022</v>
      </c>
      <c r="H132" s="4" t="str">
        <f>IF(OR($G132="",$I132="",$M132="KONTROL",$M132="KAPSAM_DISI"),"",$G132*$I132)</f>
        <v/>
      </c>
      <c r="I132" s="4" t="str">
        <f>INDEX(PANO_KANAL_M,MATCH($Q132,PANO_ID,0))</f>
        <v/>
      </c>
      <c r="J132" s="4" t="str">
        <f t="shared" si="81"/>
        <v>м</v>
      </c>
      <c r="K132" s="4" t="str">
        <f t="shared" si="82"/>
        <v>EKT</v>
      </c>
      <c r="L132" s="4" t="str">
        <f t="shared" si="83"/>
        <v/>
      </c>
      <c r="M132" s="4" t="str">
        <f t="shared" si="84"/>
        <v>MUADIL_ONAY</v>
      </c>
      <c r="N132" s="4" t="s">
        <v>82</v>
      </c>
      <c r="O132" s="4" t="str">
        <f t="shared" si="85"/>
        <v>EKT2506</v>
      </c>
      <c r="P132" s="4" t="str">
        <f>INDEX(PANO_KANAL_KOD,MATCH($Q132,PANO_ID,0))</f>
        <v>EKT-280300704</v>
      </c>
      <c r="Q132" s="4" t="str">
        <f t="shared" si="86"/>
        <v>P07</v>
      </c>
      <c r="R132" s="5" t="s">
        <v>83</v>
      </c>
      <c r="S132" s="5" t="s">
        <v>84</v>
      </c>
      <c r="T132" s="4" t="str">
        <f>IF(OR($R132="",$I132=""),"",$I132*INDEX(NORM_DK,MATCH($R132,NORM_AD,0)))</f>
        <v/>
      </c>
      <c r="U132" s="4" t="str">
        <f>IF(OR($P132="",$I132=""),"",IF(IF(INDEX(FIYAT_ALAN,MATCH($P132,FIYAT_KOD,0))="","",INDEX(FIYAT_ALAN,MATCH($P132,FIYAT_KOD,0)))&lt;&gt;"",$I132*IF(INDEX(FIYAT_ALAN,MATCH($P132,FIYAT_KOD,0))="","",INDEX(FIYAT_ALAN,MATCH($P132,FIYAT_KOD,0))),IF(IF(INDEX(FIYAT_MODUL,MATCH($P132,FIYAT_KOD,0))="","",INDEX(FIYAT_MODUL,MATCH($P132,FIYAT_KOD,0)))&lt;&gt;"",$I132*IF(INDEX(FIYAT_MODUL,MATCH($P132,FIYAT_KOD,0))="","",INDEX(FIYAT_MODUL,MATCH($P132,FIYAT_KOD,0))),IF(IF(INDEX(FIYAT_GENISLIK,MATCH($P132,FIYAT_KOD,0))="","",INDEX(FIYAT_GENISLIK,MATCH($P132,FIYAT_KOD,0)))&lt;&gt;"",$I132*IF(INDEX(FIYAT_GENISLIK,MATCH($P132,FIYAT_KOD,0))="","",INDEX(FIYAT_GENISLIK,MATCH($P132,FIYAT_KOD,0)))/MODUL_GENISLIK_MM,""))))</f>
        <v/>
      </c>
      <c r="V132" s="4" t="str">
        <f>IF(OR($C132&lt;&gt;"шина",$I132=""),"",$I132*INDEX(FIYAT_KGM,MATCH($P132,FIYAT_KOD,0)))</f>
        <v/>
      </c>
      <c r="W132" s="4" t="str">
        <f t="shared" si="87"/>
        <v/>
      </c>
      <c r="Y132" s="5" t="s">
        <v>85</v>
      </c>
      <c r="Z132" s="4">
        <f>IF($P132="","",MAX(_xlfn.MAXIFS(DEVRE!$AM:$AM,DEVRE!$A:$A,$Q132,DEVRE!$C:$C,$P132),_xlfn.MAXIFS(DEVRE!$AM:$AM,DEVRE!$A:$A,$Q132,DEVRE!$H:$H,$P132)))</f>
        <v>0</v>
      </c>
      <c r="AA132" s="4" t="str">
        <f>IF(OR($I132="",$Q132="",$P132=""),"",$I132*INDEX(PANO_ADET,MATCH($Q132,PANO_ID,0)))</f>
        <v/>
      </c>
      <c r="AB132" s="4">
        <f>IF($P132="",0,IF(AND($U132="",COUNTIF(ALAN_TIP_LIST,$C132)&gt;0),1,0))</f>
        <v>0</v>
      </c>
      <c r="AC132" s="4">
        <f>IF(OR($P132="",$C132&lt;&gt;"kontaktör"),0,IF(IF(INDEX(FIYAT_BOBIN,MATCH($P132,FIYAT_KOD,0))="","",INDEX(FIYAT_BOBIN,MATCH($P132,FIYAT_KOD,0)))="",1,0))</f>
        <v>0</v>
      </c>
    </row>
    <row r="133" spans="1:29" x14ac:dyDescent="0.35">
      <c r="A133" s="4">
        <f t="shared" si="88"/>
        <v>132</v>
      </c>
      <c r="B133" s="4" t="str">
        <f t="shared" si="76"/>
        <v>Крышка на лоток осн. 50мм. (0,6 мм) EKT</v>
      </c>
      <c r="C133" s="5" t="s">
        <v>81</v>
      </c>
      <c r="D133" s="4" t="str">
        <f t="shared" si="77"/>
        <v>280300718</v>
      </c>
      <c r="E133" s="4" t="str">
        <f t="shared" si="78"/>
        <v>Крышка на лоток осн. 50мм. (0,6 мм) EKT</v>
      </c>
      <c r="F133" s="4">
        <f t="shared" si="79"/>
        <v>596</v>
      </c>
      <c r="G133" s="4">
        <f t="shared" si="80"/>
        <v>596</v>
      </c>
      <c r="H133" s="4" t="str">
        <f>IF(OR($G133="",$I133="",$M133="KONTROL",$M133="KAPSAM_DISI"),"",$G133*$I133)</f>
        <v/>
      </c>
      <c r="I133" s="4" t="str">
        <f>INDEX(PANO_KANAL_M,MATCH($Q133,PANO_ID,0))</f>
        <v/>
      </c>
      <c r="J133" s="4" t="str">
        <f t="shared" si="81"/>
        <v>м</v>
      </c>
      <c r="K133" s="4" t="str">
        <f t="shared" si="82"/>
        <v>EKT</v>
      </c>
      <c r="L133" s="4" t="str">
        <f t="shared" si="83"/>
        <v/>
      </c>
      <c r="M133" s="4" t="str">
        <f t="shared" si="84"/>
        <v>MUADIL_ONAY</v>
      </c>
      <c r="N133" s="4" t="s">
        <v>86</v>
      </c>
      <c r="O133" s="4" t="str">
        <f t="shared" si="85"/>
        <v>EKT2506</v>
      </c>
      <c r="P133" s="4" t="str">
        <f>INDEX(PANO_KAPAK_KOD,MATCH($Q133,PANO_ID,0))</f>
        <v>EKT-280300718</v>
      </c>
      <c r="Q133" s="4" t="str">
        <f t="shared" si="86"/>
        <v>P07</v>
      </c>
      <c r="S133" s="5" t="s">
        <v>84</v>
      </c>
      <c r="T133" s="4" t="str">
        <f>IF(OR($R133="",$I133=""),"",$I133*INDEX(NORM_DK,MATCH($R133,NORM_AD,0)))</f>
        <v/>
      </c>
      <c r="U133" s="4" t="str">
        <f>IF(OR($P133="",$I133=""),"",IF(IF(INDEX(FIYAT_ALAN,MATCH($P133,FIYAT_KOD,0))="","",INDEX(FIYAT_ALAN,MATCH($P133,FIYAT_KOD,0)))&lt;&gt;"",$I133*IF(INDEX(FIYAT_ALAN,MATCH($P133,FIYAT_KOD,0))="","",INDEX(FIYAT_ALAN,MATCH($P133,FIYAT_KOD,0))),IF(IF(INDEX(FIYAT_MODUL,MATCH($P133,FIYAT_KOD,0))="","",INDEX(FIYAT_MODUL,MATCH($P133,FIYAT_KOD,0)))&lt;&gt;"",$I133*IF(INDEX(FIYAT_MODUL,MATCH($P133,FIYAT_KOD,0))="","",INDEX(FIYAT_MODUL,MATCH($P133,FIYAT_KOD,0))),IF(IF(INDEX(FIYAT_GENISLIK,MATCH($P133,FIYAT_KOD,0))="","",INDEX(FIYAT_GENISLIK,MATCH($P133,FIYAT_KOD,0)))&lt;&gt;"",$I133*IF(INDEX(FIYAT_GENISLIK,MATCH($P133,FIYAT_KOD,0))="","",INDEX(FIYAT_GENISLIK,MATCH($P133,FIYAT_KOD,0)))/MODUL_GENISLIK_MM,""))))</f>
        <v/>
      </c>
      <c r="V133" s="4" t="str">
        <f>IF(OR($C133&lt;&gt;"шина",$I133=""),"",$I133*INDEX(FIYAT_KGM,MATCH($P133,FIYAT_KOD,0)))</f>
        <v/>
      </c>
      <c r="W133" s="4" t="str">
        <f t="shared" si="87"/>
        <v/>
      </c>
      <c r="Y133" s="5" t="s">
        <v>85</v>
      </c>
      <c r="Z133" s="4">
        <f>IF($P133="","",MAX(_xlfn.MAXIFS(DEVRE!$AM:$AM,DEVRE!$A:$A,$Q133,DEVRE!$C:$C,$P133),_xlfn.MAXIFS(DEVRE!$AM:$AM,DEVRE!$A:$A,$Q133,DEVRE!$H:$H,$P133)))</f>
        <v>0</v>
      </c>
      <c r="AA133" s="4" t="str">
        <f>IF(OR($I133="",$Q133="",$P133=""),"",$I133*INDEX(PANO_ADET,MATCH($Q133,PANO_ID,0)))</f>
        <v/>
      </c>
      <c r="AB133" s="4">
        <f>IF($P133="",0,IF(AND($U133="",COUNTIF(ALAN_TIP_LIST,$C133)&gt;0),1,0))</f>
        <v>0</v>
      </c>
      <c r="AC133" s="4">
        <f>IF(OR($P133="",$C133&lt;&gt;"kontaktör"),0,IF(IF(INDEX(FIYAT_BOBIN,MATCH($P133,FIYAT_KOD,0))="","",INDEX(FIYAT_BOBIN,MATCH($P133,FIYAT_KOD,0)))="",1,0))</f>
        <v>0</v>
      </c>
    </row>
    <row r="134" spans="1:29" x14ac:dyDescent="0.35">
      <c r="A134" s="4">
        <f t="shared" si="88"/>
        <v>133</v>
      </c>
      <c r="B134" s="4" t="str">
        <f t="shared" si="76"/>
        <v>HARMONY ПВ3 1 2,5</v>
      </c>
      <c r="C134" s="5" t="s">
        <v>87</v>
      </c>
      <c r="D134" s="4" t="str">
        <f t="shared" si="77"/>
        <v>151.01.PV3.02,5</v>
      </c>
      <c r="E134" s="4" t="str">
        <f t="shared" si="78"/>
        <v>HARMONY ПВ3 1 2,5</v>
      </c>
      <c r="F134" s="4">
        <f t="shared" si="79"/>
        <v>174</v>
      </c>
      <c r="G134" s="4">
        <f t="shared" si="80"/>
        <v>174</v>
      </c>
      <c r="H134" s="4">
        <f>IF(OR($G134="",$I134="",$M134="KONTROL",$M134="KAPSAM_DISI"),"",$G134*$I134)</f>
        <v>2749.2000000000003</v>
      </c>
      <c r="I134" s="4">
        <f>ROUND((SUMIFS(DEVRE!$Z:$Z,DEVRE!$A:$A,$Q134,DEVRE!$V:$V,$X134)+IF($X134=GRUP_BESLEME_KESIT,INDEX(PANO_GRUP_KABLO_M,MATCH($Q134,PANO_ID,0)),0))*KABLO_FIRE,1)</f>
        <v>15.8</v>
      </c>
      <c r="J134" s="4" t="str">
        <f t="shared" si="81"/>
        <v>м</v>
      </c>
      <c r="K134" s="4" t="str">
        <f t="shared" si="82"/>
        <v>HARMONY</v>
      </c>
      <c r="L134" s="4">
        <f t="shared" si="83"/>
        <v>2749.2000000000003</v>
      </c>
      <c r="M134" s="4" t="str">
        <f t="shared" si="84"/>
        <v>FIYAT_ESKI</v>
      </c>
      <c r="N134" s="4" t="s">
        <v>92</v>
      </c>
      <c r="O134" s="4" t="str">
        <f t="shared" si="85"/>
        <v>HARMONY</v>
      </c>
      <c r="P134" s="5" t="s">
        <v>93</v>
      </c>
      <c r="Q134" s="4" t="str">
        <f t="shared" si="86"/>
        <v>P07</v>
      </c>
      <c r="R134" s="5" t="s">
        <v>90</v>
      </c>
      <c r="S134" s="5" t="s">
        <v>47</v>
      </c>
      <c r="T134" s="4">
        <f>IF(OR($R134="",$I134=""),"",$I134*INDEX(NORM_DK,MATCH($R134,NORM_AD,0)))</f>
        <v>0</v>
      </c>
      <c r="U134" s="4" t="str">
        <f>IF(OR($P134="",$I134=""),"",IF(IF(INDEX(FIYAT_ALAN,MATCH($P134,FIYAT_KOD,0))="","",INDEX(FIYAT_ALAN,MATCH($P134,FIYAT_KOD,0)))&lt;&gt;"",$I134*IF(INDEX(FIYAT_ALAN,MATCH($P134,FIYAT_KOD,0))="","",INDEX(FIYAT_ALAN,MATCH($P134,FIYAT_KOD,0))),IF(IF(INDEX(FIYAT_MODUL,MATCH($P134,FIYAT_KOD,0))="","",INDEX(FIYAT_MODUL,MATCH($P134,FIYAT_KOD,0)))&lt;&gt;"",$I134*IF(INDEX(FIYAT_MODUL,MATCH($P134,FIYAT_KOD,0))="","",INDEX(FIYAT_MODUL,MATCH($P134,FIYAT_KOD,0))),IF(IF(INDEX(FIYAT_GENISLIK,MATCH($P134,FIYAT_KOD,0))="","",INDEX(FIYAT_GENISLIK,MATCH($P134,FIYAT_KOD,0)))&lt;&gt;"",$I134*IF(INDEX(FIYAT_GENISLIK,MATCH($P134,FIYAT_KOD,0))="","",INDEX(FIYAT_GENISLIK,MATCH($P134,FIYAT_KOD,0)))/MODUL_GENISLIK_MM,""))))</f>
        <v/>
      </c>
      <c r="V134" s="4" t="str">
        <f>IF(OR($C134&lt;&gt;"шина",$I134=""),"",$I134*INDEX(FIYAT_KGM,MATCH($P134,FIYAT_KOD,0)))</f>
        <v/>
      </c>
      <c r="W134" s="4">
        <f t="shared" si="87"/>
        <v>2749.2000000000003</v>
      </c>
      <c r="X134" s="5">
        <v>2.5</v>
      </c>
      <c r="Y134" s="5" t="s">
        <v>91</v>
      </c>
      <c r="Z134" s="4">
        <f>IF($P134="","",MAX(_xlfn.MAXIFS(DEVRE!$AM:$AM,DEVRE!$A:$A,$Q134,DEVRE!$C:$C,$P134),_xlfn.MAXIFS(DEVRE!$AM:$AM,DEVRE!$A:$A,$Q134,DEVRE!$H:$H,$P134)))</f>
        <v>0</v>
      </c>
      <c r="AA134" s="4">
        <f>IF(OR($I134="",$Q134="",$P134=""),"",$I134*INDEX(PANO_ADET,MATCH($Q134,PANO_ID,0)))</f>
        <v>15.8</v>
      </c>
      <c r="AB134" s="4">
        <f>IF($P134="",0,IF(AND($U134="",COUNTIF(ALAN_TIP_LIST,$C134)&gt;0),1,0))</f>
        <v>0</v>
      </c>
      <c r="AC134" s="4">
        <f>IF(OR($P134="",$C134&lt;&gt;"kontaktör"),0,IF(IF(INDEX(FIYAT_BOBIN,MATCH($P134,FIYAT_KOD,0))="","",INDEX(FIYAT_BOBIN,MATCH($P134,FIYAT_KOD,0)))="",1,0))</f>
        <v>0</v>
      </c>
    </row>
    <row r="135" spans="1:29" x14ac:dyDescent="0.35">
      <c r="A135" s="4">
        <f t="shared" si="88"/>
        <v>134</v>
      </c>
      <c r="B135" s="4" t="str">
        <f t="shared" si="76"/>
        <v>HARMONY ПВ3 1 4</v>
      </c>
      <c r="C135" s="5" t="s">
        <v>87</v>
      </c>
      <c r="D135" s="4" t="str">
        <f t="shared" si="77"/>
        <v>151.01.PV3.04</v>
      </c>
      <c r="E135" s="4" t="str">
        <f t="shared" si="78"/>
        <v>HARMONY ПВ3 1 4</v>
      </c>
      <c r="F135" s="4">
        <f t="shared" si="79"/>
        <v>274</v>
      </c>
      <c r="G135" s="4">
        <f t="shared" si="80"/>
        <v>274</v>
      </c>
      <c r="H135" s="4">
        <f>IF(OR($G135="",$I135="",$M135="KONTROL",$M135="KAPSAM_DISI"),"",$G135*$I135)</f>
        <v>1096</v>
      </c>
      <c r="I135" s="4">
        <f>ROUND((SUMIFS(DEVRE!$Z:$Z,DEVRE!$A:$A,$Q135,DEVRE!$V:$V,$X135)+IF($X135=GRUP_BESLEME_KESIT,INDEX(PANO_GRUP_KABLO_M,MATCH($Q135,PANO_ID,0)),0))*KABLO_FIRE,1)</f>
        <v>4</v>
      </c>
      <c r="J135" s="4" t="str">
        <f t="shared" si="81"/>
        <v>м</v>
      </c>
      <c r="K135" s="4" t="str">
        <f t="shared" si="82"/>
        <v>HARMONY</v>
      </c>
      <c r="L135" s="4">
        <f t="shared" si="83"/>
        <v>1096</v>
      </c>
      <c r="M135" s="4" t="str">
        <f t="shared" si="84"/>
        <v>FIYAT_ESKI</v>
      </c>
      <c r="N135" s="4" t="s">
        <v>127</v>
      </c>
      <c r="O135" s="4" t="str">
        <f t="shared" si="85"/>
        <v>HARMONY</v>
      </c>
      <c r="P135" s="5" t="s">
        <v>128</v>
      </c>
      <c r="Q135" s="4" t="str">
        <f t="shared" si="86"/>
        <v>P07</v>
      </c>
      <c r="R135" s="5" t="s">
        <v>90</v>
      </c>
      <c r="S135" s="5" t="s">
        <v>47</v>
      </c>
      <c r="T135" s="4">
        <f>IF(OR($R135="",$I135=""),"",$I135*INDEX(NORM_DK,MATCH($R135,NORM_AD,0)))</f>
        <v>0</v>
      </c>
      <c r="U135" s="4" t="str">
        <f>IF(OR($P135="",$I135=""),"",IF(IF(INDEX(FIYAT_ALAN,MATCH($P135,FIYAT_KOD,0))="","",INDEX(FIYAT_ALAN,MATCH($P135,FIYAT_KOD,0)))&lt;&gt;"",$I135*IF(INDEX(FIYAT_ALAN,MATCH($P135,FIYAT_KOD,0))="","",INDEX(FIYAT_ALAN,MATCH($P135,FIYAT_KOD,0))),IF(IF(INDEX(FIYAT_MODUL,MATCH($P135,FIYAT_KOD,0))="","",INDEX(FIYAT_MODUL,MATCH($P135,FIYAT_KOD,0)))&lt;&gt;"",$I135*IF(INDEX(FIYAT_MODUL,MATCH($P135,FIYAT_KOD,0))="","",INDEX(FIYAT_MODUL,MATCH($P135,FIYAT_KOD,0))),IF(IF(INDEX(FIYAT_GENISLIK,MATCH($P135,FIYAT_KOD,0))="","",INDEX(FIYAT_GENISLIK,MATCH($P135,FIYAT_KOD,0)))&lt;&gt;"",$I135*IF(INDEX(FIYAT_GENISLIK,MATCH($P135,FIYAT_KOD,0))="","",INDEX(FIYAT_GENISLIK,MATCH($P135,FIYAT_KOD,0)))/MODUL_GENISLIK_MM,""))))</f>
        <v/>
      </c>
      <c r="V135" s="4" t="str">
        <f>IF(OR($C135&lt;&gt;"шина",$I135=""),"",$I135*INDEX(FIYAT_KGM,MATCH($P135,FIYAT_KOD,0)))</f>
        <v/>
      </c>
      <c r="W135" s="4">
        <f t="shared" si="87"/>
        <v>1096</v>
      </c>
      <c r="X135" s="5">
        <v>4</v>
      </c>
      <c r="Y135" s="5" t="s">
        <v>91</v>
      </c>
      <c r="Z135" s="4">
        <f>IF($P135="","",MAX(_xlfn.MAXIFS(DEVRE!$AM:$AM,DEVRE!$A:$A,$Q135,DEVRE!$C:$C,$P135),_xlfn.MAXIFS(DEVRE!$AM:$AM,DEVRE!$A:$A,$Q135,DEVRE!$H:$H,$P135)))</f>
        <v>0</v>
      </c>
      <c r="AA135" s="4">
        <f>IF(OR($I135="",$Q135="",$P135=""),"",$I135*INDEX(PANO_ADET,MATCH($Q135,PANO_ID,0)))</f>
        <v>4</v>
      </c>
      <c r="AB135" s="4">
        <f>IF($P135="",0,IF(AND($U135="",COUNTIF(ALAN_TIP_LIST,$C135)&gt;0),1,0))</f>
        <v>0</v>
      </c>
      <c r="AC135" s="4">
        <f>IF(OR($P135="",$C135&lt;&gt;"kontaktör"),0,IF(IF(INDEX(FIYAT_BOBIN,MATCH($P135,FIYAT_KOD,0))="","",INDEX(FIYAT_BOBIN,MATCH($P135,FIYAT_KOD,0)))="",1,0))</f>
        <v>0</v>
      </c>
    </row>
    <row r="136" spans="1:29" x14ac:dyDescent="0.35">
      <c r="A136" s="4">
        <f t="shared" si="88"/>
        <v>135</v>
      </c>
      <c r="B136" s="4" t="str">
        <f t="shared" si="76"/>
        <v>ЗНИ 2.5мм ² (24А) серый IEK</v>
      </c>
      <c r="C136" s="5" t="s">
        <v>133</v>
      </c>
      <c r="D136" s="4" t="str">
        <f t="shared" si="77"/>
        <v>130300223</v>
      </c>
      <c r="E136" s="4" t="str">
        <f t="shared" si="78"/>
        <v>ЗНИ 2.5мм ² (24А) серый IEK</v>
      </c>
      <c r="F136" s="4">
        <f t="shared" si="79"/>
        <v>97</v>
      </c>
      <c r="G136" s="4">
        <f t="shared" si="80"/>
        <v>97</v>
      </c>
      <c r="H136" s="4">
        <f>IF(OR($G136="",$I136="",$M136="KONTROL",$M136="KAPSAM_DISI"),"",$G136*$I136)</f>
        <v>1164</v>
      </c>
      <c r="I136" s="4">
        <f>IF(SUMIFS(DEVRE!$AA:$AA,DEVRE!$A:$A,$Q136,DEVRE!$AD:$AD,$X136)+IF($X136=SINYAL_KLEMENS_KESIT,SUMIFS(DEVRE!$I:$I,DEVRE!$A:$A,$Q136),0)=0,"",MAX(SUMIFS(DEVRE!$AA:$AA,DEVRE!$A:$A,$Q136,DEVRE!$AD:$AD,$X136)+IF($X136=SINYAL_KLEMENS_KESIT,SUMIFS(DEVRE!$I:$I,DEVRE!$A:$A,$Q136),0)+KLEMENS_MIN_YEDEK,ROUNDUP((SUMIFS(DEVRE!$AA:$AA,DEVRE!$A:$A,$Q136,DEVRE!$AD:$AD,$X136)+IF($X136=SINYAL_KLEMENS_KESIT,SUMIFS(DEVRE!$I:$I,DEVRE!$A:$A,$Q136),0))*KLEMENS_YEDEK,0)))</f>
        <v>12</v>
      </c>
      <c r="J136" s="4" t="str">
        <f t="shared" si="81"/>
        <v>шт</v>
      </c>
      <c r="K136" s="4" t="str">
        <f t="shared" si="82"/>
        <v>EKT</v>
      </c>
      <c r="L136" s="4">
        <f t="shared" si="83"/>
        <v>1164</v>
      </c>
      <c r="M136" s="4" t="str">
        <f t="shared" si="84"/>
        <v>FIYAT_ESKI</v>
      </c>
      <c r="N136" s="4" t="s">
        <v>174</v>
      </c>
      <c r="O136" s="4" t="str">
        <f t="shared" si="85"/>
        <v>EKT2506</v>
      </c>
      <c r="P136" s="5" t="s">
        <v>175</v>
      </c>
      <c r="Q136" s="4" t="str">
        <f t="shared" si="86"/>
        <v>P07</v>
      </c>
      <c r="R136" s="5" t="s">
        <v>136</v>
      </c>
      <c r="S136" s="5" t="s">
        <v>47</v>
      </c>
      <c r="T136" s="4">
        <f>IF(OR($R136="",$I136=""),"",$I136*INDEX(NORM_DK,MATCH($R136,NORM_AD,0)))</f>
        <v>48</v>
      </c>
      <c r="U136" s="4">
        <f>IF(OR($P136="",$I136=""),"",IF(IF(INDEX(FIYAT_ALAN,MATCH($P136,FIYAT_KOD,0))="","",INDEX(FIYAT_ALAN,MATCH($P136,FIYAT_KOD,0)))&lt;&gt;"",$I136*IF(INDEX(FIYAT_ALAN,MATCH($P136,FIYAT_KOD,0))="","",INDEX(FIYAT_ALAN,MATCH($P136,FIYAT_KOD,0))),IF(IF(INDEX(FIYAT_MODUL,MATCH($P136,FIYAT_KOD,0))="","",INDEX(FIYAT_MODUL,MATCH($P136,FIYAT_KOD,0)))&lt;&gt;"",$I136*IF(INDEX(FIYAT_MODUL,MATCH($P136,FIYAT_KOD,0))="","",INDEX(FIYAT_MODUL,MATCH($P136,FIYAT_KOD,0))),IF(IF(INDEX(FIYAT_GENISLIK,MATCH($P136,FIYAT_KOD,0))="","",INDEX(FIYAT_GENISLIK,MATCH($P136,FIYAT_KOD,0)))&lt;&gt;"",$I136*IF(INDEX(FIYAT_GENISLIK,MATCH($P136,FIYAT_KOD,0))="","",INDEX(FIYAT_GENISLIK,MATCH($P136,FIYAT_KOD,0)))/MODUL_GENISLIK_MM,""))))</f>
        <v>3.5657142857142858</v>
      </c>
      <c r="V136" s="4" t="str">
        <f>IF(OR($C136&lt;&gt;"шина",$I136=""),"",$I136*INDEX(FIYAT_KGM,MATCH($P136,FIYAT_KOD,0)))</f>
        <v/>
      </c>
      <c r="W136" s="4">
        <f t="shared" si="87"/>
        <v>1164</v>
      </c>
      <c r="X136" s="5">
        <v>2.5</v>
      </c>
      <c r="Y136" s="5" t="s">
        <v>137</v>
      </c>
      <c r="Z136" s="4">
        <f>IF($P136="","",MAX(_xlfn.MAXIFS(DEVRE!$AM:$AM,DEVRE!$A:$A,$Q136,DEVRE!$C:$C,$P136),_xlfn.MAXIFS(DEVRE!$AM:$AM,DEVRE!$A:$A,$Q136,DEVRE!$H:$H,$P136)))</f>
        <v>0</v>
      </c>
      <c r="AA136" s="4">
        <f>IF(OR($I136="",$Q136="",$P136=""),"",$I136*INDEX(PANO_ADET,MATCH($Q136,PANO_ID,0)))</f>
        <v>12</v>
      </c>
      <c r="AB136" s="4">
        <f>IF($P136="",0,IF(AND($U136="",COUNTIF(ALAN_TIP_LIST,$C136)&gt;0),1,0))</f>
        <v>0</v>
      </c>
      <c r="AC136" s="4">
        <f>IF(OR($P136="",$C136&lt;&gt;"kontaktör"),0,IF(IF(INDEX(FIYAT_BOBIN,MATCH($P136,FIYAT_KOD,0))="","",INDEX(FIYAT_BOBIN,MATCH($P136,FIYAT_KOD,0)))="",1,0))</f>
        <v>0</v>
      </c>
    </row>
    <row r="137" spans="1:29" x14ac:dyDescent="0.35">
      <c r="A137" s="4">
        <f t="shared" si="88"/>
        <v>136</v>
      </c>
      <c r="B137" s="4" t="str">
        <f t="shared" si="76"/>
        <v>Зажим наборный ЗНИ - 4PEN 4мм2 (JXB-земля) IEK</v>
      </c>
      <c r="C137" s="5" t="s">
        <v>133</v>
      </c>
      <c r="D137" s="4" t="str">
        <f t="shared" si="77"/>
        <v>5130300225</v>
      </c>
      <c r="E137" s="4" t="str">
        <f t="shared" si="78"/>
        <v>Зажим наборный ЗНИ - 4PEN 4мм2 (JXB-земля) IEK</v>
      </c>
      <c r="F137" s="4">
        <f t="shared" si="79"/>
        <v>283</v>
      </c>
      <c r="G137" s="4">
        <f t="shared" si="80"/>
        <v>283</v>
      </c>
      <c r="H137" s="4">
        <f>IF(OR($G137="",$I137="",$M137="KONTROL",$M137="KAPSAM_DISI"),"",$G137*$I137)</f>
        <v>1415</v>
      </c>
      <c r="I137" s="4">
        <f>IF(SUMIFS(DEVRE!$AB:$AB,DEVRE!$A:$A,$Q137,DEVRE!$AD:$AD,$X137)=0,"",ROUNDUP(SUMIFS(DEVRE!$AB:$AB,DEVRE!$A:$A,$Q137,DEVRE!$AD:$AD,$X137)*KLEMENS_YEDEK,0))</f>
        <v>5</v>
      </c>
      <c r="J137" s="4" t="str">
        <f t="shared" si="81"/>
        <v>шт</v>
      </c>
      <c r="K137" s="4" t="str">
        <f t="shared" si="82"/>
        <v>EKT</v>
      </c>
      <c r="L137" s="4">
        <f t="shared" si="83"/>
        <v>1415</v>
      </c>
      <c r="M137" s="4" t="str">
        <f t="shared" si="84"/>
        <v>VARSAYIM</v>
      </c>
      <c r="N137" s="4" t="s">
        <v>176</v>
      </c>
      <c r="O137" s="4" t="str">
        <f t="shared" si="85"/>
        <v>EKT2506</v>
      </c>
      <c r="P137" s="5" t="s">
        <v>139</v>
      </c>
      <c r="Q137" s="4" t="str">
        <f t="shared" si="86"/>
        <v>P07</v>
      </c>
      <c r="R137" s="5" t="s">
        <v>136</v>
      </c>
      <c r="S137" s="5" t="s">
        <v>54</v>
      </c>
      <c r="T137" s="4">
        <f>IF(OR($R137="",$I137=""),"",$I137*INDEX(NORM_DK,MATCH($R137,NORM_AD,0)))</f>
        <v>20</v>
      </c>
      <c r="U137" s="4">
        <f>IF(OR($P137="",$I137=""),"",IF(IF(INDEX(FIYAT_ALAN,MATCH($P137,FIYAT_KOD,0))="","",INDEX(FIYAT_ALAN,MATCH($P137,FIYAT_KOD,0)))&lt;&gt;"",$I137*IF(INDEX(FIYAT_ALAN,MATCH($P137,FIYAT_KOD,0))="","",INDEX(FIYAT_ALAN,MATCH($P137,FIYAT_KOD,0))),IF(IF(INDEX(FIYAT_MODUL,MATCH($P137,FIYAT_KOD,0))="","",INDEX(FIYAT_MODUL,MATCH($P137,FIYAT_KOD,0)))&lt;&gt;"",$I137*IF(INDEX(FIYAT_MODUL,MATCH($P137,FIYAT_KOD,0))="","",INDEX(FIYAT_MODUL,MATCH($P137,FIYAT_KOD,0))),IF(IF(INDEX(FIYAT_GENISLIK,MATCH($P137,FIYAT_KOD,0))="","",INDEX(FIYAT_GENISLIK,MATCH($P137,FIYAT_KOD,0)))&lt;&gt;"",$I137*IF(INDEX(FIYAT_GENISLIK,MATCH($P137,FIYAT_KOD,0))="","",INDEX(FIYAT_GENISLIK,MATCH($P137,FIYAT_KOD,0)))/MODUL_GENISLIK_MM,""))))</f>
        <v>1.7714285714285714</v>
      </c>
      <c r="V137" s="4" t="str">
        <f>IF(OR($C137&lt;&gt;"шина",$I137=""),"",$I137*INDEX(FIYAT_KGM,MATCH($P137,FIYAT_KOD,0)))</f>
        <v/>
      </c>
      <c r="W137" s="4">
        <f t="shared" si="87"/>
        <v>1415</v>
      </c>
      <c r="X137" s="5">
        <v>2.5</v>
      </c>
      <c r="Y137" s="5" t="s">
        <v>137</v>
      </c>
      <c r="Z137" s="4">
        <f>IF($P137="","",MAX(_xlfn.MAXIFS(DEVRE!$AM:$AM,DEVRE!$A:$A,$Q137,DEVRE!$C:$C,$P137),_xlfn.MAXIFS(DEVRE!$AM:$AM,DEVRE!$A:$A,$Q137,DEVRE!$H:$H,$P137)))</f>
        <v>0</v>
      </c>
      <c r="AA137" s="4">
        <f>IF(OR($I137="",$Q137="",$P137=""),"",$I137*INDEX(PANO_ADET,MATCH($Q137,PANO_ID,0)))</f>
        <v>5</v>
      </c>
      <c r="AB137" s="4">
        <f>IF($P137="",0,IF(AND($U137="",COUNTIF(ALAN_TIP_LIST,$C137)&gt;0),1,0))</f>
        <v>0</v>
      </c>
      <c r="AC137" s="4">
        <f>IF(OR($P137="",$C137&lt;&gt;"kontaktör"),0,IF(IF(INDEX(FIYAT_BOBIN,MATCH($P137,FIYAT_KOD,0))="","",INDEX(FIYAT_BOBIN,MATCH($P137,FIYAT_KOD,0)))="",1,0))</f>
        <v>0</v>
      </c>
    </row>
    <row r="138" spans="1:29" x14ac:dyDescent="0.35">
      <c r="A138" s="4">
        <f t="shared" si="88"/>
        <v>137</v>
      </c>
      <c r="B138" s="4" t="str">
        <f t="shared" si="76"/>
        <v>Монтажный материал</v>
      </c>
      <c r="C138" s="5" t="s">
        <v>98</v>
      </c>
      <c r="D138" s="4" t="str">
        <f t="shared" si="77"/>
        <v>MONTAJ-MALZ</v>
      </c>
      <c r="E138" s="4" t="str">
        <f t="shared" si="78"/>
        <v>Монтажный материал</v>
      </c>
      <c r="F138" s="4">
        <f t="shared" si="79"/>
        <v>1</v>
      </c>
      <c r="G138" s="4">
        <f t="shared" si="80"/>
        <v>1</v>
      </c>
      <c r="H138" s="4" t="str">
        <f>IF(OR($G138="",$I138="",$M138="KONTROL",$M138="KAPSAM_DISI"),"",$G138*$I138)</f>
        <v/>
      </c>
      <c r="I138" s="4" t="str">
        <f>IF(MONTAJ_MALZ_ORANI="","",ROUND(SUMIFS($W:$W,$Q:$Q,$Q138)*MONTAJ_MALZ_ORANI,0))</f>
        <v/>
      </c>
      <c r="J138" s="4" t="str">
        <f t="shared" si="81"/>
        <v>тг</v>
      </c>
      <c r="K138" s="4" t="str">
        <f t="shared" si="82"/>
        <v>HESAP</v>
      </c>
      <c r="L138" s="4" t="str">
        <f t="shared" si="83"/>
        <v/>
      </c>
      <c r="M138" s="4" t="str">
        <f t="shared" si="84"/>
        <v>OK</v>
      </c>
      <c r="N138" s="4" t="s">
        <v>99</v>
      </c>
      <c r="O138" s="4" t="str">
        <f t="shared" si="85"/>
        <v>HESAP</v>
      </c>
      <c r="P138" s="5" t="s">
        <v>100</v>
      </c>
      <c r="Q138" s="4" t="str">
        <f t="shared" si="86"/>
        <v>P07</v>
      </c>
      <c r="V138" s="4" t="str">
        <f>IF(OR($C138&lt;&gt;"шина",$I138=""),"",$I138*INDEX(FIYAT_KGM,MATCH($P138,FIYAT_KOD,0)))</f>
        <v/>
      </c>
      <c r="Y138" s="5" t="s">
        <v>101</v>
      </c>
      <c r="Z138" s="4">
        <f>IF($P138="","",MAX(_xlfn.MAXIFS(DEVRE!$AM:$AM,DEVRE!$A:$A,$Q138,DEVRE!$C:$C,$P138),_xlfn.MAXIFS(DEVRE!$AM:$AM,DEVRE!$A:$A,$Q138,DEVRE!$H:$H,$P138)))</f>
        <v>0</v>
      </c>
      <c r="AA138" s="4" t="str">
        <f>IF(OR($I138="",$Q138="",$P138=""),"",$I138*INDEX(PANO_ADET,MATCH($Q138,PANO_ID,0)))</f>
        <v/>
      </c>
      <c r="AB138" s="4">
        <f>IF($P138="",0,IF(AND($U138="",COUNTIF(ALAN_TIP_LIST,$C138)&gt;0),1,0))</f>
        <v>0</v>
      </c>
      <c r="AC138" s="4">
        <f>IF(OR($P138="",$C138&lt;&gt;"kontaktör"),0,IF(IF(INDEX(FIYAT_BOBIN,MATCH($P138,FIYAT_KOD,0))="","",INDEX(FIYAT_BOBIN,MATCH($P138,FIYAT_KOD,0)))="",1,0))</f>
        <v>0</v>
      </c>
    </row>
    <row r="139" spans="1:29" x14ac:dyDescent="0.35">
      <c r="A139" s="4">
        <f t="shared" si="88"/>
        <v>138</v>
      </c>
      <c r="B139" s="4" t="str">
        <f t="shared" si="76"/>
        <v>Монтажная работа</v>
      </c>
      <c r="C139" s="5" t="s">
        <v>102</v>
      </c>
      <c r="D139" s="4" t="str">
        <f t="shared" si="77"/>
        <v>ISCILIK-MONTAJ</v>
      </c>
      <c r="E139" s="4" t="str">
        <f t="shared" si="78"/>
        <v>Монтажная работа</v>
      </c>
      <c r="F139" s="4">
        <f>IF($I139="","",ROUND($I139/DK_SAAT,2))</f>
        <v>2.8</v>
      </c>
      <c r="G139" s="4">
        <f t="shared" si="80"/>
        <v>100</v>
      </c>
      <c r="H139" s="4">
        <f>IF(OR($G139="",$I139="",$M139="KONTROL",$M139="KAPSAM_DISI"),"",$G139*$I139)</f>
        <v>16800</v>
      </c>
      <c r="I139" s="4">
        <f>ROUND((SUMIFS($T:$T,$Q:$Q,$Q139)+INDEX(NORM_DK,MATCH("PABUC_YUKSUK",NORM_AD,0))*(SUMIFS(DEVRE!$AI:$AI,DEVRE!$A:$A,$Q139)+SUMIFS(DEVRE!$AJ:$AJ,DEVRE!$A:$A,$Q139)))*ISCILIK_CARPANI+INDEX(NORM_DK,MATCH("SABIT_AMBALAJ",NORM_AD,0)),0)</f>
        <v>168</v>
      </c>
      <c r="J139" s="4" t="str">
        <f t="shared" si="81"/>
        <v>мин</v>
      </c>
      <c r="K139" s="4" t="str">
        <f t="shared" si="82"/>
        <v>HESAP</v>
      </c>
      <c r="L139" s="4">
        <f t="shared" si="83"/>
        <v>16800</v>
      </c>
      <c r="M139" s="4" t="str">
        <f t="shared" si="84"/>
        <v>OK</v>
      </c>
      <c r="N139" s="4" t="s">
        <v>103</v>
      </c>
      <c r="O139" s="4" t="str">
        <f t="shared" si="85"/>
        <v>HESAP</v>
      </c>
      <c r="P139" s="5" t="s">
        <v>104</v>
      </c>
      <c r="Q139" s="4" t="str">
        <f t="shared" si="86"/>
        <v>P07</v>
      </c>
      <c r="V139" s="4" t="str">
        <f>IF(OR($C139&lt;&gt;"шина",$I139=""),"",$I139*INDEX(FIYAT_KGM,MATCH($P139,FIYAT_KOD,0)))</f>
        <v/>
      </c>
      <c r="Y139" s="5" t="s">
        <v>101</v>
      </c>
      <c r="Z139" s="4">
        <f>IF($P139="","",MAX(_xlfn.MAXIFS(DEVRE!$AM:$AM,DEVRE!$A:$A,$Q139,DEVRE!$C:$C,$P139),_xlfn.MAXIFS(DEVRE!$AM:$AM,DEVRE!$A:$A,$Q139,DEVRE!$H:$H,$P139)))</f>
        <v>0</v>
      </c>
      <c r="AA139" s="4">
        <f>IF(OR($I139="",$Q139="",$P139=""),"",$I139*INDEX(PANO_ADET,MATCH($Q139,PANO_ID,0)))</f>
        <v>168</v>
      </c>
      <c r="AB139" s="4">
        <f>IF($P139="",0,IF(AND($U139="",COUNTIF(ALAN_TIP_LIST,$C139)&gt;0),1,0))</f>
        <v>0</v>
      </c>
      <c r="AC139" s="4">
        <f>IF(OR($P139="",$C139&lt;&gt;"kontaktör"),0,IF(IF(INDEX(FIYAT_BOBIN,MATCH($P139,FIYAT_KOD,0))="","",INDEX(FIYAT_BOBIN,MATCH($P139,FIYAT_KOD,0)))="",1,0))</f>
        <v>0</v>
      </c>
    </row>
    <row r="140" spans="1:29" x14ac:dyDescent="0.35">
      <c r="A140" s="7">
        <f t="shared" si="88"/>
        <v>139</v>
      </c>
      <c r="B140" s="7" t="str">
        <f>"Toplam "&amp;$E125</f>
        <v>Toplam Щит аварийного освещения ЩАО-1</v>
      </c>
      <c r="H140" s="7">
        <f>SUBTOTAL(9,H126:H139)</f>
        <v>25858.2</v>
      </c>
      <c r="L140" s="7">
        <f>SUBTOTAL(9,L126:L139)</f>
        <v>25858.2</v>
      </c>
    </row>
  </sheetData>
  <autoFilter ref="A1:AC140" xr:uid="{00000000-0009-0000-0000-000000000000}"/>
  <conditionalFormatting sqref="M2:M140">
    <cfRule type="expression" dxfId="17" priority="2">
      <formula>$M2="KONTROL"</formula>
    </cfRule>
    <cfRule type="expression" dxfId="16" priority="3">
      <formula>$M2="FIYAT_YOK"</formula>
    </cfRule>
    <cfRule type="expression" dxfId="15" priority="4">
      <formula>$M2="CIHAZ_BELIRSIZ"</formula>
    </cfRule>
    <cfRule type="expression" dxfId="14" priority="5">
      <formula>$M2="OKUNAMADI"</formula>
    </cfRule>
    <cfRule type="expression" dxfId="13" priority="6">
      <formula>$M2="MUADIL_ONAY"</formula>
    </cfRule>
    <cfRule type="expression" dxfId="12" priority="7">
      <formula>$M2="MUADIL"</formula>
    </cfRule>
    <cfRule type="expression" dxfId="11" priority="8">
      <formula>$M2="VARSAYIM"</formula>
    </cfRule>
    <cfRule type="expression" dxfId="10" priority="9">
      <formula>$M2="FIYAT_ESKI"</formula>
    </cfRule>
    <cfRule type="expression" dxfId="9" priority="10">
      <formula>$M2="KAPSAM_DISI"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7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X5" sqref="X5"/>
    </sheetView>
  </sheetViews>
  <sheetFormatPr defaultColWidth="8.6328125" defaultRowHeight="14.5" x14ac:dyDescent="0.35"/>
  <cols>
    <col min="3" max="3" width="17.36328125" customWidth="1"/>
  </cols>
  <sheetData>
    <row r="1" spans="1:47" x14ac:dyDescent="0.35">
      <c r="A1" s="7" t="s">
        <v>190</v>
      </c>
    </row>
    <row r="2" spans="1:47" x14ac:dyDescent="0.35">
      <c r="A2" s="4" t="s">
        <v>191</v>
      </c>
    </row>
    <row r="3" spans="1:47" x14ac:dyDescent="0.35">
      <c r="A3" s="4" t="s">
        <v>192</v>
      </c>
    </row>
    <row r="4" spans="1:47" s="17" customFormat="1" ht="58" customHeight="1" x14ac:dyDescent="0.35">
      <c r="A4" s="16" t="s">
        <v>193</v>
      </c>
      <c r="B4" s="16" t="s">
        <v>16</v>
      </c>
      <c r="C4" s="16" t="s">
        <v>194</v>
      </c>
      <c r="D4" s="16" t="s">
        <v>195</v>
      </c>
      <c r="E4" s="16" t="s">
        <v>196</v>
      </c>
      <c r="F4" s="16" t="s">
        <v>197</v>
      </c>
      <c r="G4" s="16" t="s">
        <v>198</v>
      </c>
      <c r="H4" s="16" t="s">
        <v>199</v>
      </c>
      <c r="I4" s="16" t="s">
        <v>200</v>
      </c>
      <c r="J4" s="16" t="s">
        <v>201</v>
      </c>
      <c r="K4" s="16" t="s">
        <v>202</v>
      </c>
      <c r="L4" s="16" t="s">
        <v>203</v>
      </c>
      <c r="M4" s="16" t="s">
        <v>204</v>
      </c>
      <c r="N4" s="16" t="s">
        <v>205</v>
      </c>
      <c r="O4" s="16" t="s">
        <v>206</v>
      </c>
      <c r="P4" s="16" t="s">
        <v>207</v>
      </c>
      <c r="Q4" s="16" t="s">
        <v>208</v>
      </c>
      <c r="R4" s="16" t="s">
        <v>209</v>
      </c>
      <c r="S4" s="16" t="s">
        <v>210</v>
      </c>
      <c r="T4" s="16" t="s">
        <v>211</v>
      </c>
      <c r="U4" s="16" t="s">
        <v>212</v>
      </c>
      <c r="V4" s="16" t="s">
        <v>213</v>
      </c>
      <c r="W4" s="16" t="s">
        <v>214</v>
      </c>
      <c r="X4" s="16" t="s">
        <v>215</v>
      </c>
      <c r="Y4" s="16" t="s">
        <v>216</v>
      </c>
      <c r="Z4" s="16" t="s">
        <v>217</v>
      </c>
      <c r="AA4" s="16" t="s">
        <v>218</v>
      </c>
      <c r="AB4" s="16" t="s">
        <v>219</v>
      </c>
      <c r="AC4" s="16" t="s">
        <v>220</v>
      </c>
      <c r="AD4" s="16" t="s">
        <v>221</v>
      </c>
      <c r="AE4" s="16" t="s">
        <v>222</v>
      </c>
      <c r="AF4" s="16" t="s">
        <v>223</v>
      </c>
      <c r="AG4" s="16" t="s">
        <v>224</v>
      </c>
      <c r="AH4" s="16" t="s">
        <v>225</v>
      </c>
      <c r="AI4" s="16" t="s">
        <v>226</v>
      </c>
      <c r="AJ4" s="16" t="s">
        <v>227</v>
      </c>
      <c r="AK4" s="16" t="s">
        <v>228</v>
      </c>
      <c r="AL4" s="16" t="s">
        <v>229</v>
      </c>
      <c r="AM4" s="16" t="s">
        <v>230</v>
      </c>
      <c r="AN4" s="16" t="s">
        <v>231</v>
      </c>
      <c r="AO4" s="16" t="s">
        <v>232</v>
      </c>
      <c r="AP4" s="16" t="s">
        <v>233</v>
      </c>
      <c r="AQ4" s="16" t="s">
        <v>234</v>
      </c>
      <c r="AR4" s="16" t="s">
        <v>235</v>
      </c>
      <c r="AS4" s="16" t="s">
        <v>236</v>
      </c>
      <c r="AT4" s="16" t="s">
        <v>237</v>
      </c>
      <c r="AU4" s="16" t="s">
        <v>238</v>
      </c>
    </row>
    <row r="5" spans="1:47" x14ac:dyDescent="0.35">
      <c r="A5" s="4">
        <f t="shared" ref="A5:A11" si="0">ROW()-4</f>
        <v>1</v>
      </c>
      <c r="B5" s="4" t="str">
        <f>PANO!A5</f>
        <v>P01</v>
      </c>
      <c r="C5" s="4" t="str">
        <f t="shared" ref="C5:C11" si="1">INDEX(PANO_TAMAD,MATCH($B5,PANO_ID,0))</f>
        <v>Вводно-распределительное устройство ВРУ-1 (с АВР)</v>
      </c>
      <c r="D5" s="4">
        <f t="shared" ref="D5:D11" si="2">INDEX(PANO_ADET,MATCH($B5,PANO_ID,0))</f>
        <v>1</v>
      </c>
      <c r="E5" s="4">
        <f>SUMIFS(BOM!$H:$H,BOM!$Q:$Q,$B5,BOM!$C:$C,"&lt;&gt;монтажная работа")</f>
        <v>129883.9</v>
      </c>
      <c r="F5" s="4">
        <f t="shared" ref="F5:F11" si="3">AC5*IF($D5&gt;1,$D5^LOG(OGRENME_ORANI,2),1)</f>
        <v>35400</v>
      </c>
      <c r="G5" s="4">
        <f t="shared" ref="G5:G11" si="4">AMBALAJ_KZT_PANO</f>
        <v>0</v>
      </c>
      <c r="H5" s="4">
        <f t="shared" ref="H5:H11" si="5">E5+F5+G5</f>
        <v>165283.9</v>
      </c>
      <c r="I5" s="4">
        <f t="shared" ref="I5:I11" si="6">H5*GENEL_GIDER_ORANI</f>
        <v>0</v>
      </c>
      <c r="J5" s="4">
        <f t="shared" ref="J5:J11" si="7">IF(SUMPRODUCT($H$5:$H$11,$D$5:$D$11)=0,0,(NAKLIYE_KZT+TEST_SERTIFIKA_KZT+DOKUMAN_KZT)*H5/SUMPRODUCT($H$5:$H$11,$D$5:$D$11))</f>
        <v>0</v>
      </c>
      <c r="K5" s="4">
        <f t="shared" ref="K5:K11" si="8">(H5+I5+J5)*(FINANSMAN_ORANI+GARANTI_ORANI)</f>
        <v>0</v>
      </c>
      <c r="L5" s="4">
        <f t="shared" ref="L5:L11" si="9">H5+I5+J5+K5</f>
        <v>165283.9</v>
      </c>
      <c r="M5" s="4">
        <f t="shared" ref="M5:M11" si="10">L5*D5</f>
        <v>165283.9</v>
      </c>
      <c r="N5" s="4">
        <f>SUMIFS(BOM!$U:$U,BOM!$Q:$Q,$B5)</f>
        <v>8</v>
      </c>
      <c r="O5" s="4" t="str">
        <f t="shared" ref="O5:O11" si="11">INDEX(PANO_KAPASITE,MATCH($B5,PANO_ID,0))</f>
        <v/>
      </c>
      <c r="P5" s="8" t="str">
        <f t="shared" ref="P5:P11" si="12">IF(OR(O5="",O5=0),"",N5/O5)</f>
        <v/>
      </c>
      <c r="Q5" s="4">
        <f>SUMIFS(BOM!$I:$I,BOM!$Q:$Q,$B5,BOM!$C:$C,"шина")</f>
        <v>0</v>
      </c>
      <c r="R5" s="4">
        <f>SUMIFS(BOM!$V:$V,BOM!$Q:$Q,$B5)</f>
        <v>0</v>
      </c>
      <c r="S5" s="4">
        <f>SUMIFS(BOM!$H:$H,BOM!$Q:$Q,$B5,BOM!$C:$C,"шина")</f>
        <v>0</v>
      </c>
      <c r="T5" s="4">
        <f>COUNTIFS(BOM!$Q:$Q,$B5,BOM!$M:$M,"FIYAT_YOK")</f>
        <v>2</v>
      </c>
      <c r="U5" s="4">
        <f>COUNTIFS(BOM!$Q:$Q,$B5,BOM!$M:$M,"KONTROL")+COUNTIFS(BOM!$Q:$Q,$B5,BOM!$M:$M,"CIHAZ_BELIRSIZ")</f>
        <v>1</v>
      </c>
      <c r="V5" s="4">
        <f>COUNTIFS(BOM!$Q:$Q,$B5,BOM!$M:$M,"MUADIL")+COUNTIFS(BOM!$Q:$Q,$B5,BOM!$M:$M,"MUADIL_ONAY")</f>
        <v>0</v>
      </c>
      <c r="W5" s="4">
        <f>COUNTIFS(BOM!$Q:$Q,$B5,BOM!$M:$M,"VARSAYIM")+COUNTIFS(BOM!$Q:$Q,$B5,BOM!$M:$M,"OKUNAMADI")+COUNTIFS(BOM!$Q:$Q,$B5,BOM!$M:$M,"FIYAT_ESKI")</f>
        <v>7</v>
      </c>
      <c r="X5" s="4">
        <f>SUMPRODUCT(SUMIFS(BOM!$H:$H,BOM!$Q:$Q,$B5,BOM!$M:$M,SARTLI_LIST))</f>
        <v>64551.7</v>
      </c>
      <c r="Y5" s="4">
        <f t="shared" ref="Y5:Y11" si="13">AD5+AE5+AF5+AG5+AH5+AI5+AJ5+AK5+AL5+AM5+AN5+AO5+AP5+AQ5+AR5</f>
        <v>1</v>
      </c>
      <c r="Z5" s="4" t="str">
        <f t="shared" ref="Z5:Z11" si="14">IF(AD5=1,"IN_ANA YOK; ","")&amp;IF(AE5=1,"KORPUS ÖLÇÜ YOK; ","")&amp;IF(AF5=1,"BARA SEÇİLEMEDİ; ","")&amp;IF(AG5=1,"BARA SATIRI YOK; ","")&amp;IF(AH5=1,"KABLO KESİT SATIRI YOK; ","")&amp;IF(AI5=1,"KLEMENS KESİT SATIRI YOK; ","")&amp;IF(AJ5=1,"DEVRE KOD BOM'DA YOK; ","")&amp;IF(AK5=1,"KUMANDA MCB AZ; ","")&amp;IF(AL5=1,"DOLULUK AŞIMI; ","")&amp;IF(AM5=1,"İŞÇİLİK/MONTAJ SATIRI YOK; ","")&amp;IF(AN5=1,"KA YETERSİZ; ","")&amp;IF(AO5=1,"KABLO TABLO DIŞI; ","")&amp;IF(AP5=1,"ALAN VERİSİ YOK; ","")&amp;IF(AQ5=1,"BOBİN V YOK; ","")&amp;IF(AR5=1,"EK ADET YOK; ","")</f>
        <v xml:space="preserve">ALAN VERİSİ YOK; </v>
      </c>
      <c r="AA5" s="4">
        <f t="shared" ref="AA5:AA11" si="15">AS5+AT5+AU5</f>
        <v>2</v>
      </c>
      <c r="AB5" s="4" t="str">
        <f t="shared" ref="AB5:AB11" si="16">IF(AS5=1,"SELEKTİVİTE; ","")&amp;IF(AT5=1,"ICU YOK; ","")&amp;IF(AU5=1,"DOLULUK UYARI; ","")</f>
        <v xml:space="preserve">SELEKTİVİTE; ICU YOK; </v>
      </c>
      <c r="AC5" s="4">
        <f>SUMIFS(BOM!$H:$H,BOM!$Q:$Q,$B5,BOM!$C:$C,"монтажная работа")</f>
        <v>35400</v>
      </c>
      <c r="AD5" s="4">
        <f>IF(PANO!N5=0,1,0)</f>
        <v>0</v>
      </c>
      <c r="AE5" s="4">
        <f>IF(OR(PANO!O5="",PANO!P5=""),1,0)</f>
        <v>0</v>
      </c>
      <c r="AF5" s="4">
        <f>IF(AND(PANO!X5="EVET",PANO!Z5=""),1,0)</f>
        <v>0</v>
      </c>
      <c r="AG5" s="4">
        <f>IF(AND(PANO!X5="EVET",COUNTIFS(BOM!$Q:$Q,$B5,BOM!$C:$C,"шина")=0),1,0)</f>
        <v>0</v>
      </c>
      <c r="AH5" s="4">
        <f>IF(SUMPRODUCT((COUNTIFS(DEVRE!$A:$A,$B5,DEVRE!$V:$V,KABLO_KESIT_LIST)&gt;0)*(COUNTIFS(BOM!$Q:$Q,$B5,BOM!$C:$C,"кабель",BOM!$X:$X,KABLO_KESIT_LIST)=0))&gt;0,1,IF(AND(PANO!AV5&gt;0,COUNTIFS(BOM!$Q:$Q,$B5,BOM!$C:$C,"кабель",BOM!$X:$X,GRUP_BESLEME_KESIT)=0),1,0))</f>
        <v>0</v>
      </c>
      <c r="AI5" s="4">
        <f>IF(SUMPRODUCT((COUNTIFS(DEVRE!$A:$A,$B5,DEVRE!$AD:$AD,KLEMENS_KESIT_LIST)&gt;0)*(COUNTIFS(BOM!$Q:$Q,$B5,BOM!$C:$C,"Klemens",BOM!$X:$X,KLEMENS_KESIT_LIST)=0))&gt;0,1,0)</f>
        <v>0</v>
      </c>
      <c r="AJ5" s="4">
        <f>IF(SUMPRODUCT((DEVRE_A=$B5)*(DEVRE_C&lt;&gt;"")*(COUNTIFS(BOM!$Q:$Q,DEVRE_A,BOM!$P:$P,DEVRE_C)=0))+SUMPRODUCT((DEVRE_A=$B5)*(DEVRE_H&lt;&gt;"")*(COUNTIFS(BOM!$Q:$Q,DEVRE_A,BOM!$P:$P,DEVRE_H)=0))&gt;0,1,0)</f>
        <v>0</v>
      </c>
      <c r="AK5" s="4">
        <f>IF(SUMPRODUCT(COUNTIFS(BOM!$Q:$Q,$B5,BOM!$R:$R,KUMANDA_KEYS))=0,0,IF(COUNTIFS(DEVRE!$A:$A,$B5,DEVRE!$D:$D,"KUMANDA")&lt;MAX(1,PANO!L5+(COUNTIFS(BOM!$Q:$Q,$B5,BOM!$R:$R,"AVR_KONTROL")&gt;0)+(COUNTIFS(DEVRE!$A:$A,$B5,DEVRE!$D:$D,"OLCU")&gt;0)+(COUNTIFS(BOM!$Q:$Q,$B5,BOM!$R:$R,"PRIZ_AYD")&gt;0)+(COUNTIFS(BOM!$Q:$Q,$B5,BOM!$R:$R,"TERMOSTAT_FAN")&gt;0)),1,0))</f>
        <v>0</v>
      </c>
      <c r="AL5" s="4">
        <f t="shared" ref="AL5:AL11" si="17">IF(P5="",0,IF(P5&gt;DOLULUK_MAX,1,0))</f>
        <v>0</v>
      </c>
      <c r="AM5" s="4">
        <f>IF(OR(COUNTIFS(BOM!$Q:$Q,$B5,BOM!$C:$C,"монтажная работа")=0,COUNTIFS(BOM!$Q:$Q,$B5,BOM!$C:$C,"монтажный материал")=0),1,0)</f>
        <v>0</v>
      </c>
      <c r="AN5" s="4">
        <f>IF(SUMIFS(DEVRE!$AN:$AN,DEVRE!$A:$A,$B5)&gt;0,1,0)</f>
        <v>0</v>
      </c>
      <c r="AO5" s="4">
        <f>IF(COUNTIFS(DEVRE!$A:$A,$B5,DEVRE!$D:$D,"CIKIS",DEVRE!$Q:$Q,"&gt;"&amp;KABLO_MAX_A)&gt;0,1,0)</f>
        <v>0</v>
      </c>
      <c r="AP5" s="4">
        <f>IF(SUMIFS(BOM!$AB:$AB,BOM!$Q:$Q,$B5)&gt;0,1,0)</f>
        <v>1</v>
      </c>
      <c r="AQ5" s="4">
        <f>IF(SUMIFS(BOM!$AC:$AC,BOM!$Q:$Q,$B5)&gt;0,1,0)</f>
        <v>0</v>
      </c>
      <c r="AR5" s="4">
        <f t="shared" ref="AR5:AR11" si="18">IF(SUMPRODUCT((DEVRE_A=$B5)*(DEVRE_H&lt;&gt;"")*(DEVRE_U=""))&gt;0,1,0)</f>
        <v>0</v>
      </c>
      <c r="AS5" s="4">
        <f>IF(PANO!AX5=1,1,0)</f>
        <v>1</v>
      </c>
      <c r="AT5" s="4">
        <f>IF(AND(PANO!J5="",COUNTIFS(DEVRE!$A:$A,$B5,DEVRE!$D:$D,"ANA")+COUNTIFS(DEVRE!$A:$A,$B5,DEVRE!$D:$D,"CIKIS")&gt;0),1,0)</f>
        <v>1</v>
      </c>
      <c r="AU5" s="4">
        <f t="shared" ref="AU5:AU11" si="19">IF(P5="",0,IF(AND(P5&gt;DOLULUK_UYARI,P5&lt;=DOLULUK_MAX),1,0))</f>
        <v>0</v>
      </c>
    </row>
    <row r="6" spans="1:47" x14ac:dyDescent="0.35">
      <c r="A6" s="4">
        <f t="shared" si="0"/>
        <v>2</v>
      </c>
      <c r="B6" s="4" t="str">
        <f>PANO!A6</f>
        <v>P02</v>
      </c>
      <c r="C6" s="4" t="str">
        <f t="shared" si="1"/>
        <v>Щит распределительный ЩР-1</v>
      </c>
      <c r="D6" s="4">
        <f t="shared" si="2"/>
        <v>1</v>
      </c>
      <c r="E6" s="4">
        <f>SUMIFS(BOM!$H:$H,BOM!$Q:$Q,$B6,BOM!$C:$C,"&lt;&gt;монтажная работа")</f>
        <v>62744.4</v>
      </c>
      <c r="F6" s="4">
        <f t="shared" si="3"/>
        <v>34800</v>
      </c>
      <c r="G6" s="4">
        <f t="shared" si="4"/>
        <v>0</v>
      </c>
      <c r="H6" s="4">
        <f t="shared" si="5"/>
        <v>97544.4</v>
      </c>
      <c r="I6" s="4">
        <f t="shared" si="6"/>
        <v>0</v>
      </c>
      <c r="J6" s="4">
        <f t="shared" si="7"/>
        <v>0</v>
      </c>
      <c r="K6" s="4">
        <f t="shared" si="8"/>
        <v>0</v>
      </c>
      <c r="L6" s="4">
        <f t="shared" si="9"/>
        <v>97544.4</v>
      </c>
      <c r="M6" s="4">
        <f t="shared" si="10"/>
        <v>97544.4</v>
      </c>
      <c r="N6" s="4">
        <f>SUMIFS(BOM!$U:$U,BOM!$Q:$Q,$B6)</f>
        <v>40.885714285714286</v>
      </c>
      <c r="O6" s="4" t="str">
        <f t="shared" si="11"/>
        <v/>
      </c>
      <c r="P6" s="8" t="str">
        <f t="shared" si="12"/>
        <v/>
      </c>
      <c r="Q6" s="4">
        <f>SUMIFS(BOM!$I:$I,BOM!$Q:$Q,$B6,BOM!$C:$C,"шина")</f>
        <v>0</v>
      </c>
      <c r="R6" s="4">
        <f>SUMIFS(BOM!$V:$V,BOM!$Q:$Q,$B6)</f>
        <v>0</v>
      </c>
      <c r="S6" s="4">
        <f>SUMIFS(BOM!$H:$H,BOM!$Q:$Q,$B6,BOM!$C:$C,"шина")</f>
        <v>0</v>
      </c>
      <c r="T6" s="4">
        <f>COUNTIFS(BOM!$Q:$Q,$B6,BOM!$M:$M,"FIYAT_YOK")</f>
        <v>0</v>
      </c>
      <c r="U6" s="4">
        <f>COUNTIFS(BOM!$Q:$Q,$B6,BOM!$M:$M,"KONTROL")+COUNTIFS(BOM!$Q:$Q,$B6,BOM!$M:$M,"CIHAZ_BELIRSIZ")</f>
        <v>1</v>
      </c>
      <c r="V6" s="4">
        <f>COUNTIFS(BOM!$Q:$Q,$B6,BOM!$M:$M,"MUADIL")+COUNTIFS(BOM!$Q:$Q,$B6,BOM!$M:$M,"MUADIL_ONAY")</f>
        <v>2</v>
      </c>
      <c r="W6" s="4">
        <f>COUNTIFS(BOM!$Q:$Q,$B6,BOM!$M:$M,"VARSAYIM")+COUNTIFS(BOM!$Q:$Q,$B6,BOM!$M:$M,"OKUNAMADI")+COUNTIFS(BOM!$Q:$Q,$B6,BOM!$M:$M,"FIYAT_ESKI")</f>
        <v>9</v>
      </c>
      <c r="X6" s="4">
        <f>SUMPRODUCT(SUMIFS(BOM!$H:$H,BOM!$Q:$Q,$B6,BOM!$M:$M,SARTLI_LIST))</f>
        <v>36370.200000000004</v>
      </c>
      <c r="Y6" s="4">
        <f t="shared" si="13"/>
        <v>0</v>
      </c>
      <c r="Z6" s="4" t="str">
        <f t="shared" si="14"/>
        <v/>
      </c>
      <c r="AA6" s="4">
        <f t="shared" si="15"/>
        <v>1</v>
      </c>
      <c r="AB6" s="4" t="str">
        <f t="shared" si="16"/>
        <v xml:space="preserve">ICU YOK; </v>
      </c>
      <c r="AC6" s="4">
        <f>SUMIFS(BOM!$H:$H,BOM!$Q:$Q,$B6,BOM!$C:$C,"монтажная работа")</f>
        <v>34800</v>
      </c>
      <c r="AD6" s="4">
        <f>IF(PANO!N6=0,1,0)</f>
        <v>0</v>
      </c>
      <c r="AE6" s="4">
        <f>IF(OR(PANO!O6="",PANO!P6=""),1,0)</f>
        <v>0</v>
      </c>
      <c r="AF6" s="4">
        <f>IF(AND(PANO!X6="EVET",PANO!Z6=""),1,0)</f>
        <v>0</v>
      </c>
      <c r="AG6" s="4">
        <f>IF(AND(PANO!X6="EVET",COUNTIFS(BOM!$Q:$Q,$B6,BOM!$C:$C,"шина")=0),1,0)</f>
        <v>0</v>
      </c>
      <c r="AH6" s="4">
        <f>IF(SUMPRODUCT((COUNTIFS(DEVRE!$A:$A,$B6,DEVRE!$V:$V,KABLO_KESIT_LIST)&gt;0)*(COUNTIFS(BOM!$Q:$Q,$B6,BOM!$C:$C,"кабель",BOM!$X:$X,KABLO_KESIT_LIST)=0))&gt;0,1,IF(AND(PANO!AV6&gt;0,COUNTIFS(BOM!$Q:$Q,$B6,BOM!$C:$C,"кабель",BOM!$X:$X,GRUP_BESLEME_KESIT)=0),1,0))</f>
        <v>0</v>
      </c>
      <c r="AI6" s="4">
        <f>IF(SUMPRODUCT((COUNTIFS(DEVRE!$A:$A,$B6,DEVRE!$AD:$AD,KLEMENS_KESIT_LIST)&gt;0)*(COUNTIFS(BOM!$Q:$Q,$B6,BOM!$C:$C,"Klemens",BOM!$X:$X,KLEMENS_KESIT_LIST)=0))&gt;0,1,0)</f>
        <v>0</v>
      </c>
      <c r="AJ6" s="4">
        <f>IF(SUMPRODUCT((DEVRE_A=$B6)*(DEVRE_C&lt;&gt;"")*(COUNTIFS(BOM!$Q:$Q,DEVRE_A,BOM!$P:$P,DEVRE_C)=0))+SUMPRODUCT((DEVRE_A=$B6)*(DEVRE_H&lt;&gt;"")*(COUNTIFS(BOM!$Q:$Q,DEVRE_A,BOM!$P:$P,DEVRE_H)=0))&gt;0,1,0)</f>
        <v>0</v>
      </c>
      <c r="AK6" s="4">
        <f>IF(SUMPRODUCT(COUNTIFS(BOM!$Q:$Q,$B6,BOM!$R:$R,KUMANDA_KEYS))=0,0,IF(COUNTIFS(DEVRE!$A:$A,$B6,DEVRE!$D:$D,"KUMANDA")&lt;MAX(1,PANO!L6+(COUNTIFS(BOM!$Q:$Q,$B6,BOM!$R:$R,"AVR_KONTROL")&gt;0)+(COUNTIFS(DEVRE!$A:$A,$B6,DEVRE!$D:$D,"OLCU")&gt;0)+(COUNTIFS(BOM!$Q:$Q,$B6,BOM!$R:$R,"PRIZ_AYD")&gt;0)+(COUNTIFS(BOM!$Q:$Q,$B6,BOM!$R:$R,"TERMOSTAT_FAN")&gt;0)),1,0))</f>
        <v>0</v>
      </c>
      <c r="AL6" s="4">
        <f t="shared" si="17"/>
        <v>0</v>
      </c>
      <c r="AM6" s="4">
        <f>IF(OR(COUNTIFS(BOM!$Q:$Q,$B6,BOM!$C:$C,"монтажная работа")=0,COUNTIFS(BOM!$Q:$Q,$B6,BOM!$C:$C,"монтажный материал")=0),1,0)</f>
        <v>0</v>
      </c>
      <c r="AN6" s="4">
        <f>IF(SUMIFS(DEVRE!$AN:$AN,DEVRE!$A:$A,$B6)&gt;0,1,0)</f>
        <v>0</v>
      </c>
      <c r="AO6" s="4">
        <f>IF(COUNTIFS(DEVRE!$A:$A,$B6,DEVRE!$D:$D,"CIKIS",DEVRE!$Q:$Q,"&gt;"&amp;KABLO_MAX_A)&gt;0,1,0)</f>
        <v>0</v>
      </c>
      <c r="AP6" s="4">
        <f>IF(SUMIFS(BOM!$AB:$AB,BOM!$Q:$Q,$B6)&gt;0,1,0)</f>
        <v>0</v>
      </c>
      <c r="AQ6" s="4">
        <f>IF(SUMIFS(BOM!$AC:$AC,BOM!$Q:$Q,$B6)&gt;0,1,0)</f>
        <v>0</v>
      </c>
      <c r="AR6" s="4">
        <f t="shared" si="18"/>
        <v>0</v>
      </c>
      <c r="AS6" s="4">
        <f>IF(PANO!AX6=1,1,0)</f>
        <v>0</v>
      </c>
      <c r="AT6" s="4">
        <f>IF(AND(PANO!J6="",COUNTIFS(DEVRE!$A:$A,$B6,DEVRE!$D:$D,"ANA")+COUNTIFS(DEVRE!$A:$A,$B6,DEVRE!$D:$D,"CIKIS")&gt;0),1,0)</f>
        <v>1</v>
      </c>
      <c r="AU6" s="4">
        <f t="shared" si="19"/>
        <v>0</v>
      </c>
    </row>
    <row r="7" spans="1:47" x14ac:dyDescent="0.35">
      <c r="A7" s="4">
        <f t="shared" si="0"/>
        <v>3</v>
      </c>
      <c r="B7" s="4" t="str">
        <f>PANO!A7</f>
        <v>P03</v>
      </c>
      <c r="C7" s="4" t="str">
        <f t="shared" si="1"/>
        <v>Щит силовой ЩС-1</v>
      </c>
      <c r="D7" s="4">
        <f t="shared" si="2"/>
        <v>1</v>
      </c>
      <c r="E7" s="4">
        <f>SUMIFS(BOM!$H:$H,BOM!$Q:$Q,$B7,BOM!$C:$C,"&lt;&gt;монтажная работа")</f>
        <v>85179.400000000009</v>
      </c>
      <c r="F7" s="4">
        <f t="shared" si="3"/>
        <v>32800</v>
      </c>
      <c r="G7" s="4">
        <f t="shared" si="4"/>
        <v>0</v>
      </c>
      <c r="H7" s="4">
        <f t="shared" si="5"/>
        <v>117979.40000000001</v>
      </c>
      <c r="I7" s="4">
        <f t="shared" si="6"/>
        <v>0</v>
      </c>
      <c r="J7" s="4">
        <f t="shared" si="7"/>
        <v>0</v>
      </c>
      <c r="K7" s="4">
        <f t="shared" si="8"/>
        <v>0</v>
      </c>
      <c r="L7" s="4">
        <f t="shared" si="9"/>
        <v>117979.40000000001</v>
      </c>
      <c r="M7" s="4">
        <f t="shared" si="10"/>
        <v>117979.40000000001</v>
      </c>
      <c r="N7" s="4">
        <f>SUMIFS(BOM!$U:$U,BOM!$Q:$Q,$B7)</f>
        <v>44.942857142857143</v>
      </c>
      <c r="O7" s="4" t="str">
        <f t="shared" si="11"/>
        <v/>
      </c>
      <c r="P7" s="8" t="str">
        <f t="shared" si="12"/>
        <v/>
      </c>
      <c r="Q7" s="4">
        <f>SUMIFS(BOM!$I:$I,BOM!$Q:$Q,$B7,BOM!$C:$C,"шина")</f>
        <v>0</v>
      </c>
      <c r="R7" s="4">
        <f>SUMIFS(BOM!$V:$V,BOM!$Q:$Q,$B7)</f>
        <v>0</v>
      </c>
      <c r="S7" s="4">
        <f>SUMIFS(BOM!$H:$H,BOM!$Q:$Q,$B7,BOM!$C:$C,"шина")</f>
        <v>0</v>
      </c>
      <c r="T7" s="4">
        <f>COUNTIFS(BOM!$Q:$Q,$B7,BOM!$M:$M,"FIYAT_YOK")</f>
        <v>0</v>
      </c>
      <c r="U7" s="4">
        <f>COUNTIFS(BOM!$Q:$Q,$B7,BOM!$M:$M,"KONTROL")+COUNTIFS(BOM!$Q:$Q,$B7,BOM!$M:$M,"CIHAZ_BELIRSIZ")</f>
        <v>1</v>
      </c>
      <c r="V7" s="4">
        <f>COUNTIFS(BOM!$Q:$Q,$B7,BOM!$M:$M,"MUADIL")+COUNTIFS(BOM!$Q:$Q,$B7,BOM!$M:$M,"MUADIL_ONAY")</f>
        <v>0</v>
      </c>
      <c r="W7" s="4">
        <f>COUNTIFS(BOM!$Q:$Q,$B7,BOM!$M:$M,"VARSAYIM")+COUNTIFS(BOM!$Q:$Q,$B7,BOM!$M:$M,"OKUNAMADI")+COUNTIFS(BOM!$Q:$Q,$B7,BOM!$M:$M,"FIYAT_ESKI")</f>
        <v>5</v>
      </c>
      <c r="X7" s="4">
        <f>SUMPRODUCT(SUMIFS(BOM!$H:$H,BOM!$Q:$Q,$B7,BOM!$M:$M,SARTLI_LIST))</f>
        <v>36364</v>
      </c>
      <c r="Y7" s="4">
        <f t="shared" si="13"/>
        <v>0</v>
      </c>
      <c r="Z7" s="4" t="str">
        <f t="shared" si="14"/>
        <v/>
      </c>
      <c r="AA7" s="4">
        <f t="shared" si="15"/>
        <v>1</v>
      </c>
      <c r="AB7" s="4" t="str">
        <f t="shared" si="16"/>
        <v xml:space="preserve">ICU YOK; </v>
      </c>
      <c r="AC7" s="4">
        <f>SUMIFS(BOM!$H:$H,BOM!$Q:$Q,$B7,BOM!$C:$C,"монтажная работа")</f>
        <v>32800</v>
      </c>
      <c r="AD7" s="4">
        <f>IF(PANO!N7=0,1,0)</f>
        <v>0</v>
      </c>
      <c r="AE7" s="4">
        <f>IF(OR(PANO!O7="",PANO!P7=""),1,0)</f>
        <v>0</v>
      </c>
      <c r="AF7" s="4">
        <f>IF(AND(PANO!X7="EVET",PANO!Z7=""),1,0)</f>
        <v>0</v>
      </c>
      <c r="AG7" s="4">
        <f>IF(AND(PANO!X7="EVET",COUNTIFS(BOM!$Q:$Q,$B7,BOM!$C:$C,"шина")=0),1,0)</f>
        <v>0</v>
      </c>
      <c r="AH7" s="4">
        <f>IF(SUMPRODUCT((COUNTIFS(DEVRE!$A:$A,$B7,DEVRE!$V:$V,KABLO_KESIT_LIST)&gt;0)*(COUNTIFS(BOM!$Q:$Q,$B7,BOM!$C:$C,"кабель",BOM!$X:$X,KABLO_KESIT_LIST)=0))&gt;0,1,IF(AND(PANO!AV7&gt;0,COUNTIFS(BOM!$Q:$Q,$B7,BOM!$C:$C,"кабель",BOM!$X:$X,GRUP_BESLEME_KESIT)=0),1,0))</f>
        <v>0</v>
      </c>
      <c r="AI7" s="4">
        <f>IF(SUMPRODUCT((COUNTIFS(DEVRE!$A:$A,$B7,DEVRE!$AD:$AD,KLEMENS_KESIT_LIST)&gt;0)*(COUNTIFS(BOM!$Q:$Q,$B7,BOM!$C:$C,"Klemens",BOM!$X:$X,KLEMENS_KESIT_LIST)=0))&gt;0,1,0)</f>
        <v>0</v>
      </c>
      <c r="AJ7" s="4">
        <f>IF(SUMPRODUCT((DEVRE_A=$B7)*(DEVRE_C&lt;&gt;"")*(COUNTIFS(BOM!$Q:$Q,DEVRE_A,BOM!$P:$P,DEVRE_C)=0))+SUMPRODUCT((DEVRE_A=$B7)*(DEVRE_H&lt;&gt;"")*(COUNTIFS(BOM!$Q:$Q,DEVRE_A,BOM!$P:$P,DEVRE_H)=0))&gt;0,1,0)</f>
        <v>0</v>
      </c>
      <c r="AK7" s="4">
        <f>IF(SUMPRODUCT(COUNTIFS(BOM!$Q:$Q,$B7,BOM!$R:$R,KUMANDA_KEYS))=0,0,IF(COUNTIFS(DEVRE!$A:$A,$B7,DEVRE!$D:$D,"KUMANDA")&lt;MAX(1,PANO!L7+(COUNTIFS(BOM!$Q:$Q,$B7,BOM!$R:$R,"AVR_KONTROL")&gt;0)+(COUNTIFS(DEVRE!$A:$A,$B7,DEVRE!$D:$D,"OLCU")&gt;0)+(COUNTIFS(BOM!$Q:$Q,$B7,BOM!$R:$R,"PRIZ_AYD")&gt;0)+(COUNTIFS(BOM!$Q:$Q,$B7,BOM!$R:$R,"TERMOSTAT_FAN")&gt;0)),1,0))</f>
        <v>0</v>
      </c>
      <c r="AL7" s="4">
        <f t="shared" si="17"/>
        <v>0</v>
      </c>
      <c r="AM7" s="4">
        <f>IF(OR(COUNTIFS(BOM!$Q:$Q,$B7,BOM!$C:$C,"монтажная работа")=0,COUNTIFS(BOM!$Q:$Q,$B7,BOM!$C:$C,"монтажный материал")=0),1,0)</f>
        <v>0</v>
      </c>
      <c r="AN7" s="4">
        <f>IF(SUMIFS(DEVRE!$AN:$AN,DEVRE!$A:$A,$B7)&gt;0,1,0)</f>
        <v>0</v>
      </c>
      <c r="AO7" s="4">
        <f>IF(COUNTIFS(DEVRE!$A:$A,$B7,DEVRE!$D:$D,"CIKIS",DEVRE!$Q:$Q,"&gt;"&amp;KABLO_MAX_A)&gt;0,1,0)</f>
        <v>0</v>
      </c>
      <c r="AP7" s="4">
        <f>IF(SUMIFS(BOM!$AB:$AB,BOM!$Q:$Q,$B7)&gt;0,1,0)</f>
        <v>0</v>
      </c>
      <c r="AQ7" s="4">
        <f>IF(SUMIFS(BOM!$AC:$AC,BOM!$Q:$Q,$B7)&gt;0,1,0)</f>
        <v>0</v>
      </c>
      <c r="AR7" s="4">
        <f t="shared" si="18"/>
        <v>0</v>
      </c>
      <c r="AS7" s="4">
        <f>IF(PANO!AX7=1,1,0)</f>
        <v>0</v>
      </c>
      <c r="AT7" s="4">
        <f>IF(AND(PANO!J7="",COUNTIFS(DEVRE!$A:$A,$B7,DEVRE!$D:$D,"ANA")+COUNTIFS(DEVRE!$A:$A,$B7,DEVRE!$D:$D,"CIKIS")&gt;0),1,0)</f>
        <v>1</v>
      </c>
      <c r="AU7" s="4">
        <f t="shared" si="19"/>
        <v>0</v>
      </c>
    </row>
    <row r="8" spans="1:47" x14ac:dyDescent="0.35">
      <c r="A8" s="4">
        <f t="shared" si="0"/>
        <v>4</v>
      </c>
      <c r="B8" s="4" t="str">
        <f>PANO!A8</f>
        <v>P04</v>
      </c>
      <c r="C8" s="4" t="str">
        <f t="shared" si="1"/>
        <v>Щит силовой ЩС-2</v>
      </c>
      <c r="D8" s="4">
        <f t="shared" si="2"/>
        <v>1</v>
      </c>
      <c r="E8" s="4">
        <f>SUMIFS(BOM!$H:$H,BOM!$Q:$Q,$B8,BOM!$C:$C,"&lt;&gt;монтажная работа")</f>
        <v>113973.90000000001</v>
      </c>
      <c r="F8" s="4">
        <f t="shared" si="3"/>
        <v>42400</v>
      </c>
      <c r="G8" s="4">
        <f t="shared" si="4"/>
        <v>0</v>
      </c>
      <c r="H8" s="4">
        <f t="shared" si="5"/>
        <v>156373.90000000002</v>
      </c>
      <c r="I8" s="4">
        <f t="shared" si="6"/>
        <v>0</v>
      </c>
      <c r="J8" s="4">
        <f t="shared" si="7"/>
        <v>0</v>
      </c>
      <c r="K8" s="4">
        <f t="shared" si="8"/>
        <v>0</v>
      </c>
      <c r="L8" s="4">
        <f t="shared" si="9"/>
        <v>156373.90000000002</v>
      </c>
      <c r="M8" s="4">
        <f t="shared" si="10"/>
        <v>156373.90000000002</v>
      </c>
      <c r="N8" s="4">
        <f>SUMIFS(BOM!$U:$U,BOM!$Q:$Q,$B8)</f>
        <v>64.674285714285716</v>
      </c>
      <c r="O8" s="4" t="str">
        <f t="shared" si="11"/>
        <v/>
      </c>
      <c r="P8" s="8" t="str">
        <f t="shared" si="12"/>
        <v/>
      </c>
      <c r="Q8" s="4">
        <f>SUMIFS(BOM!$I:$I,BOM!$Q:$Q,$B8,BOM!$C:$C,"шина")</f>
        <v>0</v>
      </c>
      <c r="R8" s="4">
        <f>SUMIFS(BOM!$V:$V,BOM!$Q:$Q,$B8)</f>
        <v>0</v>
      </c>
      <c r="S8" s="4">
        <f>SUMIFS(BOM!$H:$H,BOM!$Q:$Q,$B8,BOM!$C:$C,"шина")</f>
        <v>0</v>
      </c>
      <c r="T8" s="4">
        <f>COUNTIFS(BOM!$Q:$Q,$B8,BOM!$M:$M,"FIYAT_YOK")</f>
        <v>0</v>
      </c>
      <c r="U8" s="4">
        <f>COUNTIFS(BOM!$Q:$Q,$B8,BOM!$M:$M,"KONTROL")+COUNTIFS(BOM!$Q:$Q,$B8,BOM!$M:$M,"CIHAZ_BELIRSIZ")</f>
        <v>1</v>
      </c>
      <c r="V8" s="4">
        <f>COUNTIFS(BOM!$Q:$Q,$B8,BOM!$M:$M,"MUADIL")+COUNTIFS(BOM!$Q:$Q,$B8,BOM!$M:$M,"MUADIL_ONAY")</f>
        <v>0</v>
      </c>
      <c r="W8" s="4">
        <f>COUNTIFS(BOM!$Q:$Q,$B8,BOM!$M:$M,"VARSAYIM")+COUNTIFS(BOM!$Q:$Q,$B8,BOM!$M:$M,"OKUNAMADI")+COUNTIFS(BOM!$Q:$Q,$B8,BOM!$M:$M,"FIYAT_ESKI")</f>
        <v>7</v>
      </c>
      <c r="X8" s="4">
        <f>SUMPRODUCT(SUMIFS(BOM!$H:$H,BOM!$Q:$Q,$B8,BOM!$M:$M,SARTLI_LIST))</f>
        <v>47356.5</v>
      </c>
      <c r="Y8" s="4">
        <f t="shared" si="13"/>
        <v>0</v>
      </c>
      <c r="Z8" s="4" t="str">
        <f t="shared" si="14"/>
        <v/>
      </c>
      <c r="AA8" s="4">
        <f t="shared" si="15"/>
        <v>1</v>
      </c>
      <c r="AB8" s="4" t="str">
        <f t="shared" si="16"/>
        <v xml:space="preserve">ICU YOK; </v>
      </c>
      <c r="AC8" s="4">
        <f>SUMIFS(BOM!$H:$H,BOM!$Q:$Q,$B8,BOM!$C:$C,"монтажная работа")</f>
        <v>42400</v>
      </c>
      <c r="AD8" s="4">
        <f>IF(PANO!N8=0,1,0)</f>
        <v>0</v>
      </c>
      <c r="AE8" s="4">
        <f>IF(OR(PANO!O8="",PANO!P8=""),1,0)</f>
        <v>0</v>
      </c>
      <c r="AF8" s="4">
        <f>IF(AND(PANO!X8="EVET",PANO!Z8=""),1,0)</f>
        <v>0</v>
      </c>
      <c r="AG8" s="4">
        <f>IF(AND(PANO!X8="EVET",COUNTIFS(BOM!$Q:$Q,$B8,BOM!$C:$C,"шина")=0),1,0)</f>
        <v>0</v>
      </c>
      <c r="AH8" s="4">
        <f>IF(SUMPRODUCT((COUNTIFS(DEVRE!$A:$A,$B8,DEVRE!$V:$V,KABLO_KESIT_LIST)&gt;0)*(COUNTIFS(BOM!$Q:$Q,$B8,BOM!$C:$C,"кабель",BOM!$X:$X,KABLO_KESIT_LIST)=0))&gt;0,1,IF(AND(PANO!AV8&gt;0,COUNTIFS(BOM!$Q:$Q,$B8,BOM!$C:$C,"кабель",BOM!$X:$X,GRUP_BESLEME_KESIT)=0),1,0))</f>
        <v>0</v>
      </c>
      <c r="AI8" s="4">
        <f>IF(SUMPRODUCT((COUNTIFS(DEVRE!$A:$A,$B8,DEVRE!$AD:$AD,KLEMENS_KESIT_LIST)&gt;0)*(COUNTIFS(BOM!$Q:$Q,$B8,BOM!$C:$C,"Klemens",BOM!$X:$X,KLEMENS_KESIT_LIST)=0))&gt;0,1,0)</f>
        <v>0</v>
      </c>
      <c r="AJ8" s="4">
        <f>IF(SUMPRODUCT((DEVRE_A=$B8)*(DEVRE_C&lt;&gt;"")*(COUNTIFS(BOM!$Q:$Q,DEVRE_A,BOM!$P:$P,DEVRE_C)=0))+SUMPRODUCT((DEVRE_A=$B8)*(DEVRE_H&lt;&gt;"")*(COUNTIFS(BOM!$Q:$Q,DEVRE_A,BOM!$P:$P,DEVRE_H)=0))&gt;0,1,0)</f>
        <v>0</v>
      </c>
      <c r="AK8" s="4">
        <f>IF(SUMPRODUCT(COUNTIFS(BOM!$Q:$Q,$B8,BOM!$R:$R,KUMANDA_KEYS))=0,0,IF(COUNTIFS(DEVRE!$A:$A,$B8,DEVRE!$D:$D,"KUMANDA")&lt;MAX(1,PANO!L8+(COUNTIFS(BOM!$Q:$Q,$B8,BOM!$R:$R,"AVR_KONTROL")&gt;0)+(COUNTIFS(DEVRE!$A:$A,$B8,DEVRE!$D:$D,"OLCU")&gt;0)+(COUNTIFS(BOM!$Q:$Q,$B8,BOM!$R:$R,"PRIZ_AYD")&gt;0)+(COUNTIFS(BOM!$Q:$Q,$B8,BOM!$R:$R,"TERMOSTAT_FAN")&gt;0)),1,0))</f>
        <v>0</v>
      </c>
      <c r="AL8" s="4">
        <f t="shared" si="17"/>
        <v>0</v>
      </c>
      <c r="AM8" s="4">
        <f>IF(OR(COUNTIFS(BOM!$Q:$Q,$B8,BOM!$C:$C,"монтажная работа")=0,COUNTIFS(BOM!$Q:$Q,$B8,BOM!$C:$C,"монтажный материал")=0),1,0)</f>
        <v>0</v>
      </c>
      <c r="AN8" s="4">
        <f>IF(SUMIFS(DEVRE!$AN:$AN,DEVRE!$A:$A,$B8)&gt;0,1,0)</f>
        <v>0</v>
      </c>
      <c r="AO8" s="4">
        <f>IF(COUNTIFS(DEVRE!$A:$A,$B8,DEVRE!$D:$D,"CIKIS",DEVRE!$Q:$Q,"&gt;"&amp;KABLO_MAX_A)&gt;0,1,0)</f>
        <v>0</v>
      </c>
      <c r="AP8" s="4">
        <f>IF(SUMIFS(BOM!$AB:$AB,BOM!$Q:$Q,$B8)&gt;0,1,0)</f>
        <v>0</v>
      </c>
      <c r="AQ8" s="4">
        <f>IF(SUMIFS(BOM!$AC:$AC,BOM!$Q:$Q,$B8)&gt;0,1,0)</f>
        <v>0</v>
      </c>
      <c r="AR8" s="4">
        <f t="shared" si="18"/>
        <v>0</v>
      </c>
      <c r="AS8" s="4">
        <f>IF(PANO!AX8=1,1,0)</f>
        <v>0</v>
      </c>
      <c r="AT8" s="4">
        <f>IF(AND(PANO!J8="",COUNTIFS(DEVRE!$A:$A,$B8,DEVRE!$D:$D,"ANA")+COUNTIFS(DEVRE!$A:$A,$B8,DEVRE!$D:$D,"CIKIS")&gt;0),1,0)</f>
        <v>1</v>
      </c>
      <c r="AU8" s="4">
        <f t="shared" si="19"/>
        <v>0</v>
      </c>
    </row>
    <row r="9" spans="1:47" x14ac:dyDescent="0.35">
      <c r="A9" s="4">
        <f t="shared" si="0"/>
        <v>5</v>
      </c>
      <c r="B9" s="4" t="str">
        <f>PANO!A9</f>
        <v>P05</v>
      </c>
      <c r="C9" s="4" t="str">
        <f t="shared" si="1"/>
        <v>Щит вентиляции ЩВ-1</v>
      </c>
      <c r="D9" s="4">
        <f t="shared" si="2"/>
        <v>1</v>
      </c>
      <c r="E9" s="4">
        <f>SUMIFS(BOM!$H:$H,BOM!$Q:$Q,$B9,BOM!$C:$C,"&lt;&gt;монтажная работа")</f>
        <v>49272.3</v>
      </c>
      <c r="F9" s="4">
        <f t="shared" si="3"/>
        <v>34500</v>
      </c>
      <c r="G9" s="4">
        <f t="shared" si="4"/>
        <v>0</v>
      </c>
      <c r="H9" s="4">
        <f t="shared" si="5"/>
        <v>83772.3</v>
      </c>
      <c r="I9" s="4">
        <f t="shared" si="6"/>
        <v>0</v>
      </c>
      <c r="J9" s="4">
        <f t="shared" si="7"/>
        <v>0</v>
      </c>
      <c r="K9" s="4">
        <f t="shared" si="8"/>
        <v>0</v>
      </c>
      <c r="L9" s="4">
        <f t="shared" si="9"/>
        <v>83772.3</v>
      </c>
      <c r="M9" s="4">
        <f t="shared" si="10"/>
        <v>83772.3</v>
      </c>
      <c r="N9" s="4">
        <f>SUMIFS(BOM!$U:$U,BOM!$Q:$Q,$B9)</f>
        <v>33.108571428571423</v>
      </c>
      <c r="O9" s="4" t="str">
        <f t="shared" si="11"/>
        <v/>
      </c>
      <c r="P9" s="8" t="str">
        <f t="shared" si="12"/>
        <v/>
      </c>
      <c r="Q9" s="4">
        <f>SUMIFS(BOM!$I:$I,BOM!$Q:$Q,$B9,BOM!$C:$C,"шина")</f>
        <v>0</v>
      </c>
      <c r="R9" s="4">
        <f>SUMIFS(BOM!$V:$V,BOM!$Q:$Q,$B9)</f>
        <v>0</v>
      </c>
      <c r="S9" s="4">
        <f>SUMIFS(BOM!$H:$H,BOM!$Q:$Q,$B9,BOM!$C:$C,"шина")</f>
        <v>0</v>
      </c>
      <c r="T9" s="4">
        <f>COUNTIFS(BOM!$Q:$Q,$B9,BOM!$M:$M,"FIYAT_YOK")</f>
        <v>0</v>
      </c>
      <c r="U9" s="4">
        <f>COUNTIFS(BOM!$Q:$Q,$B9,BOM!$M:$M,"KONTROL")+COUNTIFS(BOM!$Q:$Q,$B9,BOM!$M:$M,"CIHAZ_BELIRSIZ")</f>
        <v>2</v>
      </c>
      <c r="V9" s="4">
        <f>COUNTIFS(BOM!$Q:$Q,$B9,BOM!$M:$M,"MUADIL")+COUNTIFS(BOM!$Q:$Q,$B9,BOM!$M:$M,"MUADIL_ONAY")</f>
        <v>2</v>
      </c>
      <c r="W9" s="4">
        <f>COUNTIFS(BOM!$Q:$Q,$B9,BOM!$M:$M,"VARSAYIM")+COUNTIFS(BOM!$Q:$Q,$B9,BOM!$M:$M,"OKUNAMADI")+COUNTIFS(BOM!$Q:$Q,$B9,BOM!$M:$M,"FIYAT_ESKI")</f>
        <v>11</v>
      </c>
      <c r="X9" s="4">
        <f>SUMPRODUCT(SUMIFS(BOM!$H:$H,BOM!$Q:$Q,$B9,BOM!$M:$M,SARTLI_LIST))</f>
        <v>32186.1</v>
      </c>
      <c r="Y9" s="4">
        <f t="shared" si="13"/>
        <v>0</v>
      </c>
      <c r="Z9" s="4" t="str">
        <f t="shared" si="14"/>
        <v/>
      </c>
      <c r="AA9" s="4">
        <f t="shared" si="15"/>
        <v>2</v>
      </c>
      <c r="AB9" s="4" t="str">
        <f t="shared" si="16"/>
        <v xml:space="preserve">SELEKTİVİTE; ICU YOK; </v>
      </c>
      <c r="AC9" s="4">
        <f>SUMIFS(BOM!$H:$H,BOM!$Q:$Q,$B9,BOM!$C:$C,"монтажная работа")</f>
        <v>34500</v>
      </c>
      <c r="AD9" s="4">
        <f>IF(PANO!N9=0,1,0)</f>
        <v>0</v>
      </c>
      <c r="AE9" s="4">
        <f>IF(OR(PANO!O9="",PANO!P9=""),1,0)</f>
        <v>0</v>
      </c>
      <c r="AF9" s="4">
        <f>IF(AND(PANO!X9="EVET",PANO!Z9=""),1,0)</f>
        <v>0</v>
      </c>
      <c r="AG9" s="4">
        <f>IF(AND(PANO!X9="EVET",COUNTIFS(BOM!$Q:$Q,$B9,BOM!$C:$C,"шина")=0),1,0)</f>
        <v>0</v>
      </c>
      <c r="AH9" s="4">
        <f>IF(SUMPRODUCT((COUNTIFS(DEVRE!$A:$A,$B9,DEVRE!$V:$V,KABLO_KESIT_LIST)&gt;0)*(COUNTIFS(BOM!$Q:$Q,$B9,BOM!$C:$C,"кабель",BOM!$X:$X,KABLO_KESIT_LIST)=0))&gt;0,1,IF(AND(PANO!AV9&gt;0,COUNTIFS(BOM!$Q:$Q,$B9,BOM!$C:$C,"кабель",BOM!$X:$X,GRUP_BESLEME_KESIT)=0),1,0))</f>
        <v>0</v>
      </c>
      <c r="AI9" s="4">
        <f>IF(SUMPRODUCT((COUNTIFS(DEVRE!$A:$A,$B9,DEVRE!$AD:$AD,KLEMENS_KESIT_LIST)&gt;0)*(COUNTIFS(BOM!$Q:$Q,$B9,BOM!$C:$C,"Klemens",BOM!$X:$X,KLEMENS_KESIT_LIST)=0))&gt;0,1,0)</f>
        <v>0</v>
      </c>
      <c r="AJ9" s="4">
        <f>IF(SUMPRODUCT((DEVRE_A=$B9)*(DEVRE_C&lt;&gt;"")*(COUNTIFS(BOM!$Q:$Q,DEVRE_A,BOM!$P:$P,DEVRE_C)=0))+SUMPRODUCT((DEVRE_A=$B9)*(DEVRE_H&lt;&gt;"")*(COUNTIFS(BOM!$Q:$Q,DEVRE_A,BOM!$P:$P,DEVRE_H)=0))&gt;0,1,0)</f>
        <v>0</v>
      </c>
      <c r="AK9" s="4">
        <f>IF(SUMPRODUCT(COUNTIFS(BOM!$Q:$Q,$B9,BOM!$R:$R,KUMANDA_KEYS))=0,0,IF(COUNTIFS(DEVRE!$A:$A,$B9,DEVRE!$D:$D,"KUMANDA")&lt;MAX(1,PANO!L9+(COUNTIFS(BOM!$Q:$Q,$B9,BOM!$R:$R,"AVR_KONTROL")&gt;0)+(COUNTIFS(DEVRE!$A:$A,$B9,DEVRE!$D:$D,"OLCU")&gt;0)+(COUNTIFS(BOM!$Q:$Q,$B9,BOM!$R:$R,"PRIZ_AYD")&gt;0)+(COUNTIFS(BOM!$Q:$Q,$B9,BOM!$R:$R,"TERMOSTAT_FAN")&gt;0)),1,0))</f>
        <v>0</v>
      </c>
      <c r="AL9" s="4">
        <f t="shared" si="17"/>
        <v>0</v>
      </c>
      <c r="AM9" s="4">
        <f>IF(OR(COUNTIFS(BOM!$Q:$Q,$B9,BOM!$C:$C,"монтажная работа")=0,COUNTIFS(BOM!$Q:$Q,$B9,BOM!$C:$C,"монтажный материал")=0),1,0)</f>
        <v>0</v>
      </c>
      <c r="AN9" s="4">
        <f>IF(SUMIFS(DEVRE!$AN:$AN,DEVRE!$A:$A,$B9)&gt;0,1,0)</f>
        <v>0</v>
      </c>
      <c r="AO9" s="4">
        <f>IF(COUNTIFS(DEVRE!$A:$A,$B9,DEVRE!$D:$D,"CIKIS",DEVRE!$Q:$Q,"&gt;"&amp;KABLO_MAX_A)&gt;0,1,0)</f>
        <v>0</v>
      </c>
      <c r="AP9" s="4">
        <f>IF(SUMIFS(BOM!$AB:$AB,BOM!$Q:$Q,$B9)&gt;0,1,0)</f>
        <v>0</v>
      </c>
      <c r="AQ9" s="4">
        <f>IF(SUMIFS(BOM!$AC:$AC,BOM!$Q:$Q,$B9)&gt;0,1,0)</f>
        <v>0</v>
      </c>
      <c r="AR9" s="4">
        <f t="shared" si="18"/>
        <v>0</v>
      </c>
      <c r="AS9" s="4">
        <f>IF(PANO!AX9=1,1,0)</f>
        <v>1</v>
      </c>
      <c r="AT9" s="4">
        <f>IF(AND(PANO!J9="",COUNTIFS(DEVRE!$A:$A,$B9,DEVRE!$D:$D,"ANA")+COUNTIFS(DEVRE!$A:$A,$B9,DEVRE!$D:$D,"CIKIS")&gt;0),1,0)</f>
        <v>1</v>
      </c>
      <c r="AU9" s="4">
        <f t="shared" si="19"/>
        <v>0</v>
      </c>
    </row>
    <row r="10" spans="1:47" x14ac:dyDescent="0.35">
      <c r="A10" s="4">
        <f t="shared" si="0"/>
        <v>6</v>
      </c>
      <c r="B10" s="4" t="str">
        <f>PANO!A10</f>
        <v>P06</v>
      </c>
      <c r="C10" s="4" t="str">
        <f t="shared" si="1"/>
        <v>Щит осветительный ЩО-1</v>
      </c>
      <c r="D10" s="4">
        <f t="shared" si="2"/>
        <v>1</v>
      </c>
      <c r="E10" s="4">
        <f>SUMIFS(BOM!$H:$H,BOM!$Q:$Q,$B10,BOM!$C:$C,"&lt;&gt;монтажная работа")</f>
        <v>57104.2</v>
      </c>
      <c r="F10" s="4">
        <f t="shared" si="3"/>
        <v>39900</v>
      </c>
      <c r="G10" s="4">
        <f t="shared" si="4"/>
        <v>0</v>
      </c>
      <c r="H10" s="4">
        <f t="shared" si="5"/>
        <v>97004.2</v>
      </c>
      <c r="I10" s="4">
        <f t="shared" si="6"/>
        <v>0</v>
      </c>
      <c r="J10" s="4">
        <f t="shared" si="7"/>
        <v>0</v>
      </c>
      <c r="K10" s="4">
        <f t="shared" si="8"/>
        <v>0</v>
      </c>
      <c r="L10" s="4">
        <f t="shared" si="9"/>
        <v>97004.2</v>
      </c>
      <c r="M10" s="4">
        <f t="shared" si="10"/>
        <v>97004.2</v>
      </c>
      <c r="N10" s="4">
        <f>SUMIFS(BOM!$U:$U,BOM!$Q:$Q,$B10)</f>
        <v>42.074285714285715</v>
      </c>
      <c r="O10" s="4" t="str">
        <f t="shared" si="11"/>
        <v/>
      </c>
      <c r="P10" s="8" t="str">
        <f t="shared" si="12"/>
        <v/>
      </c>
      <c r="Q10" s="4">
        <f>SUMIFS(BOM!$I:$I,BOM!$Q:$Q,$B10,BOM!$C:$C,"шина")</f>
        <v>0</v>
      </c>
      <c r="R10" s="4">
        <f>SUMIFS(BOM!$V:$V,BOM!$Q:$Q,$B10)</f>
        <v>0</v>
      </c>
      <c r="S10" s="4">
        <f>SUMIFS(BOM!$H:$H,BOM!$Q:$Q,$B10,BOM!$C:$C,"шина")</f>
        <v>0</v>
      </c>
      <c r="T10" s="4">
        <f>COUNTIFS(BOM!$Q:$Q,$B10,BOM!$M:$M,"FIYAT_YOK")</f>
        <v>1</v>
      </c>
      <c r="U10" s="4">
        <f>COUNTIFS(BOM!$Q:$Q,$B10,BOM!$M:$M,"KONTROL")+COUNTIFS(BOM!$Q:$Q,$B10,BOM!$M:$M,"CIHAZ_BELIRSIZ")</f>
        <v>2</v>
      </c>
      <c r="V10" s="4">
        <f>COUNTIFS(BOM!$Q:$Q,$B10,BOM!$M:$M,"MUADIL")+COUNTIFS(BOM!$Q:$Q,$B10,BOM!$M:$M,"MUADIL_ONAY")</f>
        <v>0</v>
      </c>
      <c r="W10" s="4">
        <f>COUNTIFS(BOM!$Q:$Q,$B10,BOM!$M:$M,"VARSAYIM")+COUNTIFS(BOM!$Q:$Q,$B10,BOM!$M:$M,"OKUNAMADI")+COUNTIFS(BOM!$Q:$Q,$B10,BOM!$M:$M,"FIYAT_ESKI")</f>
        <v>7</v>
      </c>
      <c r="X10" s="4">
        <f>SUMPRODUCT(SUMIFS(BOM!$H:$H,BOM!$Q:$Q,$B10,BOM!$M:$M,SARTLI_LIST))</f>
        <v>57104.2</v>
      </c>
      <c r="Y10" s="4">
        <f t="shared" si="13"/>
        <v>0</v>
      </c>
      <c r="Z10" s="4" t="str">
        <f t="shared" si="14"/>
        <v/>
      </c>
      <c r="AA10" s="4">
        <f t="shared" si="15"/>
        <v>2</v>
      </c>
      <c r="AB10" s="4" t="str">
        <f t="shared" si="16"/>
        <v xml:space="preserve">SELEKTİVİTE; ICU YOK; </v>
      </c>
      <c r="AC10" s="4">
        <f>SUMIFS(BOM!$H:$H,BOM!$Q:$Q,$B10,BOM!$C:$C,"монтажная работа")</f>
        <v>39900</v>
      </c>
      <c r="AD10" s="4">
        <f>IF(PANO!N10=0,1,0)</f>
        <v>0</v>
      </c>
      <c r="AE10" s="4">
        <f>IF(OR(PANO!O10="",PANO!P10=""),1,0)</f>
        <v>0</v>
      </c>
      <c r="AF10" s="4">
        <f>IF(AND(PANO!X10="EVET",PANO!Z10=""),1,0)</f>
        <v>0</v>
      </c>
      <c r="AG10" s="4">
        <f>IF(AND(PANO!X10="EVET",COUNTIFS(BOM!$Q:$Q,$B10,BOM!$C:$C,"шина")=0),1,0)</f>
        <v>0</v>
      </c>
      <c r="AH10" s="4">
        <f>IF(SUMPRODUCT((COUNTIFS(DEVRE!$A:$A,$B10,DEVRE!$V:$V,KABLO_KESIT_LIST)&gt;0)*(COUNTIFS(BOM!$Q:$Q,$B10,BOM!$C:$C,"кабель",BOM!$X:$X,KABLO_KESIT_LIST)=0))&gt;0,1,IF(AND(PANO!AV10&gt;0,COUNTIFS(BOM!$Q:$Q,$B10,BOM!$C:$C,"кабель",BOM!$X:$X,GRUP_BESLEME_KESIT)=0),1,0))</f>
        <v>0</v>
      </c>
      <c r="AI10" s="4">
        <f>IF(SUMPRODUCT((COUNTIFS(DEVRE!$A:$A,$B10,DEVRE!$AD:$AD,KLEMENS_KESIT_LIST)&gt;0)*(COUNTIFS(BOM!$Q:$Q,$B10,BOM!$C:$C,"Klemens",BOM!$X:$X,KLEMENS_KESIT_LIST)=0))&gt;0,1,0)</f>
        <v>0</v>
      </c>
      <c r="AJ10" s="4">
        <f>IF(SUMPRODUCT((DEVRE_A=$B10)*(DEVRE_C&lt;&gt;"")*(COUNTIFS(BOM!$Q:$Q,DEVRE_A,BOM!$P:$P,DEVRE_C)=0))+SUMPRODUCT((DEVRE_A=$B10)*(DEVRE_H&lt;&gt;"")*(COUNTIFS(BOM!$Q:$Q,DEVRE_A,BOM!$P:$P,DEVRE_H)=0))&gt;0,1,0)</f>
        <v>0</v>
      </c>
      <c r="AK10" s="4">
        <f>IF(SUMPRODUCT(COUNTIFS(BOM!$Q:$Q,$B10,BOM!$R:$R,KUMANDA_KEYS))=0,0,IF(COUNTIFS(DEVRE!$A:$A,$B10,DEVRE!$D:$D,"KUMANDA")&lt;MAX(1,PANO!L10+(COUNTIFS(BOM!$Q:$Q,$B10,BOM!$R:$R,"AVR_KONTROL")&gt;0)+(COUNTIFS(DEVRE!$A:$A,$B10,DEVRE!$D:$D,"OLCU")&gt;0)+(COUNTIFS(BOM!$Q:$Q,$B10,BOM!$R:$R,"PRIZ_AYD")&gt;0)+(COUNTIFS(BOM!$Q:$Q,$B10,BOM!$R:$R,"TERMOSTAT_FAN")&gt;0)),1,0))</f>
        <v>0</v>
      </c>
      <c r="AL10" s="4">
        <f t="shared" si="17"/>
        <v>0</v>
      </c>
      <c r="AM10" s="4">
        <f>IF(OR(COUNTIFS(BOM!$Q:$Q,$B10,BOM!$C:$C,"монтажная работа")=0,COUNTIFS(BOM!$Q:$Q,$B10,BOM!$C:$C,"монтажный материал")=0),1,0)</f>
        <v>0</v>
      </c>
      <c r="AN10" s="4">
        <f>IF(SUMIFS(DEVRE!$AN:$AN,DEVRE!$A:$A,$B10)&gt;0,1,0)</f>
        <v>0</v>
      </c>
      <c r="AO10" s="4">
        <f>IF(COUNTIFS(DEVRE!$A:$A,$B10,DEVRE!$D:$D,"CIKIS",DEVRE!$Q:$Q,"&gt;"&amp;KABLO_MAX_A)&gt;0,1,0)</f>
        <v>0</v>
      </c>
      <c r="AP10" s="4">
        <f>IF(SUMIFS(BOM!$AB:$AB,BOM!$Q:$Q,$B10)&gt;0,1,0)</f>
        <v>0</v>
      </c>
      <c r="AQ10" s="4">
        <f>IF(SUMIFS(BOM!$AC:$AC,BOM!$Q:$Q,$B10)&gt;0,1,0)</f>
        <v>0</v>
      </c>
      <c r="AR10" s="4">
        <f t="shared" si="18"/>
        <v>0</v>
      </c>
      <c r="AS10" s="4">
        <f>IF(PANO!AX10=1,1,0)</f>
        <v>1</v>
      </c>
      <c r="AT10" s="4">
        <f>IF(AND(PANO!J10="",COUNTIFS(DEVRE!$A:$A,$B10,DEVRE!$D:$D,"ANA")+COUNTIFS(DEVRE!$A:$A,$B10,DEVRE!$D:$D,"CIKIS")&gt;0),1,0)</f>
        <v>1</v>
      </c>
      <c r="AU10" s="4">
        <f t="shared" si="19"/>
        <v>0</v>
      </c>
    </row>
    <row r="11" spans="1:47" x14ac:dyDescent="0.35">
      <c r="A11" s="4">
        <f t="shared" si="0"/>
        <v>7</v>
      </c>
      <c r="B11" s="4" t="str">
        <f>PANO!A11</f>
        <v>P07</v>
      </c>
      <c r="C11" s="4" t="str">
        <f t="shared" si="1"/>
        <v>Щит аварийного освещения ЩАО-1</v>
      </c>
      <c r="D11" s="4">
        <f t="shared" si="2"/>
        <v>1</v>
      </c>
      <c r="E11" s="4">
        <f>SUMIFS(BOM!$H:$H,BOM!$Q:$Q,$B11,BOM!$C:$C,"&lt;&gt;монтажная работа")</f>
        <v>9058.2000000000007</v>
      </c>
      <c r="F11" s="4">
        <f t="shared" si="3"/>
        <v>16800</v>
      </c>
      <c r="G11" s="4">
        <f t="shared" si="4"/>
        <v>0</v>
      </c>
      <c r="H11" s="4">
        <f t="shared" si="5"/>
        <v>25858.2</v>
      </c>
      <c r="I11" s="4">
        <f t="shared" si="6"/>
        <v>0</v>
      </c>
      <c r="J11" s="4">
        <f t="shared" si="7"/>
        <v>0</v>
      </c>
      <c r="K11" s="4">
        <f t="shared" si="8"/>
        <v>0</v>
      </c>
      <c r="L11" s="4">
        <f t="shared" si="9"/>
        <v>25858.2</v>
      </c>
      <c r="M11" s="4">
        <f t="shared" si="10"/>
        <v>25858.2</v>
      </c>
      <c r="N11" s="4">
        <f>SUMIFS(BOM!$U:$U,BOM!$Q:$Q,$B11)</f>
        <v>13.337142857142858</v>
      </c>
      <c r="O11" s="4" t="str">
        <f t="shared" si="11"/>
        <v/>
      </c>
      <c r="P11" s="8" t="str">
        <f t="shared" si="12"/>
        <v/>
      </c>
      <c r="Q11" s="4">
        <f>SUMIFS(BOM!$I:$I,BOM!$Q:$Q,$B11,BOM!$C:$C,"шина")</f>
        <v>0</v>
      </c>
      <c r="R11" s="4">
        <f>SUMIFS(BOM!$V:$V,BOM!$Q:$Q,$B11)</f>
        <v>0</v>
      </c>
      <c r="S11" s="4">
        <f>SUMIFS(BOM!$H:$H,BOM!$Q:$Q,$B11,BOM!$C:$C,"шина")</f>
        <v>0</v>
      </c>
      <c r="T11" s="4">
        <f>COUNTIFS(BOM!$Q:$Q,$B11,BOM!$M:$M,"FIYAT_YOK")</f>
        <v>1</v>
      </c>
      <c r="U11" s="4">
        <f>COUNTIFS(BOM!$Q:$Q,$B11,BOM!$M:$M,"KONTROL")+COUNTIFS(BOM!$Q:$Q,$B11,BOM!$M:$M,"CIHAZ_BELIRSIZ")</f>
        <v>2</v>
      </c>
      <c r="V11" s="4">
        <f>COUNTIFS(BOM!$Q:$Q,$B11,BOM!$M:$M,"MUADIL")+COUNTIFS(BOM!$Q:$Q,$B11,BOM!$M:$M,"MUADIL_ONAY")</f>
        <v>2</v>
      </c>
      <c r="W11" s="4">
        <f>COUNTIFS(BOM!$Q:$Q,$B11,BOM!$M:$M,"VARSAYIM")+COUNTIFS(BOM!$Q:$Q,$B11,BOM!$M:$M,"OKUNAMADI")+COUNTIFS(BOM!$Q:$Q,$B11,BOM!$M:$M,"FIYAT_ESKI")</f>
        <v>5</v>
      </c>
      <c r="X11" s="4">
        <f>SUMPRODUCT(SUMIFS(BOM!$H:$H,BOM!$Q:$Q,$B11,BOM!$M:$M,SARTLI_LIST))</f>
        <v>9058.2000000000007</v>
      </c>
      <c r="Y11" s="4">
        <f t="shared" si="13"/>
        <v>0</v>
      </c>
      <c r="Z11" s="4" t="str">
        <f t="shared" si="14"/>
        <v/>
      </c>
      <c r="AA11" s="4">
        <f t="shared" si="15"/>
        <v>2</v>
      </c>
      <c r="AB11" s="4" t="str">
        <f t="shared" si="16"/>
        <v xml:space="preserve">SELEKTİVİTE; ICU YOK; </v>
      </c>
      <c r="AC11" s="4">
        <f>SUMIFS(BOM!$H:$H,BOM!$Q:$Q,$B11,BOM!$C:$C,"монтажная работа")</f>
        <v>16800</v>
      </c>
      <c r="AD11" s="4">
        <f>IF(PANO!N11=0,1,0)</f>
        <v>0</v>
      </c>
      <c r="AE11" s="4">
        <f>IF(OR(PANO!O11="",PANO!P11=""),1,0)</f>
        <v>0</v>
      </c>
      <c r="AF11" s="4">
        <f>IF(AND(PANO!X11="EVET",PANO!Z11=""),1,0)</f>
        <v>0</v>
      </c>
      <c r="AG11" s="4">
        <f>IF(AND(PANO!X11="EVET",COUNTIFS(BOM!$Q:$Q,$B11,BOM!$C:$C,"шина")=0),1,0)</f>
        <v>0</v>
      </c>
      <c r="AH11" s="4">
        <f>IF(SUMPRODUCT((COUNTIFS(DEVRE!$A:$A,$B11,DEVRE!$V:$V,KABLO_KESIT_LIST)&gt;0)*(COUNTIFS(BOM!$Q:$Q,$B11,BOM!$C:$C,"кабель",BOM!$X:$X,KABLO_KESIT_LIST)=0))&gt;0,1,IF(AND(PANO!AV11&gt;0,COUNTIFS(BOM!$Q:$Q,$B11,BOM!$C:$C,"кабель",BOM!$X:$X,GRUP_BESLEME_KESIT)=0),1,0))</f>
        <v>0</v>
      </c>
      <c r="AI11" s="4">
        <f>IF(SUMPRODUCT((COUNTIFS(DEVRE!$A:$A,$B11,DEVRE!$AD:$AD,KLEMENS_KESIT_LIST)&gt;0)*(COUNTIFS(BOM!$Q:$Q,$B11,BOM!$C:$C,"Klemens",BOM!$X:$X,KLEMENS_KESIT_LIST)=0))&gt;0,1,0)</f>
        <v>0</v>
      </c>
      <c r="AJ11" s="4">
        <f>IF(SUMPRODUCT((DEVRE_A=$B11)*(DEVRE_C&lt;&gt;"")*(COUNTIFS(BOM!$Q:$Q,DEVRE_A,BOM!$P:$P,DEVRE_C)=0))+SUMPRODUCT((DEVRE_A=$B11)*(DEVRE_H&lt;&gt;"")*(COUNTIFS(BOM!$Q:$Q,DEVRE_A,BOM!$P:$P,DEVRE_H)=0))&gt;0,1,0)</f>
        <v>0</v>
      </c>
      <c r="AK11" s="4">
        <f>IF(SUMPRODUCT(COUNTIFS(BOM!$Q:$Q,$B11,BOM!$R:$R,KUMANDA_KEYS))=0,0,IF(COUNTIFS(DEVRE!$A:$A,$B11,DEVRE!$D:$D,"KUMANDA")&lt;MAX(1,PANO!L11+(COUNTIFS(BOM!$Q:$Q,$B11,BOM!$R:$R,"AVR_KONTROL")&gt;0)+(COUNTIFS(DEVRE!$A:$A,$B11,DEVRE!$D:$D,"OLCU")&gt;0)+(COUNTIFS(BOM!$Q:$Q,$B11,BOM!$R:$R,"PRIZ_AYD")&gt;0)+(COUNTIFS(BOM!$Q:$Q,$B11,BOM!$R:$R,"TERMOSTAT_FAN")&gt;0)),1,0))</f>
        <v>0</v>
      </c>
      <c r="AL11" s="4">
        <f t="shared" si="17"/>
        <v>0</v>
      </c>
      <c r="AM11" s="4">
        <f>IF(OR(COUNTIFS(BOM!$Q:$Q,$B11,BOM!$C:$C,"монтажная работа")=0,COUNTIFS(BOM!$Q:$Q,$B11,BOM!$C:$C,"монтажный материал")=0),1,0)</f>
        <v>0</v>
      </c>
      <c r="AN11" s="4">
        <f>IF(SUMIFS(DEVRE!$AN:$AN,DEVRE!$A:$A,$B11)&gt;0,1,0)</f>
        <v>0</v>
      </c>
      <c r="AO11" s="4">
        <f>IF(COUNTIFS(DEVRE!$A:$A,$B11,DEVRE!$D:$D,"CIKIS",DEVRE!$Q:$Q,"&gt;"&amp;KABLO_MAX_A)&gt;0,1,0)</f>
        <v>0</v>
      </c>
      <c r="AP11" s="4">
        <f>IF(SUMIFS(BOM!$AB:$AB,BOM!$Q:$Q,$B11)&gt;0,1,0)</f>
        <v>0</v>
      </c>
      <c r="AQ11" s="4">
        <f>IF(SUMIFS(BOM!$AC:$AC,BOM!$Q:$Q,$B11)&gt;0,1,0)</f>
        <v>0</v>
      </c>
      <c r="AR11" s="4">
        <f t="shared" si="18"/>
        <v>0</v>
      </c>
      <c r="AS11" s="4">
        <f>IF(PANO!AX11=1,1,0)</f>
        <v>1</v>
      </c>
      <c r="AT11" s="4">
        <f>IF(AND(PANO!J11="",COUNTIFS(DEVRE!$A:$A,$B11,DEVRE!$D:$D,"ANA")+COUNTIFS(DEVRE!$A:$A,$B11,DEVRE!$D:$D,"CIKIS")&gt;0),1,0)</f>
        <v>1</v>
      </c>
      <c r="AU11" s="4">
        <f t="shared" si="19"/>
        <v>0</v>
      </c>
    </row>
    <row r="12" spans="1:47" x14ac:dyDescent="0.35">
      <c r="A12" s="7" t="s">
        <v>239</v>
      </c>
      <c r="M12" s="7">
        <f>SUM(M5:M11)</f>
        <v>743816.3</v>
      </c>
    </row>
    <row r="13" spans="1:47" x14ac:dyDescent="0.35">
      <c r="A13" s="7" t="s">
        <v>215</v>
      </c>
      <c r="X13" s="4">
        <f>SUMPRODUCT(X5:X11,D5:D11)</f>
        <v>282990.90000000002</v>
      </c>
    </row>
    <row r="14" spans="1:47" x14ac:dyDescent="0.35">
      <c r="A14" s="7" t="s">
        <v>240</v>
      </c>
      <c r="X14" s="9">
        <f>IF(SUMPRODUCT(E5:E11,D5:D11)=0,"",X13/SUMPRODUCT(E5:E11,D5:D11))</f>
        <v>0.55792942774118259</v>
      </c>
    </row>
    <row r="15" spans="1:47" x14ac:dyDescent="0.35">
      <c r="A15" s="7" t="s">
        <v>241</v>
      </c>
      <c r="B15" s="7" t="str">
        <f>IF(SUM(T5:U11)+SUM(Y5:Y11)+(QA_HATA&gt;0)&gt;0,"TEKLİFE HAZIR DEĞİL",IF(SUM(V5:W11)+SUM(AA5:AA11)+KUR_VARSAYIM+(PARAM_EKSIK&gt;0)&gt;0,"ŞARTLI","TEKLİFE HAZIR"))</f>
        <v>TEKLİFE HAZIR DEĞİL</v>
      </c>
    </row>
    <row r="16" spans="1:47" x14ac:dyDescent="0.35">
      <c r="A16" s="7" t="s">
        <v>242</v>
      </c>
      <c r="B16" s="4">
        <f>PARAM_EKSIK</f>
        <v>30</v>
      </c>
    </row>
    <row r="17" spans="1:2" x14ac:dyDescent="0.35">
      <c r="A17" s="7" t="s">
        <v>243</v>
      </c>
      <c r="B17" s="4">
        <f>KUR_VARSAYIM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/>
  </sheetViews>
  <sheetFormatPr defaultColWidth="8.6328125" defaultRowHeight="14.5" x14ac:dyDescent="0.35"/>
  <cols>
    <col min="2" max="2" width="90" customWidth="1"/>
  </cols>
  <sheetData>
    <row r="1" spans="1:6" x14ac:dyDescent="0.35">
      <c r="A1" s="10" t="str">
        <f>IF(OZET_DAMGA&lt;&gt;"TEKLİFE HAZIR","ВНИМАНИЕ: "&amp;OZET_DAMGA,"")&amp;IF(COUNTIF(BOM_P,"FIYAT_YOK")&gt;0,"  |  "&amp;COUNTIF(BOM_P,"FIYAT_YOK")&amp;" поз. без цены","")&amp;IF(KAR_ORANI="","  |  НАЦЕНКА НЕ ЗАДАНА","")</f>
        <v>ВНИМАНИЕ: TEKLİFE HAZIR DEĞİL  |  4 поз. без цены  |  НАЦЕНКА НЕ ЗАДАНА</v>
      </c>
    </row>
    <row r="2" spans="1:6" x14ac:dyDescent="0.35">
      <c r="A2" s="7" t="s">
        <v>244</v>
      </c>
      <c r="B2" s="4" t="str">
        <f>IF(TEKLIF_NO="","",TEKLIF_NO)</f>
        <v/>
      </c>
    </row>
    <row r="3" spans="1:6" x14ac:dyDescent="0.35">
      <c r="A3" s="7" t="s">
        <v>245</v>
      </c>
      <c r="B3" s="11">
        <f>RAPOR_TARIHI</f>
        <v>46281</v>
      </c>
    </row>
    <row r="4" spans="1:6" x14ac:dyDescent="0.35">
      <c r="A4" s="7" t="s">
        <v>246</v>
      </c>
      <c r="B4" s="4" t="str">
        <f>IF(TEKLIF_GECERLILIK="","",TEKLIF_GECERLILIK)</f>
        <v/>
      </c>
    </row>
    <row r="5" spans="1:6" x14ac:dyDescent="0.35">
      <c r="A5" s="7" t="s">
        <v>247</v>
      </c>
      <c r="B5" s="4" t="str">
        <f>MUSTERI</f>
        <v>Rahmi</v>
      </c>
    </row>
    <row r="6" spans="1:6" x14ac:dyDescent="0.35">
      <c r="A6" s="7" t="s">
        <v>248</v>
      </c>
      <c r="B6" s="4" t="str">
        <f>PROJE</f>
        <v>ФОК с. Елтай, Индерский р-н, Атырауская обл. (01-2024-ЭОМ)</v>
      </c>
    </row>
    <row r="7" spans="1:6" x14ac:dyDescent="0.35">
      <c r="A7" s="7" t="s">
        <v>249</v>
      </c>
      <c r="B7" s="4" t="str">
        <f>ADRES</f>
        <v>с. Елтай, Атырауская обл.</v>
      </c>
    </row>
    <row r="8" spans="1:6" x14ac:dyDescent="0.35">
      <c r="A8" s="7" t="s">
        <v>250</v>
      </c>
      <c r="B8" s="4" t="str">
        <f>PARA_BIRIMI</f>
        <v>KZT</v>
      </c>
    </row>
    <row r="9" spans="1:6" x14ac:dyDescent="0.35">
      <c r="A9" s="1" t="s">
        <v>251</v>
      </c>
      <c r="B9" s="1" t="s">
        <v>252</v>
      </c>
      <c r="C9" s="1" t="s">
        <v>253</v>
      </c>
      <c r="D9" s="1" t="s">
        <v>9</v>
      </c>
      <c r="E9" s="1" t="s">
        <v>254</v>
      </c>
      <c r="F9" s="1" t="s">
        <v>255</v>
      </c>
    </row>
    <row r="10" spans="1:6" x14ac:dyDescent="0.35">
      <c r="A10" s="4">
        <f t="shared" ref="A10:A16" si="0">ROW()-ROW(TEKLIF_BASLIK)</f>
        <v>1</v>
      </c>
      <c r="B10" s="4" t="str">
        <f>INDEX(PANO_TAMAD,MATCH(OZET!$B5,PANO_ID,0))&amp;", "&amp;INDEX(MONTAJ_RU,MATCH(INDEX(PANO_MONTAJ,MATCH(OZET!$B5,PANO_ID,0)),MONTAJ_AD,0))&amp;IF(INDEX(PANO_IP,MATCH(OZET!$B5,PANO_ID,0))="","",", IP"&amp;INDEX(PANO_IP,MATCH(OZET!$B5,PANO_ID,0)))&amp;IF(INDEX(PANO_RAL,MATCH(OZET!$B5,PANO_ID,0))="","",", RAL "&amp;INDEX(PANO_RAL,MATCH(OZET!$B5,PANO_ID,0)))&amp;", In="&amp;INDEX(PANO_IN_ANA,MATCH(OZET!$B5,PANO_ID,0))&amp;" А"&amp;IF(INDEX(PANO_ICU,MATCH(OZET!$B5,PANO_ID,0))="","",", Icu="&amp;INDEX(PANO_ICU,MATCH(OZET!$B5,PANO_ID,0))&amp;" кА")</f>
        <v>Вводно-распределительное устройство ВРУ-1 (с АВР), напольный, IP31, In=125 А</v>
      </c>
      <c r="C10" s="4">
        <f>OZET!D5</f>
        <v>1</v>
      </c>
      <c r="D10" s="4" t="s">
        <v>29</v>
      </c>
      <c r="E10" s="4" t="str">
        <f>IF(OR(OZET!L5="",KAR_ORANI=""),"",ROUND(OZET!L5*(1+KAR_ORANI),TEKLIF_YUVARLAMA))</f>
        <v/>
      </c>
      <c r="F10" s="4" t="str">
        <f t="shared" ref="F10:F16" si="1">IF(E10="","",E10*C10)</f>
        <v/>
      </c>
    </row>
    <row r="11" spans="1:6" x14ac:dyDescent="0.35">
      <c r="A11" s="4">
        <f t="shared" si="0"/>
        <v>2</v>
      </c>
      <c r="B11" s="4" t="str">
        <f>INDEX(PANO_TAMAD,MATCH(OZET!$B6,PANO_ID,0))&amp;", "&amp;INDEX(MONTAJ_RU,MATCH(INDEX(PANO_MONTAJ,MATCH(OZET!$B6,PANO_ID,0)),MONTAJ_AD,0))&amp;IF(INDEX(PANO_IP,MATCH(OZET!$B6,PANO_ID,0))="","",", IP"&amp;INDEX(PANO_IP,MATCH(OZET!$B6,PANO_ID,0)))&amp;IF(INDEX(PANO_RAL,MATCH(OZET!$B6,PANO_ID,0))="","",", RAL "&amp;INDEX(PANO_RAL,MATCH(OZET!$B6,PANO_ID,0)))&amp;", In="&amp;INDEX(PANO_IN_ANA,MATCH(OZET!$B6,PANO_ID,0))&amp;" А"&amp;IF(INDEX(PANO_ICU,MATCH(OZET!$B6,PANO_ID,0))="","",", Icu="&amp;INDEX(PANO_ICU,MATCH(OZET!$B6,PANO_ID,0))&amp;" кА")</f>
        <v>Щит распределительный ЩР-1, навесной, In=100 А</v>
      </c>
      <c r="C11" s="4">
        <f>OZET!D6</f>
        <v>1</v>
      </c>
      <c r="D11" s="4" t="s">
        <v>29</v>
      </c>
      <c r="E11" s="4" t="str">
        <f>IF(OR(OZET!L6="",KAR_ORANI=""),"",ROUND(OZET!L6*(1+KAR_ORANI),TEKLIF_YUVARLAMA))</f>
        <v/>
      </c>
      <c r="F11" s="4" t="str">
        <f t="shared" si="1"/>
        <v/>
      </c>
    </row>
    <row r="12" spans="1:6" x14ac:dyDescent="0.35">
      <c r="A12" s="4">
        <f t="shared" si="0"/>
        <v>3</v>
      </c>
      <c r="B12" s="4" t="str">
        <f>INDEX(PANO_TAMAD,MATCH(OZET!$B7,PANO_ID,0))&amp;", "&amp;INDEX(MONTAJ_RU,MATCH(INDEX(PANO_MONTAJ,MATCH(OZET!$B7,PANO_ID,0)),MONTAJ_AD,0))&amp;IF(INDEX(PANO_IP,MATCH(OZET!$B7,PANO_ID,0))="","",", IP"&amp;INDEX(PANO_IP,MATCH(OZET!$B7,PANO_ID,0)))&amp;IF(INDEX(PANO_RAL,MATCH(OZET!$B7,PANO_ID,0))="","",", RAL "&amp;INDEX(PANO_RAL,MATCH(OZET!$B7,PANO_ID,0)))&amp;", In="&amp;INDEX(PANO_IN_ANA,MATCH(OZET!$B7,PANO_ID,0))&amp;" А"&amp;IF(INDEX(PANO_ICU,MATCH(OZET!$B7,PANO_ID,0))="","",", Icu="&amp;INDEX(PANO_ICU,MATCH(OZET!$B7,PANO_ID,0))&amp;" кА")</f>
        <v>Щит силовой ЩС-1, встраиваемый, In=63 А</v>
      </c>
      <c r="C12" s="4">
        <f>OZET!D7</f>
        <v>1</v>
      </c>
      <c r="D12" s="4" t="s">
        <v>29</v>
      </c>
      <c r="E12" s="4" t="str">
        <f>IF(OR(OZET!L7="",KAR_ORANI=""),"",ROUND(OZET!L7*(1+KAR_ORANI),TEKLIF_YUVARLAMA))</f>
        <v/>
      </c>
      <c r="F12" s="4" t="str">
        <f t="shared" si="1"/>
        <v/>
      </c>
    </row>
    <row r="13" spans="1:6" x14ac:dyDescent="0.35">
      <c r="A13" s="4">
        <f t="shared" si="0"/>
        <v>4</v>
      </c>
      <c r="B13" s="4" t="str">
        <f>INDEX(PANO_TAMAD,MATCH(OZET!$B8,PANO_ID,0))&amp;", "&amp;INDEX(MONTAJ_RU,MATCH(INDEX(PANO_MONTAJ,MATCH(OZET!$B8,PANO_ID,0)),MONTAJ_AD,0))&amp;IF(INDEX(PANO_IP,MATCH(OZET!$B8,PANO_ID,0))="","",", IP"&amp;INDEX(PANO_IP,MATCH(OZET!$B8,PANO_ID,0)))&amp;IF(INDEX(PANO_RAL,MATCH(OZET!$B8,PANO_ID,0))="","",", RAL "&amp;INDEX(PANO_RAL,MATCH(OZET!$B8,PANO_ID,0)))&amp;", In="&amp;INDEX(PANO_IN_ANA,MATCH(OZET!$B8,PANO_ID,0))&amp;" А"&amp;IF(INDEX(PANO_ICU,MATCH(OZET!$B8,PANO_ID,0))="","",", Icu="&amp;INDEX(PANO_ICU,MATCH(OZET!$B8,PANO_ID,0))&amp;" кА")</f>
        <v>Щит силовой ЩС-2, встраиваемый, In=63 А</v>
      </c>
      <c r="C13" s="4">
        <f>OZET!D8</f>
        <v>1</v>
      </c>
      <c r="D13" s="4" t="s">
        <v>29</v>
      </c>
      <c r="E13" s="4" t="str">
        <f>IF(OR(OZET!L8="",KAR_ORANI=""),"",ROUND(OZET!L8*(1+KAR_ORANI),TEKLIF_YUVARLAMA))</f>
        <v/>
      </c>
      <c r="F13" s="4" t="str">
        <f t="shared" si="1"/>
        <v/>
      </c>
    </row>
    <row r="14" spans="1:6" x14ac:dyDescent="0.35">
      <c r="A14" s="4">
        <f t="shared" si="0"/>
        <v>5</v>
      </c>
      <c r="B14" s="4" t="str">
        <f>INDEX(PANO_TAMAD,MATCH(OZET!$B9,PANO_ID,0))&amp;", "&amp;INDEX(MONTAJ_RU,MATCH(INDEX(PANO_MONTAJ,MATCH(OZET!$B9,PANO_ID,0)),MONTAJ_AD,0))&amp;IF(INDEX(PANO_IP,MATCH(OZET!$B9,PANO_ID,0))="","",", IP"&amp;INDEX(PANO_IP,MATCH(OZET!$B9,PANO_ID,0)))&amp;IF(INDEX(PANO_RAL,MATCH(OZET!$B9,PANO_ID,0))="","",", RAL "&amp;INDEX(PANO_RAL,MATCH(OZET!$B9,PANO_ID,0)))&amp;", In="&amp;INDEX(PANO_IN_ANA,MATCH(OZET!$B9,PANO_ID,0))&amp;" А"&amp;IF(INDEX(PANO_ICU,MATCH(OZET!$B9,PANO_ID,0))="","",", Icu="&amp;INDEX(PANO_ICU,MATCH(OZET!$B9,PANO_ID,0))&amp;" кА")</f>
        <v>Щит вентиляции ЩВ-1, встраиваемый, In=63 А</v>
      </c>
      <c r="C14" s="4">
        <f>OZET!D9</f>
        <v>1</v>
      </c>
      <c r="D14" s="4" t="s">
        <v>29</v>
      </c>
      <c r="E14" s="4" t="str">
        <f>IF(OR(OZET!L9="",KAR_ORANI=""),"",ROUND(OZET!L9*(1+KAR_ORANI),TEKLIF_YUVARLAMA))</f>
        <v/>
      </c>
      <c r="F14" s="4" t="str">
        <f t="shared" si="1"/>
        <v/>
      </c>
    </row>
    <row r="15" spans="1:6" x14ac:dyDescent="0.35">
      <c r="A15" s="4">
        <f t="shared" si="0"/>
        <v>6</v>
      </c>
      <c r="B15" s="4" t="str">
        <f>INDEX(PANO_TAMAD,MATCH(OZET!$B10,PANO_ID,0))&amp;", "&amp;INDEX(MONTAJ_RU,MATCH(INDEX(PANO_MONTAJ,MATCH(OZET!$B10,PANO_ID,0)),MONTAJ_AD,0))&amp;IF(INDEX(PANO_IP,MATCH(OZET!$B10,PANO_ID,0))="","",", IP"&amp;INDEX(PANO_IP,MATCH(OZET!$B10,PANO_ID,0)))&amp;IF(INDEX(PANO_RAL,MATCH(OZET!$B10,PANO_ID,0))="","",", RAL "&amp;INDEX(PANO_RAL,MATCH(OZET!$B10,PANO_ID,0)))&amp;", In="&amp;INDEX(PANO_IN_ANA,MATCH(OZET!$B10,PANO_ID,0))&amp;" А"&amp;IF(INDEX(PANO_ICU,MATCH(OZET!$B10,PANO_ID,0))="","",", Icu="&amp;INDEX(PANO_ICU,MATCH(OZET!$B10,PANO_ID,0))&amp;" кА")</f>
        <v>Щит осветительный ЩО-1, встраиваемый, In=25 А</v>
      </c>
      <c r="C15" s="4">
        <f>OZET!D10</f>
        <v>1</v>
      </c>
      <c r="D15" s="4" t="s">
        <v>29</v>
      </c>
      <c r="E15" s="4" t="str">
        <f>IF(OR(OZET!L10="",KAR_ORANI=""),"",ROUND(OZET!L10*(1+KAR_ORANI),TEKLIF_YUVARLAMA))</f>
        <v/>
      </c>
      <c r="F15" s="4" t="str">
        <f t="shared" si="1"/>
        <v/>
      </c>
    </row>
    <row r="16" spans="1:6" x14ac:dyDescent="0.35">
      <c r="A16" s="4">
        <f t="shared" si="0"/>
        <v>7</v>
      </c>
      <c r="B16" s="4" t="str">
        <f>INDEX(PANO_TAMAD,MATCH(OZET!$B11,PANO_ID,0))&amp;", "&amp;INDEX(MONTAJ_RU,MATCH(INDEX(PANO_MONTAJ,MATCH(OZET!$B11,PANO_ID,0)),MONTAJ_AD,0))&amp;IF(INDEX(PANO_IP,MATCH(OZET!$B11,PANO_ID,0))="","",", IP"&amp;INDEX(PANO_IP,MATCH(OZET!$B11,PANO_ID,0)))&amp;IF(INDEX(PANO_RAL,MATCH(OZET!$B11,PANO_ID,0))="","",", RAL "&amp;INDEX(PANO_RAL,MATCH(OZET!$B11,PANO_ID,0)))&amp;", In="&amp;INDEX(PANO_IN_ANA,MATCH(OZET!$B11,PANO_ID,0))&amp;" А"&amp;IF(INDEX(PANO_ICU,MATCH(OZET!$B11,PANO_ID,0))="","",", Icu="&amp;INDEX(PANO_ICU,MATCH(OZET!$B11,PANO_ID,0))&amp;" кА")</f>
        <v>Щит аварийного освещения ЩАО-1, встраиваемый, In=25 А</v>
      </c>
      <c r="C16" s="4">
        <f>OZET!D11</f>
        <v>1</v>
      </c>
      <c r="D16" s="4" t="s">
        <v>29</v>
      </c>
      <c r="E16" s="4" t="str">
        <f>IF(OR(OZET!L11="",KAR_ORANI=""),"",ROUND(OZET!L11*(1+KAR_ORANI),TEKLIF_YUVARLAMA))</f>
        <v/>
      </c>
      <c r="F16" s="4" t="str">
        <f t="shared" si="1"/>
        <v/>
      </c>
    </row>
    <row r="17" spans="1:6" x14ac:dyDescent="0.35">
      <c r="E17" s="7" t="s">
        <v>256</v>
      </c>
      <c r="F17" s="4">
        <f>SUM(F10:F16)</f>
        <v>0</v>
      </c>
    </row>
    <row r="18" spans="1:6" x14ac:dyDescent="0.35">
      <c r="E18" s="7" t="s">
        <v>257</v>
      </c>
      <c r="F18" s="4">
        <f>F17*IF(ISKONTO="",0,ISKONTO)</f>
        <v>0</v>
      </c>
    </row>
    <row r="19" spans="1:6" x14ac:dyDescent="0.35">
      <c r="E19" s="7" t="s">
        <v>258</v>
      </c>
      <c r="F19" s="4">
        <f>F17-F18</f>
        <v>0</v>
      </c>
    </row>
    <row r="20" spans="1:6" x14ac:dyDescent="0.35">
      <c r="E20" s="7" t="s">
        <v>259</v>
      </c>
      <c r="F20" s="4">
        <f>F19*NDS_ORANI</f>
        <v>0</v>
      </c>
    </row>
    <row r="21" spans="1:6" x14ac:dyDescent="0.35">
      <c r="E21" s="7" t="s">
        <v>260</v>
      </c>
      <c r="F21" s="4">
        <f>F19+F20</f>
        <v>0</v>
      </c>
    </row>
    <row r="22" spans="1:6" x14ac:dyDescent="0.35">
      <c r="A22" s="7" t="s">
        <v>261</v>
      </c>
      <c r="B22" s="4" t="str">
        <f>IF(URETIM_SURESI="","",URETIM_SURESI)</f>
        <v/>
      </c>
    </row>
    <row r="23" spans="1:6" x14ac:dyDescent="0.35">
      <c r="A23" s="7" t="s">
        <v>262</v>
      </c>
      <c r="B23" s="4" t="str">
        <f>IF(ODEME_SARTI="","",ODEME_SARTI)</f>
        <v/>
      </c>
    </row>
    <row r="24" spans="1:6" x14ac:dyDescent="0.35">
      <c r="A24" s="7" t="s">
        <v>263</v>
      </c>
      <c r="B24" s="4" t="str">
        <f>IF(GARANTI="","",GARANTI)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4" sqref="P4"/>
    </sheetView>
  </sheetViews>
  <sheetFormatPr defaultColWidth="8.6328125" defaultRowHeight="14.5" x14ac:dyDescent="0.35"/>
  <cols>
    <col min="3" max="3" width="20.81640625" customWidth="1"/>
    <col min="5" max="5" width="24.26953125" customWidth="1"/>
    <col min="6" max="6" width="12.90625" customWidth="1"/>
  </cols>
  <sheetData>
    <row r="1" spans="1:50" x14ac:dyDescent="0.35">
      <c r="A1" s="7" t="s">
        <v>264</v>
      </c>
    </row>
    <row r="2" spans="1:50" x14ac:dyDescent="0.35">
      <c r="A2" s="4" t="s">
        <v>265</v>
      </c>
    </row>
    <row r="3" spans="1:50" x14ac:dyDescent="0.35">
      <c r="A3" s="4" t="s">
        <v>266</v>
      </c>
    </row>
    <row r="4" spans="1:50" s="17" customFormat="1" ht="59.5" customHeight="1" x14ac:dyDescent="0.35">
      <c r="A4" s="16" t="s">
        <v>16</v>
      </c>
      <c r="B4" s="16" t="s">
        <v>267</v>
      </c>
      <c r="C4" s="16" t="s">
        <v>268</v>
      </c>
      <c r="D4" s="16" t="s">
        <v>195</v>
      </c>
      <c r="E4" s="16" t="s">
        <v>269</v>
      </c>
      <c r="F4" s="16" t="s">
        <v>270</v>
      </c>
      <c r="G4" s="16" t="s">
        <v>271</v>
      </c>
      <c r="H4" s="16" t="s">
        <v>272</v>
      </c>
      <c r="I4" s="16" t="s">
        <v>273</v>
      </c>
      <c r="J4" s="16" t="s">
        <v>274</v>
      </c>
      <c r="K4" s="16" t="s">
        <v>275</v>
      </c>
      <c r="L4" s="16" t="s">
        <v>276</v>
      </c>
      <c r="M4" s="16" t="s">
        <v>277</v>
      </c>
      <c r="N4" s="16" t="s">
        <v>278</v>
      </c>
      <c r="O4" s="16" t="s">
        <v>279</v>
      </c>
      <c r="P4" s="16" t="s">
        <v>280</v>
      </c>
      <c r="Q4" s="16" t="s">
        <v>281</v>
      </c>
      <c r="R4" s="16" t="s">
        <v>282</v>
      </c>
      <c r="S4" s="16" t="s">
        <v>283</v>
      </c>
      <c r="T4" s="16" t="s">
        <v>284</v>
      </c>
      <c r="U4" s="16" t="s">
        <v>285</v>
      </c>
      <c r="V4" s="16" t="s">
        <v>286</v>
      </c>
      <c r="W4" s="16" t="s">
        <v>287</v>
      </c>
      <c r="X4" s="16" t="s">
        <v>288</v>
      </c>
      <c r="Y4" s="16" t="s">
        <v>289</v>
      </c>
      <c r="Z4" s="16" t="s">
        <v>290</v>
      </c>
      <c r="AA4" s="16" t="s">
        <v>291</v>
      </c>
      <c r="AB4" s="16" t="s">
        <v>292</v>
      </c>
      <c r="AC4" s="16" t="s">
        <v>293</v>
      </c>
      <c r="AD4" s="16" t="s">
        <v>294</v>
      </c>
      <c r="AE4" s="16" t="s">
        <v>295</v>
      </c>
      <c r="AF4" s="16" t="s">
        <v>296</v>
      </c>
      <c r="AG4" s="16" t="s">
        <v>297</v>
      </c>
      <c r="AH4" s="16" t="s">
        <v>298</v>
      </c>
      <c r="AI4" s="16" t="s">
        <v>299</v>
      </c>
      <c r="AJ4" s="16" t="s">
        <v>300</v>
      </c>
      <c r="AK4" s="16" t="s">
        <v>301</v>
      </c>
      <c r="AL4" s="16" t="s">
        <v>302</v>
      </c>
      <c r="AM4" s="16" t="s">
        <v>303</v>
      </c>
      <c r="AN4" s="16" t="s">
        <v>304</v>
      </c>
      <c r="AO4" s="16" t="s">
        <v>305</v>
      </c>
      <c r="AP4" s="16" t="s">
        <v>306</v>
      </c>
      <c r="AQ4" s="16" t="s">
        <v>307</v>
      </c>
      <c r="AR4" s="16" t="s">
        <v>308</v>
      </c>
      <c r="AS4" s="16" t="s">
        <v>83</v>
      </c>
      <c r="AT4" s="16" t="s">
        <v>309</v>
      </c>
      <c r="AU4" s="16" t="s">
        <v>310</v>
      </c>
      <c r="AV4" s="16" t="s">
        <v>311</v>
      </c>
      <c r="AW4" s="16" t="s">
        <v>312</v>
      </c>
      <c r="AX4" s="16" t="s">
        <v>313</v>
      </c>
    </row>
    <row r="5" spans="1:50" x14ac:dyDescent="0.35">
      <c r="A5" s="5" t="s">
        <v>30</v>
      </c>
      <c r="B5" s="5" t="s">
        <v>314</v>
      </c>
      <c r="C5" s="5" t="s">
        <v>315</v>
      </c>
      <c r="D5" s="5">
        <v>1</v>
      </c>
      <c r="E5" s="5" t="s">
        <v>316</v>
      </c>
      <c r="F5" s="5" t="s">
        <v>317</v>
      </c>
      <c r="G5" s="5" t="s">
        <v>318</v>
      </c>
      <c r="H5" s="5" t="s">
        <v>319</v>
      </c>
      <c r="I5" s="5"/>
      <c r="J5" s="5"/>
      <c r="K5" s="5" t="s">
        <v>320</v>
      </c>
      <c r="L5" s="5">
        <v>2</v>
      </c>
      <c r="M5" s="5" t="s">
        <v>321</v>
      </c>
      <c r="N5" s="4">
        <f>IF(_xlfn.MAXIFS(DEVRE!$Q:$Q,DEVRE!$A:$A,$A5,DEVRE!$D:$D,"ANA",DEVRE!$P:$P,"&lt;&gt;rubilnik")&gt;0,_xlfn.MAXIFS(DEVRE!$Q:$Q,DEVRE!$A:$A,$A5,DEVRE!$D:$D,"ANA",DEVRE!$P:$P,"&lt;&gt;rubilnik"),_xlfn.MAXIFS(DEVRE!$Q:$Q,DEVRE!$A:$A,$A5,DEVRE!$D:$D,"ANA"))</f>
        <v>125</v>
      </c>
      <c r="O5" s="4">
        <f t="shared" ref="O5:O11" si="0">IF($E5="","",IF(INDEX(FIYAT_KG,MATCH($E5,FIYAT_KOD,0))="","",INDEX(FIYAT_KG,MATCH($E5,FIYAT_KOD,0))))</f>
        <v>800</v>
      </c>
      <c r="P5" s="4">
        <f t="shared" ref="P5:P11" si="1">IF($E5="","",IF(INDEX(FIYAT_KY,MATCH($E5,FIYAT_KOD,0))="","",INDEX(FIYAT_KY,MATCH($E5,FIYAT_KOD,0))))</f>
        <v>2000</v>
      </c>
      <c r="Q5" s="4" t="str">
        <f t="shared" ref="Q5:Q11" si="2">IF($E5="","",IF(INDEX(FIYAT_KAPASITE,MATCH($E5,FIYAT_KOD,0))="","",INDEX(FIYAT_KAPASITE,MATCH($E5,FIYAT_KOD,0))))</f>
        <v/>
      </c>
      <c r="R5" s="4" t="str">
        <f t="shared" ref="R5:R11" si="3">IF($E5="","",IF(INDEX(FIYAT_SIRA,MATCH($E5,FIYAT_KOD,0))="","",INDEX(FIYAT_SIRA,MATCH($E5,FIYAT_KOD,0))))</f>
        <v/>
      </c>
      <c r="S5" s="4">
        <f t="shared" ref="S5:S11" si="4">IF(OR($O5="",$P5=""),"",($O5/1000-BARA_KENAR_PAY_M)+IF($F5="AYAKLI",$P5/1000-BARA_DIKEY_PAY_M,0))</f>
        <v>2.4500000000000002</v>
      </c>
      <c r="T5" s="4">
        <f>COUNTIFS(DEVRE!$A:$A,$A5,DEVRE!$D:$D,"CIKIS",DEVRE!$P:$P,"TMŞ",DEVRE!$R:$R,3)</f>
        <v>0</v>
      </c>
      <c r="U5" s="4">
        <f>COUNTIFS(DEVRE!$A:$A,$A5,DEVRE!$D:$D,"CIKIS",DEVRE!$P:$P,"TMŞ",DEVRE!$R:$R,4)</f>
        <v>0</v>
      </c>
      <c r="V5" s="4">
        <f>COUNTIFS(DEVRE!$A:$A,$A5,DEVRE!$D:$D,"ANA",DEVRE!$Q:$Q,"&gt;"&amp;KOPRU_KABLO_MAX_A)</f>
        <v>0</v>
      </c>
      <c r="W5" s="4">
        <f>COUNTIFS(DEVRE!$A:$A,$A5,DEVRE!$D:$D,"ANA",DEVRE!$Q:$Q,"&gt;"&amp;KOPRU_KABLO_MAX_A,DEVRE!$R:$R,4)</f>
        <v>0</v>
      </c>
      <c r="X5" s="4" t="str">
        <f t="shared" ref="X5:X11" si="5">IF($N5=0,"",IF($N5&gt;KOPRU_KABLO_MAX_A,"EVET","HAYIR"))</f>
        <v>HAYIR</v>
      </c>
      <c r="Y5" s="4" t="str">
        <f t="shared" ref="Y5:Y11" si="6">IF($X5&lt;&gt;"EVET","",IF($K5="AL",COUNTIF(BARA_AL_S_MAX,"&lt;"&amp;$N5/BARA_DERATING),COUNTIF(BARA_CU_S_MAX,"&lt;"&amp;$N5/BARA_DERATING))+1)</f>
        <v/>
      </c>
      <c r="Z5" s="4" t="str">
        <f t="shared" ref="Z5:Z11" si="7">IF($Y5="","",IF($K5="AL",IF($Y5&gt;ROWS(BARA_AL_S_KOD),"",INDEX(BARA_AL_S_KOD,$Y5)),IF($Y5&gt;ROWS(BARA_CU_S_KOD),"",INDEX(BARA_CU_S_KOD,$Y5))))</f>
        <v/>
      </c>
      <c r="AA5" s="4" t="str">
        <f t="shared" ref="AA5:AA11" si="8">IF($Z5="","",IF($K5="AL",IF($Y5&gt;ROWS(BARA_AL_S_KOD),"",INDEX(BARA_AL_S_SERIT,$Y5)),IF($Y5&gt;ROWS(BARA_CU_S_KOD),"",INDEX(BARA_CU_S_SERIT,$Y5))))</f>
        <v/>
      </c>
      <c r="AB5" s="4" t="str">
        <f t="shared" ref="AB5:AB11" si="9">IF($Z5="","",IF($K5="AL",IF($Y5&gt;ROWS(BARA_AL_S_KOD),"",INDEX(BARA_AL_S_MM2T,$Y5)),IF($Y5&gt;ROWS(BARA_CU_S_KOD),"",INDEX(BARA_CU_S_MM2T,$Y5))))</f>
        <v/>
      </c>
      <c r="AC5" s="4" t="str">
        <f t="shared" ref="AC5:AC11" si="10">IF($Z5="","",IF($K5="AL",COUNTIF(BARA_AL_S_MM2T,"&lt;"&amp;$AB5*BARA_N_ORANI),COUNTIF(BARA_CU_S_MM2T,"&lt;"&amp;$AB5*BARA_N_ORANI))+1)</f>
        <v/>
      </c>
      <c r="AD5" s="4" t="str">
        <f t="shared" ref="AD5:AD11" si="11">IF($AC5="","",IF($K5="AL",IF($AC5&gt;ROWS(BARA_AL_S_KOD),"",INDEX(BARA_AL_S_KOD,$AC5)),IF($AC5&gt;ROWS(BARA_CU_S_KOD),"",INDEX(BARA_CU_S_KOD,$AC5))))</f>
        <v/>
      </c>
      <c r="AE5" s="4" t="str">
        <f t="shared" ref="AE5:AE11" si="12">IF($AD5="","",IF($K5="AL",IF($AC5&gt;ROWS(BARA_AL_S_KOD),"",INDEX(BARA_AL_S_SERIT,$AC5)),IF($AC5&gt;ROWS(BARA_CU_S_KOD),"",INDEX(BARA_CU_S_SERIT,$AC5))))</f>
        <v/>
      </c>
      <c r="AF5" s="4" t="str">
        <f t="shared" ref="AF5:AF11" si="13">IF($Z5="","",IF($K5="AL",COUNTIF(BARA_AL_S_MM2T,"&lt;"&amp;MAX($AB5*BARA_PE_ORANI,BARA_PE_MIN_MM2)),COUNTIF(BARA_CU_S_MM2T,"&lt;"&amp;MAX($AB5*BARA_PE_ORANI,BARA_PE_MIN_MM2)))+1)</f>
        <v/>
      </c>
      <c r="AG5" s="4" t="str">
        <f t="shared" ref="AG5:AG11" si="14">IF($AF5="","",IF($K5="AL",IF($AF5&gt;ROWS(BARA_AL_S_KOD),"",INDEX(BARA_AL_S_KOD,$AF5)),IF($AF5&gt;ROWS(BARA_CU_S_KOD),"",INDEX(BARA_CU_S_KOD,$AF5))))</f>
        <v/>
      </c>
      <c r="AH5" s="4" t="str">
        <f t="shared" ref="AH5:AH11" si="15">IF($AG5="","",IF($K5="AL",IF($AF5&gt;ROWS(BARA_AL_S_KOD),"",INDEX(BARA_AL_S_SERIT,$AF5)),IF($AF5&gt;ROWS(BARA_CU_S_KOD),"",INDEX(BARA_CU_S_SERIT,$AF5))))</f>
        <v/>
      </c>
      <c r="AI5" s="4" t="str">
        <f t="shared" ref="AI5:AI11" si="16">IF(OR($Z5="",$S5=""),"",ROUND((3*$S5+3*($T5+$U5+$V5)*BARA_KOPRU_M)*$AA5*BARA_FIRE,2))</f>
        <v/>
      </c>
      <c r="AJ5" s="4" t="str">
        <f t="shared" ref="AJ5:AJ11" si="17">IF(OR($AD5="",$S5=""),"",ROUND(($S5+($U5+$W5)*BARA_KOPRU_M)*$AE5*BARA_FIRE,2))</f>
        <v/>
      </c>
      <c r="AK5" s="4" t="str">
        <f t="shared" ref="AK5:AK11" si="18">IF(OR($AG5="",$S5=""),"",ROUND($S5*$AH5*BARA_FIRE,2))</f>
        <v/>
      </c>
      <c r="AL5" s="4" t="str">
        <f t="shared" ref="AL5:AL11" si="19">IF(OR($Z5="",$S5=""),"",MAX(2,ROUNDUP($S5/BARA_IZOLATOR_ARALIK_M,0)))</f>
        <v/>
      </c>
      <c r="AM5" s="4" t="str">
        <f t="shared" ref="AM5:AM11" si="20">IF($AL5="","",2*$AL5)</f>
        <v/>
      </c>
      <c r="AN5" s="4">
        <f>SUMIFS(BOM!$U:$U,BOM!$Q:$Q,$A5,BOM!$C:$C,"Klemens")*MODUL_GENISLIK_MM</f>
        <v>0</v>
      </c>
      <c r="AO5" s="4" t="str">
        <f t="shared" ref="AO5:AO11" si="21">IF(OR($R5="",$O5=""),"",ROUND(($R5*($O5/1000-KORPUS_IC_PAY_M)+$AN5/1000*KLEMENS_RAY_PAY)*DINRAY_FIRE,2))</f>
        <v/>
      </c>
      <c r="AP5" s="4">
        <f>SUMIFS(DEVRE!$AH:$AH,DEVRE!$A:$A,$A5)</f>
        <v>8</v>
      </c>
      <c r="AQ5" s="4" t="str">
        <f t="shared" ref="AQ5:AQ11" si="22">IF(OR($F5="AYAKLI",$AP5&gt;KANAL_ESIK2_MOD),IF(KANAL_KOD_BUYUK="","",KANAL_KOD_BUYUK),IF($AP5&gt;KANAL_ESIK1_MOD,IF(KANAL_KOD_ORTA="","",KANAL_KOD_ORTA),KANAL_KOD_KUCUK))</f>
        <v/>
      </c>
      <c r="AR5" s="4" t="str">
        <f t="shared" ref="AR5:AR11" si="23">IF(OR($F5="AYAKLI",$AP5&gt;KANAL_ESIK2_MOD),IF(KANAL_KAPAK_KOD_BUYUK="","",KANAL_KAPAK_KOD_BUYUK),IF($AP5&gt;KANAL_ESIK1_MOD,IF(KANAL_KAPAK_KOD_ORTA="","",KANAL_KAPAK_KOD_ORTA),KANAL_KAPAK_KOD_KUCUK))</f>
        <v/>
      </c>
      <c r="AS5" s="4" t="str">
        <f t="shared" ref="AS5:AS11" si="24">IF(OR($R5="",$O5="",$P5=""),"",ROUND((($R5+1)*($O5/1000-KORPUS_IC_PAY_M)+2*($P5/1000-KORPUS_IC_PAY_M))*KANAL_FIRE,2))</f>
        <v/>
      </c>
      <c r="AT5" s="4">
        <f>SUMIFS(DEVRE!$AH:$AH,DEVRE!$A:$A,$A5,DEVRE!$P:$P,"OTO")+SUMIFS(DEVRE!$AH:$AH,DEVRE!$A:$A,$A5,DEVRE!$P:$P,"DİF")+SUMIFS(DEVRE!$AH:$AH,DEVRE!$A:$A,$A5,DEVRE!$P:$P,"УЗО")</f>
        <v>8</v>
      </c>
      <c r="AU5" s="4">
        <f t="shared" ref="AU5:AU11" si="25">IF(OR($X5&lt;&gt;"EVET",$AT5=0,$O5=""),0,ROUNDUP($AT5/ROUNDDOWN(($O5/1000-KORPUS_IC_PAY_M)*1000/MODUL_GENISLIK_MM,0),0))</f>
        <v>0</v>
      </c>
      <c r="AV5" s="4">
        <f t="shared" ref="AV5:AV11" si="26">IF(OR($AU5=0,GRUP_BESLEME_M=""),0,$AU5*4*GRUP_BESLEME_M)</f>
        <v>0</v>
      </c>
      <c r="AW5" s="4">
        <f t="shared" ref="AW5:AW11" si="27">IF(AND($M5="EVET",$G5="TN-C-S"),1,0)</f>
        <v>0</v>
      </c>
      <c r="AX5" s="4">
        <f>IF($N5=0,"",IF(_xlfn.MAXIFS(DEVRE!$Q:$Q,DEVRE!$A:$A,$A5,DEVRE!$D:$D,"CIKIS")*SELEKTIVITE_ORANI&gt;$N5,1,0))</f>
        <v>1</v>
      </c>
    </row>
    <row r="6" spans="1:50" x14ac:dyDescent="0.35">
      <c r="A6" s="5" t="s">
        <v>105</v>
      </c>
      <c r="B6" s="5" t="s">
        <v>322</v>
      </c>
      <c r="C6" s="5" t="s">
        <v>323</v>
      </c>
      <c r="D6" s="5">
        <v>1</v>
      </c>
      <c r="E6" s="5" t="s">
        <v>324</v>
      </c>
      <c r="F6" s="5" t="s">
        <v>325</v>
      </c>
      <c r="G6" s="5" t="s">
        <v>318</v>
      </c>
      <c r="H6" s="5"/>
      <c r="I6" s="5"/>
      <c r="J6" s="5"/>
      <c r="K6" s="5" t="s">
        <v>320</v>
      </c>
      <c r="L6" s="5">
        <v>0</v>
      </c>
      <c r="M6" s="5" t="s">
        <v>326</v>
      </c>
      <c r="N6" s="4">
        <f>IF(_xlfn.MAXIFS(DEVRE!$Q:$Q,DEVRE!$A:$A,$A6,DEVRE!$D:$D,"ANA",DEVRE!$P:$P,"&lt;&gt;rubilnik")&gt;0,_xlfn.MAXIFS(DEVRE!$Q:$Q,DEVRE!$A:$A,$A6,DEVRE!$D:$D,"ANA",DEVRE!$P:$P,"&lt;&gt;rubilnik"),_xlfn.MAXIFS(DEVRE!$Q:$Q,DEVRE!$A:$A,$A6,DEVRE!$D:$D,"ANA"))</f>
        <v>100</v>
      </c>
      <c r="O6" s="4">
        <f t="shared" si="0"/>
        <v>310</v>
      </c>
      <c r="P6" s="4">
        <f t="shared" si="1"/>
        <v>540</v>
      </c>
      <c r="Q6" s="4" t="str">
        <f t="shared" si="2"/>
        <v/>
      </c>
      <c r="R6" s="4" t="str">
        <f t="shared" si="3"/>
        <v/>
      </c>
      <c r="S6" s="4">
        <f t="shared" si="4"/>
        <v>0.21</v>
      </c>
      <c r="T6" s="4">
        <f>COUNTIFS(DEVRE!$A:$A,$A6,DEVRE!$D:$D,"CIKIS",DEVRE!$P:$P,"TMŞ",DEVRE!$R:$R,3)</f>
        <v>0</v>
      </c>
      <c r="U6" s="4">
        <f>COUNTIFS(DEVRE!$A:$A,$A6,DEVRE!$D:$D,"CIKIS",DEVRE!$P:$P,"TMŞ",DEVRE!$R:$R,4)</f>
        <v>0</v>
      </c>
      <c r="V6" s="4">
        <f>COUNTIFS(DEVRE!$A:$A,$A6,DEVRE!$D:$D,"ANA",DEVRE!$Q:$Q,"&gt;"&amp;KOPRU_KABLO_MAX_A)</f>
        <v>0</v>
      </c>
      <c r="W6" s="4">
        <f>COUNTIFS(DEVRE!$A:$A,$A6,DEVRE!$D:$D,"ANA",DEVRE!$Q:$Q,"&gt;"&amp;KOPRU_KABLO_MAX_A,DEVRE!$R:$R,4)</f>
        <v>0</v>
      </c>
      <c r="X6" s="4" t="str">
        <f t="shared" si="5"/>
        <v>HAYIR</v>
      </c>
      <c r="Y6" s="4" t="str">
        <f t="shared" si="6"/>
        <v/>
      </c>
      <c r="Z6" s="4" t="str">
        <f t="shared" si="7"/>
        <v/>
      </c>
      <c r="AA6" s="4" t="str">
        <f t="shared" si="8"/>
        <v/>
      </c>
      <c r="AB6" s="4" t="str">
        <f t="shared" si="9"/>
        <v/>
      </c>
      <c r="AC6" s="4" t="str">
        <f t="shared" si="10"/>
        <v/>
      </c>
      <c r="AD6" s="4" t="str">
        <f t="shared" si="11"/>
        <v/>
      </c>
      <c r="AE6" s="4" t="str">
        <f t="shared" si="12"/>
        <v/>
      </c>
      <c r="AF6" s="4" t="str">
        <f t="shared" si="13"/>
        <v/>
      </c>
      <c r="AG6" s="4" t="str">
        <f t="shared" si="14"/>
        <v/>
      </c>
      <c r="AH6" s="4" t="str">
        <f t="shared" si="15"/>
        <v/>
      </c>
      <c r="AI6" s="4" t="str">
        <f t="shared" si="16"/>
        <v/>
      </c>
      <c r="AJ6" s="4" t="str">
        <f t="shared" si="17"/>
        <v/>
      </c>
      <c r="AK6" s="4" t="str">
        <f t="shared" si="18"/>
        <v/>
      </c>
      <c r="AL6" s="4" t="str">
        <f t="shared" si="19"/>
        <v/>
      </c>
      <c r="AM6" s="4" t="str">
        <f t="shared" si="20"/>
        <v/>
      </c>
      <c r="AN6" s="4">
        <f>SUMIFS(BOM!$U:$U,BOM!$Q:$Q,$A6,BOM!$C:$C,"Klemens")*MODUL_GENISLIK_MM</f>
        <v>348</v>
      </c>
      <c r="AO6" s="4" t="str">
        <f t="shared" si="21"/>
        <v/>
      </c>
      <c r="AP6" s="4">
        <f>SUMIFS(DEVRE!$AH:$AH,DEVRE!$A:$A,$A6)</f>
        <v>21</v>
      </c>
      <c r="AQ6" s="4" t="str">
        <f t="shared" si="22"/>
        <v>EKT-280300704</v>
      </c>
      <c r="AR6" s="4" t="str">
        <f t="shared" si="23"/>
        <v>EKT-280300718</v>
      </c>
      <c r="AS6" s="4" t="str">
        <f t="shared" si="24"/>
        <v/>
      </c>
      <c r="AT6" s="4">
        <f>SUMIFS(DEVRE!$AH:$AH,DEVRE!$A:$A,$A6,DEVRE!$P:$P,"OTO")+SUMIFS(DEVRE!$AH:$AH,DEVRE!$A:$A,$A6,DEVRE!$P:$P,"DİF")+SUMIFS(DEVRE!$AH:$AH,DEVRE!$A:$A,$A6,DEVRE!$P:$P,"УЗО")</f>
        <v>18</v>
      </c>
      <c r="AU6" s="4">
        <f t="shared" si="25"/>
        <v>0</v>
      </c>
      <c r="AV6" s="4">
        <f t="shared" si="26"/>
        <v>0</v>
      </c>
      <c r="AW6" s="4">
        <f t="shared" si="27"/>
        <v>0</v>
      </c>
      <c r="AX6" s="4">
        <f>IF($N6=0,"",IF(_xlfn.MAXIFS(DEVRE!$Q:$Q,DEVRE!$A:$A,$A6,DEVRE!$D:$D,"CIKIS")*SELEKTIVITE_ORANI&gt;$N6,1,0))</f>
        <v>0</v>
      </c>
    </row>
    <row r="7" spans="1:50" x14ac:dyDescent="0.35">
      <c r="A7" s="5" t="s">
        <v>144</v>
      </c>
      <c r="B7" s="5" t="s">
        <v>327</v>
      </c>
      <c r="C7" s="5" t="s">
        <v>328</v>
      </c>
      <c r="D7" s="5">
        <v>1</v>
      </c>
      <c r="E7" s="5" t="s">
        <v>329</v>
      </c>
      <c r="F7" s="5" t="s">
        <v>330</v>
      </c>
      <c r="G7" s="5" t="s">
        <v>318</v>
      </c>
      <c r="H7" s="5"/>
      <c r="I7" s="5"/>
      <c r="J7" s="5"/>
      <c r="K7" s="5" t="s">
        <v>320</v>
      </c>
      <c r="L7" s="5">
        <v>0</v>
      </c>
      <c r="M7" s="5" t="s">
        <v>326</v>
      </c>
      <c r="N7" s="4">
        <f>IF(_xlfn.MAXIFS(DEVRE!$Q:$Q,DEVRE!$A:$A,$A7,DEVRE!$D:$D,"ANA",DEVRE!$P:$P,"&lt;&gt;rubilnik")&gt;0,_xlfn.MAXIFS(DEVRE!$Q:$Q,DEVRE!$A:$A,$A7,DEVRE!$D:$D,"ANA",DEVRE!$P:$P,"&lt;&gt;rubilnik"),_xlfn.MAXIFS(DEVRE!$Q:$Q,DEVRE!$A:$A,$A7,DEVRE!$D:$D,"ANA"))</f>
        <v>63</v>
      </c>
      <c r="O7" s="4">
        <f t="shared" si="0"/>
        <v>500</v>
      </c>
      <c r="P7" s="4">
        <f t="shared" si="1"/>
        <v>1000</v>
      </c>
      <c r="Q7" s="4" t="str">
        <f t="shared" si="2"/>
        <v/>
      </c>
      <c r="R7" s="4" t="str">
        <f t="shared" si="3"/>
        <v/>
      </c>
      <c r="S7" s="4">
        <f t="shared" si="4"/>
        <v>0.4</v>
      </c>
      <c r="T7" s="4">
        <f>COUNTIFS(DEVRE!$A:$A,$A7,DEVRE!$D:$D,"CIKIS",DEVRE!$P:$P,"TMŞ",DEVRE!$R:$R,3)</f>
        <v>0</v>
      </c>
      <c r="U7" s="4">
        <f>COUNTIFS(DEVRE!$A:$A,$A7,DEVRE!$D:$D,"CIKIS",DEVRE!$P:$P,"TMŞ",DEVRE!$R:$R,4)</f>
        <v>0</v>
      </c>
      <c r="V7" s="4">
        <f>COUNTIFS(DEVRE!$A:$A,$A7,DEVRE!$D:$D,"ANA",DEVRE!$Q:$Q,"&gt;"&amp;KOPRU_KABLO_MAX_A)</f>
        <v>0</v>
      </c>
      <c r="W7" s="4">
        <f>COUNTIFS(DEVRE!$A:$A,$A7,DEVRE!$D:$D,"ANA",DEVRE!$Q:$Q,"&gt;"&amp;KOPRU_KABLO_MAX_A,DEVRE!$R:$R,4)</f>
        <v>0</v>
      </c>
      <c r="X7" s="4" t="str">
        <f t="shared" si="5"/>
        <v>HAYIR</v>
      </c>
      <c r="Y7" s="4" t="str">
        <f t="shared" si="6"/>
        <v/>
      </c>
      <c r="Z7" s="4" t="str">
        <f t="shared" si="7"/>
        <v/>
      </c>
      <c r="AA7" s="4" t="str">
        <f t="shared" si="8"/>
        <v/>
      </c>
      <c r="AB7" s="4" t="str">
        <f t="shared" si="9"/>
        <v/>
      </c>
      <c r="AC7" s="4" t="str">
        <f t="shared" si="10"/>
        <v/>
      </c>
      <c r="AD7" s="4" t="str">
        <f t="shared" si="11"/>
        <v/>
      </c>
      <c r="AE7" s="4" t="str">
        <f t="shared" si="12"/>
        <v/>
      </c>
      <c r="AF7" s="4" t="str">
        <f t="shared" si="13"/>
        <v/>
      </c>
      <c r="AG7" s="4" t="str">
        <f t="shared" si="14"/>
        <v/>
      </c>
      <c r="AH7" s="4" t="str">
        <f t="shared" si="15"/>
        <v/>
      </c>
      <c r="AI7" s="4" t="str">
        <f t="shared" si="16"/>
        <v/>
      </c>
      <c r="AJ7" s="4" t="str">
        <f t="shared" si="17"/>
        <v/>
      </c>
      <c r="AK7" s="4" t="str">
        <f t="shared" si="18"/>
        <v/>
      </c>
      <c r="AL7" s="4" t="str">
        <f t="shared" si="19"/>
        <v/>
      </c>
      <c r="AM7" s="4" t="str">
        <f t="shared" si="20"/>
        <v/>
      </c>
      <c r="AN7" s="4">
        <f>SUMIFS(BOM!$U:$U,BOM!$Q:$Q,$A7,BOM!$C:$C,"Klemens")*MODUL_GENISLIK_MM</f>
        <v>279</v>
      </c>
      <c r="AO7" s="4" t="str">
        <f t="shared" si="21"/>
        <v/>
      </c>
      <c r="AP7" s="4">
        <f>SUMIFS(DEVRE!$AH:$AH,DEVRE!$A:$A,$A7)</f>
        <v>29</v>
      </c>
      <c r="AQ7" s="4" t="str">
        <f t="shared" si="22"/>
        <v/>
      </c>
      <c r="AR7" s="4" t="str">
        <f t="shared" si="23"/>
        <v/>
      </c>
      <c r="AS7" s="4" t="str">
        <f t="shared" si="24"/>
        <v/>
      </c>
      <c r="AT7" s="4">
        <f>SUMIFS(DEVRE!$AH:$AH,DEVRE!$A:$A,$A7,DEVRE!$P:$P,"OTO")+SUMIFS(DEVRE!$AH:$AH,DEVRE!$A:$A,$A7,DEVRE!$P:$P,"DİF")+SUMIFS(DEVRE!$AH:$AH,DEVRE!$A:$A,$A7,DEVRE!$P:$P,"УЗО")</f>
        <v>26</v>
      </c>
      <c r="AU7" s="4">
        <f t="shared" si="25"/>
        <v>0</v>
      </c>
      <c r="AV7" s="4">
        <f t="shared" si="26"/>
        <v>0</v>
      </c>
      <c r="AW7" s="4">
        <f t="shared" si="27"/>
        <v>0</v>
      </c>
      <c r="AX7" s="4">
        <f>IF($N7=0,"",IF(_xlfn.MAXIFS(DEVRE!$Q:$Q,DEVRE!$A:$A,$A7,DEVRE!$D:$D,"CIKIS")*SELEKTIVITE_ORANI&gt;$N7,1,0))</f>
        <v>0</v>
      </c>
    </row>
    <row r="8" spans="1:50" x14ac:dyDescent="0.35">
      <c r="A8" s="5" t="s">
        <v>156</v>
      </c>
      <c r="B8" s="5" t="s">
        <v>331</v>
      </c>
      <c r="C8" s="5" t="s">
        <v>332</v>
      </c>
      <c r="D8" s="5">
        <v>1</v>
      </c>
      <c r="E8" s="5" t="s">
        <v>333</v>
      </c>
      <c r="F8" s="5" t="s">
        <v>330</v>
      </c>
      <c r="G8" s="5" t="s">
        <v>318</v>
      </c>
      <c r="H8" s="5"/>
      <c r="I8" s="5"/>
      <c r="J8" s="5"/>
      <c r="K8" s="5" t="s">
        <v>320</v>
      </c>
      <c r="L8" s="5">
        <v>0</v>
      </c>
      <c r="M8" s="5" t="s">
        <v>326</v>
      </c>
      <c r="N8" s="4">
        <f>IF(_xlfn.MAXIFS(DEVRE!$Q:$Q,DEVRE!$A:$A,$A8,DEVRE!$D:$D,"ANA",DEVRE!$P:$P,"&lt;&gt;rubilnik")&gt;0,_xlfn.MAXIFS(DEVRE!$Q:$Q,DEVRE!$A:$A,$A8,DEVRE!$D:$D,"ANA",DEVRE!$P:$P,"&lt;&gt;rubilnik"),_xlfn.MAXIFS(DEVRE!$Q:$Q,DEVRE!$A:$A,$A8,DEVRE!$D:$D,"ANA"))</f>
        <v>63</v>
      </c>
      <c r="O8" s="4">
        <f t="shared" si="0"/>
        <v>500</v>
      </c>
      <c r="P8" s="4">
        <f t="shared" si="1"/>
        <v>1150</v>
      </c>
      <c r="Q8" s="4" t="str">
        <f t="shared" si="2"/>
        <v/>
      </c>
      <c r="R8" s="4" t="str">
        <f t="shared" si="3"/>
        <v/>
      </c>
      <c r="S8" s="4">
        <f t="shared" si="4"/>
        <v>0.4</v>
      </c>
      <c r="T8" s="4">
        <f>COUNTIFS(DEVRE!$A:$A,$A8,DEVRE!$D:$D,"CIKIS",DEVRE!$P:$P,"TMŞ",DEVRE!$R:$R,3)</f>
        <v>0</v>
      </c>
      <c r="U8" s="4">
        <f>COUNTIFS(DEVRE!$A:$A,$A8,DEVRE!$D:$D,"CIKIS",DEVRE!$P:$P,"TMŞ",DEVRE!$R:$R,4)</f>
        <v>0</v>
      </c>
      <c r="V8" s="4">
        <f>COUNTIFS(DEVRE!$A:$A,$A8,DEVRE!$D:$D,"ANA",DEVRE!$Q:$Q,"&gt;"&amp;KOPRU_KABLO_MAX_A)</f>
        <v>0</v>
      </c>
      <c r="W8" s="4">
        <f>COUNTIFS(DEVRE!$A:$A,$A8,DEVRE!$D:$D,"ANA",DEVRE!$Q:$Q,"&gt;"&amp;KOPRU_KABLO_MAX_A,DEVRE!$R:$R,4)</f>
        <v>0</v>
      </c>
      <c r="X8" s="4" t="str">
        <f t="shared" si="5"/>
        <v>HAYIR</v>
      </c>
      <c r="Y8" s="4" t="str">
        <f t="shared" si="6"/>
        <v/>
      </c>
      <c r="Z8" s="4" t="str">
        <f t="shared" si="7"/>
        <v/>
      </c>
      <c r="AA8" s="4" t="str">
        <f t="shared" si="8"/>
        <v/>
      </c>
      <c r="AB8" s="4" t="str">
        <f t="shared" si="9"/>
        <v/>
      </c>
      <c r="AC8" s="4" t="str">
        <f t="shared" si="10"/>
        <v/>
      </c>
      <c r="AD8" s="4" t="str">
        <f t="shared" si="11"/>
        <v/>
      </c>
      <c r="AE8" s="4" t="str">
        <f t="shared" si="12"/>
        <v/>
      </c>
      <c r="AF8" s="4" t="str">
        <f t="shared" si="13"/>
        <v/>
      </c>
      <c r="AG8" s="4" t="str">
        <f t="shared" si="14"/>
        <v/>
      </c>
      <c r="AH8" s="4" t="str">
        <f t="shared" si="15"/>
        <v/>
      </c>
      <c r="AI8" s="4" t="str">
        <f t="shared" si="16"/>
        <v/>
      </c>
      <c r="AJ8" s="4" t="str">
        <f t="shared" si="17"/>
        <v/>
      </c>
      <c r="AK8" s="4" t="str">
        <f t="shared" si="18"/>
        <v/>
      </c>
      <c r="AL8" s="4" t="str">
        <f t="shared" si="19"/>
        <v/>
      </c>
      <c r="AM8" s="4" t="str">
        <f t="shared" si="20"/>
        <v/>
      </c>
      <c r="AN8" s="4">
        <f>SUMIFS(BOM!$U:$U,BOM!$Q:$Q,$A8,BOM!$C:$C,"Klemens")*MODUL_GENISLIK_MM</f>
        <v>396.8</v>
      </c>
      <c r="AO8" s="4" t="str">
        <f t="shared" si="21"/>
        <v/>
      </c>
      <c r="AP8" s="4">
        <f>SUMIFS(DEVRE!$AH:$AH,DEVRE!$A:$A,$A8)</f>
        <v>42</v>
      </c>
      <c r="AQ8" s="4" t="str">
        <f t="shared" si="22"/>
        <v/>
      </c>
      <c r="AR8" s="4" t="str">
        <f t="shared" si="23"/>
        <v/>
      </c>
      <c r="AS8" s="4" t="str">
        <f t="shared" si="24"/>
        <v/>
      </c>
      <c r="AT8" s="4">
        <f>SUMIFS(DEVRE!$AH:$AH,DEVRE!$A:$A,$A8,DEVRE!$P:$P,"OTO")+SUMIFS(DEVRE!$AH:$AH,DEVRE!$A:$A,$A8,DEVRE!$P:$P,"DİF")+SUMIFS(DEVRE!$AH:$AH,DEVRE!$A:$A,$A8,DEVRE!$P:$P,"УЗО")</f>
        <v>39</v>
      </c>
      <c r="AU8" s="4">
        <f t="shared" si="25"/>
        <v>0</v>
      </c>
      <c r="AV8" s="4">
        <f t="shared" si="26"/>
        <v>0</v>
      </c>
      <c r="AW8" s="4">
        <f t="shared" si="27"/>
        <v>0</v>
      </c>
      <c r="AX8" s="4">
        <f>IF($N8=0,"",IF(_xlfn.MAXIFS(DEVRE!$Q:$Q,DEVRE!$A:$A,$A8,DEVRE!$D:$D,"CIKIS")*SELEKTIVITE_ORANI&gt;$N8,1,0))</f>
        <v>0</v>
      </c>
    </row>
    <row r="9" spans="1:50" x14ac:dyDescent="0.35">
      <c r="A9" s="5" t="s">
        <v>161</v>
      </c>
      <c r="B9" s="5" t="s">
        <v>334</v>
      </c>
      <c r="C9" s="5" t="s">
        <v>335</v>
      </c>
      <c r="D9" s="5">
        <v>1</v>
      </c>
      <c r="E9" s="5" t="s">
        <v>336</v>
      </c>
      <c r="F9" s="5" t="s">
        <v>330</v>
      </c>
      <c r="G9" s="5" t="s">
        <v>318</v>
      </c>
      <c r="H9" s="5"/>
      <c r="I9" s="5"/>
      <c r="J9" s="5"/>
      <c r="K9" s="5" t="s">
        <v>320</v>
      </c>
      <c r="L9" s="5">
        <v>0</v>
      </c>
      <c r="M9" s="5" t="s">
        <v>326</v>
      </c>
      <c r="N9" s="4">
        <f>IF(_xlfn.MAXIFS(DEVRE!$Q:$Q,DEVRE!$A:$A,$A9,DEVRE!$D:$D,"ANA",DEVRE!$P:$P,"&lt;&gt;rubilnik")&gt;0,_xlfn.MAXIFS(DEVRE!$Q:$Q,DEVRE!$A:$A,$A9,DEVRE!$D:$D,"ANA",DEVRE!$P:$P,"&lt;&gt;rubilnik"),_xlfn.MAXIFS(DEVRE!$Q:$Q,DEVRE!$A:$A,$A9,DEVRE!$D:$D,"ANA"))</f>
        <v>63</v>
      </c>
      <c r="O9" s="4">
        <f t="shared" si="0"/>
        <v>300</v>
      </c>
      <c r="P9" s="4">
        <f t="shared" si="1"/>
        <v>700</v>
      </c>
      <c r="Q9" s="4" t="str">
        <f t="shared" si="2"/>
        <v/>
      </c>
      <c r="R9" s="4" t="str">
        <f t="shared" si="3"/>
        <v/>
      </c>
      <c r="S9" s="4">
        <f t="shared" si="4"/>
        <v>0.19999999999999998</v>
      </c>
      <c r="T9" s="4">
        <f>COUNTIFS(DEVRE!$A:$A,$A9,DEVRE!$D:$D,"CIKIS",DEVRE!$P:$P,"TMŞ",DEVRE!$R:$R,3)</f>
        <v>0</v>
      </c>
      <c r="U9" s="4">
        <f>COUNTIFS(DEVRE!$A:$A,$A9,DEVRE!$D:$D,"CIKIS",DEVRE!$P:$P,"TMŞ",DEVRE!$R:$R,4)</f>
        <v>0</v>
      </c>
      <c r="V9" s="4">
        <f>COUNTIFS(DEVRE!$A:$A,$A9,DEVRE!$D:$D,"ANA",DEVRE!$Q:$Q,"&gt;"&amp;KOPRU_KABLO_MAX_A)</f>
        <v>0</v>
      </c>
      <c r="W9" s="4">
        <f>COUNTIFS(DEVRE!$A:$A,$A9,DEVRE!$D:$D,"ANA",DEVRE!$Q:$Q,"&gt;"&amp;KOPRU_KABLO_MAX_A,DEVRE!$R:$R,4)</f>
        <v>0</v>
      </c>
      <c r="X9" s="4" t="str">
        <f t="shared" si="5"/>
        <v>HAYIR</v>
      </c>
      <c r="Y9" s="4" t="str">
        <f t="shared" si="6"/>
        <v/>
      </c>
      <c r="Z9" s="4" t="str">
        <f t="shared" si="7"/>
        <v/>
      </c>
      <c r="AA9" s="4" t="str">
        <f t="shared" si="8"/>
        <v/>
      </c>
      <c r="AB9" s="4" t="str">
        <f t="shared" si="9"/>
        <v/>
      </c>
      <c r="AC9" s="4" t="str">
        <f t="shared" si="10"/>
        <v/>
      </c>
      <c r="AD9" s="4" t="str">
        <f t="shared" si="11"/>
        <v/>
      </c>
      <c r="AE9" s="4" t="str">
        <f t="shared" si="12"/>
        <v/>
      </c>
      <c r="AF9" s="4" t="str">
        <f t="shared" si="13"/>
        <v/>
      </c>
      <c r="AG9" s="4" t="str">
        <f t="shared" si="14"/>
        <v/>
      </c>
      <c r="AH9" s="4" t="str">
        <f t="shared" si="15"/>
        <v/>
      </c>
      <c r="AI9" s="4" t="str">
        <f t="shared" si="16"/>
        <v/>
      </c>
      <c r="AJ9" s="4" t="str">
        <f t="shared" si="17"/>
        <v/>
      </c>
      <c r="AK9" s="4" t="str">
        <f t="shared" si="18"/>
        <v/>
      </c>
      <c r="AL9" s="4" t="str">
        <f t="shared" si="19"/>
        <v/>
      </c>
      <c r="AM9" s="4" t="str">
        <f t="shared" si="20"/>
        <v/>
      </c>
      <c r="AN9" s="4">
        <f>SUMIFS(BOM!$U:$U,BOM!$Q:$Q,$A9,BOM!$C:$C,"Klemens")*MODUL_GENISLIK_MM</f>
        <v>299.40000000000003</v>
      </c>
      <c r="AO9" s="4" t="str">
        <f t="shared" si="21"/>
        <v/>
      </c>
      <c r="AP9" s="4">
        <f>SUMIFS(DEVRE!$AH:$AH,DEVRE!$A:$A,$A9)</f>
        <v>16</v>
      </c>
      <c r="AQ9" s="4" t="str">
        <f t="shared" si="22"/>
        <v>EKT-280300704</v>
      </c>
      <c r="AR9" s="4" t="str">
        <f t="shared" si="23"/>
        <v>EKT-280300718</v>
      </c>
      <c r="AS9" s="4" t="str">
        <f t="shared" si="24"/>
        <v/>
      </c>
      <c r="AT9" s="4">
        <f>SUMIFS(DEVRE!$AH:$AH,DEVRE!$A:$A,$A9,DEVRE!$P:$P,"OTO")+SUMIFS(DEVRE!$AH:$AH,DEVRE!$A:$A,$A9,DEVRE!$P:$P,"DİF")+SUMIFS(DEVRE!$AH:$AH,DEVRE!$A:$A,$A9,DEVRE!$P:$P,"УЗО")</f>
        <v>13</v>
      </c>
      <c r="AU9" s="4">
        <f t="shared" si="25"/>
        <v>0</v>
      </c>
      <c r="AV9" s="4">
        <f t="shared" si="26"/>
        <v>0</v>
      </c>
      <c r="AW9" s="4">
        <f t="shared" si="27"/>
        <v>0</v>
      </c>
      <c r="AX9" s="4">
        <f>IF($N9=0,"",IF(_xlfn.MAXIFS(DEVRE!$Q:$Q,DEVRE!$A:$A,$A9,DEVRE!$D:$D,"CIKIS")*SELEKTIVITE_ORANI&gt;$N9,1,0))</f>
        <v>1</v>
      </c>
    </row>
    <row r="10" spans="1:50" x14ac:dyDescent="0.35">
      <c r="A10" s="5" t="s">
        <v>180</v>
      </c>
      <c r="B10" s="5" t="s">
        <v>337</v>
      </c>
      <c r="C10" s="5" t="s">
        <v>338</v>
      </c>
      <c r="D10" s="5">
        <v>1</v>
      </c>
      <c r="E10" s="5" t="s">
        <v>336</v>
      </c>
      <c r="F10" s="5" t="s">
        <v>330</v>
      </c>
      <c r="G10" s="5" t="s">
        <v>318</v>
      </c>
      <c r="H10" s="5"/>
      <c r="I10" s="5"/>
      <c r="J10" s="5"/>
      <c r="K10" s="5" t="s">
        <v>320</v>
      </c>
      <c r="L10" s="5">
        <v>0</v>
      </c>
      <c r="M10" s="5" t="s">
        <v>326</v>
      </c>
      <c r="N10" s="4">
        <f>IF(_xlfn.MAXIFS(DEVRE!$Q:$Q,DEVRE!$A:$A,$A10,DEVRE!$D:$D,"ANA",DEVRE!$P:$P,"&lt;&gt;rubilnik")&gt;0,_xlfn.MAXIFS(DEVRE!$Q:$Q,DEVRE!$A:$A,$A10,DEVRE!$D:$D,"ANA",DEVRE!$P:$P,"&lt;&gt;rubilnik"),_xlfn.MAXIFS(DEVRE!$Q:$Q,DEVRE!$A:$A,$A10,DEVRE!$D:$D,"ANA"))</f>
        <v>25</v>
      </c>
      <c r="O10" s="4">
        <f t="shared" si="0"/>
        <v>300</v>
      </c>
      <c r="P10" s="4">
        <f t="shared" si="1"/>
        <v>700</v>
      </c>
      <c r="Q10" s="4" t="str">
        <f t="shared" si="2"/>
        <v/>
      </c>
      <c r="R10" s="4" t="str">
        <f t="shared" si="3"/>
        <v/>
      </c>
      <c r="S10" s="4">
        <f t="shared" si="4"/>
        <v>0.19999999999999998</v>
      </c>
      <c r="T10" s="4">
        <f>COUNTIFS(DEVRE!$A:$A,$A10,DEVRE!$D:$D,"CIKIS",DEVRE!$P:$P,"TMŞ",DEVRE!$R:$R,3)</f>
        <v>0</v>
      </c>
      <c r="U10" s="4">
        <f>COUNTIFS(DEVRE!$A:$A,$A10,DEVRE!$D:$D,"CIKIS",DEVRE!$P:$P,"TMŞ",DEVRE!$R:$R,4)</f>
        <v>0</v>
      </c>
      <c r="V10" s="4">
        <f>COUNTIFS(DEVRE!$A:$A,$A10,DEVRE!$D:$D,"ANA",DEVRE!$Q:$Q,"&gt;"&amp;KOPRU_KABLO_MAX_A)</f>
        <v>0</v>
      </c>
      <c r="W10" s="4">
        <f>COUNTIFS(DEVRE!$A:$A,$A10,DEVRE!$D:$D,"ANA",DEVRE!$Q:$Q,"&gt;"&amp;KOPRU_KABLO_MAX_A,DEVRE!$R:$R,4)</f>
        <v>0</v>
      </c>
      <c r="X10" s="4" t="str">
        <f t="shared" si="5"/>
        <v>HAYIR</v>
      </c>
      <c r="Y10" s="4" t="str">
        <f t="shared" si="6"/>
        <v/>
      </c>
      <c r="Z10" s="4" t="str">
        <f t="shared" si="7"/>
        <v/>
      </c>
      <c r="AA10" s="4" t="str">
        <f t="shared" si="8"/>
        <v/>
      </c>
      <c r="AB10" s="4" t="str">
        <f t="shared" si="9"/>
        <v/>
      </c>
      <c r="AC10" s="4" t="str">
        <f t="shared" si="10"/>
        <v/>
      </c>
      <c r="AD10" s="4" t="str">
        <f t="shared" si="11"/>
        <v/>
      </c>
      <c r="AE10" s="4" t="str">
        <f t="shared" si="12"/>
        <v/>
      </c>
      <c r="AF10" s="4" t="str">
        <f t="shared" si="13"/>
        <v/>
      </c>
      <c r="AG10" s="4" t="str">
        <f t="shared" si="14"/>
        <v/>
      </c>
      <c r="AH10" s="4" t="str">
        <f t="shared" si="15"/>
        <v/>
      </c>
      <c r="AI10" s="4" t="str">
        <f t="shared" si="16"/>
        <v/>
      </c>
      <c r="AJ10" s="4" t="str">
        <f t="shared" si="17"/>
        <v/>
      </c>
      <c r="AK10" s="4" t="str">
        <f t="shared" si="18"/>
        <v/>
      </c>
      <c r="AL10" s="4" t="str">
        <f t="shared" si="19"/>
        <v/>
      </c>
      <c r="AM10" s="4" t="str">
        <f t="shared" si="20"/>
        <v/>
      </c>
      <c r="AN10" s="4">
        <f>SUMIFS(BOM!$U:$U,BOM!$Q:$Q,$A10,BOM!$C:$C,"Klemens")*MODUL_GENISLIK_MM</f>
        <v>298.8</v>
      </c>
      <c r="AO10" s="4" t="str">
        <f t="shared" si="21"/>
        <v/>
      </c>
      <c r="AP10" s="4">
        <f>SUMIFS(DEVRE!$AH:$AH,DEVRE!$A:$A,$A10)</f>
        <v>25</v>
      </c>
      <c r="AQ10" s="4" t="str">
        <f t="shared" si="22"/>
        <v/>
      </c>
      <c r="AR10" s="4" t="str">
        <f t="shared" si="23"/>
        <v/>
      </c>
      <c r="AS10" s="4" t="str">
        <f t="shared" si="24"/>
        <v/>
      </c>
      <c r="AT10" s="4">
        <f>SUMIFS(DEVRE!$AH:$AH,DEVRE!$A:$A,$A10,DEVRE!$P:$P,"OTO")+SUMIFS(DEVRE!$AH:$AH,DEVRE!$A:$A,$A10,DEVRE!$P:$P,"DİF")+SUMIFS(DEVRE!$AH:$AH,DEVRE!$A:$A,$A10,DEVRE!$P:$P,"УЗО")</f>
        <v>22</v>
      </c>
      <c r="AU10" s="4">
        <f t="shared" si="25"/>
        <v>0</v>
      </c>
      <c r="AV10" s="4">
        <f t="shared" si="26"/>
        <v>0</v>
      </c>
      <c r="AW10" s="4">
        <f t="shared" si="27"/>
        <v>0</v>
      </c>
      <c r="AX10" s="4">
        <f>IF($N10=0,"",IF(_xlfn.MAXIFS(DEVRE!$Q:$Q,DEVRE!$A:$A,$A10,DEVRE!$D:$D,"CIKIS")*SELEKTIVITE_ORANI&gt;$N10,1,0))</f>
        <v>1</v>
      </c>
    </row>
    <row r="11" spans="1:50" x14ac:dyDescent="0.35">
      <c r="A11" s="5" t="s">
        <v>186</v>
      </c>
      <c r="B11" s="5" t="s">
        <v>339</v>
      </c>
      <c r="C11" s="5" t="s">
        <v>340</v>
      </c>
      <c r="D11" s="5">
        <v>1</v>
      </c>
      <c r="E11" s="5" t="s">
        <v>341</v>
      </c>
      <c r="F11" s="5" t="s">
        <v>330</v>
      </c>
      <c r="G11" s="5" t="s">
        <v>318</v>
      </c>
      <c r="H11" s="5"/>
      <c r="I11" s="5"/>
      <c r="J11" s="5"/>
      <c r="K11" s="5" t="s">
        <v>320</v>
      </c>
      <c r="L11" s="5">
        <v>0</v>
      </c>
      <c r="M11" s="5" t="s">
        <v>326</v>
      </c>
      <c r="N11" s="4">
        <f>IF(_xlfn.MAXIFS(DEVRE!$Q:$Q,DEVRE!$A:$A,$A11,DEVRE!$D:$D,"ANA",DEVRE!$P:$P,"&lt;&gt;rubilnik")&gt;0,_xlfn.MAXIFS(DEVRE!$Q:$Q,DEVRE!$A:$A,$A11,DEVRE!$D:$D,"ANA",DEVRE!$P:$P,"&lt;&gt;rubilnik"),_xlfn.MAXIFS(DEVRE!$Q:$Q,DEVRE!$A:$A,$A11,DEVRE!$D:$D,"ANA"))</f>
        <v>25</v>
      </c>
      <c r="O11" s="4">
        <f t="shared" si="0"/>
        <v>450</v>
      </c>
      <c r="P11" s="4">
        <f t="shared" si="1"/>
        <v>275</v>
      </c>
      <c r="Q11" s="4" t="str">
        <f t="shared" si="2"/>
        <v/>
      </c>
      <c r="R11" s="4" t="str">
        <f t="shared" si="3"/>
        <v/>
      </c>
      <c r="S11" s="4">
        <f t="shared" si="4"/>
        <v>0.35</v>
      </c>
      <c r="T11" s="4">
        <f>COUNTIFS(DEVRE!$A:$A,$A11,DEVRE!$D:$D,"CIKIS",DEVRE!$P:$P,"TMŞ",DEVRE!$R:$R,3)</f>
        <v>0</v>
      </c>
      <c r="U11" s="4">
        <f>COUNTIFS(DEVRE!$A:$A,$A11,DEVRE!$D:$D,"CIKIS",DEVRE!$P:$P,"TMŞ",DEVRE!$R:$R,4)</f>
        <v>0</v>
      </c>
      <c r="V11" s="4">
        <f>COUNTIFS(DEVRE!$A:$A,$A11,DEVRE!$D:$D,"ANA",DEVRE!$Q:$Q,"&gt;"&amp;KOPRU_KABLO_MAX_A)</f>
        <v>0</v>
      </c>
      <c r="W11" s="4">
        <f>COUNTIFS(DEVRE!$A:$A,$A11,DEVRE!$D:$D,"ANA",DEVRE!$Q:$Q,"&gt;"&amp;KOPRU_KABLO_MAX_A,DEVRE!$R:$R,4)</f>
        <v>0</v>
      </c>
      <c r="X11" s="4" t="str">
        <f t="shared" si="5"/>
        <v>HAYIR</v>
      </c>
      <c r="Y11" s="4" t="str">
        <f t="shared" si="6"/>
        <v/>
      </c>
      <c r="Z11" s="4" t="str">
        <f t="shared" si="7"/>
        <v/>
      </c>
      <c r="AA11" s="4" t="str">
        <f t="shared" si="8"/>
        <v/>
      </c>
      <c r="AB11" s="4" t="str">
        <f t="shared" si="9"/>
        <v/>
      </c>
      <c r="AC11" s="4" t="str">
        <f t="shared" si="10"/>
        <v/>
      </c>
      <c r="AD11" s="4" t="str">
        <f t="shared" si="11"/>
        <v/>
      </c>
      <c r="AE11" s="4" t="str">
        <f t="shared" si="12"/>
        <v/>
      </c>
      <c r="AF11" s="4" t="str">
        <f t="shared" si="13"/>
        <v/>
      </c>
      <c r="AG11" s="4" t="str">
        <f t="shared" si="14"/>
        <v/>
      </c>
      <c r="AH11" s="4" t="str">
        <f t="shared" si="15"/>
        <v/>
      </c>
      <c r="AI11" s="4" t="str">
        <f t="shared" si="16"/>
        <v/>
      </c>
      <c r="AJ11" s="4" t="str">
        <f t="shared" si="17"/>
        <v/>
      </c>
      <c r="AK11" s="4" t="str">
        <f t="shared" si="18"/>
        <v/>
      </c>
      <c r="AL11" s="4" t="str">
        <f t="shared" si="19"/>
        <v/>
      </c>
      <c r="AM11" s="4" t="str">
        <f t="shared" si="20"/>
        <v/>
      </c>
      <c r="AN11" s="4">
        <f>SUMIFS(BOM!$U:$U,BOM!$Q:$Q,$A11,BOM!$C:$C,"Klemens")*MODUL_GENISLIK_MM</f>
        <v>93.4</v>
      </c>
      <c r="AO11" s="4" t="str">
        <f t="shared" si="21"/>
        <v/>
      </c>
      <c r="AP11" s="4">
        <f>SUMIFS(DEVRE!$AH:$AH,DEVRE!$A:$A,$A11)</f>
        <v>8</v>
      </c>
      <c r="AQ11" s="4" t="str">
        <f t="shared" si="22"/>
        <v>EKT-280300704</v>
      </c>
      <c r="AR11" s="4" t="str">
        <f t="shared" si="23"/>
        <v>EKT-280300718</v>
      </c>
      <c r="AS11" s="4" t="str">
        <f t="shared" si="24"/>
        <v/>
      </c>
      <c r="AT11" s="4">
        <f>SUMIFS(DEVRE!$AH:$AH,DEVRE!$A:$A,$A11,DEVRE!$P:$P,"OTO")+SUMIFS(DEVRE!$AH:$AH,DEVRE!$A:$A,$A11,DEVRE!$P:$P,"DİF")+SUMIFS(DEVRE!$AH:$AH,DEVRE!$A:$A,$A11,DEVRE!$P:$P,"УЗО")</f>
        <v>5</v>
      </c>
      <c r="AU11" s="4">
        <f t="shared" si="25"/>
        <v>0</v>
      </c>
      <c r="AV11" s="4">
        <f t="shared" si="26"/>
        <v>0</v>
      </c>
      <c r="AW11" s="4">
        <f t="shared" si="27"/>
        <v>0</v>
      </c>
      <c r="AX11" s="4">
        <f>IF($N11=0,"",IF(_xlfn.MAXIFS(DEVRE!$Q:$Q,DEVRE!$A:$A,$A11,DEVRE!$D:$D,"CIKIS")*SELEKTIVITE_ORANI&gt;$N11,1,0))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8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5" max="5" width="34" customWidth="1"/>
  </cols>
  <sheetData>
    <row r="1" spans="1:42" x14ac:dyDescent="0.35">
      <c r="A1" s="1" t="s">
        <v>16</v>
      </c>
      <c r="B1" s="1" t="s">
        <v>342</v>
      </c>
      <c r="C1" s="1" t="s">
        <v>267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18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360</v>
      </c>
      <c r="W1" s="1" t="s">
        <v>361</v>
      </c>
      <c r="X1" s="1" t="s">
        <v>362</v>
      </c>
      <c r="Y1" s="1" t="s">
        <v>363</v>
      </c>
      <c r="Z1" s="1" t="s">
        <v>364</v>
      </c>
      <c r="AA1" s="1" t="s">
        <v>365</v>
      </c>
      <c r="AB1" s="1" t="s">
        <v>366</v>
      </c>
      <c r="AC1" s="1" t="s">
        <v>367</v>
      </c>
      <c r="AD1" s="1" t="s">
        <v>368</v>
      </c>
      <c r="AE1" s="1" t="s">
        <v>369</v>
      </c>
      <c r="AF1" s="1" t="s">
        <v>370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377</v>
      </c>
      <c r="AN1" s="1" t="s">
        <v>378</v>
      </c>
      <c r="AO1" s="1" t="s">
        <v>379</v>
      </c>
      <c r="AP1" s="1" t="s">
        <v>13</v>
      </c>
    </row>
    <row r="2" spans="1:42" x14ac:dyDescent="0.35">
      <c r="A2" s="5" t="s">
        <v>30</v>
      </c>
      <c r="B2" s="5" t="s">
        <v>380</v>
      </c>
      <c r="C2" s="5" t="s">
        <v>37</v>
      </c>
      <c r="D2" s="5" t="s">
        <v>381</v>
      </c>
      <c r="E2" s="5" t="s">
        <v>382</v>
      </c>
      <c r="F2" s="5" t="s">
        <v>383</v>
      </c>
      <c r="G2" s="6"/>
      <c r="H2" s="6"/>
      <c r="I2" s="6"/>
      <c r="J2" s="5" t="s">
        <v>384</v>
      </c>
      <c r="K2" s="6"/>
      <c r="L2" s="5" t="s">
        <v>385</v>
      </c>
      <c r="M2" s="5" t="s">
        <v>386</v>
      </c>
      <c r="N2" s="6"/>
      <c r="O2" s="6"/>
      <c r="P2" s="4" t="str">
        <f t="shared" ref="P2:P33" si="0">IF($C2="","",INDEX(FIYAT_TIP,MATCH($C2,FIYAT_KOD,0)))</f>
        <v>TMŞ</v>
      </c>
      <c r="Q2" s="4">
        <f t="shared" ref="Q2:Q33" si="1">IF($C2="","",IF(INDEX(FIYAT_IN,MATCH($C2,FIYAT_KOD,0))="","",INDEX(FIYAT_IN,MATCH($C2,FIYAT_KOD,0))))</f>
        <v>125</v>
      </c>
      <c r="R2" s="4">
        <f t="shared" ref="R2:R33" si="2">IF($C2="","",IF(INDEX(FIYAT_KUTUP,MATCH($C2,FIYAT_KOD,0))="","",INDEX(FIYAT_KUTUP,MATCH($C2,FIYAT_KOD,0))))</f>
        <v>3</v>
      </c>
      <c r="S2" s="4">
        <f t="shared" ref="S2:S33" si="3">IF($C2="","",IF(INDEX(FIYAT_KA,MATCH($C2,FIYAT_KOD,0))="","",INDEX(FIYAT_KA,MATCH($C2,FIYAT_KOD,0))))</f>
        <v>36</v>
      </c>
      <c r="T2" s="4">
        <f t="shared" ref="T2:T33" si="4">IF($C2="","",IF(AND($P2="fu",$F2="L123"),3,1))</f>
        <v>1</v>
      </c>
      <c r="U2" s="4" t="str">
        <f t="shared" ref="U2:U33" si="5">IF($H2="","",IF($D2="OLCU",3,IF(IF(INDEX(FIYAT_KUTUP,MATCH($H2,FIYAT_KOD,0))="","",INDEX(FIYAT_KUTUP,MATCH($H2,FIYAT_KOD,0)))="","",$T2/IF(INDEX(FIYAT_KUTUP,MATCH($H2,FIYAT_KOD,0))="","",INDEX(FIYAT_KUTUP,MATCH($H2,FIYAT_KOD,0))))))</f>
        <v/>
      </c>
      <c r="V2" s="4">
        <f t="shared" ref="V2:V33" si="6">IF(OR($D2="YEDEK",$C2=""),"",IF($D2="KUMANDA",KUMANDA_KESIT,IF($D2="OLCU",OLCU_KESIT,IF(OR($Q2="",$Q2&gt;KABLO_MAX_A,AND($D2="ANA",$Q2&gt;KOPRU_KABLO_MAX_A)),"",INDEX(KABLO_KESIT,MATCH($Q2,KABLO_IN_ALT,1))))))</f>
        <v>35</v>
      </c>
      <c r="W2" s="4">
        <f t="shared" ref="W2:W33" si="7">IF($V2="","",IF(OR($Q2="",$D2&lt;&gt;"CIKIS"),1,INDEX(KABLO_PARALEL,MATCH($Q2,KABLO_IN_ALT,1))))</f>
        <v>1</v>
      </c>
      <c r="X2" s="4">
        <f t="shared" ref="X2:X33" si="8">IF($V2="","",IF($R2="",1,$R2)*$W2)</f>
        <v>3</v>
      </c>
      <c r="Y2" s="4" t="str">
        <f t="shared" ref="Y2:Y33" si="9">IF(OR($D2&lt;&gt;"CIKIS",$V2=""),"",IF(NPE_YOLU="KLEMENS",IF($G2="YOK",0,IF(OR($R2=1,$R2=3),1,0))+1,0)*$W2)</f>
        <v/>
      </c>
      <c r="Z2" s="4">
        <f t="shared" ref="Z2:Z33" si="10">IF($V2="","",IF($D2="OLCU",KABLO_M_SAYAC+3*2*KABLO_M_AT,IF($D2="KUMANDA",$X2*KABLO_M_KUMANDA,($X2+IF($Y2="",0,$Y2))*IF($P2="TMŞ",KABLO_M_MCCB,KABLO_M_MODULER))))</f>
        <v>2.4000000000000004</v>
      </c>
      <c r="AA2" s="4" t="str">
        <f t="shared" ref="AA2:AA33" si="11">IF(OR($D2&lt;&gt;"CIKIS",$V2=""),"",$R2+IF(NPE_YOLU="KLEMENS",IF($G2="YOK",0,IF(OR($R2=1,$R2=3),1,0)),0))</f>
        <v/>
      </c>
      <c r="AB2" s="4" t="str">
        <f t="shared" ref="AB2:AB33" si="12">IF($AA2="","",IF(NPE_YOLU="KLEMENS",1,0))</f>
        <v/>
      </c>
      <c r="AC2" s="4" t="str">
        <f t="shared" ref="AC2:AC33" si="13">IF($AA2="","",MAX($V2,IF($K2="",0,$K2)))</f>
        <v/>
      </c>
      <c r="AD2" s="4" t="str">
        <f t="shared" ref="AD2:AD33" si="14">IF($AA2="","",IF(INDEX(KLEMENS_KLEM,MATCH($AC2,KLEMENS_ALT,1))="","",INDEX(KLEMENS_KLEM,MATCH($AC2,KLEMENS_ALT,1))))</f>
        <v/>
      </c>
      <c r="AE2" s="4" t="str">
        <f t="shared" ref="AE2:AE33" si="15">IF(AND($AD2="",$I2=""),"",IF($AD2="",0,($AA2+$AB2)*INDEX(KLEMENS_MM,MATCH($AC2,KLEMENS_ALT,1)))+IF($I2="",0,$I2*INDEX(KLEMENS_MM,MATCH(SINYAL_KLEMENS_KESIT,KLEMENS_KLEM,0))))</f>
        <v/>
      </c>
      <c r="AF2" s="4" t="str">
        <f>IF(AND($AD2="",$I2=""),"",_xlfn.MAXIFS($AG$1:$AG1,$A$1:$A1,$A2)+1)</f>
        <v/>
      </c>
      <c r="AG2" s="4" t="str">
        <f t="shared" ref="AG2:AG33" si="16">IF($AF2="","",$AF2+IF($AD2="",0,$AA2+$AB2)+IF($I2="",0,$I2)-1)</f>
        <v/>
      </c>
      <c r="AH2" s="4" t="str">
        <f t="shared" ref="AH2:AH33" si="17">IF($C2="","",IF(IF(INDEX(FIYAT_MODUL,MATCH($C2,FIYAT_KOD,0))="","",INDEX(FIYAT_MODUL,MATCH($C2,FIYAT_KOD,0)))="","",IF(INDEX(FIYAT_MODUL,MATCH($C2,FIYAT_KOD,0))="","",INDEX(FIYAT_MODUL,MATCH($C2,FIYAT_KOD,0)))*$T2))</f>
        <v/>
      </c>
      <c r="AI2" s="4">
        <f t="shared" ref="AI2:AI33" si="18">IF($V2="","",IF($V2&gt;=PABUC_ESIK_MM2,($X2+IF($Y2="",0,$Y2))*2,0))</f>
        <v>6</v>
      </c>
      <c r="AJ2" s="4">
        <f t="shared" ref="AJ2:AJ33" si="19">IF($V2="","",IF($V2&lt;=YUKSUK_ESIK_MM2,ROUNDUP(($X2+IF($Y2="",0,$Y2))*2*YUKSUK_FIRE,0),0))</f>
        <v>0</v>
      </c>
      <c r="AK2" s="4">
        <f t="shared" ref="AK2:AK33" si="20">IF($V2="","",($X2+IF($Y2="",0,$Y2))*2)</f>
        <v>6</v>
      </c>
      <c r="AL2" s="4" t="str">
        <f t="shared" ref="AL2:AL33" si="21">IF($V2="","",IF($D2="KUMANDA","siyah (AC) / mavi-kırmızı (DC)",IF($F2="L123","L1 sarı · L2 yeşil · L3 kırmızı",IF($F2="L1","sarı",IF($F2="L2","yeşil",IF($F2="L3","kırmızı",""))))&amp;IF($G2="YOK",""," · N mavi")&amp;" · PE sarı-yeşil"))</f>
        <v>L1 sarı · L2 yeşil · L3 kırmızı · N mavi · PE sarı-yeşil</v>
      </c>
      <c r="AM2" s="4">
        <f t="shared" ref="AM2:AM33" si="22">MAX(IF($N2="",0,INDEX(DURUM_SEV,MATCH($N2,DURUM_LIST,0))),IF($L2="",0,INDEX(KAYNAK_SEV,MATCH($L2,KAYNAK_TIPI_LIST,0))))</f>
        <v>0</v>
      </c>
      <c r="AN2" s="4" t="str">
        <f t="shared" ref="AN2:AN33" si="23">IF(OR($C2="",$O2="EVET",$P2="rubilnik",$P2="fu",AND($D2&lt;&gt;"ANA",$D2&lt;&gt;"CIKIS")),"",IF(INDEX(PANO_ICU,MATCH($A2,PANO_ID,0))="","",IF(OR($S2="",$S2&lt;INDEX(PANO_ICU,MATCH($A2,PANO_ID,0))),1,0)))</f>
        <v/>
      </c>
      <c r="AO2" s="4" t="str">
        <f t="shared" ref="AO2:AO33" si="24">IF($C2="","",IF(INDEX(FIYAT_KUTUP_AD,MATCH($C2,FIYAT_KOD,0))="","",INDEX(FIYAT_KUTUP_AD,MATCH($C2,FIYAT_KOD,0))))</f>
        <v>3P</v>
      </c>
    </row>
    <row r="3" spans="1:42" x14ac:dyDescent="0.35">
      <c r="A3" s="5" t="s">
        <v>30</v>
      </c>
      <c r="B3" s="5" t="s">
        <v>387</v>
      </c>
      <c r="C3" s="5" t="s">
        <v>37</v>
      </c>
      <c r="D3" s="5" t="s">
        <v>381</v>
      </c>
      <c r="E3" s="5" t="s">
        <v>388</v>
      </c>
      <c r="F3" s="5" t="s">
        <v>383</v>
      </c>
      <c r="G3" s="6"/>
      <c r="H3" s="6"/>
      <c r="I3" s="6"/>
      <c r="J3" s="5" t="s">
        <v>384</v>
      </c>
      <c r="K3" s="6"/>
      <c r="L3" s="5" t="s">
        <v>385</v>
      </c>
      <c r="M3" s="5" t="s">
        <v>389</v>
      </c>
      <c r="N3" s="6"/>
      <c r="O3" s="6"/>
      <c r="P3" s="4" t="str">
        <f t="shared" si="0"/>
        <v>TMŞ</v>
      </c>
      <c r="Q3" s="4">
        <f t="shared" si="1"/>
        <v>125</v>
      </c>
      <c r="R3" s="4">
        <f t="shared" si="2"/>
        <v>3</v>
      </c>
      <c r="S3" s="4">
        <f t="shared" si="3"/>
        <v>36</v>
      </c>
      <c r="T3" s="4">
        <f t="shared" si="4"/>
        <v>1</v>
      </c>
      <c r="U3" s="4" t="str">
        <f t="shared" si="5"/>
        <v/>
      </c>
      <c r="V3" s="4">
        <f t="shared" si="6"/>
        <v>35</v>
      </c>
      <c r="W3" s="4">
        <f t="shared" si="7"/>
        <v>1</v>
      </c>
      <c r="X3" s="4">
        <f t="shared" si="8"/>
        <v>3</v>
      </c>
      <c r="Y3" s="4" t="str">
        <f t="shared" si="9"/>
        <v/>
      </c>
      <c r="Z3" s="4">
        <f t="shared" si="10"/>
        <v>2.4000000000000004</v>
      </c>
      <c r="AA3" s="4" t="str">
        <f t="shared" si="11"/>
        <v/>
      </c>
      <c r="AB3" s="4" t="str">
        <f t="shared" si="12"/>
        <v/>
      </c>
      <c r="AC3" s="4" t="str">
        <f t="shared" si="13"/>
        <v/>
      </c>
      <c r="AD3" s="4" t="str">
        <f t="shared" si="14"/>
        <v/>
      </c>
      <c r="AE3" s="4" t="str">
        <f t="shared" si="15"/>
        <v/>
      </c>
      <c r="AF3" s="4" t="str">
        <f>IF(AND($AD3="",$I3=""),"",_xlfn.MAXIFS($AG$1:$AG2,$A$1:$A2,$A3)+1)</f>
        <v/>
      </c>
      <c r="AG3" s="4" t="str">
        <f t="shared" si="16"/>
        <v/>
      </c>
      <c r="AH3" s="4" t="str">
        <f t="shared" si="17"/>
        <v/>
      </c>
      <c r="AI3" s="4">
        <f t="shared" si="18"/>
        <v>6</v>
      </c>
      <c r="AJ3" s="4">
        <f t="shared" si="19"/>
        <v>0</v>
      </c>
      <c r="AK3" s="4">
        <f t="shared" si="20"/>
        <v>6</v>
      </c>
      <c r="AL3" s="4" t="str">
        <f t="shared" si="21"/>
        <v>L1 sarı · L2 yeşil · L3 kırmızı · N mavi · PE sarı-yeşil</v>
      </c>
      <c r="AM3" s="4">
        <f t="shared" si="22"/>
        <v>0</v>
      </c>
      <c r="AN3" s="4" t="str">
        <f t="shared" si="23"/>
        <v/>
      </c>
      <c r="AO3" s="4" t="str">
        <f t="shared" si="24"/>
        <v>3P</v>
      </c>
    </row>
    <row r="4" spans="1:42" x14ac:dyDescent="0.35">
      <c r="A4" s="5" t="s">
        <v>30</v>
      </c>
      <c r="B4" s="5" t="s">
        <v>390</v>
      </c>
      <c r="C4" s="5" t="s">
        <v>49</v>
      </c>
      <c r="D4" s="5" t="s">
        <v>391</v>
      </c>
      <c r="E4" s="5" t="s">
        <v>392</v>
      </c>
      <c r="F4" s="5" t="s">
        <v>383</v>
      </c>
      <c r="G4" s="6"/>
      <c r="H4" s="6"/>
      <c r="I4" s="6"/>
      <c r="J4" s="5" t="s">
        <v>393</v>
      </c>
      <c r="K4" s="5">
        <v>50</v>
      </c>
      <c r="L4" s="5" t="s">
        <v>385</v>
      </c>
      <c r="M4" s="5" t="s">
        <v>394</v>
      </c>
      <c r="N4" s="6"/>
      <c r="O4" s="6"/>
      <c r="P4" s="4" t="str">
        <f t="shared" si="0"/>
        <v>OTO</v>
      </c>
      <c r="Q4" s="4">
        <f t="shared" si="1"/>
        <v>100</v>
      </c>
      <c r="R4" s="4">
        <f t="shared" si="2"/>
        <v>3</v>
      </c>
      <c r="S4" s="4">
        <f t="shared" si="3"/>
        <v>10</v>
      </c>
      <c r="T4" s="4">
        <f t="shared" si="4"/>
        <v>1</v>
      </c>
      <c r="U4" s="4" t="str">
        <f t="shared" si="5"/>
        <v/>
      </c>
      <c r="V4" s="4">
        <f t="shared" si="6"/>
        <v>25</v>
      </c>
      <c r="W4" s="4">
        <f t="shared" si="7"/>
        <v>1</v>
      </c>
      <c r="X4" s="4">
        <f t="shared" si="8"/>
        <v>3</v>
      </c>
      <c r="Y4" s="4">
        <f t="shared" si="9"/>
        <v>2</v>
      </c>
      <c r="Z4" s="4">
        <f t="shared" si="10"/>
        <v>6</v>
      </c>
      <c r="AA4" s="4">
        <f t="shared" si="11"/>
        <v>4</v>
      </c>
      <c r="AB4" s="4">
        <f t="shared" si="12"/>
        <v>1</v>
      </c>
      <c r="AC4" s="4">
        <f t="shared" si="13"/>
        <v>50</v>
      </c>
      <c r="AD4" s="4" t="str">
        <f t="shared" si="14"/>
        <v/>
      </c>
      <c r="AE4" s="4" t="str">
        <f t="shared" si="15"/>
        <v/>
      </c>
      <c r="AF4" s="4" t="str">
        <f>IF(AND($AD4="",$I4=""),"",_xlfn.MAXIFS($AG$1:$AG3,$A$1:$A3,$A4)+1)</f>
        <v/>
      </c>
      <c r="AG4" s="4" t="str">
        <f t="shared" si="16"/>
        <v/>
      </c>
      <c r="AH4" s="4">
        <f t="shared" si="17"/>
        <v>3</v>
      </c>
      <c r="AI4" s="4">
        <f t="shared" si="18"/>
        <v>10</v>
      </c>
      <c r="AJ4" s="4">
        <f t="shared" si="19"/>
        <v>0</v>
      </c>
      <c r="AK4" s="4">
        <f t="shared" si="20"/>
        <v>10</v>
      </c>
      <c r="AL4" s="4" t="str">
        <f t="shared" si="21"/>
        <v>L1 sarı · L2 yeşil · L3 kırmızı · N mavi · PE sarı-yeşil</v>
      </c>
      <c r="AM4" s="4">
        <f t="shared" si="22"/>
        <v>0</v>
      </c>
      <c r="AN4" s="4" t="str">
        <f t="shared" si="23"/>
        <v/>
      </c>
      <c r="AO4" s="4" t="str">
        <f t="shared" si="24"/>
        <v>3P</v>
      </c>
      <c r="AP4" s="4" t="s">
        <v>395</v>
      </c>
    </row>
    <row r="5" spans="1:42" x14ac:dyDescent="0.35">
      <c r="A5" s="5" t="s">
        <v>30</v>
      </c>
      <c r="B5" s="5" t="s">
        <v>396</v>
      </c>
      <c r="C5" s="5" t="s">
        <v>42</v>
      </c>
      <c r="D5" s="5" t="s">
        <v>397</v>
      </c>
      <c r="E5" s="5" t="s">
        <v>398</v>
      </c>
      <c r="F5" s="5" t="s">
        <v>383</v>
      </c>
      <c r="G5" s="6"/>
      <c r="H5" s="5" t="s">
        <v>46</v>
      </c>
      <c r="I5" s="6"/>
      <c r="J5" s="6"/>
      <c r="K5" s="6"/>
      <c r="L5" s="5" t="s">
        <v>385</v>
      </c>
      <c r="M5" s="5" t="s">
        <v>399</v>
      </c>
      <c r="N5" s="6"/>
      <c r="O5" s="6"/>
      <c r="P5" s="4" t="str">
        <f t="shared" si="0"/>
        <v>sayac</v>
      </c>
      <c r="Q5" s="4" t="str">
        <f t="shared" si="1"/>
        <v/>
      </c>
      <c r="R5" s="4">
        <f t="shared" si="2"/>
        <v>3</v>
      </c>
      <c r="S5" s="4" t="str">
        <f t="shared" si="3"/>
        <v/>
      </c>
      <c r="T5" s="4">
        <f t="shared" si="4"/>
        <v>1</v>
      </c>
      <c r="U5" s="4">
        <f t="shared" si="5"/>
        <v>3</v>
      </c>
      <c r="V5" s="4">
        <f t="shared" si="6"/>
        <v>2.5</v>
      </c>
      <c r="W5" s="4">
        <f t="shared" si="7"/>
        <v>1</v>
      </c>
      <c r="X5" s="4">
        <f t="shared" si="8"/>
        <v>3</v>
      </c>
      <c r="Y5" s="4" t="str">
        <f t="shared" si="9"/>
        <v/>
      </c>
      <c r="Z5" s="4">
        <f t="shared" si="10"/>
        <v>15</v>
      </c>
      <c r="AA5" s="4" t="str">
        <f t="shared" si="11"/>
        <v/>
      </c>
      <c r="AB5" s="4" t="str">
        <f t="shared" si="12"/>
        <v/>
      </c>
      <c r="AC5" s="4" t="str">
        <f t="shared" si="13"/>
        <v/>
      </c>
      <c r="AD5" s="4" t="str">
        <f t="shared" si="14"/>
        <v/>
      </c>
      <c r="AE5" s="4" t="str">
        <f t="shared" si="15"/>
        <v/>
      </c>
      <c r="AF5" s="4" t="str">
        <f>IF(AND($AD5="",$I5=""),"",_xlfn.MAXIFS($AG$1:$AG4,$A$1:$A4,$A5)+1)</f>
        <v/>
      </c>
      <c r="AG5" s="4" t="str">
        <f t="shared" si="16"/>
        <v/>
      </c>
      <c r="AH5" s="4" t="str">
        <f t="shared" si="17"/>
        <v/>
      </c>
      <c r="AI5" s="4">
        <f t="shared" si="18"/>
        <v>0</v>
      </c>
      <c r="AJ5" s="4">
        <f t="shared" si="19"/>
        <v>7</v>
      </c>
      <c r="AK5" s="4">
        <f t="shared" si="20"/>
        <v>6</v>
      </c>
      <c r="AL5" s="4" t="str">
        <f t="shared" si="21"/>
        <v>L1 sarı · L2 yeşil · L3 kırmızı · N mavi · PE sarı-yeşil</v>
      </c>
      <c r="AM5" s="4">
        <f t="shared" si="22"/>
        <v>0</v>
      </c>
      <c r="AN5" s="4" t="str">
        <f t="shared" si="23"/>
        <v/>
      </c>
      <c r="AO5" s="4" t="str">
        <f t="shared" si="24"/>
        <v/>
      </c>
    </row>
    <row r="6" spans="1:42" x14ac:dyDescent="0.35">
      <c r="A6" s="5" t="s">
        <v>30</v>
      </c>
      <c r="B6" s="5" t="s">
        <v>400</v>
      </c>
      <c r="C6" s="5" t="s">
        <v>61</v>
      </c>
      <c r="D6" s="5" t="s">
        <v>401</v>
      </c>
      <c r="E6" s="5" t="s">
        <v>402</v>
      </c>
      <c r="F6" s="5" t="s">
        <v>403</v>
      </c>
      <c r="G6" s="6"/>
      <c r="H6" s="6"/>
      <c r="I6" s="6"/>
      <c r="J6" s="6"/>
      <c r="K6" s="6"/>
      <c r="L6" s="5" t="s">
        <v>385</v>
      </c>
      <c r="M6" s="5" t="s">
        <v>404</v>
      </c>
      <c r="N6" s="6"/>
      <c r="O6" s="6"/>
      <c r="P6" s="4" t="str">
        <f t="shared" si="0"/>
        <v>OTO</v>
      </c>
      <c r="Q6" s="4">
        <f t="shared" si="1"/>
        <v>6</v>
      </c>
      <c r="R6" s="4">
        <f t="shared" si="2"/>
        <v>1</v>
      </c>
      <c r="S6" s="4">
        <f t="shared" si="3"/>
        <v>6</v>
      </c>
      <c r="T6" s="4">
        <f t="shared" si="4"/>
        <v>1</v>
      </c>
      <c r="U6" s="4" t="str">
        <f t="shared" si="5"/>
        <v/>
      </c>
      <c r="V6" s="4">
        <f t="shared" si="6"/>
        <v>1.5</v>
      </c>
      <c r="W6" s="4">
        <f t="shared" si="7"/>
        <v>1</v>
      </c>
      <c r="X6" s="4">
        <f t="shared" si="8"/>
        <v>1</v>
      </c>
      <c r="Y6" s="4" t="str">
        <f t="shared" si="9"/>
        <v/>
      </c>
      <c r="Z6" s="4">
        <f t="shared" si="10"/>
        <v>2.5</v>
      </c>
      <c r="AA6" s="4" t="str">
        <f t="shared" si="11"/>
        <v/>
      </c>
      <c r="AB6" s="4" t="str">
        <f t="shared" si="12"/>
        <v/>
      </c>
      <c r="AC6" s="4" t="str">
        <f t="shared" si="13"/>
        <v/>
      </c>
      <c r="AD6" s="4" t="str">
        <f t="shared" si="14"/>
        <v/>
      </c>
      <c r="AE6" s="4" t="str">
        <f t="shared" si="15"/>
        <v/>
      </c>
      <c r="AF6" s="4" t="str">
        <f>IF(AND($AD6="",$I6=""),"",_xlfn.MAXIFS($AG$1:$AG5,$A$1:$A5,$A6)+1)</f>
        <v/>
      </c>
      <c r="AG6" s="4" t="str">
        <f t="shared" si="16"/>
        <v/>
      </c>
      <c r="AH6" s="4">
        <f t="shared" si="17"/>
        <v>1</v>
      </c>
      <c r="AI6" s="4">
        <f t="shared" si="18"/>
        <v>0</v>
      </c>
      <c r="AJ6" s="4">
        <f t="shared" si="19"/>
        <v>3</v>
      </c>
      <c r="AK6" s="4">
        <f t="shared" si="20"/>
        <v>2</v>
      </c>
      <c r="AL6" s="4" t="str">
        <f t="shared" si="21"/>
        <v>siyah (AC) / mavi-kırmızı (DC)</v>
      </c>
      <c r="AM6" s="4">
        <f t="shared" si="22"/>
        <v>0</v>
      </c>
      <c r="AN6" s="4" t="str">
        <f t="shared" si="23"/>
        <v/>
      </c>
      <c r="AO6" s="4" t="str">
        <f t="shared" si="24"/>
        <v>1P</v>
      </c>
    </row>
    <row r="7" spans="1:42" x14ac:dyDescent="0.35">
      <c r="A7" s="5" t="s">
        <v>30</v>
      </c>
      <c r="B7" s="5" t="s">
        <v>405</v>
      </c>
      <c r="C7" s="5" t="s">
        <v>61</v>
      </c>
      <c r="D7" s="5" t="s">
        <v>401</v>
      </c>
      <c r="E7" s="5" t="s">
        <v>406</v>
      </c>
      <c r="F7" s="5" t="s">
        <v>403</v>
      </c>
      <c r="G7" s="6"/>
      <c r="H7" s="6"/>
      <c r="I7" s="6"/>
      <c r="J7" s="6"/>
      <c r="K7" s="6"/>
      <c r="L7" s="5" t="s">
        <v>385</v>
      </c>
      <c r="M7" s="5" t="s">
        <v>407</v>
      </c>
      <c r="N7" s="6"/>
      <c r="O7" s="6"/>
      <c r="P7" s="4" t="str">
        <f t="shared" si="0"/>
        <v>OTO</v>
      </c>
      <c r="Q7" s="4">
        <f t="shared" si="1"/>
        <v>6</v>
      </c>
      <c r="R7" s="4">
        <f t="shared" si="2"/>
        <v>1</v>
      </c>
      <c r="S7" s="4">
        <f t="shared" si="3"/>
        <v>6</v>
      </c>
      <c r="T7" s="4">
        <f t="shared" si="4"/>
        <v>1</v>
      </c>
      <c r="U7" s="4" t="str">
        <f t="shared" si="5"/>
        <v/>
      </c>
      <c r="V7" s="4">
        <f t="shared" si="6"/>
        <v>1.5</v>
      </c>
      <c r="W7" s="4">
        <f t="shared" si="7"/>
        <v>1</v>
      </c>
      <c r="X7" s="4">
        <f t="shared" si="8"/>
        <v>1</v>
      </c>
      <c r="Y7" s="4" t="str">
        <f t="shared" si="9"/>
        <v/>
      </c>
      <c r="Z7" s="4">
        <f t="shared" si="10"/>
        <v>2.5</v>
      </c>
      <c r="AA7" s="4" t="str">
        <f t="shared" si="11"/>
        <v/>
      </c>
      <c r="AB7" s="4" t="str">
        <f t="shared" si="12"/>
        <v/>
      </c>
      <c r="AC7" s="4" t="str">
        <f t="shared" si="13"/>
        <v/>
      </c>
      <c r="AD7" s="4" t="str">
        <f t="shared" si="14"/>
        <v/>
      </c>
      <c r="AE7" s="4" t="str">
        <f t="shared" si="15"/>
        <v/>
      </c>
      <c r="AF7" s="4" t="str">
        <f>IF(AND($AD7="",$I7=""),"",_xlfn.MAXIFS($AG$1:$AG6,$A$1:$A6,$A7)+1)</f>
        <v/>
      </c>
      <c r="AG7" s="4" t="str">
        <f t="shared" si="16"/>
        <v/>
      </c>
      <c r="AH7" s="4">
        <f t="shared" si="17"/>
        <v>1</v>
      </c>
      <c r="AI7" s="4">
        <f t="shared" si="18"/>
        <v>0</v>
      </c>
      <c r="AJ7" s="4">
        <f t="shared" si="19"/>
        <v>3</v>
      </c>
      <c r="AK7" s="4">
        <f t="shared" si="20"/>
        <v>2</v>
      </c>
      <c r="AL7" s="4" t="str">
        <f t="shared" si="21"/>
        <v>siyah (AC) / mavi-kırmızı (DC)</v>
      </c>
      <c r="AM7" s="4">
        <f t="shared" si="22"/>
        <v>0</v>
      </c>
      <c r="AN7" s="4" t="str">
        <f t="shared" si="23"/>
        <v/>
      </c>
      <c r="AO7" s="4" t="str">
        <f t="shared" si="24"/>
        <v>1P</v>
      </c>
    </row>
    <row r="8" spans="1:42" x14ac:dyDescent="0.35">
      <c r="A8" s="5" t="s">
        <v>30</v>
      </c>
      <c r="B8" s="5" t="s">
        <v>408</v>
      </c>
      <c r="C8" s="5" t="s">
        <v>61</v>
      </c>
      <c r="D8" s="5" t="s">
        <v>401</v>
      </c>
      <c r="E8" s="5" t="s">
        <v>409</v>
      </c>
      <c r="F8" s="5" t="s">
        <v>403</v>
      </c>
      <c r="G8" s="6"/>
      <c r="H8" s="6"/>
      <c r="I8" s="6"/>
      <c r="J8" s="6"/>
      <c r="K8" s="6"/>
      <c r="L8" s="5" t="s">
        <v>47</v>
      </c>
      <c r="M8" s="5" t="s">
        <v>410</v>
      </c>
      <c r="N8" s="6"/>
      <c r="O8" s="6"/>
      <c r="P8" s="4" t="str">
        <f t="shared" si="0"/>
        <v>OTO</v>
      </c>
      <c r="Q8" s="4">
        <f t="shared" si="1"/>
        <v>6</v>
      </c>
      <c r="R8" s="4">
        <f t="shared" si="2"/>
        <v>1</v>
      </c>
      <c r="S8" s="4">
        <f t="shared" si="3"/>
        <v>6</v>
      </c>
      <c r="T8" s="4">
        <f t="shared" si="4"/>
        <v>1</v>
      </c>
      <c r="U8" s="4" t="str">
        <f t="shared" si="5"/>
        <v/>
      </c>
      <c r="V8" s="4">
        <f t="shared" si="6"/>
        <v>1.5</v>
      </c>
      <c r="W8" s="4">
        <f t="shared" si="7"/>
        <v>1</v>
      </c>
      <c r="X8" s="4">
        <f t="shared" si="8"/>
        <v>1</v>
      </c>
      <c r="Y8" s="4" t="str">
        <f t="shared" si="9"/>
        <v/>
      </c>
      <c r="Z8" s="4">
        <f t="shared" si="10"/>
        <v>2.5</v>
      </c>
      <c r="AA8" s="4" t="str">
        <f t="shared" si="11"/>
        <v/>
      </c>
      <c r="AB8" s="4" t="str">
        <f t="shared" si="12"/>
        <v/>
      </c>
      <c r="AC8" s="4" t="str">
        <f t="shared" si="13"/>
        <v/>
      </c>
      <c r="AD8" s="4" t="str">
        <f t="shared" si="14"/>
        <v/>
      </c>
      <c r="AE8" s="4" t="str">
        <f t="shared" si="15"/>
        <v/>
      </c>
      <c r="AF8" s="4" t="str">
        <f>IF(AND($AD8="",$I8=""),"",_xlfn.MAXIFS($AG$1:$AG7,$A$1:$A7,$A8)+1)</f>
        <v/>
      </c>
      <c r="AG8" s="4" t="str">
        <f t="shared" si="16"/>
        <v/>
      </c>
      <c r="AH8" s="4">
        <f t="shared" si="17"/>
        <v>1</v>
      </c>
      <c r="AI8" s="4">
        <f t="shared" si="18"/>
        <v>0</v>
      </c>
      <c r="AJ8" s="4">
        <f t="shared" si="19"/>
        <v>3</v>
      </c>
      <c r="AK8" s="4">
        <f t="shared" si="20"/>
        <v>2</v>
      </c>
      <c r="AL8" s="4" t="str">
        <f t="shared" si="21"/>
        <v>siyah (AC) / mavi-kırmızı (DC)</v>
      </c>
      <c r="AM8" s="4">
        <f t="shared" si="22"/>
        <v>1</v>
      </c>
      <c r="AN8" s="4" t="str">
        <f t="shared" si="23"/>
        <v/>
      </c>
      <c r="AO8" s="4" t="str">
        <f t="shared" si="24"/>
        <v>1P</v>
      </c>
      <c r="AP8" s="4" t="s">
        <v>411</v>
      </c>
    </row>
    <row r="9" spans="1:42" x14ac:dyDescent="0.35">
      <c r="A9" s="5" t="s">
        <v>30</v>
      </c>
      <c r="B9" s="5" t="s">
        <v>412</v>
      </c>
      <c r="C9" s="5" t="s">
        <v>61</v>
      </c>
      <c r="D9" s="5" t="s">
        <v>401</v>
      </c>
      <c r="E9" s="5" t="s">
        <v>413</v>
      </c>
      <c r="F9" s="5" t="s">
        <v>403</v>
      </c>
      <c r="G9" s="6"/>
      <c r="H9" s="6"/>
      <c r="I9" s="6"/>
      <c r="J9" s="6"/>
      <c r="K9" s="6"/>
      <c r="L9" s="5" t="s">
        <v>47</v>
      </c>
      <c r="M9" s="5" t="s">
        <v>410</v>
      </c>
      <c r="N9" s="6"/>
      <c r="O9" s="6"/>
      <c r="P9" s="4" t="str">
        <f t="shared" si="0"/>
        <v>OTO</v>
      </c>
      <c r="Q9" s="4">
        <f t="shared" si="1"/>
        <v>6</v>
      </c>
      <c r="R9" s="4">
        <f t="shared" si="2"/>
        <v>1</v>
      </c>
      <c r="S9" s="4">
        <f t="shared" si="3"/>
        <v>6</v>
      </c>
      <c r="T9" s="4">
        <f t="shared" si="4"/>
        <v>1</v>
      </c>
      <c r="U9" s="4" t="str">
        <f t="shared" si="5"/>
        <v/>
      </c>
      <c r="V9" s="4">
        <f t="shared" si="6"/>
        <v>1.5</v>
      </c>
      <c r="W9" s="4">
        <f t="shared" si="7"/>
        <v>1</v>
      </c>
      <c r="X9" s="4">
        <f t="shared" si="8"/>
        <v>1</v>
      </c>
      <c r="Y9" s="4" t="str">
        <f t="shared" si="9"/>
        <v/>
      </c>
      <c r="Z9" s="4">
        <f t="shared" si="10"/>
        <v>2.5</v>
      </c>
      <c r="AA9" s="4" t="str">
        <f t="shared" si="11"/>
        <v/>
      </c>
      <c r="AB9" s="4" t="str">
        <f t="shared" si="12"/>
        <v/>
      </c>
      <c r="AC9" s="4" t="str">
        <f t="shared" si="13"/>
        <v/>
      </c>
      <c r="AD9" s="4" t="str">
        <f t="shared" si="14"/>
        <v/>
      </c>
      <c r="AE9" s="4" t="str">
        <f t="shared" si="15"/>
        <v/>
      </c>
      <c r="AF9" s="4" t="str">
        <f>IF(AND($AD9="",$I9=""),"",_xlfn.MAXIFS($AG$1:$AG8,$A$1:$A8,$A9)+1)</f>
        <v/>
      </c>
      <c r="AG9" s="4" t="str">
        <f t="shared" si="16"/>
        <v/>
      </c>
      <c r="AH9" s="4">
        <f t="shared" si="17"/>
        <v>1</v>
      </c>
      <c r="AI9" s="4">
        <f t="shared" si="18"/>
        <v>0</v>
      </c>
      <c r="AJ9" s="4">
        <f t="shared" si="19"/>
        <v>3</v>
      </c>
      <c r="AK9" s="4">
        <f t="shared" si="20"/>
        <v>2</v>
      </c>
      <c r="AL9" s="4" t="str">
        <f t="shared" si="21"/>
        <v>siyah (AC) / mavi-kırmızı (DC)</v>
      </c>
      <c r="AM9" s="4">
        <f t="shared" si="22"/>
        <v>1</v>
      </c>
      <c r="AN9" s="4" t="str">
        <f t="shared" si="23"/>
        <v/>
      </c>
      <c r="AO9" s="4" t="str">
        <f t="shared" si="24"/>
        <v>1P</v>
      </c>
      <c r="AP9" s="4" t="s">
        <v>414</v>
      </c>
    </row>
    <row r="10" spans="1:42" x14ac:dyDescent="0.35">
      <c r="A10" s="5" t="s">
        <v>30</v>
      </c>
      <c r="B10" s="5" t="s">
        <v>415</v>
      </c>
      <c r="C10" s="5" t="s">
        <v>61</v>
      </c>
      <c r="D10" s="5" t="s">
        <v>401</v>
      </c>
      <c r="E10" s="5" t="s">
        <v>416</v>
      </c>
      <c r="F10" s="5" t="s">
        <v>403</v>
      </c>
      <c r="G10" s="6"/>
      <c r="H10" s="6"/>
      <c r="I10" s="6"/>
      <c r="J10" s="6"/>
      <c r="K10" s="6"/>
      <c r="L10" s="5" t="s">
        <v>47</v>
      </c>
      <c r="M10" s="5" t="s">
        <v>410</v>
      </c>
      <c r="N10" s="6"/>
      <c r="O10" s="6"/>
      <c r="P10" s="4" t="str">
        <f t="shared" si="0"/>
        <v>OTO</v>
      </c>
      <c r="Q10" s="4">
        <f t="shared" si="1"/>
        <v>6</v>
      </c>
      <c r="R10" s="4">
        <f t="shared" si="2"/>
        <v>1</v>
      </c>
      <c r="S10" s="4">
        <f t="shared" si="3"/>
        <v>6</v>
      </c>
      <c r="T10" s="4">
        <f t="shared" si="4"/>
        <v>1</v>
      </c>
      <c r="U10" s="4" t="str">
        <f t="shared" si="5"/>
        <v/>
      </c>
      <c r="V10" s="4">
        <f t="shared" si="6"/>
        <v>1.5</v>
      </c>
      <c r="W10" s="4">
        <f t="shared" si="7"/>
        <v>1</v>
      </c>
      <c r="X10" s="4">
        <f t="shared" si="8"/>
        <v>1</v>
      </c>
      <c r="Y10" s="4" t="str">
        <f t="shared" si="9"/>
        <v/>
      </c>
      <c r="Z10" s="4">
        <f t="shared" si="10"/>
        <v>2.5</v>
      </c>
      <c r="AA10" s="4" t="str">
        <f t="shared" si="11"/>
        <v/>
      </c>
      <c r="AB10" s="4" t="str">
        <f t="shared" si="12"/>
        <v/>
      </c>
      <c r="AC10" s="4" t="str">
        <f t="shared" si="13"/>
        <v/>
      </c>
      <c r="AD10" s="4" t="str">
        <f t="shared" si="14"/>
        <v/>
      </c>
      <c r="AE10" s="4" t="str">
        <f t="shared" si="15"/>
        <v/>
      </c>
      <c r="AF10" s="4" t="str">
        <f>IF(AND($AD10="",$I10=""),"",_xlfn.MAXIFS($AG$1:$AG9,$A$1:$A9,$A10)+1)</f>
        <v/>
      </c>
      <c r="AG10" s="4" t="str">
        <f t="shared" si="16"/>
        <v/>
      </c>
      <c r="AH10" s="4">
        <f t="shared" si="17"/>
        <v>1</v>
      </c>
      <c r="AI10" s="4">
        <f t="shared" si="18"/>
        <v>0</v>
      </c>
      <c r="AJ10" s="4">
        <f t="shared" si="19"/>
        <v>3</v>
      </c>
      <c r="AK10" s="4">
        <f t="shared" si="20"/>
        <v>2</v>
      </c>
      <c r="AL10" s="4" t="str">
        <f t="shared" si="21"/>
        <v>siyah (AC) / mavi-kırmızı (DC)</v>
      </c>
      <c r="AM10" s="4">
        <f t="shared" si="22"/>
        <v>1</v>
      </c>
      <c r="AN10" s="4" t="str">
        <f t="shared" si="23"/>
        <v/>
      </c>
      <c r="AO10" s="4" t="str">
        <f t="shared" si="24"/>
        <v>1P</v>
      </c>
      <c r="AP10" s="4" t="s">
        <v>417</v>
      </c>
    </row>
    <row r="11" spans="1:42" x14ac:dyDescent="0.35">
      <c r="A11" s="5" t="s">
        <v>105</v>
      </c>
      <c r="B11" s="5" t="s">
        <v>418</v>
      </c>
      <c r="C11" s="5" t="s">
        <v>110</v>
      </c>
      <c r="D11" s="5" t="s">
        <v>381</v>
      </c>
      <c r="E11" s="5" t="s">
        <v>419</v>
      </c>
      <c r="F11" s="5" t="s">
        <v>383</v>
      </c>
      <c r="G11" s="6"/>
      <c r="H11" s="6"/>
      <c r="I11" s="6"/>
      <c r="J11" s="5" t="s">
        <v>420</v>
      </c>
      <c r="K11" s="6"/>
      <c r="L11" s="5" t="s">
        <v>385</v>
      </c>
      <c r="M11" s="5" t="s">
        <v>421</v>
      </c>
      <c r="N11" s="6"/>
      <c r="O11" s="6"/>
      <c r="P11" s="4" t="str">
        <f t="shared" si="0"/>
        <v>rubilnik</v>
      </c>
      <c r="Q11" s="4">
        <f t="shared" si="1"/>
        <v>100</v>
      </c>
      <c r="R11" s="4">
        <f t="shared" si="2"/>
        <v>3</v>
      </c>
      <c r="S11" s="4" t="str">
        <f t="shared" si="3"/>
        <v/>
      </c>
      <c r="T11" s="4">
        <f t="shared" si="4"/>
        <v>1</v>
      </c>
      <c r="U11" s="4" t="str">
        <f t="shared" si="5"/>
        <v/>
      </c>
      <c r="V11" s="4">
        <f t="shared" si="6"/>
        <v>25</v>
      </c>
      <c r="W11" s="4">
        <f t="shared" si="7"/>
        <v>1</v>
      </c>
      <c r="X11" s="4">
        <f t="shared" si="8"/>
        <v>3</v>
      </c>
      <c r="Y11" s="4" t="str">
        <f t="shared" si="9"/>
        <v/>
      </c>
      <c r="Z11" s="4">
        <f t="shared" si="10"/>
        <v>3.5999999999999996</v>
      </c>
      <c r="AA11" s="4" t="str">
        <f t="shared" si="11"/>
        <v/>
      </c>
      <c r="AB11" s="4" t="str">
        <f t="shared" si="12"/>
        <v/>
      </c>
      <c r="AC11" s="4" t="str">
        <f t="shared" si="13"/>
        <v/>
      </c>
      <c r="AD11" s="4" t="str">
        <f t="shared" si="14"/>
        <v/>
      </c>
      <c r="AE11" s="4" t="str">
        <f t="shared" si="15"/>
        <v/>
      </c>
      <c r="AF11" s="4" t="str">
        <f>IF(AND($AD11="",$I11=""),"",_xlfn.MAXIFS($AG$1:$AG10,$A$1:$A10,$A11)+1)</f>
        <v/>
      </c>
      <c r="AG11" s="4" t="str">
        <f t="shared" si="16"/>
        <v/>
      </c>
      <c r="AH11" s="4">
        <f t="shared" si="17"/>
        <v>3</v>
      </c>
      <c r="AI11" s="4">
        <f t="shared" si="18"/>
        <v>6</v>
      </c>
      <c r="AJ11" s="4">
        <f t="shared" si="19"/>
        <v>0</v>
      </c>
      <c r="AK11" s="4">
        <f t="shared" si="20"/>
        <v>6</v>
      </c>
      <c r="AL11" s="4" t="str">
        <f t="shared" si="21"/>
        <v>L1 sarı · L2 yeşil · L3 kırmızı · N mavi · PE sarı-yeşil</v>
      </c>
      <c r="AM11" s="4">
        <f t="shared" si="22"/>
        <v>0</v>
      </c>
      <c r="AN11" s="4" t="str">
        <f t="shared" si="23"/>
        <v/>
      </c>
      <c r="AO11" s="4" t="str">
        <f t="shared" si="24"/>
        <v>3P</v>
      </c>
    </row>
    <row r="12" spans="1:42" x14ac:dyDescent="0.35">
      <c r="A12" s="5" t="s">
        <v>105</v>
      </c>
      <c r="B12" s="5" t="s">
        <v>390</v>
      </c>
      <c r="C12" s="5" t="s">
        <v>113</v>
      </c>
      <c r="D12" s="5" t="s">
        <v>391</v>
      </c>
      <c r="E12" s="5" t="s">
        <v>422</v>
      </c>
      <c r="F12" s="5" t="s">
        <v>383</v>
      </c>
      <c r="G12" s="6"/>
      <c r="H12" s="6"/>
      <c r="I12" s="6"/>
      <c r="J12" s="5" t="s">
        <v>423</v>
      </c>
      <c r="K12" s="5">
        <v>10</v>
      </c>
      <c r="L12" s="5" t="s">
        <v>385</v>
      </c>
      <c r="M12" s="5" t="s">
        <v>424</v>
      </c>
      <c r="N12" s="6"/>
      <c r="O12" s="6"/>
      <c r="P12" s="4" t="str">
        <f t="shared" si="0"/>
        <v>OTO</v>
      </c>
      <c r="Q12" s="4">
        <f t="shared" si="1"/>
        <v>40</v>
      </c>
      <c r="R12" s="4">
        <f t="shared" si="2"/>
        <v>3</v>
      </c>
      <c r="S12" s="4">
        <f t="shared" si="3"/>
        <v>6</v>
      </c>
      <c r="T12" s="4">
        <f t="shared" si="4"/>
        <v>1</v>
      </c>
      <c r="U12" s="4" t="str">
        <f t="shared" si="5"/>
        <v/>
      </c>
      <c r="V12" s="4">
        <f t="shared" si="6"/>
        <v>6</v>
      </c>
      <c r="W12" s="4">
        <f t="shared" si="7"/>
        <v>1</v>
      </c>
      <c r="X12" s="4">
        <f t="shared" si="8"/>
        <v>3</v>
      </c>
      <c r="Y12" s="4">
        <f t="shared" si="9"/>
        <v>2</v>
      </c>
      <c r="Z12" s="4">
        <f t="shared" si="10"/>
        <v>6</v>
      </c>
      <c r="AA12" s="4">
        <f t="shared" si="11"/>
        <v>4</v>
      </c>
      <c r="AB12" s="4">
        <f t="shared" si="12"/>
        <v>1</v>
      </c>
      <c r="AC12" s="4">
        <f t="shared" si="13"/>
        <v>10</v>
      </c>
      <c r="AD12" s="4">
        <f t="shared" si="14"/>
        <v>10</v>
      </c>
      <c r="AE12" s="4">
        <f t="shared" si="15"/>
        <v>51</v>
      </c>
      <c r="AF12" s="4">
        <f>IF(AND($AD12="",$I12=""),"",_xlfn.MAXIFS($AG$1:$AG11,$A$1:$A11,$A12)+1)</f>
        <v>1</v>
      </c>
      <c r="AG12" s="4">
        <f t="shared" si="16"/>
        <v>5</v>
      </c>
      <c r="AH12" s="4">
        <f t="shared" si="17"/>
        <v>3</v>
      </c>
      <c r="AI12" s="4">
        <f t="shared" si="18"/>
        <v>0</v>
      </c>
      <c r="AJ12" s="4">
        <f t="shared" si="19"/>
        <v>11</v>
      </c>
      <c r="AK12" s="4">
        <f t="shared" si="20"/>
        <v>10</v>
      </c>
      <c r="AL12" s="4" t="str">
        <f t="shared" si="21"/>
        <v>L1 sarı · L2 yeşil · L3 kırmızı · N mavi · PE sarı-yeşil</v>
      </c>
      <c r="AM12" s="4">
        <f t="shared" si="22"/>
        <v>0</v>
      </c>
      <c r="AN12" s="4" t="str">
        <f t="shared" si="23"/>
        <v/>
      </c>
      <c r="AO12" s="4" t="str">
        <f t="shared" si="24"/>
        <v>3P</v>
      </c>
    </row>
    <row r="13" spans="1:42" x14ac:dyDescent="0.35">
      <c r="A13" s="5" t="s">
        <v>105</v>
      </c>
      <c r="B13" s="5" t="s">
        <v>425</v>
      </c>
      <c r="C13" s="5" t="s">
        <v>115</v>
      </c>
      <c r="D13" s="5" t="s">
        <v>391</v>
      </c>
      <c r="E13" s="5" t="s">
        <v>426</v>
      </c>
      <c r="F13" s="5" t="s">
        <v>383</v>
      </c>
      <c r="G13" s="6"/>
      <c r="H13" s="6"/>
      <c r="I13" s="6"/>
      <c r="J13" s="5" t="s">
        <v>427</v>
      </c>
      <c r="K13" s="5">
        <v>10</v>
      </c>
      <c r="L13" s="5" t="s">
        <v>385</v>
      </c>
      <c r="M13" s="5" t="s">
        <v>428</v>
      </c>
      <c r="N13" s="6"/>
      <c r="O13" s="6"/>
      <c r="P13" s="4" t="str">
        <f t="shared" si="0"/>
        <v>OTO</v>
      </c>
      <c r="Q13" s="4">
        <f t="shared" si="1"/>
        <v>50</v>
      </c>
      <c r="R13" s="4">
        <f t="shared" si="2"/>
        <v>3</v>
      </c>
      <c r="S13" s="4">
        <f t="shared" si="3"/>
        <v>6</v>
      </c>
      <c r="T13" s="4">
        <f t="shared" si="4"/>
        <v>1</v>
      </c>
      <c r="U13" s="4" t="str">
        <f t="shared" si="5"/>
        <v/>
      </c>
      <c r="V13" s="4">
        <f t="shared" si="6"/>
        <v>10</v>
      </c>
      <c r="W13" s="4">
        <f t="shared" si="7"/>
        <v>1</v>
      </c>
      <c r="X13" s="4">
        <f t="shared" si="8"/>
        <v>3</v>
      </c>
      <c r="Y13" s="4">
        <f t="shared" si="9"/>
        <v>2</v>
      </c>
      <c r="Z13" s="4">
        <f t="shared" si="10"/>
        <v>6</v>
      </c>
      <c r="AA13" s="4">
        <f t="shared" si="11"/>
        <v>4</v>
      </c>
      <c r="AB13" s="4">
        <f t="shared" si="12"/>
        <v>1</v>
      </c>
      <c r="AC13" s="4">
        <f t="shared" si="13"/>
        <v>10</v>
      </c>
      <c r="AD13" s="4">
        <f t="shared" si="14"/>
        <v>10</v>
      </c>
      <c r="AE13" s="4">
        <f t="shared" si="15"/>
        <v>51</v>
      </c>
      <c r="AF13" s="4">
        <f>IF(AND($AD13="",$I13=""),"",_xlfn.MAXIFS($AG$1:$AG12,$A$1:$A12,$A13)+1)</f>
        <v>6</v>
      </c>
      <c r="AG13" s="4">
        <f t="shared" si="16"/>
        <v>10</v>
      </c>
      <c r="AH13" s="4">
        <f t="shared" si="17"/>
        <v>3</v>
      </c>
      <c r="AI13" s="4">
        <f t="shared" si="18"/>
        <v>0</v>
      </c>
      <c r="AJ13" s="4">
        <f t="shared" si="19"/>
        <v>11</v>
      </c>
      <c r="AK13" s="4">
        <f t="shared" si="20"/>
        <v>10</v>
      </c>
      <c r="AL13" s="4" t="str">
        <f t="shared" si="21"/>
        <v>L1 sarı · L2 yeşil · L3 kırmızı · N mavi · PE sarı-yeşil</v>
      </c>
      <c r="AM13" s="4">
        <f t="shared" si="22"/>
        <v>0</v>
      </c>
      <c r="AN13" s="4" t="str">
        <f t="shared" si="23"/>
        <v/>
      </c>
      <c r="AO13" s="4" t="str">
        <f t="shared" si="24"/>
        <v>3P</v>
      </c>
    </row>
    <row r="14" spans="1:42" x14ac:dyDescent="0.35">
      <c r="A14" s="5" t="s">
        <v>105</v>
      </c>
      <c r="B14" s="5" t="s">
        <v>429</v>
      </c>
      <c r="C14" s="5" t="s">
        <v>113</v>
      </c>
      <c r="D14" s="5" t="s">
        <v>391</v>
      </c>
      <c r="E14" s="5" t="s">
        <v>430</v>
      </c>
      <c r="F14" s="5" t="s">
        <v>383</v>
      </c>
      <c r="G14" s="6"/>
      <c r="H14" s="6"/>
      <c r="I14" s="6"/>
      <c r="J14" s="5" t="s">
        <v>423</v>
      </c>
      <c r="K14" s="5">
        <v>10</v>
      </c>
      <c r="L14" s="5" t="s">
        <v>385</v>
      </c>
      <c r="M14" s="5" t="s">
        <v>431</v>
      </c>
      <c r="N14" s="6"/>
      <c r="O14" s="6"/>
      <c r="P14" s="4" t="str">
        <f t="shared" si="0"/>
        <v>OTO</v>
      </c>
      <c r="Q14" s="4">
        <f t="shared" si="1"/>
        <v>40</v>
      </c>
      <c r="R14" s="4">
        <f t="shared" si="2"/>
        <v>3</v>
      </c>
      <c r="S14" s="4">
        <f t="shared" si="3"/>
        <v>6</v>
      </c>
      <c r="T14" s="4">
        <f t="shared" si="4"/>
        <v>1</v>
      </c>
      <c r="U14" s="4" t="str">
        <f t="shared" si="5"/>
        <v/>
      </c>
      <c r="V14" s="4">
        <f t="shared" si="6"/>
        <v>6</v>
      </c>
      <c r="W14" s="4">
        <f t="shared" si="7"/>
        <v>1</v>
      </c>
      <c r="X14" s="4">
        <f t="shared" si="8"/>
        <v>3</v>
      </c>
      <c r="Y14" s="4">
        <f t="shared" si="9"/>
        <v>2</v>
      </c>
      <c r="Z14" s="4">
        <f t="shared" si="10"/>
        <v>6</v>
      </c>
      <c r="AA14" s="4">
        <f t="shared" si="11"/>
        <v>4</v>
      </c>
      <c r="AB14" s="4">
        <f t="shared" si="12"/>
        <v>1</v>
      </c>
      <c r="AC14" s="4">
        <f t="shared" si="13"/>
        <v>10</v>
      </c>
      <c r="AD14" s="4">
        <f t="shared" si="14"/>
        <v>10</v>
      </c>
      <c r="AE14" s="4">
        <f t="shared" si="15"/>
        <v>51</v>
      </c>
      <c r="AF14" s="4">
        <f>IF(AND($AD14="",$I14=""),"",_xlfn.MAXIFS($AG$1:$AG13,$A$1:$A13,$A14)+1)</f>
        <v>11</v>
      </c>
      <c r="AG14" s="4">
        <f t="shared" si="16"/>
        <v>15</v>
      </c>
      <c r="AH14" s="4">
        <f t="shared" si="17"/>
        <v>3</v>
      </c>
      <c r="AI14" s="4">
        <f t="shared" si="18"/>
        <v>0</v>
      </c>
      <c r="AJ14" s="4">
        <f t="shared" si="19"/>
        <v>11</v>
      </c>
      <c r="AK14" s="4">
        <f t="shared" si="20"/>
        <v>10</v>
      </c>
      <c r="AL14" s="4" t="str">
        <f t="shared" si="21"/>
        <v>L1 sarı · L2 yeşil · L3 kırmızı · N mavi · PE sarı-yeşil</v>
      </c>
      <c r="AM14" s="4">
        <f t="shared" si="22"/>
        <v>0</v>
      </c>
      <c r="AN14" s="4" t="str">
        <f t="shared" si="23"/>
        <v/>
      </c>
      <c r="AO14" s="4" t="str">
        <f t="shared" si="24"/>
        <v>3P</v>
      </c>
    </row>
    <row r="15" spans="1:42" x14ac:dyDescent="0.35">
      <c r="A15" s="5" t="s">
        <v>105</v>
      </c>
      <c r="B15" s="5" t="s">
        <v>432</v>
      </c>
      <c r="C15" s="5" t="s">
        <v>117</v>
      </c>
      <c r="D15" s="5" t="s">
        <v>391</v>
      </c>
      <c r="E15" s="5" t="s">
        <v>433</v>
      </c>
      <c r="F15" s="5" t="s">
        <v>383</v>
      </c>
      <c r="G15" s="6"/>
      <c r="H15" s="6"/>
      <c r="I15" s="6"/>
      <c r="J15" s="5" t="s">
        <v>434</v>
      </c>
      <c r="K15" s="5">
        <v>10</v>
      </c>
      <c r="L15" s="5" t="s">
        <v>385</v>
      </c>
      <c r="M15" s="5" t="s">
        <v>435</v>
      </c>
      <c r="N15" s="6"/>
      <c r="O15" s="6"/>
      <c r="P15" s="4" t="str">
        <f t="shared" si="0"/>
        <v>OTO</v>
      </c>
      <c r="Q15" s="4">
        <f t="shared" si="1"/>
        <v>32</v>
      </c>
      <c r="R15" s="4">
        <f t="shared" si="2"/>
        <v>3</v>
      </c>
      <c r="S15" s="4">
        <f t="shared" si="3"/>
        <v>6</v>
      </c>
      <c r="T15" s="4">
        <f t="shared" si="4"/>
        <v>1</v>
      </c>
      <c r="U15" s="4" t="str">
        <f t="shared" si="5"/>
        <v/>
      </c>
      <c r="V15" s="4">
        <f t="shared" si="6"/>
        <v>6</v>
      </c>
      <c r="W15" s="4">
        <f t="shared" si="7"/>
        <v>1</v>
      </c>
      <c r="X15" s="4">
        <f t="shared" si="8"/>
        <v>3</v>
      </c>
      <c r="Y15" s="4">
        <f t="shared" si="9"/>
        <v>2</v>
      </c>
      <c r="Z15" s="4">
        <f t="shared" si="10"/>
        <v>6</v>
      </c>
      <c r="AA15" s="4">
        <f t="shared" si="11"/>
        <v>4</v>
      </c>
      <c r="AB15" s="4">
        <f t="shared" si="12"/>
        <v>1</v>
      </c>
      <c r="AC15" s="4">
        <f t="shared" si="13"/>
        <v>10</v>
      </c>
      <c r="AD15" s="4">
        <f t="shared" si="14"/>
        <v>10</v>
      </c>
      <c r="AE15" s="4">
        <f t="shared" si="15"/>
        <v>51</v>
      </c>
      <c r="AF15" s="4">
        <f>IF(AND($AD15="",$I15=""),"",_xlfn.MAXIFS($AG$1:$AG14,$A$1:$A14,$A15)+1)</f>
        <v>16</v>
      </c>
      <c r="AG15" s="4">
        <f t="shared" si="16"/>
        <v>20</v>
      </c>
      <c r="AH15" s="4">
        <f t="shared" si="17"/>
        <v>3</v>
      </c>
      <c r="AI15" s="4">
        <f t="shared" si="18"/>
        <v>0</v>
      </c>
      <c r="AJ15" s="4">
        <f t="shared" si="19"/>
        <v>11</v>
      </c>
      <c r="AK15" s="4">
        <f t="shared" si="20"/>
        <v>10</v>
      </c>
      <c r="AL15" s="4" t="str">
        <f t="shared" si="21"/>
        <v>L1 sarı · L2 yeşil · L3 kırmızı · N mavi · PE sarı-yeşil</v>
      </c>
      <c r="AM15" s="4">
        <f t="shared" si="22"/>
        <v>0</v>
      </c>
      <c r="AN15" s="4" t="str">
        <f t="shared" si="23"/>
        <v/>
      </c>
      <c r="AO15" s="4" t="str">
        <f t="shared" si="24"/>
        <v>3P</v>
      </c>
    </row>
    <row r="16" spans="1:42" x14ac:dyDescent="0.35">
      <c r="A16" s="5" t="s">
        <v>105</v>
      </c>
      <c r="B16" s="5" t="s">
        <v>436</v>
      </c>
      <c r="C16" s="5" t="s">
        <v>119</v>
      </c>
      <c r="D16" s="5" t="s">
        <v>391</v>
      </c>
      <c r="E16" s="5" t="s">
        <v>437</v>
      </c>
      <c r="F16" s="5" t="s">
        <v>383</v>
      </c>
      <c r="G16" s="6"/>
      <c r="H16" s="6"/>
      <c r="I16" s="6"/>
      <c r="J16" s="5" t="s">
        <v>438</v>
      </c>
      <c r="K16" s="5">
        <v>4</v>
      </c>
      <c r="L16" s="5" t="s">
        <v>385</v>
      </c>
      <c r="M16" s="5" t="s">
        <v>439</v>
      </c>
      <c r="N16" s="5" t="s">
        <v>54</v>
      </c>
      <c r="O16" s="6"/>
      <c r="P16" s="4" t="str">
        <f t="shared" si="0"/>
        <v>OTO</v>
      </c>
      <c r="Q16" s="4">
        <f t="shared" si="1"/>
        <v>25</v>
      </c>
      <c r="R16" s="4">
        <f t="shared" si="2"/>
        <v>3</v>
      </c>
      <c r="S16" s="4">
        <f t="shared" si="3"/>
        <v>6</v>
      </c>
      <c r="T16" s="4">
        <f t="shared" si="4"/>
        <v>1</v>
      </c>
      <c r="U16" s="4" t="str">
        <f t="shared" si="5"/>
        <v/>
      </c>
      <c r="V16" s="4">
        <f t="shared" si="6"/>
        <v>4</v>
      </c>
      <c r="W16" s="4">
        <f t="shared" si="7"/>
        <v>1</v>
      </c>
      <c r="X16" s="4">
        <f t="shared" si="8"/>
        <v>3</v>
      </c>
      <c r="Y16" s="4">
        <f t="shared" si="9"/>
        <v>2</v>
      </c>
      <c r="Z16" s="4">
        <f t="shared" si="10"/>
        <v>6</v>
      </c>
      <c r="AA16" s="4">
        <f t="shared" si="11"/>
        <v>4</v>
      </c>
      <c r="AB16" s="4">
        <f t="shared" si="12"/>
        <v>1</v>
      </c>
      <c r="AC16" s="4">
        <f t="shared" si="13"/>
        <v>4</v>
      </c>
      <c r="AD16" s="4">
        <f t="shared" si="14"/>
        <v>4</v>
      </c>
      <c r="AE16" s="4">
        <f t="shared" si="15"/>
        <v>31</v>
      </c>
      <c r="AF16" s="4">
        <f>IF(AND($AD16="",$I16=""),"",_xlfn.MAXIFS($AG$1:$AG15,$A$1:$A15,$A16)+1)</f>
        <v>21</v>
      </c>
      <c r="AG16" s="4">
        <f t="shared" si="16"/>
        <v>25</v>
      </c>
      <c r="AH16" s="4">
        <f t="shared" si="17"/>
        <v>3</v>
      </c>
      <c r="AI16" s="4">
        <f t="shared" si="18"/>
        <v>0</v>
      </c>
      <c r="AJ16" s="4">
        <f t="shared" si="19"/>
        <v>11</v>
      </c>
      <c r="AK16" s="4">
        <f t="shared" si="20"/>
        <v>10</v>
      </c>
      <c r="AL16" s="4" t="str">
        <f t="shared" si="21"/>
        <v>L1 sarı · L2 yeşil · L3 kırmızı · N mavi · PE sarı-yeşil</v>
      </c>
      <c r="AM16" s="4">
        <f t="shared" si="22"/>
        <v>3</v>
      </c>
      <c r="AN16" s="4" t="str">
        <f t="shared" si="23"/>
        <v/>
      </c>
      <c r="AO16" s="4" t="str">
        <f t="shared" si="24"/>
        <v>3P</v>
      </c>
    </row>
    <row r="17" spans="1:42" x14ac:dyDescent="0.35">
      <c r="A17" s="5" t="s">
        <v>105</v>
      </c>
      <c r="B17" s="5" t="s">
        <v>440</v>
      </c>
      <c r="C17" s="5" t="s">
        <v>119</v>
      </c>
      <c r="D17" s="5" t="s">
        <v>391</v>
      </c>
      <c r="E17" s="5" t="s">
        <v>441</v>
      </c>
      <c r="F17" s="5" t="s">
        <v>383</v>
      </c>
      <c r="G17" s="6"/>
      <c r="H17" s="6"/>
      <c r="I17" s="6"/>
      <c r="J17" s="5" t="s">
        <v>442</v>
      </c>
      <c r="K17" s="5">
        <v>4</v>
      </c>
      <c r="L17" s="5" t="s">
        <v>385</v>
      </c>
      <c r="M17" s="5" t="s">
        <v>443</v>
      </c>
      <c r="N17" s="5" t="s">
        <v>54</v>
      </c>
      <c r="O17" s="6"/>
      <c r="P17" s="4" t="str">
        <f t="shared" si="0"/>
        <v>OTO</v>
      </c>
      <c r="Q17" s="4">
        <f t="shared" si="1"/>
        <v>25</v>
      </c>
      <c r="R17" s="4">
        <f t="shared" si="2"/>
        <v>3</v>
      </c>
      <c r="S17" s="4">
        <f t="shared" si="3"/>
        <v>6</v>
      </c>
      <c r="T17" s="4">
        <f t="shared" si="4"/>
        <v>1</v>
      </c>
      <c r="U17" s="4" t="str">
        <f t="shared" si="5"/>
        <v/>
      </c>
      <c r="V17" s="4">
        <f t="shared" si="6"/>
        <v>4</v>
      </c>
      <c r="W17" s="4">
        <f t="shared" si="7"/>
        <v>1</v>
      </c>
      <c r="X17" s="4">
        <f t="shared" si="8"/>
        <v>3</v>
      </c>
      <c r="Y17" s="4">
        <f t="shared" si="9"/>
        <v>2</v>
      </c>
      <c r="Z17" s="4">
        <f t="shared" si="10"/>
        <v>6</v>
      </c>
      <c r="AA17" s="4">
        <f t="shared" si="11"/>
        <v>4</v>
      </c>
      <c r="AB17" s="4">
        <f t="shared" si="12"/>
        <v>1</v>
      </c>
      <c r="AC17" s="4">
        <f t="shared" si="13"/>
        <v>4</v>
      </c>
      <c r="AD17" s="4">
        <f t="shared" si="14"/>
        <v>4</v>
      </c>
      <c r="AE17" s="4">
        <f t="shared" si="15"/>
        <v>31</v>
      </c>
      <c r="AF17" s="4">
        <f>IF(AND($AD17="",$I17=""),"",_xlfn.MAXIFS($AG$1:$AG16,$A$1:$A16,$A17)+1)</f>
        <v>26</v>
      </c>
      <c r="AG17" s="4">
        <f t="shared" si="16"/>
        <v>30</v>
      </c>
      <c r="AH17" s="4">
        <f t="shared" si="17"/>
        <v>3</v>
      </c>
      <c r="AI17" s="4">
        <f t="shared" si="18"/>
        <v>0</v>
      </c>
      <c r="AJ17" s="4">
        <f t="shared" si="19"/>
        <v>11</v>
      </c>
      <c r="AK17" s="4">
        <f t="shared" si="20"/>
        <v>10</v>
      </c>
      <c r="AL17" s="4" t="str">
        <f t="shared" si="21"/>
        <v>L1 sarı · L2 yeşil · L3 kırmızı · N mavi · PE sarı-yeşil</v>
      </c>
      <c r="AM17" s="4">
        <f t="shared" si="22"/>
        <v>3</v>
      </c>
      <c r="AN17" s="4" t="str">
        <f t="shared" si="23"/>
        <v/>
      </c>
      <c r="AO17" s="4" t="str">
        <f t="shared" si="24"/>
        <v>3P</v>
      </c>
    </row>
    <row r="18" spans="1:42" x14ac:dyDescent="0.35">
      <c r="A18" s="5" t="s">
        <v>144</v>
      </c>
      <c r="B18" s="5" t="s">
        <v>418</v>
      </c>
      <c r="C18" s="5" t="s">
        <v>146</v>
      </c>
      <c r="D18" s="5" t="s">
        <v>381</v>
      </c>
      <c r="E18" s="5" t="s">
        <v>444</v>
      </c>
      <c r="F18" s="5" t="s">
        <v>383</v>
      </c>
      <c r="G18" s="6"/>
      <c r="H18" s="6"/>
      <c r="I18" s="6"/>
      <c r="J18" s="5" t="s">
        <v>445</v>
      </c>
      <c r="K18" s="6"/>
      <c r="L18" s="5" t="s">
        <v>385</v>
      </c>
      <c r="M18" s="5" t="s">
        <v>446</v>
      </c>
      <c r="N18" s="6"/>
      <c r="O18" s="6"/>
      <c r="P18" s="4" t="str">
        <f t="shared" si="0"/>
        <v>rubilnik</v>
      </c>
      <c r="Q18" s="4">
        <f t="shared" si="1"/>
        <v>63</v>
      </c>
      <c r="R18" s="4">
        <f t="shared" si="2"/>
        <v>3</v>
      </c>
      <c r="S18" s="4" t="str">
        <f t="shared" si="3"/>
        <v/>
      </c>
      <c r="T18" s="4">
        <f t="shared" si="4"/>
        <v>1</v>
      </c>
      <c r="U18" s="4" t="str">
        <f t="shared" si="5"/>
        <v/>
      </c>
      <c r="V18" s="4">
        <f t="shared" si="6"/>
        <v>16</v>
      </c>
      <c r="W18" s="4">
        <f t="shared" si="7"/>
        <v>1</v>
      </c>
      <c r="X18" s="4">
        <f t="shared" si="8"/>
        <v>3</v>
      </c>
      <c r="Y18" s="4" t="str">
        <f t="shared" si="9"/>
        <v/>
      </c>
      <c r="Z18" s="4">
        <f t="shared" si="10"/>
        <v>3.5999999999999996</v>
      </c>
      <c r="AA18" s="4" t="str">
        <f t="shared" si="11"/>
        <v/>
      </c>
      <c r="AB18" s="4" t="str">
        <f t="shared" si="12"/>
        <v/>
      </c>
      <c r="AC18" s="4" t="str">
        <f t="shared" si="13"/>
        <v/>
      </c>
      <c r="AD18" s="4" t="str">
        <f t="shared" si="14"/>
        <v/>
      </c>
      <c r="AE18" s="4" t="str">
        <f t="shared" si="15"/>
        <v/>
      </c>
      <c r="AF18" s="4" t="str">
        <f>IF(AND($AD18="",$I18=""),"",_xlfn.MAXIFS($AG$1:$AG17,$A$1:$A17,$A18)+1)</f>
        <v/>
      </c>
      <c r="AG18" s="4" t="str">
        <f t="shared" si="16"/>
        <v/>
      </c>
      <c r="AH18" s="4">
        <f t="shared" si="17"/>
        <v>3</v>
      </c>
      <c r="AI18" s="4">
        <f t="shared" si="18"/>
        <v>6</v>
      </c>
      <c r="AJ18" s="4">
        <f t="shared" si="19"/>
        <v>0</v>
      </c>
      <c r="AK18" s="4">
        <f t="shared" si="20"/>
        <v>6</v>
      </c>
      <c r="AL18" s="4" t="str">
        <f t="shared" si="21"/>
        <v>L1 sarı · L2 yeşil · L3 kırmızı · N mavi · PE sarı-yeşil</v>
      </c>
      <c r="AM18" s="4">
        <f t="shared" si="22"/>
        <v>0</v>
      </c>
      <c r="AN18" s="4" t="str">
        <f t="shared" si="23"/>
        <v/>
      </c>
      <c r="AO18" s="4" t="str">
        <f t="shared" si="24"/>
        <v>3P</v>
      </c>
    </row>
    <row r="19" spans="1:42" x14ac:dyDescent="0.35">
      <c r="A19" s="5" t="s">
        <v>144</v>
      </c>
      <c r="B19" s="5" t="s">
        <v>447</v>
      </c>
      <c r="C19" s="5" t="s">
        <v>149</v>
      </c>
      <c r="D19" s="5" t="s">
        <v>391</v>
      </c>
      <c r="E19" s="5" t="s">
        <v>448</v>
      </c>
      <c r="F19" s="5" t="s">
        <v>403</v>
      </c>
      <c r="G19" s="6"/>
      <c r="H19" s="6"/>
      <c r="I19" s="6"/>
      <c r="J19" s="5" t="s">
        <v>449</v>
      </c>
      <c r="K19" s="5">
        <v>4</v>
      </c>
      <c r="L19" s="5" t="s">
        <v>385</v>
      </c>
      <c r="M19" s="5" t="s">
        <v>450</v>
      </c>
      <c r="N19" s="6"/>
      <c r="O19" s="6"/>
      <c r="P19" s="4" t="str">
        <f t="shared" si="0"/>
        <v>DİF</v>
      </c>
      <c r="Q19" s="4">
        <f t="shared" si="1"/>
        <v>16</v>
      </c>
      <c r="R19" s="4">
        <f t="shared" si="2"/>
        <v>2</v>
      </c>
      <c r="S19" s="4">
        <f t="shared" si="3"/>
        <v>6</v>
      </c>
      <c r="T19" s="4">
        <f t="shared" si="4"/>
        <v>1</v>
      </c>
      <c r="U19" s="4" t="str">
        <f t="shared" si="5"/>
        <v/>
      </c>
      <c r="V19" s="4">
        <f t="shared" si="6"/>
        <v>2.5</v>
      </c>
      <c r="W19" s="4">
        <f t="shared" si="7"/>
        <v>1</v>
      </c>
      <c r="X19" s="4">
        <f t="shared" si="8"/>
        <v>2</v>
      </c>
      <c r="Y19" s="4">
        <f t="shared" si="9"/>
        <v>1</v>
      </c>
      <c r="Z19" s="4">
        <f t="shared" si="10"/>
        <v>3.5999999999999996</v>
      </c>
      <c r="AA19" s="4">
        <f t="shared" si="11"/>
        <v>2</v>
      </c>
      <c r="AB19" s="4">
        <f t="shared" si="12"/>
        <v>1</v>
      </c>
      <c r="AC19" s="4">
        <f t="shared" si="13"/>
        <v>4</v>
      </c>
      <c r="AD19" s="4">
        <f t="shared" si="14"/>
        <v>4</v>
      </c>
      <c r="AE19" s="4">
        <f t="shared" si="15"/>
        <v>18.600000000000001</v>
      </c>
      <c r="AF19" s="4">
        <f>IF(AND($AD19="",$I19=""),"",_xlfn.MAXIFS($AG$1:$AG18,$A$1:$A18,$A19)+1)</f>
        <v>1</v>
      </c>
      <c r="AG19" s="4">
        <f t="shared" si="16"/>
        <v>3</v>
      </c>
      <c r="AH19" s="4">
        <f t="shared" si="17"/>
        <v>2</v>
      </c>
      <c r="AI19" s="4">
        <f t="shared" si="18"/>
        <v>0</v>
      </c>
      <c r="AJ19" s="4">
        <f t="shared" si="19"/>
        <v>7</v>
      </c>
      <c r="AK19" s="4">
        <f t="shared" si="20"/>
        <v>6</v>
      </c>
      <c r="AL19" s="4" t="str">
        <f t="shared" si="21"/>
        <v>sarı · N mavi · PE sarı-yeşil</v>
      </c>
      <c r="AM19" s="4">
        <f t="shared" si="22"/>
        <v>0</v>
      </c>
      <c r="AN19" s="4" t="str">
        <f t="shared" si="23"/>
        <v/>
      </c>
      <c r="AO19" s="4" t="str">
        <f t="shared" si="24"/>
        <v>2P</v>
      </c>
    </row>
    <row r="20" spans="1:42" x14ac:dyDescent="0.35">
      <c r="A20" s="5" t="s">
        <v>144</v>
      </c>
      <c r="B20" s="5" t="s">
        <v>451</v>
      </c>
      <c r="C20" s="5" t="s">
        <v>149</v>
      </c>
      <c r="D20" s="5" t="s">
        <v>391</v>
      </c>
      <c r="E20" s="5" t="s">
        <v>452</v>
      </c>
      <c r="F20" s="5" t="s">
        <v>453</v>
      </c>
      <c r="G20" s="6"/>
      <c r="H20" s="6"/>
      <c r="I20" s="6"/>
      <c r="J20" s="5" t="s">
        <v>454</v>
      </c>
      <c r="K20" s="5">
        <v>4</v>
      </c>
      <c r="L20" s="5" t="s">
        <v>385</v>
      </c>
      <c r="M20" s="5" t="s">
        <v>455</v>
      </c>
      <c r="N20" s="6"/>
      <c r="O20" s="6"/>
      <c r="P20" s="4" t="str">
        <f t="shared" si="0"/>
        <v>DİF</v>
      </c>
      <c r="Q20" s="4">
        <f t="shared" si="1"/>
        <v>16</v>
      </c>
      <c r="R20" s="4">
        <f t="shared" si="2"/>
        <v>2</v>
      </c>
      <c r="S20" s="4">
        <f t="shared" si="3"/>
        <v>6</v>
      </c>
      <c r="T20" s="4">
        <f t="shared" si="4"/>
        <v>1</v>
      </c>
      <c r="U20" s="4" t="str">
        <f t="shared" si="5"/>
        <v/>
      </c>
      <c r="V20" s="4">
        <f t="shared" si="6"/>
        <v>2.5</v>
      </c>
      <c r="W20" s="4">
        <f t="shared" si="7"/>
        <v>1</v>
      </c>
      <c r="X20" s="4">
        <f t="shared" si="8"/>
        <v>2</v>
      </c>
      <c r="Y20" s="4">
        <f t="shared" si="9"/>
        <v>1</v>
      </c>
      <c r="Z20" s="4">
        <f t="shared" si="10"/>
        <v>3.5999999999999996</v>
      </c>
      <c r="AA20" s="4">
        <f t="shared" si="11"/>
        <v>2</v>
      </c>
      <c r="AB20" s="4">
        <f t="shared" si="12"/>
        <v>1</v>
      </c>
      <c r="AC20" s="4">
        <f t="shared" si="13"/>
        <v>4</v>
      </c>
      <c r="AD20" s="4">
        <f t="shared" si="14"/>
        <v>4</v>
      </c>
      <c r="AE20" s="4">
        <f t="shared" si="15"/>
        <v>18.600000000000001</v>
      </c>
      <c r="AF20" s="4">
        <f>IF(AND($AD20="",$I20=""),"",_xlfn.MAXIFS($AG$1:$AG19,$A$1:$A19,$A20)+1)</f>
        <v>4</v>
      </c>
      <c r="AG20" s="4">
        <f t="shared" si="16"/>
        <v>6</v>
      </c>
      <c r="AH20" s="4">
        <f t="shared" si="17"/>
        <v>2</v>
      </c>
      <c r="AI20" s="4">
        <f t="shared" si="18"/>
        <v>0</v>
      </c>
      <c r="AJ20" s="4">
        <f t="shared" si="19"/>
        <v>7</v>
      </c>
      <c r="AK20" s="4">
        <f t="shared" si="20"/>
        <v>6</v>
      </c>
      <c r="AL20" s="4" t="str">
        <f t="shared" si="21"/>
        <v>yeşil · N mavi · PE sarı-yeşil</v>
      </c>
      <c r="AM20" s="4">
        <f t="shared" si="22"/>
        <v>0</v>
      </c>
      <c r="AN20" s="4" t="str">
        <f t="shared" si="23"/>
        <v/>
      </c>
      <c r="AO20" s="4" t="str">
        <f t="shared" si="24"/>
        <v>2P</v>
      </c>
      <c r="AP20" s="4" t="s">
        <v>456</v>
      </c>
    </row>
    <row r="21" spans="1:42" x14ac:dyDescent="0.35">
      <c r="A21" s="5" t="s">
        <v>144</v>
      </c>
      <c r="B21" s="5" t="s">
        <v>457</v>
      </c>
      <c r="C21" s="5" t="s">
        <v>149</v>
      </c>
      <c r="D21" s="5" t="s">
        <v>391</v>
      </c>
      <c r="E21" s="5" t="s">
        <v>458</v>
      </c>
      <c r="F21" s="5" t="s">
        <v>459</v>
      </c>
      <c r="G21" s="6"/>
      <c r="H21" s="6"/>
      <c r="I21" s="6"/>
      <c r="J21" s="5" t="s">
        <v>460</v>
      </c>
      <c r="K21" s="5">
        <v>4</v>
      </c>
      <c r="L21" s="5" t="s">
        <v>385</v>
      </c>
      <c r="M21" s="5" t="s">
        <v>461</v>
      </c>
      <c r="N21" s="6"/>
      <c r="O21" s="6"/>
      <c r="P21" s="4" t="str">
        <f t="shared" si="0"/>
        <v>DİF</v>
      </c>
      <c r="Q21" s="4">
        <f t="shared" si="1"/>
        <v>16</v>
      </c>
      <c r="R21" s="4">
        <f t="shared" si="2"/>
        <v>2</v>
      </c>
      <c r="S21" s="4">
        <f t="shared" si="3"/>
        <v>6</v>
      </c>
      <c r="T21" s="4">
        <f t="shared" si="4"/>
        <v>1</v>
      </c>
      <c r="U21" s="4" t="str">
        <f t="shared" si="5"/>
        <v/>
      </c>
      <c r="V21" s="4">
        <f t="shared" si="6"/>
        <v>2.5</v>
      </c>
      <c r="W21" s="4">
        <f t="shared" si="7"/>
        <v>1</v>
      </c>
      <c r="X21" s="4">
        <f t="shared" si="8"/>
        <v>2</v>
      </c>
      <c r="Y21" s="4">
        <f t="shared" si="9"/>
        <v>1</v>
      </c>
      <c r="Z21" s="4">
        <f t="shared" si="10"/>
        <v>3.5999999999999996</v>
      </c>
      <c r="AA21" s="4">
        <f t="shared" si="11"/>
        <v>2</v>
      </c>
      <c r="AB21" s="4">
        <f t="shared" si="12"/>
        <v>1</v>
      </c>
      <c r="AC21" s="4">
        <f t="shared" si="13"/>
        <v>4</v>
      </c>
      <c r="AD21" s="4">
        <f t="shared" si="14"/>
        <v>4</v>
      </c>
      <c r="AE21" s="4">
        <f t="shared" si="15"/>
        <v>18.600000000000001</v>
      </c>
      <c r="AF21" s="4">
        <f>IF(AND($AD21="",$I21=""),"",_xlfn.MAXIFS($AG$1:$AG20,$A$1:$A20,$A21)+1)</f>
        <v>7</v>
      </c>
      <c r="AG21" s="4">
        <f t="shared" si="16"/>
        <v>9</v>
      </c>
      <c r="AH21" s="4">
        <f t="shared" si="17"/>
        <v>2</v>
      </c>
      <c r="AI21" s="4">
        <f t="shared" si="18"/>
        <v>0</v>
      </c>
      <c r="AJ21" s="4">
        <f t="shared" si="19"/>
        <v>7</v>
      </c>
      <c r="AK21" s="4">
        <f t="shared" si="20"/>
        <v>6</v>
      </c>
      <c r="AL21" s="4" t="str">
        <f t="shared" si="21"/>
        <v>kırmızı · N mavi · PE sarı-yeşil</v>
      </c>
      <c r="AM21" s="4">
        <f t="shared" si="22"/>
        <v>0</v>
      </c>
      <c r="AN21" s="4" t="str">
        <f t="shared" si="23"/>
        <v/>
      </c>
      <c r="AO21" s="4" t="str">
        <f t="shared" si="24"/>
        <v>2P</v>
      </c>
      <c r="AP21" s="4" t="s">
        <v>456</v>
      </c>
    </row>
    <row r="22" spans="1:42" x14ac:dyDescent="0.35">
      <c r="A22" s="5" t="s">
        <v>144</v>
      </c>
      <c r="B22" s="5" t="s">
        <v>462</v>
      </c>
      <c r="C22" s="5" t="s">
        <v>149</v>
      </c>
      <c r="D22" s="5" t="s">
        <v>391</v>
      </c>
      <c r="E22" s="5" t="s">
        <v>463</v>
      </c>
      <c r="F22" s="5" t="s">
        <v>403</v>
      </c>
      <c r="G22" s="6"/>
      <c r="H22" s="6"/>
      <c r="I22" s="6"/>
      <c r="J22" s="5" t="s">
        <v>464</v>
      </c>
      <c r="K22" s="5">
        <v>4</v>
      </c>
      <c r="L22" s="5" t="s">
        <v>385</v>
      </c>
      <c r="M22" s="5" t="s">
        <v>465</v>
      </c>
      <c r="N22" s="6"/>
      <c r="O22" s="6"/>
      <c r="P22" s="4" t="str">
        <f t="shared" si="0"/>
        <v>DİF</v>
      </c>
      <c r="Q22" s="4">
        <f t="shared" si="1"/>
        <v>16</v>
      </c>
      <c r="R22" s="4">
        <f t="shared" si="2"/>
        <v>2</v>
      </c>
      <c r="S22" s="4">
        <f t="shared" si="3"/>
        <v>6</v>
      </c>
      <c r="T22" s="4">
        <f t="shared" si="4"/>
        <v>1</v>
      </c>
      <c r="U22" s="4" t="str">
        <f t="shared" si="5"/>
        <v/>
      </c>
      <c r="V22" s="4">
        <f t="shared" si="6"/>
        <v>2.5</v>
      </c>
      <c r="W22" s="4">
        <f t="shared" si="7"/>
        <v>1</v>
      </c>
      <c r="X22" s="4">
        <f t="shared" si="8"/>
        <v>2</v>
      </c>
      <c r="Y22" s="4">
        <f t="shared" si="9"/>
        <v>1</v>
      </c>
      <c r="Z22" s="4">
        <f t="shared" si="10"/>
        <v>3.5999999999999996</v>
      </c>
      <c r="AA22" s="4">
        <f t="shared" si="11"/>
        <v>2</v>
      </c>
      <c r="AB22" s="4">
        <f t="shared" si="12"/>
        <v>1</v>
      </c>
      <c r="AC22" s="4">
        <f t="shared" si="13"/>
        <v>4</v>
      </c>
      <c r="AD22" s="4">
        <f t="shared" si="14"/>
        <v>4</v>
      </c>
      <c r="AE22" s="4">
        <f t="shared" si="15"/>
        <v>18.600000000000001</v>
      </c>
      <c r="AF22" s="4">
        <f>IF(AND($AD22="",$I22=""),"",_xlfn.MAXIFS($AG$1:$AG21,$A$1:$A21,$A22)+1)</f>
        <v>10</v>
      </c>
      <c r="AG22" s="4">
        <f t="shared" si="16"/>
        <v>12</v>
      </c>
      <c r="AH22" s="4">
        <f t="shared" si="17"/>
        <v>2</v>
      </c>
      <c r="AI22" s="4">
        <f t="shared" si="18"/>
        <v>0</v>
      </c>
      <c r="AJ22" s="4">
        <f t="shared" si="19"/>
        <v>7</v>
      </c>
      <c r="AK22" s="4">
        <f t="shared" si="20"/>
        <v>6</v>
      </c>
      <c r="AL22" s="4" t="str">
        <f t="shared" si="21"/>
        <v>sarı · N mavi · PE sarı-yeşil</v>
      </c>
      <c r="AM22" s="4">
        <f t="shared" si="22"/>
        <v>0</v>
      </c>
      <c r="AN22" s="4" t="str">
        <f t="shared" si="23"/>
        <v/>
      </c>
      <c r="AO22" s="4" t="str">
        <f t="shared" si="24"/>
        <v>2P</v>
      </c>
      <c r="AP22" s="4" t="s">
        <v>456</v>
      </c>
    </row>
    <row r="23" spans="1:42" x14ac:dyDescent="0.35">
      <c r="A23" s="5" t="s">
        <v>144</v>
      </c>
      <c r="B23" s="5" t="s">
        <v>466</v>
      </c>
      <c r="C23" s="5" t="s">
        <v>149</v>
      </c>
      <c r="D23" s="5" t="s">
        <v>391</v>
      </c>
      <c r="E23" s="5" t="s">
        <v>467</v>
      </c>
      <c r="F23" s="5" t="s">
        <v>453</v>
      </c>
      <c r="G23" s="6"/>
      <c r="H23" s="6"/>
      <c r="I23" s="6"/>
      <c r="J23" s="5" t="s">
        <v>460</v>
      </c>
      <c r="K23" s="5">
        <v>4</v>
      </c>
      <c r="L23" s="5" t="s">
        <v>385</v>
      </c>
      <c r="M23" s="5" t="s">
        <v>468</v>
      </c>
      <c r="N23" s="6"/>
      <c r="O23" s="6"/>
      <c r="P23" s="4" t="str">
        <f t="shared" si="0"/>
        <v>DİF</v>
      </c>
      <c r="Q23" s="4">
        <f t="shared" si="1"/>
        <v>16</v>
      </c>
      <c r="R23" s="4">
        <f t="shared" si="2"/>
        <v>2</v>
      </c>
      <c r="S23" s="4">
        <f t="shared" si="3"/>
        <v>6</v>
      </c>
      <c r="T23" s="4">
        <f t="shared" si="4"/>
        <v>1</v>
      </c>
      <c r="U23" s="4" t="str">
        <f t="shared" si="5"/>
        <v/>
      </c>
      <c r="V23" s="4">
        <f t="shared" si="6"/>
        <v>2.5</v>
      </c>
      <c r="W23" s="4">
        <f t="shared" si="7"/>
        <v>1</v>
      </c>
      <c r="X23" s="4">
        <f t="shared" si="8"/>
        <v>2</v>
      </c>
      <c r="Y23" s="4">
        <f t="shared" si="9"/>
        <v>1</v>
      </c>
      <c r="Z23" s="4">
        <f t="shared" si="10"/>
        <v>3.5999999999999996</v>
      </c>
      <c r="AA23" s="4">
        <f t="shared" si="11"/>
        <v>2</v>
      </c>
      <c r="AB23" s="4">
        <f t="shared" si="12"/>
        <v>1</v>
      </c>
      <c r="AC23" s="4">
        <f t="shared" si="13"/>
        <v>4</v>
      </c>
      <c r="AD23" s="4">
        <f t="shared" si="14"/>
        <v>4</v>
      </c>
      <c r="AE23" s="4">
        <f t="shared" si="15"/>
        <v>18.600000000000001</v>
      </c>
      <c r="AF23" s="4">
        <f>IF(AND($AD23="",$I23=""),"",_xlfn.MAXIFS($AG$1:$AG22,$A$1:$A22,$A23)+1)</f>
        <v>13</v>
      </c>
      <c r="AG23" s="4">
        <f t="shared" si="16"/>
        <v>15</v>
      </c>
      <c r="AH23" s="4">
        <f t="shared" si="17"/>
        <v>2</v>
      </c>
      <c r="AI23" s="4">
        <f t="shared" si="18"/>
        <v>0</v>
      </c>
      <c r="AJ23" s="4">
        <f t="shared" si="19"/>
        <v>7</v>
      </c>
      <c r="AK23" s="4">
        <f t="shared" si="20"/>
        <v>6</v>
      </c>
      <c r="AL23" s="4" t="str">
        <f t="shared" si="21"/>
        <v>yeşil · N mavi · PE sarı-yeşil</v>
      </c>
      <c r="AM23" s="4">
        <f t="shared" si="22"/>
        <v>0</v>
      </c>
      <c r="AN23" s="4" t="str">
        <f t="shared" si="23"/>
        <v/>
      </c>
      <c r="AO23" s="4" t="str">
        <f t="shared" si="24"/>
        <v>2P</v>
      </c>
      <c r="AP23" s="4" t="s">
        <v>456</v>
      </c>
    </row>
    <row r="24" spans="1:42" x14ac:dyDescent="0.35">
      <c r="A24" s="5" t="s">
        <v>144</v>
      </c>
      <c r="B24" s="5" t="s">
        <v>469</v>
      </c>
      <c r="C24" s="5" t="s">
        <v>149</v>
      </c>
      <c r="D24" s="5" t="s">
        <v>391</v>
      </c>
      <c r="E24" s="5" t="s">
        <v>470</v>
      </c>
      <c r="F24" s="5" t="s">
        <v>459</v>
      </c>
      <c r="G24" s="6"/>
      <c r="H24" s="6"/>
      <c r="I24" s="6"/>
      <c r="J24" s="5" t="s">
        <v>464</v>
      </c>
      <c r="K24" s="5">
        <v>4</v>
      </c>
      <c r="L24" s="5" t="s">
        <v>385</v>
      </c>
      <c r="M24" s="5" t="s">
        <v>471</v>
      </c>
      <c r="N24" s="6"/>
      <c r="O24" s="6"/>
      <c r="P24" s="4" t="str">
        <f t="shared" si="0"/>
        <v>DİF</v>
      </c>
      <c r="Q24" s="4">
        <f t="shared" si="1"/>
        <v>16</v>
      </c>
      <c r="R24" s="4">
        <f t="shared" si="2"/>
        <v>2</v>
      </c>
      <c r="S24" s="4">
        <f t="shared" si="3"/>
        <v>6</v>
      </c>
      <c r="T24" s="4">
        <f t="shared" si="4"/>
        <v>1</v>
      </c>
      <c r="U24" s="4" t="str">
        <f t="shared" si="5"/>
        <v/>
      </c>
      <c r="V24" s="4">
        <f t="shared" si="6"/>
        <v>2.5</v>
      </c>
      <c r="W24" s="4">
        <f t="shared" si="7"/>
        <v>1</v>
      </c>
      <c r="X24" s="4">
        <f t="shared" si="8"/>
        <v>2</v>
      </c>
      <c r="Y24" s="4">
        <f t="shared" si="9"/>
        <v>1</v>
      </c>
      <c r="Z24" s="4">
        <f t="shared" si="10"/>
        <v>3.5999999999999996</v>
      </c>
      <c r="AA24" s="4">
        <f t="shared" si="11"/>
        <v>2</v>
      </c>
      <c r="AB24" s="4">
        <f t="shared" si="12"/>
        <v>1</v>
      </c>
      <c r="AC24" s="4">
        <f t="shared" si="13"/>
        <v>4</v>
      </c>
      <c r="AD24" s="4">
        <f t="shared" si="14"/>
        <v>4</v>
      </c>
      <c r="AE24" s="4">
        <f t="shared" si="15"/>
        <v>18.600000000000001</v>
      </c>
      <c r="AF24" s="4">
        <f>IF(AND($AD24="",$I24=""),"",_xlfn.MAXIFS($AG$1:$AG23,$A$1:$A23,$A24)+1)</f>
        <v>16</v>
      </c>
      <c r="AG24" s="4">
        <f t="shared" si="16"/>
        <v>18</v>
      </c>
      <c r="AH24" s="4">
        <f t="shared" si="17"/>
        <v>2</v>
      </c>
      <c r="AI24" s="4">
        <f t="shared" si="18"/>
        <v>0</v>
      </c>
      <c r="AJ24" s="4">
        <f t="shared" si="19"/>
        <v>7</v>
      </c>
      <c r="AK24" s="4">
        <f t="shared" si="20"/>
        <v>6</v>
      </c>
      <c r="AL24" s="4" t="str">
        <f t="shared" si="21"/>
        <v>kırmızı · N mavi · PE sarı-yeşil</v>
      </c>
      <c r="AM24" s="4">
        <f t="shared" si="22"/>
        <v>0</v>
      </c>
      <c r="AN24" s="4" t="str">
        <f t="shared" si="23"/>
        <v/>
      </c>
      <c r="AO24" s="4" t="str">
        <f t="shared" si="24"/>
        <v>2P</v>
      </c>
    </row>
    <row r="25" spans="1:42" x14ac:dyDescent="0.35">
      <c r="A25" s="5" t="s">
        <v>144</v>
      </c>
      <c r="B25" s="5" t="s">
        <v>472</v>
      </c>
      <c r="C25" s="5" t="s">
        <v>149</v>
      </c>
      <c r="D25" s="5" t="s">
        <v>391</v>
      </c>
      <c r="E25" s="5" t="s">
        <v>473</v>
      </c>
      <c r="F25" s="5" t="s">
        <v>403</v>
      </c>
      <c r="G25" s="6"/>
      <c r="H25" s="6"/>
      <c r="I25" s="6"/>
      <c r="J25" s="5" t="s">
        <v>474</v>
      </c>
      <c r="K25" s="5">
        <v>4</v>
      </c>
      <c r="L25" s="5" t="s">
        <v>385</v>
      </c>
      <c r="M25" s="5" t="s">
        <v>475</v>
      </c>
      <c r="N25" s="6"/>
      <c r="O25" s="6"/>
      <c r="P25" s="4" t="str">
        <f t="shared" si="0"/>
        <v>DİF</v>
      </c>
      <c r="Q25" s="4">
        <f t="shared" si="1"/>
        <v>16</v>
      </c>
      <c r="R25" s="4">
        <f t="shared" si="2"/>
        <v>2</v>
      </c>
      <c r="S25" s="4">
        <f t="shared" si="3"/>
        <v>6</v>
      </c>
      <c r="T25" s="4">
        <f t="shared" si="4"/>
        <v>1</v>
      </c>
      <c r="U25" s="4" t="str">
        <f t="shared" si="5"/>
        <v/>
      </c>
      <c r="V25" s="4">
        <f t="shared" si="6"/>
        <v>2.5</v>
      </c>
      <c r="W25" s="4">
        <f t="shared" si="7"/>
        <v>1</v>
      </c>
      <c r="X25" s="4">
        <f t="shared" si="8"/>
        <v>2</v>
      </c>
      <c r="Y25" s="4">
        <f t="shared" si="9"/>
        <v>1</v>
      </c>
      <c r="Z25" s="4">
        <f t="shared" si="10"/>
        <v>3.5999999999999996</v>
      </c>
      <c r="AA25" s="4">
        <f t="shared" si="11"/>
        <v>2</v>
      </c>
      <c r="AB25" s="4">
        <f t="shared" si="12"/>
        <v>1</v>
      </c>
      <c r="AC25" s="4">
        <f t="shared" si="13"/>
        <v>4</v>
      </c>
      <c r="AD25" s="4">
        <f t="shared" si="14"/>
        <v>4</v>
      </c>
      <c r="AE25" s="4">
        <f t="shared" si="15"/>
        <v>18.600000000000001</v>
      </c>
      <c r="AF25" s="4">
        <f>IF(AND($AD25="",$I25=""),"",_xlfn.MAXIFS($AG$1:$AG24,$A$1:$A24,$A25)+1)</f>
        <v>19</v>
      </c>
      <c r="AG25" s="4">
        <f t="shared" si="16"/>
        <v>21</v>
      </c>
      <c r="AH25" s="4">
        <f t="shared" si="17"/>
        <v>2</v>
      </c>
      <c r="AI25" s="4">
        <f t="shared" si="18"/>
        <v>0</v>
      </c>
      <c r="AJ25" s="4">
        <f t="shared" si="19"/>
        <v>7</v>
      </c>
      <c r="AK25" s="4">
        <f t="shared" si="20"/>
        <v>6</v>
      </c>
      <c r="AL25" s="4" t="str">
        <f t="shared" si="21"/>
        <v>sarı · N mavi · PE sarı-yeşil</v>
      </c>
      <c r="AM25" s="4">
        <f t="shared" si="22"/>
        <v>0</v>
      </c>
      <c r="AN25" s="4" t="str">
        <f t="shared" si="23"/>
        <v/>
      </c>
      <c r="AO25" s="4" t="str">
        <f t="shared" si="24"/>
        <v>2P</v>
      </c>
    </row>
    <row r="26" spans="1:42" x14ac:dyDescent="0.35">
      <c r="A26" s="5" t="s">
        <v>144</v>
      </c>
      <c r="B26" s="5" t="s">
        <v>476</v>
      </c>
      <c r="C26" s="5" t="s">
        <v>149</v>
      </c>
      <c r="D26" s="5" t="s">
        <v>391</v>
      </c>
      <c r="E26" s="5" t="s">
        <v>477</v>
      </c>
      <c r="F26" s="5" t="s">
        <v>453</v>
      </c>
      <c r="G26" s="6"/>
      <c r="H26" s="6"/>
      <c r="I26" s="6"/>
      <c r="J26" s="5" t="s">
        <v>478</v>
      </c>
      <c r="K26" s="5">
        <v>4</v>
      </c>
      <c r="L26" s="5" t="s">
        <v>385</v>
      </c>
      <c r="M26" s="5" t="s">
        <v>479</v>
      </c>
      <c r="N26" s="6"/>
      <c r="O26" s="6"/>
      <c r="P26" s="4" t="str">
        <f t="shared" si="0"/>
        <v>DİF</v>
      </c>
      <c r="Q26" s="4">
        <f t="shared" si="1"/>
        <v>16</v>
      </c>
      <c r="R26" s="4">
        <f t="shared" si="2"/>
        <v>2</v>
      </c>
      <c r="S26" s="4">
        <f t="shared" si="3"/>
        <v>6</v>
      </c>
      <c r="T26" s="4">
        <f t="shared" si="4"/>
        <v>1</v>
      </c>
      <c r="U26" s="4" t="str">
        <f t="shared" si="5"/>
        <v/>
      </c>
      <c r="V26" s="4">
        <f t="shared" si="6"/>
        <v>2.5</v>
      </c>
      <c r="W26" s="4">
        <f t="shared" si="7"/>
        <v>1</v>
      </c>
      <c r="X26" s="4">
        <f t="shared" si="8"/>
        <v>2</v>
      </c>
      <c r="Y26" s="4">
        <f t="shared" si="9"/>
        <v>1</v>
      </c>
      <c r="Z26" s="4">
        <f t="shared" si="10"/>
        <v>3.5999999999999996</v>
      </c>
      <c r="AA26" s="4">
        <f t="shared" si="11"/>
        <v>2</v>
      </c>
      <c r="AB26" s="4">
        <f t="shared" si="12"/>
        <v>1</v>
      </c>
      <c r="AC26" s="4">
        <f t="shared" si="13"/>
        <v>4</v>
      </c>
      <c r="AD26" s="4">
        <f t="shared" si="14"/>
        <v>4</v>
      </c>
      <c r="AE26" s="4">
        <f t="shared" si="15"/>
        <v>18.600000000000001</v>
      </c>
      <c r="AF26" s="4">
        <f>IF(AND($AD26="",$I26=""),"",_xlfn.MAXIFS($AG$1:$AG25,$A$1:$A25,$A26)+1)</f>
        <v>22</v>
      </c>
      <c r="AG26" s="4">
        <f t="shared" si="16"/>
        <v>24</v>
      </c>
      <c r="AH26" s="4">
        <f t="shared" si="17"/>
        <v>2</v>
      </c>
      <c r="AI26" s="4">
        <f t="shared" si="18"/>
        <v>0</v>
      </c>
      <c r="AJ26" s="4">
        <f t="shared" si="19"/>
        <v>7</v>
      </c>
      <c r="AK26" s="4">
        <f t="shared" si="20"/>
        <v>6</v>
      </c>
      <c r="AL26" s="4" t="str">
        <f t="shared" si="21"/>
        <v>yeşil · N mavi · PE sarı-yeşil</v>
      </c>
      <c r="AM26" s="4">
        <f t="shared" si="22"/>
        <v>0</v>
      </c>
      <c r="AN26" s="4" t="str">
        <f t="shared" si="23"/>
        <v/>
      </c>
      <c r="AO26" s="4" t="str">
        <f t="shared" si="24"/>
        <v>2P</v>
      </c>
    </row>
    <row r="27" spans="1:42" x14ac:dyDescent="0.35">
      <c r="A27" s="5" t="s">
        <v>144</v>
      </c>
      <c r="B27" s="5" t="s">
        <v>480</v>
      </c>
      <c r="C27" s="5" t="s">
        <v>149</v>
      </c>
      <c r="D27" s="5" t="s">
        <v>391</v>
      </c>
      <c r="E27" s="5" t="s">
        <v>481</v>
      </c>
      <c r="F27" s="5" t="s">
        <v>459</v>
      </c>
      <c r="G27" s="6"/>
      <c r="H27" s="6"/>
      <c r="I27" s="6"/>
      <c r="J27" s="5" t="s">
        <v>482</v>
      </c>
      <c r="K27" s="5">
        <v>4</v>
      </c>
      <c r="L27" s="5" t="s">
        <v>385</v>
      </c>
      <c r="M27" s="5" t="s">
        <v>483</v>
      </c>
      <c r="N27" s="6"/>
      <c r="O27" s="6"/>
      <c r="P27" s="4" t="str">
        <f t="shared" si="0"/>
        <v>DİF</v>
      </c>
      <c r="Q27" s="4">
        <f t="shared" si="1"/>
        <v>16</v>
      </c>
      <c r="R27" s="4">
        <f t="shared" si="2"/>
        <v>2</v>
      </c>
      <c r="S27" s="4">
        <f t="shared" si="3"/>
        <v>6</v>
      </c>
      <c r="T27" s="4">
        <f t="shared" si="4"/>
        <v>1</v>
      </c>
      <c r="U27" s="4" t="str">
        <f t="shared" si="5"/>
        <v/>
      </c>
      <c r="V27" s="4">
        <f t="shared" si="6"/>
        <v>2.5</v>
      </c>
      <c r="W27" s="4">
        <f t="shared" si="7"/>
        <v>1</v>
      </c>
      <c r="X27" s="4">
        <f t="shared" si="8"/>
        <v>2</v>
      </c>
      <c r="Y27" s="4">
        <f t="shared" si="9"/>
        <v>1</v>
      </c>
      <c r="Z27" s="4">
        <f t="shared" si="10"/>
        <v>3.5999999999999996</v>
      </c>
      <c r="AA27" s="4">
        <f t="shared" si="11"/>
        <v>2</v>
      </c>
      <c r="AB27" s="4">
        <f t="shared" si="12"/>
        <v>1</v>
      </c>
      <c r="AC27" s="4">
        <f t="shared" si="13"/>
        <v>4</v>
      </c>
      <c r="AD27" s="4">
        <f t="shared" si="14"/>
        <v>4</v>
      </c>
      <c r="AE27" s="4">
        <f t="shared" si="15"/>
        <v>18.600000000000001</v>
      </c>
      <c r="AF27" s="4">
        <f>IF(AND($AD27="",$I27=""),"",_xlfn.MAXIFS($AG$1:$AG26,$A$1:$A26,$A27)+1)</f>
        <v>25</v>
      </c>
      <c r="AG27" s="4">
        <f t="shared" si="16"/>
        <v>27</v>
      </c>
      <c r="AH27" s="4">
        <f t="shared" si="17"/>
        <v>2</v>
      </c>
      <c r="AI27" s="4">
        <f t="shared" si="18"/>
        <v>0</v>
      </c>
      <c r="AJ27" s="4">
        <f t="shared" si="19"/>
        <v>7</v>
      </c>
      <c r="AK27" s="4">
        <f t="shared" si="20"/>
        <v>6</v>
      </c>
      <c r="AL27" s="4" t="str">
        <f t="shared" si="21"/>
        <v>kırmızı · N mavi · PE sarı-yeşil</v>
      </c>
      <c r="AM27" s="4">
        <f t="shared" si="22"/>
        <v>0</v>
      </c>
      <c r="AN27" s="4" t="str">
        <f t="shared" si="23"/>
        <v/>
      </c>
      <c r="AO27" s="4" t="str">
        <f t="shared" si="24"/>
        <v>2P</v>
      </c>
    </row>
    <row r="28" spans="1:42" x14ac:dyDescent="0.35">
      <c r="A28" s="5" t="s">
        <v>144</v>
      </c>
      <c r="B28" s="5" t="s">
        <v>484</v>
      </c>
      <c r="C28" s="5" t="s">
        <v>149</v>
      </c>
      <c r="D28" s="5" t="s">
        <v>391</v>
      </c>
      <c r="E28" s="5" t="s">
        <v>485</v>
      </c>
      <c r="F28" s="5" t="s">
        <v>403</v>
      </c>
      <c r="G28" s="6"/>
      <c r="H28" s="6"/>
      <c r="I28" s="6"/>
      <c r="J28" s="5" t="s">
        <v>486</v>
      </c>
      <c r="K28" s="5">
        <v>4</v>
      </c>
      <c r="L28" s="5" t="s">
        <v>385</v>
      </c>
      <c r="M28" s="5" t="s">
        <v>487</v>
      </c>
      <c r="N28" s="6"/>
      <c r="O28" s="6"/>
      <c r="P28" s="4" t="str">
        <f t="shared" si="0"/>
        <v>DİF</v>
      </c>
      <c r="Q28" s="4">
        <f t="shared" si="1"/>
        <v>16</v>
      </c>
      <c r="R28" s="4">
        <f t="shared" si="2"/>
        <v>2</v>
      </c>
      <c r="S28" s="4">
        <f t="shared" si="3"/>
        <v>6</v>
      </c>
      <c r="T28" s="4">
        <f t="shared" si="4"/>
        <v>1</v>
      </c>
      <c r="U28" s="4" t="str">
        <f t="shared" si="5"/>
        <v/>
      </c>
      <c r="V28" s="4">
        <f t="shared" si="6"/>
        <v>2.5</v>
      </c>
      <c r="W28" s="4">
        <f t="shared" si="7"/>
        <v>1</v>
      </c>
      <c r="X28" s="4">
        <f t="shared" si="8"/>
        <v>2</v>
      </c>
      <c r="Y28" s="4">
        <f t="shared" si="9"/>
        <v>1</v>
      </c>
      <c r="Z28" s="4">
        <f t="shared" si="10"/>
        <v>3.5999999999999996</v>
      </c>
      <c r="AA28" s="4">
        <f t="shared" si="11"/>
        <v>2</v>
      </c>
      <c r="AB28" s="4">
        <f t="shared" si="12"/>
        <v>1</v>
      </c>
      <c r="AC28" s="4">
        <f t="shared" si="13"/>
        <v>4</v>
      </c>
      <c r="AD28" s="4">
        <f t="shared" si="14"/>
        <v>4</v>
      </c>
      <c r="AE28" s="4">
        <f t="shared" si="15"/>
        <v>18.600000000000001</v>
      </c>
      <c r="AF28" s="4">
        <f>IF(AND($AD28="",$I28=""),"",_xlfn.MAXIFS($AG$1:$AG27,$A$1:$A27,$A28)+1)</f>
        <v>28</v>
      </c>
      <c r="AG28" s="4">
        <f t="shared" si="16"/>
        <v>30</v>
      </c>
      <c r="AH28" s="4">
        <f t="shared" si="17"/>
        <v>2</v>
      </c>
      <c r="AI28" s="4">
        <f t="shared" si="18"/>
        <v>0</v>
      </c>
      <c r="AJ28" s="4">
        <f t="shared" si="19"/>
        <v>7</v>
      </c>
      <c r="AK28" s="4">
        <f t="shared" si="20"/>
        <v>6</v>
      </c>
      <c r="AL28" s="4" t="str">
        <f t="shared" si="21"/>
        <v>sarı · N mavi · PE sarı-yeşil</v>
      </c>
      <c r="AM28" s="4">
        <f t="shared" si="22"/>
        <v>0</v>
      </c>
      <c r="AN28" s="4" t="str">
        <f t="shared" si="23"/>
        <v/>
      </c>
      <c r="AO28" s="4" t="str">
        <f t="shared" si="24"/>
        <v>2P</v>
      </c>
    </row>
    <row r="29" spans="1:42" x14ac:dyDescent="0.35">
      <c r="A29" s="5" t="s">
        <v>144</v>
      </c>
      <c r="B29" s="5" t="s">
        <v>488</v>
      </c>
      <c r="C29" s="5" t="s">
        <v>149</v>
      </c>
      <c r="D29" s="5" t="s">
        <v>391</v>
      </c>
      <c r="E29" s="5" t="s">
        <v>489</v>
      </c>
      <c r="F29" s="5" t="s">
        <v>453</v>
      </c>
      <c r="G29" s="6"/>
      <c r="H29" s="6"/>
      <c r="I29" s="6"/>
      <c r="J29" s="5" t="s">
        <v>460</v>
      </c>
      <c r="K29" s="5">
        <v>4</v>
      </c>
      <c r="L29" s="5" t="s">
        <v>385</v>
      </c>
      <c r="M29" s="5" t="s">
        <v>490</v>
      </c>
      <c r="N29" s="6"/>
      <c r="O29" s="6"/>
      <c r="P29" s="4" t="str">
        <f t="shared" si="0"/>
        <v>DİF</v>
      </c>
      <c r="Q29" s="4">
        <f t="shared" si="1"/>
        <v>16</v>
      </c>
      <c r="R29" s="4">
        <f t="shared" si="2"/>
        <v>2</v>
      </c>
      <c r="S29" s="4">
        <f t="shared" si="3"/>
        <v>6</v>
      </c>
      <c r="T29" s="4">
        <f t="shared" si="4"/>
        <v>1</v>
      </c>
      <c r="U29" s="4" t="str">
        <f t="shared" si="5"/>
        <v/>
      </c>
      <c r="V29" s="4">
        <f t="shared" si="6"/>
        <v>2.5</v>
      </c>
      <c r="W29" s="4">
        <f t="shared" si="7"/>
        <v>1</v>
      </c>
      <c r="X29" s="4">
        <f t="shared" si="8"/>
        <v>2</v>
      </c>
      <c r="Y29" s="4">
        <f t="shared" si="9"/>
        <v>1</v>
      </c>
      <c r="Z29" s="4">
        <f t="shared" si="10"/>
        <v>3.5999999999999996</v>
      </c>
      <c r="AA29" s="4">
        <f t="shared" si="11"/>
        <v>2</v>
      </c>
      <c r="AB29" s="4">
        <f t="shared" si="12"/>
        <v>1</v>
      </c>
      <c r="AC29" s="4">
        <f t="shared" si="13"/>
        <v>4</v>
      </c>
      <c r="AD29" s="4">
        <f t="shared" si="14"/>
        <v>4</v>
      </c>
      <c r="AE29" s="4">
        <f t="shared" si="15"/>
        <v>18.600000000000001</v>
      </c>
      <c r="AF29" s="4">
        <f>IF(AND($AD29="",$I29=""),"",_xlfn.MAXIFS($AG$1:$AG28,$A$1:$A28,$A29)+1)</f>
        <v>31</v>
      </c>
      <c r="AG29" s="4">
        <f t="shared" si="16"/>
        <v>33</v>
      </c>
      <c r="AH29" s="4">
        <f t="shared" si="17"/>
        <v>2</v>
      </c>
      <c r="AI29" s="4">
        <f t="shared" si="18"/>
        <v>0</v>
      </c>
      <c r="AJ29" s="4">
        <f t="shared" si="19"/>
        <v>7</v>
      </c>
      <c r="AK29" s="4">
        <f t="shared" si="20"/>
        <v>6</v>
      </c>
      <c r="AL29" s="4" t="str">
        <f t="shared" si="21"/>
        <v>yeşil · N mavi · PE sarı-yeşil</v>
      </c>
      <c r="AM29" s="4">
        <f t="shared" si="22"/>
        <v>0</v>
      </c>
      <c r="AN29" s="4" t="str">
        <f t="shared" si="23"/>
        <v/>
      </c>
      <c r="AO29" s="4" t="str">
        <f t="shared" si="24"/>
        <v>2P</v>
      </c>
    </row>
    <row r="30" spans="1:42" x14ac:dyDescent="0.35">
      <c r="A30" s="5" t="s">
        <v>144</v>
      </c>
      <c r="B30" s="5" t="s">
        <v>491</v>
      </c>
      <c r="C30" s="5" t="s">
        <v>149</v>
      </c>
      <c r="D30" s="5" t="s">
        <v>391</v>
      </c>
      <c r="E30" s="5" t="s">
        <v>492</v>
      </c>
      <c r="F30" s="5" t="s">
        <v>459</v>
      </c>
      <c r="G30" s="6"/>
      <c r="H30" s="6"/>
      <c r="I30" s="6"/>
      <c r="J30" s="5" t="s">
        <v>486</v>
      </c>
      <c r="K30" s="5">
        <v>4</v>
      </c>
      <c r="L30" s="5" t="s">
        <v>385</v>
      </c>
      <c r="M30" s="5" t="s">
        <v>493</v>
      </c>
      <c r="N30" s="6"/>
      <c r="O30" s="6"/>
      <c r="P30" s="4" t="str">
        <f t="shared" si="0"/>
        <v>DİF</v>
      </c>
      <c r="Q30" s="4">
        <f t="shared" si="1"/>
        <v>16</v>
      </c>
      <c r="R30" s="4">
        <f t="shared" si="2"/>
        <v>2</v>
      </c>
      <c r="S30" s="4">
        <f t="shared" si="3"/>
        <v>6</v>
      </c>
      <c r="T30" s="4">
        <f t="shared" si="4"/>
        <v>1</v>
      </c>
      <c r="U30" s="4" t="str">
        <f t="shared" si="5"/>
        <v/>
      </c>
      <c r="V30" s="4">
        <f t="shared" si="6"/>
        <v>2.5</v>
      </c>
      <c r="W30" s="4">
        <f t="shared" si="7"/>
        <v>1</v>
      </c>
      <c r="X30" s="4">
        <f t="shared" si="8"/>
        <v>2</v>
      </c>
      <c r="Y30" s="4">
        <f t="shared" si="9"/>
        <v>1</v>
      </c>
      <c r="Z30" s="4">
        <f t="shared" si="10"/>
        <v>3.5999999999999996</v>
      </c>
      <c r="AA30" s="4">
        <f t="shared" si="11"/>
        <v>2</v>
      </c>
      <c r="AB30" s="4">
        <f t="shared" si="12"/>
        <v>1</v>
      </c>
      <c r="AC30" s="4">
        <f t="shared" si="13"/>
        <v>4</v>
      </c>
      <c r="AD30" s="4">
        <f t="shared" si="14"/>
        <v>4</v>
      </c>
      <c r="AE30" s="4">
        <f t="shared" si="15"/>
        <v>18.600000000000001</v>
      </c>
      <c r="AF30" s="4">
        <f>IF(AND($AD30="",$I30=""),"",_xlfn.MAXIFS($AG$1:$AG29,$A$1:$A29,$A30)+1)</f>
        <v>34</v>
      </c>
      <c r="AG30" s="4">
        <f t="shared" si="16"/>
        <v>36</v>
      </c>
      <c r="AH30" s="4">
        <f t="shared" si="17"/>
        <v>2</v>
      </c>
      <c r="AI30" s="4">
        <f t="shared" si="18"/>
        <v>0</v>
      </c>
      <c r="AJ30" s="4">
        <f t="shared" si="19"/>
        <v>7</v>
      </c>
      <c r="AK30" s="4">
        <f t="shared" si="20"/>
        <v>6</v>
      </c>
      <c r="AL30" s="4" t="str">
        <f t="shared" si="21"/>
        <v>kırmızı · N mavi · PE sarı-yeşil</v>
      </c>
      <c r="AM30" s="4">
        <f t="shared" si="22"/>
        <v>0</v>
      </c>
      <c r="AN30" s="4" t="str">
        <f t="shared" si="23"/>
        <v/>
      </c>
      <c r="AO30" s="4" t="str">
        <f t="shared" si="24"/>
        <v>2P</v>
      </c>
    </row>
    <row r="31" spans="1:42" x14ac:dyDescent="0.35">
      <c r="A31" s="5" t="s">
        <v>144</v>
      </c>
      <c r="B31" s="5" t="s">
        <v>494</v>
      </c>
      <c r="C31" s="5" t="s">
        <v>149</v>
      </c>
      <c r="D31" s="5" t="s">
        <v>391</v>
      </c>
      <c r="E31" s="5" t="s">
        <v>495</v>
      </c>
      <c r="F31" s="5" t="s">
        <v>403</v>
      </c>
      <c r="G31" s="6"/>
      <c r="H31" s="6"/>
      <c r="I31" s="6"/>
      <c r="J31" s="5" t="s">
        <v>454</v>
      </c>
      <c r="K31" s="5">
        <v>4</v>
      </c>
      <c r="L31" s="5" t="s">
        <v>385</v>
      </c>
      <c r="M31" s="5" t="s">
        <v>496</v>
      </c>
      <c r="N31" s="6"/>
      <c r="O31" s="6"/>
      <c r="P31" s="4" t="str">
        <f t="shared" si="0"/>
        <v>DİF</v>
      </c>
      <c r="Q31" s="4">
        <f t="shared" si="1"/>
        <v>16</v>
      </c>
      <c r="R31" s="4">
        <f t="shared" si="2"/>
        <v>2</v>
      </c>
      <c r="S31" s="4">
        <f t="shared" si="3"/>
        <v>6</v>
      </c>
      <c r="T31" s="4">
        <f t="shared" si="4"/>
        <v>1</v>
      </c>
      <c r="U31" s="4" t="str">
        <f t="shared" si="5"/>
        <v/>
      </c>
      <c r="V31" s="4">
        <f t="shared" si="6"/>
        <v>2.5</v>
      </c>
      <c r="W31" s="4">
        <f t="shared" si="7"/>
        <v>1</v>
      </c>
      <c r="X31" s="4">
        <f t="shared" si="8"/>
        <v>2</v>
      </c>
      <c r="Y31" s="4">
        <f t="shared" si="9"/>
        <v>1</v>
      </c>
      <c r="Z31" s="4">
        <f t="shared" si="10"/>
        <v>3.5999999999999996</v>
      </c>
      <c r="AA31" s="4">
        <f t="shared" si="11"/>
        <v>2</v>
      </c>
      <c r="AB31" s="4">
        <f t="shared" si="12"/>
        <v>1</v>
      </c>
      <c r="AC31" s="4">
        <f t="shared" si="13"/>
        <v>4</v>
      </c>
      <c r="AD31" s="4">
        <f t="shared" si="14"/>
        <v>4</v>
      </c>
      <c r="AE31" s="4">
        <f t="shared" si="15"/>
        <v>18.600000000000001</v>
      </c>
      <c r="AF31" s="4">
        <f>IF(AND($AD31="",$I31=""),"",_xlfn.MAXIFS($AG$1:$AG30,$A$1:$A30,$A31)+1)</f>
        <v>37</v>
      </c>
      <c r="AG31" s="4">
        <f t="shared" si="16"/>
        <v>39</v>
      </c>
      <c r="AH31" s="4">
        <f t="shared" si="17"/>
        <v>2</v>
      </c>
      <c r="AI31" s="4">
        <f t="shared" si="18"/>
        <v>0</v>
      </c>
      <c r="AJ31" s="4">
        <f t="shared" si="19"/>
        <v>7</v>
      </c>
      <c r="AK31" s="4">
        <f t="shared" si="20"/>
        <v>6</v>
      </c>
      <c r="AL31" s="4" t="str">
        <f t="shared" si="21"/>
        <v>sarı · N mavi · PE sarı-yeşil</v>
      </c>
      <c r="AM31" s="4">
        <f t="shared" si="22"/>
        <v>0</v>
      </c>
      <c r="AN31" s="4" t="str">
        <f t="shared" si="23"/>
        <v/>
      </c>
      <c r="AO31" s="4" t="str">
        <f t="shared" si="24"/>
        <v>2P</v>
      </c>
    </row>
    <row r="32" spans="1:42" x14ac:dyDescent="0.35">
      <c r="A32" s="5" t="s">
        <v>156</v>
      </c>
      <c r="B32" s="5" t="s">
        <v>418</v>
      </c>
      <c r="C32" s="5" t="s">
        <v>146</v>
      </c>
      <c r="D32" s="5" t="s">
        <v>381</v>
      </c>
      <c r="E32" s="5" t="s">
        <v>497</v>
      </c>
      <c r="F32" s="5" t="s">
        <v>383</v>
      </c>
      <c r="G32" s="6"/>
      <c r="H32" s="6"/>
      <c r="I32" s="6"/>
      <c r="J32" s="5" t="s">
        <v>445</v>
      </c>
      <c r="K32" s="6"/>
      <c r="L32" s="5" t="s">
        <v>385</v>
      </c>
      <c r="M32" s="5" t="s">
        <v>498</v>
      </c>
      <c r="N32" s="6"/>
      <c r="O32" s="6"/>
      <c r="P32" s="4" t="str">
        <f t="shared" si="0"/>
        <v>rubilnik</v>
      </c>
      <c r="Q32" s="4">
        <f t="shared" si="1"/>
        <v>63</v>
      </c>
      <c r="R32" s="4">
        <f t="shared" si="2"/>
        <v>3</v>
      </c>
      <c r="S32" s="4" t="str">
        <f t="shared" si="3"/>
        <v/>
      </c>
      <c r="T32" s="4">
        <f t="shared" si="4"/>
        <v>1</v>
      </c>
      <c r="U32" s="4" t="str">
        <f t="shared" si="5"/>
        <v/>
      </c>
      <c r="V32" s="4">
        <f t="shared" si="6"/>
        <v>16</v>
      </c>
      <c r="W32" s="4">
        <f t="shared" si="7"/>
        <v>1</v>
      </c>
      <c r="X32" s="4">
        <f t="shared" si="8"/>
        <v>3</v>
      </c>
      <c r="Y32" s="4" t="str">
        <f t="shared" si="9"/>
        <v/>
      </c>
      <c r="Z32" s="4">
        <f t="shared" si="10"/>
        <v>3.5999999999999996</v>
      </c>
      <c r="AA32" s="4" t="str">
        <f t="shared" si="11"/>
        <v/>
      </c>
      <c r="AB32" s="4" t="str">
        <f t="shared" si="12"/>
        <v/>
      </c>
      <c r="AC32" s="4" t="str">
        <f t="shared" si="13"/>
        <v/>
      </c>
      <c r="AD32" s="4" t="str">
        <f t="shared" si="14"/>
        <v/>
      </c>
      <c r="AE32" s="4" t="str">
        <f t="shared" si="15"/>
        <v/>
      </c>
      <c r="AF32" s="4" t="str">
        <f>IF(AND($AD32="",$I32=""),"",_xlfn.MAXIFS($AG$1:$AG31,$A$1:$A31,$A32)+1)</f>
        <v/>
      </c>
      <c r="AG32" s="4" t="str">
        <f t="shared" si="16"/>
        <v/>
      </c>
      <c r="AH32" s="4">
        <f t="shared" si="17"/>
        <v>3</v>
      </c>
      <c r="AI32" s="4">
        <f t="shared" si="18"/>
        <v>6</v>
      </c>
      <c r="AJ32" s="4">
        <f t="shared" si="19"/>
        <v>0</v>
      </c>
      <c r="AK32" s="4">
        <f t="shared" si="20"/>
        <v>6</v>
      </c>
      <c r="AL32" s="4" t="str">
        <f t="shared" si="21"/>
        <v>L1 sarı · L2 yeşil · L3 kırmızı · N mavi · PE sarı-yeşil</v>
      </c>
      <c r="AM32" s="4">
        <f t="shared" si="22"/>
        <v>0</v>
      </c>
      <c r="AN32" s="4" t="str">
        <f t="shared" si="23"/>
        <v/>
      </c>
      <c r="AO32" s="4" t="str">
        <f t="shared" si="24"/>
        <v>3P</v>
      </c>
    </row>
    <row r="33" spans="1:41" x14ac:dyDescent="0.35">
      <c r="A33" s="5" t="s">
        <v>156</v>
      </c>
      <c r="B33" s="5" t="s">
        <v>499</v>
      </c>
      <c r="C33" s="5" t="s">
        <v>149</v>
      </c>
      <c r="D33" s="5" t="s">
        <v>391</v>
      </c>
      <c r="E33" s="5" t="s">
        <v>500</v>
      </c>
      <c r="F33" s="5" t="s">
        <v>403</v>
      </c>
      <c r="G33" s="6"/>
      <c r="H33" s="6"/>
      <c r="I33" s="6"/>
      <c r="J33" s="5" t="s">
        <v>501</v>
      </c>
      <c r="K33" s="5">
        <v>4</v>
      </c>
      <c r="L33" s="5" t="s">
        <v>385</v>
      </c>
      <c r="M33" s="5" t="s">
        <v>502</v>
      </c>
      <c r="N33" s="6"/>
      <c r="O33" s="6"/>
      <c r="P33" s="4" t="str">
        <f t="shared" si="0"/>
        <v>DİF</v>
      </c>
      <c r="Q33" s="4">
        <f t="shared" si="1"/>
        <v>16</v>
      </c>
      <c r="R33" s="4">
        <f t="shared" si="2"/>
        <v>2</v>
      </c>
      <c r="S33" s="4">
        <f t="shared" si="3"/>
        <v>6</v>
      </c>
      <c r="T33" s="4">
        <f t="shared" si="4"/>
        <v>1</v>
      </c>
      <c r="U33" s="4" t="str">
        <f t="shared" si="5"/>
        <v/>
      </c>
      <c r="V33" s="4">
        <f t="shared" si="6"/>
        <v>2.5</v>
      </c>
      <c r="W33" s="4">
        <f t="shared" si="7"/>
        <v>1</v>
      </c>
      <c r="X33" s="4">
        <f t="shared" si="8"/>
        <v>2</v>
      </c>
      <c r="Y33" s="4">
        <f t="shared" si="9"/>
        <v>1</v>
      </c>
      <c r="Z33" s="4">
        <f t="shared" si="10"/>
        <v>3.5999999999999996</v>
      </c>
      <c r="AA33" s="4">
        <f t="shared" si="11"/>
        <v>2</v>
      </c>
      <c r="AB33" s="4">
        <f t="shared" si="12"/>
        <v>1</v>
      </c>
      <c r="AC33" s="4">
        <f t="shared" si="13"/>
        <v>4</v>
      </c>
      <c r="AD33" s="4">
        <f t="shared" si="14"/>
        <v>4</v>
      </c>
      <c r="AE33" s="4">
        <f t="shared" si="15"/>
        <v>18.600000000000001</v>
      </c>
      <c r="AF33" s="4">
        <f>IF(AND($AD33="",$I33=""),"",_xlfn.MAXIFS($AG$1:$AG32,$A$1:$A32,$A33)+1)</f>
        <v>1</v>
      </c>
      <c r="AG33" s="4">
        <f t="shared" si="16"/>
        <v>3</v>
      </c>
      <c r="AH33" s="4">
        <f t="shared" si="17"/>
        <v>2</v>
      </c>
      <c r="AI33" s="4">
        <f t="shared" si="18"/>
        <v>0</v>
      </c>
      <c r="AJ33" s="4">
        <f t="shared" si="19"/>
        <v>7</v>
      </c>
      <c r="AK33" s="4">
        <f t="shared" si="20"/>
        <v>6</v>
      </c>
      <c r="AL33" s="4" t="str">
        <f t="shared" si="21"/>
        <v>sarı · N mavi · PE sarı-yeşil</v>
      </c>
      <c r="AM33" s="4">
        <f t="shared" si="22"/>
        <v>0</v>
      </c>
      <c r="AN33" s="4" t="str">
        <f t="shared" si="23"/>
        <v/>
      </c>
      <c r="AO33" s="4" t="str">
        <f t="shared" si="24"/>
        <v>2P</v>
      </c>
    </row>
    <row r="34" spans="1:41" x14ac:dyDescent="0.35">
      <c r="A34" s="5" t="s">
        <v>156</v>
      </c>
      <c r="B34" s="5" t="s">
        <v>503</v>
      </c>
      <c r="C34" s="5" t="s">
        <v>149</v>
      </c>
      <c r="D34" s="5" t="s">
        <v>391</v>
      </c>
      <c r="E34" s="5" t="s">
        <v>504</v>
      </c>
      <c r="F34" s="5" t="s">
        <v>453</v>
      </c>
      <c r="G34" s="6"/>
      <c r="H34" s="6"/>
      <c r="I34" s="6"/>
      <c r="J34" s="5" t="s">
        <v>505</v>
      </c>
      <c r="K34" s="5">
        <v>4</v>
      </c>
      <c r="L34" s="5" t="s">
        <v>385</v>
      </c>
      <c r="M34" s="5" t="s">
        <v>506</v>
      </c>
      <c r="N34" s="6"/>
      <c r="O34" s="6"/>
      <c r="P34" s="4" t="str">
        <f t="shared" ref="P34:P65" si="25">IF($C34="","",INDEX(FIYAT_TIP,MATCH($C34,FIYAT_KOD,0)))</f>
        <v>DİF</v>
      </c>
      <c r="Q34" s="4">
        <f t="shared" ref="Q34:Q65" si="26">IF($C34="","",IF(INDEX(FIYAT_IN,MATCH($C34,FIYAT_KOD,0))="","",INDEX(FIYAT_IN,MATCH($C34,FIYAT_KOD,0))))</f>
        <v>16</v>
      </c>
      <c r="R34" s="4">
        <f t="shared" ref="R34:R65" si="27">IF($C34="","",IF(INDEX(FIYAT_KUTUP,MATCH($C34,FIYAT_KOD,0))="","",INDEX(FIYAT_KUTUP,MATCH($C34,FIYAT_KOD,0))))</f>
        <v>2</v>
      </c>
      <c r="S34" s="4">
        <f t="shared" ref="S34:S65" si="28">IF($C34="","",IF(INDEX(FIYAT_KA,MATCH($C34,FIYAT_KOD,0))="","",INDEX(FIYAT_KA,MATCH($C34,FIYAT_KOD,0))))</f>
        <v>6</v>
      </c>
      <c r="T34" s="4">
        <f t="shared" ref="T34:T65" si="29">IF($C34="","",IF(AND($P34="fu",$F34="L123"),3,1))</f>
        <v>1</v>
      </c>
      <c r="U34" s="4" t="str">
        <f t="shared" ref="U34:U65" si="30">IF($H34="","",IF($D34="OLCU",3,IF(IF(INDEX(FIYAT_KUTUP,MATCH($H34,FIYAT_KOD,0))="","",INDEX(FIYAT_KUTUP,MATCH($H34,FIYAT_KOD,0)))="","",$T34/IF(INDEX(FIYAT_KUTUP,MATCH($H34,FIYAT_KOD,0))="","",INDEX(FIYAT_KUTUP,MATCH($H34,FIYAT_KOD,0))))))</f>
        <v/>
      </c>
      <c r="V34" s="4">
        <f t="shared" ref="V34:V65" si="31">IF(OR($D34="YEDEK",$C34=""),"",IF($D34="KUMANDA",KUMANDA_KESIT,IF($D34="OLCU",OLCU_KESIT,IF(OR($Q34="",$Q34&gt;KABLO_MAX_A,AND($D34="ANA",$Q34&gt;KOPRU_KABLO_MAX_A)),"",INDEX(KABLO_KESIT,MATCH($Q34,KABLO_IN_ALT,1))))))</f>
        <v>2.5</v>
      </c>
      <c r="W34" s="4">
        <f t="shared" ref="W34:W65" si="32">IF($V34="","",IF(OR($Q34="",$D34&lt;&gt;"CIKIS"),1,INDEX(KABLO_PARALEL,MATCH($Q34,KABLO_IN_ALT,1))))</f>
        <v>1</v>
      </c>
      <c r="X34" s="4">
        <f t="shared" ref="X34:X65" si="33">IF($V34="","",IF($R34="",1,$R34)*$W34)</f>
        <v>2</v>
      </c>
      <c r="Y34" s="4">
        <f t="shared" ref="Y34:Y65" si="34">IF(OR($D34&lt;&gt;"CIKIS",$V34=""),"",IF(NPE_YOLU="KLEMENS",IF($G34="YOK",0,IF(OR($R34=1,$R34=3),1,0))+1,0)*$W34)</f>
        <v>1</v>
      </c>
      <c r="Z34" s="4">
        <f t="shared" ref="Z34:Z65" si="35">IF($V34="","",IF($D34="OLCU",KABLO_M_SAYAC+3*2*KABLO_M_AT,IF($D34="KUMANDA",$X34*KABLO_M_KUMANDA,($X34+IF($Y34="",0,$Y34))*IF($P34="TMŞ",KABLO_M_MCCB,KABLO_M_MODULER))))</f>
        <v>3.5999999999999996</v>
      </c>
      <c r="AA34" s="4">
        <f t="shared" ref="AA34:AA65" si="36">IF(OR($D34&lt;&gt;"CIKIS",$V34=""),"",$R34+IF(NPE_YOLU="KLEMENS",IF($G34="YOK",0,IF(OR($R34=1,$R34=3),1,0)),0))</f>
        <v>2</v>
      </c>
      <c r="AB34" s="4">
        <f t="shared" ref="AB34:AB65" si="37">IF($AA34="","",IF(NPE_YOLU="KLEMENS",1,0))</f>
        <v>1</v>
      </c>
      <c r="AC34" s="4">
        <f t="shared" ref="AC34:AC65" si="38">IF($AA34="","",MAX($V34,IF($K34="",0,$K34)))</f>
        <v>4</v>
      </c>
      <c r="AD34" s="4">
        <f t="shared" ref="AD34:AD65" si="39">IF($AA34="","",IF(INDEX(KLEMENS_KLEM,MATCH($AC34,KLEMENS_ALT,1))="","",INDEX(KLEMENS_KLEM,MATCH($AC34,KLEMENS_ALT,1))))</f>
        <v>4</v>
      </c>
      <c r="AE34" s="4">
        <f t="shared" ref="AE34:AE65" si="40">IF(AND($AD34="",$I34=""),"",IF($AD34="",0,($AA34+$AB34)*INDEX(KLEMENS_MM,MATCH($AC34,KLEMENS_ALT,1)))+IF($I34="",0,$I34*INDEX(KLEMENS_MM,MATCH(SINYAL_KLEMENS_KESIT,KLEMENS_KLEM,0))))</f>
        <v>18.600000000000001</v>
      </c>
      <c r="AF34" s="4">
        <f>IF(AND($AD34="",$I34=""),"",_xlfn.MAXIFS($AG$1:$AG33,$A$1:$A33,$A34)+1)</f>
        <v>4</v>
      </c>
      <c r="AG34" s="4">
        <f t="shared" ref="AG34:AG65" si="41">IF($AF34="","",$AF34+IF($AD34="",0,$AA34+$AB34)+IF($I34="",0,$I34)-1)</f>
        <v>6</v>
      </c>
      <c r="AH34" s="4">
        <f t="shared" ref="AH34:AH65" si="42">IF($C34="","",IF(IF(INDEX(FIYAT_MODUL,MATCH($C34,FIYAT_KOD,0))="","",INDEX(FIYAT_MODUL,MATCH($C34,FIYAT_KOD,0)))="","",IF(INDEX(FIYAT_MODUL,MATCH($C34,FIYAT_KOD,0))="","",INDEX(FIYAT_MODUL,MATCH($C34,FIYAT_KOD,0)))*$T34))</f>
        <v>2</v>
      </c>
      <c r="AI34" s="4">
        <f t="shared" ref="AI34:AI65" si="43">IF($V34="","",IF($V34&gt;=PABUC_ESIK_MM2,($X34+IF($Y34="",0,$Y34))*2,0))</f>
        <v>0</v>
      </c>
      <c r="AJ34" s="4">
        <f t="shared" ref="AJ34:AJ65" si="44">IF($V34="","",IF($V34&lt;=YUKSUK_ESIK_MM2,ROUNDUP(($X34+IF($Y34="",0,$Y34))*2*YUKSUK_FIRE,0),0))</f>
        <v>7</v>
      </c>
      <c r="AK34" s="4">
        <f t="shared" ref="AK34:AK65" si="45">IF($V34="","",($X34+IF($Y34="",0,$Y34))*2)</f>
        <v>6</v>
      </c>
      <c r="AL34" s="4" t="str">
        <f t="shared" ref="AL34:AL65" si="46">IF($V34="","",IF($D34="KUMANDA","siyah (AC) / mavi-kırmızı (DC)",IF($F34="L123","L1 sarı · L2 yeşil · L3 kırmızı",IF($F34="L1","sarı",IF($F34="L2","yeşil",IF($F34="L3","kırmızı",""))))&amp;IF($G34="YOK",""," · N mavi")&amp;" · PE sarı-yeşil"))</f>
        <v>yeşil · N mavi · PE sarı-yeşil</v>
      </c>
      <c r="AM34" s="4">
        <f t="shared" ref="AM34:AM65" si="47">MAX(IF($N34="",0,INDEX(DURUM_SEV,MATCH($N34,DURUM_LIST,0))),IF($L34="",0,INDEX(KAYNAK_SEV,MATCH($L34,KAYNAK_TIPI_LIST,0))))</f>
        <v>0</v>
      </c>
      <c r="AN34" s="4" t="str">
        <f t="shared" ref="AN34:AN65" si="48">IF(OR($C34="",$O34="EVET",$P34="rubilnik",$P34="fu",AND($D34&lt;&gt;"ANA",$D34&lt;&gt;"CIKIS")),"",IF(INDEX(PANO_ICU,MATCH($A34,PANO_ID,0))="","",IF(OR($S34="",$S34&lt;INDEX(PANO_ICU,MATCH($A34,PANO_ID,0))),1,0)))</f>
        <v/>
      </c>
      <c r="AO34" s="4" t="str">
        <f t="shared" ref="AO34:AO65" si="49">IF($C34="","",IF(INDEX(FIYAT_KUTUP_AD,MATCH($C34,FIYAT_KOD,0))="","",INDEX(FIYAT_KUTUP_AD,MATCH($C34,FIYAT_KOD,0))))</f>
        <v>2P</v>
      </c>
    </row>
    <row r="35" spans="1:41" x14ac:dyDescent="0.35">
      <c r="A35" s="5" t="s">
        <v>156</v>
      </c>
      <c r="B35" s="5" t="s">
        <v>507</v>
      </c>
      <c r="C35" s="5" t="s">
        <v>149</v>
      </c>
      <c r="D35" s="5" t="s">
        <v>391</v>
      </c>
      <c r="E35" s="5" t="s">
        <v>508</v>
      </c>
      <c r="F35" s="5" t="s">
        <v>459</v>
      </c>
      <c r="G35" s="6"/>
      <c r="H35" s="6"/>
      <c r="I35" s="6"/>
      <c r="J35" s="5" t="s">
        <v>509</v>
      </c>
      <c r="K35" s="5">
        <v>4</v>
      </c>
      <c r="L35" s="5" t="s">
        <v>385</v>
      </c>
      <c r="M35" s="5" t="s">
        <v>510</v>
      </c>
      <c r="N35" s="6"/>
      <c r="O35" s="6"/>
      <c r="P35" s="4" t="str">
        <f t="shared" si="25"/>
        <v>DİF</v>
      </c>
      <c r="Q35" s="4">
        <f t="shared" si="26"/>
        <v>16</v>
      </c>
      <c r="R35" s="4">
        <f t="shared" si="27"/>
        <v>2</v>
      </c>
      <c r="S35" s="4">
        <f t="shared" si="28"/>
        <v>6</v>
      </c>
      <c r="T35" s="4">
        <f t="shared" si="29"/>
        <v>1</v>
      </c>
      <c r="U35" s="4" t="str">
        <f t="shared" si="30"/>
        <v/>
      </c>
      <c r="V35" s="4">
        <f t="shared" si="31"/>
        <v>2.5</v>
      </c>
      <c r="W35" s="4">
        <f t="shared" si="32"/>
        <v>1</v>
      </c>
      <c r="X35" s="4">
        <f t="shared" si="33"/>
        <v>2</v>
      </c>
      <c r="Y35" s="4">
        <f t="shared" si="34"/>
        <v>1</v>
      </c>
      <c r="Z35" s="4">
        <f t="shared" si="35"/>
        <v>3.5999999999999996</v>
      </c>
      <c r="AA35" s="4">
        <f t="shared" si="36"/>
        <v>2</v>
      </c>
      <c r="AB35" s="4">
        <f t="shared" si="37"/>
        <v>1</v>
      </c>
      <c r="AC35" s="4">
        <f t="shared" si="38"/>
        <v>4</v>
      </c>
      <c r="AD35" s="4">
        <f t="shared" si="39"/>
        <v>4</v>
      </c>
      <c r="AE35" s="4">
        <f t="shared" si="40"/>
        <v>18.600000000000001</v>
      </c>
      <c r="AF35" s="4">
        <f>IF(AND($AD35="",$I35=""),"",_xlfn.MAXIFS($AG$1:$AG34,$A$1:$A34,$A35)+1)</f>
        <v>7</v>
      </c>
      <c r="AG35" s="4">
        <f t="shared" si="41"/>
        <v>9</v>
      </c>
      <c r="AH35" s="4">
        <f t="shared" si="42"/>
        <v>2</v>
      </c>
      <c r="AI35" s="4">
        <f t="shared" si="43"/>
        <v>0</v>
      </c>
      <c r="AJ35" s="4">
        <f t="shared" si="44"/>
        <v>7</v>
      </c>
      <c r="AK35" s="4">
        <f t="shared" si="45"/>
        <v>6</v>
      </c>
      <c r="AL35" s="4" t="str">
        <f t="shared" si="46"/>
        <v>kırmızı · N mavi · PE sarı-yeşil</v>
      </c>
      <c r="AM35" s="4">
        <f t="shared" si="47"/>
        <v>0</v>
      </c>
      <c r="AN35" s="4" t="str">
        <f t="shared" si="48"/>
        <v/>
      </c>
      <c r="AO35" s="4" t="str">
        <f t="shared" si="49"/>
        <v>2P</v>
      </c>
    </row>
    <row r="36" spans="1:41" x14ac:dyDescent="0.35">
      <c r="A36" s="5" t="s">
        <v>156</v>
      </c>
      <c r="B36" s="5" t="s">
        <v>511</v>
      </c>
      <c r="C36" s="5" t="s">
        <v>149</v>
      </c>
      <c r="D36" s="5" t="s">
        <v>391</v>
      </c>
      <c r="E36" s="5" t="s">
        <v>512</v>
      </c>
      <c r="F36" s="5" t="s">
        <v>403</v>
      </c>
      <c r="G36" s="6"/>
      <c r="H36" s="6"/>
      <c r="I36" s="6"/>
      <c r="J36" s="5" t="s">
        <v>513</v>
      </c>
      <c r="K36" s="5">
        <v>4</v>
      </c>
      <c r="L36" s="5" t="s">
        <v>385</v>
      </c>
      <c r="M36" s="5" t="s">
        <v>514</v>
      </c>
      <c r="N36" s="6"/>
      <c r="O36" s="6"/>
      <c r="P36" s="4" t="str">
        <f t="shared" si="25"/>
        <v>DİF</v>
      </c>
      <c r="Q36" s="4">
        <f t="shared" si="26"/>
        <v>16</v>
      </c>
      <c r="R36" s="4">
        <f t="shared" si="27"/>
        <v>2</v>
      </c>
      <c r="S36" s="4">
        <f t="shared" si="28"/>
        <v>6</v>
      </c>
      <c r="T36" s="4">
        <f t="shared" si="29"/>
        <v>1</v>
      </c>
      <c r="U36" s="4" t="str">
        <f t="shared" si="30"/>
        <v/>
      </c>
      <c r="V36" s="4">
        <f t="shared" si="31"/>
        <v>2.5</v>
      </c>
      <c r="W36" s="4">
        <f t="shared" si="32"/>
        <v>1</v>
      </c>
      <c r="X36" s="4">
        <f t="shared" si="33"/>
        <v>2</v>
      </c>
      <c r="Y36" s="4">
        <f t="shared" si="34"/>
        <v>1</v>
      </c>
      <c r="Z36" s="4">
        <f t="shared" si="35"/>
        <v>3.5999999999999996</v>
      </c>
      <c r="AA36" s="4">
        <f t="shared" si="36"/>
        <v>2</v>
      </c>
      <c r="AB36" s="4">
        <f t="shared" si="37"/>
        <v>1</v>
      </c>
      <c r="AC36" s="4">
        <f t="shared" si="38"/>
        <v>4</v>
      </c>
      <c r="AD36" s="4">
        <f t="shared" si="39"/>
        <v>4</v>
      </c>
      <c r="AE36" s="4">
        <f t="shared" si="40"/>
        <v>18.600000000000001</v>
      </c>
      <c r="AF36" s="4">
        <f>IF(AND($AD36="",$I36=""),"",_xlfn.MAXIFS($AG$1:$AG35,$A$1:$A35,$A36)+1)</f>
        <v>10</v>
      </c>
      <c r="AG36" s="4">
        <f t="shared" si="41"/>
        <v>12</v>
      </c>
      <c r="AH36" s="4">
        <f t="shared" si="42"/>
        <v>2</v>
      </c>
      <c r="AI36" s="4">
        <f t="shared" si="43"/>
        <v>0</v>
      </c>
      <c r="AJ36" s="4">
        <f t="shared" si="44"/>
        <v>7</v>
      </c>
      <c r="AK36" s="4">
        <f t="shared" si="45"/>
        <v>6</v>
      </c>
      <c r="AL36" s="4" t="str">
        <f t="shared" si="46"/>
        <v>sarı · N mavi · PE sarı-yeşil</v>
      </c>
      <c r="AM36" s="4">
        <f t="shared" si="47"/>
        <v>0</v>
      </c>
      <c r="AN36" s="4" t="str">
        <f t="shared" si="48"/>
        <v/>
      </c>
      <c r="AO36" s="4" t="str">
        <f t="shared" si="49"/>
        <v>2P</v>
      </c>
    </row>
    <row r="37" spans="1:41" x14ac:dyDescent="0.35">
      <c r="A37" s="5" t="s">
        <v>156</v>
      </c>
      <c r="B37" s="5" t="s">
        <v>515</v>
      </c>
      <c r="C37" s="5" t="s">
        <v>149</v>
      </c>
      <c r="D37" s="5" t="s">
        <v>391</v>
      </c>
      <c r="E37" s="5" t="s">
        <v>516</v>
      </c>
      <c r="F37" s="5" t="s">
        <v>453</v>
      </c>
      <c r="G37" s="6"/>
      <c r="H37" s="6"/>
      <c r="I37" s="6"/>
      <c r="J37" s="5" t="s">
        <v>517</v>
      </c>
      <c r="K37" s="5">
        <v>4</v>
      </c>
      <c r="L37" s="5" t="s">
        <v>385</v>
      </c>
      <c r="M37" s="5" t="s">
        <v>518</v>
      </c>
      <c r="N37" s="6"/>
      <c r="O37" s="6"/>
      <c r="P37" s="4" t="str">
        <f t="shared" si="25"/>
        <v>DİF</v>
      </c>
      <c r="Q37" s="4">
        <f t="shared" si="26"/>
        <v>16</v>
      </c>
      <c r="R37" s="4">
        <f t="shared" si="27"/>
        <v>2</v>
      </c>
      <c r="S37" s="4">
        <f t="shared" si="28"/>
        <v>6</v>
      </c>
      <c r="T37" s="4">
        <f t="shared" si="29"/>
        <v>1</v>
      </c>
      <c r="U37" s="4" t="str">
        <f t="shared" si="30"/>
        <v/>
      </c>
      <c r="V37" s="4">
        <f t="shared" si="31"/>
        <v>2.5</v>
      </c>
      <c r="W37" s="4">
        <f t="shared" si="32"/>
        <v>1</v>
      </c>
      <c r="X37" s="4">
        <f t="shared" si="33"/>
        <v>2</v>
      </c>
      <c r="Y37" s="4">
        <f t="shared" si="34"/>
        <v>1</v>
      </c>
      <c r="Z37" s="4">
        <f t="shared" si="35"/>
        <v>3.5999999999999996</v>
      </c>
      <c r="AA37" s="4">
        <f t="shared" si="36"/>
        <v>2</v>
      </c>
      <c r="AB37" s="4">
        <f t="shared" si="37"/>
        <v>1</v>
      </c>
      <c r="AC37" s="4">
        <f t="shared" si="38"/>
        <v>4</v>
      </c>
      <c r="AD37" s="4">
        <f t="shared" si="39"/>
        <v>4</v>
      </c>
      <c r="AE37" s="4">
        <f t="shared" si="40"/>
        <v>18.600000000000001</v>
      </c>
      <c r="AF37" s="4">
        <f>IF(AND($AD37="",$I37=""),"",_xlfn.MAXIFS($AG$1:$AG36,$A$1:$A36,$A37)+1)</f>
        <v>13</v>
      </c>
      <c r="AG37" s="4">
        <f t="shared" si="41"/>
        <v>15</v>
      </c>
      <c r="AH37" s="4">
        <f t="shared" si="42"/>
        <v>2</v>
      </c>
      <c r="AI37" s="4">
        <f t="shared" si="43"/>
        <v>0</v>
      </c>
      <c r="AJ37" s="4">
        <f t="shared" si="44"/>
        <v>7</v>
      </c>
      <c r="AK37" s="4">
        <f t="shared" si="45"/>
        <v>6</v>
      </c>
      <c r="AL37" s="4" t="str">
        <f t="shared" si="46"/>
        <v>yeşil · N mavi · PE sarı-yeşil</v>
      </c>
      <c r="AM37" s="4">
        <f t="shared" si="47"/>
        <v>0</v>
      </c>
      <c r="AN37" s="4" t="str">
        <f t="shared" si="48"/>
        <v/>
      </c>
      <c r="AO37" s="4" t="str">
        <f t="shared" si="49"/>
        <v>2P</v>
      </c>
    </row>
    <row r="38" spans="1:41" x14ac:dyDescent="0.35">
      <c r="A38" s="5" t="s">
        <v>156</v>
      </c>
      <c r="B38" s="5" t="s">
        <v>519</v>
      </c>
      <c r="C38" s="5" t="s">
        <v>149</v>
      </c>
      <c r="D38" s="5" t="s">
        <v>391</v>
      </c>
      <c r="E38" s="5" t="s">
        <v>520</v>
      </c>
      <c r="F38" s="5" t="s">
        <v>459</v>
      </c>
      <c r="G38" s="6"/>
      <c r="H38" s="6"/>
      <c r="I38" s="6"/>
      <c r="J38" s="5" t="s">
        <v>521</v>
      </c>
      <c r="K38" s="5">
        <v>4</v>
      </c>
      <c r="L38" s="5" t="s">
        <v>385</v>
      </c>
      <c r="M38" s="5" t="s">
        <v>522</v>
      </c>
      <c r="N38" s="6"/>
      <c r="O38" s="6"/>
      <c r="P38" s="4" t="str">
        <f t="shared" si="25"/>
        <v>DİF</v>
      </c>
      <c r="Q38" s="4">
        <f t="shared" si="26"/>
        <v>16</v>
      </c>
      <c r="R38" s="4">
        <f t="shared" si="27"/>
        <v>2</v>
      </c>
      <c r="S38" s="4">
        <f t="shared" si="28"/>
        <v>6</v>
      </c>
      <c r="T38" s="4">
        <f t="shared" si="29"/>
        <v>1</v>
      </c>
      <c r="U38" s="4" t="str">
        <f t="shared" si="30"/>
        <v/>
      </c>
      <c r="V38" s="4">
        <f t="shared" si="31"/>
        <v>2.5</v>
      </c>
      <c r="W38" s="4">
        <f t="shared" si="32"/>
        <v>1</v>
      </c>
      <c r="X38" s="4">
        <f t="shared" si="33"/>
        <v>2</v>
      </c>
      <c r="Y38" s="4">
        <f t="shared" si="34"/>
        <v>1</v>
      </c>
      <c r="Z38" s="4">
        <f t="shared" si="35"/>
        <v>3.5999999999999996</v>
      </c>
      <c r="AA38" s="4">
        <f t="shared" si="36"/>
        <v>2</v>
      </c>
      <c r="AB38" s="4">
        <f t="shared" si="37"/>
        <v>1</v>
      </c>
      <c r="AC38" s="4">
        <f t="shared" si="38"/>
        <v>4</v>
      </c>
      <c r="AD38" s="4">
        <f t="shared" si="39"/>
        <v>4</v>
      </c>
      <c r="AE38" s="4">
        <f t="shared" si="40"/>
        <v>18.600000000000001</v>
      </c>
      <c r="AF38" s="4">
        <f>IF(AND($AD38="",$I38=""),"",_xlfn.MAXIFS($AG$1:$AG37,$A$1:$A37,$A38)+1)</f>
        <v>16</v>
      </c>
      <c r="AG38" s="4">
        <f t="shared" si="41"/>
        <v>18</v>
      </c>
      <c r="AH38" s="4">
        <f t="shared" si="42"/>
        <v>2</v>
      </c>
      <c r="AI38" s="4">
        <f t="shared" si="43"/>
        <v>0</v>
      </c>
      <c r="AJ38" s="4">
        <f t="shared" si="44"/>
        <v>7</v>
      </c>
      <c r="AK38" s="4">
        <f t="shared" si="45"/>
        <v>6</v>
      </c>
      <c r="AL38" s="4" t="str">
        <f t="shared" si="46"/>
        <v>kırmızı · N mavi · PE sarı-yeşil</v>
      </c>
      <c r="AM38" s="4">
        <f t="shared" si="47"/>
        <v>0</v>
      </c>
      <c r="AN38" s="4" t="str">
        <f t="shared" si="48"/>
        <v/>
      </c>
      <c r="AO38" s="4" t="str">
        <f t="shared" si="49"/>
        <v>2P</v>
      </c>
    </row>
    <row r="39" spans="1:41" x14ac:dyDescent="0.35">
      <c r="A39" s="5" t="s">
        <v>156</v>
      </c>
      <c r="B39" s="5" t="s">
        <v>523</v>
      </c>
      <c r="C39" s="5" t="s">
        <v>149</v>
      </c>
      <c r="D39" s="5" t="s">
        <v>391</v>
      </c>
      <c r="E39" s="5" t="s">
        <v>524</v>
      </c>
      <c r="F39" s="5" t="s">
        <v>403</v>
      </c>
      <c r="G39" s="6"/>
      <c r="H39" s="6"/>
      <c r="I39" s="6"/>
      <c r="J39" s="5" t="s">
        <v>525</v>
      </c>
      <c r="K39" s="5">
        <v>4</v>
      </c>
      <c r="L39" s="5" t="s">
        <v>385</v>
      </c>
      <c r="M39" s="5" t="s">
        <v>526</v>
      </c>
      <c r="N39" s="6"/>
      <c r="O39" s="6"/>
      <c r="P39" s="4" t="str">
        <f t="shared" si="25"/>
        <v>DİF</v>
      </c>
      <c r="Q39" s="4">
        <f t="shared" si="26"/>
        <v>16</v>
      </c>
      <c r="R39" s="4">
        <f t="shared" si="27"/>
        <v>2</v>
      </c>
      <c r="S39" s="4">
        <f t="shared" si="28"/>
        <v>6</v>
      </c>
      <c r="T39" s="4">
        <f t="shared" si="29"/>
        <v>1</v>
      </c>
      <c r="U39" s="4" t="str">
        <f t="shared" si="30"/>
        <v/>
      </c>
      <c r="V39" s="4">
        <f t="shared" si="31"/>
        <v>2.5</v>
      </c>
      <c r="W39" s="4">
        <f t="shared" si="32"/>
        <v>1</v>
      </c>
      <c r="X39" s="4">
        <f t="shared" si="33"/>
        <v>2</v>
      </c>
      <c r="Y39" s="4">
        <f t="shared" si="34"/>
        <v>1</v>
      </c>
      <c r="Z39" s="4">
        <f t="shared" si="35"/>
        <v>3.5999999999999996</v>
      </c>
      <c r="AA39" s="4">
        <f t="shared" si="36"/>
        <v>2</v>
      </c>
      <c r="AB39" s="4">
        <f t="shared" si="37"/>
        <v>1</v>
      </c>
      <c r="AC39" s="4">
        <f t="shared" si="38"/>
        <v>4</v>
      </c>
      <c r="AD39" s="4">
        <f t="shared" si="39"/>
        <v>4</v>
      </c>
      <c r="AE39" s="4">
        <f t="shared" si="40"/>
        <v>18.600000000000001</v>
      </c>
      <c r="AF39" s="4">
        <f>IF(AND($AD39="",$I39=""),"",_xlfn.MAXIFS($AG$1:$AG38,$A$1:$A38,$A39)+1)</f>
        <v>19</v>
      </c>
      <c r="AG39" s="4">
        <f t="shared" si="41"/>
        <v>21</v>
      </c>
      <c r="AH39" s="4">
        <f t="shared" si="42"/>
        <v>2</v>
      </c>
      <c r="AI39" s="4">
        <f t="shared" si="43"/>
        <v>0</v>
      </c>
      <c r="AJ39" s="4">
        <f t="shared" si="44"/>
        <v>7</v>
      </c>
      <c r="AK39" s="4">
        <f t="shared" si="45"/>
        <v>6</v>
      </c>
      <c r="AL39" s="4" t="str">
        <f t="shared" si="46"/>
        <v>sarı · N mavi · PE sarı-yeşil</v>
      </c>
      <c r="AM39" s="4">
        <f t="shared" si="47"/>
        <v>0</v>
      </c>
      <c r="AN39" s="4" t="str">
        <f t="shared" si="48"/>
        <v/>
      </c>
      <c r="AO39" s="4" t="str">
        <f t="shared" si="49"/>
        <v>2P</v>
      </c>
    </row>
    <row r="40" spans="1:41" x14ac:dyDescent="0.35">
      <c r="A40" s="5" t="s">
        <v>156</v>
      </c>
      <c r="B40" s="5" t="s">
        <v>527</v>
      </c>
      <c r="C40" s="5" t="s">
        <v>149</v>
      </c>
      <c r="D40" s="5" t="s">
        <v>391</v>
      </c>
      <c r="E40" s="5" t="s">
        <v>528</v>
      </c>
      <c r="F40" s="5" t="s">
        <v>453</v>
      </c>
      <c r="G40" s="6"/>
      <c r="H40" s="6"/>
      <c r="I40" s="6"/>
      <c r="J40" s="5" t="s">
        <v>529</v>
      </c>
      <c r="K40" s="5">
        <v>4</v>
      </c>
      <c r="L40" s="5" t="s">
        <v>385</v>
      </c>
      <c r="M40" s="5" t="s">
        <v>530</v>
      </c>
      <c r="N40" s="6"/>
      <c r="O40" s="6"/>
      <c r="P40" s="4" t="str">
        <f t="shared" si="25"/>
        <v>DİF</v>
      </c>
      <c r="Q40" s="4">
        <f t="shared" si="26"/>
        <v>16</v>
      </c>
      <c r="R40" s="4">
        <f t="shared" si="27"/>
        <v>2</v>
      </c>
      <c r="S40" s="4">
        <f t="shared" si="28"/>
        <v>6</v>
      </c>
      <c r="T40" s="4">
        <f t="shared" si="29"/>
        <v>1</v>
      </c>
      <c r="U40" s="4" t="str">
        <f t="shared" si="30"/>
        <v/>
      </c>
      <c r="V40" s="4">
        <f t="shared" si="31"/>
        <v>2.5</v>
      </c>
      <c r="W40" s="4">
        <f t="shared" si="32"/>
        <v>1</v>
      </c>
      <c r="X40" s="4">
        <f t="shared" si="33"/>
        <v>2</v>
      </c>
      <c r="Y40" s="4">
        <f t="shared" si="34"/>
        <v>1</v>
      </c>
      <c r="Z40" s="4">
        <f t="shared" si="35"/>
        <v>3.5999999999999996</v>
      </c>
      <c r="AA40" s="4">
        <f t="shared" si="36"/>
        <v>2</v>
      </c>
      <c r="AB40" s="4">
        <f t="shared" si="37"/>
        <v>1</v>
      </c>
      <c r="AC40" s="4">
        <f t="shared" si="38"/>
        <v>4</v>
      </c>
      <c r="AD40" s="4">
        <f t="shared" si="39"/>
        <v>4</v>
      </c>
      <c r="AE40" s="4">
        <f t="shared" si="40"/>
        <v>18.600000000000001</v>
      </c>
      <c r="AF40" s="4">
        <f>IF(AND($AD40="",$I40=""),"",_xlfn.MAXIFS($AG$1:$AG39,$A$1:$A39,$A40)+1)</f>
        <v>22</v>
      </c>
      <c r="AG40" s="4">
        <f t="shared" si="41"/>
        <v>24</v>
      </c>
      <c r="AH40" s="4">
        <f t="shared" si="42"/>
        <v>2</v>
      </c>
      <c r="AI40" s="4">
        <f t="shared" si="43"/>
        <v>0</v>
      </c>
      <c r="AJ40" s="4">
        <f t="shared" si="44"/>
        <v>7</v>
      </c>
      <c r="AK40" s="4">
        <f t="shared" si="45"/>
        <v>6</v>
      </c>
      <c r="AL40" s="4" t="str">
        <f t="shared" si="46"/>
        <v>yeşil · N mavi · PE sarı-yeşil</v>
      </c>
      <c r="AM40" s="4">
        <f t="shared" si="47"/>
        <v>0</v>
      </c>
      <c r="AN40" s="4" t="str">
        <f t="shared" si="48"/>
        <v/>
      </c>
      <c r="AO40" s="4" t="str">
        <f t="shared" si="49"/>
        <v>2P</v>
      </c>
    </row>
    <row r="41" spans="1:41" x14ac:dyDescent="0.35">
      <c r="A41" s="5" t="s">
        <v>156</v>
      </c>
      <c r="B41" s="5" t="s">
        <v>531</v>
      </c>
      <c r="C41" s="5" t="s">
        <v>149</v>
      </c>
      <c r="D41" s="5" t="s">
        <v>391</v>
      </c>
      <c r="E41" s="5" t="s">
        <v>532</v>
      </c>
      <c r="F41" s="5" t="s">
        <v>459</v>
      </c>
      <c r="G41" s="6"/>
      <c r="H41" s="6"/>
      <c r="I41" s="6"/>
      <c r="J41" s="5" t="s">
        <v>533</v>
      </c>
      <c r="K41" s="5">
        <v>4</v>
      </c>
      <c r="L41" s="5" t="s">
        <v>385</v>
      </c>
      <c r="M41" s="5" t="s">
        <v>534</v>
      </c>
      <c r="N41" s="6"/>
      <c r="O41" s="6"/>
      <c r="P41" s="4" t="str">
        <f t="shared" si="25"/>
        <v>DİF</v>
      </c>
      <c r="Q41" s="4">
        <f t="shared" si="26"/>
        <v>16</v>
      </c>
      <c r="R41" s="4">
        <f t="shared" si="27"/>
        <v>2</v>
      </c>
      <c r="S41" s="4">
        <f t="shared" si="28"/>
        <v>6</v>
      </c>
      <c r="T41" s="4">
        <f t="shared" si="29"/>
        <v>1</v>
      </c>
      <c r="U41" s="4" t="str">
        <f t="shared" si="30"/>
        <v/>
      </c>
      <c r="V41" s="4">
        <f t="shared" si="31"/>
        <v>2.5</v>
      </c>
      <c r="W41" s="4">
        <f t="shared" si="32"/>
        <v>1</v>
      </c>
      <c r="X41" s="4">
        <f t="shared" si="33"/>
        <v>2</v>
      </c>
      <c r="Y41" s="4">
        <f t="shared" si="34"/>
        <v>1</v>
      </c>
      <c r="Z41" s="4">
        <f t="shared" si="35"/>
        <v>3.5999999999999996</v>
      </c>
      <c r="AA41" s="4">
        <f t="shared" si="36"/>
        <v>2</v>
      </c>
      <c r="AB41" s="4">
        <f t="shared" si="37"/>
        <v>1</v>
      </c>
      <c r="AC41" s="4">
        <f t="shared" si="38"/>
        <v>4</v>
      </c>
      <c r="AD41" s="4">
        <f t="shared" si="39"/>
        <v>4</v>
      </c>
      <c r="AE41" s="4">
        <f t="shared" si="40"/>
        <v>18.600000000000001</v>
      </c>
      <c r="AF41" s="4">
        <f>IF(AND($AD41="",$I41=""),"",_xlfn.MAXIFS($AG$1:$AG40,$A$1:$A40,$A41)+1)</f>
        <v>25</v>
      </c>
      <c r="AG41" s="4">
        <f t="shared" si="41"/>
        <v>27</v>
      </c>
      <c r="AH41" s="4">
        <f t="shared" si="42"/>
        <v>2</v>
      </c>
      <c r="AI41" s="4">
        <f t="shared" si="43"/>
        <v>0</v>
      </c>
      <c r="AJ41" s="4">
        <f t="shared" si="44"/>
        <v>7</v>
      </c>
      <c r="AK41" s="4">
        <f t="shared" si="45"/>
        <v>6</v>
      </c>
      <c r="AL41" s="4" t="str">
        <f t="shared" si="46"/>
        <v>kırmızı · N mavi · PE sarı-yeşil</v>
      </c>
      <c r="AM41" s="4">
        <f t="shared" si="47"/>
        <v>0</v>
      </c>
      <c r="AN41" s="4" t="str">
        <f t="shared" si="48"/>
        <v/>
      </c>
      <c r="AO41" s="4" t="str">
        <f t="shared" si="49"/>
        <v>2P</v>
      </c>
    </row>
    <row r="42" spans="1:41" x14ac:dyDescent="0.35">
      <c r="A42" s="5" t="s">
        <v>156</v>
      </c>
      <c r="B42" s="5" t="s">
        <v>535</v>
      </c>
      <c r="C42" s="5" t="s">
        <v>149</v>
      </c>
      <c r="D42" s="5" t="s">
        <v>391</v>
      </c>
      <c r="E42" s="5" t="s">
        <v>536</v>
      </c>
      <c r="F42" s="5" t="s">
        <v>403</v>
      </c>
      <c r="G42" s="6"/>
      <c r="H42" s="6"/>
      <c r="I42" s="6"/>
      <c r="J42" s="5" t="s">
        <v>464</v>
      </c>
      <c r="K42" s="5">
        <v>4</v>
      </c>
      <c r="L42" s="5" t="s">
        <v>385</v>
      </c>
      <c r="M42" s="5" t="s">
        <v>537</v>
      </c>
      <c r="N42" s="6"/>
      <c r="O42" s="6"/>
      <c r="P42" s="4" t="str">
        <f t="shared" si="25"/>
        <v>DİF</v>
      </c>
      <c r="Q42" s="4">
        <f t="shared" si="26"/>
        <v>16</v>
      </c>
      <c r="R42" s="4">
        <f t="shared" si="27"/>
        <v>2</v>
      </c>
      <c r="S42" s="4">
        <f t="shared" si="28"/>
        <v>6</v>
      </c>
      <c r="T42" s="4">
        <f t="shared" si="29"/>
        <v>1</v>
      </c>
      <c r="U42" s="4" t="str">
        <f t="shared" si="30"/>
        <v/>
      </c>
      <c r="V42" s="4">
        <f t="shared" si="31"/>
        <v>2.5</v>
      </c>
      <c r="W42" s="4">
        <f t="shared" si="32"/>
        <v>1</v>
      </c>
      <c r="X42" s="4">
        <f t="shared" si="33"/>
        <v>2</v>
      </c>
      <c r="Y42" s="4">
        <f t="shared" si="34"/>
        <v>1</v>
      </c>
      <c r="Z42" s="4">
        <f t="shared" si="35"/>
        <v>3.5999999999999996</v>
      </c>
      <c r="AA42" s="4">
        <f t="shared" si="36"/>
        <v>2</v>
      </c>
      <c r="AB42" s="4">
        <f t="shared" si="37"/>
        <v>1</v>
      </c>
      <c r="AC42" s="4">
        <f t="shared" si="38"/>
        <v>4</v>
      </c>
      <c r="AD42" s="4">
        <f t="shared" si="39"/>
        <v>4</v>
      </c>
      <c r="AE42" s="4">
        <f t="shared" si="40"/>
        <v>18.600000000000001</v>
      </c>
      <c r="AF42" s="4">
        <f>IF(AND($AD42="",$I42=""),"",_xlfn.MAXIFS($AG$1:$AG41,$A$1:$A41,$A42)+1)</f>
        <v>28</v>
      </c>
      <c r="AG42" s="4">
        <f t="shared" si="41"/>
        <v>30</v>
      </c>
      <c r="AH42" s="4">
        <f t="shared" si="42"/>
        <v>2</v>
      </c>
      <c r="AI42" s="4">
        <f t="shared" si="43"/>
        <v>0</v>
      </c>
      <c r="AJ42" s="4">
        <f t="shared" si="44"/>
        <v>7</v>
      </c>
      <c r="AK42" s="4">
        <f t="shared" si="45"/>
        <v>6</v>
      </c>
      <c r="AL42" s="4" t="str">
        <f t="shared" si="46"/>
        <v>sarı · N mavi · PE sarı-yeşil</v>
      </c>
      <c r="AM42" s="4">
        <f t="shared" si="47"/>
        <v>0</v>
      </c>
      <c r="AN42" s="4" t="str">
        <f t="shared" si="48"/>
        <v/>
      </c>
      <c r="AO42" s="4" t="str">
        <f t="shared" si="49"/>
        <v>2P</v>
      </c>
    </row>
    <row r="43" spans="1:41" x14ac:dyDescent="0.35">
      <c r="A43" s="5" t="s">
        <v>156</v>
      </c>
      <c r="B43" s="5" t="s">
        <v>538</v>
      </c>
      <c r="C43" s="5" t="s">
        <v>149</v>
      </c>
      <c r="D43" s="5" t="s">
        <v>391</v>
      </c>
      <c r="E43" s="5" t="s">
        <v>539</v>
      </c>
      <c r="F43" s="5" t="s">
        <v>453</v>
      </c>
      <c r="G43" s="6"/>
      <c r="H43" s="6"/>
      <c r="I43" s="6"/>
      <c r="J43" s="5" t="s">
        <v>540</v>
      </c>
      <c r="K43" s="5">
        <v>4</v>
      </c>
      <c r="L43" s="5" t="s">
        <v>385</v>
      </c>
      <c r="M43" s="5" t="s">
        <v>541</v>
      </c>
      <c r="N43" s="6"/>
      <c r="O43" s="6"/>
      <c r="P43" s="4" t="str">
        <f t="shared" si="25"/>
        <v>DİF</v>
      </c>
      <c r="Q43" s="4">
        <f t="shared" si="26"/>
        <v>16</v>
      </c>
      <c r="R43" s="4">
        <f t="shared" si="27"/>
        <v>2</v>
      </c>
      <c r="S43" s="4">
        <f t="shared" si="28"/>
        <v>6</v>
      </c>
      <c r="T43" s="4">
        <f t="shared" si="29"/>
        <v>1</v>
      </c>
      <c r="U43" s="4" t="str">
        <f t="shared" si="30"/>
        <v/>
      </c>
      <c r="V43" s="4">
        <f t="shared" si="31"/>
        <v>2.5</v>
      </c>
      <c r="W43" s="4">
        <f t="shared" si="32"/>
        <v>1</v>
      </c>
      <c r="X43" s="4">
        <f t="shared" si="33"/>
        <v>2</v>
      </c>
      <c r="Y43" s="4">
        <f t="shared" si="34"/>
        <v>1</v>
      </c>
      <c r="Z43" s="4">
        <f t="shared" si="35"/>
        <v>3.5999999999999996</v>
      </c>
      <c r="AA43" s="4">
        <f t="shared" si="36"/>
        <v>2</v>
      </c>
      <c r="AB43" s="4">
        <f t="shared" si="37"/>
        <v>1</v>
      </c>
      <c r="AC43" s="4">
        <f t="shared" si="38"/>
        <v>4</v>
      </c>
      <c r="AD43" s="4">
        <f t="shared" si="39"/>
        <v>4</v>
      </c>
      <c r="AE43" s="4">
        <f t="shared" si="40"/>
        <v>18.600000000000001</v>
      </c>
      <c r="AF43" s="4">
        <f>IF(AND($AD43="",$I43=""),"",_xlfn.MAXIFS($AG$1:$AG42,$A$1:$A42,$A43)+1)</f>
        <v>31</v>
      </c>
      <c r="AG43" s="4">
        <f t="shared" si="41"/>
        <v>33</v>
      </c>
      <c r="AH43" s="4">
        <f t="shared" si="42"/>
        <v>2</v>
      </c>
      <c r="AI43" s="4">
        <f t="shared" si="43"/>
        <v>0</v>
      </c>
      <c r="AJ43" s="4">
        <f t="shared" si="44"/>
        <v>7</v>
      </c>
      <c r="AK43" s="4">
        <f t="shared" si="45"/>
        <v>6</v>
      </c>
      <c r="AL43" s="4" t="str">
        <f t="shared" si="46"/>
        <v>yeşil · N mavi · PE sarı-yeşil</v>
      </c>
      <c r="AM43" s="4">
        <f t="shared" si="47"/>
        <v>0</v>
      </c>
      <c r="AN43" s="4" t="str">
        <f t="shared" si="48"/>
        <v/>
      </c>
      <c r="AO43" s="4" t="str">
        <f t="shared" si="49"/>
        <v>2P</v>
      </c>
    </row>
    <row r="44" spans="1:41" x14ac:dyDescent="0.35">
      <c r="A44" s="5" t="s">
        <v>156</v>
      </c>
      <c r="B44" s="5" t="s">
        <v>542</v>
      </c>
      <c r="C44" s="5" t="s">
        <v>149</v>
      </c>
      <c r="D44" s="5" t="s">
        <v>391</v>
      </c>
      <c r="E44" s="5" t="s">
        <v>543</v>
      </c>
      <c r="F44" s="5" t="s">
        <v>459</v>
      </c>
      <c r="G44" s="6"/>
      <c r="H44" s="6"/>
      <c r="I44" s="6"/>
      <c r="J44" s="5" t="s">
        <v>474</v>
      </c>
      <c r="K44" s="5">
        <v>4</v>
      </c>
      <c r="L44" s="5" t="s">
        <v>385</v>
      </c>
      <c r="M44" s="5" t="s">
        <v>544</v>
      </c>
      <c r="N44" s="6"/>
      <c r="O44" s="6"/>
      <c r="P44" s="4" t="str">
        <f t="shared" si="25"/>
        <v>DİF</v>
      </c>
      <c r="Q44" s="4">
        <f t="shared" si="26"/>
        <v>16</v>
      </c>
      <c r="R44" s="4">
        <f t="shared" si="27"/>
        <v>2</v>
      </c>
      <c r="S44" s="4">
        <f t="shared" si="28"/>
        <v>6</v>
      </c>
      <c r="T44" s="4">
        <f t="shared" si="29"/>
        <v>1</v>
      </c>
      <c r="U44" s="4" t="str">
        <f t="shared" si="30"/>
        <v/>
      </c>
      <c r="V44" s="4">
        <f t="shared" si="31"/>
        <v>2.5</v>
      </c>
      <c r="W44" s="4">
        <f t="shared" si="32"/>
        <v>1</v>
      </c>
      <c r="X44" s="4">
        <f t="shared" si="33"/>
        <v>2</v>
      </c>
      <c r="Y44" s="4">
        <f t="shared" si="34"/>
        <v>1</v>
      </c>
      <c r="Z44" s="4">
        <f t="shared" si="35"/>
        <v>3.5999999999999996</v>
      </c>
      <c r="AA44" s="4">
        <f t="shared" si="36"/>
        <v>2</v>
      </c>
      <c r="AB44" s="4">
        <f t="shared" si="37"/>
        <v>1</v>
      </c>
      <c r="AC44" s="4">
        <f t="shared" si="38"/>
        <v>4</v>
      </c>
      <c r="AD44" s="4">
        <f t="shared" si="39"/>
        <v>4</v>
      </c>
      <c r="AE44" s="4">
        <f t="shared" si="40"/>
        <v>18.600000000000001</v>
      </c>
      <c r="AF44" s="4">
        <f>IF(AND($AD44="",$I44=""),"",_xlfn.MAXIFS($AG$1:$AG43,$A$1:$A43,$A44)+1)</f>
        <v>34</v>
      </c>
      <c r="AG44" s="4">
        <f t="shared" si="41"/>
        <v>36</v>
      </c>
      <c r="AH44" s="4">
        <f t="shared" si="42"/>
        <v>2</v>
      </c>
      <c r="AI44" s="4">
        <f t="shared" si="43"/>
        <v>0</v>
      </c>
      <c r="AJ44" s="4">
        <f t="shared" si="44"/>
        <v>7</v>
      </c>
      <c r="AK44" s="4">
        <f t="shared" si="45"/>
        <v>6</v>
      </c>
      <c r="AL44" s="4" t="str">
        <f t="shared" si="46"/>
        <v>kırmızı · N mavi · PE sarı-yeşil</v>
      </c>
      <c r="AM44" s="4">
        <f t="shared" si="47"/>
        <v>0</v>
      </c>
      <c r="AN44" s="4" t="str">
        <f t="shared" si="48"/>
        <v/>
      </c>
      <c r="AO44" s="4" t="str">
        <f t="shared" si="49"/>
        <v>2P</v>
      </c>
    </row>
    <row r="45" spans="1:41" x14ac:dyDescent="0.35">
      <c r="A45" s="5" t="s">
        <v>156</v>
      </c>
      <c r="B45" s="5" t="s">
        <v>545</v>
      </c>
      <c r="C45" s="5" t="s">
        <v>149</v>
      </c>
      <c r="D45" s="5" t="s">
        <v>391</v>
      </c>
      <c r="E45" s="5" t="s">
        <v>546</v>
      </c>
      <c r="F45" s="5" t="s">
        <v>403</v>
      </c>
      <c r="G45" s="6"/>
      <c r="H45" s="6"/>
      <c r="I45" s="6"/>
      <c r="J45" s="5" t="s">
        <v>547</v>
      </c>
      <c r="K45" s="5">
        <v>4</v>
      </c>
      <c r="L45" s="5" t="s">
        <v>385</v>
      </c>
      <c r="M45" s="5" t="s">
        <v>548</v>
      </c>
      <c r="N45" s="6"/>
      <c r="O45" s="6"/>
      <c r="P45" s="4" t="str">
        <f t="shared" si="25"/>
        <v>DİF</v>
      </c>
      <c r="Q45" s="4">
        <f t="shared" si="26"/>
        <v>16</v>
      </c>
      <c r="R45" s="4">
        <f t="shared" si="27"/>
        <v>2</v>
      </c>
      <c r="S45" s="4">
        <f t="shared" si="28"/>
        <v>6</v>
      </c>
      <c r="T45" s="4">
        <f t="shared" si="29"/>
        <v>1</v>
      </c>
      <c r="U45" s="4" t="str">
        <f t="shared" si="30"/>
        <v/>
      </c>
      <c r="V45" s="4">
        <f t="shared" si="31"/>
        <v>2.5</v>
      </c>
      <c r="W45" s="4">
        <f t="shared" si="32"/>
        <v>1</v>
      </c>
      <c r="X45" s="4">
        <f t="shared" si="33"/>
        <v>2</v>
      </c>
      <c r="Y45" s="4">
        <f t="shared" si="34"/>
        <v>1</v>
      </c>
      <c r="Z45" s="4">
        <f t="shared" si="35"/>
        <v>3.5999999999999996</v>
      </c>
      <c r="AA45" s="4">
        <f t="shared" si="36"/>
        <v>2</v>
      </c>
      <c r="AB45" s="4">
        <f t="shared" si="37"/>
        <v>1</v>
      </c>
      <c r="AC45" s="4">
        <f t="shared" si="38"/>
        <v>4</v>
      </c>
      <c r="AD45" s="4">
        <f t="shared" si="39"/>
        <v>4</v>
      </c>
      <c r="AE45" s="4">
        <f t="shared" si="40"/>
        <v>18.600000000000001</v>
      </c>
      <c r="AF45" s="4">
        <f>IF(AND($AD45="",$I45=""),"",_xlfn.MAXIFS($AG$1:$AG44,$A$1:$A44,$A45)+1)</f>
        <v>37</v>
      </c>
      <c r="AG45" s="4">
        <f t="shared" si="41"/>
        <v>39</v>
      </c>
      <c r="AH45" s="4">
        <f t="shared" si="42"/>
        <v>2</v>
      </c>
      <c r="AI45" s="4">
        <f t="shared" si="43"/>
        <v>0</v>
      </c>
      <c r="AJ45" s="4">
        <f t="shared" si="44"/>
        <v>7</v>
      </c>
      <c r="AK45" s="4">
        <f t="shared" si="45"/>
        <v>6</v>
      </c>
      <c r="AL45" s="4" t="str">
        <f t="shared" si="46"/>
        <v>sarı · N mavi · PE sarı-yeşil</v>
      </c>
      <c r="AM45" s="4">
        <f t="shared" si="47"/>
        <v>0</v>
      </c>
      <c r="AN45" s="4" t="str">
        <f t="shared" si="48"/>
        <v/>
      </c>
      <c r="AO45" s="4" t="str">
        <f t="shared" si="49"/>
        <v>2P</v>
      </c>
    </row>
    <row r="46" spans="1:41" x14ac:dyDescent="0.35">
      <c r="A46" s="5" t="s">
        <v>156</v>
      </c>
      <c r="B46" s="5" t="s">
        <v>549</v>
      </c>
      <c r="C46" s="5" t="s">
        <v>149</v>
      </c>
      <c r="D46" s="5" t="s">
        <v>391</v>
      </c>
      <c r="E46" s="5" t="s">
        <v>550</v>
      </c>
      <c r="F46" s="5" t="s">
        <v>453</v>
      </c>
      <c r="G46" s="6"/>
      <c r="H46" s="6"/>
      <c r="I46" s="6"/>
      <c r="J46" s="5" t="s">
        <v>482</v>
      </c>
      <c r="K46" s="5">
        <v>4</v>
      </c>
      <c r="L46" s="5" t="s">
        <v>385</v>
      </c>
      <c r="M46" s="5" t="s">
        <v>551</v>
      </c>
      <c r="N46" s="6"/>
      <c r="O46" s="6"/>
      <c r="P46" s="4" t="str">
        <f t="shared" si="25"/>
        <v>DİF</v>
      </c>
      <c r="Q46" s="4">
        <f t="shared" si="26"/>
        <v>16</v>
      </c>
      <c r="R46" s="4">
        <f t="shared" si="27"/>
        <v>2</v>
      </c>
      <c r="S46" s="4">
        <f t="shared" si="28"/>
        <v>6</v>
      </c>
      <c r="T46" s="4">
        <f t="shared" si="29"/>
        <v>1</v>
      </c>
      <c r="U46" s="4" t="str">
        <f t="shared" si="30"/>
        <v/>
      </c>
      <c r="V46" s="4">
        <f t="shared" si="31"/>
        <v>2.5</v>
      </c>
      <c r="W46" s="4">
        <f t="shared" si="32"/>
        <v>1</v>
      </c>
      <c r="X46" s="4">
        <f t="shared" si="33"/>
        <v>2</v>
      </c>
      <c r="Y46" s="4">
        <f t="shared" si="34"/>
        <v>1</v>
      </c>
      <c r="Z46" s="4">
        <f t="shared" si="35"/>
        <v>3.5999999999999996</v>
      </c>
      <c r="AA46" s="4">
        <f t="shared" si="36"/>
        <v>2</v>
      </c>
      <c r="AB46" s="4">
        <f t="shared" si="37"/>
        <v>1</v>
      </c>
      <c r="AC46" s="4">
        <f t="shared" si="38"/>
        <v>4</v>
      </c>
      <c r="AD46" s="4">
        <f t="shared" si="39"/>
        <v>4</v>
      </c>
      <c r="AE46" s="4">
        <f t="shared" si="40"/>
        <v>18.600000000000001</v>
      </c>
      <c r="AF46" s="4">
        <f>IF(AND($AD46="",$I46=""),"",_xlfn.MAXIFS($AG$1:$AG45,$A$1:$A45,$A46)+1)</f>
        <v>40</v>
      </c>
      <c r="AG46" s="4">
        <f t="shared" si="41"/>
        <v>42</v>
      </c>
      <c r="AH46" s="4">
        <f t="shared" si="42"/>
        <v>2</v>
      </c>
      <c r="AI46" s="4">
        <f t="shared" si="43"/>
        <v>0</v>
      </c>
      <c r="AJ46" s="4">
        <f t="shared" si="44"/>
        <v>7</v>
      </c>
      <c r="AK46" s="4">
        <f t="shared" si="45"/>
        <v>6</v>
      </c>
      <c r="AL46" s="4" t="str">
        <f t="shared" si="46"/>
        <v>yeşil · N mavi · PE sarı-yeşil</v>
      </c>
      <c r="AM46" s="4">
        <f t="shared" si="47"/>
        <v>0</v>
      </c>
      <c r="AN46" s="4" t="str">
        <f t="shared" si="48"/>
        <v/>
      </c>
      <c r="AO46" s="4" t="str">
        <f t="shared" si="49"/>
        <v>2P</v>
      </c>
    </row>
    <row r="47" spans="1:41" x14ac:dyDescent="0.35">
      <c r="A47" s="5" t="s">
        <v>156</v>
      </c>
      <c r="B47" s="5" t="s">
        <v>552</v>
      </c>
      <c r="C47" s="5" t="s">
        <v>149</v>
      </c>
      <c r="D47" s="5" t="s">
        <v>391</v>
      </c>
      <c r="E47" s="5" t="s">
        <v>553</v>
      </c>
      <c r="F47" s="5" t="s">
        <v>459</v>
      </c>
      <c r="G47" s="6"/>
      <c r="H47" s="6"/>
      <c r="I47" s="6"/>
      <c r="J47" s="5" t="s">
        <v>554</v>
      </c>
      <c r="K47" s="5">
        <v>4</v>
      </c>
      <c r="L47" s="5" t="s">
        <v>385</v>
      </c>
      <c r="M47" s="5" t="s">
        <v>555</v>
      </c>
      <c r="N47" s="6"/>
      <c r="O47" s="6"/>
      <c r="P47" s="4" t="str">
        <f t="shared" si="25"/>
        <v>DİF</v>
      </c>
      <c r="Q47" s="4">
        <f t="shared" si="26"/>
        <v>16</v>
      </c>
      <c r="R47" s="4">
        <f t="shared" si="27"/>
        <v>2</v>
      </c>
      <c r="S47" s="4">
        <f t="shared" si="28"/>
        <v>6</v>
      </c>
      <c r="T47" s="4">
        <f t="shared" si="29"/>
        <v>1</v>
      </c>
      <c r="U47" s="4" t="str">
        <f t="shared" si="30"/>
        <v/>
      </c>
      <c r="V47" s="4">
        <f t="shared" si="31"/>
        <v>2.5</v>
      </c>
      <c r="W47" s="4">
        <f t="shared" si="32"/>
        <v>1</v>
      </c>
      <c r="X47" s="4">
        <f t="shared" si="33"/>
        <v>2</v>
      </c>
      <c r="Y47" s="4">
        <f t="shared" si="34"/>
        <v>1</v>
      </c>
      <c r="Z47" s="4">
        <f t="shared" si="35"/>
        <v>3.5999999999999996</v>
      </c>
      <c r="AA47" s="4">
        <f t="shared" si="36"/>
        <v>2</v>
      </c>
      <c r="AB47" s="4">
        <f t="shared" si="37"/>
        <v>1</v>
      </c>
      <c r="AC47" s="4">
        <f t="shared" si="38"/>
        <v>4</v>
      </c>
      <c r="AD47" s="4">
        <f t="shared" si="39"/>
        <v>4</v>
      </c>
      <c r="AE47" s="4">
        <f t="shared" si="40"/>
        <v>18.600000000000001</v>
      </c>
      <c r="AF47" s="4">
        <f>IF(AND($AD47="",$I47=""),"",_xlfn.MAXIFS($AG$1:$AG46,$A$1:$A46,$A47)+1)</f>
        <v>43</v>
      </c>
      <c r="AG47" s="4">
        <f t="shared" si="41"/>
        <v>45</v>
      </c>
      <c r="AH47" s="4">
        <f t="shared" si="42"/>
        <v>2</v>
      </c>
      <c r="AI47" s="4">
        <f t="shared" si="43"/>
        <v>0</v>
      </c>
      <c r="AJ47" s="4">
        <f t="shared" si="44"/>
        <v>7</v>
      </c>
      <c r="AK47" s="4">
        <f t="shared" si="45"/>
        <v>6</v>
      </c>
      <c r="AL47" s="4" t="str">
        <f t="shared" si="46"/>
        <v>kırmızı · N mavi · PE sarı-yeşil</v>
      </c>
      <c r="AM47" s="4">
        <f t="shared" si="47"/>
        <v>0</v>
      </c>
      <c r="AN47" s="4" t="str">
        <f t="shared" si="48"/>
        <v/>
      </c>
      <c r="AO47" s="4" t="str">
        <f t="shared" si="49"/>
        <v>2P</v>
      </c>
    </row>
    <row r="48" spans="1:41" x14ac:dyDescent="0.35">
      <c r="A48" s="5" t="s">
        <v>156</v>
      </c>
      <c r="B48" s="5" t="s">
        <v>556</v>
      </c>
      <c r="C48" s="5" t="s">
        <v>149</v>
      </c>
      <c r="D48" s="5" t="s">
        <v>391</v>
      </c>
      <c r="E48" s="5" t="s">
        <v>557</v>
      </c>
      <c r="F48" s="5" t="s">
        <v>403</v>
      </c>
      <c r="G48" s="6"/>
      <c r="H48" s="6"/>
      <c r="I48" s="6"/>
      <c r="J48" s="5" t="s">
        <v>464</v>
      </c>
      <c r="K48" s="5">
        <v>4</v>
      </c>
      <c r="L48" s="5" t="s">
        <v>385</v>
      </c>
      <c r="M48" s="5" t="s">
        <v>558</v>
      </c>
      <c r="N48" s="6"/>
      <c r="O48" s="6"/>
      <c r="P48" s="4" t="str">
        <f t="shared" si="25"/>
        <v>DİF</v>
      </c>
      <c r="Q48" s="4">
        <f t="shared" si="26"/>
        <v>16</v>
      </c>
      <c r="R48" s="4">
        <f t="shared" si="27"/>
        <v>2</v>
      </c>
      <c r="S48" s="4">
        <f t="shared" si="28"/>
        <v>6</v>
      </c>
      <c r="T48" s="4">
        <f t="shared" si="29"/>
        <v>1</v>
      </c>
      <c r="U48" s="4" t="str">
        <f t="shared" si="30"/>
        <v/>
      </c>
      <c r="V48" s="4">
        <f t="shared" si="31"/>
        <v>2.5</v>
      </c>
      <c r="W48" s="4">
        <f t="shared" si="32"/>
        <v>1</v>
      </c>
      <c r="X48" s="4">
        <f t="shared" si="33"/>
        <v>2</v>
      </c>
      <c r="Y48" s="4">
        <f t="shared" si="34"/>
        <v>1</v>
      </c>
      <c r="Z48" s="4">
        <f t="shared" si="35"/>
        <v>3.5999999999999996</v>
      </c>
      <c r="AA48" s="4">
        <f t="shared" si="36"/>
        <v>2</v>
      </c>
      <c r="AB48" s="4">
        <f t="shared" si="37"/>
        <v>1</v>
      </c>
      <c r="AC48" s="4">
        <f t="shared" si="38"/>
        <v>4</v>
      </c>
      <c r="AD48" s="4">
        <f t="shared" si="39"/>
        <v>4</v>
      </c>
      <c r="AE48" s="4">
        <f t="shared" si="40"/>
        <v>18.600000000000001</v>
      </c>
      <c r="AF48" s="4">
        <f>IF(AND($AD48="",$I48=""),"",_xlfn.MAXIFS($AG$1:$AG47,$A$1:$A47,$A48)+1)</f>
        <v>46</v>
      </c>
      <c r="AG48" s="4">
        <f t="shared" si="41"/>
        <v>48</v>
      </c>
      <c r="AH48" s="4">
        <f t="shared" si="42"/>
        <v>2</v>
      </c>
      <c r="AI48" s="4">
        <f t="shared" si="43"/>
        <v>0</v>
      </c>
      <c r="AJ48" s="4">
        <f t="shared" si="44"/>
        <v>7</v>
      </c>
      <c r="AK48" s="4">
        <f t="shared" si="45"/>
        <v>6</v>
      </c>
      <c r="AL48" s="4" t="str">
        <f t="shared" si="46"/>
        <v>sarı · N mavi · PE sarı-yeşil</v>
      </c>
      <c r="AM48" s="4">
        <f t="shared" si="47"/>
        <v>0</v>
      </c>
      <c r="AN48" s="4" t="str">
        <f t="shared" si="48"/>
        <v/>
      </c>
      <c r="AO48" s="4" t="str">
        <f t="shared" si="49"/>
        <v>2P</v>
      </c>
    </row>
    <row r="49" spans="1:42" x14ac:dyDescent="0.35">
      <c r="A49" s="5" t="s">
        <v>156</v>
      </c>
      <c r="B49" s="5" t="s">
        <v>559</v>
      </c>
      <c r="C49" s="5" t="s">
        <v>149</v>
      </c>
      <c r="D49" s="5" t="s">
        <v>391</v>
      </c>
      <c r="E49" s="5" t="s">
        <v>560</v>
      </c>
      <c r="F49" s="5" t="s">
        <v>453</v>
      </c>
      <c r="G49" s="6"/>
      <c r="H49" s="6"/>
      <c r="I49" s="6"/>
      <c r="J49" s="5" t="s">
        <v>529</v>
      </c>
      <c r="K49" s="5">
        <v>4</v>
      </c>
      <c r="L49" s="5" t="s">
        <v>385</v>
      </c>
      <c r="M49" s="5" t="s">
        <v>561</v>
      </c>
      <c r="N49" s="6"/>
      <c r="O49" s="6"/>
      <c r="P49" s="4" t="str">
        <f t="shared" si="25"/>
        <v>DİF</v>
      </c>
      <c r="Q49" s="4">
        <f t="shared" si="26"/>
        <v>16</v>
      </c>
      <c r="R49" s="4">
        <f t="shared" si="27"/>
        <v>2</v>
      </c>
      <c r="S49" s="4">
        <f t="shared" si="28"/>
        <v>6</v>
      </c>
      <c r="T49" s="4">
        <f t="shared" si="29"/>
        <v>1</v>
      </c>
      <c r="U49" s="4" t="str">
        <f t="shared" si="30"/>
        <v/>
      </c>
      <c r="V49" s="4">
        <f t="shared" si="31"/>
        <v>2.5</v>
      </c>
      <c r="W49" s="4">
        <f t="shared" si="32"/>
        <v>1</v>
      </c>
      <c r="X49" s="4">
        <f t="shared" si="33"/>
        <v>2</v>
      </c>
      <c r="Y49" s="4">
        <f t="shared" si="34"/>
        <v>1</v>
      </c>
      <c r="Z49" s="4">
        <f t="shared" si="35"/>
        <v>3.5999999999999996</v>
      </c>
      <c r="AA49" s="4">
        <f t="shared" si="36"/>
        <v>2</v>
      </c>
      <c r="AB49" s="4">
        <f t="shared" si="37"/>
        <v>1</v>
      </c>
      <c r="AC49" s="4">
        <f t="shared" si="38"/>
        <v>4</v>
      </c>
      <c r="AD49" s="4">
        <f t="shared" si="39"/>
        <v>4</v>
      </c>
      <c r="AE49" s="4">
        <f t="shared" si="40"/>
        <v>18.600000000000001</v>
      </c>
      <c r="AF49" s="4">
        <f>IF(AND($AD49="",$I49=""),"",_xlfn.MAXIFS($AG$1:$AG48,$A$1:$A48,$A49)+1)</f>
        <v>49</v>
      </c>
      <c r="AG49" s="4">
        <f t="shared" si="41"/>
        <v>51</v>
      </c>
      <c r="AH49" s="4">
        <f t="shared" si="42"/>
        <v>2</v>
      </c>
      <c r="AI49" s="4">
        <f t="shared" si="43"/>
        <v>0</v>
      </c>
      <c r="AJ49" s="4">
        <f t="shared" si="44"/>
        <v>7</v>
      </c>
      <c r="AK49" s="4">
        <f t="shared" si="45"/>
        <v>6</v>
      </c>
      <c r="AL49" s="4" t="str">
        <f t="shared" si="46"/>
        <v>yeşil · N mavi · PE sarı-yeşil</v>
      </c>
      <c r="AM49" s="4">
        <f t="shared" si="47"/>
        <v>0</v>
      </c>
      <c r="AN49" s="4" t="str">
        <f t="shared" si="48"/>
        <v/>
      </c>
      <c r="AO49" s="4" t="str">
        <f t="shared" si="49"/>
        <v>2P</v>
      </c>
    </row>
    <row r="50" spans="1:42" x14ac:dyDescent="0.35">
      <c r="A50" s="5" t="s">
        <v>156</v>
      </c>
      <c r="B50" s="5" t="s">
        <v>562</v>
      </c>
      <c r="C50" s="5" t="s">
        <v>149</v>
      </c>
      <c r="D50" s="5" t="s">
        <v>391</v>
      </c>
      <c r="E50" s="5" t="s">
        <v>563</v>
      </c>
      <c r="F50" s="5" t="s">
        <v>459</v>
      </c>
      <c r="G50" s="6"/>
      <c r="H50" s="6"/>
      <c r="I50" s="6"/>
      <c r="J50" s="5" t="s">
        <v>564</v>
      </c>
      <c r="K50" s="5">
        <v>4</v>
      </c>
      <c r="L50" s="5" t="s">
        <v>385</v>
      </c>
      <c r="M50" s="5" t="s">
        <v>565</v>
      </c>
      <c r="N50" s="6"/>
      <c r="O50" s="6"/>
      <c r="P50" s="4" t="str">
        <f t="shared" si="25"/>
        <v>DİF</v>
      </c>
      <c r="Q50" s="4">
        <f t="shared" si="26"/>
        <v>16</v>
      </c>
      <c r="R50" s="4">
        <f t="shared" si="27"/>
        <v>2</v>
      </c>
      <c r="S50" s="4">
        <f t="shared" si="28"/>
        <v>6</v>
      </c>
      <c r="T50" s="4">
        <f t="shared" si="29"/>
        <v>1</v>
      </c>
      <c r="U50" s="4" t="str">
        <f t="shared" si="30"/>
        <v/>
      </c>
      <c r="V50" s="4">
        <f t="shared" si="31"/>
        <v>2.5</v>
      </c>
      <c r="W50" s="4">
        <f t="shared" si="32"/>
        <v>1</v>
      </c>
      <c r="X50" s="4">
        <f t="shared" si="33"/>
        <v>2</v>
      </c>
      <c r="Y50" s="4">
        <f t="shared" si="34"/>
        <v>1</v>
      </c>
      <c r="Z50" s="4">
        <f t="shared" si="35"/>
        <v>3.5999999999999996</v>
      </c>
      <c r="AA50" s="4">
        <f t="shared" si="36"/>
        <v>2</v>
      </c>
      <c r="AB50" s="4">
        <f t="shared" si="37"/>
        <v>1</v>
      </c>
      <c r="AC50" s="4">
        <f t="shared" si="38"/>
        <v>4</v>
      </c>
      <c r="AD50" s="4">
        <f t="shared" si="39"/>
        <v>4</v>
      </c>
      <c r="AE50" s="4">
        <f t="shared" si="40"/>
        <v>18.600000000000001</v>
      </c>
      <c r="AF50" s="4">
        <f>IF(AND($AD50="",$I50=""),"",_xlfn.MAXIFS($AG$1:$AG49,$A$1:$A49,$A50)+1)</f>
        <v>52</v>
      </c>
      <c r="AG50" s="4">
        <f t="shared" si="41"/>
        <v>54</v>
      </c>
      <c r="AH50" s="4">
        <f t="shared" si="42"/>
        <v>2</v>
      </c>
      <c r="AI50" s="4">
        <f t="shared" si="43"/>
        <v>0</v>
      </c>
      <c r="AJ50" s="4">
        <f t="shared" si="44"/>
        <v>7</v>
      </c>
      <c r="AK50" s="4">
        <f t="shared" si="45"/>
        <v>6</v>
      </c>
      <c r="AL50" s="4" t="str">
        <f t="shared" si="46"/>
        <v>kırmızı · N mavi · PE sarı-yeşil</v>
      </c>
      <c r="AM50" s="4">
        <f t="shared" si="47"/>
        <v>0</v>
      </c>
      <c r="AN50" s="4" t="str">
        <f t="shared" si="48"/>
        <v/>
      </c>
      <c r="AO50" s="4" t="str">
        <f t="shared" si="49"/>
        <v>2P</v>
      </c>
    </row>
    <row r="51" spans="1:42" x14ac:dyDescent="0.35">
      <c r="A51" s="5" t="s">
        <v>156</v>
      </c>
      <c r="B51" s="5" t="s">
        <v>566</v>
      </c>
      <c r="C51" s="5" t="s">
        <v>159</v>
      </c>
      <c r="D51" s="5" t="s">
        <v>391</v>
      </c>
      <c r="E51" s="5" t="s">
        <v>567</v>
      </c>
      <c r="F51" s="5" t="s">
        <v>383</v>
      </c>
      <c r="G51" s="5" t="s">
        <v>568</v>
      </c>
      <c r="H51" s="6"/>
      <c r="I51" s="6"/>
      <c r="J51" s="5" t="s">
        <v>569</v>
      </c>
      <c r="K51" s="5">
        <v>4</v>
      </c>
      <c r="L51" s="5" t="s">
        <v>385</v>
      </c>
      <c r="M51" s="5" t="s">
        <v>570</v>
      </c>
      <c r="N51" s="5" t="s">
        <v>54</v>
      </c>
      <c r="O51" s="6"/>
      <c r="P51" s="4" t="str">
        <f t="shared" si="25"/>
        <v>OTO</v>
      </c>
      <c r="Q51" s="4">
        <f t="shared" si="26"/>
        <v>10</v>
      </c>
      <c r="R51" s="4">
        <f t="shared" si="27"/>
        <v>3</v>
      </c>
      <c r="S51" s="4">
        <f t="shared" si="28"/>
        <v>6</v>
      </c>
      <c r="T51" s="4">
        <f t="shared" si="29"/>
        <v>1</v>
      </c>
      <c r="U51" s="4" t="str">
        <f t="shared" si="30"/>
        <v/>
      </c>
      <c r="V51" s="4">
        <f t="shared" si="31"/>
        <v>1.5</v>
      </c>
      <c r="W51" s="4">
        <f t="shared" si="32"/>
        <v>1</v>
      </c>
      <c r="X51" s="4">
        <f t="shared" si="33"/>
        <v>3</v>
      </c>
      <c r="Y51" s="4">
        <f t="shared" si="34"/>
        <v>1</v>
      </c>
      <c r="Z51" s="4">
        <f t="shared" si="35"/>
        <v>4.8</v>
      </c>
      <c r="AA51" s="4">
        <f t="shared" si="36"/>
        <v>3</v>
      </c>
      <c r="AB51" s="4">
        <f t="shared" si="37"/>
        <v>1</v>
      </c>
      <c r="AC51" s="4">
        <f t="shared" si="38"/>
        <v>4</v>
      </c>
      <c r="AD51" s="4">
        <f t="shared" si="39"/>
        <v>4</v>
      </c>
      <c r="AE51" s="4">
        <f t="shared" si="40"/>
        <v>24.8</v>
      </c>
      <c r="AF51" s="4">
        <f>IF(AND($AD51="",$I51=""),"",_xlfn.MAXIFS($AG$1:$AG50,$A$1:$A50,$A51)+1)</f>
        <v>55</v>
      </c>
      <c r="AG51" s="4">
        <f t="shared" si="41"/>
        <v>58</v>
      </c>
      <c r="AH51" s="4">
        <f t="shared" si="42"/>
        <v>3</v>
      </c>
      <c r="AI51" s="4">
        <f t="shared" si="43"/>
        <v>0</v>
      </c>
      <c r="AJ51" s="4">
        <f t="shared" si="44"/>
        <v>9</v>
      </c>
      <c r="AK51" s="4">
        <f t="shared" si="45"/>
        <v>8</v>
      </c>
      <c r="AL51" s="4" t="str">
        <f t="shared" si="46"/>
        <v>L1 sarı · L2 yeşil · L3 kırmızı · PE sarı-yeşil</v>
      </c>
      <c r="AM51" s="4">
        <f t="shared" si="47"/>
        <v>3</v>
      </c>
      <c r="AN51" s="4" t="str">
        <f t="shared" si="48"/>
        <v/>
      </c>
      <c r="AO51" s="4" t="str">
        <f t="shared" si="49"/>
        <v>3P</v>
      </c>
      <c r="AP51" s="4" t="s">
        <v>571</v>
      </c>
    </row>
    <row r="52" spans="1:42" x14ac:dyDescent="0.35">
      <c r="A52" s="5" t="s">
        <v>161</v>
      </c>
      <c r="B52" s="5" t="s">
        <v>418</v>
      </c>
      <c r="C52" s="5" t="s">
        <v>146</v>
      </c>
      <c r="D52" s="5" t="s">
        <v>381</v>
      </c>
      <c r="E52" s="5" t="s">
        <v>572</v>
      </c>
      <c r="F52" s="5" t="s">
        <v>383</v>
      </c>
      <c r="G52" s="6"/>
      <c r="H52" s="6"/>
      <c r="I52" s="6"/>
      <c r="J52" s="5" t="s">
        <v>445</v>
      </c>
      <c r="K52" s="6"/>
      <c r="L52" s="5" t="s">
        <v>385</v>
      </c>
      <c r="M52" s="5" t="s">
        <v>573</v>
      </c>
      <c r="N52" s="6"/>
      <c r="O52" s="6"/>
      <c r="P52" s="4" t="str">
        <f t="shared" si="25"/>
        <v>rubilnik</v>
      </c>
      <c r="Q52" s="4">
        <f t="shared" si="26"/>
        <v>63</v>
      </c>
      <c r="R52" s="4">
        <f t="shared" si="27"/>
        <v>3</v>
      </c>
      <c r="S52" s="4" t="str">
        <f t="shared" si="28"/>
        <v/>
      </c>
      <c r="T52" s="4">
        <f t="shared" si="29"/>
        <v>1</v>
      </c>
      <c r="U52" s="4" t="str">
        <f t="shared" si="30"/>
        <v/>
      </c>
      <c r="V52" s="4">
        <f t="shared" si="31"/>
        <v>16</v>
      </c>
      <c r="W52" s="4">
        <f t="shared" si="32"/>
        <v>1</v>
      </c>
      <c r="X52" s="4">
        <f t="shared" si="33"/>
        <v>3</v>
      </c>
      <c r="Y52" s="4" t="str">
        <f t="shared" si="34"/>
        <v/>
      </c>
      <c r="Z52" s="4">
        <f t="shared" si="35"/>
        <v>3.5999999999999996</v>
      </c>
      <c r="AA52" s="4" t="str">
        <f t="shared" si="36"/>
        <v/>
      </c>
      <c r="AB52" s="4" t="str">
        <f t="shared" si="37"/>
        <v/>
      </c>
      <c r="AC52" s="4" t="str">
        <f t="shared" si="38"/>
        <v/>
      </c>
      <c r="AD52" s="4" t="str">
        <f t="shared" si="39"/>
        <v/>
      </c>
      <c r="AE52" s="4" t="str">
        <f t="shared" si="40"/>
        <v/>
      </c>
      <c r="AF52" s="4" t="str">
        <f>IF(AND($AD52="",$I52=""),"",_xlfn.MAXIFS($AG$1:$AG51,$A$1:$A51,$A52)+1)</f>
        <v/>
      </c>
      <c r="AG52" s="4" t="str">
        <f t="shared" si="41"/>
        <v/>
      </c>
      <c r="AH52" s="4">
        <f t="shared" si="42"/>
        <v>3</v>
      </c>
      <c r="AI52" s="4">
        <f t="shared" si="43"/>
        <v>6</v>
      </c>
      <c r="AJ52" s="4">
        <f t="shared" si="44"/>
        <v>0</v>
      </c>
      <c r="AK52" s="4">
        <f t="shared" si="45"/>
        <v>6</v>
      </c>
      <c r="AL52" s="4" t="str">
        <f t="shared" si="46"/>
        <v>L1 sarı · L2 yeşil · L3 kırmızı · N mavi · PE sarı-yeşil</v>
      </c>
      <c r="AM52" s="4">
        <f t="shared" si="47"/>
        <v>0</v>
      </c>
      <c r="AN52" s="4" t="str">
        <f t="shared" si="48"/>
        <v/>
      </c>
      <c r="AO52" s="4" t="str">
        <f t="shared" si="49"/>
        <v>3P</v>
      </c>
    </row>
    <row r="53" spans="1:42" x14ac:dyDescent="0.35">
      <c r="A53" s="5" t="s">
        <v>161</v>
      </c>
      <c r="B53" s="5" t="s">
        <v>574</v>
      </c>
      <c r="C53" s="5" t="s">
        <v>169</v>
      </c>
      <c r="D53" s="5" t="s">
        <v>391</v>
      </c>
      <c r="E53" s="5" t="s">
        <v>575</v>
      </c>
      <c r="F53" s="5" t="s">
        <v>383</v>
      </c>
      <c r="G53" s="6"/>
      <c r="H53" s="6"/>
      <c r="I53" s="6"/>
      <c r="J53" s="5" t="s">
        <v>509</v>
      </c>
      <c r="K53" s="5">
        <v>4</v>
      </c>
      <c r="L53" s="5" t="s">
        <v>385</v>
      </c>
      <c r="M53" s="5" t="s">
        <v>576</v>
      </c>
      <c r="N53" s="5" t="s">
        <v>577</v>
      </c>
      <c r="O53" s="6"/>
      <c r="P53" s="4" t="str">
        <f t="shared" si="25"/>
        <v>DİF</v>
      </c>
      <c r="Q53" s="4">
        <f t="shared" si="26"/>
        <v>40</v>
      </c>
      <c r="R53" s="4">
        <f t="shared" si="27"/>
        <v>4</v>
      </c>
      <c r="S53" s="4">
        <f t="shared" si="28"/>
        <v>6</v>
      </c>
      <c r="T53" s="4">
        <f t="shared" si="29"/>
        <v>1</v>
      </c>
      <c r="U53" s="4" t="str">
        <f t="shared" si="30"/>
        <v/>
      </c>
      <c r="V53" s="4">
        <f t="shared" si="31"/>
        <v>6</v>
      </c>
      <c r="W53" s="4">
        <f t="shared" si="32"/>
        <v>1</v>
      </c>
      <c r="X53" s="4">
        <f t="shared" si="33"/>
        <v>4</v>
      </c>
      <c r="Y53" s="4">
        <f t="shared" si="34"/>
        <v>1</v>
      </c>
      <c r="Z53" s="4">
        <f t="shared" si="35"/>
        <v>6</v>
      </c>
      <c r="AA53" s="4">
        <f t="shared" si="36"/>
        <v>4</v>
      </c>
      <c r="AB53" s="4">
        <f t="shared" si="37"/>
        <v>1</v>
      </c>
      <c r="AC53" s="4">
        <f t="shared" si="38"/>
        <v>6</v>
      </c>
      <c r="AD53" s="4">
        <f t="shared" si="39"/>
        <v>6</v>
      </c>
      <c r="AE53" s="4">
        <f t="shared" si="40"/>
        <v>41</v>
      </c>
      <c r="AF53" s="4">
        <f>IF(AND($AD53="",$I53=""),"",_xlfn.MAXIFS($AG$1:$AG52,$A$1:$A52,$A53)+1)</f>
        <v>1</v>
      </c>
      <c r="AG53" s="4">
        <f t="shared" si="41"/>
        <v>5</v>
      </c>
      <c r="AH53" s="4">
        <f t="shared" si="42"/>
        <v>4</v>
      </c>
      <c r="AI53" s="4">
        <f t="shared" si="43"/>
        <v>0</v>
      </c>
      <c r="AJ53" s="4">
        <f t="shared" si="44"/>
        <v>11</v>
      </c>
      <c r="AK53" s="4">
        <f t="shared" si="45"/>
        <v>10</v>
      </c>
      <c r="AL53" s="4" t="str">
        <f t="shared" si="46"/>
        <v>L1 sarı · L2 yeşil · L3 kırmızı · N mavi · PE sarı-yeşil</v>
      </c>
      <c r="AM53" s="4">
        <f t="shared" si="47"/>
        <v>7</v>
      </c>
      <c r="AN53" s="4" t="str">
        <f t="shared" si="48"/>
        <v/>
      </c>
      <c r="AO53" s="4" t="str">
        <f t="shared" si="49"/>
        <v>4P</v>
      </c>
      <c r="AP53" s="4" t="s">
        <v>578</v>
      </c>
    </row>
    <row r="54" spans="1:42" x14ac:dyDescent="0.35">
      <c r="A54" s="5" t="s">
        <v>161</v>
      </c>
      <c r="B54" s="5" t="s">
        <v>579</v>
      </c>
      <c r="C54" s="5" t="s">
        <v>164</v>
      </c>
      <c r="D54" s="5" t="s">
        <v>391</v>
      </c>
      <c r="E54" s="5" t="s">
        <v>580</v>
      </c>
      <c r="F54" s="5" t="s">
        <v>403</v>
      </c>
      <c r="G54" s="6"/>
      <c r="H54" s="6"/>
      <c r="I54" s="6"/>
      <c r="J54" s="5" t="s">
        <v>554</v>
      </c>
      <c r="K54" s="5">
        <v>4</v>
      </c>
      <c r="L54" s="5" t="s">
        <v>385</v>
      </c>
      <c r="M54" s="5" t="s">
        <v>581</v>
      </c>
      <c r="N54" s="6"/>
      <c r="O54" s="6"/>
      <c r="P54" s="4" t="str">
        <f t="shared" si="25"/>
        <v>OTO</v>
      </c>
      <c r="Q54" s="4">
        <f t="shared" si="26"/>
        <v>10</v>
      </c>
      <c r="R54" s="4">
        <f t="shared" si="27"/>
        <v>1</v>
      </c>
      <c r="S54" s="4">
        <f t="shared" si="28"/>
        <v>6</v>
      </c>
      <c r="T54" s="4">
        <f t="shared" si="29"/>
        <v>1</v>
      </c>
      <c r="U54" s="4" t="str">
        <f t="shared" si="30"/>
        <v/>
      </c>
      <c r="V54" s="4">
        <f t="shared" si="31"/>
        <v>1.5</v>
      </c>
      <c r="W54" s="4">
        <f t="shared" si="32"/>
        <v>1</v>
      </c>
      <c r="X54" s="4">
        <f t="shared" si="33"/>
        <v>1</v>
      </c>
      <c r="Y54" s="4">
        <f t="shared" si="34"/>
        <v>2</v>
      </c>
      <c r="Z54" s="4">
        <f t="shared" si="35"/>
        <v>3.5999999999999996</v>
      </c>
      <c r="AA54" s="4">
        <f t="shared" si="36"/>
        <v>2</v>
      </c>
      <c r="AB54" s="4">
        <f t="shared" si="37"/>
        <v>1</v>
      </c>
      <c r="AC54" s="4">
        <f t="shared" si="38"/>
        <v>4</v>
      </c>
      <c r="AD54" s="4">
        <f t="shared" si="39"/>
        <v>4</v>
      </c>
      <c r="AE54" s="4">
        <f t="shared" si="40"/>
        <v>18.600000000000001</v>
      </c>
      <c r="AF54" s="4">
        <f>IF(AND($AD54="",$I54=""),"",_xlfn.MAXIFS($AG$1:$AG53,$A$1:$A53,$A54)+1)</f>
        <v>6</v>
      </c>
      <c r="AG54" s="4">
        <f t="shared" si="41"/>
        <v>8</v>
      </c>
      <c r="AH54" s="4">
        <f t="shared" si="42"/>
        <v>1</v>
      </c>
      <c r="AI54" s="4">
        <f t="shared" si="43"/>
        <v>0</v>
      </c>
      <c r="AJ54" s="4">
        <f t="shared" si="44"/>
        <v>7</v>
      </c>
      <c r="AK54" s="4">
        <f t="shared" si="45"/>
        <v>6</v>
      </c>
      <c r="AL54" s="4" t="str">
        <f t="shared" si="46"/>
        <v>sarı · N mavi · PE sarı-yeşil</v>
      </c>
      <c r="AM54" s="4">
        <f t="shared" si="47"/>
        <v>0</v>
      </c>
      <c r="AN54" s="4" t="str">
        <f t="shared" si="48"/>
        <v/>
      </c>
      <c r="AO54" s="4" t="str">
        <f t="shared" si="49"/>
        <v>1P</v>
      </c>
    </row>
    <row r="55" spans="1:42" x14ac:dyDescent="0.35">
      <c r="A55" s="5" t="s">
        <v>161</v>
      </c>
      <c r="B55" s="5" t="s">
        <v>582</v>
      </c>
      <c r="C55" s="5" t="s">
        <v>164</v>
      </c>
      <c r="D55" s="5" t="s">
        <v>391</v>
      </c>
      <c r="E55" s="5" t="s">
        <v>583</v>
      </c>
      <c r="F55" s="5" t="s">
        <v>453</v>
      </c>
      <c r="G55" s="6"/>
      <c r="H55" s="6"/>
      <c r="I55" s="6"/>
      <c r="J55" s="5" t="s">
        <v>509</v>
      </c>
      <c r="K55" s="5">
        <v>4</v>
      </c>
      <c r="L55" s="5" t="s">
        <v>385</v>
      </c>
      <c r="M55" s="5" t="s">
        <v>581</v>
      </c>
      <c r="N55" s="6"/>
      <c r="O55" s="6"/>
      <c r="P55" s="4" t="str">
        <f t="shared" si="25"/>
        <v>OTO</v>
      </c>
      <c r="Q55" s="4">
        <f t="shared" si="26"/>
        <v>10</v>
      </c>
      <c r="R55" s="4">
        <f t="shared" si="27"/>
        <v>1</v>
      </c>
      <c r="S55" s="4">
        <f t="shared" si="28"/>
        <v>6</v>
      </c>
      <c r="T55" s="4">
        <f t="shared" si="29"/>
        <v>1</v>
      </c>
      <c r="U55" s="4" t="str">
        <f t="shared" si="30"/>
        <v/>
      </c>
      <c r="V55" s="4">
        <f t="shared" si="31"/>
        <v>1.5</v>
      </c>
      <c r="W55" s="4">
        <f t="shared" si="32"/>
        <v>1</v>
      </c>
      <c r="X55" s="4">
        <f t="shared" si="33"/>
        <v>1</v>
      </c>
      <c r="Y55" s="4">
        <f t="shared" si="34"/>
        <v>2</v>
      </c>
      <c r="Z55" s="4">
        <f t="shared" si="35"/>
        <v>3.5999999999999996</v>
      </c>
      <c r="AA55" s="4">
        <f t="shared" si="36"/>
        <v>2</v>
      </c>
      <c r="AB55" s="4">
        <f t="shared" si="37"/>
        <v>1</v>
      </c>
      <c r="AC55" s="4">
        <f t="shared" si="38"/>
        <v>4</v>
      </c>
      <c r="AD55" s="4">
        <f t="shared" si="39"/>
        <v>4</v>
      </c>
      <c r="AE55" s="4">
        <f t="shared" si="40"/>
        <v>18.600000000000001</v>
      </c>
      <c r="AF55" s="4">
        <f>IF(AND($AD55="",$I55=""),"",_xlfn.MAXIFS($AG$1:$AG54,$A$1:$A54,$A55)+1)</f>
        <v>9</v>
      </c>
      <c r="AG55" s="4">
        <f t="shared" si="41"/>
        <v>11</v>
      </c>
      <c r="AH55" s="4">
        <f t="shared" si="42"/>
        <v>1</v>
      </c>
      <c r="AI55" s="4">
        <f t="shared" si="43"/>
        <v>0</v>
      </c>
      <c r="AJ55" s="4">
        <f t="shared" si="44"/>
        <v>7</v>
      </c>
      <c r="AK55" s="4">
        <f t="shared" si="45"/>
        <v>6</v>
      </c>
      <c r="AL55" s="4" t="str">
        <f t="shared" si="46"/>
        <v>yeşil · N mavi · PE sarı-yeşil</v>
      </c>
      <c r="AM55" s="4">
        <f t="shared" si="47"/>
        <v>0</v>
      </c>
      <c r="AN55" s="4" t="str">
        <f t="shared" si="48"/>
        <v/>
      </c>
      <c r="AO55" s="4" t="str">
        <f t="shared" si="49"/>
        <v>1P</v>
      </c>
    </row>
    <row r="56" spans="1:42" x14ac:dyDescent="0.35">
      <c r="A56" s="5" t="s">
        <v>161</v>
      </c>
      <c r="B56" s="5" t="s">
        <v>584</v>
      </c>
      <c r="C56" s="5" t="s">
        <v>167</v>
      </c>
      <c r="D56" s="5" t="s">
        <v>391</v>
      </c>
      <c r="E56" s="5" t="s">
        <v>585</v>
      </c>
      <c r="F56" s="5" t="s">
        <v>459</v>
      </c>
      <c r="G56" s="6"/>
      <c r="H56" s="6"/>
      <c r="I56" s="6"/>
      <c r="J56" s="5" t="s">
        <v>586</v>
      </c>
      <c r="K56" s="5">
        <v>2.5</v>
      </c>
      <c r="L56" s="5" t="s">
        <v>385</v>
      </c>
      <c r="M56" s="5" t="s">
        <v>587</v>
      </c>
      <c r="N56" s="6"/>
      <c r="O56" s="6"/>
      <c r="P56" s="4" t="str">
        <f t="shared" si="25"/>
        <v>OTO</v>
      </c>
      <c r="Q56" s="4">
        <f t="shared" si="26"/>
        <v>16</v>
      </c>
      <c r="R56" s="4">
        <f t="shared" si="27"/>
        <v>1</v>
      </c>
      <c r="S56" s="4">
        <f t="shared" si="28"/>
        <v>6</v>
      </c>
      <c r="T56" s="4">
        <f t="shared" si="29"/>
        <v>1</v>
      </c>
      <c r="U56" s="4" t="str">
        <f t="shared" si="30"/>
        <v/>
      </c>
      <c r="V56" s="4">
        <f t="shared" si="31"/>
        <v>2.5</v>
      </c>
      <c r="W56" s="4">
        <f t="shared" si="32"/>
        <v>1</v>
      </c>
      <c r="X56" s="4">
        <f t="shared" si="33"/>
        <v>1</v>
      </c>
      <c r="Y56" s="4">
        <f t="shared" si="34"/>
        <v>2</v>
      </c>
      <c r="Z56" s="4">
        <f t="shared" si="35"/>
        <v>3.5999999999999996</v>
      </c>
      <c r="AA56" s="4">
        <f t="shared" si="36"/>
        <v>2</v>
      </c>
      <c r="AB56" s="4">
        <f t="shared" si="37"/>
        <v>1</v>
      </c>
      <c r="AC56" s="4">
        <f t="shared" si="38"/>
        <v>2.5</v>
      </c>
      <c r="AD56" s="4">
        <f t="shared" si="39"/>
        <v>2.5</v>
      </c>
      <c r="AE56" s="4">
        <f t="shared" si="40"/>
        <v>15.600000000000001</v>
      </c>
      <c r="AF56" s="4">
        <f>IF(AND($AD56="",$I56=""),"",_xlfn.MAXIFS($AG$1:$AG55,$A$1:$A55,$A56)+1)</f>
        <v>12</v>
      </c>
      <c r="AG56" s="4">
        <f t="shared" si="41"/>
        <v>14</v>
      </c>
      <c r="AH56" s="4">
        <f t="shared" si="42"/>
        <v>1</v>
      </c>
      <c r="AI56" s="4">
        <f t="shared" si="43"/>
        <v>0</v>
      </c>
      <c r="AJ56" s="4">
        <f t="shared" si="44"/>
        <v>7</v>
      </c>
      <c r="AK56" s="4">
        <f t="shared" si="45"/>
        <v>6</v>
      </c>
      <c r="AL56" s="4" t="str">
        <f t="shared" si="46"/>
        <v>kırmızı · N mavi · PE sarı-yeşil</v>
      </c>
      <c r="AM56" s="4">
        <f t="shared" si="47"/>
        <v>0</v>
      </c>
      <c r="AN56" s="4" t="str">
        <f t="shared" si="48"/>
        <v/>
      </c>
      <c r="AO56" s="4" t="str">
        <f t="shared" si="49"/>
        <v>1P</v>
      </c>
    </row>
    <row r="57" spans="1:42" x14ac:dyDescent="0.35">
      <c r="A57" s="5" t="s">
        <v>161</v>
      </c>
      <c r="B57" s="5" t="s">
        <v>588</v>
      </c>
      <c r="C57" s="5" t="s">
        <v>167</v>
      </c>
      <c r="D57" s="5" t="s">
        <v>391</v>
      </c>
      <c r="E57" s="5" t="s">
        <v>589</v>
      </c>
      <c r="F57" s="5" t="s">
        <v>403</v>
      </c>
      <c r="G57" s="6"/>
      <c r="H57" s="6"/>
      <c r="I57" s="6"/>
      <c r="J57" s="5" t="s">
        <v>590</v>
      </c>
      <c r="K57" s="5">
        <v>2.5</v>
      </c>
      <c r="L57" s="5" t="s">
        <v>385</v>
      </c>
      <c r="M57" s="5" t="s">
        <v>591</v>
      </c>
      <c r="N57" s="6"/>
      <c r="O57" s="6"/>
      <c r="P57" s="4" t="str">
        <f t="shared" si="25"/>
        <v>OTO</v>
      </c>
      <c r="Q57" s="4">
        <f t="shared" si="26"/>
        <v>16</v>
      </c>
      <c r="R57" s="4">
        <f t="shared" si="27"/>
        <v>1</v>
      </c>
      <c r="S57" s="4">
        <f t="shared" si="28"/>
        <v>6</v>
      </c>
      <c r="T57" s="4">
        <f t="shared" si="29"/>
        <v>1</v>
      </c>
      <c r="U57" s="4" t="str">
        <f t="shared" si="30"/>
        <v/>
      </c>
      <c r="V57" s="4">
        <f t="shared" si="31"/>
        <v>2.5</v>
      </c>
      <c r="W57" s="4">
        <f t="shared" si="32"/>
        <v>1</v>
      </c>
      <c r="X57" s="4">
        <f t="shared" si="33"/>
        <v>1</v>
      </c>
      <c r="Y57" s="4">
        <f t="shared" si="34"/>
        <v>2</v>
      </c>
      <c r="Z57" s="4">
        <f t="shared" si="35"/>
        <v>3.5999999999999996</v>
      </c>
      <c r="AA57" s="4">
        <f t="shared" si="36"/>
        <v>2</v>
      </c>
      <c r="AB57" s="4">
        <f t="shared" si="37"/>
        <v>1</v>
      </c>
      <c r="AC57" s="4">
        <f t="shared" si="38"/>
        <v>2.5</v>
      </c>
      <c r="AD57" s="4">
        <f t="shared" si="39"/>
        <v>2.5</v>
      </c>
      <c r="AE57" s="4">
        <f t="shared" si="40"/>
        <v>15.600000000000001</v>
      </c>
      <c r="AF57" s="4">
        <f>IF(AND($AD57="",$I57=""),"",_xlfn.MAXIFS($AG$1:$AG56,$A$1:$A56,$A57)+1)</f>
        <v>15</v>
      </c>
      <c r="AG57" s="4">
        <f t="shared" si="41"/>
        <v>17</v>
      </c>
      <c r="AH57" s="4">
        <f t="shared" si="42"/>
        <v>1</v>
      </c>
      <c r="AI57" s="4">
        <f t="shared" si="43"/>
        <v>0</v>
      </c>
      <c r="AJ57" s="4">
        <f t="shared" si="44"/>
        <v>7</v>
      </c>
      <c r="AK57" s="4">
        <f t="shared" si="45"/>
        <v>6</v>
      </c>
      <c r="AL57" s="4" t="str">
        <f t="shared" si="46"/>
        <v>sarı · N mavi · PE sarı-yeşil</v>
      </c>
      <c r="AM57" s="4">
        <f t="shared" si="47"/>
        <v>0</v>
      </c>
      <c r="AN57" s="4" t="str">
        <f t="shared" si="48"/>
        <v/>
      </c>
      <c r="AO57" s="4" t="str">
        <f t="shared" si="49"/>
        <v>1P</v>
      </c>
    </row>
    <row r="58" spans="1:42" x14ac:dyDescent="0.35">
      <c r="A58" s="5" t="s">
        <v>161</v>
      </c>
      <c r="B58" s="5" t="s">
        <v>592</v>
      </c>
      <c r="C58" s="5" t="s">
        <v>167</v>
      </c>
      <c r="D58" s="5" t="s">
        <v>391</v>
      </c>
      <c r="E58" s="5" t="s">
        <v>593</v>
      </c>
      <c r="F58" s="5" t="s">
        <v>453</v>
      </c>
      <c r="G58" s="6"/>
      <c r="H58" s="6"/>
      <c r="I58" s="6"/>
      <c r="J58" s="5" t="s">
        <v>594</v>
      </c>
      <c r="K58" s="5">
        <v>1.5</v>
      </c>
      <c r="L58" s="5" t="s">
        <v>385</v>
      </c>
      <c r="M58" s="5" t="s">
        <v>595</v>
      </c>
      <c r="N58" s="6"/>
      <c r="O58" s="6"/>
      <c r="P58" s="4" t="str">
        <f t="shared" si="25"/>
        <v>OTO</v>
      </c>
      <c r="Q58" s="4">
        <f t="shared" si="26"/>
        <v>16</v>
      </c>
      <c r="R58" s="4">
        <f t="shared" si="27"/>
        <v>1</v>
      </c>
      <c r="S58" s="4">
        <f t="shared" si="28"/>
        <v>6</v>
      </c>
      <c r="T58" s="4">
        <f t="shared" si="29"/>
        <v>1</v>
      </c>
      <c r="U58" s="4" t="str">
        <f t="shared" si="30"/>
        <v/>
      </c>
      <c r="V58" s="4">
        <f t="shared" si="31"/>
        <v>2.5</v>
      </c>
      <c r="W58" s="4">
        <f t="shared" si="32"/>
        <v>1</v>
      </c>
      <c r="X58" s="4">
        <f t="shared" si="33"/>
        <v>1</v>
      </c>
      <c r="Y58" s="4">
        <f t="shared" si="34"/>
        <v>2</v>
      </c>
      <c r="Z58" s="4">
        <f t="shared" si="35"/>
        <v>3.5999999999999996</v>
      </c>
      <c r="AA58" s="4">
        <f t="shared" si="36"/>
        <v>2</v>
      </c>
      <c r="AB58" s="4">
        <f t="shared" si="37"/>
        <v>1</v>
      </c>
      <c r="AC58" s="4">
        <f t="shared" si="38"/>
        <v>2.5</v>
      </c>
      <c r="AD58" s="4">
        <f t="shared" si="39"/>
        <v>2.5</v>
      </c>
      <c r="AE58" s="4">
        <f t="shared" si="40"/>
        <v>15.600000000000001</v>
      </c>
      <c r="AF58" s="4">
        <f>IF(AND($AD58="",$I58=""),"",_xlfn.MAXIFS($AG$1:$AG57,$A$1:$A57,$A58)+1)</f>
        <v>18</v>
      </c>
      <c r="AG58" s="4">
        <f t="shared" si="41"/>
        <v>20</v>
      </c>
      <c r="AH58" s="4">
        <f t="shared" si="42"/>
        <v>1</v>
      </c>
      <c r="AI58" s="4">
        <f t="shared" si="43"/>
        <v>0</v>
      </c>
      <c r="AJ58" s="4">
        <f t="shared" si="44"/>
        <v>7</v>
      </c>
      <c r="AK58" s="4">
        <f t="shared" si="45"/>
        <v>6</v>
      </c>
      <c r="AL58" s="4" t="str">
        <f t="shared" si="46"/>
        <v>yeşil · N mavi · PE sarı-yeşil</v>
      </c>
      <c r="AM58" s="4">
        <f t="shared" si="47"/>
        <v>0</v>
      </c>
      <c r="AN58" s="4" t="str">
        <f t="shared" si="48"/>
        <v/>
      </c>
      <c r="AO58" s="4" t="str">
        <f t="shared" si="49"/>
        <v>1P</v>
      </c>
    </row>
    <row r="59" spans="1:42" x14ac:dyDescent="0.35">
      <c r="A59" s="5" t="s">
        <v>161</v>
      </c>
      <c r="B59" s="5" t="s">
        <v>596</v>
      </c>
      <c r="C59" s="5" t="s">
        <v>167</v>
      </c>
      <c r="D59" s="5" t="s">
        <v>391</v>
      </c>
      <c r="E59" s="5" t="s">
        <v>597</v>
      </c>
      <c r="F59" s="5" t="s">
        <v>459</v>
      </c>
      <c r="G59" s="6"/>
      <c r="H59" s="6"/>
      <c r="I59" s="6"/>
      <c r="J59" s="5" t="s">
        <v>598</v>
      </c>
      <c r="K59" s="5">
        <v>2.5</v>
      </c>
      <c r="L59" s="5" t="s">
        <v>385</v>
      </c>
      <c r="M59" s="5" t="s">
        <v>599</v>
      </c>
      <c r="N59" s="6"/>
      <c r="O59" s="6"/>
      <c r="P59" s="4" t="str">
        <f t="shared" si="25"/>
        <v>OTO</v>
      </c>
      <c r="Q59" s="4">
        <f t="shared" si="26"/>
        <v>16</v>
      </c>
      <c r="R59" s="4">
        <f t="shared" si="27"/>
        <v>1</v>
      </c>
      <c r="S59" s="4">
        <f t="shared" si="28"/>
        <v>6</v>
      </c>
      <c r="T59" s="4">
        <f t="shared" si="29"/>
        <v>1</v>
      </c>
      <c r="U59" s="4" t="str">
        <f t="shared" si="30"/>
        <v/>
      </c>
      <c r="V59" s="4">
        <f t="shared" si="31"/>
        <v>2.5</v>
      </c>
      <c r="W59" s="4">
        <f t="shared" si="32"/>
        <v>1</v>
      </c>
      <c r="X59" s="4">
        <f t="shared" si="33"/>
        <v>1</v>
      </c>
      <c r="Y59" s="4">
        <f t="shared" si="34"/>
        <v>2</v>
      </c>
      <c r="Z59" s="4">
        <f t="shared" si="35"/>
        <v>3.5999999999999996</v>
      </c>
      <c r="AA59" s="4">
        <f t="shared" si="36"/>
        <v>2</v>
      </c>
      <c r="AB59" s="4">
        <f t="shared" si="37"/>
        <v>1</v>
      </c>
      <c r="AC59" s="4">
        <f t="shared" si="38"/>
        <v>2.5</v>
      </c>
      <c r="AD59" s="4">
        <f t="shared" si="39"/>
        <v>2.5</v>
      </c>
      <c r="AE59" s="4">
        <f t="shared" si="40"/>
        <v>15.600000000000001</v>
      </c>
      <c r="AF59" s="4">
        <f>IF(AND($AD59="",$I59=""),"",_xlfn.MAXIFS($AG$1:$AG58,$A$1:$A58,$A59)+1)</f>
        <v>21</v>
      </c>
      <c r="AG59" s="4">
        <f t="shared" si="41"/>
        <v>23</v>
      </c>
      <c r="AH59" s="4">
        <f t="shared" si="42"/>
        <v>1</v>
      </c>
      <c r="AI59" s="4">
        <f t="shared" si="43"/>
        <v>0</v>
      </c>
      <c r="AJ59" s="4">
        <f t="shared" si="44"/>
        <v>7</v>
      </c>
      <c r="AK59" s="4">
        <f t="shared" si="45"/>
        <v>6</v>
      </c>
      <c r="AL59" s="4" t="str">
        <f t="shared" si="46"/>
        <v>kırmızı · N mavi · PE sarı-yeşil</v>
      </c>
      <c r="AM59" s="4">
        <f t="shared" si="47"/>
        <v>0</v>
      </c>
      <c r="AN59" s="4" t="str">
        <f t="shared" si="48"/>
        <v/>
      </c>
      <c r="AO59" s="4" t="str">
        <f t="shared" si="49"/>
        <v>1P</v>
      </c>
    </row>
    <row r="60" spans="1:42" x14ac:dyDescent="0.35">
      <c r="A60" s="5" t="s">
        <v>161</v>
      </c>
      <c r="B60" s="5" t="s">
        <v>600</v>
      </c>
      <c r="C60" s="5" t="s">
        <v>167</v>
      </c>
      <c r="D60" s="5" t="s">
        <v>391</v>
      </c>
      <c r="E60" s="5" t="s">
        <v>601</v>
      </c>
      <c r="F60" s="5" t="s">
        <v>403</v>
      </c>
      <c r="G60" s="6"/>
      <c r="H60" s="6"/>
      <c r="I60" s="6"/>
      <c r="J60" s="5" t="s">
        <v>602</v>
      </c>
      <c r="K60" s="5">
        <v>2.5</v>
      </c>
      <c r="L60" s="5" t="s">
        <v>385</v>
      </c>
      <c r="M60" s="5" t="s">
        <v>603</v>
      </c>
      <c r="N60" s="6"/>
      <c r="O60" s="6"/>
      <c r="P60" s="4" t="str">
        <f t="shared" si="25"/>
        <v>OTO</v>
      </c>
      <c r="Q60" s="4">
        <f t="shared" si="26"/>
        <v>16</v>
      </c>
      <c r="R60" s="4">
        <f t="shared" si="27"/>
        <v>1</v>
      </c>
      <c r="S60" s="4">
        <f t="shared" si="28"/>
        <v>6</v>
      </c>
      <c r="T60" s="4">
        <f t="shared" si="29"/>
        <v>1</v>
      </c>
      <c r="U60" s="4" t="str">
        <f t="shared" si="30"/>
        <v/>
      </c>
      <c r="V60" s="4">
        <f t="shared" si="31"/>
        <v>2.5</v>
      </c>
      <c r="W60" s="4">
        <f t="shared" si="32"/>
        <v>1</v>
      </c>
      <c r="X60" s="4">
        <f t="shared" si="33"/>
        <v>1</v>
      </c>
      <c r="Y60" s="4">
        <f t="shared" si="34"/>
        <v>2</v>
      </c>
      <c r="Z60" s="4">
        <f t="shared" si="35"/>
        <v>3.5999999999999996</v>
      </c>
      <c r="AA60" s="4">
        <f t="shared" si="36"/>
        <v>2</v>
      </c>
      <c r="AB60" s="4">
        <f t="shared" si="37"/>
        <v>1</v>
      </c>
      <c r="AC60" s="4">
        <f t="shared" si="38"/>
        <v>2.5</v>
      </c>
      <c r="AD60" s="4">
        <f t="shared" si="39"/>
        <v>2.5</v>
      </c>
      <c r="AE60" s="4">
        <f t="shared" si="40"/>
        <v>15.600000000000001</v>
      </c>
      <c r="AF60" s="4">
        <f>IF(AND($AD60="",$I60=""),"",_xlfn.MAXIFS($AG$1:$AG59,$A$1:$A59,$A60)+1)</f>
        <v>24</v>
      </c>
      <c r="AG60" s="4">
        <f t="shared" si="41"/>
        <v>26</v>
      </c>
      <c r="AH60" s="4">
        <f t="shared" si="42"/>
        <v>1</v>
      </c>
      <c r="AI60" s="4">
        <f t="shared" si="43"/>
        <v>0</v>
      </c>
      <c r="AJ60" s="4">
        <f t="shared" si="44"/>
        <v>7</v>
      </c>
      <c r="AK60" s="4">
        <f t="shared" si="45"/>
        <v>6</v>
      </c>
      <c r="AL60" s="4" t="str">
        <f t="shared" si="46"/>
        <v>sarı · N mavi · PE sarı-yeşil</v>
      </c>
      <c r="AM60" s="4">
        <f t="shared" si="47"/>
        <v>0</v>
      </c>
      <c r="AN60" s="4" t="str">
        <f t="shared" si="48"/>
        <v/>
      </c>
      <c r="AO60" s="4" t="str">
        <f t="shared" si="49"/>
        <v>1P</v>
      </c>
    </row>
    <row r="61" spans="1:42" x14ac:dyDescent="0.35">
      <c r="A61" s="5" t="s">
        <v>161</v>
      </c>
      <c r="B61" s="5" t="s">
        <v>604</v>
      </c>
      <c r="C61" s="5" t="s">
        <v>167</v>
      </c>
      <c r="D61" s="5" t="s">
        <v>391</v>
      </c>
      <c r="E61" s="5" t="s">
        <v>605</v>
      </c>
      <c r="F61" s="5" t="s">
        <v>453</v>
      </c>
      <c r="G61" s="6"/>
      <c r="H61" s="6"/>
      <c r="I61" s="6"/>
      <c r="J61" s="5" t="s">
        <v>606</v>
      </c>
      <c r="K61" s="5">
        <v>2.5</v>
      </c>
      <c r="L61" s="5" t="s">
        <v>385</v>
      </c>
      <c r="M61" s="5" t="s">
        <v>607</v>
      </c>
      <c r="N61" s="6"/>
      <c r="O61" s="6"/>
      <c r="P61" s="4" t="str">
        <f t="shared" si="25"/>
        <v>OTO</v>
      </c>
      <c r="Q61" s="4">
        <f t="shared" si="26"/>
        <v>16</v>
      </c>
      <c r="R61" s="4">
        <f t="shared" si="27"/>
        <v>1</v>
      </c>
      <c r="S61" s="4">
        <f t="shared" si="28"/>
        <v>6</v>
      </c>
      <c r="T61" s="4">
        <f t="shared" si="29"/>
        <v>1</v>
      </c>
      <c r="U61" s="4" t="str">
        <f t="shared" si="30"/>
        <v/>
      </c>
      <c r="V61" s="4">
        <f t="shared" si="31"/>
        <v>2.5</v>
      </c>
      <c r="W61" s="4">
        <f t="shared" si="32"/>
        <v>1</v>
      </c>
      <c r="X61" s="4">
        <f t="shared" si="33"/>
        <v>1</v>
      </c>
      <c r="Y61" s="4">
        <f t="shared" si="34"/>
        <v>2</v>
      </c>
      <c r="Z61" s="4">
        <f t="shared" si="35"/>
        <v>3.5999999999999996</v>
      </c>
      <c r="AA61" s="4">
        <f t="shared" si="36"/>
        <v>2</v>
      </c>
      <c r="AB61" s="4">
        <f t="shared" si="37"/>
        <v>1</v>
      </c>
      <c r="AC61" s="4">
        <f t="shared" si="38"/>
        <v>2.5</v>
      </c>
      <c r="AD61" s="4">
        <f t="shared" si="39"/>
        <v>2.5</v>
      </c>
      <c r="AE61" s="4">
        <f t="shared" si="40"/>
        <v>15.600000000000001</v>
      </c>
      <c r="AF61" s="4">
        <f>IF(AND($AD61="",$I61=""),"",_xlfn.MAXIFS($AG$1:$AG60,$A$1:$A60,$A61)+1)</f>
        <v>27</v>
      </c>
      <c r="AG61" s="4">
        <f t="shared" si="41"/>
        <v>29</v>
      </c>
      <c r="AH61" s="4">
        <f t="shared" si="42"/>
        <v>1</v>
      </c>
      <c r="AI61" s="4">
        <f t="shared" si="43"/>
        <v>0</v>
      </c>
      <c r="AJ61" s="4">
        <f t="shared" si="44"/>
        <v>7</v>
      </c>
      <c r="AK61" s="4">
        <f t="shared" si="45"/>
        <v>6</v>
      </c>
      <c r="AL61" s="4" t="str">
        <f t="shared" si="46"/>
        <v>yeşil · N mavi · PE sarı-yeşil</v>
      </c>
      <c r="AM61" s="4">
        <f t="shared" si="47"/>
        <v>0</v>
      </c>
      <c r="AN61" s="4" t="str">
        <f t="shared" si="48"/>
        <v/>
      </c>
      <c r="AO61" s="4" t="str">
        <f t="shared" si="49"/>
        <v>1P</v>
      </c>
    </row>
    <row r="62" spans="1:42" x14ac:dyDescent="0.35">
      <c r="A62" s="5" t="s">
        <v>161</v>
      </c>
      <c r="B62" s="5" t="s">
        <v>608</v>
      </c>
      <c r="C62" s="5" t="s">
        <v>167</v>
      </c>
      <c r="D62" s="5" t="s">
        <v>391</v>
      </c>
      <c r="E62" s="5" t="s">
        <v>609</v>
      </c>
      <c r="F62" s="5" t="s">
        <v>459</v>
      </c>
      <c r="G62" s="6"/>
      <c r="H62" s="6"/>
      <c r="I62" s="6"/>
      <c r="J62" s="5" t="s">
        <v>610</v>
      </c>
      <c r="K62" s="5">
        <v>4</v>
      </c>
      <c r="L62" s="5" t="s">
        <v>385</v>
      </c>
      <c r="M62" s="5" t="s">
        <v>611</v>
      </c>
      <c r="N62" s="6"/>
      <c r="O62" s="6"/>
      <c r="P62" s="4" t="str">
        <f t="shared" si="25"/>
        <v>OTO</v>
      </c>
      <c r="Q62" s="4">
        <f t="shared" si="26"/>
        <v>16</v>
      </c>
      <c r="R62" s="4">
        <f t="shared" si="27"/>
        <v>1</v>
      </c>
      <c r="S62" s="4">
        <f t="shared" si="28"/>
        <v>6</v>
      </c>
      <c r="T62" s="4">
        <f t="shared" si="29"/>
        <v>1</v>
      </c>
      <c r="U62" s="4" t="str">
        <f t="shared" si="30"/>
        <v/>
      </c>
      <c r="V62" s="4">
        <f t="shared" si="31"/>
        <v>2.5</v>
      </c>
      <c r="W62" s="4">
        <f t="shared" si="32"/>
        <v>1</v>
      </c>
      <c r="X62" s="4">
        <f t="shared" si="33"/>
        <v>1</v>
      </c>
      <c r="Y62" s="4">
        <f t="shared" si="34"/>
        <v>2</v>
      </c>
      <c r="Z62" s="4">
        <f t="shared" si="35"/>
        <v>3.5999999999999996</v>
      </c>
      <c r="AA62" s="4">
        <f t="shared" si="36"/>
        <v>2</v>
      </c>
      <c r="AB62" s="4">
        <f t="shared" si="37"/>
        <v>1</v>
      </c>
      <c r="AC62" s="4">
        <f t="shared" si="38"/>
        <v>4</v>
      </c>
      <c r="AD62" s="4">
        <f t="shared" si="39"/>
        <v>4</v>
      </c>
      <c r="AE62" s="4">
        <f t="shared" si="40"/>
        <v>18.600000000000001</v>
      </c>
      <c r="AF62" s="4">
        <f>IF(AND($AD62="",$I62=""),"",_xlfn.MAXIFS($AG$1:$AG61,$A$1:$A61,$A62)+1)</f>
        <v>30</v>
      </c>
      <c r="AG62" s="4">
        <f t="shared" si="41"/>
        <v>32</v>
      </c>
      <c r="AH62" s="4">
        <f t="shared" si="42"/>
        <v>1</v>
      </c>
      <c r="AI62" s="4">
        <f t="shared" si="43"/>
        <v>0</v>
      </c>
      <c r="AJ62" s="4">
        <f t="shared" si="44"/>
        <v>7</v>
      </c>
      <c r="AK62" s="4">
        <f t="shared" si="45"/>
        <v>6</v>
      </c>
      <c r="AL62" s="4" t="str">
        <f t="shared" si="46"/>
        <v>kırmızı · N mavi · PE sarı-yeşil</v>
      </c>
      <c r="AM62" s="4">
        <f t="shared" si="47"/>
        <v>0</v>
      </c>
      <c r="AN62" s="4" t="str">
        <f t="shared" si="48"/>
        <v/>
      </c>
      <c r="AO62" s="4" t="str">
        <f t="shared" si="49"/>
        <v>1P</v>
      </c>
    </row>
    <row r="63" spans="1:42" x14ac:dyDescent="0.35">
      <c r="A63" s="5" t="s">
        <v>180</v>
      </c>
      <c r="B63" s="5" t="s">
        <v>418</v>
      </c>
      <c r="C63" s="5" t="s">
        <v>182</v>
      </c>
      <c r="D63" s="5" t="s">
        <v>381</v>
      </c>
      <c r="E63" s="5" t="s">
        <v>612</v>
      </c>
      <c r="F63" s="5" t="s">
        <v>383</v>
      </c>
      <c r="G63" s="6"/>
      <c r="H63" s="6"/>
      <c r="I63" s="6"/>
      <c r="J63" s="6"/>
      <c r="K63" s="6"/>
      <c r="L63" s="5" t="s">
        <v>385</v>
      </c>
      <c r="M63" s="5" t="s">
        <v>613</v>
      </c>
      <c r="N63" s="5" t="s">
        <v>124</v>
      </c>
      <c r="O63" s="6"/>
      <c r="P63" s="4" t="str">
        <f t="shared" si="25"/>
        <v>rubilnik</v>
      </c>
      <c r="Q63" s="4">
        <f t="shared" si="26"/>
        <v>25</v>
      </c>
      <c r="R63" s="4">
        <f t="shared" si="27"/>
        <v>3</v>
      </c>
      <c r="S63" s="4" t="str">
        <f t="shared" si="28"/>
        <v/>
      </c>
      <c r="T63" s="4">
        <f t="shared" si="29"/>
        <v>1</v>
      </c>
      <c r="U63" s="4" t="str">
        <f t="shared" si="30"/>
        <v/>
      </c>
      <c r="V63" s="4">
        <f t="shared" si="31"/>
        <v>4</v>
      </c>
      <c r="W63" s="4">
        <f t="shared" si="32"/>
        <v>1</v>
      </c>
      <c r="X63" s="4">
        <f t="shared" si="33"/>
        <v>3</v>
      </c>
      <c r="Y63" s="4" t="str">
        <f t="shared" si="34"/>
        <v/>
      </c>
      <c r="Z63" s="4">
        <f t="shared" si="35"/>
        <v>3.5999999999999996</v>
      </c>
      <c r="AA63" s="4" t="str">
        <f t="shared" si="36"/>
        <v/>
      </c>
      <c r="AB63" s="4" t="str">
        <f t="shared" si="37"/>
        <v/>
      </c>
      <c r="AC63" s="4" t="str">
        <f t="shared" si="38"/>
        <v/>
      </c>
      <c r="AD63" s="4" t="str">
        <f t="shared" si="39"/>
        <v/>
      </c>
      <c r="AE63" s="4" t="str">
        <f t="shared" si="40"/>
        <v/>
      </c>
      <c r="AF63" s="4" t="str">
        <f>IF(AND($AD63="",$I63=""),"",_xlfn.MAXIFS($AG$1:$AG62,$A$1:$A62,$A63)+1)</f>
        <v/>
      </c>
      <c r="AG63" s="4" t="str">
        <f t="shared" si="41"/>
        <v/>
      </c>
      <c r="AH63" s="4">
        <f t="shared" si="42"/>
        <v>3</v>
      </c>
      <c r="AI63" s="4">
        <f t="shared" si="43"/>
        <v>0</v>
      </c>
      <c r="AJ63" s="4">
        <f t="shared" si="44"/>
        <v>7</v>
      </c>
      <c r="AK63" s="4">
        <f t="shared" si="45"/>
        <v>6</v>
      </c>
      <c r="AL63" s="4" t="str">
        <f t="shared" si="46"/>
        <v>L1 sarı · L2 yeşil · L3 kırmızı · N mavi · PE sarı-yeşil</v>
      </c>
      <c r="AM63" s="4">
        <f t="shared" si="47"/>
        <v>8</v>
      </c>
      <c r="AN63" s="4" t="str">
        <f t="shared" si="48"/>
        <v/>
      </c>
      <c r="AO63" s="4" t="str">
        <f t="shared" si="49"/>
        <v>3P</v>
      </c>
      <c r="AP63" s="4" t="s">
        <v>614</v>
      </c>
    </row>
    <row r="64" spans="1:42" x14ac:dyDescent="0.35">
      <c r="A64" s="5" t="s">
        <v>180</v>
      </c>
      <c r="B64" s="5" t="s">
        <v>615</v>
      </c>
      <c r="C64" s="5" t="s">
        <v>184</v>
      </c>
      <c r="D64" s="5" t="s">
        <v>391</v>
      </c>
      <c r="E64" s="5" t="s">
        <v>616</v>
      </c>
      <c r="F64" s="5" t="s">
        <v>403</v>
      </c>
      <c r="G64" s="6"/>
      <c r="H64" s="6"/>
      <c r="I64" s="6"/>
      <c r="J64" s="5" t="s">
        <v>617</v>
      </c>
      <c r="K64" s="5">
        <v>1.5</v>
      </c>
      <c r="L64" s="5" t="s">
        <v>618</v>
      </c>
      <c r="M64" s="5" t="s">
        <v>619</v>
      </c>
      <c r="N64" s="6"/>
      <c r="O64" s="6"/>
      <c r="P64" s="4" t="str">
        <f t="shared" si="25"/>
        <v>OTO</v>
      </c>
      <c r="Q64" s="4">
        <f t="shared" si="26"/>
        <v>16</v>
      </c>
      <c r="R64" s="4">
        <f t="shared" si="27"/>
        <v>1</v>
      </c>
      <c r="S64" s="4">
        <f t="shared" si="28"/>
        <v>4.5</v>
      </c>
      <c r="T64" s="4">
        <f t="shared" si="29"/>
        <v>1</v>
      </c>
      <c r="U64" s="4" t="str">
        <f t="shared" si="30"/>
        <v/>
      </c>
      <c r="V64" s="4">
        <f t="shared" si="31"/>
        <v>2.5</v>
      </c>
      <c r="W64" s="4">
        <f t="shared" si="32"/>
        <v>1</v>
      </c>
      <c r="X64" s="4">
        <f t="shared" si="33"/>
        <v>1</v>
      </c>
      <c r="Y64" s="4">
        <f t="shared" si="34"/>
        <v>2</v>
      </c>
      <c r="Z64" s="4">
        <f t="shared" si="35"/>
        <v>3.5999999999999996</v>
      </c>
      <c r="AA64" s="4">
        <f t="shared" si="36"/>
        <v>2</v>
      </c>
      <c r="AB64" s="4">
        <f t="shared" si="37"/>
        <v>1</v>
      </c>
      <c r="AC64" s="4">
        <f t="shared" si="38"/>
        <v>2.5</v>
      </c>
      <c r="AD64" s="4">
        <f t="shared" si="39"/>
        <v>2.5</v>
      </c>
      <c r="AE64" s="4">
        <f t="shared" si="40"/>
        <v>15.600000000000001</v>
      </c>
      <c r="AF64" s="4">
        <f>IF(AND($AD64="",$I64=""),"",_xlfn.MAXIFS($AG$1:$AG63,$A$1:$A63,$A64)+1)</f>
        <v>1</v>
      </c>
      <c r="AG64" s="4">
        <f t="shared" si="41"/>
        <v>3</v>
      </c>
      <c r="AH64" s="4">
        <f t="shared" si="42"/>
        <v>1</v>
      </c>
      <c r="AI64" s="4">
        <f t="shared" si="43"/>
        <v>0</v>
      </c>
      <c r="AJ64" s="4">
        <f t="shared" si="44"/>
        <v>7</v>
      </c>
      <c r="AK64" s="4">
        <f t="shared" si="45"/>
        <v>6</v>
      </c>
      <c r="AL64" s="4" t="str">
        <f t="shared" si="46"/>
        <v>sarı · N mavi · PE sarı-yeşil</v>
      </c>
      <c r="AM64" s="4">
        <f t="shared" si="47"/>
        <v>6</v>
      </c>
      <c r="AN64" s="4" t="str">
        <f t="shared" si="48"/>
        <v/>
      </c>
      <c r="AO64" s="4" t="str">
        <f t="shared" si="49"/>
        <v>1P</v>
      </c>
    </row>
    <row r="65" spans="1:41" x14ac:dyDescent="0.35">
      <c r="A65" s="5" t="s">
        <v>180</v>
      </c>
      <c r="B65" s="5" t="s">
        <v>620</v>
      </c>
      <c r="C65" s="5" t="s">
        <v>184</v>
      </c>
      <c r="D65" s="5" t="s">
        <v>391</v>
      </c>
      <c r="E65" s="5" t="s">
        <v>621</v>
      </c>
      <c r="F65" s="5" t="s">
        <v>453</v>
      </c>
      <c r="G65" s="6"/>
      <c r="H65" s="6"/>
      <c r="I65" s="6"/>
      <c r="J65" s="5" t="s">
        <v>617</v>
      </c>
      <c r="K65" s="5">
        <v>1.5</v>
      </c>
      <c r="L65" s="5" t="s">
        <v>618</v>
      </c>
      <c r="M65" s="5" t="s">
        <v>622</v>
      </c>
      <c r="N65" s="6"/>
      <c r="O65" s="6"/>
      <c r="P65" s="4" t="str">
        <f t="shared" si="25"/>
        <v>OTO</v>
      </c>
      <c r="Q65" s="4">
        <f t="shared" si="26"/>
        <v>16</v>
      </c>
      <c r="R65" s="4">
        <f t="shared" si="27"/>
        <v>1</v>
      </c>
      <c r="S65" s="4">
        <f t="shared" si="28"/>
        <v>4.5</v>
      </c>
      <c r="T65" s="4">
        <f t="shared" si="29"/>
        <v>1</v>
      </c>
      <c r="U65" s="4" t="str">
        <f t="shared" si="30"/>
        <v/>
      </c>
      <c r="V65" s="4">
        <f t="shared" si="31"/>
        <v>2.5</v>
      </c>
      <c r="W65" s="4">
        <f t="shared" si="32"/>
        <v>1</v>
      </c>
      <c r="X65" s="4">
        <f t="shared" si="33"/>
        <v>1</v>
      </c>
      <c r="Y65" s="4">
        <f t="shared" si="34"/>
        <v>2</v>
      </c>
      <c r="Z65" s="4">
        <f t="shared" si="35"/>
        <v>3.5999999999999996</v>
      </c>
      <c r="AA65" s="4">
        <f t="shared" si="36"/>
        <v>2</v>
      </c>
      <c r="AB65" s="4">
        <f t="shared" si="37"/>
        <v>1</v>
      </c>
      <c r="AC65" s="4">
        <f t="shared" si="38"/>
        <v>2.5</v>
      </c>
      <c r="AD65" s="4">
        <f t="shared" si="39"/>
        <v>2.5</v>
      </c>
      <c r="AE65" s="4">
        <f t="shared" si="40"/>
        <v>15.600000000000001</v>
      </c>
      <c r="AF65" s="4">
        <f>IF(AND($AD65="",$I65=""),"",_xlfn.MAXIFS($AG$1:$AG64,$A$1:$A64,$A65)+1)</f>
        <v>4</v>
      </c>
      <c r="AG65" s="4">
        <f t="shared" si="41"/>
        <v>6</v>
      </c>
      <c r="AH65" s="4">
        <f t="shared" si="42"/>
        <v>1</v>
      </c>
      <c r="AI65" s="4">
        <f t="shared" si="43"/>
        <v>0</v>
      </c>
      <c r="AJ65" s="4">
        <f t="shared" si="44"/>
        <v>7</v>
      </c>
      <c r="AK65" s="4">
        <f t="shared" si="45"/>
        <v>6</v>
      </c>
      <c r="AL65" s="4" t="str">
        <f t="shared" si="46"/>
        <v>yeşil · N mavi · PE sarı-yeşil</v>
      </c>
      <c r="AM65" s="4">
        <f t="shared" si="47"/>
        <v>6</v>
      </c>
      <c r="AN65" s="4" t="str">
        <f t="shared" si="48"/>
        <v/>
      </c>
      <c r="AO65" s="4" t="str">
        <f t="shared" si="49"/>
        <v>1P</v>
      </c>
    </row>
    <row r="66" spans="1:41" x14ac:dyDescent="0.35">
      <c r="A66" s="5" t="s">
        <v>180</v>
      </c>
      <c r="B66" s="5" t="s">
        <v>623</v>
      </c>
      <c r="C66" s="5" t="s">
        <v>184</v>
      </c>
      <c r="D66" s="5" t="s">
        <v>391</v>
      </c>
      <c r="E66" s="5" t="s">
        <v>624</v>
      </c>
      <c r="F66" s="5" t="s">
        <v>459</v>
      </c>
      <c r="G66" s="6"/>
      <c r="H66" s="6"/>
      <c r="I66" s="6"/>
      <c r="J66" s="5" t="s">
        <v>617</v>
      </c>
      <c r="K66" s="5">
        <v>1.5</v>
      </c>
      <c r="L66" s="5" t="s">
        <v>618</v>
      </c>
      <c r="M66" s="5" t="s">
        <v>625</v>
      </c>
      <c r="N66" s="6"/>
      <c r="O66" s="6"/>
      <c r="P66" s="4" t="str">
        <f t="shared" ref="P66:P86" si="50">IF($C66="","",INDEX(FIYAT_TIP,MATCH($C66,FIYAT_KOD,0)))</f>
        <v>OTO</v>
      </c>
      <c r="Q66" s="4">
        <f t="shared" ref="Q66:Q86" si="51">IF($C66="","",IF(INDEX(FIYAT_IN,MATCH($C66,FIYAT_KOD,0))="","",INDEX(FIYAT_IN,MATCH($C66,FIYAT_KOD,0))))</f>
        <v>16</v>
      </c>
      <c r="R66" s="4">
        <f t="shared" ref="R66:R86" si="52">IF($C66="","",IF(INDEX(FIYAT_KUTUP,MATCH($C66,FIYAT_KOD,0))="","",INDEX(FIYAT_KUTUP,MATCH($C66,FIYAT_KOD,0))))</f>
        <v>1</v>
      </c>
      <c r="S66" s="4">
        <f t="shared" ref="S66:S86" si="53">IF($C66="","",IF(INDEX(FIYAT_KA,MATCH($C66,FIYAT_KOD,0))="","",INDEX(FIYAT_KA,MATCH($C66,FIYAT_KOD,0))))</f>
        <v>4.5</v>
      </c>
      <c r="T66" s="4">
        <f t="shared" ref="T66:T86" si="54">IF($C66="","",IF(AND($P66="fu",$F66="L123"),3,1))</f>
        <v>1</v>
      </c>
      <c r="U66" s="4" t="str">
        <f t="shared" ref="U66:U86" si="55">IF($H66="","",IF($D66="OLCU",3,IF(IF(INDEX(FIYAT_KUTUP,MATCH($H66,FIYAT_KOD,0))="","",INDEX(FIYAT_KUTUP,MATCH($H66,FIYAT_KOD,0)))="","",$T66/IF(INDEX(FIYAT_KUTUP,MATCH($H66,FIYAT_KOD,0))="","",INDEX(FIYAT_KUTUP,MATCH($H66,FIYAT_KOD,0))))))</f>
        <v/>
      </c>
      <c r="V66" s="4">
        <f t="shared" ref="V66:V86" si="56">IF(OR($D66="YEDEK",$C66=""),"",IF($D66="KUMANDA",KUMANDA_KESIT,IF($D66="OLCU",OLCU_KESIT,IF(OR($Q66="",$Q66&gt;KABLO_MAX_A,AND($D66="ANA",$Q66&gt;KOPRU_KABLO_MAX_A)),"",INDEX(KABLO_KESIT,MATCH($Q66,KABLO_IN_ALT,1))))))</f>
        <v>2.5</v>
      </c>
      <c r="W66" s="4">
        <f t="shared" ref="W66:W86" si="57">IF($V66="","",IF(OR($Q66="",$D66&lt;&gt;"CIKIS"),1,INDEX(KABLO_PARALEL,MATCH($Q66,KABLO_IN_ALT,1))))</f>
        <v>1</v>
      </c>
      <c r="X66" s="4">
        <f t="shared" ref="X66:X86" si="58">IF($V66="","",IF($R66="",1,$R66)*$W66)</f>
        <v>1</v>
      </c>
      <c r="Y66" s="4">
        <f t="shared" ref="Y66:Y86" si="59">IF(OR($D66&lt;&gt;"CIKIS",$V66=""),"",IF(NPE_YOLU="KLEMENS",IF($G66="YOK",0,IF(OR($R66=1,$R66=3),1,0))+1,0)*$W66)</f>
        <v>2</v>
      </c>
      <c r="Z66" s="4">
        <f t="shared" ref="Z66:Z86" si="60">IF($V66="","",IF($D66="OLCU",KABLO_M_SAYAC+3*2*KABLO_M_AT,IF($D66="KUMANDA",$X66*KABLO_M_KUMANDA,($X66+IF($Y66="",0,$Y66))*IF($P66="TMŞ",KABLO_M_MCCB,KABLO_M_MODULER))))</f>
        <v>3.5999999999999996</v>
      </c>
      <c r="AA66" s="4">
        <f t="shared" ref="AA66:AA86" si="61">IF(OR($D66&lt;&gt;"CIKIS",$V66=""),"",$R66+IF(NPE_YOLU="KLEMENS",IF($G66="YOK",0,IF(OR($R66=1,$R66=3),1,0)),0))</f>
        <v>2</v>
      </c>
      <c r="AB66" s="4">
        <f t="shared" ref="AB66:AB86" si="62">IF($AA66="","",IF(NPE_YOLU="KLEMENS",1,0))</f>
        <v>1</v>
      </c>
      <c r="AC66" s="4">
        <f t="shared" ref="AC66:AC86" si="63">IF($AA66="","",MAX($V66,IF($K66="",0,$K66)))</f>
        <v>2.5</v>
      </c>
      <c r="AD66" s="4">
        <f t="shared" ref="AD66:AD86" si="64">IF($AA66="","",IF(INDEX(KLEMENS_KLEM,MATCH($AC66,KLEMENS_ALT,1))="","",INDEX(KLEMENS_KLEM,MATCH($AC66,KLEMENS_ALT,1))))</f>
        <v>2.5</v>
      </c>
      <c r="AE66" s="4">
        <f t="shared" ref="AE66:AE86" si="65">IF(AND($AD66="",$I66=""),"",IF($AD66="",0,($AA66+$AB66)*INDEX(KLEMENS_MM,MATCH($AC66,KLEMENS_ALT,1)))+IF($I66="",0,$I66*INDEX(KLEMENS_MM,MATCH(SINYAL_KLEMENS_KESIT,KLEMENS_KLEM,0))))</f>
        <v>15.600000000000001</v>
      </c>
      <c r="AF66" s="4">
        <f>IF(AND($AD66="",$I66=""),"",_xlfn.MAXIFS($AG$1:$AG65,$A$1:$A65,$A66)+1)</f>
        <v>7</v>
      </c>
      <c r="AG66" s="4">
        <f t="shared" ref="AG66:AG86" si="66">IF($AF66="","",$AF66+IF($AD66="",0,$AA66+$AB66)+IF($I66="",0,$I66)-1)</f>
        <v>9</v>
      </c>
      <c r="AH66" s="4">
        <f t="shared" ref="AH66:AH86" si="67">IF($C66="","",IF(IF(INDEX(FIYAT_MODUL,MATCH($C66,FIYAT_KOD,0))="","",INDEX(FIYAT_MODUL,MATCH($C66,FIYAT_KOD,0)))="","",IF(INDEX(FIYAT_MODUL,MATCH($C66,FIYAT_KOD,0))="","",INDEX(FIYAT_MODUL,MATCH($C66,FIYAT_KOD,0)))*$T66))</f>
        <v>1</v>
      </c>
      <c r="AI66" s="4">
        <f t="shared" ref="AI66:AI86" si="68">IF($V66="","",IF($V66&gt;=PABUC_ESIK_MM2,($X66+IF($Y66="",0,$Y66))*2,0))</f>
        <v>0</v>
      </c>
      <c r="AJ66" s="4">
        <f t="shared" ref="AJ66:AJ86" si="69">IF($V66="","",IF($V66&lt;=YUKSUK_ESIK_MM2,ROUNDUP(($X66+IF($Y66="",0,$Y66))*2*YUKSUK_FIRE,0),0))</f>
        <v>7</v>
      </c>
      <c r="AK66" s="4">
        <f t="shared" ref="AK66:AK86" si="70">IF($V66="","",($X66+IF($Y66="",0,$Y66))*2)</f>
        <v>6</v>
      </c>
      <c r="AL66" s="4" t="str">
        <f t="shared" ref="AL66:AL86" si="71">IF($V66="","",IF($D66="KUMANDA","siyah (AC) / mavi-kırmızı (DC)",IF($F66="L123","L1 sarı · L2 yeşil · L3 kırmızı",IF($F66="L1","sarı",IF($F66="L2","yeşil",IF($F66="L3","kırmızı",""))))&amp;IF($G66="YOK",""," · N mavi")&amp;" · PE sarı-yeşil"))</f>
        <v>kırmızı · N mavi · PE sarı-yeşil</v>
      </c>
      <c r="AM66" s="4">
        <f t="shared" ref="AM66:AM86" si="72">MAX(IF($N66="",0,INDEX(DURUM_SEV,MATCH($N66,DURUM_LIST,0))),IF($L66="",0,INDEX(KAYNAK_SEV,MATCH($L66,KAYNAK_TIPI_LIST,0))))</f>
        <v>6</v>
      </c>
      <c r="AN66" s="4" t="str">
        <f t="shared" ref="AN66:AN86" si="73">IF(OR($C66="",$O66="EVET",$P66="rubilnik",$P66="fu",AND($D66&lt;&gt;"ANA",$D66&lt;&gt;"CIKIS")),"",IF(INDEX(PANO_ICU,MATCH($A66,PANO_ID,0))="","",IF(OR($S66="",$S66&lt;INDEX(PANO_ICU,MATCH($A66,PANO_ID,0))),1,0)))</f>
        <v/>
      </c>
      <c r="AO66" s="4" t="str">
        <f t="shared" ref="AO66:AO86" si="74">IF($C66="","",IF(INDEX(FIYAT_KUTUP_AD,MATCH($C66,FIYAT_KOD,0))="","",INDEX(FIYAT_KUTUP_AD,MATCH($C66,FIYAT_KOD,0))))</f>
        <v>1P</v>
      </c>
    </row>
    <row r="67" spans="1:41" x14ac:dyDescent="0.35">
      <c r="A67" s="5" t="s">
        <v>180</v>
      </c>
      <c r="B67" s="5" t="s">
        <v>626</v>
      </c>
      <c r="C67" s="5" t="s">
        <v>184</v>
      </c>
      <c r="D67" s="5" t="s">
        <v>391</v>
      </c>
      <c r="E67" s="5" t="s">
        <v>627</v>
      </c>
      <c r="F67" s="5" t="s">
        <v>403</v>
      </c>
      <c r="G67" s="6"/>
      <c r="H67" s="6"/>
      <c r="I67" s="6"/>
      <c r="J67" s="5" t="s">
        <v>617</v>
      </c>
      <c r="K67" s="5">
        <v>1.5</v>
      </c>
      <c r="L67" s="5" t="s">
        <v>618</v>
      </c>
      <c r="M67" s="5" t="s">
        <v>628</v>
      </c>
      <c r="N67" s="6"/>
      <c r="O67" s="6"/>
      <c r="P67" s="4" t="str">
        <f t="shared" si="50"/>
        <v>OTO</v>
      </c>
      <c r="Q67" s="4">
        <f t="shared" si="51"/>
        <v>16</v>
      </c>
      <c r="R67" s="4">
        <f t="shared" si="52"/>
        <v>1</v>
      </c>
      <c r="S67" s="4">
        <f t="shared" si="53"/>
        <v>4.5</v>
      </c>
      <c r="T67" s="4">
        <f t="shared" si="54"/>
        <v>1</v>
      </c>
      <c r="U67" s="4" t="str">
        <f t="shared" si="55"/>
        <v/>
      </c>
      <c r="V67" s="4">
        <f t="shared" si="56"/>
        <v>2.5</v>
      </c>
      <c r="W67" s="4">
        <f t="shared" si="57"/>
        <v>1</v>
      </c>
      <c r="X67" s="4">
        <f t="shared" si="58"/>
        <v>1</v>
      </c>
      <c r="Y67" s="4">
        <f t="shared" si="59"/>
        <v>2</v>
      </c>
      <c r="Z67" s="4">
        <f t="shared" si="60"/>
        <v>3.5999999999999996</v>
      </c>
      <c r="AA67" s="4">
        <f t="shared" si="61"/>
        <v>2</v>
      </c>
      <c r="AB67" s="4">
        <f t="shared" si="62"/>
        <v>1</v>
      </c>
      <c r="AC67" s="4">
        <f t="shared" si="63"/>
        <v>2.5</v>
      </c>
      <c r="AD67" s="4">
        <f t="shared" si="64"/>
        <v>2.5</v>
      </c>
      <c r="AE67" s="4">
        <f t="shared" si="65"/>
        <v>15.600000000000001</v>
      </c>
      <c r="AF67" s="4">
        <f>IF(AND($AD67="",$I67=""),"",_xlfn.MAXIFS($AG$1:$AG66,$A$1:$A66,$A67)+1)</f>
        <v>10</v>
      </c>
      <c r="AG67" s="4">
        <f t="shared" si="66"/>
        <v>12</v>
      </c>
      <c r="AH67" s="4">
        <f t="shared" si="67"/>
        <v>1</v>
      </c>
      <c r="AI67" s="4">
        <f t="shared" si="68"/>
        <v>0</v>
      </c>
      <c r="AJ67" s="4">
        <f t="shared" si="69"/>
        <v>7</v>
      </c>
      <c r="AK67" s="4">
        <f t="shared" si="70"/>
        <v>6</v>
      </c>
      <c r="AL67" s="4" t="str">
        <f t="shared" si="71"/>
        <v>sarı · N mavi · PE sarı-yeşil</v>
      </c>
      <c r="AM67" s="4">
        <f t="shared" si="72"/>
        <v>6</v>
      </c>
      <c r="AN67" s="4" t="str">
        <f t="shared" si="73"/>
        <v/>
      </c>
      <c r="AO67" s="4" t="str">
        <f t="shared" si="74"/>
        <v>1P</v>
      </c>
    </row>
    <row r="68" spans="1:41" x14ac:dyDescent="0.35">
      <c r="A68" s="5" t="s">
        <v>180</v>
      </c>
      <c r="B68" s="5" t="s">
        <v>629</v>
      </c>
      <c r="C68" s="5" t="s">
        <v>184</v>
      </c>
      <c r="D68" s="5" t="s">
        <v>391</v>
      </c>
      <c r="E68" s="5" t="s">
        <v>630</v>
      </c>
      <c r="F68" s="5" t="s">
        <v>453</v>
      </c>
      <c r="G68" s="6"/>
      <c r="H68" s="6"/>
      <c r="I68" s="6"/>
      <c r="J68" s="5" t="s">
        <v>617</v>
      </c>
      <c r="K68" s="5">
        <v>1.5</v>
      </c>
      <c r="L68" s="5" t="s">
        <v>618</v>
      </c>
      <c r="M68" s="5" t="s">
        <v>631</v>
      </c>
      <c r="N68" s="6"/>
      <c r="O68" s="6"/>
      <c r="P68" s="4" t="str">
        <f t="shared" si="50"/>
        <v>OTO</v>
      </c>
      <c r="Q68" s="4">
        <f t="shared" si="51"/>
        <v>16</v>
      </c>
      <c r="R68" s="4">
        <f t="shared" si="52"/>
        <v>1</v>
      </c>
      <c r="S68" s="4">
        <f t="shared" si="53"/>
        <v>4.5</v>
      </c>
      <c r="T68" s="4">
        <f t="shared" si="54"/>
        <v>1</v>
      </c>
      <c r="U68" s="4" t="str">
        <f t="shared" si="55"/>
        <v/>
      </c>
      <c r="V68" s="4">
        <f t="shared" si="56"/>
        <v>2.5</v>
      </c>
      <c r="W68" s="4">
        <f t="shared" si="57"/>
        <v>1</v>
      </c>
      <c r="X68" s="4">
        <f t="shared" si="58"/>
        <v>1</v>
      </c>
      <c r="Y68" s="4">
        <f t="shared" si="59"/>
        <v>2</v>
      </c>
      <c r="Z68" s="4">
        <f t="shared" si="60"/>
        <v>3.5999999999999996</v>
      </c>
      <c r="AA68" s="4">
        <f t="shared" si="61"/>
        <v>2</v>
      </c>
      <c r="AB68" s="4">
        <f t="shared" si="62"/>
        <v>1</v>
      </c>
      <c r="AC68" s="4">
        <f t="shared" si="63"/>
        <v>2.5</v>
      </c>
      <c r="AD68" s="4">
        <f t="shared" si="64"/>
        <v>2.5</v>
      </c>
      <c r="AE68" s="4">
        <f t="shared" si="65"/>
        <v>15.600000000000001</v>
      </c>
      <c r="AF68" s="4">
        <f>IF(AND($AD68="",$I68=""),"",_xlfn.MAXIFS($AG$1:$AG67,$A$1:$A67,$A68)+1)</f>
        <v>13</v>
      </c>
      <c r="AG68" s="4">
        <f t="shared" si="66"/>
        <v>15</v>
      </c>
      <c r="AH68" s="4">
        <f t="shared" si="67"/>
        <v>1</v>
      </c>
      <c r="AI68" s="4">
        <f t="shared" si="68"/>
        <v>0</v>
      </c>
      <c r="AJ68" s="4">
        <f t="shared" si="69"/>
        <v>7</v>
      </c>
      <c r="AK68" s="4">
        <f t="shared" si="70"/>
        <v>6</v>
      </c>
      <c r="AL68" s="4" t="str">
        <f t="shared" si="71"/>
        <v>yeşil · N mavi · PE sarı-yeşil</v>
      </c>
      <c r="AM68" s="4">
        <f t="shared" si="72"/>
        <v>6</v>
      </c>
      <c r="AN68" s="4" t="str">
        <f t="shared" si="73"/>
        <v/>
      </c>
      <c r="AO68" s="4" t="str">
        <f t="shared" si="74"/>
        <v>1P</v>
      </c>
    </row>
    <row r="69" spans="1:41" x14ac:dyDescent="0.35">
      <c r="A69" s="5" t="s">
        <v>180</v>
      </c>
      <c r="B69" s="5" t="s">
        <v>632</v>
      </c>
      <c r="C69" s="5" t="s">
        <v>184</v>
      </c>
      <c r="D69" s="5" t="s">
        <v>391</v>
      </c>
      <c r="E69" s="5" t="s">
        <v>633</v>
      </c>
      <c r="F69" s="5" t="s">
        <v>459</v>
      </c>
      <c r="G69" s="6"/>
      <c r="H69" s="6"/>
      <c r="I69" s="6"/>
      <c r="J69" s="5" t="s">
        <v>617</v>
      </c>
      <c r="K69" s="5">
        <v>1.5</v>
      </c>
      <c r="L69" s="5" t="s">
        <v>618</v>
      </c>
      <c r="M69" s="5" t="s">
        <v>634</v>
      </c>
      <c r="N69" s="6"/>
      <c r="O69" s="6"/>
      <c r="P69" s="4" t="str">
        <f t="shared" si="50"/>
        <v>OTO</v>
      </c>
      <c r="Q69" s="4">
        <f t="shared" si="51"/>
        <v>16</v>
      </c>
      <c r="R69" s="4">
        <f t="shared" si="52"/>
        <v>1</v>
      </c>
      <c r="S69" s="4">
        <f t="shared" si="53"/>
        <v>4.5</v>
      </c>
      <c r="T69" s="4">
        <f t="shared" si="54"/>
        <v>1</v>
      </c>
      <c r="U69" s="4" t="str">
        <f t="shared" si="55"/>
        <v/>
      </c>
      <c r="V69" s="4">
        <f t="shared" si="56"/>
        <v>2.5</v>
      </c>
      <c r="W69" s="4">
        <f t="shared" si="57"/>
        <v>1</v>
      </c>
      <c r="X69" s="4">
        <f t="shared" si="58"/>
        <v>1</v>
      </c>
      <c r="Y69" s="4">
        <f t="shared" si="59"/>
        <v>2</v>
      </c>
      <c r="Z69" s="4">
        <f t="shared" si="60"/>
        <v>3.5999999999999996</v>
      </c>
      <c r="AA69" s="4">
        <f t="shared" si="61"/>
        <v>2</v>
      </c>
      <c r="AB69" s="4">
        <f t="shared" si="62"/>
        <v>1</v>
      </c>
      <c r="AC69" s="4">
        <f t="shared" si="63"/>
        <v>2.5</v>
      </c>
      <c r="AD69" s="4">
        <f t="shared" si="64"/>
        <v>2.5</v>
      </c>
      <c r="AE69" s="4">
        <f t="shared" si="65"/>
        <v>15.600000000000001</v>
      </c>
      <c r="AF69" s="4">
        <f>IF(AND($AD69="",$I69=""),"",_xlfn.MAXIFS($AG$1:$AG68,$A$1:$A68,$A69)+1)</f>
        <v>16</v>
      </c>
      <c r="AG69" s="4">
        <f t="shared" si="66"/>
        <v>18</v>
      </c>
      <c r="AH69" s="4">
        <f t="shared" si="67"/>
        <v>1</v>
      </c>
      <c r="AI69" s="4">
        <f t="shared" si="68"/>
        <v>0</v>
      </c>
      <c r="AJ69" s="4">
        <f t="shared" si="69"/>
        <v>7</v>
      </c>
      <c r="AK69" s="4">
        <f t="shared" si="70"/>
        <v>6</v>
      </c>
      <c r="AL69" s="4" t="str">
        <f t="shared" si="71"/>
        <v>kırmızı · N mavi · PE sarı-yeşil</v>
      </c>
      <c r="AM69" s="4">
        <f t="shared" si="72"/>
        <v>6</v>
      </c>
      <c r="AN69" s="4" t="str">
        <f t="shared" si="73"/>
        <v/>
      </c>
      <c r="AO69" s="4" t="str">
        <f t="shared" si="74"/>
        <v>1P</v>
      </c>
    </row>
    <row r="70" spans="1:41" x14ac:dyDescent="0.35">
      <c r="A70" s="5" t="s">
        <v>180</v>
      </c>
      <c r="B70" s="5" t="s">
        <v>635</v>
      </c>
      <c r="C70" s="5" t="s">
        <v>184</v>
      </c>
      <c r="D70" s="5" t="s">
        <v>391</v>
      </c>
      <c r="E70" s="5" t="s">
        <v>636</v>
      </c>
      <c r="F70" s="5" t="s">
        <v>403</v>
      </c>
      <c r="G70" s="6"/>
      <c r="H70" s="6"/>
      <c r="I70" s="6"/>
      <c r="J70" s="5" t="s">
        <v>617</v>
      </c>
      <c r="K70" s="5">
        <v>1.5</v>
      </c>
      <c r="L70" s="5" t="s">
        <v>618</v>
      </c>
      <c r="M70" s="5" t="s">
        <v>637</v>
      </c>
      <c r="N70" s="6"/>
      <c r="O70" s="6"/>
      <c r="P70" s="4" t="str">
        <f t="shared" si="50"/>
        <v>OTO</v>
      </c>
      <c r="Q70" s="4">
        <f t="shared" si="51"/>
        <v>16</v>
      </c>
      <c r="R70" s="4">
        <f t="shared" si="52"/>
        <v>1</v>
      </c>
      <c r="S70" s="4">
        <f t="shared" si="53"/>
        <v>4.5</v>
      </c>
      <c r="T70" s="4">
        <f t="shared" si="54"/>
        <v>1</v>
      </c>
      <c r="U70" s="4" t="str">
        <f t="shared" si="55"/>
        <v/>
      </c>
      <c r="V70" s="4">
        <f t="shared" si="56"/>
        <v>2.5</v>
      </c>
      <c r="W70" s="4">
        <f t="shared" si="57"/>
        <v>1</v>
      </c>
      <c r="X70" s="4">
        <f t="shared" si="58"/>
        <v>1</v>
      </c>
      <c r="Y70" s="4">
        <f t="shared" si="59"/>
        <v>2</v>
      </c>
      <c r="Z70" s="4">
        <f t="shared" si="60"/>
        <v>3.5999999999999996</v>
      </c>
      <c r="AA70" s="4">
        <f t="shared" si="61"/>
        <v>2</v>
      </c>
      <c r="AB70" s="4">
        <f t="shared" si="62"/>
        <v>1</v>
      </c>
      <c r="AC70" s="4">
        <f t="shared" si="63"/>
        <v>2.5</v>
      </c>
      <c r="AD70" s="4">
        <f t="shared" si="64"/>
        <v>2.5</v>
      </c>
      <c r="AE70" s="4">
        <f t="shared" si="65"/>
        <v>15.600000000000001</v>
      </c>
      <c r="AF70" s="4">
        <f>IF(AND($AD70="",$I70=""),"",_xlfn.MAXIFS($AG$1:$AG69,$A$1:$A69,$A70)+1)</f>
        <v>19</v>
      </c>
      <c r="AG70" s="4">
        <f t="shared" si="66"/>
        <v>21</v>
      </c>
      <c r="AH70" s="4">
        <f t="shared" si="67"/>
        <v>1</v>
      </c>
      <c r="AI70" s="4">
        <f t="shared" si="68"/>
        <v>0</v>
      </c>
      <c r="AJ70" s="4">
        <f t="shared" si="69"/>
        <v>7</v>
      </c>
      <c r="AK70" s="4">
        <f t="shared" si="70"/>
        <v>6</v>
      </c>
      <c r="AL70" s="4" t="str">
        <f t="shared" si="71"/>
        <v>sarı · N mavi · PE sarı-yeşil</v>
      </c>
      <c r="AM70" s="4">
        <f t="shared" si="72"/>
        <v>6</v>
      </c>
      <c r="AN70" s="4" t="str">
        <f t="shared" si="73"/>
        <v/>
      </c>
      <c r="AO70" s="4" t="str">
        <f t="shared" si="74"/>
        <v>1P</v>
      </c>
    </row>
    <row r="71" spans="1:41" x14ac:dyDescent="0.35">
      <c r="A71" s="5" t="s">
        <v>180</v>
      </c>
      <c r="B71" s="5" t="s">
        <v>638</v>
      </c>
      <c r="C71" s="5" t="s">
        <v>184</v>
      </c>
      <c r="D71" s="5" t="s">
        <v>391</v>
      </c>
      <c r="E71" s="5" t="s">
        <v>639</v>
      </c>
      <c r="F71" s="5" t="s">
        <v>453</v>
      </c>
      <c r="G71" s="6"/>
      <c r="H71" s="6"/>
      <c r="I71" s="6"/>
      <c r="J71" s="5" t="s">
        <v>617</v>
      </c>
      <c r="K71" s="5">
        <v>1.5</v>
      </c>
      <c r="L71" s="5" t="s">
        <v>618</v>
      </c>
      <c r="M71" s="5" t="s">
        <v>640</v>
      </c>
      <c r="N71" s="6"/>
      <c r="O71" s="6"/>
      <c r="P71" s="4" t="str">
        <f t="shared" si="50"/>
        <v>OTO</v>
      </c>
      <c r="Q71" s="4">
        <f t="shared" si="51"/>
        <v>16</v>
      </c>
      <c r="R71" s="4">
        <f t="shared" si="52"/>
        <v>1</v>
      </c>
      <c r="S71" s="4">
        <f t="shared" si="53"/>
        <v>4.5</v>
      </c>
      <c r="T71" s="4">
        <f t="shared" si="54"/>
        <v>1</v>
      </c>
      <c r="U71" s="4" t="str">
        <f t="shared" si="55"/>
        <v/>
      </c>
      <c r="V71" s="4">
        <f t="shared" si="56"/>
        <v>2.5</v>
      </c>
      <c r="W71" s="4">
        <f t="shared" si="57"/>
        <v>1</v>
      </c>
      <c r="X71" s="4">
        <f t="shared" si="58"/>
        <v>1</v>
      </c>
      <c r="Y71" s="4">
        <f t="shared" si="59"/>
        <v>2</v>
      </c>
      <c r="Z71" s="4">
        <f t="shared" si="60"/>
        <v>3.5999999999999996</v>
      </c>
      <c r="AA71" s="4">
        <f t="shared" si="61"/>
        <v>2</v>
      </c>
      <c r="AB71" s="4">
        <f t="shared" si="62"/>
        <v>1</v>
      </c>
      <c r="AC71" s="4">
        <f t="shared" si="63"/>
        <v>2.5</v>
      </c>
      <c r="AD71" s="4">
        <f t="shared" si="64"/>
        <v>2.5</v>
      </c>
      <c r="AE71" s="4">
        <f t="shared" si="65"/>
        <v>15.600000000000001</v>
      </c>
      <c r="AF71" s="4">
        <f>IF(AND($AD71="",$I71=""),"",_xlfn.MAXIFS($AG$1:$AG70,$A$1:$A70,$A71)+1)</f>
        <v>22</v>
      </c>
      <c r="AG71" s="4">
        <f t="shared" si="66"/>
        <v>24</v>
      </c>
      <c r="AH71" s="4">
        <f t="shared" si="67"/>
        <v>1</v>
      </c>
      <c r="AI71" s="4">
        <f t="shared" si="68"/>
        <v>0</v>
      </c>
      <c r="AJ71" s="4">
        <f t="shared" si="69"/>
        <v>7</v>
      </c>
      <c r="AK71" s="4">
        <f t="shared" si="70"/>
        <v>6</v>
      </c>
      <c r="AL71" s="4" t="str">
        <f t="shared" si="71"/>
        <v>yeşil · N mavi · PE sarı-yeşil</v>
      </c>
      <c r="AM71" s="4">
        <f t="shared" si="72"/>
        <v>6</v>
      </c>
      <c r="AN71" s="4" t="str">
        <f t="shared" si="73"/>
        <v/>
      </c>
      <c r="AO71" s="4" t="str">
        <f t="shared" si="74"/>
        <v>1P</v>
      </c>
    </row>
    <row r="72" spans="1:41" x14ac:dyDescent="0.35">
      <c r="A72" s="5" t="s">
        <v>180</v>
      </c>
      <c r="B72" s="5" t="s">
        <v>641</v>
      </c>
      <c r="C72" s="5" t="s">
        <v>184</v>
      </c>
      <c r="D72" s="5" t="s">
        <v>391</v>
      </c>
      <c r="E72" s="5" t="s">
        <v>642</v>
      </c>
      <c r="F72" s="5" t="s">
        <v>459</v>
      </c>
      <c r="G72" s="6"/>
      <c r="H72" s="6"/>
      <c r="I72" s="6"/>
      <c r="J72" s="5" t="s">
        <v>617</v>
      </c>
      <c r="K72" s="5">
        <v>1.5</v>
      </c>
      <c r="L72" s="5" t="s">
        <v>618</v>
      </c>
      <c r="M72" s="5" t="s">
        <v>643</v>
      </c>
      <c r="N72" s="6"/>
      <c r="O72" s="6"/>
      <c r="P72" s="4" t="str">
        <f t="shared" si="50"/>
        <v>OTO</v>
      </c>
      <c r="Q72" s="4">
        <f t="shared" si="51"/>
        <v>16</v>
      </c>
      <c r="R72" s="4">
        <f t="shared" si="52"/>
        <v>1</v>
      </c>
      <c r="S72" s="4">
        <f t="shared" si="53"/>
        <v>4.5</v>
      </c>
      <c r="T72" s="4">
        <f t="shared" si="54"/>
        <v>1</v>
      </c>
      <c r="U72" s="4" t="str">
        <f t="shared" si="55"/>
        <v/>
      </c>
      <c r="V72" s="4">
        <f t="shared" si="56"/>
        <v>2.5</v>
      </c>
      <c r="W72" s="4">
        <f t="shared" si="57"/>
        <v>1</v>
      </c>
      <c r="X72" s="4">
        <f t="shared" si="58"/>
        <v>1</v>
      </c>
      <c r="Y72" s="4">
        <f t="shared" si="59"/>
        <v>2</v>
      </c>
      <c r="Z72" s="4">
        <f t="shared" si="60"/>
        <v>3.5999999999999996</v>
      </c>
      <c r="AA72" s="4">
        <f t="shared" si="61"/>
        <v>2</v>
      </c>
      <c r="AB72" s="4">
        <f t="shared" si="62"/>
        <v>1</v>
      </c>
      <c r="AC72" s="4">
        <f t="shared" si="63"/>
        <v>2.5</v>
      </c>
      <c r="AD72" s="4">
        <f t="shared" si="64"/>
        <v>2.5</v>
      </c>
      <c r="AE72" s="4">
        <f t="shared" si="65"/>
        <v>15.600000000000001</v>
      </c>
      <c r="AF72" s="4">
        <f>IF(AND($AD72="",$I72=""),"",_xlfn.MAXIFS($AG$1:$AG71,$A$1:$A71,$A72)+1)</f>
        <v>25</v>
      </c>
      <c r="AG72" s="4">
        <f t="shared" si="66"/>
        <v>27</v>
      </c>
      <c r="AH72" s="4">
        <f t="shared" si="67"/>
        <v>1</v>
      </c>
      <c r="AI72" s="4">
        <f t="shared" si="68"/>
        <v>0</v>
      </c>
      <c r="AJ72" s="4">
        <f t="shared" si="69"/>
        <v>7</v>
      </c>
      <c r="AK72" s="4">
        <f t="shared" si="70"/>
        <v>6</v>
      </c>
      <c r="AL72" s="4" t="str">
        <f t="shared" si="71"/>
        <v>kırmızı · N mavi · PE sarı-yeşil</v>
      </c>
      <c r="AM72" s="4">
        <f t="shared" si="72"/>
        <v>6</v>
      </c>
      <c r="AN72" s="4" t="str">
        <f t="shared" si="73"/>
        <v/>
      </c>
      <c r="AO72" s="4" t="str">
        <f t="shared" si="74"/>
        <v>1P</v>
      </c>
    </row>
    <row r="73" spans="1:41" x14ac:dyDescent="0.35">
      <c r="A73" s="5" t="s">
        <v>180</v>
      </c>
      <c r="B73" s="5" t="s">
        <v>644</v>
      </c>
      <c r="C73" s="5" t="s">
        <v>184</v>
      </c>
      <c r="D73" s="5" t="s">
        <v>391</v>
      </c>
      <c r="E73" s="5" t="s">
        <v>645</v>
      </c>
      <c r="F73" s="5" t="s">
        <v>403</v>
      </c>
      <c r="G73" s="6"/>
      <c r="H73" s="6"/>
      <c r="I73" s="6"/>
      <c r="J73" s="5" t="s">
        <v>617</v>
      </c>
      <c r="K73" s="5">
        <v>1.5</v>
      </c>
      <c r="L73" s="5" t="s">
        <v>618</v>
      </c>
      <c r="M73" s="5" t="s">
        <v>646</v>
      </c>
      <c r="N73" s="6"/>
      <c r="O73" s="6"/>
      <c r="P73" s="4" t="str">
        <f t="shared" si="50"/>
        <v>OTO</v>
      </c>
      <c r="Q73" s="4">
        <f t="shared" si="51"/>
        <v>16</v>
      </c>
      <c r="R73" s="4">
        <f t="shared" si="52"/>
        <v>1</v>
      </c>
      <c r="S73" s="4">
        <f t="shared" si="53"/>
        <v>4.5</v>
      </c>
      <c r="T73" s="4">
        <f t="shared" si="54"/>
        <v>1</v>
      </c>
      <c r="U73" s="4" t="str">
        <f t="shared" si="55"/>
        <v/>
      </c>
      <c r="V73" s="4">
        <f t="shared" si="56"/>
        <v>2.5</v>
      </c>
      <c r="W73" s="4">
        <f t="shared" si="57"/>
        <v>1</v>
      </c>
      <c r="X73" s="4">
        <f t="shared" si="58"/>
        <v>1</v>
      </c>
      <c r="Y73" s="4">
        <f t="shared" si="59"/>
        <v>2</v>
      </c>
      <c r="Z73" s="4">
        <f t="shared" si="60"/>
        <v>3.5999999999999996</v>
      </c>
      <c r="AA73" s="4">
        <f t="shared" si="61"/>
        <v>2</v>
      </c>
      <c r="AB73" s="4">
        <f t="shared" si="62"/>
        <v>1</v>
      </c>
      <c r="AC73" s="4">
        <f t="shared" si="63"/>
        <v>2.5</v>
      </c>
      <c r="AD73" s="4">
        <f t="shared" si="64"/>
        <v>2.5</v>
      </c>
      <c r="AE73" s="4">
        <f t="shared" si="65"/>
        <v>15.600000000000001</v>
      </c>
      <c r="AF73" s="4">
        <f>IF(AND($AD73="",$I73=""),"",_xlfn.MAXIFS($AG$1:$AG72,$A$1:$A72,$A73)+1)</f>
        <v>28</v>
      </c>
      <c r="AG73" s="4">
        <f t="shared" si="66"/>
        <v>30</v>
      </c>
      <c r="AH73" s="4">
        <f t="shared" si="67"/>
        <v>1</v>
      </c>
      <c r="AI73" s="4">
        <f t="shared" si="68"/>
        <v>0</v>
      </c>
      <c r="AJ73" s="4">
        <f t="shared" si="69"/>
        <v>7</v>
      </c>
      <c r="AK73" s="4">
        <f t="shared" si="70"/>
        <v>6</v>
      </c>
      <c r="AL73" s="4" t="str">
        <f t="shared" si="71"/>
        <v>sarı · N mavi · PE sarı-yeşil</v>
      </c>
      <c r="AM73" s="4">
        <f t="shared" si="72"/>
        <v>6</v>
      </c>
      <c r="AN73" s="4" t="str">
        <f t="shared" si="73"/>
        <v/>
      </c>
      <c r="AO73" s="4" t="str">
        <f t="shared" si="74"/>
        <v>1P</v>
      </c>
    </row>
    <row r="74" spans="1:41" x14ac:dyDescent="0.35">
      <c r="A74" s="5" t="s">
        <v>180</v>
      </c>
      <c r="B74" s="5" t="s">
        <v>647</v>
      </c>
      <c r="C74" s="5" t="s">
        <v>184</v>
      </c>
      <c r="D74" s="5" t="s">
        <v>391</v>
      </c>
      <c r="E74" s="5" t="s">
        <v>648</v>
      </c>
      <c r="F74" s="5" t="s">
        <v>453</v>
      </c>
      <c r="G74" s="6"/>
      <c r="H74" s="6"/>
      <c r="I74" s="6"/>
      <c r="J74" s="5" t="s">
        <v>617</v>
      </c>
      <c r="K74" s="5">
        <v>1.5</v>
      </c>
      <c r="L74" s="5" t="s">
        <v>618</v>
      </c>
      <c r="M74" s="5" t="s">
        <v>649</v>
      </c>
      <c r="N74" s="6"/>
      <c r="O74" s="6"/>
      <c r="P74" s="4" t="str">
        <f t="shared" si="50"/>
        <v>OTO</v>
      </c>
      <c r="Q74" s="4">
        <f t="shared" si="51"/>
        <v>16</v>
      </c>
      <c r="R74" s="4">
        <f t="shared" si="52"/>
        <v>1</v>
      </c>
      <c r="S74" s="4">
        <f t="shared" si="53"/>
        <v>4.5</v>
      </c>
      <c r="T74" s="4">
        <f t="shared" si="54"/>
        <v>1</v>
      </c>
      <c r="U74" s="4" t="str">
        <f t="shared" si="55"/>
        <v/>
      </c>
      <c r="V74" s="4">
        <f t="shared" si="56"/>
        <v>2.5</v>
      </c>
      <c r="W74" s="4">
        <f t="shared" si="57"/>
        <v>1</v>
      </c>
      <c r="X74" s="4">
        <f t="shared" si="58"/>
        <v>1</v>
      </c>
      <c r="Y74" s="4">
        <f t="shared" si="59"/>
        <v>2</v>
      </c>
      <c r="Z74" s="4">
        <f t="shared" si="60"/>
        <v>3.5999999999999996</v>
      </c>
      <c r="AA74" s="4">
        <f t="shared" si="61"/>
        <v>2</v>
      </c>
      <c r="AB74" s="4">
        <f t="shared" si="62"/>
        <v>1</v>
      </c>
      <c r="AC74" s="4">
        <f t="shared" si="63"/>
        <v>2.5</v>
      </c>
      <c r="AD74" s="4">
        <f t="shared" si="64"/>
        <v>2.5</v>
      </c>
      <c r="AE74" s="4">
        <f t="shared" si="65"/>
        <v>15.600000000000001</v>
      </c>
      <c r="AF74" s="4">
        <f>IF(AND($AD74="",$I74=""),"",_xlfn.MAXIFS($AG$1:$AG73,$A$1:$A73,$A74)+1)</f>
        <v>31</v>
      </c>
      <c r="AG74" s="4">
        <f t="shared" si="66"/>
        <v>33</v>
      </c>
      <c r="AH74" s="4">
        <f t="shared" si="67"/>
        <v>1</v>
      </c>
      <c r="AI74" s="4">
        <f t="shared" si="68"/>
        <v>0</v>
      </c>
      <c r="AJ74" s="4">
        <f t="shared" si="69"/>
        <v>7</v>
      </c>
      <c r="AK74" s="4">
        <f t="shared" si="70"/>
        <v>6</v>
      </c>
      <c r="AL74" s="4" t="str">
        <f t="shared" si="71"/>
        <v>yeşil · N mavi · PE sarı-yeşil</v>
      </c>
      <c r="AM74" s="4">
        <f t="shared" si="72"/>
        <v>6</v>
      </c>
      <c r="AN74" s="4" t="str">
        <f t="shared" si="73"/>
        <v/>
      </c>
      <c r="AO74" s="4" t="str">
        <f t="shared" si="74"/>
        <v>1P</v>
      </c>
    </row>
    <row r="75" spans="1:41" x14ac:dyDescent="0.35">
      <c r="A75" s="5" t="s">
        <v>180</v>
      </c>
      <c r="B75" s="5" t="s">
        <v>650</v>
      </c>
      <c r="C75" s="5" t="s">
        <v>149</v>
      </c>
      <c r="D75" s="5" t="s">
        <v>391</v>
      </c>
      <c r="E75" s="5" t="s">
        <v>651</v>
      </c>
      <c r="F75" s="5" t="s">
        <v>459</v>
      </c>
      <c r="G75" s="6"/>
      <c r="H75" s="6"/>
      <c r="I75" s="6"/>
      <c r="J75" s="5" t="s">
        <v>652</v>
      </c>
      <c r="K75" s="5">
        <v>2.5</v>
      </c>
      <c r="L75" s="5" t="s">
        <v>618</v>
      </c>
      <c r="M75" s="5" t="s">
        <v>653</v>
      </c>
      <c r="N75" s="6"/>
      <c r="O75" s="6"/>
      <c r="P75" s="4" t="str">
        <f t="shared" si="50"/>
        <v>DİF</v>
      </c>
      <c r="Q75" s="4">
        <f t="shared" si="51"/>
        <v>16</v>
      </c>
      <c r="R75" s="4">
        <f t="shared" si="52"/>
        <v>2</v>
      </c>
      <c r="S75" s="4">
        <f t="shared" si="53"/>
        <v>6</v>
      </c>
      <c r="T75" s="4">
        <f t="shared" si="54"/>
        <v>1</v>
      </c>
      <c r="U75" s="4" t="str">
        <f t="shared" si="55"/>
        <v/>
      </c>
      <c r="V75" s="4">
        <f t="shared" si="56"/>
        <v>2.5</v>
      </c>
      <c r="W75" s="4">
        <f t="shared" si="57"/>
        <v>1</v>
      </c>
      <c r="X75" s="4">
        <f t="shared" si="58"/>
        <v>2</v>
      </c>
      <c r="Y75" s="4">
        <f t="shared" si="59"/>
        <v>1</v>
      </c>
      <c r="Z75" s="4">
        <f t="shared" si="60"/>
        <v>3.5999999999999996</v>
      </c>
      <c r="AA75" s="4">
        <f t="shared" si="61"/>
        <v>2</v>
      </c>
      <c r="AB75" s="4">
        <f t="shared" si="62"/>
        <v>1</v>
      </c>
      <c r="AC75" s="4">
        <f t="shared" si="63"/>
        <v>2.5</v>
      </c>
      <c r="AD75" s="4">
        <f t="shared" si="64"/>
        <v>2.5</v>
      </c>
      <c r="AE75" s="4">
        <f t="shared" si="65"/>
        <v>15.600000000000001</v>
      </c>
      <c r="AF75" s="4">
        <f>IF(AND($AD75="",$I75=""),"",_xlfn.MAXIFS($AG$1:$AG74,$A$1:$A74,$A75)+1)</f>
        <v>34</v>
      </c>
      <c r="AG75" s="4">
        <f t="shared" si="66"/>
        <v>36</v>
      </c>
      <c r="AH75" s="4">
        <f t="shared" si="67"/>
        <v>2</v>
      </c>
      <c r="AI75" s="4">
        <f t="shared" si="68"/>
        <v>0</v>
      </c>
      <c r="AJ75" s="4">
        <f t="shared" si="69"/>
        <v>7</v>
      </c>
      <c r="AK75" s="4">
        <f t="shared" si="70"/>
        <v>6</v>
      </c>
      <c r="AL75" s="4" t="str">
        <f t="shared" si="71"/>
        <v>kırmızı · N mavi · PE sarı-yeşil</v>
      </c>
      <c r="AM75" s="4">
        <f t="shared" si="72"/>
        <v>6</v>
      </c>
      <c r="AN75" s="4" t="str">
        <f t="shared" si="73"/>
        <v/>
      </c>
      <c r="AO75" s="4" t="str">
        <f t="shared" si="74"/>
        <v>2P</v>
      </c>
    </row>
    <row r="76" spans="1:41" x14ac:dyDescent="0.35">
      <c r="A76" s="5" t="s">
        <v>180</v>
      </c>
      <c r="B76" s="5" t="s">
        <v>654</v>
      </c>
      <c r="C76" s="5" t="s">
        <v>149</v>
      </c>
      <c r="D76" s="5" t="s">
        <v>391</v>
      </c>
      <c r="E76" s="5" t="s">
        <v>655</v>
      </c>
      <c r="F76" s="5" t="s">
        <v>403</v>
      </c>
      <c r="G76" s="6"/>
      <c r="H76" s="6"/>
      <c r="I76" s="6"/>
      <c r="J76" s="5" t="s">
        <v>652</v>
      </c>
      <c r="K76" s="5">
        <v>2.5</v>
      </c>
      <c r="L76" s="5" t="s">
        <v>618</v>
      </c>
      <c r="M76" s="5" t="s">
        <v>656</v>
      </c>
      <c r="N76" s="6"/>
      <c r="O76" s="6"/>
      <c r="P76" s="4" t="str">
        <f t="shared" si="50"/>
        <v>DİF</v>
      </c>
      <c r="Q76" s="4">
        <f t="shared" si="51"/>
        <v>16</v>
      </c>
      <c r="R76" s="4">
        <f t="shared" si="52"/>
        <v>2</v>
      </c>
      <c r="S76" s="4">
        <f t="shared" si="53"/>
        <v>6</v>
      </c>
      <c r="T76" s="4">
        <f t="shared" si="54"/>
        <v>1</v>
      </c>
      <c r="U76" s="4" t="str">
        <f t="shared" si="55"/>
        <v/>
      </c>
      <c r="V76" s="4">
        <f t="shared" si="56"/>
        <v>2.5</v>
      </c>
      <c r="W76" s="4">
        <f t="shared" si="57"/>
        <v>1</v>
      </c>
      <c r="X76" s="4">
        <f t="shared" si="58"/>
        <v>2</v>
      </c>
      <c r="Y76" s="4">
        <f t="shared" si="59"/>
        <v>1</v>
      </c>
      <c r="Z76" s="4">
        <f t="shared" si="60"/>
        <v>3.5999999999999996</v>
      </c>
      <c r="AA76" s="4">
        <f t="shared" si="61"/>
        <v>2</v>
      </c>
      <c r="AB76" s="4">
        <f t="shared" si="62"/>
        <v>1</v>
      </c>
      <c r="AC76" s="4">
        <f t="shared" si="63"/>
        <v>2.5</v>
      </c>
      <c r="AD76" s="4">
        <f t="shared" si="64"/>
        <v>2.5</v>
      </c>
      <c r="AE76" s="4">
        <f t="shared" si="65"/>
        <v>15.600000000000001</v>
      </c>
      <c r="AF76" s="4">
        <f>IF(AND($AD76="",$I76=""),"",_xlfn.MAXIFS($AG$1:$AG75,$A$1:$A75,$A76)+1)</f>
        <v>37</v>
      </c>
      <c r="AG76" s="4">
        <f t="shared" si="66"/>
        <v>39</v>
      </c>
      <c r="AH76" s="4">
        <f t="shared" si="67"/>
        <v>2</v>
      </c>
      <c r="AI76" s="4">
        <f t="shared" si="68"/>
        <v>0</v>
      </c>
      <c r="AJ76" s="4">
        <f t="shared" si="69"/>
        <v>7</v>
      </c>
      <c r="AK76" s="4">
        <f t="shared" si="70"/>
        <v>6</v>
      </c>
      <c r="AL76" s="4" t="str">
        <f t="shared" si="71"/>
        <v>sarı · N mavi · PE sarı-yeşil</v>
      </c>
      <c r="AM76" s="4">
        <f t="shared" si="72"/>
        <v>6</v>
      </c>
      <c r="AN76" s="4" t="str">
        <f t="shared" si="73"/>
        <v/>
      </c>
      <c r="AO76" s="4" t="str">
        <f t="shared" si="74"/>
        <v>2P</v>
      </c>
    </row>
    <row r="77" spans="1:41" x14ac:dyDescent="0.35">
      <c r="A77" s="5" t="s">
        <v>180</v>
      </c>
      <c r="B77" s="5" t="s">
        <v>657</v>
      </c>
      <c r="C77" s="5" t="s">
        <v>149</v>
      </c>
      <c r="D77" s="5" t="s">
        <v>391</v>
      </c>
      <c r="E77" s="5" t="s">
        <v>658</v>
      </c>
      <c r="F77" s="5" t="s">
        <v>453</v>
      </c>
      <c r="G77" s="6"/>
      <c r="H77" s="6"/>
      <c r="I77" s="6"/>
      <c r="J77" s="5" t="s">
        <v>652</v>
      </c>
      <c r="K77" s="5">
        <v>2.5</v>
      </c>
      <c r="L77" s="5" t="s">
        <v>618</v>
      </c>
      <c r="M77" s="5" t="s">
        <v>659</v>
      </c>
      <c r="N77" s="6"/>
      <c r="O77" s="6"/>
      <c r="P77" s="4" t="str">
        <f t="shared" si="50"/>
        <v>DİF</v>
      </c>
      <c r="Q77" s="4">
        <f t="shared" si="51"/>
        <v>16</v>
      </c>
      <c r="R77" s="4">
        <f t="shared" si="52"/>
        <v>2</v>
      </c>
      <c r="S77" s="4">
        <f t="shared" si="53"/>
        <v>6</v>
      </c>
      <c r="T77" s="4">
        <f t="shared" si="54"/>
        <v>1</v>
      </c>
      <c r="U77" s="4" t="str">
        <f t="shared" si="55"/>
        <v/>
      </c>
      <c r="V77" s="4">
        <f t="shared" si="56"/>
        <v>2.5</v>
      </c>
      <c r="W77" s="4">
        <f t="shared" si="57"/>
        <v>1</v>
      </c>
      <c r="X77" s="4">
        <f t="shared" si="58"/>
        <v>2</v>
      </c>
      <c r="Y77" s="4">
        <f t="shared" si="59"/>
        <v>1</v>
      </c>
      <c r="Z77" s="4">
        <f t="shared" si="60"/>
        <v>3.5999999999999996</v>
      </c>
      <c r="AA77" s="4">
        <f t="shared" si="61"/>
        <v>2</v>
      </c>
      <c r="AB77" s="4">
        <f t="shared" si="62"/>
        <v>1</v>
      </c>
      <c r="AC77" s="4">
        <f t="shared" si="63"/>
        <v>2.5</v>
      </c>
      <c r="AD77" s="4">
        <f t="shared" si="64"/>
        <v>2.5</v>
      </c>
      <c r="AE77" s="4">
        <f t="shared" si="65"/>
        <v>15.600000000000001</v>
      </c>
      <c r="AF77" s="4">
        <f>IF(AND($AD77="",$I77=""),"",_xlfn.MAXIFS($AG$1:$AG76,$A$1:$A76,$A77)+1)</f>
        <v>40</v>
      </c>
      <c r="AG77" s="4">
        <f t="shared" si="66"/>
        <v>42</v>
      </c>
      <c r="AH77" s="4">
        <f t="shared" si="67"/>
        <v>2</v>
      </c>
      <c r="AI77" s="4">
        <f t="shared" si="68"/>
        <v>0</v>
      </c>
      <c r="AJ77" s="4">
        <f t="shared" si="69"/>
        <v>7</v>
      </c>
      <c r="AK77" s="4">
        <f t="shared" si="70"/>
        <v>6</v>
      </c>
      <c r="AL77" s="4" t="str">
        <f t="shared" si="71"/>
        <v>yeşil · N mavi · PE sarı-yeşil</v>
      </c>
      <c r="AM77" s="4">
        <f t="shared" si="72"/>
        <v>6</v>
      </c>
      <c r="AN77" s="4" t="str">
        <f t="shared" si="73"/>
        <v/>
      </c>
      <c r="AO77" s="4" t="str">
        <f t="shared" si="74"/>
        <v>2P</v>
      </c>
    </row>
    <row r="78" spans="1:41" x14ac:dyDescent="0.35">
      <c r="A78" s="5" t="s">
        <v>180</v>
      </c>
      <c r="B78" s="5" t="s">
        <v>660</v>
      </c>
      <c r="C78" s="5" t="s">
        <v>149</v>
      </c>
      <c r="D78" s="5" t="s">
        <v>391</v>
      </c>
      <c r="E78" s="5" t="s">
        <v>655</v>
      </c>
      <c r="F78" s="5" t="s">
        <v>459</v>
      </c>
      <c r="G78" s="6"/>
      <c r="H78" s="6"/>
      <c r="I78" s="6"/>
      <c r="J78" s="5" t="s">
        <v>652</v>
      </c>
      <c r="K78" s="5">
        <v>2.5</v>
      </c>
      <c r="L78" s="5" t="s">
        <v>618</v>
      </c>
      <c r="M78" s="5" t="s">
        <v>661</v>
      </c>
      <c r="N78" s="6"/>
      <c r="O78" s="6"/>
      <c r="P78" s="4" t="str">
        <f t="shared" si="50"/>
        <v>DİF</v>
      </c>
      <c r="Q78" s="4">
        <f t="shared" si="51"/>
        <v>16</v>
      </c>
      <c r="R78" s="4">
        <f t="shared" si="52"/>
        <v>2</v>
      </c>
      <c r="S78" s="4">
        <f t="shared" si="53"/>
        <v>6</v>
      </c>
      <c r="T78" s="4">
        <f t="shared" si="54"/>
        <v>1</v>
      </c>
      <c r="U78" s="4" t="str">
        <f t="shared" si="55"/>
        <v/>
      </c>
      <c r="V78" s="4">
        <f t="shared" si="56"/>
        <v>2.5</v>
      </c>
      <c r="W78" s="4">
        <f t="shared" si="57"/>
        <v>1</v>
      </c>
      <c r="X78" s="4">
        <f t="shared" si="58"/>
        <v>2</v>
      </c>
      <c r="Y78" s="4">
        <f t="shared" si="59"/>
        <v>1</v>
      </c>
      <c r="Z78" s="4">
        <f t="shared" si="60"/>
        <v>3.5999999999999996</v>
      </c>
      <c r="AA78" s="4">
        <f t="shared" si="61"/>
        <v>2</v>
      </c>
      <c r="AB78" s="4">
        <f t="shared" si="62"/>
        <v>1</v>
      </c>
      <c r="AC78" s="4">
        <f t="shared" si="63"/>
        <v>2.5</v>
      </c>
      <c r="AD78" s="4">
        <f t="shared" si="64"/>
        <v>2.5</v>
      </c>
      <c r="AE78" s="4">
        <f t="shared" si="65"/>
        <v>15.600000000000001</v>
      </c>
      <c r="AF78" s="4">
        <f>IF(AND($AD78="",$I78=""),"",_xlfn.MAXIFS($AG$1:$AG77,$A$1:$A77,$A78)+1)</f>
        <v>43</v>
      </c>
      <c r="AG78" s="4">
        <f t="shared" si="66"/>
        <v>45</v>
      </c>
      <c r="AH78" s="4">
        <f t="shared" si="67"/>
        <v>2</v>
      </c>
      <c r="AI78" s="4">
        <f t="shared" si="68"/>
        <v>0</v>
      </c>
      <c r="AJ78" s="4">
        <f t="shared" si="69"/>
        <v>7</v>
      </c>
      <c r="AK78" s="4">
        <f t="shared" si="70"/>
        <v>6</v>
      </c>
      <c r="AL78" s="4" t="str">
        <f t="shared" si="71"/>
        <v>kırmızı · N mavi · PE sarı-yeşil</v>
      </c>
      <c r="AM78" s="4">
        <f t="shared" si="72"/>
        <v>6</v>
      </c>
      <c r="AN78" s="4" t="str">
        <f t="shared" si="73"/>
        <v/>
      </c>
      <c r="AO78" s="4" t="str">
        <f t="shared" si="74"/>
        <v>2P</v>
      </c>
    </row>
    <row r="79" spans="1:41" x14ac:dyDescent="0.35">
      <c r="A79" s="5" t="s">
        <v>180</v>
      </c>
      <c r="B79" s="5" t="s">
        <v>662</v>
      </c>
      <c r="C79" s="5" t="s">
        <v>149</v>
      </c>
      <c r="D79" s="5" t="s">
        <v>391</v>
      </c>
      <c r="E79" s="5" t="s">
        <v>663</v>
      </c>
      <c r="F79" s="5" t="s">
        <v>403</v>
      </c>
      <c r="G79" s="6"/>
      <c r="H79" s="6"/>
      <c r="I79" s="6"/>
      <c r="J79" s="5" t="s">
        <v>652</v>
      </c>
      <c r="K79" s="5">
        <v>2.5</v>
      </c>
      <c r="L79" s="5" t="s">
        <v>618</v>
      </c>
      <c r="M79" s="5" t="s">
        <v>664</v>
      </c>
      <c r="N79" s="6"/>
      <c r="O79" s="6"/>
      <c r="P79" s="4" t="str">
        <f t="shared" si="50"/>
        <v>DİF</v>
      </c>
      <c r="Q79" s="4">
        <f t="shared" si="51"/>
        <v>16</v>
      </c>
      <c r="R79" s="4">
        <f t="shared" si="52"/>
        <v>2</v>
      </c>
      <c r="S79" s="4">
        <f t="shared" si="53"/>
        <v>6</v>
      </c>
      <c r="T79" s="4">
        <f t="shared" si="54"/>
        <v>1</v>
      </c>
      <c r="U79" s="4" t="str">
        <f t="shared" si="55"/>
        <v/>
      </c>
      <c r="V79" s="4">
        <f t="shared" si="56"/>
        <v>2.5</v>
      </c>
      <c r="W79" s="4">
        <f t="shared" si="57"/>
        <v>1</v>
      </c>
      <c r="X79" s="4">
        <f t="shared" si="58"/>
        <v>2</v>
      </c>
      <c r="Y79" s="4">
        <f t="shared" si="59"/>
        <v>1</v>
      </c>
      <c r="Z79" s="4">
        <f t="shared" si="60"/>
        <v>3.5999999999999996</v>
      </c>
      <c r="AA79" s="4">
        <f t="shared" si="61"/>
        <v>2</v>
      </c>
      <c r="AB79" s="4">
        <f t="shared" si="62"/>
        <v>1</v>
      </c>
      <c r="AC79" s="4">
        <f t="shared" si="63"/>
        <v>2.5</v>
      </c>
      <c r="AD79" s="4">
        <f t="shared" si="64"/>
        <v>2.5</v>
      </c>
      <c r="AE79" s="4">
        <f t="shared" si="65"/>
        <v>15.600000000000001</v>
      </c>
      <c r="AF79" s="4">
        <f>IF(AND($AD79="",$I79=""),"",_xlfn.MAXIFS($AG$1:$AG78,$A$1:$A78,$A79)+1)</f>
        <v>46</v>
      </c>
      <c r="AG79" s="4">
        <f t="shared" si="66"/>
        <v>48</v>
      </c>
      <c r="AH79" s="4">
        <f t="shared" si="67"/>
        <v>2</v>
      </c>
      <c r="AI79" s="4">
        <f t="shared" si="68"/>
        <v>0</v>
      </c>
      <c r="AJ79" s="4">
        <f t="shared" si="69"/>
        <v>7</v>
      </c>
      <c r="AK79" s="4">
        <f t="shared" si="70"/>
        <v>6</v>
      </c>
      <c r="AL79" s="4" t="str">
        <f t="shared" si="71"/>
        <v>sarı · N mavi · PE sarı-yeşil</v>
      </c>
      <c r="AM79" s="4">
        <f t="shared" si="72"/>
        <v>6</v>
      </c>
      <c r="AN79" s="4" t="str">
        <f t="shared" si="73"/>
        <v/>
      </c>
      <c r="AO79" s="4" t="str">
        <f t="shared" si="74"/>
        <v>2P</v>
      </c>
    </row>
    <row r="80" spans="1:41" x14ac:dyDescent="0.35">
      <c r="A80" s="5" t="s">
        <v>180</v>
      </c>
      <c r="B80" s="5" t="s">
        <v>665</v>
      </c>
      <c r="C80" s="5" t="s">
        <v>184</v>
      </c>
      <c r="D80" s="5" t="s">
        <v>666</v>
      </c>
      <c r="E80" s="5" t="s">
        <v>665</v>
      </c>
      <c r="F80" s="5" t="s">
        <v>453</v>
      </c>
      <c r="G80" s="6"/>
      <c r="H80" s="6"/>
      <c r="I80" s="6"/>
      <c r="J80" s="6"/>
      <c r="K80" s="6"/>
      <c r="L80" s="5" t="s">
        <v>618</v>
      </c>
      <c r="M80" s="5" t="s">
        <v>667</v>
      </c>
      <c r="N80" s="6"/>
      <c r="O80" s="6"/>
      <c r="P80" s="4" t="str">
        <f t="shared" si="50"/>
        <v>OTO</v>
      </c>
      <c r="Q80" s="4">
        <f t="shared" si="51"/>
        <v>16</v>
      </c>
      <c r="R80" s="4">
        <f t="shared" si="52"/>
        <v>1</v>
      </c>
      <c r="S80" s="4">
        <f t="shared" si="53"/>
        <v>4.5</v>
      </c>
      <c r="T80" s="4">
        <f t="shared" si="54"/>
        <v>1</v>
      </c>
      <c r="U80" s="4" t="str">
        <f t="shared" si="55"/>
        <v/>
      </c>
      <c r="V80" s="4" t="str">
        <f t="shared" si="56"/>
        <v/>
      </c>
      <c r="W80" s="4" t="str">
        <f t="shared" si="57"/>
        <v/>
      </c>
      <c r="X80" s="4" t="str">
        <f t="shared" si="58"/>
        <v/>
      </c>
      <c r="Y80" s="4" t="str">
        <f t="shared" si="59"/>
        <v/>
      </c>
      <c r="Z80" s="4" t="str">
        <f t="shared" si="60"/>
        <v/>
      </c>
      <c r="AA80" s="4" t="str">
        <f t="shared" si="61"/>
        <v/>
      </c>
      <c r="AB80" s="4" t="str">
        <f t="shared" si="62"/>
        <v/>
      </c>
      <c r="AC80" s="4" t="str">
        <f t="shared" si="63"/>
        <v/>
      </c>
      <c r="AD80" s="4" t="str">
        <f t="shared" si="64"/>
        <v/>
      </c>
      <c r="AE80" s="4" t="str">
        <f t="shared" si="65"/>
        <v/>
      </c>
      <c r="AF80" s="4" t="str">
        <f>IF(AND($AD80="",$I80=""),"",_xlfn.MAXIFS($AG$1:$AG79,$A$1:$A79,$A80)+1)</f>
        <v/>
      </c>
      <c r="AG80" s="4" t="str">
        <f t="shared" si="66"/>
        <v/>
      </c>
      <c r="AH80" s="4">
        <f t="shared" si="67"/>
        <v>1</v>
      </c>
      <c r="AI80" s="4" t="str">
        <f t="shared" si="68"/>
        <v/>
      </c>
      <c r="AJ80" s="4" t="str">
        <f t="shared" si="69"/>
        <v/>
      </c>
      <c r="AK80" s="4" t="str">
        <f t="shared" si="70"/>
        <v/>
      </c>
      <c r="AL80" s="4" t="str">
        <f t="shared" si="71"/>
        <v/>
      </c>
      <c r="AM80" s="4">
        <f t="shared" si="72"/>
        <v>6</v>
      </c>
      <c r="AN80" s="4" t="str">
        <f t="shared" si="73"/>
        <v/>
      </c>
      <c r="AO80" s="4" t="str">
        <f t="shared" si="74"/>
        <v>1P</v>
      </c>
    </row>
    <row r="81" spans="1:41" x14ac:dyDescent="0.35">
      <c r="A81" s="5" t="s">
        <v>186</v>
      </c>
      <c r="B81" s="5" t="s">
        <v>418</v>
      </c>
      <c r="C81" s="5" t="s">
        <v>182</v>
      </c>
      <c r="D81" s="5" t="s">
        <v>381</v>
      </c>
      <c r="E81" s="5" t="s">
        <v>668</v>
      </c>
      <c r="F81" s="5" t="s">
        <v>383</v>
      </c>
      <c r="G81" s="6"/>
      <c r="H81" s="6"/>
      <c r="I81" s="6"/>
      <c r="J81" s="6"/>
      <c r="K81" s="6"/>
      <c r="L81" s="5" t="s">
        <v>385</v>
      </c>
      <c r="M81" s="5" t="s">
        <v>669</v>
      </c>
      <c r="N81" s="6"/>
      <c r="O81" s="6"/>
      <c r="P81" s="4" t="str">
        <f t="shared" si="50"/>
        <v>rubilnik</v>
      </c>
      <c r="Q81" s="4">
        <f t="shared" si="51"/>
        <v>25</v>
      </c>
      <c r="R81" s="4">
        <f t="shared" si="52"/>
        <v>3</v>
      </c>
      <c r="S81" s="4" t="str">
        <f t="shared" si="53"/>
        <v/>
      </c>
      <c r="T81" s="4">
        <f t="shared" si="54"/>
        <v>1</v>
      </c>
      <c r="U81" s="4" t="str">
        <f t="shared" si="55"/>
        <v/>
      </c>
      <c r="V81" s="4">
        <f t="shared" si="56"/>
        <v>4</v>
      </c>
      <c r="W81" s="4">
        <f t="shared" si="57"/>
        <v>1</v>
      </c>
      <c r="X81" s="4">
        <f t="shared" si="58"/>
        <v>3</v>
      </c>
      <c r="Y81" s="4" t="str">
        <f t="shared" si="59"/>
        <v/>
      </c>
      <c r="Z81" s="4">
        <f t="shared" si="60"/>
        <v>3.5999999999999996</v>
      </c>
      <c r="AA81" s="4" t="str">
        <f t="shared" si="61"/>
        <v/>
      </c>
      <c r="AB81" s="4" t="str">
        <f t="shared" si="62"/>
        <v/>
      </c>
      <c r="AC81" s="4" t="str">
        <f t="shared" si="63"/>
        <v/>
      </c>
      <c r="AD81" s="4" t="str">
        <f t="shared" si="64"/>
        <v/>
      </c>
      <c r="AE81" s="4" t="str">
        <f t="shared" si="65"/>
        <v/>
      </c>
      <c r="AF81" s="4" t="str">
        <f>IF(AND($AD81="",$I81=""),"",_xlfn.MAXIFS($AG$1:$AG80,$A$1:$A80,$A81)+1)</f>
        <v/>
      </c>
      <c r="AG81" s="4" t="str">
        <f t="shared" si="66"/>
        <v/>
      </c>
      <c r="AH81" s="4">
        <f t="shared" si="67"/>
        <v>3</v>
      </c>
      <c r="AI81" s="4">
        <f t="shared" si="68"/>
        <v>0</v>
      </c>
      <c r="AJ81" s="4">
        <f t="shared" si="69"/>
        <v>7</v>
      </c>
      <c r="AK81" s="4">
        <f t="shared" si="70"/>
        <v>6</v>
      </c>
      <c r="AL81" s="4" t="str">
        <f t="shared" si="71"/>
        <v>L1 sarı · L2 yeşil · L3 kırmızı · N mavi · PE sarı-yeşil</v>
      </c>
      <c r="AM81" s="4">
        <f t="shared" si="72"/>
        <v>0</v>
      </c>
      <c r="AN81" s="4" t="str">
        <f t="shared" si="73"/>
        <v/>
      </c>
      <c r="AO81" s="4" t="str">
        <f t="shared" si="74"/>
        <v>3P</v>
      </c>
    </row>
    <row r="82" spans="1:41" x14ac:dyDescent="0.35">
      <c r="A82" s="5" t="s">
        <v>186</v>
      </c>
      <c r="B82" s="5" t="s">
        <v>670</v>
      </c>
      <c r="C82" s="5" t="s">
        <v>184</v>
      </c>
      <c r="D82" s="5" t="s">
        <v>391</v>
      </c>
      <c r="E82" s="5" t="s">
        <v>671</v>
      </c>
      <c r="F82" s="5" t="s">
        <v>403</v>
      </c>
      <c r="G82" s="6"/>
      <c r="H82" s="6"/>
      <c r="I82" s="6"/>
      <c r="J82" s="5" t="s">
        <v>617</v>
      </c>
      <c r="K82" s="5">
        <v>1.5</v>
      </c>
      <c r="L82" s="5" t="s">
        <v>618</v>
      </c>
      <c r="M82" s="5" t="s">
        <v>672</v>
      </c>
      <c r="N82" s="6"/>
      <c r="O82" s="6"/>
      <c r="P82" s="4" t="str">
        <f t="shared" si="50"/>
        <v>OTO</v>
      </c>
      <c r="Q82" s="4">
        <f t="shared" si="51"/>
        <v>16</v>
      </c>
      <c r="R82" s="4">
        <f t="shared" si="52"/>
        <v>1</v>
      </c>
      <c r="S82" s="4">
        <f t="shared" si="53"/>
        <v>4.5</v>
      </c>
      <c r="T82" s="4">
        <f t="shared" si="54"/>
        <v>1</v>
      </c>
      <c r="U82" s="4" t="str">
        <f t="shared" si="55"/>
        <v/>
      </c>
      <c r="V82" s="4">
        <f t="shared" si="56"/>
        <v>2.5</v>
      </c>
      <c r="W82" s="4">
        <f t="shared" si="57"/>
        <v>1</v>
      </c>
      <c r="X82" s="4">
        <f t="shared" si="58"/>
        <v>1</v>
      </c>
      <c r="Y82" s="4">
        <f t="shared" si="59"/>
        <v>2</v>
      </c>
      <c r="Z82" s="4">
        <f t="shared" si="60"/>
        <v>3.5999999999999996</v>
      </c>
      <c r="AA82" s="4">
        <f t="shared" si="61"/>
        <v>2</v>
      </c>
      <c r="AB82" s="4">
        <f t="shared" si="62"/>
        <v>1</v>
      </c>
      <c r="AC82" s="4">
        <f t="shared" si="63"/>
        <v>2.5</v>
      </c>
      <c r="AD82" s="4">
        <f t="shared" si="64"/>
        <v>2.5</v>
      </c>
      <c r="AE82" s="4">
        <f t="shared" si="65"/>
        <v>15.600000000000001</v>
      </c>
      <c r="AF82" s="4">
        <f>IF(AND($AD82="",$I82=""),"",_xlfn.MAXIFS($AG$1:$AG81,$A$1:$A81,$A82)+1)</f>
        <v>1</v>
      </c>
      <c r="AG82" s="4">
        <f t="shared" si="66"/>
        <v>3</v>
      </c>
      <c r="AH82" s="4">
        <f t="shared" si="67"/>
        <v>1</v>
      </c>
      <c r="AI82" s="4">
        <f t="shared" si="68"/>
        <v>0</v>
      </c>
      <c r="AJ82" s="4">
        <f t="shared" si="69"/>
        <v>7</v>
      </c>
      <c r="AK82" s="4">
        <f t="shared" si="70"/>
        <v>6</v>
      </c>
      <c r="AL82" s="4" t="str">
        <f t="shared" si="71"/>
        <v>sarı · N mavi · PE sarı-yeşil</v>
      </c>
      <c r="AM82" s="4">
        <f t="shared" si="72"/>
        <v>6</v>
      </c>
      <c r="AN82" s="4" t="str">
        <f t="shared" si="73"/>
        <v/>
      </c>
      <c r="AO82" s="4" t="str">
        <f t="shared" si="74"/>
        <v>1P</v>
      </c>
    </row>
    <row r="83" spans="1:41" x14ac:dyDescent="0.35">
      <c r="A83" s="5" t="s">
        <v>186</v>
      </c>
      <c r="B83" s="5" t="s">
        <v>673</v>
      </c>
      <c r="C83" s="5" t="s">
        <v>184</v>
      </c>
      <c r="D83" s="5" t="s">
        <v>391</v>
      </c>
      <c r="E83" s="5" t="s">
        <v>674</v>
      </c>
      <c r="F83" s="5" t="s">
        <v>453</v>
      </c>
      <c r="G83" s="6"/>
      <c r="H83" s="6"/>
      <c r="I83" s="6"/>
      <c r="J83" s="5" t="s">
        <v>617</v>
      </c>
      <c r="K83" s="5">
        <v>1.5</v>
      </c>
      <c r="L83" s="5" t="s">
        <v>618</v>
      </c>
      <c r="M83" s="5" t="s">
        <v>675</v>
      </c>
      <c r="N83" s="6"/>
      <c r="O83" s="6"/>
      <c r="P83" s="4" t="str">
        <f t="shared" si="50"/>
        <v>OTO</v>
      </c>
      <c r="Q83" s="4">
        <f t="shared" si="51"/>
        <v>16</v>
      </c>
      <c r="R83" s="4">
        <f t="shared" si="52"/>
        <v>1</v>
      </c>
      <c r="S83" s="4">
        <f t="shared" si="53"/>
        <v>4.5</v>
      </c>
      <c r="T83" s="4">
        <f t="shared" si="54"/>
        <v>1</v>
      </c>
      <c r="U83" s="4" t="str">
        <f t="shared" si="55"/>
        <v/>
      </c>
      <c r="V83" s="4">
        <f t="shared" si="56"/>
        <v>2.5</v>
      </c>
      <c r="W83" s="4">
        <f t="shared" si="57"/>
        <v>1</v>
      </c>
      <c r="X83" s="4">
        <f t="shared" si="58"/>
        <v>1</v>
      </c>
      <c r="Y83" s="4">
        <f t="shared" si="59"/>
        <v>2</v>
      </c>
      <c r="Z83" s="4">
        <f t="shared" si="60"/>
        <v>3.5999999999999996</v>
      </c>
      <c r="AA83" s="4">
        <f t="shared" si="61"/>
        <v>2</v>
      </c>
      <c r="AB83" s="4">
        <f t="shared" si="62"/>
        <v>1</v>
      </c>
      <c r="AC83" s="4">
        <f t="shared" si="63"/>
        <v>2.5</v>
      </c>
      <c r="AD83" s="4">
        <f t="shared" si="64"/>
        <v>2.5</v>
      </c>
      <c r="AE83" s="4">
        <f t="shared" si="65"/>
        <v>15.600000000000001</v>
      </c>
      <c r="AF83" s="4">
        <f>IF(AND($AD83="",$I83=""),"",_xlfn.MAXIFS($AG$1:$AG82,$A$1:$A82,$A83)+1)</f>
        <v>4</v>
      </c>
      <c r="AG83" s="4">
        <f t="shared" si="66"/>
        <v>6</v>
      </c>
      <c r="AH83" s="4">
        <f t="shared" si="67"/>
        <v>1</v>
      </c>
      <c r="AI83" s="4">
        <f t="shared" si="68"/>
        <v>0</v>
      </c>
      <c r="AJ83" s="4">
        <f t="shared" si="69"/>
        <v>7</v>
      </c>
      <c r="AK83" s="4">
        <f t="shared" si="70"/>
        <v>6</v>
      </c>
      <c r="AL83" s="4" t="str">
        <f t="shared" si="71"/>
        <v>yeşil · N mavi · PE sarı-yeşil</v>
      </c>
      <c r="AM83" s="4">
        <f t="shared" si="72"/>
        <v>6</v>
      </c>
      <c r="AN83" s="4" t="str">
        <f t="shared" si="73"/>
        <v/>
      </c>
      <c r="AO83" s="4" t="str">
        <f t="shared" si="74"/>
        <v>1P</v>
      </c>
    </row>
    <row r="84" spans="1:41" x14ac:dyDescent="0.35">
      <c r="A84" s="5" t="s">
        <v>186</v>
      </c>
      <c r="B84" s="5" t="s">
        <v>676</v>
      </c>
      <c r="C84" s="5" t="s">
        <v>184</v>
      </c>
      <c r="D84" s="5" t="s">
        <v>391</v>
      </c>
      <c r="E84" s="5" t="s">
        <v>677</v>
      </c>
      <c r="F84" s="5" t="s">
        <v>459</v>
      </c>
      <c r="G84" s="6"/>
      <c r="H84" s="6"/>
      <c r="I84" s="6"/>
      <c r="J84" s="5" t="s">
        <v>652</v>
      </c>
      <c r="K84" s="5">
        <v>2.5</v>
      </c>
      <c r="L84" s="5" t="s">
        <v>618</v>
      </c>
      <c r="M84" s="5" t="s">
        <v>678</v>
      </c>
      <c r="N84" s="6"/>
      <c r="O84" s="6"/>
      <c r="P84" s="4" t="str">
        <f t="shared" si="50"/>
        <v>OTO</v>
      </c>
      <c r="Q84" s="4">
        <f t="shared" si="51"/>
        <v>16</v>
      </c>
      <c r="R84" s="4">
        <f t="shared" si="52"/>
        <v>1</v>
      </c>
      <c r="S84" s="4">
        <f t="shared" si="53"/>
        <v>4.5</v>
      </c>
      <c r="T84" s="4">
        <f t="shared" si="54"/>
        <v>1</v>
      </c>
      <c r="U84" s="4" t="str">
        <f t="shared" si="55"/>
        <v/>
      </c>
      <c r="V84" s="4">
        <f t="shared" si="56"/>
        <v>2.5</v>
      </c>
      <c r="W84" s="4">
        <f t="shared" si="57"/>
        <v>1</v>
      </c>
      <c r="X84" s="4">
        <f t="shared" si="58"/>
        <v>1</v>
      </c>
      <c r="Y84" s="4">
        <f t="shared" si="59"/>
        <v>2</v>
      </c>
      <c r="Z84" s="4">
        <f t="shared" si="60"/>
        <v>3.5999999999999996</v>
      </c>
      <c r="AA84" s="4">
        <f t="shared" si="61"/>
        <v>2</v>
      </c>
      <c r="AB84" s="4">
        <f t="shared" si="62"/>
        <v>1</v>
      </c>
      <c r="AC84" s="4">
        <f t="shared" si="63"/>
        <v>2.5</v>
      </c>
      <c r="AD84" s="4">
        <f t="shared" si="64"/>
        <v>2.5</v>
      </c>
      <c r="AE84" s="4">
        <f t="shared" si="65"/>
        <v>15.600000000000001</v>
      </c>
      <c r="AF84" s="4">
        <f>IF(AND($AD84="",$I84=""),"",_xlfn.MAXIFS($AG$1:$AG83,$A$1:$A83,$A84)+1)</f>
        <v>7</v>
      </c>
      <c r="AG84" s="4">
        <f t="shared" si="66"/>
        <v>9</v>
      </c>
      <c r="AH84" s="4">
        <f t="shared" si="67"/>
        <v>1</v>
      </c>
      <c r="AI84" s="4">
        <f t="shared" si="68"/>
        <v>0</v>
      </c>
      <c r="AJ84" s="4">
        <f t="shared" si="69"/>
        <v>7</v>
      </c>
      <c r="AK84" s="4">
        <f t="shared" si="70"/>
        <v>6</v>
      </c>
      <c r="AL84" s="4" t="str">
        <f t="shared" si="71"/>
        <v>kırmızı · N mavi · PE sarı-yeşil</v>
      </c>
      <c r="AM84" s="4">
        <f t="shared" si="72"/>
        <v>6</v>
      </c>
      <c r="AN84" s="4" t="str">
        <f t="shared" si="73"/>
        <v/>
      </c>
      <c r="AO84" s="4" t="str">
        <f t="shared" si="74"/>
        <v>1P</v>
      </c>
    </row>
    <row r="85" spans="1:41" x14ac:dyDescent="0.35">
      <c r="A85" s="5" t="s">
        <v>186</v>
      </c>
      <c r="B85" s="5" t="s">
        <v>679</v>
      </c>
      <c r="C85" s="5" t="s">
        <v>184</v>
      </c>
      <c r="D85" s="5" t="s">
        <v>391</v>
      </c>
      <c r="E85" s="5" t="s">
        <v>680</v>
      </c>
      <c r="F85" s="5" t="s">
        <v>403</v>
      </c>
      <c r="G85" s="6"/>
      <c r="H85" s="6"/>
      <c r="I85" s="6"/>
      <c r="J85" s="5" t="s">
        <v>652</v>
      </c>
      <c r="K85" s="5">
        <v>2.5</v>
      </c>
      <c r="L85" s="5" t="s">
        <v>618</v>
      </c>
      <c r="M85" s="5" t="s">
        <v>681</v>
      </c>
      <c r="N85" s="6"/>
      <c r="O85" s="6"/>
      <c r="P85" s="4" t="str">
        <f t="shared" si="50"/>
        <v>OTO</v>
      </c>
      <c r="Q85" s="4">
        <f t="shared" si="51"/>
        <v>16</v>
      </c>
      <c r="R85" s="4">
        <f t="shared" si="52"/>
        <v>1</v>
      </c>
      <c r="S85" s="4">
        <f t="shared" si="53"/>
        <v>4.5</v>
      </c>
      <c r="T85" s="4">
        <f t="shared" si="54"/>
        <v>1</v>
      </c>
      <c r="U85" s="4" t="str">
        <f t="shared" si="55"/>
        <v/>
      </c>
      <c r="V85" s="4">
        <f t="shared" si="56"/>
        <v>2.5</v>
      </c>
      <c r="W85" s="4">
        <f t="shared" si="57"/>
        <v>1</v>
      </c>
      <c r="X85" s="4">
        <f t="shared" si="58"/>
        <v>1</v>
      </c>
      <c r="Y85" s="4">
        <f t="shared" si="59"/>
        <v>2</v>
      </c>
      <c r="Z85" s="4">
        <f t="shared" si="60"/>
        <v>3.5999999999999996</v>
      </c>
      <c r="AA85" s="4">
        <f t="shared" si="61"/>
        <v>2</v>
      </c>
      <c r="AB85" s="4">
        <f t="shared" si="62"/>
        <v>1</v>
      </c>
      <c r="AC85" s="4">
        <f t="shared" si="63"/>
        <v>2.5</v>
      </c>
      <c r="AD85" s="4">
        <f t="shared" si="64"/>
        <v>2.5</v>
      </c>
      <c r="AE85" s="4">
        <f t="shared" si="65"/>
        <v>15.600000000000001</v>
      </c>
      <c r="AF85" s="4">
        <f>IF(AND($AD85="",$I85=""),"",_xlfn.MAXIFS($AG$1:$AG84,$A$1:$A84,$A85)+1)</f>
        <v>10</v>
      </c>
      <c r="AG85" s="4">
        <f t="shared" si="66"/>
        <v>12</v>
      </c>
      <c r="AH85" s="4">
        <f t="shared" si="67"/>
        <v>1</v>
      </c>
      <c r="AI85" s="4">
        <f t="shared" si="68"/>
        <v>0</v>
      </c>
      <c r="AJ85" s="4">
        <f t="shared" si="69"/>
        <v>7</v>
      </c>
      <c r="AK85" s="4">
        <f t="shared" si="70"/>
        <v>6</v>
      </c>
      <c r="AL85" s="4" t="str">
        <f t="shared" si="71"/>
        <v>sarı · N mavi · PE sarı-yeşil</v>
      </c>
      <c r="AM85" s="4">
        <f t="shared" si="72"/>
        <v>6</v>
      </c>
      <c r="AN85" s="4" t="str">
        <f t="shared" si="73"/>
        <v/>
      </c>
      <c r="AO85" s="4" t="str">
        <f t="shared" si="74"/>
        <v>1P</v>
      </c>
    </row>
    <row r="86" spans="1:41" x14ac:dyDescent="0.35">
      <c r="A86" s="5" t="s">
        <v>186</v>
      </c>
      <c r="B86" s="5" t="s">
        <v>665</v>
      </c>
      <c r="C86" s="5" t="s">
        <v>184</v>
      </c>
      <c r="D86" s="5" t="s">
        <v>666</v>
      </c>
      <c r="E86" s="5" t="s">
        <v>665</v>
      </c>
      <c r="F86" s="5" t="s">
        <v>453</v>
      </c>
      <c r="G86" s="6"/>
      <c r="H86" s="6"/>
      <c r="I86" s="6"/>
      <c r="J86" s="6"/>
      <c r="K86" s="6"/>
      <c r="L86" s="5" t="s">
        <v>618</v>
      </c>
      <c r="M86" s="5" t="s">
        <v>682</v>
      </c>
      <c r="N86" s="6"/>
      <c r="O86" s="6"/>
      <c r="P86" s="4" t="str">
        <f t="shared" si="50"/>
        <v>OTO</v>
      </c>
      <c r="Q86" s="4">
        <f t="shared" si="51"/>
        <v>16</v>
      </c>
      <c r="R86" s="4">
        <f t="shared" si="52"/>
        <v>1</v>
      </c>
      <c r="S86" s="4">
        <f t="shared" si="53"/>
        <v>4.5</v>
      </c>
      <c r="T86" s="4">
        <f t="shared" si="54"/>
        <v>1</v>
      </c>
      <c r="U86" s="4" t="str">
        <f t="shared" si="55"/>
        <v/>
      </c>
      <c r="V86" s="4" t="str">
        <f t="shared" si="56"/>
        <v/>
      </c>
      <c r="W86" s="4" t="str">
        <f t="shared" si="57"/>
        <v/>
      </c>
      <c r="X86" s="4" t="str">
        <f t="shared" si="58"/>
        <v/>
      </c>
      <c r="Y86" s="4" t="str">
        <f t="shared" si="59"/>
        <v/>
      </c>
      <c r="Z86" s="4" t="str">
        <f t="shared" si="60"/>
        <v/>
      </c>
      <c r="AA86" s="4" t="str">
        <f t="shared" si="61"/>
        <v/>
      </c>
      <c r="AB86" s="4" t="str">
        <f t="shared" si="62"/>
        <v/>
      </c>
      <c r="AC86" s="4" t="str">
        <f t="shared" si="63"/>
        <v/>
      </c>
      <c r="AD86" s="4" t="str">
        <f t="shared" si="64"/>
        <v/>
      </c>
      <c r="AE86" s="4" t="str">
        <f t="shared" si="65"/>
        <v/>
      </c>
      <c r="AF86" s="4" t="str">
        <f>IF(AND($AD86="",$I86=""),"",_xlfn.MAXIFS($AG$1:$AG85,$A$1:$A85,$A86)+1)</f>
        <v/>
      </c>
      <c r="AG86" s="4" t="str">
        <f t="shared" si="66"/>
        <v/>
      </c>
      <c r="AH86" s="4">
        <f t="shared" si="67"/>
        <v>1</v>
      </c>
      <c r="AI86" s="4" t="str">
        <f t="shared" si="68"/>
        <v/>
      </c>
      <c r="AJ86" s="4" t="str">
        <f t="shared" si="69"/>
        <v/>
      </c>
      <c r="AK86" s="4" t="str">
        <f t="shared" si="70"/>
        <v/>
      </c>
      <c r="AL86" s="4" t="str">
        <f t="shared" si="71"/>
        <v/>
      </c>
      <c r="AM86" s="4">
        <f t="shared" si="72"/>
        <v>6</v>
      </c>
      <c r="AN86" s="4" t="str">
        <f t="shared" si="73"/>
        <v/>
      </c>
      <c r="AO86" s="4" t="str">
        <f t="shared" si="74"/>
        <v>1P</v>
      </c>
    </row>
  </sheetData>
  <autoFilter ref="A1:AP8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4" max="4" width="50" customWidth="1"/>
  </cols>
  <sheetData>
    <row r="1" spans="1:10" x14ac:dyDescent="0.35">
      <c r="A1" s="1" t="s">
        <v>16</v>
      </c>
      <c r="B1" s="1" t="s">
        <v>683</v>
      </c>
      <c r="C1" s="1" t="s">
        <v>193</v>
      </c>
      <c r="D1" s="1" t="s">
        <v>684</v>
      </c>
      <c r="E1" s="1" t="s">
        <v>685</v>
      </c>
      <c r="F1" s="1" t="s">
        <v>195</v>
      </c>
      <c r="G1" s="1" t="s">
        <v>686</v>
      </c>
      <c r="H1" s="1" t="s">
        <v>687</v>
      </c>
      <c r="I1" s="1" t="s">
        <v>14</v>
      </c>
      <c r="J1" s="1" t="s">
        <v>688</v>
      </c>
    </row>
    <row r="2" spans="1:10" x14ac:dyDescent="0.35">
      <c r="A2" s="4" t="str">
        <f>BOM!Q3</f>
        <v>P01</v>
      </c>
      <c r="B2" s="4" t="s">
        <v>689</v>
      </c>
      <c r="C2" s="4">
        <v>1</v>
      </c>
      <c r="D2" s="4" t="str">
        <f>BOM!E3</f>
        <v>Shit 2000x800x450+100mm</v>
      </c>
      <c r="E2" s="4" t="str">
        <f>IF(BOM!X3="",BOM!D3,BOM!X3)</f>
        <v>719-15696</v>
      </c>
      <c r="F2" s="4">
        <f>BOM!I3</f>
        <v>1</v>
      </c>
      <c r="G2" s="4" t="str">
        <f>BOM!J3</f>
        <v>шт</v>
      </c>
      <c r="I2" s="4" t="s">
        <v>690</v>
      </c>
    </row>
    <row r="3" spans="1:10" x14ac:dyDescent="0.35">
      <c r="A3" s="4" t="str">
        <f>BOM!Q4</f>
        <v>P01</v>
      </c>
      <c r="B3" s="4" t="s">
        <v>689</v>
      </c>
      <c r="C3" s="4">
        <v>2</v>
      </c>
      <c r="D3" s="4" t="str">
        <f>BOM!E4</f>
        <v>Авт. выкл. NXM-160S/3Р 125A 36кА</v>
      </c>
      <c r="E3" s="4" t="str">
        <f>IF(BOM!X4="",BOM!D4,BOM!X4)</f>
        <v>844326</v>
      </c>
      <c r="F3" s="4">
        <f>BOM!I4</f>
        <v>2</v>
      </c>
      <c r="G3" s="4" t="str">
        <f>BOM!J4</f>
        <v>шт</v>
      </c>
      <c r="I3" s="4" t="s">
        <v>690</v>
      </c>
    </row>
    <row r="4" spans="1:10" x14ac:dyDescent="0.35">
      <c r="A4" s="4" t="str">
        <f>BOM!Q5</f>
        <v>P01</v>
      </c>
      <c r="B4" s="4" t="s">
        <v>689</v>
      </c>
      <c r="C4" s="4">
        <v>3</v>
      </c>
      <c r="D4" s="4" t="str">
        <f>BOM!E5</f>
        <v>Счет.элек Меркурий 3ф 5 (7,5)A 230 ART-03 PQRSIDN многотариф/трансф</v>
      </c>
      <c r="E4" s="4" t="str">
        <f>IF(BOM!X5="",BOM!D5,BOM!X5)</f>
        <v>989-190-0114</v>
      </c>
      <c r="F4" s="4">
        <f>BOM!I5</f>
        <v>1</v>
      </c>
      <c r="G4" s="4" t="str">
        <f>BOM!J5</f>
        <v>шт</v>
      </c>
      <c r="I4" s="4" t="s">
        <v>690</v>
      </c>
    </row>
    <row r="5" spans="1:10" x14ac:dyDescent="0.35">
      <c r="A5" s="4" t="str">
        <f>BOM!Q6</f>
        <v>P01</v>
      </c>
      <c r="B5" s="4" t="s">
        <v>689</v>
      </c>
      <c r="C5" s="4">
        <v>4</v>
      </c>
      <c r="D5" s="4" t="str">
        <f>BOM!E6</f>
        <v>Трансформатор тока ТТИ-А 125\5А 5ВА кл.т.0,5 IEK</v>
      </c>
      <c r="E5" s="4" t="str">
        <f>IF(BOM!X6="",BOM!D6,BOM!X6)</f>
        <v>ст-9951729</v>
      </c>
      <c r="F5" s="4">
        <f>BOM!I6</f>
        <v>3</v>
      </c>
      <c r="G5" s="4" t="str">
        <f>BOM!J6</f>
        <v>шт</v>
      </c>
      <c r="I5" s="4" t="s">
        <v>690</v>
      </c>
    </row>
    <row r="6" spans="1:10" x14ac:dyDescent="0.35">
      <c r="A6" s="4" t="str">
        <f>BOM!Q7</f>
        <v>P01</v>
      </c>
      <c r="B6" s="4" t="s">
        <v>689</v>
      </c>
      <c r="C6" s="4">
        <v>5</v>
      </c>
      <c r="D6" s="4" t="str">
        <f>BOM!E7</f>
        <v>Авт. выкл. NXB-125 3P 100A 10кА х-ка C</v>
      </c>
      <c r="E6" s="4" t="str">
        <f>IF(BOM!X7="",BOM!D7,BOM!X7)</f>
        <v>816141</v>
      </c>
      <c r="F6" s="4">
        <f>BOM!I7</f>
        <v>1</v>
      </c>
      <c r="G6" s="4" t="str">
        <f>BOM!J7</f>
        <v>шт</v>
      </c>
      <c r="I6" s="4" t="s">
        <v>690</v>
      </c>
    </row>
    <row r="7" spans="1:10" x14ac:dyDescent="0.35">
      <c r="A7" s="4" t="str">
        <f>BOM!Q8</f>
        <v>P01</v>
      </c>
      <c r="B7" s="4" t="s">
        <v>689</v>
      </c>
      <c r="C7" s="4">
        <v>6</v>
      </c>
      <c r="D7" s="4" t="str">
        <f>BOM!E8</f>
        <v>Механическая блокировка MI-9 для NXC-120-225</v>
      </c>
      <c r="E7" s="4" t="str">
        <f>IF(BOM!X8="",BOM!D8,BOM!X8)</f>
        <v>263761</v>
      </c>
      <c r="F7" s="4">
        <f>BOM!I8</f>
        <v>1</v>
      </c>
      <c r="G7" s="4" t="str">
        <f>BOM!J8</f>
        <v>шт</v>
      </c>
      <c r="I7" s="4" t="s">
        <v>690</v>
      </c>
    </row>
    <row r="8" spans="1:10" x14ac:dyDescent="0.35">
      <c r="A8" s="4" t="str">
        <f>BOM!Q9</f>
        <v>P01</v>
      </c>
      <c r="B8" s="4" t="s">
        <v>689</v>
      </c>
      <c r="C8" s="4">
        <v>7</v>
      </c>
      <c r="D8" s="4" t="str">
        <f>BOM!E9</f>
        <v>Контактор 3P 125A AC-3 230V</v>
      </c>
      <c r="E8" s="4" t="str">
        <f>IF(BOM!X9="",BOM!D9,BOM!X9)</f>
        <v/>
      </c>
      <c r="F8" s="4">
        <f>BOM!I9</f>
        <v>2</v>
      </c>
      <c r="G8" s="4" t="str">
        <f>BOM!J9</f>
        <v>шт</v>
      </c>
      <c r="I8" s="4" t="s">
        <v>690</v>
      </c>
    </row>
    <row r="9" spans="1:10" x14ac:dyDescent="0.35">
      <c r="A9" s="4" t="str">
        <f>BOM!Q10</f>
        <v>P01</v>
      </c>
      <c r="B9" s="4" t="s">
        <v>689</v>
      </c>
      <c r="C9" s="4">
        <v>8</v>
      </c>
      <c r="D9" s="4" t="str">
        <f>BOM!E10</f>
        <v>Авт. выкл. NXB-63 1P 6A 6кА х-ка C</v>
      </c>
      <c r="E9" s="4" t="str">
        <f>IF(BOM!X10="",BOM!D10,BOM!X10)</f>
        <v>814012</v>
      </c>
      <c r="F9" s="4">
        <f>BOM!I10</f>
        <v>5</v>
      </c>
      <c r="G9" s="4" t="str">
        <f>BOM!J10</f>
        <v>шт</v>
      </c>
      <c r="I9" s="4" t="s">
        <v>690</v>
      </c>
    </row>
    <row r="10" spans="1:10" x14ac:dyDescent="0.35">
      <c r="A10" s="4" t="str">
        <f>BOM!Q11</f>
        <v>P01</v>
      </c>
      <c r="B10" s="4" t="s">
        <v>689</v>
      </c>
      <c r="C10" s="4">
        <v>9</v>
      </c>
      <c r="D10" s="4" t="str">
        <f>BOM!E11</f>
        <v>Реле контроля фаз NJB1-X AC380V</v>
      </c>
      <c r="E10" s="4" t="str">
        <f>IF(BOM!X11="",BOM!D11,BOM!X11)</f>
        <v>310008</v>
      </c>
      <c r="F10" s="4">
        <f>BOM!I11</f>
        <v>2</v>
      </c>
      <c r="G10" s="4" t="str">
        <f>BOM!J11</f>
        <v>шт</v>
      </c>
      <c r="I10" s="4" t="s">
        <v>690</v>
      </c>
    </row>
    <row r="11" spans="1:10" x14ac:dyDescent="0.35">
      <c r="A11" s="4" t="str">
        <f>BOM!Q12</f>
        <v>P01</v>
      </c>
      <c r="B11" s="4" t="s">
        <v>689</v>
      </c>
      <c r="C11" s="4">
        <v>10</v>
      </c>
      <c r="D11" s="4" t="str">
        <f>BOM!E12</f>
        <v>Светильник ЛПО 2001 8Вт</v>
      </c>
      <c r="E11" s="4" t="str">
        <f>IF(BOM!X12="",BOM!D12,BOM!X12)</f>
        <v/>
      </c>
      <c r="F11" s="4">
        <f>BOM!I12</f>
        <v>2</v>
      </c>
      <c r="G11" s="4" t="str">
        <f>BOM!J12</f>
        <v>шт</v>
      </c>
      <c r="I11" s="4" t="s">
        <v>690</v>
      </c>
    </row>
    <row r="12" spans="1:10" x14ac:dyDescent="0.35">
      <c r="A12" s="4" t="str">
        <f>BOM!Q13</f>
        <v>P01</v>
      </c>
      <c r="B12" s="4" t="s">
        <v>689</v>
      </c>
      <c r="C12" s="4">
        <v>11</v>
      </c>
      <c r="D12" s="4" t="str">
        <f>BOM!E13</f>
        <v/>
      </c>
      <c r="E12" s="4" t="str">
        <f>IF(BOM!X13="",BOM!D13,BOM!X13)</f>
        <v/>
      </c>
      <c r="F12" s="4">
        <f>BOM!I13</f>
        <v>1</v>
      </c>
      <c r="G12" s="4" t="str">
        <f>BOM!J13</f>
        <v/>
      </c>
      <c r="I12" s="4" t="s">
        <v>690</v>
      </c>
    </row>
    <row r="13" spans="1:10" x14ac:dyDescent="0.35">
      <c r="A13" s="4" t="str">
        <f>BOM!Q14</f>
        <v>P01</v>
      </c>
      <c r="B13" s="4" t="s">
        <v>689</v>
      </c>
      <c r="C13" s="4">
        <v>12</v>
      </c>
      <c r="D13" s="4" t="str">
        <f>BOM!E14</f>
        <v/>
      </c>
      <c r="E13" s="4" t="str">
        <f>IF(BOM!X14="",BOM!D14,BOM!X14)</f>
        <v/>
      </c>
      <c r="F13" s="4" t="str">
        <f>BOM!I14</f>
        <v/>
      </c>
      <c r="G13" s="4" t="str">
        <f>BOM!J14</f>
        <v/>
      </c>
      <c r="I13" s="4" t="s">
        <v>690</v>
      </c>
    </row>
    <row r="14" spans="1:10" x14ac:dyDescent="0.35">
      <c r="A14" s="4" t="str">
        <f>BOM!Q15</f>
        <v>P01</v>
      </c>
      <c r="B14" s="4" t="s">
        <v>689</v>
      </c>
      <c r="C14" s="4">
        <v>13</v>
      </c>
      <c r="D14" s="4" t="str">
        <f>BOM!E15</f>
        <v/>
      </c>
      <c r="E14" s="4" t="str">
        <f>IF(BOM!X15="",BOM!D15,BOM!X15)</f>
        <v/>
      </c>
      <c r="F14" s="4">
        <f>BOM!I15</f>
        <v>2</v>
      </c>
      <c r="G14" s="4" t="str">
        <f>BOM!J15</f>
        <v/>
      </c>
      <c r="I14" s="4" t="s">
        <v>690</v>
      </c>
    </row>
    <row r="15" spans="1:10" x14ac:dyDescent="0.35">
      <c r="A15" s="4" t="str">
        <f>BOM!Q16</f>
        <v>P01</v>
      </c>
      <c r="B15" s="4" t="s">
        <v>689</v>
      </c>
      <c r="C15" s="4">
        <v>14</v>
      </c>
      <c r="D15" s="4" t="str">
        <f>BOM!E16</f>
        <v/>
      </c>
      <c r="E15" s="4" t="str">
        <f>IF(BOM!X16="",BOM!D16,BOM!X16)</f>
        <v/>
      </c>
      <c r="F15" s="4" t="str">
        <f>BOM!I16</f>
        <v/>
      </c>
      <c r="G15" s="4" t="str">
        <f>BOM!J16</f>
        <v/>
      </c>
      <c r="I15" s="4" t="s">
        <v>690</v>
      </c>
    </row>
    <row r="16" spans="1:10" x14ac:dyDescent="0.35">
      <c r="A16" s="4" t="str">
        <f>BOM!Q17</f>
        <v>P01</v>
      </c>
      <c r="B16" s="4" t="s">
        <v>689</v>
      </c>
      <c r="C16" s="4">
        <v>15</v>
      </c>
      <c r="D16" s="4" t="str">
        <f>BOM!E17</f>
        <v/>
      </c>
      <c r="E16" s="4" t="str">
        <f>IF(BOM!X17="",BOM!D17,BOM!X17)</f>
        <v/>
      </c>
      <c r="F16" s="4" t="str">
        <f>BOM!I17</f>
        <v/>
      </c>
      <c r="G16" s="4" t="str">
        <f>BOM!J17</f>
        <v/>
      </c>
      <c r="I16" s="4" t="s">
        <v>690</v>
      </c>
    </row>
    <row r="17" spans="1:9" x14ac:dyDescent="0.35">
      <c r="A17" s="4" t="str">
        <f>BOM!Q18</f>
        <v>P01</v>
      </c>
      <c r="B17" s="4" t="s">
        <v>689</v>
      </c>
      <c r="C17" s="4">
        <v>16</v>
      </c>
      <c r="D17" s="4" t="str">
        <f>BOM!E18</f>
        <v/>
      </c>
      <c r="E17" s="4" t="str">
        <f>IF(BOM!X18="",BOM!D18,BOM!X18)</f>
        <v/>
      </c>
      <c r="F17" s="4" t="str">
        <f>BOM!I18</f>
        <v/>
      </c>
      <c r="G17" s="4" t="str">
        <f>BOM!J18</f>
        <v/>
      </c>
      <c r="I17" s="4" t="s">
        <v>690</v>
      </c>
    </row>
    <row r="18" spans="1:9" x14ac:dyDescent="0.35">
      <c r="A18" s="4" t="str">
        <f>BOM!Q19</f>
        <v>P01</v>
      </c>
      <c r="B18" s="4" t="s">
        <v>689</v>
      </c>
      <c r="C18" s="4">
        <v>17</v>
      </c>
      <c r="D18" s="4" t="str">
        <f>BOM!E19</f>
        <v>HARMONY ПВ3 1 1,5</v>
      </c>
      <c r="E18" s="4">
        <f>IF(BOM!X19="",BOM!D19,BOM!X19)</f>
        <v>1.5</v>
      </c>
      <c r="F18" s="4">
        <f>BOM!I19</f>
        <v>13.8</v>
      </c>
      <c r="G18" s="4" t="str">
        <f>BOM!J19</f>
        <v>м</v>
      </c>
      <c r="I18" s="4" t="s">
        <v>690</v>
      </c>
    </row>
    <row r="19" spans="1:9" x14ac:dyDescent="0.35">
      <c r="A19" s="4" t="str">
        <f>BOM!Q20</f>
        <v>P01</v>
      </c>
      <c r="B19" s="4" t="s">
        <v>689</v>
      </c>
      <c r="C19" s="4">
        <v>18</v>
      </c>
      <c r="D19" s="4" t="str">
        <f>BOM!E20</f>
        <v>HARMONY ПВ3 1 2,5</v>
      </c>
      <c r="E19" s="4">
        <f>IF(BOM!X20="",BOM!D20,BOM!X20)</f>
        <v>2.5</v>
      </c>
      <c r="F19" s="4">
        <f>BOM!I20</f>
        <v>16.5</v>
      </c>
      <c r="G19" s="4" t="str">
        <f>BOM!J20</f>
        <v>м</v>
      </c>
      <c r="I19" s="4" t="s">
        <v>690</v>
      </c>
    </row>
    <row r="20" spans="1:9" x14ac:dyDescent="0.35">
      <c r="A20" s="4" t="str">
        <f>BOM!Q21</f>
        <v>P01</v>
      </c>
      <c r="B20" s="4" t="s">
        <v>689</v>
      </c>
      <c r="C20" s="4">
        <v>19</v>
      </c>
      <c r="D20" s="4" t="str">
        <f>BOM!E21</f>
        <v>HARMONY ПВ3 1 25</v>
      </c>
      <c r="E20" s="4">
        <f>IF(BOM!X21="",BOM!D21,BOM!X21)</f>
        <v>25</v>
      </c>
      <c r="F20" s="4">
        <f>BOM!I21</f>
        <v>6.6</v>
      </c>
      <c r="G20" s="4" t="str">
        <f>BOM!J21</f>
        <v>м</v>
      </c>
      <c r="I20" s="4" t="s">
        <v>690</v>
      </c>
    </row>
    <row r="21" spans="1:9" x14ac:dyDescent="0.35">
      <c r="A21" s="4" t="str">
        <f>BOM!Q22</f>
        <v>P01</v>
      </c>
      <c r="B21" s="4" t="s">
        <v>689</v>
      </c>
      <c r="C21" s="4">
        <v>20</v>
      </c>
      <c r="D21" s="4" t="str">
        <f>BOM!E22</f>
        <v>HARMONY ПВ3 1 35</v>
      </c>
      <c r="E21" s="4">
        <f>IF(BOM!X22="",BOM!D22,BOM!X22)</f>
        <v>35</v>
      </c>
      <c r="F21" s="4">
        <f>BOM!I22</f>
        <v>5.3</v>
      </c>
      <c r="G21" s="4" t="str">
        <f>BOM!J22</f>
        <v>м</v>
      </c>
      <c r="I21" s="4" t="s">
        <v>690</v>
      </c>
    </row>
    <row r="22" spans="1:9" x14ac:dyDescent="0.35">
      <c r="A22" s="4" t="s">
        <v>30</v>
      </c>
      <c r="B22" s="4" t="s">
        <v>691</v>
      </c>
      <c r="C22" s="4">
        <v>1</v>
      </c>
      <c r="D22" s="4" t="s">
        <v>692</v>
      </c>
      <c r="E22" s="4" t="s">
        <v>188</v>
      </c>
      <c r="G22" s="4" t="s">
        <v>693</v>
      </c>
      <c r="H22" s="4">
        <f>SUMIFS(BOM!$T:$T,BOM!$Q:$Q,$A22,BOM!$R:$R,$E22)</f>
        <v>0</v>
      </c>
      <c r="I22" s="4" t="s">
        <v>694</v>
      </c>
    </row>
    <row r="23" spans="1:9" x14ac:dyDescent="0.35">
      <c r="A23" s="4" t="s">
        <v>30</v>
      </c>
      <c r="B23" s="4" t="s">
        <v>691</v>
      </c>
      <c r="C23" s="4">
        <v>2</v>
      </c>
      <c r="D23" s="4" t="s">
        <v>692</v>
      </c>
      <c r="E23" s="4" t="s">
        <v>107</v>
      </c>
      <c r="G23" s="4" t="s">
        <v>693</v>
      </c>
      <c r="H23" s="4">
        <f>SUMIFS(BOM!$T:$T,BOM!$Q:$Q,$A23,BOM!$R:$R,$E23)</f>
        <v>0</v>
      </c>
      <c r="I23" s="4" t="s">
        <v>694</v>
      </c>
    </row>
    <row r="24" spans="1:9" x14ac:dyDescent="0.35">
      <c r="A24" s="4" t="s">
        <v>30</v>
      </c>
      <c r="B24" s="4" t="s">
        <v>691</v>
      </c>
      <c r="C24" s="4">
        <v>3</v>
      </c>
      <c r="D24" s="4" t="s">
        <v>692</v>
      </c>
      <c r="E24" s="4" t="s">
        <v>33</v>
      </c>
      <c r="G24" s="4" t="s">
        <v>693</v>
      </c>
      <c r="H24" s="4">
        <f>SUMIFS(BOM!$T:$T,BOM!$Q:$Q,$A24,BOM!$R:$R,$E24)</f>
        <v>90</v>
      </c>
      <c r="I24" s="4" t="s">
        <v>694</v>
      </c>
    </row>
    <row r="25" spans="1:9" x14ac:dyDescent="0.35">
      <c r="A25" s="4" t="s">
        <v>30</v>
      </c>
      <c r="B25" s="4" t="s">
        <v>691</v>
      </c>
      <c r="C25" s="4">
        <v>4</v>
      </c>
      <c r="D25" s="4" t="s">
        <v>692</v>
      </c>
      <c r="E25" s="4" t="s">
        <v>79</v>
      </c>
      <c r="G25" s="4" t="s">
        <v>693</v>
      </c>
      <c r="H25" s="4">
        <f>SUMIFS(BOM!$T:$T,BOM!$Q:$Q,$A25,BOM!$R:$R,$E25)</f>
        <v>0</v>
      </c>
      <c r="I25" s="4" t="s">
        <v>694</v>
      </c>
    </row>
    <row r="26" spans="1:9" x14ac:dyDescent="0.35">
      <c r="A26" s="4" t="s">
        <v>30</v>
      </c>
      <c r="B26" s="4" t="s">
        <v>691</v>
      </c>
      <c r="C26" s="4">
        <v>5</v>
      </c>
      <c r="D26" s="4" t="s">
        <v>692</v>
      </c>
      <c r="E26" s="4" t="s">
        <v>83</v>
      </c>
      <c r="G26" s="4" t="s">
        <v>693</v>
      </c>
      <c r="H26" s="4">
        <f>SUMIFS(BOM!$T:$T,BOM!$Q:$Q,$A26,BOM!$R:$R,$E26)</f>
        <v>0</v>
      </c>
      <c r="I26" s="4" t="s">
        <v>694</v>
      </c>
    </row>
    <row r="27" spans="1:9" x14ac:dyDescent="0.35">
      <c r="A27" s="4" t="s">
        <v>30</v>
      </c>
      <c r="B27" s="4" t="s">
        <v>691</v>
      </c>
      <c r="C27" s="4">
        <v>6</v>
      </c>
      <c r="D27" s="4" t="s">
        <v>692</v>
      </c>
      <c r="E27" s="4" t="s">
        <v>111</v>
      </c>
      <c r="G27" s="4" t="s">
        <v>693</v>
      </c>
      <c r="H27" s="4">
        <f>SUMIFS(BOM!$T:$T,BOM!$Q:$Q,$A27,BOM!$R:$R,$E27)</f>
        <v>0</v>
      </c>
      <c r="I27" s="4" t="s">
        <v>694</v>
      </c>
    </row>
    <row r="28" spans="1:9" x14ac:dyDescent="0.35">
      <c r="A28" s="4" t="s">
        <v>30</v>
      </c>
      <c r="B28" s="4" t="s">
        <v>691</v>
      </c>
      <c r="C28" s="4">
        <v>7</v>
      </c>
      <c r="D28" s="4" t="s">
        <v>692</v>
      </c>
      <c r="E28" s="4" t="s">
        <v>38</v>
      </c>
      <c r="G28" s="4" t="s">
        <v>693</v>
      </c>
      <c r="H28" s="4">
        <f>SUMIFS(BOM!$T:$T,BOM!$Q:$Q,$A28,BOM!$R:$R,$E28)</f>
        <v>120</v>
      </c>
      <c r="I28" s="4" t="s">
        <v>694</v>
      </c>
    </row>
    <row r="29" spans="1:9" x14ac:dyDescent="0.35">
      <c r="A29" s="4" t="s">
        <v>30</v>
      </c>
      <c r="B29" s="4" t="s">
        <v>691</v>
      </c>
      <c r="C29" s="4">
        <v>8</v>
      </c>
      <c r="D29" s="4" t="s">
        <v>692</v>
      </c>
      <c r="E29" s="4" t="s">
        <v>43</v>
      </c>
      <c r="G29" s="4" t="s">
        <v>693</v>
      </c>
      <c r="H29" s="4">
        <f>SUMIFS(BOM!$T:$T,BOM!$Q:$Q,$A29,BOM!$R:$R,$E29)</f>
        <v>90</v>
      </c>
      <c r="I29" s="4" t="s">
        <v>694</v>
      </c>
    </row>
    <row r="30" spans="1:9" x14ac:dyDescent="0.35">
      <c r="A30" s="4" t="s">
        <v>30</v>
      </c>
      <c r="B30" s="4" t="s">
        <v>691</v>
      </c>
      <c r="C30" s="4">
        <v>9</v>
      </c>
      <c r="D30" s="4" t="s">
        <v>692</v>
      </c>
      <c r="E30" s="4" t="s">
        <v>165</v>
      </c>
      <c r="G30" s="4" t="s">
        <v>693</v>
      </c>
      <c r="H30" s="4">
        <f>SUMIFS(BOM!$T:$T,BOM!$Q:$Q,$A30,BOM!$R:$R,$E30)</f>
        <v>0</v>
      </c>
      <c r="I30" s="4" t="s">
        <v>694</v>
      </c>
    </row>
    <row r="31" spans="1:9" x14ac:dyDescent="0.35">
      <c r="A31" s="4" t="s">
        <v>30</v>
      </c>
      <c r="B31" s="4" t="s">
        <v>691</v>
      </c>
      <c r="C31" s="4">
        <v>10</v>
      </c>
      <c r="D31" s="4" t="s">
        <v>692</v>
      </c>
      <c r="E31" s="4" t="s">
        <v>50</v>
      </c>
      <c r="G31" s="4" t="s">
        <v>693</v>
      </c>
      <c r="H31" s="4">
        <f>SUMIFS(BOM!$T:$T,BOM!$Q:$Q,$A31,BOM!$R:$R,$E31)</f>
        <v>8</v>
      </c>
      <c r="I31" s="4" t="s">
        <v>694</v>
      </c>
    </row>
    <row r="32" spans="1:9" x14ac:dyDescent="0.35">
      <c r="A32" s="4" t="s">
        <v>30</v>
      </c>
      <c r="B32" s="4" t="s">
        <v>691</v>
      </c>
      <c r="C32" s="4">
        <v>11</v>
      </c>
      <c r="D32" s="4" t="s">
        <v>692</v>
      </c>
      <c r="E32" s="4" t="s">
        <v>150</v>
      </c>
      <c r="G32" s="4" t="s">
        <v>693</v>
      </c>
      <c r="H32" s="4">
        <f>SUMIFS(BOM!$T:$T,BOM!$Q:$Q,$A32,BOM!$R:$R,$E32)</f>
        <v>0</v>
      </c>
      <c r="I32" s="4" t="s">
        <v>694</v>
      </c>
    </row>
    <row r="33" spans="1:9" x14ac:dyDescent="0.35">
      <c r="A33" s="4" t="s">
        <v>30</v>
      </c>
      <c r="B33" s="4" t="s">
        <v>691</v>
      </c>
      <c r="C33" s="4">
        <v>12</v>
      </c>
      <c r="D33" s="4" t="s">
        <v>692</v>
      </c>
      <c r="E33" s="4" t="s">
        <v>170</v>
      </c>
      <c r="G33" s="4" t="s">
        <v>693</v>
      </c>
      <c r="H33" s="4">
        <f>SUMIFS(BOM!$T:$T,BOM!$Q:$Q,$A33,BOM!$R:$R,$E33)</f>
        <v>0</v>
      </c>
      <c r="I33" s="4" t="s">
        <v>694</v>
      </c>
    </row>
    <row r="34" spans="1:9" x14ac:dyDescent="0.35">
      <c r="A34" s="4" t="s">
        <v>30</v>
      </c>
      <c r="B34" s="4" t="s">
        <v>691</v>
      </c>
      <c r="C34" s="4">
        <v>13</v>
      </c>
      <c r="D34" s="4" t="s">
        <v>692</v>
      </c>
      <c r="E34" s="4" t="s">
        <v>123</v>
      </c>
      <c r="G34" s="4" t="s">
        <v>693</v>
      </c>
      <c r="H34" s="4">
        <f>SUMIFS(BOM!$T:$T,BOM!$Q:$Q,$A34,BOM!$R:$R,$E34)</f>
        <v>0</v>
      </c>
      <c r="I34" s="4" t="s">
        <v>694</v>
      </c>
    </row>
    <row r="35" spans="1:9" x14ac:dyDescent="0.35">
      <c r="A35" s="4" t="s">
        <v>30</v>
      </c>
      <c r="B35" s="4" t="s">
        <v>691</v>
      </c>
      <c r="C35" s="4">
        <v>14</v>
      </c>
      <c r="D35" s="4" t="s">
        <v>692</v>
      </c>
      <c r="E35" s="4" t="s">
        <v>59</v>
      </c>
      <c r="G35" s="4" t="s">
        <v>693</v>
      </c>
      <c r="H35" s="4">
        <f>SUMIFS(BOM!$T:$T,BOM!$Q:$Q,$A35,BOM!$R:$R,$E35)</f>
        <v>0</v>
      </c>
      <c r="I35" s="4" t="s">
        <v>694</v>
      </c>
    </row>
    <row r="36" spans="1:9" x14ac:dyDescent="0.35">
      <c r="A36" s="4" t="s">
        <v>30</v>
      </c>
      <c r="B36" s="4" t="s">
        <v>691</v>
      </c>
      <c r="C36" s="4">
        <v>15</v>
      </c>
      <c r="D36" s="4" t="s">
        <v>692</v>
      </c>
      <c r="E36" s="4" t="s">
        <v>66</v>
      </c>
      <c r="G36" s="4" t="s">
        <v>693</v>
      </c>
      <c r="H36" s="4">
        <f>SUMIFS(BOM!$T:$T,BOM!$Q:$Q,$A36,BOM!$R:$R,$E36)</f>
        <v>0</v>
      </c>
      <c r="I36" s="4" t="s">
        <v>694</v>
      </c>
    </row>
    <row r="37" spans="1:9" x14ac:dyDescent="0.35">
      <c r="A37" s="4" t="s">
        <v>30</v>
      </c>
      <c r="B37" s="4" t="s">
        <v>691</v>
      </c>
      <c r="C37" s="4">
        <v>16</v>
      </c>
      <c r="D37" s="4" t="s">
        <v>692</v>
      </c>
      <c r="E37" s="4" t="s">
        <v>70</v>
      </c>
      <c r="G37" s="4" t="s">
        <v>693</v>
      </c>
      <c r="H37" s="4">
        <f>SUMIFS(BOM!$T:$T,BOM!$Q:$Q,$A37,BOM!$R:$R,$E37)</f>
        <v>0</v>
      </c>
      <c r="I37" s="4" t="s">
        <v>694</v>
      </c>
    </row>
    <row r="38" spans="1:9" x14ac:dyDescent="0.35">
      <c r="A38" s="4" t="s">
        <v>30</v>
      </c>
      <c r="B38" s="4" t="s">
        <v>691</v>
      </c>
      <c r="C38" s="4">
        <v>17</v>
      </c>
      <c r="D38" s="4" t="s">
        <v>692</v>
      </c>
      <c r="E38" s="4" t="s">
        <v>62</v>
      </c>
      <c r="G38" s="4" t="s">
        <v>693</v>
      </c>
      <c r="H38" s="4">
        <f>SUMIFS(BOM!$T:$T,BOM!$Q:$Q,$A38,BOM!$R:$R,$E38)</f>
        <v>0</v>
      </c>
      <c r="I38" s="4" t="s">
        <v>694</v>
      </c>
    </row>
    <row r="39" spans="1:9" x14ac:dyDescent="0.35">
      <c r="A39" s="4" t="s">
        <v>30</v>
      </c>
      <c r="B39" s="4" t="s">
        <v>691</v>
      </c>
      <c r="C39" s="4">
        <v>18</v>
      </c>
      <c r="D39" s="4" t="s">
        <v>692</v>
      </c>
      <c r="E39" s="4" t="s">
        <v>90</v>
      </c>
      <c r="G39" s="4" t="s">
        <v>693</v>
      </c>
      <c r="H39" s="4">
        <f>SUMIFS(BOM!$T:$T,BOM!$Q:$Q,$A39,BOM!$R:$R,$E39)</f>
        <v>0</v>
      </c>
      <c r="I39" s="4" t="s">
        <v>694</v>
      </c>
    </row>
    <row r="40" spans="1:9" x14ac:dyDescent="0.35">
      <c r="A40" s="4" t="s">
        <v>30</v>
      </c>
      <c r="B40" s="4" t="s">
        <v>691</v>
      </c>
      <c r="C40" s="4">
        <v>19</v>
      </c>
      <c r="D40" s="4" t="s">
        <v>692</v>
      </c>
      <c r="E40" s="4" t="s">
        <v>136</v>
      </c>
      <c r="G40" s="4" t="s">
        <v>693</v>
      </c>
      <c r="H40" s="4">
        <f>SUMIFS(BOM!$T:$T,BOM!$Q:$Q,$A40,BOM!$R:$R,$E40)</f>
        <v>0</v>
      </c>
      <c r="I40" s="4" t="s">
        <v>694</v>
      </c>
    </row>
    <row r="41" spans="1:9" x14ac:dyDescent="0.35">
      <c r="A41" s="4" t="s">
        <v>30</v>
      </c>
      <c r="B41" s="4" t="s">
        <v>691</v>
      </c>
      <c r="C41" s="4">
        <v>20</v>
      </c>
      <c r="D41" s="4" t="s">
        <v>692</v>
      </c>
      <c r="E41" s="4" t="s">
        <v>695</v>
      </c>
      <c r="G41" s="4" t="s">
        <v>693</v>
      </c>
      <c r="H41" s="4">
        <f>SUMIFS(BOM!$T:$T,BOM!$Q:$Q,$A41,BOM!$R:$R,$E41)</f>
        <v>0</v>
      </c>
      <c r="I41" s="4" t="s">
        <v>694</v>
      </c>
    </row>
    <row r="42" spans="1:9" x14ac:dyDescent="0.35">
      <c r="A42" s="4" t="str">
        <f>DEVRE!A2</f>
        <v>P01</v>
      </c>
      <c r="B42" s="4" t="s">
        <v>696</v>
      </c>
      <c r="C42" s="4">
        <v>1</v>
      </c>
      <c r="D42" s="4" t="str">
        <f>DEVRE!B2&amp;" · "&amp;DEVRE!E2</f>
        <v>QF1 · Ввод №1 380/220В</v>
      </c>
      <c r="E42" s="4">
        <f>DEVRE!V2</f>
        <v>35</v>
      </c>
      <c r="F42" s="4">
        <f>DEVRE!Z2</f>
        <v>2.4000000000000004</v>
      </c>
      <c r="G42" s="4" t="s">
        <v>697</v>
      </c>
      <c r="I42" s="4" t="str">
        <f>DEVRE!AL2&amp;IF(DEVRE!AF2="",""," · XT "&amp;DEVRE!AF2&amp;"–"&amp;DEVRE!AG2)</f>
        <v>L1 sarı · L2 yeşil · L3 kırmızı · N mavi · PE sarı-yeşil</v>
      </c>
    </row>
    <row r="43" spans="1:9" x14ac:dyDescent="0.35">
      <c r="A43" s="4" t="str">
        <f>DEVRE!A3</f>
        <v>P01</v>
      </c>
      <c r="B43" s="4" t="s">
        <v>696</v>
      </c>
      <c r="C43" s="4">
        <v>2</v>
      </c>
      <c r="D43" s="4" t="str">
        <f>DEVRE!B3&amp;" · "&amp;DEVRE!E3</f>
        <v>QF2 · Ввод №2 380/220В</v>
      </c>
      <c r="E43" s="4">
        <f>DEVRE!V3</f>
        <v>35</v>
      </c>
      <c r="F43" s="4">
        <f>DEVRE!Z3</f>
        <v>2.4000000000000004</v>
      </c>
      <c r="G43" s="4" t="s">
        <v>697</v>
      </c>
      <c r="I43" s="4" t="str">
        <f>DEVRE!AL3&amp;IF(DEVRE!AF3="",""," · XT "&amp;DEVRE!AF3&amp;"–"&amp;DEVRE!AG3)</f>
        <v>L1 sarı · L2 yeşil · L3 kırmızı · N mavi · PE sarı-yeşil</v>
      </c>
    </row>
    <row r="44" spans="1:9" x14ac:dyDescent="0.35">
      <c r="A44" s="4" t="str">
        <f>DEVRE!A4</f>
        <v>P01</v>
      </c>
      <c r="B44" s="4" t="s">
        <v>696</v>
      </c>
      <c r="C44" s="4">
        <v>3</v>
      </c>
      <c r="D44" s="4" t="str">
        <f>DEVRE!B4&amp;" · "&amp;DEVRE!E4</f>
        <v>МС-1 · ЩР-1 59,1/38,4 кВт 64,9 А</v>
      </c>
      <c r="E44" s="4">
        <f>DEVRE!V4</f>
        <v>25</v>
      </c>
      <c r="F44" s="4">
        <f>DEVRE!Z4</f>
        <v>6</v>
      </c>
      <c r="G44" s="4" t="s">
        <v>697</v>
      </c>
      <c r="I44" s="4" t="str">
        <f>DEVRE!AL4&amp;IF(DEVRE!AF4="",""," · XT "&amp;DEVRE!AF4&amp;"–"&amp;DEVRE!AG4)</f>
        <v>L1 sarı · L2 yeşil · L3 kırmızı · N mavi · PE sarı-yeşil</v>
      </c>
    </row>
    <row r="45" spans="1:9" x14ac:dyDescent="0.35">
      <c r="A45" s="4" t="str">
        <f>DEVRE!A5</f>
        <v>P01</v>
      </c>
      <c r="B45" s="4" t="s">
        <v>696</v>
      </c>
      <c r="C45" s="4">
        <v>4</v>
      </c>
      <c r="D45" s="4" t="str">
        <f>DEVRE!B5&amp;" · "&amp;DEVRE!E5</f>
        <v>PI1 · Учет, Меркурий 230 ART-03</v>
      </c>
      <c r="E45" s="4">
        <f>DEVRE!V5</f>
        <v>2.5</v>
      </c>
      <c r="F45" s="4">
        <f>DEVRE!Z5</f>
        <v>15</v>
      </c>
      <c r="G45" s="4" t="s">
        <v>697</v>
      </c>
      <c r="I45" s="4" t="str">
        <f>DEVRE!AL5&amp;IF(DEVRE!AF5="",""," · XT "&amp;DEVRE!AF5&amp;"–"&amp;DEVRE!AG5)</f>
        <v>L1 sarı · L2 yeşil · L3 kırmızı · N mavi · PE sarı-yeşil</v>
      </c>
    </row>
    <row r="46" spans="1:9" x14ac:dyDescent="0.35">
      <c r="A46" s="4" t="str">
        <f>DEVRE!A6</f>
        <v>P01</v>
      </c>
      <c r="B46" s="4" t="s">
        <v>696</v>
      </c>
      <c r="C46" s="4">
        <v>5</v>
      </c>
      <c r="D46" s="4" t="str">
        <f>DEVRE!B6&amp;" · "&amp;DEVRE!E6</f>
        <v>QF3 · HL1, реле фаз (ввод 1)</v>
      </c>
      <c r="E46" s="4">
        <f>DEVRE!V6</f>
        <v>1.5</v>
      </c>
      <c r="F46" s="4">
        <f>DEVRE!Z6</f>
        <v>2.5</v>
      </c>
      <c r="G46" s="4" t="s">
        <v>697</v>
      </c>
      <c r="I46" s="4" t="str">
        <f>DEVRE!AL6&amp;IF(DEVRE!AF6="",""," · XT "&amp;DEVRE!AF6&amp;"–"&amp;DEVRE!AG6)</f>
        <v>siyah (AC) / mavi-kırmızı (DC)</v>
      </c>
    </row>
    <row r="47" spans="1:9" x14ac:dyDescent="0.35">
      <c r="A47" s="4" t="str">
        <f>DEVRE!A7</f>
        <v>P01</v>
      </c>
      <c r="B47" s="4" t="s">
        <v>696</v>
      </c>
      <c r="C47" s="4">
        <v>6</v>
      </c>
      <c r="D47" s="4" t="str">
        <f>DEVRE!B7&amp;" · "&amp;DEVRE!E7</f>
        <v>QF4 · HL2, реле фаз (ввод 2)</v>
      </c>
      <c r="E47" s="4">
        <f>DEVRE!V7</f>
        <v>1.5</v>
      </c>
      <c r="F47" s="4">
        <f>DEVRE!Z7</f>
        <v>2.5</v>
      </c>
      <c r="G47" s="4" t="s">
        <v>697</v>
      </c>
      <c r="I47" s="4" t="str">
        <f>DEVRE!AL7&amp;IF(DEVRE!AF7="",""," · XT "&amp;DEVRE!AF7&amp;"–"&amp;DEVRE!AG7)</f>
        <v>siyah (AC) / mavi-kırmızı (DC)</v>
      </c>
    </row>
    <row r="48" spans="1:9" x14ac:dyDescent="0.35">
      <c r="A48" s="4" t="str">
        <f>DEVRE!A8</f>
        <v>P01</v>
      </c>
      <c r="B48" s="4" t="s">
        <v>696</v>
      </c>
      <c r="C48" s="4">
        <v>7</v>
      </c>
      <c r="D48" s="4" t="str">
        <f>DEVRE!B8&amp;" · "&amp;DEVRE!E8</f>
        <v>QF-OTO1 · АВР kontrol ünitesi</v>
      </c>
      <c r="E48" s="4">
        <f>DEVRE!V8</f>
        <v>1.5</v>
      </c>
      <c r="F48" s="4">
        <f>DEVRE!Z8</f>
        <v>2.5</v>
      </c>
      <c r="G48" s="4" t="s">
        <v>697</v>
      </c>
      <c r="I48" s="4" t="str">
        <f>DEVRE!AL8&amp;IF(DEVRE!AF8="",""," · XT "&amp;DEVRE!AF8&amp;"–"&amp;DEVRE!AG8)</f>
        <v>siyah (AC) / mavi-kırmızı (DC)</v>
      </c>
    </row>
    <row r="49" spans="1:9" x14ac:dyDescent="0.35">
      <c r="A49" s="4" t="str">
        <f>DEVRE!A9</f>
        <v>P01</v>
      </c>
      <c r="B49" s="4" t="s">
        <v>696</v>
      </c>
      <c r="C49" s="4">
        <v>8</v>
      </c>
      <c r="D49" s="4" t="str">
        <f>DEVRE!B9&amp;" · "&amp;DEVRE!E9</f>
        <v>QF-OTO2 · ölçü / sayaç gerilim devresi</v>
      </c>
      <c r="E49" s="4">
        <f>DEVRE!V9</f>
        <v>1.5</v>
      </c>
      <c r="F49" s="4">
        <f>DEVRE!Z9</f>
        <v>2.5</v>
      </c>
      <c r="G49" s="4" t="s">
        <v>697</v>
      </c>
      <c r="I49" s="4" t="str">
        <f>DEVRE!AL9&amp;IF(DEVRE!AF9="",""," · XT "&amp;DEVRE!AF9&amp;"–"&amp;DEVRE!AG9)</f>
        <v>siyah (AC) / mavi-kırmızı (DC)</v>
      </c>
    </row>
    <row r="50" spans="1:9" x14ac:dyDescent="0.35">
      <c r="A50" s="4" t="str">
        <f>DEVRE!A10</f>
        <v>P01</v>
      </c>
      <c r="B50" s="4" t="s">
        <v>696</v>
      </c>
      <c r="C50" s="4">
        <v>9</v>
      </c>
      <c r="D50" s="4" t="str">
        <f>DEVRE!B10&amp;" · "&amp;DEVRE!E10</f>
        <v>QF-OTO3 · iç aydınlatma</v>
      </c>
      <c r="E50" s="4">
        <f>DEVRE!V10</f>
        <v>1.5</v>
      </c>
      <c r="F50" s="4">
        <f>DEVRE!Z10</f>
        <v>2.5</v>
      </c>
      <c r="G50" s="4" t="s">
        <v>697</v>
      </c>
      <c r="I50" s="4" t="str">
        <f>DEVRE!AL10&amp;IF(DEVRE!AF10="",""," · XT "&amp;DEVRE!AF10&amp;"–"&amp;DEVRE!AG10)</f>
        <v>siyah (AC) / mavi-kırmızı (DC)</v>
      </c>
    </row>
    <row r="51" spans="1:9" x14ac:dyDescent="0.35">
      <c r="A51" s="4" t="s">
        <v>30</v>
      </c>
      <c r="B51" s="4" t="s">
        <v>698</v>
      </c>
      <c r="C51" s="4">
        <v>10</v>
      </c>
      <c r="D51" s="4" t="s">
        <v>699</v>
      </c>
      <c r="F51" s="4">
        <f>SUMIFS(DEVRE!$AI:$AI,DEVRE!$A:$A,$A51)</f>
        <v>22</v>
      </c>
      <c r="G51" s="4" t="s">
        <v>700</v>
      </c>
      <c r="I51" s="4" t="s">
        <v>701</v>
      </c>
    </row>
    <row r="52" spans="1:9" x14ac:dyDescent="0.35">
      <c r="A52" s="4" t="s">
        <v>30</v>
      </c>
      <c r="B52" s="4" t="s">
        <v>698</v>
      </c>
      <c r="C52" s="4">
        <v>11</v>
      </c>
      <c r="D52" s="4" t="s">
        <v>702</v>
      </c>
      <c r="F52" s="4">
        <f>SUMIFS(DEVRE!$AJ:$AJ,DEVRE!$A:$A,$A52)</f>
        <v>22</v>
      </c>
      <c r="G52" s="4" t="s">
        <v>700</v>
      </c>
      <c r="I52" s="4" t="s">
        <v>703</v>
      </c>
    </row>
    <row r="53" spans="1:9" x14ac:dyDescent="0.35">
      <c r="A53" s="4" t="s">
        <v>30</v>
      </c>
      <c r="B53" s="4" t="s">
        <v>698</v>
      </c>
      <c r="C53" s="4">
        <v>12</v>
      </c>
      <c r="D53" s="4" t="s">
        <v>704</v>
      </c>
      <c r="F53" s="4">
        <f>SUMIFS(DEVRE!$AK:$AK,DEVRE!$A:$A,$A53)</f>
        <v>38</v>
      </c>
      <c r="G53" s="4" t="s">
        <v>700</v>
      </c>
      <c r="I53" s="4" t="s">
        <v>705</v>
      </c>
    </row>
    <row r="54" spans="1:9" x14ac:dyDescent="0.35">
      <c r="A54" s="4" t="s">
        <v>30</v>
      </c>
      <c r="B54" s="4" t="s">
        <v>698</v>
      </c>
      <c r="C54" s="4">
        <v>13</v>
      </c>
      <c r="D54" s="4" t="s">
        <v>706</v>
      </c>
      <c r="F54" s="4" t="str">
        <f>IF(PANO!R5="","",2*(PANO!R5+1))</f>
        <v/>
      </c>
      <c r="G54" s="4" t="s">
        <v>700</v>
      </c>
      <c r="I54" s="4" t="s">
        <v>707</v>
      </c>
    </row>
    <row r="55" spans="1:9" x14ac:dyDescent="0.35">
      <c r="A55" s="4" t="s">
        <v>30</v>
      </c>
      <c r="B55" s="4" t="s">
        <v>698</v>
      </c>
      <c r="C55" s="4">
        <v>14</v>
      </c>
      <c r="D55" s="4" t="s">
        <v>708</v>
      </c>
      <c r="E55" s="4" t="s">
        <v>709</v>
      </c>
      <c r="F55" s="4">
        <v>1</v>
      </c>
      <c r="G55" s="4" t="s">
        <v>700</v>
      </c>
      <c r="I55" s="4" t="s">
        <v>710</v>
      </c>
    </row>
    <row r="56" spans="1:9" x14ac:dyDescent="0.35">
      <c r="A56" s="4" t="s">
        <v>30</v>
      </c>
      <c r="B56" s="4" t="s">
        <v>711</v>
      </c>
      <c r="C56" s="4">
        <v>1</v>
      </c>
      <c r="D56" s="4" t="s">
        <v>712</v>
      </c>
      <c r="I56" s="4" t="s">
        <v>713</v>
      </c>
    </row>
    <row r="57" spans="1:9" x14ac:dyDescent="0.35">
      <c r="A57" s="4" t="s">
        <v>30</v>
      </c>
      <c r="B57" s="4" t="s">
        <v>711</v>
      </c>
      <c r="C57" s="4">
        <v>2</v>
      </c>
      <c r="D57" s="4" t="s">
        <v>714</v>
      </c>
      <c r="I57" s="4" t="s">
        <v>713</v>
      </c>
    </row>
    <row r="58" spans="1:9" x14ac:dyDescent="0.35">
      <c r="A58" s="4" t="s">
        <v>30</v>
      </c>
      <c r="B58" s="4" t="s">
        <v>711</v>
      </c>
      <c r="C58" s="4">
        <v>3</v>
      </c>
      <c r="D58" s="4" t="s">
        <v>715</v>
      </c>
      <c r="I58" s="4" t="s">
        <v>713</v>
      </c>
    </row>
    <row r="59" spans="1:9" x14ac:dyDescent="0.35">
      <c r="A59" s="4" t="s">
        <v>30</v>
      </c>
      <c r="B59" s="4" t="s">
        <v>711</v>
      </c>
      <c r="C59" s="4">
        <v>4</v>
      </c>
      <c r="D59" s="4" t="s">
        <v>716</v>
      </c>
      <c r="I59" s="4" t="s">
        <v>713</v>
      </c>
    </row>
    <row r="60" spans="1:9" x14ac:dyDescent="0.35">
      <c r="A60" s="4" t="s">
        <v>30</v>
      </c>
      <c r="B60" s="4" t="s">
        <v>711</v>
      </c>
      <c r="C60" s="4">
        <v>5</v>
      </c>
      <c r="D60" s="4" t="s">
        <v>717</v>
      </c>
      <c r="I60" s="4" t="s">
        <v>713</v>
      </c>
    </row>
    <row r="61" spans="1:9" x14ac:dyDescent="0.35">
      <c r="A61" s="4" t="s">
        <v>30</v>
      </c>
      <c r="B61" s="4" t="s">
        <v>711</v>
      </c>
      <c r="C61" s="4">
        <v>6</v>
      </c>
      <c r="D61" s="4" t="s">
        <v>718</v>
      </c>
      <c r="I61" s="4" t="s">
        <v>713</v>
      </c>
    </row>
    <row r="62" spans="1:9" x14ac:dyDescent="0.35">
      <c r="A62" s="4" t="s">
        <v>30</v>
      </c>
      <c r="B62" s="4" t="s">
        <v>711</v>
      </c>
      <c r="C62" s="4">
        <v>7</v>
      </c>
      <c r="D62" s="4" t="s">
        <v>719</v>
      </c>
      <c r="I62" s="4" t="s">
        <v>713</v>
      </c>
    </row>
    <row r="63" spans="1:9" x14ac:dyDescent="0.35">
      <c r="A63" s="4" t="s">
        <v>30</v>
      </c>
      <c r="B63" s="4" t="s">
        <v>711</v>
      </c>
      <c r="C63" s="4">
        <v>8</v>
      </c>
      <c r="D63" s="4" t="s">
        <v>720</v>
      </c>
      <c r="I63" s="4" t="s">
        <v>713</v>
      </c>
    </row>
    <row r="64" spans="1:9" x14ac:dyDescent="0.35">
      <c r="A64" s="4" t="s">
        <v>30</v>
      </c>
      <c r="B64" s="4" t="s">
        <v>711</v>
      </c>
      <c r="C64" s="4">
        <v>9</v>
      </c>
      <c r="D64" s="4" t="s">
        <v>721</v>
      </c>
      <c r="I64" s="4" t="s">
        <v>713</v>
      </c>
    </row>
    <row r="65" spans="1:9" x14ac:dyDescent="0.35">
      <c r="A65" s="4" t="str">
        <f>BOM!Q27</f>
        <v>P02</v>
      </c>
      <c r="B65" s="4" t="s">
        <v>689</v>
      </c>
      <c r="C65" s="4">
        <v>1</v>
      </c>
      <c r="D65" s="4" t="str">
        <f>BOM!E27</f>
        <v>Щит мет.ЩРн-36 б/o (540х310х120) S/U 36 IP54</v>
      </c>
      <c r="E65" s="4" t="str">
        <f>IF(BOM!X27="",BOM!D27,BOM!X27)</f>
        <v>714-15070</v>
      </c>
      <c r="F65" s="4">
        <f>BOM!I27</f>
        <v>1</v>
      </c>
      <c r="G65" s="4" t="str">
        <f>BOM!J27</f>
        <v>шт</v>
      </c>
      <c r="I65" s="4" t="s">
        <v>690</v>
      </c>
    </row>
    <row r="66" spans="1:9" x14ac:dyDescent="0.35">
      <c r="A66" s="4" t="str">
        <f>BOM!Q28</f>
        <v>P02</v>
      </c>
      <c r="B66" s="4" t="s">
        <v>689</v>
      </c>
      <c r="C66" s="4">
        <v>2</v>
      </c>
      <c r="D66" s="4" t="str">
        <f>BOM!E28</f>
        <v>Выключатель нагрузки NXHB-125 3P 100A</v>
      </c>
      <c r="E66" s="4" t="str">
        <f>IF(BOM!X28="",BOM!D28,BOM!X28)</f>
        <v>193185</v>
      </c>
      <c r="F66" s="4">
        <f>BOM!I28</f>
        <v>1</v>
      </c>
      <c r="G66" s="4" t="str">
        <f>BOM!J28</f>
        <v>шт</v>
      </c>
      <c r="I66" s="4" t="s">
        <v>690</v>
      </c>
    </row>
    <row r="67" spans="1:9" x14ac:dyDescent="0.35">
      <c r="A67" s="4" t="str">
        <f>BOM!Q29</f>
        <v>P02</v>
      </c>
      <c r="B67" s="4" t="s">
        <v>689</v>
      </c>
      <c r="C67" s="4">
        <v>3</v>
      </c>
      <c r="D67" s="4" t="str">
        <f>BOM!E29</f>
        <v>Авт. выкл. NXB-63 3P 40A 6кА х-ка C</v>
      </c>
      <c r="E67" s="4" t="str">
        <f>IF(BOM!X29="",BOM!D29,BOM!X29)</f>
        <v>814174</v>
      </c>
      <c r="F67" s="4">
        <f>BOM!I29</f>
        <v>2</v>
      </c>
      <c r="G67" s="4" t="str">
        <f>BOM!J29</f>
        <v>шт</v>
      </c>
      <c r="I67" s="4" t="s">
        <v>690</v>
      </c>
    </row>
    <row r="68" spans="1:9" x14ac:dyDescent="0.35">
      <c r="A68" s="4" t="str">
        <f>BOM!Q30</f>
        <v>P02</v>
      </c>
      <c r="B68" s="4" t="s">
        <v>689</v>
      </c>
      <c r="C68" s="4">
        <v>4</v>
      </c>
      <c r="D68" s="4" t="str">
        <f>BOM!E30</f>
        <v>Авт. выкл. NXB-63 3P 50A 6кА х-ка C</v>
      </c>
      <c r="E68" s="4" t="str">
        <f>IF(BOM!X30="",BOM!D30,BOM!X30)</f>
        <v>814175</v>
      </c>
      <c r="F68" s="4">
        <f>BOM!I30</f>
        <v>1</v>
      </c>
      <c r="G68" s="4" t="str">
        <f>BOM!J30</f>
        <v>шт</v>
      </c>
      <c r="I68" s="4" t="s">
        <v>690</v>
      </c>
    </row>
    <row r="69" spans="1:9" x14ac:dyDescent="0.35">
      <c r="A69" s="4" t="str">
        <f>BOM!Q31</f>
        <v>P02</v>
      </c>
      <c r="B69" s="4" t="s">
        <v>689</v>
      </c>
      <c r="C69" s="4">
        <v>5</v>
      </c>
      <c r="D69" s="4" t="str">
        <f>BOM!E31</f>
        <v>Авт. выкл. NXB-63 3P 32A 6кА х-ка C</v>
      </c>
      <c r="E69" s="4" t="str">
        <f>IF(BOM!X31="",BOM!D31,BOM!X31)</f>
        <v>814173</v>
      </c>
      <c r="F69" s="4">
        <f>BOM!I31</f>
        <v>1</v>
      </c>
      <c r="G69" s="4" t="str">
        <f>BOM!J31</f>
        <v>шт</v>
      </c>
      <c r="I69" s="4" t="s">
        <v>690</v>
      </c>
    </row>
    <row r="70" spans="1:9" x14ac:dyDescent="0.35">
      <c r="A70" s="4" t="str">
        <f>BOM!Q32</f>
        <v>P02</v>
      </c>
      <c r="B70" s="4" t="s">
        <v>689</v>
      </c>
      <c r="C70" s="4">
        <v>6</v>
      </c>
      <c r="D70" s="4" t="str">
        <f>BOM!E32</f>
        <v>Авт. выкл. NXB-63 3P 25A 6кА х-ка C</v>
      </c>
      <c r="E70" s="4" t="str">
        <f>IF(BOM!X32="",BOM!D32,BOM!X32)</f>
        <v>814172</v>
      </c>
      <c r="F70" s="4">
        <f>BOM!I32</f>
        <v>2</v>
      </c>
      <c r="G70" s="4" t="str">
        <f>BOM!J32</f>
        <v>шт</v>
      </c>
      <c r="I70" s="4" t="s">
        <v>690</v>
      </c>
    </row>
    <row r="71" spans="1:9" x14ac:dyDescent="0.35">
      <c r="A71" s="4" t="str">
        <f>BOM!Q33</f>
        <v>P02</v>
      </c>
      <c r="B71" s="4" t="s">
        <v>689</v>
      </c>
      <c r="C71" s="4">
        <v>7</v>
      </c>
      <c r="D71" s="4" t="str">
        <f>BOM!E33</f>
        <v>Шина соединительная типа PIN 3P, 63А, L=1000мм</v>
      </c>
      <c r="E71" s="4" t="str">
        <f>IF(BOM!X33="",BOM!D33,BOM!X33)</f>
        <v>3P</v>
      </c>
      <c r="F71" s="4">
        <f>BOM!I33</f>
        <v>2</v>
      </c>
      <c r="G71" s="4" t="str">
        <f>BOM!J33</f>
        <v>шт</v>
      </c>
      <c r="I71" s="4" t="s">
        <v>690</v>
      </c>
    </row>
    <row r="72" spans="1:9" x14ac:dyDescent="0.35">
      <c r="A72" s="4" t="str">
        <f>BOM!Q34</f>
        <v>P02</v>
      </c>
      <c r="B72" s="4" t="s">
        <v>689</v>
      </c>
      <c r="C72" s="4">
        <v>8</v>
      </c>
      <c r="D72" s="4" t="str">
        <f>BOM!E34</f>
        <v/>
      </c>
      <c r="E72" s="4" t="str">
        <f>IF(BOM!X34="",BOM!D34,BOM!X34)</f>
        <v/>
      </c>
      <c r="F72" s="4">
        <f>BOM!I34</f>
        <v>2</v>
      </c>
      <c r="G72" s="4" t="str">
        <f>BOM!J34</f>
        <v/>
      </c>
      <c r="I72" s="4" t="s">
        <v>690</v>
      </c>
    </row>
    <row r="73" spans="1:9" x14ac:dyDescent="0.35">
      <c r="A73" s="4" t="str">
        <f>BOM!Q35</f>
        <v>P02</v>
      </c>
      <c r="B73" s="4" t="s">
        <v>689</v>
      </c>
      <c r="C73" s="4">
        <v>9</v>
      </c>
      <c r="D73" s="4" t="str">
        <f>BOM!E35</f>
        <v/>
      </c>
      <c r="E73" s="4" t="str">
        <f>IF(BOM!X35="",BOM!D35,BOM!X35)</f>
        <v/>
      </c>
      <c r="F73" s="4" t="str">
        <f>BOM!I35</f>
        <v/>
      </c>
      <c r="G73" s="4" t="str">
        <f>BOM!J35</f>
        <v/>
      </c>
      <c r="I73" s="4" t="s">
        <v>690</v>
      </c>
    </row>
    <row r="74" spans="1:9" x14ac:dyDescent="0.35">
      <c r="A74" s="4" t="str">
        <f>BOM!Q36</f>
        <v>P02</v>
      </c>
      <c r="B74" s="4" t="s">
        <v>689</v>
      </c>
      <c r="C74" s="4">
        <v>10</v>
      </c>
      <c r="D74" s="4" t="str">
        <f>BOM!E36</f>
        <v>Лоток перфорированный 50х 50х3000 (0,7 мм) EKT</v>
      </c>
      <c r="E74" s="4" t="str">
        <f>IF(BOM!X36="",BOM!D36,BOM!X36)</f>
        <v>280300704</v>
      </c>
      <c r="F74" s="4" t="str">
        <f>BOM!I36</f>
        <v/>
      </c>
      <c r="G74" s="4" t="str">
        <f>BOM!J36</f>
        <v>м</v>
      </c>
      <c r="I74" s="4" t="s">
        <v>690</v>
      </c>
    </row>
    <row r="75" spans="1:9" x14ac:dyDescent="0.35">
      <c r="A75" s="4" t="str">
        <f>BOM!Q37</f>
        <v>P02</v>
      </c>
      <c r="B75" s="4" t="s">
        <v>689</v>
      </c>
      <c r="C75" s="4">
        <v>11</v>
      </c>
      <c r="D75" s="4" t="str">
        <f>BOM!E37</f>
        <v>Крышка на лоток осн. 50мм. (0,6 мм) EKT</v>
      </c>
      <c r="E75" s="4" t="str">
        <f>IF(BOM!X37="",BOM!D37,BOM!X37)</f>
        <v>280300718</v>
      </c>
      <c r="F75" s="4" t="str">
        <f>BOM!I37</f>
        <v/>
      </c>
      <c r="G75" s="4" t="str">
        <f>BOM!J37</f>
        <v>м</v>
      </c>
      <c r="I75" s="4" t="s">
        <v>690</v>
      </c>
    </row>
    <row r="76" spans="1:9" x14ac:dyDescent="0.35">
      <c r="A76" s="4" t="str">
        <f>BOM!Q38</f>
        <v>P02</v>
      </c>
      <c r="B76" s="4" t="s">
        <v>689</v>
      </c>
      <c r="C76" s="4">
        <v>12</v>
      </c>
      <c r="D76" s="4" t="str">
        <f>BOM!E38</f>
        <v>HARMONY ПВ3 1 4</v>
      </c>
      <c r="E76" s="4">
        <f>IF(BOM!X38="",BOM!D38,BOM!X38)</f>
        <v>4</v>
      </c>
      <c r="F76" s="4">
        <f>BOM!I38</f>
        <v>13.2</v>
      </c>
      <c r="G76" s="4" t="str">
        <f>BOM!J38</f>
        <v>м</v>
      </c>
      <c r="I76" s="4" t="s">
        <v>690</v>
      </c>
    </row>
    <row r="77" spans="1:9" x14ac:dyDescent="0.35">
      <c r="A77" s="4" t="str">
        <f>BOM!Q39</f>
        <v>P02</v>
      </c>
      <c r="B77" s="4" t="s">
        <v>689</v>
      </c>
      <c r="C77" s="4">
        <v>13</v>
      </c>
      <c r="D77" s="4" t="str">
        <f>BOM!E39</f>
        <v>HARMONY ПВ3 1 6</v>
      </c>
      <c r="E77" s="4">
        <f>IF(BOM!X39="",BOM!D39,BOM!X39)</f>
        <v>6</v>
      </c>
      <c r="F77" s="4">
        <f>BOM!I39</f>
        <v>19.8</v>
      </c>
      <c r="G77" s="4" t="str">
        <f>BOM!J39</f>
        <v>м</v>
      </c>
      <c r="I77" s="4" t="s">
        <v>690</v>
      </c>
    </row>
    <row r="78" spans="1:9" x14ac:dyDescent="0.35">
      <c r="A78" s="4" t="str">
        <f>BOM!Q40</f>
        <v>P02</v>
      </c>
      <c r="B78" s="4" t="s">
        <v>689</v>
      </c>
      <c r="C78" s="4">
        <v>14</v>
      </c>
      <c r="D78" s="4" t="str">
        <f>BOM!E40</f>
        <v>HARMONY ПВ3 1 10</v>
      </c>
      <c r="E78" s="4">
        <f>IF(BOM!X40="",BOM!D40,BOM!X40)</f>
        <v>10</v>
      </c>
      <c r="F78" s="4">
        <f>BOM!I40</f>
        <v>6.6</v>
      </c>
      <c r="G78" s="4" t="str">
        <f>BOM!J40</f>
        <v>м</v>
      </c>
      <c r="I78" s="4" t="s">
        <v>690</v>
      </c>
    </row>
    <row r="79" spans="1:9" x14ac:dyDescent="0.35">
      <c r="A79" s="4" t="str">
        <f>BOM!Q41</f>
        <v>P02</v>
      </c>
      <c r="B79" s="4" t="s">
        <v>689</v>
      </c>
      <c r="C79" s="4">
        <v>15</v>
      </c>
      <c r="D79" s="4" t="str">
        <f>BOM!E41</f>
        <v>HARMONY ПВ3 1 25</v>
      </c>
      <c r="E79" s="4">
        <f>IF(BOM!X41="",BOM!D41,BOM!X41)</f>
        <v>25</v>
      </c>
      <c r="F79" s="4">
        <f>BOM!I41</f>
        <v>4</v>
      </c>
      <c r="G79" s="4" t="str">
        <f>BOM!J41</f>
        <v>м</v>
      </c>
      <c r="I79" s="4" t="s">
        <v>690</v>
      </c>
    </row>
    <row r="80" spans="1:9" x14ac:dyDescent="0.35">
      <c r="A80" s="4" t="str">
        <f>BOM!Q42</f>
        <v>P02</v>
      </c>
      <c r="B80" s="4" t="s">
        <v>689</v>
      </c>
      <c r="C80" s="4">
        <v>16</v>
      </c>
      <c r="D80" s="4" t="str">
        <f>BOM!E42</f>
        <v>ЗНИ 4мм ² (35А) серый IEK</v>
      </c>
      <c r="E80" s="4">
        <f>IF(BOM!X42="",BOM!D42,BOM!X42)</f>
        <v>4</v>
      </c>
      <c r="F80" s="4">
        <f>BOM!I42</f>
        <v>12</v>
      </c>
      <c r="G80" s="4" t="str">
        <f>BOM!J42</f>
        <v>шт</v>
      </c>
      <c r="I80" s="4" t="s">
        <v>690</v>
      </c>
    </row>
    <row r="81" spans="1:9" x14ac:dyDescent="0.35">
      <c r="A81" s="4" t="str">
        <f>BOM!Q43</f>
        <v>P02</v>
      </c>
      <c r="B81" s="4" t="s">
        <v>689</v>
      </c>
      <c r="C81" s="4">
        <v>17</v>
      </c>
      <c r="D81" s="4" t="str">
        <f>BOM!E43</f>
        <v>Зажим наборный ЗНИ - 4PEN 4мм2 (JXB-земля) IEK</v>
      </c>
      <c r="E81" s="4">
        <f>IF(BOM!X43="",BOM!D43,BOM!X43)</f>
        <v>4</v>
      </c>
      <c r="F81" s="4">
        <f>BOM!I43</f>
        <v>3</v>
      </c>
      <c r="G81" s="4" t="str">
        <f>BOM!J43</f>
        <v>шт</v>
      </c>
      <c r="I81" s="4" t="s">
        <v>690</v>
      </c>
    </row>
    <row r="82" spans="1:9" x14ac:dyDescent="0.35">
      <c r="A82" s="4" t="str">
        <f>BOM!Q44</f>
        <v>P02</v>
      </c>
      <c r="B82" s="4" t="s">
        <v>689</v>
      </c>
      <c r="C82" s="4">
        <v>18</v>
      </c>
      <c r="D82" s="4" t="str">
        <f>BOM!E44</f>
        <v>ЗНИ 10мм ² (70А) серый IEK</v>
      </c>
      <c r="E82" s="4">
        <f>IF(BOM!X44="",BOM!D44,BOM!X44)</f>
        <v>10</v>
      </c>
      <c r="F82" s="4">
        <f>BOM!I44</f>
        <v>20</v>
      </c>
      <c r="G82" s="4" t="str">
        <f>BOM!J44</f>
        <v>шт</v>
      </c>
      <c r="I82" s="4" t="s">
        <v>690</v>
      </c>
    </row>
    <row r="83" spans="1:9" x14ac:dyDescent="0.35">
      <c r="A83" s="4" t="str">
        <f>BOM!Q45</f>
        <v>P02</v>
      </c>
      <c r="B83" s="4" t="s">
        <v>689</v>
      </c>
      <c r="C83" s="4">
        <v>19</v>
      </c>
      <c r="D83" s="4" t="str">
        <f>BOM!E45</f>
        <v>ЗНИ 10PEN 10мм2 (JXB-земля) IEK E-PRO</v>
      </c>
      <c r="E83" s="4">
        <f>IF(BOM!X45="",BOM!D45,BOM!X45)</f>
        <v>10</v>
      </c>
      <c r="F83" s="4">
        <f>BOM!I45</f>
        <v>5</v>
      </c>
      <c r="G83" s="4" t="str">
        <f>BOM!J45</f>
        <v>шт</v>
      </c>
      <c r="I83" s="4" t="s">
        <v>690</v>
      </c>
    </row>
    <row r="84" spans="1:9" x14ac:dyDescent="0.35">
      <c r="A84" s="4" t="s">
        <v>105</v>
      </c>
      <c r="B84" s="4" t="s">
        <v>691</v>
      </c>
      <c r="C84" s="4">
        <v>1</v>
      </c>
      <c r="D84" s="4" t="s">
        <v>692</v>
      </c>
      <c r="E84" s="4" t="s">
        <v>188</v>
      </c>
      <c r="G84" s="4" t="s">
        <v>693</v>
      </c>
      <c r="H84" s="4">
        <f>SUMIFS(BOM!$T:$T,BOM!$Q:$Q,$A84,BOM!$R:$R,$E84)</f>
        <v>0</v>
      </c>
      <c r="I84" s="4" t="s">
        <v>694</v>
      </c>
    </row>
    <row r="85" spans="1:9" x14ac:dyDescent="0.35">
      <c r="A85" s="4" t="s">
        <v>105</v>
      </c>
      <c r="B85" s="4" t="s">
        <v>691</v>
      </c>
      <c r="C85" s="4">
        <v>2</v>
      </c>
      <c r="D85" s="4" t="s">
        <v>692</v>
      </c>
      <c r="E85" s="4" t="s">
        <v>107</v>
      </c>
      <c r="G85" s="4" t="s">
        <v>693</v>
      </c>
      <c r="H85" s="4">
        <f>SUMIFS(BOM!$T:$T,BOM!$Q:$Q,$A85,BOM!$R:$R,$E85)</f>
        <v>30</v>
      </c>
      <c r="I85" s="4" t="s">
        <v>694</v>
      </c>
    </row>
    <row r="86" spans="1:9" x14ac:dyDescent="0.35">
      <c r="A86" s="4" t="s">
        <v>105</v>
      </c>
      <c r="B86" s="4" t="s">
        <v>691</v>
      </c>
      <c r="C86" s="4">
        <v>3</v>
      </c>
      <c r="D86" s="4" t="s">
        <v>692</v>
      </c>
      <c r="E86" s="4" t="s">
        <v>33</v>
      </c>
      <c r="G86" s="4" t="s">
        <v>693</v>
      </c>
      <c r="H86" s="4">
        <f>SUMIFS(BOM!$T:$T,BOM!$Q:$Q,$A86,BOM!$R:$R,$E86)</f>
        <v>0</v>
      </c>
      <c r="I86" s="4" t="s">
        <v>694</v>
      </c>
    </row>
    <row r="87" spans="1:9" x14ac:dyDescent="0.35">
      <c r="A87" s="4" t="s">
        <v>105</v>
      </c>
      <c r="B87" s="4" t="s">
        <v>691</v>
      </c>
      <c r="C87" s="4">
        <v>4</v>
      </c>
      <c r="D87" s="4" t="s">
        <v>692</v>
      </c>
      <c r="E87" s="4" t="s">
        <v>79</v>
      </c>
      <c r="G87" s="4" t="s">
        <v>693</v>
      </c>
      <c r="H87" s="4">
        <f>SUMIFS(BOM!$T:$T,BOM!$Q:$Q,$A87,BOM!$R:$R,$E87)</f>
        <v>0</v>
      </c>
      <c r="I87" s="4" t="s">
        <v>694</v>
      </c>
    </row>
    <row r="88" spans="1:9" x14ac:dyDescent="0.35">
      <c r="A88" s="4" t="s">
        <v>105</v>
      </c>
      <c r="B88" s="4" t="s">
        <v>691</v>
      </c>
      <c r="C88" s="4">
        <v>5</v>
      </c>
      <c r="D88" s="4" t="s">
        <v>692</v>
      </c>
      <c r="E88" s="4" t="s">
        <v>83</v>
      </c>
      <c r="G88" s="4" t="s">
        <v>693</v>
      </c>
      <c r="H88" s="4">
        <f>SUMIFS(BOM!$T:$T,BOM!$Q:$Q,$A88,BOM!$R:$R,$E88)</f>
        <v>0</v>
      </c>
      <c r="I88" s="4" t="s">
        <v>694</v>
      </c>
    </row>
    <row r="89" spans="1:9" x14ac:dyDescent="0.35">
      <c r="A89" s="4" t="s">
        <v>105</v>
      </c>
      <c r="B89" s="4" t="s">
        <v>691</v>
      </c>
      <c r="C89" s="4">
        <v>6</v>
      </c>
      <c r="D89" s="4" t="s">
        <v>692</v>
      </c>
      <c r="E89" s="4" t="s">
        <v>111</v>
      </c>
      <c r="G89" s="4" t="s">
        <v>693</v>
      </c>
      <c r="H89" s="4">
        <f>SUMIFS(BOM!$T:$T,BOM!$Q:$Q,$A89,BOM!$R:$R,$E89)</f>
        <v>45</v>
      </c>
      <c r="I89" s="4" t="s">
        <v>694</v>
      </c>
    </row>
    <row r="90" spans="1:9" x14ac:dyDescent="0.35">
      <c r="A90" s="4" t="s">
        <v>105</v>
      </c>
      <c r="B90" s="4" t="s">
        <v>691</v>
      </c>
      <c r="C90" s="4">
        <v>7</v>
      </c>
      <c r="D90" s="4" t="s">
        <v>692</v>
      </c>
      <c r="E90" s="4" t="s">
        <v>38</v>
      </c>
      <c r="G90" s="4" t="s">
        <v>693</v>
      </c>
      <c r="H90" s="4">
        <f>SUMIFS(BOM!$T:$T,BOM!$Q:$Q,$A90,BOM!$R:$R,$E90)</f>
        <v>0</v>
      </c>
      <c r="I90" s="4" t="s">
        <v>694</v>
      </c>
    </row>
    <row r="91" spans="1:9" x14ac:dyDescent="0.35">
      <c r="A91" s="4" t="s">
        <v>105</v>
      </c>
      <c r="B91" s="4" t="s">
        <v>691</v>
      </c>
      <c r="C91" s="4">
        <v>8</v>
      </c>
      <c r="D91" s="4" t="s">
        <v>692</v>
      </c>
      <c r="E91" s="4" t="s">
        <v>43</v>
      </c>
      <c r="G91" s="4" t="s">
        <v>693</v>
      </c>
      <c r="H91" s="4">
        <f>SUMIFS(BOM!$T:$T,BOM!$Q:$Q,$A91,BOM!$R:$R,$E91)</f>
        <v>0</v>
      </c>
      <c r="I91" s="4" t="s">
        <v>694</v>
      </c>
    </row>
    <row r="92" spans="1:9" x14ac:dyDescent="0.35">
      <c r="A92" s="4" t="s">
        <v>105</v>
      </c>
      <c r="B92" s="4" t="s">
        <v>691</v>
      </c>
      <c r="C92" s="4">
        <v>9</v>
      </c>
      <c r="D92" s="4" t="s">
        <v>692</v>
      </c>
      <c r="E92" s="4" t="s">
        <v>165</v>
      </c>
      <c r="G92" s="4" t="s">
        <v>693</v>
      </c>
      <c r="H92" s="4">
        <f>SUMIFS(BOM!$T:$T,BOM!$Q:$Q,$A92,BOM!$R:$R,$E92)</f>
        <v>0</v>
      </c>
      <c r="I92" s="4" t="s">
        <v>694</v>
      </c>
    </row>
    <row r="93" spans="1:9" x14ac:dyDescent="0.35">
      <c r="A93" s="4" t="s">
        <v>105</v>
      </c>
      <c r="B93" s="4" t="s">
        <v>691</v>
      </c>
      <c r="C93" s="4">
        <v>10</v>
      </c>
      <c r="D93" s="4" t="s">
        <v>692</v>
      </c>
      <c r="E93" s="4" t="s">
        <v>50</v>
      </c>
      <c r="G93" s="4" t="s">
        <v>693</v>
      </c>
      <c r="H93" s="4">
        <f>SUMIFS(BOM!$T:$T,BOM!$Q:$Q,$A93,BOM!$R:$R,$E93)</f>
        <v>48</v>
      </c>
      <c r="I93" s="4" t="s">
        <v>694</v>
      </c>
    </row>
    <row r="94" spans="1:9" x14ac:dyDescent="0.35">
      <c r="A94" s="4" t="s">
        <v>105</v>
      </c>
      <c r="B94" s="4" t="s">
        <v>691</v>
      </c>
      <c r="C94" s="4">
        <v>11</v>
      </c>
      <c r="D94" s="4" t="s">
        <v>692</v>
      </c>
      <c r="E94" s="4" t="s">
        <v>150</v>
      </c>
      <c r="G94" s="4" t="s">
        <v>693</v>
      </c>
      <c r="H94" s="4">
        <f>SUMIFS(BOM!$T:$T,BOM!$Q:$Q,$A94,BOM!$R:$R,$E94)</f>
        <v>0</v>
      </c>
      <c r="I94" s="4" t="s">
        <v>694</v>
      </c>
    </row>
    <row r="95" spans="1:9" x14ac:dyDescent="0.35">
      <c r="A95" s="4" t="s">
        <v>105</v>
      </c>
      <c r="B95" s="4" t="s">
        <v>691</v>
      </c>
      <c r="C95" s="4">
        <v>12</v>
      </c>
      <c r="D95" s="4" t="s">
        <v>692</v>
      </c>
      <c r="E95" s="4" t="s">
        <v>170</v>
      </c>
      <c r="G95" s="4" t="s">
        <v>693</v>
      </c>
      <c r="H95" s="4">
        <f>SUMIFS(BOM!$T:$T,BOM!$Q:$Q,$A95,BOM!$R:$R,$E95)</f>
        <v>0</v>
      </c>
      <c r="I95" s="4" t="s">
        <v>694</v>
      </c>
    </row>
    <row r="96" spans="1:9" x14ac:dyDescent="0.35">
      <c r="A96" s="4" t="s">
        <v>105</v>
      </c>
      <c r="B96" s="4" t="s">
        <v>691</v>
      </c>
      <c r="C96" s="4">
        <v>13</v>
      </c>
      <c r="D96" s="4" t="s">
        <v>692</v>
      </c>
      <c r="E96" s="4" t="s">
        <v>123</v>
      </c>
      <c r="G96" s="4" t="s">
        <v>693</v>
      </c>
      <c r="H96" s="4">
        <f>SUMIFS(BOM!$T:$T,BOM!$Q:$Q,$A96,BOM!$R:$R,$E96)</f>
        <v>20</v>
      </c>
      <c r="I96" s="4" t="s">
        <v>694</v>
      </c>
    </row>
    <row r="97" spans="1:9" x14ac:dyDescent="0.35">
      <c r="A97" s="4" t="s">
        <v>105</v>
      </c>
      <c r="B97" s="4" t="s">
        <v>691</v>
      </c>
      <c r="C97" s="4">
        <v>14</v>
      </c>
      <c r="D97" s="4" t="s">
        <v>692</v>
      </c>
      <c r="E97" s="4" t="s">
        <v>59</v>
      </c>
      <c r="G97" s="4" t="s">
        <v>693</v>
      </c>
      <c r="H97" s="4">
        <f>SUMIFS(BOM!$T:$T,BOM!$Q:$Q,$A97,BOM!$R:$R,$E97)</f>
        <v>0</v>
      </c>
      <c r="I97" s="4" t="s">
        <v>694</v>
      </c>
    </row>
    <row r="98" spans="1:9" x14ac:dyDescent="0.35">
      <c r="A98" s="4" t="s">
        <v>105</v>
      </c>
      <c r="B98" s="4" t="s">
        <v>691</v>
      </c>
      <c r="C98" s="4">
        <v>15</v>
      </c>
      <c r="D98" s="4" t="s">
        <v>692</v>
      </c>
      <c r="E98" s="4" t="s">
        <v>66</v>
      </c>
      <c r="G98" s="4" t="s">
        <v>693</v>
      </c>
      <c r="H98" s="4">
        <f>SUMIFS(BOM!$T:$T,BOM!$Q:$Q,$A98,BOM!$R:$R,$E98)</f>
        <v>0</v>
      </c>
      <c r="I98" s="4" t="s">
        <v>694</v>
      </c>
    </row>
    <row r="99" spans="1:9" x14ac:dyDescent="0.35">
      <c r="A99" s="4" t="s">
        <v>105</v>
      </c>
      <c r="B99" s="4" t="s">
        <v>691</v>
      </c>
      <c r="C99" s="4">
        <v>16</v>
      </c>
      <c r="D99" s="4" t="s">
        <v>692</v>
      </c>
      <c r="E99" s="4" t="s">
        <v>70</v>
      </c>
      <c r="G99" s="4" t="s">
        <v>693</v>
      </c>
      <c r="H99" s="4">
        <f>SUMIFS(BOM!$T:$T,BOM!$Q:$Q,$A99,BOM!$R:$R,$E99)</f>
        <v>0</v>
      </c>
      <c r="I99" s="4" t="s">
        <v>694</v>
      </c>
    </row>
    <row r="100" spans="1:9" x14ac:dyDescent="0.35">
      <c r="A100" s="4" t="s">
        <v>105</v>
      </c>
      <c r="B100" s="4" t="s">
        <v>691</v>
      </c>
      <c r="C100" s="4">
        <v>17</v>
      </c>
      <c r="D100" s="4" t="s">
        <v>692</v>
      </c>
      <c r="E100" s="4" t="s">
        <v>62</v>
      </c>
      <c r="G100" s="4" t="s">
        <v>693</v>
      </c>
      <c r="H100" s="4">
        <f>SUMIFS(BOM!$T:$T,BOM!$Q:$Q,$A100,BOM!$R:$R,$E100)</f>
        <v>0</v>
      </c>
      <c r="I100" s="4" t="s">
        <v>694</v>
      </c>
    </row>
    <row r="101" spans="1:9" x14ac:dyDescent="0.35">
      <c r="A101" s="4" t="s">
        <v>105</v>
      </c>
      <c r="B101" s="4" t="s">
        <v>691</v>
      </c>
      <c r="C101" s="4">
        <v>18</v>
      </c>
      <c r="D101" s="4" t="s">
        <v>692</v>
      </c>
      <c r="E101" s="4" t="s">
        <v>90</v>
      </c>
      <c r="G101" s="4" t="s">
        <v>693</v>
      </c>
      <c r="H101" s="4">
        <f>SUMIFS(BOM!$T:$T,BOM!$Q:$Q,$A101,BOM!$R:$R,$E101)</f>
        <v>0</v>
      </c>
      <c r="I101" s="4" t="s">
        <v>694</v>
      </c>
    </row>
    <row r="102" spans="1:9" x14ac:dyDescent="0.35">
      <c r="A102" s="4" t="s">
        <v>105</v>
      </c>
      <c r="B102" s="4" t="s">
        <v>691</v>
      </c>
      <c r="C102" s="4">
        <v>19</v>
      </c>
      <c r="D102" s="4" t="s">
        <v>692</v>
      </c>
      <c r="E102" s="4" t="s">
        <v>136</v>
      </c>
      <c r="G102" s="4" t="s">
        <v>693</v>
      </c>
      <c r="H102" s="4">
        <f>SUMIFS(BOM!$T:$T,BOM!$Q:$Q,$A102,BOM!$R:$R,$E102)</f>
        <v>160</v>
      </c>
      <c r="I102" s="4" t="s">
        <v>694</v>
      </c>
    </row>
    <row r="103" spans="1:9" x14ac:dyDescent="0.35">
      <c r="A103" s="4" t="s">
        <v>105</v>
      </c>
      <c r="B103" s="4" t="s">
        <v>691</v>
      </c>
      <c r="C103" s="4">
        <v>20</v>
      </c>
      <c r="D103" s="4" t="s">
        <v>692</v>
      </c>
      <c r="E103" s="4" t="s">
        <v>695</v>
      </c>
      <c r="G103" s="4" t="s">
        <v>693</v>
      </c>
      <c r="H103" s="4">
        <f>SUMIFS(BOM!$T:$T,BOM!$Q:$Q,$A103,BOM!$R:$R,$E103)</f>
        <v>0</v>
      </c>
      <c r="I103" s="4" t="s">
        <v>694</v>
      </c>
    </row>
    <row r="104" spans="1:9" x14ac:dyDescent="0.35">
      <c r="A104" s="4" t="str">
        <f>DEVRE!A11</f>
        <v>P02</v>
      </c>
      <c r="B104" s="4" t="s">
        <v>696</v>
      </c>
      <c r="C104" s="4">
        <v>1</v>
      </c>
      <c r="D104" s="4" t="str">
        <f>DEVRE!B11&amp;" · "&amp;DEVRE!E11</f>
        <v>QS · Ввод ~380/220В от ВРУ-1 (МР-1)</v>
      </c>
      <c r="E104" s="4">
        <f>DEVRE!V11</f>
        <v>25</v>
      </c>
      <c r="F104" s="4">
        <f>DEVRE!Z11</f>
        <v>3.5999999999999996</v>
      </c>
      <c r="G104" s="4" t="s">
        <v>697</v>
      </c>
      <c r="I104" s="4" t="str">
        <f>DEVRE!AL11&amp;IF(DEVRE!AF11="",""," · XT "&amp;DEVRE!AF11&amp;"–"&amp;DEVRE!AG11)</f>
        <v>L1 sarı · L2 yeşil · L3 kırmızı · N mavi · PE sarı-yeşil</v>
      </c>
    </row>
    <row r="105" spans="1:9" x14ac:dyDescent="0.35">
      <c r="A105" s="4" t="str">
        <f>DEVRE!A12</f>
        <v>P02</v>
      </c>
      <c r="B105" s="4" t="s">
        <v>696</v>
      </c>
      <c r="C105" s="4">
        <v>2</v>
      </c>
      <c r="D105" s="4" t="str">
        <f>DEVRE!B12&amp;" · "&amp;DEVRE!E12</f>
        <v>МС-1 · ЩС-1 10,81 кВт</v>
      </c>
      <c r="E105" s="4">
        <f>DEVRE!V12</f>
        <v>6</v>
      </c>
      <c r="F105" s="4">
        <f>DEVRE!Z12</f>
        <v>6</v>
      </c>
      <c r="G105" s="4" t="s">
        <v>697</v>
      </c>
      <c r="I105" s="4" t="str">
        <f>DEVRE!AL12&amp;IF(DEVRE!AF12="",""," · XT "&amp;DEVRE!AF12&amp;"–"&amp;DEVRE!AG12)</f>
        <v>L1 sarı · L2 yeşil · L3 kırmızı · N mavi · PE sarı-yeşil · XT 1–5</v>
      </c>
    </row>
    <row r="106" spans="1:9" x14ac:dyDescent="0.35">
      <c r="A106" s="4" t="str">
        <f>DEVRE!A13</f>
        <v>P02</v>
      </c>
      <c r="B106" s="4" t="s">
        <v>696</v>
      </c>
      <c r="C106" s="4">
        <v>3</v>
      </c>
      <c r="D106" s="4" t="str">
        <f>DEVRE!B13&amp;" · "&amp;DEVRE!E13</f>
        <v>МС-2 · ЩС-2 25,4 кВт</v>
      </c>
      <c r="E106" s="4">
        <f>DEVRE!V13</f>
        <v>10</v>
      </c>
      <c r="F106" s="4">
        <f>DEVRE!Z13</f>
        <v>6</v>
      </c>
      <c r="G106" s="4" t="s">
        <v>697</v>
      </c>
      <c r="I106" s="4" t="str">
        <f>DEVRE!AL13&amp;IF(DEVRE!AF13="",""," · XT "&amp;DEVRE!AF13&amp;"–"&amp;DEVRE!AG13)</f>
        <v>L1 sarı · L2 yeşil · L3 kırmızı · N mavi · PE sarı-yeşil · XT 6–10</v>
      </c>
    </row>
    <row r="107" spans="1:9" x14ac:dyDescent="0.35">
      <c r="A107" s="4" t="str">
        <f>DEVRE!A14</f>
        <v>P02</v>
      </c>
      <c r="B107" s="4" t="s">
        <v>696</v>
      </c>
      <c r="C107" s="4">
        <v>4</v>
      </c>
      <c r="D107" s="4" t="str">
        <f>DEVRE!B14&amp;" · "&amp;DEVRE!E14</f>
        <v>МВ-1 · ЩВ-1 9,722 кВт</v>
      </c>
      <c r="E107" s="4">
        <f>DEVRE!V14</f>
        <v>6</v>
      </c>
      <c r="F107" s="4">
        <f>DEVRE!Z14</f>
        <v>6</v>
      </c>
      <c r="G107" s="4" t="s">
        <v>697</v>
      </c>
      <c r="I107" s="4" t="str">
        <f>DEVRE!AL14&amp;IF(DEVRE!AF14="",""," · XT "&amp;DEVRE!AF14&amp;"–"&amp;DEVRE!AG14)</f>
        <v>L1 sarı · L2 yeşil · L3 kırmızı · N mavi · PE sarı-yeşil · XT 11–15</v>
      </c>
    </row>
    <row r="108" spans="1:9" x14ac:dyDescent="0.35">
      <c r="A108" s="4" t="str">
        <f>DEVRE!A15</f>
        <v>P02</v>
      </c>
      <c r="B108" s="4" t="s">
        <v>696</v>
      </c>
      <c r="C108" s="4">
        <v>5</v>
      </c>
      <c r="D108" s="4" t="str">
        <f>DEVRE!B15&amp;" · "&amp;DEVRE!E15</f>
        <v>МО-1 · ЩО-1 10,535 кВт</v>
      </c>
      <c r="E108" s="4">
        <f>DEVRE!V15</f>
        <v>6</v>
      </c>
      <c r="F108" s="4">
        <f>DEVRE!Z15</f>
        <v>6</v>
      </c>
      <c r="G108" s="4" t="s">
        <v>697</v>
      </c>
      <c r="I108" s="4" t="str">
        <f>DEVRE!AL15&amp;IF(DEVRE!AF15="",""," · XT "&amp;DEVRE!AF15&amp;"–"&amp;DEVRE!AG15)</f>
        <v>L1 sarı · L2 yeşil · L3 kırmızı · N mavi · PE sarı-yeşil · XT 16–20</v>
      </c>
    </row>
    <row r="109" spans="1:9" x14ac:dyDescent="0.35">
      <c r="A109" s="4" t="str">
        <f>DEVRE!A16</f>
        <v>P02</v>
      </c>
      <c r="B109" s="4" t="s">
        <v>696</v>
      </c>
      <c r="C109" s="4">
        <v>6</v>
      </c>
      <c r="D109" s="4" t="str">
        <f>DEVRE!B16&amp;" · "&amp;DEVRE!E16</f>
        <v>МАО-1 · ЩАО-1 2,497 кВт</v>
      </c>
      <c r="E109" s="4">
        <f>DEVRE!V16</f>
        <v>4</v>
      </c>
      <c r="F109" s="4">
        <f>DEVRE!Z16</f>
        <v>6</v>
      </c>
      <c r="G109" s="4" t="s">
        <v>697</v>
      </c>
      <c r="I109" s="4" t="str">
        <f>DEVRE!AL16&amp;IF(DEVRE!AF16="",""," · XT "&amp;DEVRE!AF16&amp;"–"&amp;DEVRE!AG16)</f>
        <v>L1 sarı · L2 yeşil · L3 kırmızı · N mavi · PE sarı-yeşil · XT 21–25</v>
      </c>
    </row>
    <row r="110" spans="1:9" x14ac:dyDescent="0.35">
      <c r="A110" s="4" t="str">
        <f>DEVRE!A17</f>
        <v>P02</v>
      </c>
      <c r="B110" s="4" t="s">
        <v>696</v>
      </c>
      <c r="C110" s="4">
        <v>7</v>
      </c>
      <c r="D110" s="4" t="str">
        <f>DEVRE!B17&amp;" · "&amp;DEVRE!E17</f>
        <v>МСН-1 · ПКП-1 0,2 кВт</v>
      </c>
      <c r="E110" s="4">
        <f>DEVRE!V17</f>
        <v>4</v>
      </c>
      <c r="F110" s="4">
        <f>DEVRE!Z17</f>
        <v>6</v>
      </c>
      <c r="G110" s="4" t="s">
        <v>697</v>
      </c>
      <c r="I110" s="4" t="str">
        <f>DEVRE!AL17&amp;IF(DEVRE!AF17="",""," · XT "&amp;DEVRE!AF17&amp;"–"&amp;DEVRE!AG17)</f>
        <v>L1 sarı · L2 yeşil · L3 kırmızı · N mavi · PE sarı-yeşil · XT 26–30</v>
      </c>
    </row>
    <row r="111" spans="1:9" x14ac:dyDescent="0.35">
      <c r="A111" s="4" t="s">
        <v>105</v>
      </c>
      <c r="B111" s="4" t="s">
        <v>698</v>
      </c>
      <c r="C111" s="4">
        <v>8</v>
      </c>
      <c r="D111" s="4" t="s">
        <v>699</v>
      </c>
      <c r="F111" s="4">
        <f>SUMIFS(DEVRE!$AI:$AI,DEVRE!$A:$A,$A111)</f>
        <v>6</v>
      </c>
      <c r="G111" s="4" t="s">
        <v>700</v>
      </c>
      <c r="I111" s="4" t="s">
        <v>701</v>
      </c>
    </row>
    <row r="112" spans="1:9" x14ac:dyDescent="0.35">
      <c r="A112" s="4" t="s">
        <v>105</v>
      </c>
      <c r="B112" s="4" t="s">
        <v>698</v>
      </c>
      <c r="C112" s="4">
        <v>9</v>
      </c>
      <c r="D112" s="4" t="s">
        <v>702</v>
      </c>
      <c r="F112" s="4">
        <f>SUMIFS(DEVRE!$AJ:$AJ,DEVRE!$A:$A,$A112)</f>
        <v>66</v>
      </c>
      <c r="G112" s="4" t="s">
        <v>700</v>
      </c>
      <c r="I112" s="4" t="s">
        <v>703</v>
      </c>
    </row>
    <row r="113" spans="1:9" x14ac:dyDescent="0.35">
      <c r="A113" s="4" t="s">
        <v>105</v>
      </c>
      <c r="B113" s="4" t="s">
        <v>698</v>
      </c>
      <c r="C113" s="4">
        <v>10</v>
      </c>
      <c r="D113" s="4" t="s">
        <v>704</v>
      </c>
      <c r="F113" s="4">
        <f>SUMIFS(DEVRE!$AK:$AK,DEVRE!$A:$A,$A113)</f>
        <v>66</v>
      </c>
      <c r="G113" s="4" t="s">
        <v>700</v>
      </c>
      <c r="I113" s="4" t="s">
        <v>705</v>
      </c>
    </row>
    <row r="114" spans="1:9" x14ac:dyDescent="0.35">
      <c r="A114" s="4" t="s">
        <v>105</v>
      </c>
      <c r="B114" s="4" t="s">
        <v>698</v>
      </c>
      <c r="C114" s="4">
        <v>11</v>
      </c>
      <c r="D114" s="4" t="s">
        <v>706</v>
      </c>
      <c r="F114" s="4" t="str">
        <f>IF(PANO!R6="","",2*(PANO!R6+1))</f>
        <v/>
      </c>
      <c r="G114" s="4" t="s">
        <v>700</v>
      </c>
      <c r="I114" s="4" t="s">
        <v>707</v>
      </c>
    </row>
    <row r="115" spans="1:9" x14ac:dyDescent="0.35">
      <c r="A115" s="4" t="s">
        <v>105</v>
      </c>
      <c r="B115" s="4" t="s">
        <v>698</v>
      </c>
      <c r="C115" s="4">
        <v>12</v>
      </c>
      <c r="D115" s="4" t="s">
        <v>708</v>
      </c>
      <c r="E115" s="4" t="s">
        <v>709</v>
      </c>
      <c r="F115" s="4">
        <v>1</v>
      </c>
      <c r="G115" s="4" t="s">
        <v>700</v>
      </c>
      <c r="I115" s="4" t="s">
        <v>710</v>
      </c>
    </row>
    <row r="116" spans="1:9" x14ac:dyDescent="0.35">
      <c r="A116" s="4" t="s">
        <v>105</v>
      </c>
      <c r="B116" s="4" t="s">
        <v>711</v>
      </c>
      <c r="C116" s="4">
        <v>1</v>
      </c>
      <c r="D116" s="4" t="s">
        <v>712</v>
      </c>
      <c r="I116" s="4" t="s">
        <v>713</v>
      </c>
    </row>
    <row r="117" spans="1:9" x14ac:dyDescent="0.35">
      <c r="A117" s="4" t="s">
        <v>105</v>
      </c>
      <c r="B117" s="4" t="s">
        <v>711</v>
      </c>
      <c r="C117" s="4">
        <v>2</v>
      </c>
      <c r="D117" s="4" t="s">
        <v>714</v>
      </c>
      <c r="I117" s="4" t="s">
        <v>713</v>
      </c>
    </row>
    <row r="118" spans="1:9" x14ac:dyDescent="0.35">
      <c r="A118" s="4" t="s">
        <v>105</v>
      </c>
      <c r="B118" s="4" t="s">
        <v>711</v>
      </c>
      <c r="C118" s="4">
        <v>3</v>
      </c>
      <c r="D118" s="4" t="s">
        <v>715</v>
      </c>
      <c r="I118" s="4" t="s">
        <v>713</v>
      </c>
    </row>
    <row r="119" spans="1:9" x14ac:dyDescent="0.35">
      <c r="A119" s="4" t="s">
        <v>105</v>
      </c>
      <c r="B119" s="4" t="s">
        <v>711</v>
      </c>
      <c r="C119" s="4">
        <v>4</v>
      </c>
      <c r="D119" s="4" t="s">
        <v>716</v>
      </c>
      <c r="I119" s="4" t="s">
        <v>713</v>
      </c>
    </row>
    <row r="120" spans="1:9" x14ac:dyDescent="0.35">
      <c r="A120" s="4" t="s">
        <v>105</v>
      </c>
      <c r="B120" s="4" t="s">
        <v>711</v>
      </c>
      <c r="C120" s="4">
        <v>5</v>
      </c>
      <c r="D120" s="4" t="s">
        <v>717</v>
      </c>
      <c r="I120" s="4" t="s">
        <v>713</v>
      </c>
    </row>
    <row r="121" spans="1:9" x14ac:dyDescent="0.35">
      <c r="A121" s="4" t="s">
        <v>105</v>
      </c>
      <c r="B121" s="4" t="s">
        <v>711</v>
      </c>
      <c r="C121" s="4">
        <v>6</v>
      </c>
      <c r="D121" s="4" t="s">
        <v>718</v>
      </c>
      <c r="I121" s="4" t="s">
        <v>713</v>
      </c>
    </row>
    <row r="122" spans="1:9" x14ac:dyDescent="0.35">
      <c r="A122" s="4" t="s">
        <v>105</v>
      </c>
      <c r="B122" s="4" t="s">
        <v>711</v>
      </c>
      <c r="C122" s="4">
        <v>7</v>
      </c>
      <c r="D122" s="4" t="s">
        <v>719</v>
      </c>
      <c r="I122" s="4" t="s">
        <v>713</v>
      </c>
    </row>
    <row r="123" spans="1:9" x14ac:dyDescent="0.35">
      <c r="A123" s="4" t="s">
        <v>105</v>
      </c>
      <c r="B123" s="4" t="s">
        <v>711</v>
      </c>
      <c r="C123" s="4">
        <v>8</v>
      </c>
      <c r="D123" s="4" t="s">
        <v>720</v>
      </c>
      <c r="I123" s="4" t="s">
        <v>713</v>
      </c>
    </row>
    <row r="124" spans="1:9" x14ac:dyDescent="0.35">
      <c r="A124" s="4" t="s">
        <v>105</v>
      </c>
      <c r="B124" s="4" t="s">
        <v>711</v>
      </c>
      <c r="C124" s="4">
        <v>9</v>
      </c>
      <c r="D124" s="4" t="s">
        <v>721</v>
      </c>
      <c r="I124" s="4" t="s">
        <v>713</v>
      </c>
    </row>
    <row r="125" spans="1:9" x14ac:dyDescent="0.35">
      <c r="A125" s="4" t="str">
        <f>BOM!Q50</f>
        <v>P03</v>
      </c>
      <c r="B125" s="4" t="s">
        <v>689</v>
      </c>
      <c r="C125" s="4">
        <v>1</v>
      </c>
      <c r="D125" s="4" t="str">
        <f>BOM!E50</f>
        <v>Met. Щит Щит ЩРв инд (1000х500х180mm) S/A IP31</v>
      </c>
      <c r="E125" s="4" t="str">
        <f>IF(BOM!X50="",BOM!D50,BOM!X50)</f>
        <v>713-15050</v>
      </c>
      <c r="F125" s="4">
        <f>BOM!I50</f>
        <v>1</v>
      </c>
      <c r="G125" s="4" t="str">
        <f>BOM!J50</f>
        <v>шт</v>
      </c>
      <c r="I125" s="4" t="s">
        <v>690</v>
      </c>
    </row>
    <row r="126" spans="1:9" x14ac:dyDescent="0.35">
      <c r="A126" s="4" t="str">
        <f>BOM!Q51</f>
        <v>P03</v>
      </c>
      <c r="B126" s="4" t="s">
        <v>689</v>
      </c>
      <c r="C126" s="4">
        <v>2</v>
      </c>
      <c r="D126" s="4" t="str">
        <f>BOM!E51</f>
        <v>Выключатель нагрузки NXHB-125 3P 63A</v>
      </c>
      <c r="E126" s="4" t="str">
        <f>IF(BOM!X51="",BOM!D51,BOM!X51)</f>
        <v>193183</v>
      </c>
      <c r="F126" s="4">
        <f>BOM!I51</f>
        <v>1</v>
      </c>
      <c r="G126" s="4" t="str">
        <f>BOM!J51</f>
        <v>шт</v>
      </c>
      <c r="I126" s="4" t="s">
        <v>690</v>
      </c>
    </row>
    <row r="127" spans="1:9" x14ac:dyDescent="0.35">
      <c r="A127" s="4" t="str">
        <f>BOM!Q52</f>
        <v>P03</v>
      </c>
      <c r="B127" s="4" t="s">
        <v>689</v>
      </c>
      <c r="C127" s="4">
        <v>3</v>
      </c>
      <c r="D127" s="4" t="str">
        <f>BOM!E52</f>
        <v>Диф. авт. выкл. NXBLE-63 2P C16 30mA тип AC 6kA</v>
      </c>
      <c r="E127" s="4" t="str">
        <f>IF(BOM!X52="",BOM!D52,BOM!X52)</f>
        <v>819977</v>
      </c>
      <c r="F127" s="4">
        <f>BOM!I52</f>
        <v>13</v>
      </c>
      <c r="G127" s="4" t="str">
        <f>BOM!J52</f>
        <v>шт</v>
      </c>
      <c r="I127" s="4" t="s">
        <v>690</v>
      </c>
    </row>
    <row r="128" spans="1:9" x14ac:dyDescent="0.35">
      <c r="A128" s="4" t="str">
        <f>BOM!Q53</f>
        <v>P03</v>
      </c>
      <c r="B128" s="4" t="s">
        <v>689</v>
      </c>
      <c r="C128" s="4">
        <v>4</v>
      </c>
      <c r="D128" s="4" t="str">
        <f>BOM!E53</f>
        <v>Шина соединительная типа PIN 2P, 63А, L=1000мм</v>
      </c>
      <c r="E128" s="4" t="str">
        <f>IF(BOM!X53="",BOM!D53,BOM!X53)</f>
        <v>2P</v>
      </c>
      <c r="F128" s="4">
        <f>BOM!I53</f>
        <v>3</v>
      </c>
      <c r="G128" s="4" t="str">
        <f>BOM!J53</f>
        <v>шт</v>
      </c>
      <c r="I128" s="4" t="s">
        <v>690</v>
      </c>
    </row>
    <row r="129" spans="1:9" x14ac:dyDescent="0.35">
      <c r="A129" s="4" t="str">
        <f>BOM!Q54</f>
        <v>P03</v>
      </c>
      <c r="B129" s="4" t="s">
        <v>689</v>
      </c>
      <c r="C129" s="4">
        <v>5</v>
      </c>
      <c r="D129" s="4" t="str">
        <f>BOM!E54</f>
        <v/>
      </c>
      <c r="E129" s="4" t="str">
        <f>IF(BOM!X54="",BOM!D54,BOM!X54)</f>
        <v/>
      </c>
      <c r="F129" s="4">
        <f>BOM!I54</f>
        <v>2</v>
      </c>
      <c r="G129" s="4" t="str">
        <f>BOM!J54</f>
        <v/>
      </c>
      <c r="I129" s="4" t="s">
        <v>690</v>
      </c>
    </row>
    <row r="130" spans="1:9" x14ac:dyDescent="0.35">
      <c r="A130" s="4" t="str">
        <f>BOM!Q55</f>
        <v>P03</v>
      </c>
      <c r="B130" s="4" t="s">
        <v>689</v>
      </c>
      <c r="C130" s="4">
        <v>6</v>
      </c>
      <c r="D130" s="4" t="str">
        <f>BOM!E55</f>
        <v/>
      </c>
      <c r="E130" s="4" t="str">
        <f>IF(BOM!X55="",BOM!D55,BOM!X55)</f>
        <v/>
      </c>
      <c r="F130" s="4" t="str">
        <f>BOM!I55</f>
        <v/>
      </c>
      <c r="G130" s="4" t="str">
        <f>BOM!J55</f>
        <v/>
      </c>
      <c r="I130" s="4" t="s">
        <v>690</v>
      </c>
    </row>
    <row r="131" spans="1:9" x14ac:dyDescent="0.35">
      <c r="A131" s="4" t="str">
        <f>BOM!Q56</f>
        <v>P03</v>
      </c>
      <c r="B131" s="4" t="s">
        <v>689</v>
      </c>
      <c r="C131" s="4">
        <v>7</v>
      </c>
      <c r="D131" s="4" t="str">
        <f>BOM!E56</f>
        <v/>
      </c>
      <c r="E131" s="4" t="str">
        <f>IF(BOM!X56="",BOM!D56,BOM!X56)</f>
        <v/>
      </c>
      <c r="F131" s="4" t="str">
        <f>BOM!I56</f>
        <v/>
      </c>
      <c r="G131" s="4" t="str">
        <f>BOM!J56</f>
        <v/>
      </c>
      <c r="I131" s="4" t="s">
        <v>690</v>
      </c>
    </row>
    <row r="132" spans="1:9" x14ac:dyDescent="0.35">
      <c r="A132" s="4" t="str">
        <f>BOM!Q57</f>
        <v>P03</v>
      </c>
      <c r="B132" s="4" t="s">
        <v>689</v>
      </c>
      <c r="C132" s="4">
        <v>8</v>
      </c>
      <c r="D132" s="4" t="str">
        <f>BOM!E57</f>
        <v/>
      </c>
      <c r="E132" s="4" t="str">
        <f>IF(BOM!X57="",BOM!D57,BOM!X57)</f>
        <v/>
      </c>
      <c r="F132" s="4" t="str">
        <f>BOM!I57</f>
        <v/>
      </c>
      <c r="G132" s="4" t="str">
        <f>BOM!J57</f>
        <v/>
      </c>
      <c r="I132" s="4" t="s">
        <v>690</v>
      </c>
    </row>
    <row r="133" spans="1:9" x14ac:dyDescent="0.35">
      <c r="A133" s="4" t="str">
        <f>BOM!Q58</f>
        <v>P03</v>
      </c>
      <c r="B133" s="4" t="s">
        <v>689</v>
      </c>
      <c r="C133" s="4">
        <v>9</v>
      </c>
      <c r="D133" s="4" t="str">
        <f>BOM!E58</f>
        <v>HARMONY ПВ3 1 2,5</v>
      </c>
      <c r="E133" s="4">
        <f>IF(BOM!X58="",BOM!D58,BOM!X58)</f>
        <v>2.5</v>
      </c>
      <c r="F133" s="4">
        <f>BOM!I58</f>
        <v>51.5</v>
      </c>
      <c r="G133" s="4" t="str">
        <f>BOM!J58</f>
        <v>м</v>
      </c>
      <c r="I133" s="4" t="s">
        <v>690</v>
      </c>
    </row>
    <row r="134" spans="1:9" x14ac:dyDescent="0.35">
      <c r="A134" s="4" t="str">
        <f>BOM!Q59</f>
        <v>P03</v>
      </c>
      <c r="B134" s="4" t="s">
        <v>689</v>
      </c>
      <c r="C134" s="4">
        <v>10</v>
      </c>
      <c r="D134" s="4" t="str">
        <f>BOM!E59</f>
        <v>HARMONY ПВ3 1 16</v>
      </c>
      <c r="E134" s="4">
        <f>IF(BOM!X59="",BOM!D59,BOM!X59)</f>
        <v>16</v>
      </c>
      <c r="F134" s="4">
        <f>BOM!I59</f>
        <v>4</v>
      </c>
      <c r="G134" s="4" t="str">
        <f>BOM!J59</f>
        <v>м</v>
      </c>
      <c r="I134" s="4" t="s">
        <v>690</v>
      </c>
    </row>
    <row r="135" spans="1:9" x14ac:dyDescent="0.35">
      <c r="A135" s="4" t="str">
        <f>BOM!Q60</f>
        <v>P03</v>
      </c>
      <c r="B135" s="4" t="s">
        <v>689</v>
      </c>
      <c r="C135" s="4">
        <v>11</v>
      </c>
      <c r="D135" s="4" t="str">
        <f>BOM!E60</f>
        <v>ЗНИ 4мм ² (35А) серый IEK</v>
      </c>
      <c r="E135" s="4">
        <f>IF(BOM!X60="",BOM!D60,BOM!X60)</f>
        <v>4</v>
      </c>
      <c r="F135" s="4">
        <f>BOM!I60</f>
        <v>30</v>
      </c>
      <c r="G135" s="4" t="str">
        <f>BOM!J60</f>
        <v>шт</v>
      </c>
      <c r="I135" s="4" t="s">
        <v>690</v>
      </c>
    </row>
    <row r="136" spans="1:9" x14ac:dyDescent="0.35">
      <c r="A136" s="4" t="str">
        <f>BOM!Q61</f>
        <v>P03</v>
      </c>
      <c r="B136" s="4" t="s">
        <v>689</v>
      </c>
      <c r="C136" s="4">
        <v>12</v>
      </c>
      <c r="D136" s="4" t="str">
        <f>BOM!E61</f>
        <v>Зажим наборный ЗНИ - 4PEN 4мм2 (JXB-земля) IEK</v>
      </c>
      <c r="E136" s="4">
        <f>IF(BOM!X61="",BOM!D61,BOM!X61)</f>
        <v>4</v>
      </c>
      <c r="F136" s="4">
        <f>BOM!I61</f>
        <v>15</v>
      </c>
      <c r="G136" s="4" t="str">
        <f>BOM!J61</f>
        <v>шт</v>
      </c>
      <c r="I136" s="4" t="s">
        <v>690</v>
      </c>
    </row>
    <row r="137" spans="1:9" x14ac:dyDescent="0.35">
      <c r="A137" s="4" t="s">
        <v>144</v>
      </c>
      <c r="B137" s="4" t="s">
        <v>691</v>
      </c>
      <c r="C137" s="4">
        <v>1</v>
      </c>
      <c r="D137" s="4" t="s">
        <v>692</v>
      </c>
      <c r="E137" s="4" t="s">
        <v>188</v>
      </c>
      <c r="G137" s="4" t="s">
        <v>693</v>
      </c>
      <c r="H137" s="4">
        <f>SUMIFS(BOM!$T:$T,BOM!$Q:$Q,$A137,BOM!$R:$R,$E137)</f>
        <v>0</v>
      </c>
      <c r="I137" s="4" t="s">
        <v>694</v>
      </c>
    </row>
    <row r="138" spans="1:9" x14ac:dyDescent="0.35">
      <c r="A138" s="4" t="s">
        <v>144</v>
      </c>
      <c r="B138" s="4" t="s">
        <v>691</v>
      </c>
      <c r="C138" s="4">
        <v>2</v>
      </c>
      <c r="D138" s="4" t="s">
        <v>692</v>
      </c>
      <c r="E138" s="4" t="s">
        <v>107</v>
      </c>
      <c r="G138" s="4" t="s">
        <v>693</v>
      </c>
      <c r="H138" s="4">
        <f>SUMIFS(BOM!$T:$T,BOM!$Q:$Q,$A138,BOM!$R:$R,$E138)</f>
        <v>30</v>
      </c>
      <c r="I138" s="4" t="s">
        <v>694</v>
      </c>
    </row>
    <row r="139" spans="1:9" x14ac:dyDescent="0.35">
      <c r="A139" s="4" t="s">
        <v>144</v>
      </c>
      <c r="B139" s="4" t="s">
        <v>691</v>
      </c>
      <c r="C139" s="4">
        <v>3</v>
      </c>
      <c r="D139" s="4" t="s">
        <v>692</v>
      </c>
      <c r="E139" s="4" t="s">
        <v>33</v>
      </c>
      <c r="G139" s="4" t="s">
        <v>693</v>
      </c>
      <c r="H139" s="4">
        <f>SUMIFS(BOM!$T:$T,BOM!$Q:$Q,$A139,BOM!$R:$R,$E139)</f>
        <v>0</v>
      </c>
      <c r="I139" s="4" t="s">
        <v>694</v>
      </c>
    </row>
    <row r="140" spans="1:9" x14ac:dyDescent="0.35">
      <c r="A140" s="4" t="s">
        <v>144</v>
      </c>
      <c r="B140" s="4" t="s">
        <v>691</v>
      </c>
      <c r="C140" s="4">
        <v>4</v>
      </c>
      <c r="D140" s="4" t="s">
        <v>692</v>
      </c>
      <c r="E140" s="4" t="s">
        <v>79</v>
      </c>
      <c r="G140" s="4" t="s">
        <v>693</v>
      </c>
      <c r="H140" s="4">
        <f>SUMIFS(BOM!$T:$T,BOM!$Q:$Q,$A140,BOM!$R:$R,$E140)</f>
        <v>0</v>
      </c>
      <c r="I140" s="4" t="s">
        <v>694</v>
      </c>
    </row>
    <row r="141" spans="1:9" x14ac:dyDescent="0.35">
      <c r="A141" s="4" t="s">
        <v>144</v>
      </c>
      <c r="B141" s="4" t="s">
        <v>691</v>
      </c>
      <c r="C141" s="4">
        <v>5</v>
      </c>
      <c r="D141" s="4" t="s">
        <v>692</v>
      </c>
      <c r="E141" s="4" t="s">
        <v>83</v>
      </c>
      <c r="G141" s="4" t="s">
        <v>693</v>
      </c>
      <c r="H141" s="4">
        <f>SUMIFS(BOM!$T:$T,BOM!$Q:$Q,$A141,BOM!$R:$R,$E141)</f>
        <v>0</v>
      </c>
      <c r="I141" s="4" t="s">
        <v>694</v>
      </c>
    </row>
    <row r="142" spans="1:9" x14ac:dyDescent="0.35">
      <c r="A142" s="4" t="s">
        <v>144</v>
      </c>
      <c r="B142" s="4" t="s">
        <v>691</v>
      </c>
      <c r="C142" s="4">
        <v>6</v>
      </c>
      <c r="D142" s="4" t="s">
        <v>692</v>
      </c>
      <c r="E142" s="4" t="s">
        <v>111</v>
      </c>
      <c r="G142" s="4" t="s">
        <v>693</v>
      </c>
      <c r="H142" s="4">
        <f>SUMIFS(BOM!$T:$T,BOM!$Q:$Q,$A142,BOM!$R:$R,$E142)</f>
        <v>45</v>
      </c>
      <c r="I142" s="4" t="s">
        <v>694</v>
      </c>
    </row>
    <row r="143" spans="1:9" x14ac:dyDescent="0.35">
      <c r="A143" s="4" t="s">
        <v>144</v>
      </c>
      <c r="B143" s="4" t="s">
        <v>691</v>
      </c>
      <c r="C143" s="4">
        <v>7</v>
      </c>
      <c r="D143" s="4" t="s">
        <v>692</v>
      </c>
      <c r="E143" s="4" t="s">
        <v>38</v>
      </c>
      <c r="G143" s="4" t="s">
        <v>693</v>
      </c>
      <c r="H143" s="4">
        <f>SUMIFS(BOM!$T:$T,BOM!$Q:$Q,$A143,BOM!$R:$R,$E143)</f>
        <v>0</v>
      </c>
      <c r="I143" s="4" t="s">
        <v>694</v>
      </c>
    </row>
    <row r="144" spans="1:9" x14ac:dyDescent="0.35">
      <c r="A144" s="4" t="s">
        <v>144</v>
      </c>
      <c r="B144" s="4" t="s">
        <v>691</v>
      </c>
      <c r="C144" s="4">
        <v>8</v>
      </c>
      <c r="D144" s="4" t="s">
        <v>692</v>
      </c>
      <c r="E144" s="4" t="s">
        <v>43</v>
      </c>
      <c r="G144" s="4" t="s">
        <v>693</v>
      </c>
      <c r="H144" s="4">
        <f>SUMIFS(BOM!$T:$T,BOM!$Q:$Q,$A144,BOM!$R:$R,$E144)</f>
        <v>0</v>
      </c>
      <c r="I144" s="4" t="s">
        <v>694</v>
      </c>
    </row>
    <row r="145" spans="1:9" x14ac:dyDescent="0.35">
      <c r="A145" s="4" t="s">
        <v>144</v>
      </c>
      <c r="B145" s="4" t="s">
        <v>691</v>
      </c>
      <c r="C145" s="4">
        <v>9</v>
      </c>
      <c r="D145" s="4" t="s">
        <v>692</v>
      </c>
      <c r="E145" s="4" t="s">
        <v>165</v>
      </c>
      <c r="G145" s="4" t="s">
        <v>693</v>
      </c>
      <c r="H145" s="4">
        <f>SUMIFS(BOM!$T:$T,BOM!$Q:$Q,$A145,BOM!$R:$R,$E145)</f>
        <v>0</v>
      </c>
      <c r="I145" s="4" t="s">
        <v>694</v>
      </c>
    </row>
    <row r="146" spans="1:9" x14ac:dyDescent="0.35">
      <c r="A146" s="4" t="s">
        <v>144</v>
      </c>
      <c r="B146" s="4" t="s">
        <v>691</v>
      </c>
      <c r="C146" s="4">
        <v>10</v>
      </c>
      <c r="D146" s="4" t="s">
        <v>692</v>
      </c>
      <c r="E146" s="4" t="s">
        <v>50</v>
      </c>
      <c r="G146" s="4" t="s">
        <v>693</v>
      </c>
      <c r="H146" s="4">
        <f>SUMIFS(BOM!$T:$T,BOM!$Q:$Q,$A146,BOM!$R:$R,$E146)</f>
        <v>0</v>
      </c>
      <c r="I146" s="4" t="s">
        <v>694</v>
      </c>
    </row>
    <row r="147" spans="1:9" x14ac:dyDescent="0.35">
      <c r="A147" s="4" t="s">
        <v>144</v>
      </c>
      <c r="B147" s="4" t="s">
        <v>691</v>
      </c>
      <c r="C147" s="4">
        <v>11</v>
      </c>
      <c r="D147" s="4" t="s">
        <v>692</v>
      </c>
      <c r="E147" s="4" t="s">
        <v>150</v>
      </c>
      <c r="G147" s="4" t="s">
        <v>693</v>
      </c>
      <c r="H147" s="4">
        <f>SUMIFS(BOM!$T:$T,BOM!$Q:$Q,$A147,BOM!$R:$R,$E147)</f>
        <v>0</v>
      </c>
      <c r="I147" s="4" t="s">
        <v>694</v>
      </c>
    </row>
    <row r="148" spans="1:9" x14ac:dyDescent="0.35">
      <c r="A148" s="4" t="s">
        <v>144</v>
      </c>
      <c r="B148" s="4" t="s">
        <v>691</v>
      </c>
      <c r="C148" s="4">
        <v>12</v>
      </c>
      <c r="D148" s="4" t="s">
        <v>692</v>
      </c>
      <c r="E148" s="4" t="s">
        <v>170</v>
      </c>
      <c r="G148" s="4" t="s">
        <v>693</v>
      </c>
      <c r="H148" s="4">
        <f>SUMIFS(BOM!$T:$T,BOM!$Q:$Q,$A148,BOM!$R:$R,$E148)</f>
        <v>0</v>
      </c>
      <c r="I148" s="4" t="s">
        <v>694</v>
      </c>
    </row>
    <row r="149" spans="1:9" x14ac:dyDescent="0.35">
      <c r="A149" s="4" t="s">
        <v>144</v>
      </c>
      <c r="B149" s="4" t="s">
        <v>691</v>
      </c>
      <c r="C149" s="4">
        <v>13</v>
      </c>
      <c r="D149" s="4" t="s">
        <v>692</v>
      </c>
      <c r="E149" s="4" t="s">
        <v>123</v>
      </c>
      <c r="G149" s="4" t="s">
        <v>693</v>
      </c>
      <c r="H149" s="4">
        <f>SUMIFS(BOM!$T:$T,BOM!$Q:$Q,$A149,BOM!$R:$R,$E149)</f>
        <v>30</v>
      </c>
      <c r="I149" s="4" t="s">
        <v>694</v>
      </c>
    </row>
    <row r="150" spans="1:9" x14ac:dyDescent="0.35">
      <c r="A150" s="4" t="s">
        <v>144</v>
      </c>
      <c r="B150" s="4" t="s">
        <v>691</v>
      </c>
      <c r="C150" s="4">
        <v>14</v>
      </c>
      <c r="D150" s="4" t="s">
        <v>692</v>
      </c>
      <c r="E150" s="4" t="s">
        <v>59</v>
      </c>
      <c r="G150" s="4" t="s">
        <v>693</v>
      </c>
      <c r="H150" s="4">
        <f>SUMIFS(BOM!$T:$T,BOM!$Q:$Q,$A150,BOM!$R:$R,$E150)</f>
        <v>0</v>
      </c>
      <c r="I150" s="4" t="s">
        <v>694</v>
      </c>
    </row>
    <row r="151" spans="1:9" x14ac:dyDescent="0.35">
      <c r="A151" s="4" t="s">
        <v>144</v>
      </c>
      <c r="B151" s="4" t="s">
        <v>691</v>
      </c>
      <c r="C151" s="4">
        <v>15</v>
      </c>
      <c r="D151" s="4" t="s">
        <v>692</v>
      </c>
      <c r="E151" s="4" t="s">
        <v>66</v>
      </c>
      <c r="G151" s="4" t="s">
        <v>693</v>
      </c>
      <c r="H151" s="4">
        <f>SUMIFS(BOM!$T:$T,BOM!$Q:$Q,$A151,BOM!$R:$R,$E151)</f>
        <v>0</v>
      </c>
      <c r="I151" s="4" t="s">
        <v>694</v>
      </c>
    </row>
    <row r="152" spans="1:9" x14ac:dyDescent="0.35">
      <c r="A152" s="4" t="s">
        <v>144</v>
      </c>
      <c r="B152" s="4" t="s">
        <v>691</v>
      </c>
      <c r="C152" s="4">
        <v>16</v>
      </c>
      <c r="D152" s="4" t="s">
        <v>692</v>
      </c>
      <c r="E152" s="4" t="s">
        <v>70</v>
      </c>
      <c r="G152" s="4" t="s">
        <v>693</v>
      </c>
      <c r="H152" s="4">
        <f>SUMIFS(BOM!$T:$T,BOM!$Q:$Q,$A152,BOM!$R:$R,$E152)</f>
        <v>0</v>
      </c>
      <c r="I152" s="4" t="s">
        <v>694</v>
      </c>
    </row>
    <row r="153" spans="1:9" x14ac:dyDescent="0.35">
      <c r="A153" s="4" t="s">
        <v>144</v>
      </c>
      <c r="B153" s="4" t="s">
        <v>691</v>
      </c>
      <c r="C153" s="4">
        <v>17</v>
      </c>
      <c r="D153" s="4" t="s">
        <v>692</v>
      </c>
      <c r="E153" s="4" t="s">
        <v>62</v>
      </c>
      <c r="G153" s="4" t="s">
        <v>693</v>
      </c>
      <c r="H153" s="4">
        <f>SUMIFS(BOM!$T:$T,BOM!$Q:$Q,$A153,BOM!$R:$R,$E153)</f>
        <v>0</v>
      </c>
      <c r="I153" s="4" t="s">
        <v>694</v>
      </c>
    </row>
    <row r="154" spans="1:9" x14ac:dyDescent="0.35">
      <c r="A154" s="4" t="s">
        <v>144</v>
      </c>
      <c r="B154" s="4" t="s">
        <v>691</v>
      </c>
      <c r="C154" s="4">
        <v>18</v>
      </c>
      <c r="D154" s="4" t="s">
        <v>692</v>
      </c>
      <c r="E154" s="4" t="s">
        <v>90</v>
      </c>
      <c r="G154" s="4" t="s">
        <v>693</v>
      </c>
      <c r="H154" s="4">
        <f>SUMIFS(BOM!$T:$T,BOM!$Q:$Q,$A154,BOM!$R:$R,$E154)</f>
        <v>0</v>
      </c>
      <c r="I154" s="4" t="s">
        <v>694</v>
      </c>
    </row>
    <row r="155" spans="1:9" x14ac:dyDescent="0.35">
      <c r="A155" s="4" t="s">
        <v>144</v>
      </c>
      <c r="B155" s="4" t="s">
        <v>691</v>
      </c>
      <c r="C155" s="4">
        <v>19</v>
      </c>
      <c r="D155" s="4" t="s">
        <v>692</v>
      </c>
      <c r="E155" s="4" t="s">
        <v>136</v>
      </c>
      <c r="G155" s="4" t="s">
        <v>693</v>
      </c>
      <c r="H155" s="4">
        <f>SUMIFS(BOM!$T:$T,BOM!$Q:$Q,$A155,BOM!$R:$R,$E155)</f>
        <v>180</v>
      </c>
      <c r="I155" s="4" t="s">
        <v>694</v>
      </c>
    </row>
    <row r="156" spans="1:9" x14ac:dyDescent="0.35">
      <c r="A156" s="4" t="s">
        <v>144</v>
      </c>
      <c r="B156" s="4" t="s">
        <v>691</v>
      </c>
      <c r="C156" s="4">
        <v>20</v>
      </c>
      <c r="D156" s="4" t="s">
        <v>692</v>
      </c>
      <c r="E156" s="4" t="s">
        <v>695</v>
      </c>
      <c r="G156" s="4" t="s">
        <v>693</v>
      </c>
      <c r="H156" s="4">
        <f>SUMIFS(BOM!$T:$T,BOM!$Q:$Q,$A156,BOM!$R:$R,$E156)</f>
        <v>0</v>
      </c>
      <c r="I156" s="4" t="s">
        <v>694</v>
      </c>
    </row>
    <row r="157" spans="1:9" x14ac:dyDescent="0.35">
      <c r="A157" s="4" t="str">
        <f>DEVRE!A18</f>
        <v>P03</v>
      </c>
      <c r="B157" s="4" t="s">
        <v>696</v>
      </c>
      <c r="C157" s="4">
        <v>1</v>
      </c>
      <c r="D157" s="4" t="str">
        <f>DEVRE!B18&amp;" · "&amp;DEVRE!E18</f>
        <v>QS · Ввод ~380/220В (МС-1)</v>
      </c>
      <c r="E157" s="4">
        <f>DEVRE!V18</f>
        <v>16</v>
      </c>
      <c r="F157" s="4">
        <f>DEVRE!Z18</f>
        <v>3.5999999999999996</v>
      </c>
      <c r="G157" s="4" t="s">
        <v>697</v>
      </c>
      <c r="I157" s="4" t="str">
        <f>DEVRE!AL18&amp;IF(DEVRE!AF18="",""," · XT "&amp;DEVRE!AF18&amp;"–"&amp;DEVRE!AG18)</f>
        <v>L1 sarı · L2 yeşil · L3 kırmızı · N mavi · PE sarı-yeşil</v>
      </c>
    </row>
    <row r="158" spans="1:9" x14ac:dyDescent="0.35">
      <c r="A158" s="4" t="str">
        <f>DEVRE!A19</f>
        <v>P03</v>
      </c>
      <c r="B158" s="4" t="s">
        <v>696</v>
      </c>
      <c r="C158" s="4">
        <v>2</v>
      </c>
      <c r="D158" s="4" t="str">
        <f>DEVRE!B19&amp;" · "&amp;DEVRE!E19</f>
        <v>А1 · К1.1 Компьютер 0,45 кВт</v>
      </c>
      <c r="E158" s="4">
        <f>DEVRE!V19</f>
        <v>2.5</v>
      </c>
      <c r="F158" s="4">
        <f>DEVRE!Z19</f>
        <v>3.5999999999999996</v>
      </c>
      <c r="G158" s="4" t="s">
        <v>697</v>
      </c>
      <c r="I158" s="4" t="str">
        <f>DEVRE!AL19&amp;IF(DEVRE!AF19="",""," · XT "&amp;DEVRE!AF19&amp;"–"&amp;DEVRE!AG19)</f>
        <v>sarı · N mavi · PE sarı-yeşil · XT 1–3</v>
      </c>
    </row>
    <row r="159" spans="1:9" x14ac:dyDescent="0.35">
      <c r="A159" s="4" t="str">
        <f>DEVRE!A20</f>
        <v>P03</v>
      </c>
      <c r="B159" s="4" t="s">
        <v>696</v>
      </c>
      <c r="C159" s="4">
        <v>3</v>
      </c>
      <c r="D159" s="4" t="str">
        <f>DEVRE!B20&amp;" · "&amp;DEVRE!E20</f>
        <v>А2.1 · М1/М4/К1.2 (А2.1–А2.3)</v>
      </c>
      <c r="E159" s="4">
        <f>DEVRE!V20</f>
        <v>2.5</v>
      </c>
      <c r="F159" s="4">
        <f>DEVRE!Z20</f>
        <v>3.5999999999999996</v>
      </c>
      <c r="G159" s="4" t="s">
        <v>697</v>
      </c>
      <c r="I159" s="4" t="str">
        <f>DEVRE!AL20&amp;IF(DEVRE!AF20="",""," · XT "&amp;DEVRE!AF20&amp;"–"&amp;DEVRE!AG20)</f>
        <v>yeşil · N mavi · PE sarı-yeşil · XT 4–6</v>
      </c>
    </row>
    <row r="160" spans="1:9" x14ac:dyDescent="0.35">
      <c r="A160" s="4" t="str">
        <f>DEVRE!A21</f>
        <v>P03</v>
      </c>
      <c r="B160" s="4" t="s">
        <v>696</v>
      </c>
      <c r="C160" s="4">
        <v>4</v>
      </c>
      <c r="D160" s="4" t="str">
        <f>DEVRE!B21&amp;" · "&amp;DEVRE!E21</f>
        <v>А3.1 · К10 Телевизор / К1.3 (А3.1–А3.2)</v>
      </c>
      <c r="E160" s="4">
        <f>DEVRE!V21</f>
        <v>2.5</v>
      </c>
      <c r="F160" s="4">
        <f>DEVRE!Z21</f>
        <v>3.5999999999999996</v>
      </c>
      <c r="G160" s="4" t="s">
        <v>697</v>
      </c>
      <c r="I160" s="4" t="str">
        <f>DEVRE!AL21&amp;IF(DEVRE!AF21="",""," · XT "&amp;DEVRE!AF21&amp;"–"&amp;DEVRE!AG21)</f>
        <v>kırmızı · N mavi · PE sarı-yeşil · XT 7–9</v>
      </c>
    </row>
    <row r="161" spans="1:9" x14ac:dyDescent="0.35">
      <c r="A161" s="4" t="str">
        <f>DEVRE!A22</f>
        <v>P03</v>
      </c>
      <c r="B161" s="4" t="s">
        <v>696</v>
      </c>
      <c r="C161" s="4">
        <v>5</v>
      </c>
      <c r="D161" s="4" t="str">
        <f>DEVRE!B22&amp;" · "&amp;DEVRE!E22</f>
        <v>А4.1 · К1.4 / К1.5 (А4.1–А4.2)</v>
      </c>
      <c r="E161" s="4">
        <f>DEVRE!V22</f>
        <v>2.5</v>
      </c>
      <c r="F161" s="4">
        <f>DEVRE!Z22</f>
        <v>3.5999999999999996</v>
      </c>
      <c r="G161" s="4" t="s">
        <v>697</v>
      </c>
      <c r="I161" s="4" t="str">
        <f>DEVRE!AL22&amp;IF(DEVRE!AF22="",""," · XT "&amp;DEVRE!AF22&amp;"–"&amp;DEVRE!AG22)</f>
        <v>sarı · N mavi · PE sarı-yeşil · XT 10–12</v>
      </c>
    </row>
    <row r="162" spans="1:9" x14ac:dyDescent="0.35">
      <c r="A162" s="4" t="str">
        <f>DEVRE!A23</f>
        <v>P03</v>
      </c>
      <c r="B162" s="4" t="s">
        <v>696</v>
      </c>
      <c r="C162" s="4">
        <v>6</v>
      </c>
      <c r="D162" s="4" t="str">
        <f>DEVRE!B23&amp;" · "&amp;DEVRE!E23</f>
        <v>А5.1 · У2.1 / У2.2 (А5.1–А5.2)</v>
      </c>
      <c r="E162" s="4">
        <f>DEVRE!V23</f>
        <v>2.5</v>
      </c>
      <c r="F162" s="4">
        <f>DEVRE!Z23</f>
        <v>3.5999999999999996</v>
      </c>
      <c r="G162" s="4" t="s">
        <v>697</v>
      </c>
      <c r="I162" s="4" t="str">
        <f>DEVRE!AL23&amp;IF(DEVRE!AF23="",""," · XT "&amp;DEVRE!AF23&amp;"–"&amp;DEVRE!AG23)</f>
        <v>yeşil · N mavi · PE sarı-yeşil · XT 13–15</v>
      </c>
    </row>
    <row r="163" spans="1:9" x14ac:dyDescent="0.35">
      <c r="A163" s="4" t="str">
        <f>DEVRE!A24</f>
        <v>P03</v>
      </c>
      <c r="B163" s="4" t="s">
        <v>696</v>
      </c>
      <c r="C163" s="4">
        <v>7</v>
      </c>
      <c r="D163" s="4" t="str">
        <f>DEVRE!B24&amp;" · "&amp;DEVRE!E24</f>
        <v>А6 · Т1.1 Беговая дорожка 1,85 кВт</v>
      </c>
      <c r="E163" s="4">
        <f>DEVRE!V24</f>
        <v>2.5</v>
      </c>
      <c r="F163" s="4">
        <f>DEVRE!Z24</f>
        <v>3.5999999999999996</v>
      </c>
      <c r="G163" s="4" t="s">
        <v>697</v>
      </c>
      <c r="I163" s="4" t="str">
        <f>DEVRE!AL24&amp;IF(DEVRE!AF24="",""," · XT "&amp;DEVRE!AF24&amp;"–"&amp;DEVRE!AG24)</f>
        <v>kırmızı · N mavi · PE sarı-yeşil · XT 16–18</v>
      </c>
    </row>
    <row r="164" spans="1:9" x14ac:dyDescent="0.35">
      <c r="A164" s="4" t="str">
        <f>DEVRE!A25</f>
        <v>P03</v>
      </c>
      <c r="B164" s="4" t="s">
        <v>696</v>
      </c>
      <c r="C164" s="4">
        <v>8</v>
      </c>
      <c r="D164" s="4" t="str">
        <f>DEVRE!B25&amp;" · "&amp;DEVRE!E25</f>
        <v>А7 · Т1.2 Беговая дорожка 1,85 кВт</v>
      </c>
      <c r="E164" s="4">
        <f>DEVRE!V25</f>
        <v>2.5</v>
      </c>
      <c r="F164" s="4">
        <f>DEVRE!Z25</f>
        <v>3.5999999999999996</v>
      </c>
      <c r="G164" s="4" t="s">
        <v>697</v>
      </c>
      <c r="I164" s="4" t="str">
        <f>DEVRE!AL25&amp;IF(DEVRE!AF25="",""," · XT "&amp;DEVRE!AF25&amp;"–"&amp;DEVRE!AG25)</f>
        <v>sarı · N mavi · PE sarı-yeşil · XT 19–21</v>
      </c>
    </row>
    <row r="165" spans="1:9" x14ac:dyDescent="0.35">
      <c r="A165" s="4" t="str">
        <f>DEVRE!A26</f>
        <v>P03</v>
      </c>
      <c r="B165" s="4" t="s">
        <v>696</v>
      </c>
      <c r="C165" s="4">
        <v>9</v>
      </c>
      <c r="D165" s="4" t="str">
        <f>DEVRE!B26&amp;" · "&amp;DEVRE!E26</f>
        <v>А8 · Т1.3 Беговая дорожка 1,85 кВт</v>
      </c>
      <c r="E165" s="4">
        <f>DEVRE!V26</f>
        <v>2.5</v>
      </c>
      <c r="F165" s="4">
        <f>DEVRE!Z26</f>
        <v>3.5999999999999996</v>
      </c>
      <c r="G165" s="4" t="s">
        <v>697</v>
      </c>
      <c r="I165" s="4" t="str">
        <f>DEVRE!AL26&amp;IF(DEVRE!AF26="",""," · XT "&amp;DEVRE!AF26&amp;"–"&amp;DEVRE!AG26)</f>
        <v>yeşil · N mavi · PE sarı-yeşil · XT 22–24</v>
      </c>
    </row>
    <row r="166" spans="1:9" x14ac:dyDescent="0.35">
      <c r="A166" s="4" t="str">
        <f>DEVRE!A27</f>
        <v>P03</v>
      </c>
      <c r="B166" s="4" t="s">
        <v>696</v>
      </c>
      <c r="C166" s="4">
        <v>10</v>
      </c>
      <c r="D166" s="4" t="str">
        <f>DEVRE!B27&amp;" · "&amp;DEVRE!E27</f>
        <v>А9.1 · К1.6 Компьютер 0,45 кВт</v>
      </c>
      <c r="E166" s="4">
        <f>DEVRE!V27</f>
        <v>2.5</v>
      </c>
      <c r="F166" s="4">
        <f>DEVRE!Z27</f>
        <v>3.5999999999999996</v>
      </c>
      <c r="G166" s="4" t="s">
        <v>697</v>
      </c>
      <c r="I166" s="4" t="str">
        <f>DEVRE!AL27&amp;IF(DEVRE!AF27="",""," · XT "&amp;DEVRE!AF27&amp;"–"&amp;DEVRE!AG27)</f>
        <v>kırmızı · N mavi · PE sarı-yeşil · XT 25–27</v>
      </c>
    </row>
    <row r="167" spans="1:9" x14ac:dyDescent="0.35">
      <c r="A167" s="4" t="str">
        <f>DEVRE!A28</f>
        <v>P03</v>
      </c>
      <c r="B167" s="4" t="s">
        <v>696</v>
      </c>
      <c r="C167" s="4">
        <v>11</v>
      </c>
      <c r="D167" s="4" t="str">
        <f>DEVRE!B28&amp;" · "&amp;DEVRE!E28</f>
        <v>А9.2 · К1.7 Компьютер 0,45 кВт</v>
      </c>
      <c r="E167" s="4">
        <f>DEVRE!V28</f>
        <v>2.5</v>
      </c>
      <c r="F167" s="4">
        <f>DEVRE!Z28</f>
        <v>3.5999999999999996</v>
      </c>
      <c r="G167" s="4" t="s">
        <v>697</v>
      </c>
      <c r="I167" s="4" t="str">
        <f>DEVRE!AL28&amp;IF(DEVRE!AF28="",""," · XT "&amp;DEVRE!AF28&amp;"–"&amp;DEVRE!AG28)</f>
        <v>sarı · N mavi · PE sarı-yeşil · XT 28–30</v>
      </c>
    </row>
    <row r="168" spans="1:9" x14ac:dyDescent="0.35">
      <c r="A168" s="4" t="str">
        <f>DEVRE!A29</f>
        <v>P03</v>
      </c>
      <c r="B168" s="4" t="s">
        <v>696</v>
      </c>
      <c r="C168" s="4">
        <v>12</v>
      </c>
      <c r="D168" s="4" t="str">
        <f>DEVRE!B29&amp;" · "&amp;DEVRE!E29</f>
        <v>А10.1 · К1.8 Компьютер 0,45 кВт</v>
      </c>
      <c r="E168" s="4">
        <f>DEVRE!V29</f>
        <v>2.5</v>
      </c>
      <c r="F168" s="4">
        <f>DEVRE!Z29</f>
        <v>3.5999999999999996</v>
      </c>
      <c r="G168" s="4" t="s">
        <v>697</v>
      </c>
      <c r="I168" s="4" t="str">
        <f>DEVRE!AL29&amp;IF(DEVRE!AF29="",""," · XT "&amp;DEVRE!AF29&amp;"–"&amp;DEVRE!AG29)</f>
        <v>yeşil · N mavi · PE sarı-yeşil · XT 31–33</v>
      </c>
    </row>
    <row r="169" spans="1:9" x14ac:dyDescent="0.35">
      <c r="A169" s="4" t="str">
        <f>DEVRE!A30</f>
        <v>P03</v>
      </c>
      <c r="B169" s="4" t="s">
        <v>696</v>
      </c>
      <c r="C169" s="4">
        <v>13</v>
      </c>
      <c r="D169" s="4" t="str">
        <f>DEVRE!B30&amp;" · "&amp;DEVRE!E30</f>
        <v>А10.2 · К1.9 Компьютер 0,45 кВт</v>
      </c>
      <c r="E169" s="4">
        <f>DEVRE!V30</f>
        <v>2.5</v>
      </c>
      <c r="F169" s="4">
        <f>DEVRE!Z30</f>
        <v>3.5999999999999996</v>
      </c>
      <c r="G169" s="4" t="s">
        <v>697</v>
      </c>
      <c r="I169" s="4" t="str">
        <f>DEVRE!AL30&amp;IF(DEVRE!AF30="",""," · XT "&amp;DEVRE!AF30&amp;"–"&amp;DEVRE!AG30)</f>
        <v>kırmızı · N mavi · PE sarı-yeşil · XT 34–36</v>
      </c>
    </row>
    <row r="170" spans="1:9" x14ac:dyDescent="0.35">
      <c r="A170" s="4" t="str">
        <f>DEVRE!A31</f>
        <v>P03</v>
      </c>
      <c r="B170" s="4" t="s">
        <v>696</v>
      </c>
      <c r="C170" s="4">
        <v>14</v>
      </c>
      <c r="D170" s="4" t="str">
        <f>DEVRE!B31&amp;" · "&amp;DEVRE!E31</f>
        <v>А11 · У2.3 0,2 кВт</v>
      </c>
      <c r="E170" s="4">
        <f>DEVRE!V31</f>
        <v>2.5</v>
      </c>
      <c r="F170" s="4">
        <f>DEVRE!Z31</f>
        <v>3.5999999999999996</v>
      </c>
      <c r="G170" s="4" t="s">
        <v>697</v>
      </c>
      <c r="I170" s="4" t="str">
        <f>DEVRE!AL31&amp;IF(DEVRE!AF31="",""," · XT "&amp;DEVRE!AF31&amp;"–"&amp;DEVRE!AG31)</f>
        <v>sarı · N mavi · PE sarı-yeşil · XT 37–39</v>
      </c>
    </row>
    <row r="171" spans="1:9" x14ac:dyDescent="0.35">
      <c r="A171" s="4" t="s">
        <v>144</v>
      </c>
      <c r="B171" s="4" t="s">
        <v>698</v>
      </c>
      <c r="C171" s="4">
        <v>15</v>
      </c>
      <c r="D171" s="4" t="s">
        <v>699</v>
      </c>
      <c r="F171" s="4">
        <f>SUMIFS(DEVRE!$AI:$AI,DEVRE!$A:$A,$A171)</f>
        <v>6</v>
      </c>
      <c r="G171" s="4" t="s">
        <v>700</v>
      </c>
      <c r="I171" s="4" t="s">
        <v>701</v>
      </c>
    </row>
    <row r="172" spans="1:9" x14ac:dyDescent="0.35">
      <c r="A172" s="4" t="s">
        <v>144</v>
      </c>
      <c r="B172" s="4" t="s">
        <v>698</v>
      </c>
      <c r="C172" s="4">
        <v>16</v>
      </c>
      <c r="D172" s="4" t="s">
        <v>702</v>
      </c>
      <c r="F172" s="4">
        <f>SUMIFS(DEVRE!$AJ:$AJ,DEVRE!$A:$A,$A172)</f>
        <v>91</v>
      </c>
      <c r="G172" s="4" t="s">
        <v>700</v>
      </c>
      <c r="I172" s="4" t="s">
        <v>703</v>
      </c>
    </row>
    <row r="173" spans="1:9" x14ac:dyDescent="0.35">
      <c r="A173" s="4" t="s">
        <v>144</v>
      </c>
      <c r="B173" s="4" t="s">
        <v>698</v>
      </c>
      <c r="C173" s="4">
        <v>17</v>
      </c>
      <c r="D173" s="4" t="s">
        <v>704</v>
      </c>
      <c r="F173" s="4">
        <f>SUMIFS(DEVRE!$AK:$AK,DEVRE!$A:$A,$A173)</f>
        <v>84</v>
      </c>
      <c r="G173" s="4" t="s">
        <v>700</v>
      </c>
      <c r="I173" s="4" t="s">
        <v>705</v>
      </c>
    </row>
    <row r="174" spans="1:9" x14ac:dyDescent="0.35">
      <c r="A174" s="4" t="s">
        <v>144</v>
      </c>
      <c r="B174" s="4" t="s">
        <v>698</v>
      </c>
      <c r="C174" s="4">
        <v>18</v>
      </c>
      <c r="D174" s="4" t="s">
        <v>706</v>
      </c>
      <c r="F174" s="4" t="str">
        <f>IF(PANO!R7="","",2*(PANO!R7+1))</f>
        <v/>
      </c>
      <c r="G174" s="4" t="s">
        <v>700</v>
      </c>
      <c r="I174" s="4" t="s">
        <v>707</v>
      </c>
    </row>
    <row r="175" spans="1:9" x14ac:dyDescent="0.35">
      <c r="A175" s="4" t="s">
        <v>144</v>
      </c>
      <c r="B175" s="4" t="s">
        <v>698</v>
      </c>
      <c r="C175" s="4">
        <v>19</v>
      </c>
      <c r="D175" s="4" t="s">
        <v>708</v>
      </c>
      <c r="E175" s="4" t="s">
        <v>709</v>
      </c>
      <c r="F175" s="4">
        <v>1</v>
      </c>
      <c r="G175" s="4" t="s">
        <v>700</v>
      </c>
      <c r="I175" s="4" t="s">
        <v>710</v>
      </c>
    </row>
    <row r="176" spans="1:9" x14ac:dyDescent="0.35">
      <c r="A176" s="4" t="s">
        <v>144</v>
      </c>
      <c r="B176" s="4" t="s">
        <v>711</v>
      </c>
      <c r="C176" s="4">
        <v>1</v>
      </c>
      <c r="D176" s="4" t="s">
        <v>712</v>
      </c>
      <c r="I176" s="4" t="s">
        <v>713</v>
      </c>
    </row>
    <row r="177" spans="1:9" x14ac:dyDescent="0.35">
      <c r="A177" s="4" t="s">
        <v>144</v>
      </c>
      <c r="B177" s="4" t="s">
        <v>711</v>
      </c>
      <c r="C177" s="4">
        <v>2</v>
      </c>
      <c r="D177" s="4" t="s">
        <v>714</v>
      </c>
      <c r="I177" s="4" t="s">
        <v>713</v>
      </c>
    </row>
    <row r="178" spans="1:9" x14ac:dyDescent="0.35">
      <c r="A178" s="4" t="s">
        <v>144</v>
      </c>
      <c r="B178" s="4" t="s">
        <v>711</v>
      </c>
      <c r="C178" s="4">
        <v>3</v>
      </c>
      <c r="D178" s="4" t="s">
        <v>715</v>
      </c>
      <c r="I178" s="4" t="s">
        <v>713</v>
      </c>
    </row>
    <row r="179" spans="1:9" x14ac:dyDescent="0.35">
      <c r="A179" s="4" t="s">
        <v>144</v>
      </c>
      <c r="B179" s="4" t="s">
        <v>711</v>
      </c>
      <c r="C179" s="4">
        <v>4</v>
      </c>
      <c r="D179" s="4" t="s">
        <v>716</v>
      </c>
      <c r="I179" s="4" t="s">
        <v>713</v>
      </c>
    </row>
    <row r="180" spans="1:9" x14ac:dyDescent="0.35">
      <c r="A180" s="4" t="s">
        <v>144</v>
      </c>
      <c r="B180" s="4" t="s">
        <v>711</v>
      </c>
      <c r="C180" s="4">
        <v>5</v>
      </c>
      <c r="D180" s="4" t="s">
        <v>717</v>
      </c>
      <c r="I180" s="4" t="s">
        <v>713</v>
      </c>
    </row>
    <row r="181" spans="1:9" x14ac:dyDescent="0.35">
      <c r="A181" s="4" t="s">
        <v>144</v>
      </c>
      <c r="B181" s="4" t="s">
        <v>711</v>
      </c>
      <c r="C181" s="4">
        <v>6</v>
      </c>
      <c r="D181" s="4" t="s">
        <v>718</v>
      </c>
      <c r="I181" s="4" t="s">
        <v>713</v>
      </c>
    </row>
    <row r="182" spans="1:9" x14ac:dyDescent="0.35">
      <c r="A182" s="4" t="s">
        <v>144</v>
      </c>
      <c r="B182" s="4" t="s">
        <v>711</v>
      </c>
      <c r="C182" s="4">
        <v>7</v>
      </c>
      <c r="D182" s="4" t="s">
        <v>719</v>
      </c>
      <c r="I182" s="4" t="s">
        <v>713</v>
      </c>
    </row>
    <row r="183" spans="1:9" x14ac:dyDescent="0.35">
      <c r="A183" s="4" t="s">
        <v>144</v>
      </c>
      <c r="B183" s="4" t="s">
        <v>711</v>
      </c>
      <c r="C183" s="4">
        <v>8</v>
      </c>
      <c r="D183" s="4" t="s">
        <v>720</v>
      </c>
      <c r="I183" s="4" t="s">
        <v>713</v>
      </c>
    </row>
    <row r="184" spans="1:9" x14ac:dyDescent="0.35">
      <c r="A184" s="4" t="s">
        <v>144</v>
      </c>
      <c r="B184" s="4" t="s">
        <v>711</v>
      </c>
      <c r="C184" s="4">
        <v>9</v>
      </c>
      <c r="D184" s="4" t="s">
        <v>721</v>
      </c>
      <c r="I184" s="4" t="s">
        <v>713</v>
      </c>
    </row>
    <row r="185" spans="1:9" x14ac:dyDescent="0.35">
      <c r="A185" s="4" t="str">
        <f>BOM!Q66</f>
        <v>P04</v>
      </c>
      <c r="B185" s="4" t="s">
        <v>689</v>
      </c>
      <c r="C185" s="4">
        <v>1</v>
      </c>
      <c r="D185" s="4" t="str">
        <f>BOM!E66</f>
        <v>Met. Щит Щит ЩРв инд (1150х500х180mm) S/A IP31</v>
      </c>
      <c r="E185" s="4" t="str">
        <f>IF(BOM!X66="",BOM!D66,BOM!X66)</f>
        <v>713-15052</v>
      </c>
      <c r="F185" s="4">
        <f>BOM!I66</f>
        <v>1</v>
      </c>
      <c r="G185" s="4" t="str">
        <f>BOM!J66</f>
        <v>шт</v>
      </c>
      <c r="I185" s="4" t="s">
        <v>690</v>
      </c>
    </row>
    <row r="186" spans="1:9" x14ac:dyDescent="0.35">
      <c r="A186" s="4" t="str">
        <f>BOM!Q67</f>
        <v>P04</v>
      </c>
      <c r="B186" s="4" t="s">
        <v>689</v>
      </c>
      <c r="C186" s="4">
        <v>2</v>
      </c>
      <c r="D186" s="4" t="str">
        <f>BOM!E67</f>
        <v>Выключатель нагрузки NXHB-125 3P 63A</v>
      </c>
      <c r="E186" s="4" t="str">
        <f>IF(BOM!X67="",BOM!D67,BOM!X67)</f>
        <v>193183</v>
      </c>
      <c r="F186" s="4">
        <f>BOM!I67</f>
        <v>1</v>
      </c>
      <c r="G186" s="4" t="str">
        <f>BOM!J67</f>
        <v>шт</v>
      </c>
      <c r="I186" s="4" t="s">
        <v>690</v>
      </c>
    </row>
    <row r="187" spans="1:9" x14ac:dyDescent="0.35">
      <c r="A187" s="4" t="str">
        <f>BOM!Q68</f>
        <v>P04</v>
      </c>
      <c r="B187" s="4" t="s">
        <v>689</v>
      </c>
      <c r="C187" s="4">
        <v>3</v>
      </c>
      <c r="D187" s="4" t="str">
        <f>BOM!E68</f>
        <v>Авт. выкл. NXB-63 3P 10A 6кА х-ка C</v>
      </c>
      <c r="E187" s="4" t="str">
        <f>IF(BOM!X68="",BOM!D68,BOM!X68)</f>
        <v>814169</v>
      </c>
      <c r="F187" s="4">
        <f>BOM!I68</f>
        <v>1</v>
      </c>
      <c r="G187" s="4" t="str">
        <f>BOM!J68</f>
        <v>шт</v>
      </c>
      <c r="I187" s="4" t="s">
        <v>690</v>
      </c>
    </row>
    <row r="188" spans="1:9" x14ac:dyDescent="0.35">
      <c r="A188" s="4" t="str">
        <f>BOM!Q69</f>
        <v>P04</v>
      </c>
      <c r="B188" s="4" t="s">
        <v>689</v>
      </c>
      <c r="C188" s="4">
        <v>4</v>
      </c>
      <c r="D188" s="4" t="str">
        <f>BOM!E69</f>
        <v>Диф. авт. выкл. NXBLE-63 2P C16 30mA тип AC 6kA</v>
      </c>
      <c r="E188" s="4" t="str">
        <f>IF(BOM!X69="",BOM!D69,BOM!X69)</f>
        <v>819977</v>
      </c>
      <c r="F188" s="4">
        <f>BOM!I69</f>
        <v>18</v>
      </c>
      <c r="G188" s="4" t="str">
        <f>BOM!J69</f>
        <v>шт</v>
      </c>
      <c r="I188" s="4" t="s">
        <v>690</v>
      </c>
    </row>
    <row r="189" spans="1:9" x14ac:dyDescent="0.35">
      <c r="A189" s="4" t="str">
        <f>BOM!Q70</f>
        <v>P04</v>
      </c>
      <c r="B189" s="4" t="s">
        <v>689</v>
      </c>
      <c r="C189" s="4">
        <v>5</v>
      </c>
      <c r="D189" s="4" t="str">
        <f>BOM!E70</f>
        <v>Шина соединительная типа PIN 2P, 63А, L=1000мм</v>
      </c>
      <c r="E189" s="4" t="str">
        <f>IF(BOM!X70="",BOM!D70,BOM!X70)</f>
        <v>2P</v>
      </c>
      <c r="F189" s="4">
        <f>BOM!I70</f>
        <v>3</v>
      </c>
      <c r="G189" s="4" t="str">
        <f>BOM!J70</f>
        <v>шт</v>
      </c>
      <c r="I189" s="4" t="s">
        <v>690</v>
      </c>
    </row>
    <row r="190" spans="1:9" x14ac:dyDescent="0.35">
      <c r="A190" s="4" t="str">
        <f>BOM!Q71</f>
        <v>P04</v>
      </c>
      <c r="B190" s="4" t="s">
        <v>689</v>
      </c>
      <c r="C190" s="4">
        <v>6</v>
      </c>
      <c r="D190" s="4" t="str">
        <f>BOM!E71</f>
        <v/>
      </c>
      <c r="E190" s="4" t="str">
        <f>IF(BOM!X71="",BOM!D71,BOM!X71)</f>
        <v/>
      </c>
      <c r="F190" s="4">
        <f>BOM!I71</f>
        <v>2</v>
      </c>
      <c r="G190" s="4" t="str">
        <f>BOM!J71</f>
        <v/>
      </c>
      <c r="I190" s="4" t="s">
        <v>690</v>
      </c>
    </row>
    <row r="191" spans="1:9" x14ac:dyDescent="0.35">
      <c r="A191" s="4" t="str">
        <f>BOM!Q72</f>
        <v>P04</v>
      </c>
      <c r="B191" s="4" t="s">
        <v>689</v>
      </c>
      <c r="C191" s="4">
        <v>7</v>
      </c>
      <c r="D191" s="4" t="str">
        <f>BOM!E72</f>
        <v/>
      </c>
      <c r="E191" s="4" t="str">
        <f>IF(BOM!X72="",BOM!D72,BOM!X72)</f>
        <v/>
      </c>
      <c r="F191" s="4" t="str">
        <f>BOM!I72</f>
        <v/>
      </c>
      <c r="G191" s="4" t="str">
        <f>BOM!J72</f>
        <v/>
      </c>
      <c r="I191" s="4" t="s">
        <v>690</v>
      </c>
    </row>
    <row r="192" spans="1:9" x14ac:dyDescent="0.35">
      <c r="A192" s="4" t="str">
        <f>BOM!Q73</f>
        <v>P04</v>
      </c>
      <c r="B192" s="4" t="s">
        <v>689</v>
      </c>
      <c r="C192" s="4">
        <v>8</v>
      </c>
      <c r="D192" s="4" t="str">
        <f>BOM!E73</f>
        <v/>
      </c>
      <c r="E192" s="4" t="str">
        <f>IF(BOM!X73="",BOM!D73,BOM!X73)</f>
        <v/>
      </c>
      <c r="F192" s="4" t="str">
        <f>BOM!I73</f>
        <v/>
      </c>
      <c r="G192" s="4" t="str">
        <f>BOM!J73</f>
        <v/>
      </c>
      <c r="I192" s="4" t="s">
        <v>690</v>
      </c>
    </row>
    <row r="193" spans="1:9" x14ac:dyDescent="0.35">
      <c r="A193" s="4" t="str">
        <f>BOM!Q74</f>
        <v>P04</v>
      </c>
      <c r="B193" s="4" t="s">
        <v>689</v>
      </c>
      <c r="C193" s="4">
        <v>9</v>
      </c>
      <c r="D193" s="4" t="str">
        <f>BOM!E74</f>
        <v/>
      </c>
      <c r="E193" s="4" t="str">
        <f>IF(BOM!X74="",BOM!D74,BOM!X74)</f>
        <v/>
      </c>
      <c r="F193" s="4" t="str">
        <f>BOM!I74</f>
        <v/>
      </c>
      <c r="G193" s="4" t="str">
        <f>BOM!J74</f>
        <v/>
      </c>
      <c r="I193" s="4" t="s">
        <v>690</v>
      </c>
    </row>
    <row r="194" spans="1:9" x14ac:dyDescent="0.35">
      <c r="A194" s="4" t="str">
        <f>BOM!Q75</f>
        <v>P04</v>
      </c>
      <c r="B194" s="4" t="s">
        <v>689</v>
      </c>
      <c r="C194" s="4">
        <v>10</v>
      </c>
      <c r="D194" s="4" t="str">
        <f>BOM!E75</f>
        <v>HARMONY ПВ3 1 1,5</v>
      </c>
      <c r="E194" s="4">
        <f>IF(BOM!X75="",BOM!D75,BOM!X75)</f>
        <v>1.5</v>
      </c>
      <c r="F194" s="4">
        <f>BOM!I75</f>
        <v>5.3</v>
      </c>
      <c r="G194" s="4" t="str">
        <f>BOM!J75</f>
        <v>м</v>
      </c>
      <c r="I194" s="4" t="s">
        <v>690</v>
      </c>
    </row>
    <row r="195" spans="1:9" x14ac:dyDescent="0.35">
      <c r="A195" s="4" t="str">
        <f>BOM!Q76</f>
        <v>P04</v>
      </c>
      <c r="B195" s="4" t="s">
        <v>689</v>
      </c>
      <c r="C195" s="4">
        <v>11</v>
      </c>
      <c r="D195" s="4" t="str">
        <f>BOM!E76</f>
        <v>HARMONY ПВ3 1 2,5</v>
      </c>
      <c r="E195" s="4">
        <f>IF(BOM!X76="",BOM!D76,BOM!X76)</f>
        <v>2.5</v>
      </c>
      <c r="F195" s="4">
        <f>BOM!I76</f>
        <v>71.3</v>
      </c>
      <c r="G195" s="4" t="str">
        <f>BOM!J76</f>
        <v>м</v>
      </c>
      <c r="I195" s="4" t="s">
        <v>690</v>
      </c>
    </row>
    <row r="196" spans="1:9" x14ac:dyDescent="0.35">
      <c r="A196" s="4" t="str">
        <f>BOM!Q77</f>
        <v>P04</v>
      </c>
      <c r="B196" s="4" t="s">
        <v>689</v>
      </c>
      <c r="C196" s="4">
        <v>12</v>
      </c>
      <c r="D196" s="4" t="str">
        <f>BOM!E77</f>
        <v>HARMONY ПВ3 1 16</v>
      </c>
      <c r="E196" s="4">
        <f>IF(BOM!X77="",BOM!D77,BOM!X77)</f>
        <v>16</v>
      </c>
      <c r="F196" s="4">
        <f>BOM!I77</f>
        <v>4</v>
      </c>
      <c r="G196" s="4" t="str">
        <f>BOM!J77</f>
        <v>м</v>
      </c>
      <c r="I196" s="4" t="s">
        <v>690</v>
      </c>
    </row>
    <row r="197" spans="1:9" x14ac:dyDescent="0.35">
      <c r="A197" s="4" t="str">
        <f>BOM!Q78</f>
        <v>P04</v>
      </c>
      <c r="B197" s="4" t="s">
        <v>689</v>
      </c>
      <c r="C197" s="4">
        <v>13</v>
      </c>
      <c r="D197" s="4" t="str">
        <f>BOM!E78</f>
        <v>ЗНИ 4мм ² (35А) серый IEK</v>
      </c>
      <c r="E197" s="4">
        <f>IF(BOM!X78="",BOM!D78,BOM!X78)</f>
        <v>4</v>
      </c>
      <c r="F197" s="4">
        <f>BOM!I78</f>
        <v>43</v>
      </c>
      <c r="G197" s="4" t="str">
        <f>BOM!J78</f>
        <v>шт</v>
      </c>
      <c r="I197" s="4" t="s">
        <v>690</v>
      </c>
    </row>
    <row r="198" spans="1:9" x14ac:dyDescent="0.35">
      <c r="A198" s="4" t="str">
        <f>BOM!Q79</f>
        <v>P04</v>
      </c>
      <c r="B198" s="4" t="s">
        <v>689</v>
      </c>
      <c r="C198" s="4">
        <v>14</v>
      </c>
      <c r="D198" s="4" t="str">
        <f>BOM!E79</f>
        <v>Зажим наборный ЗНИ - 4PEN 4мм2 (JXB-земля) IEK</v>
      </c>
      <c r="E198" s="4">
        <f>IF(BOM!X79="",BOM!D79,BOM!X79)</f>
        <v>4</v>
      </c>
      <c r="F198" s="4">
        <f>BOM!I79</f>
        <v>21</v>
      </c>
      <c r="G198" s="4" t="str">
        <f>BOM!J79</f>
        <v>шт</v>
      </c>
      <c r="I198" s="4" t="s">
        <v>690</v>
      </c>
    </row>
    <row r="199" spans="1:9" x14ac:dyDescent="0.35">
      <c r="A199" s="4" t="s">
        <v>156</v>
      </c>
      <c r="B199" s="4" t="s">
        <v>691</v>
      </c>
      <c r="C199" s="4">
        <v>1</v>
      </c>
      <c r="D199" s="4" t="s">
        <v>692</v>
      </c>
      <c r="E199" s="4" t="s">
        <v>188</v>
      </c>
      <c r="G199" s="4" t="s">
        <v>693</v>
      </c>
      <c r="H199" s="4">
        <f>SUMIFS(BOM!$T:$T,BOM!$Q:$Q,$A199,BOM!$R:$R,$E199)</f>
        <v>0</v>
      </c>
      <c r="I199" s="4" t="s">
        <v>694</v>
      </c>
    </row>
    <row r="200" spans="1:9" x14ac:dyDescent="0.35">
      <c r="A200" s="4" t="s">
        <v>156</v>
      </c>
      <c r="B200" s="4" t="s">
        <v>691</v>
      </c>
      <c r="C200" s="4">
        <v>2</v>
      </c>
      <c r="D200" s="4" t="s">
        <v>692</v>
      </c>
      <c r="E200" s="4" t="s">
        <v>107</v>
      </c>
      <c r="G200" s="4" t="s">
        <v>693</v>
      </c>
      <c r="H200" s="4">
        <f>SUMIFS(BOM!$T:$T,BOM!$Q:$Q,$A200,BOM!$R:$R,$E200)</f>
        <v>30</v>
      </c>
      <c r="I200" s="4" t="s">
        <v>694</v>
      </c>
    </row>
    <row r="201" spans="1:9" x14ac:dyDescent="0.35">
      <c r="A201" s="4" t="s">
        <v>156</v>
      </c>
      <c r="B201" s="4" t="s">
        <v>691</v>
      </c>
      <c r="C201" s="4">
        <v>3</v>
      </c>
      <c r="D201" s="4" t="s">
        <v>692</v>
      </c>
      <c r="E201" s="4" t="s">
        <v>33</v>
      </c>
      <c r="G201" s="4" t="s">
        <v>693</v>
      </c>
      <c r="H201" s="4">
        <f>SUMIFS(BOM!$T:$T,BOM!$Q:$Q,$A201,BOM!$R:$R,$E201)</f>
        <v>0</v>
      </c>
      <c r="I201" s="4" t="s">
        <v>694</v>
      </c>
    </row>
    <row r="202" spans="1:9" x14ac:dyDescent="0.35">
      <c r="A202" s="4" t="s">
        <v>156</v>
      </c>
      <c r="B202" s="4" t="s">
        <v>691</v>
      </c>
      <c r="C202" s="4">
        <v>4</v>
      </c>
      <c r="D202" s="4" t="s">
        <v>692</v>
      </c>
      <c r="E202" s="4" t="s">
        <v>79</v>
      </c>
      <c r="G202" s="4" t="s">
        <v>693</v>
      </c>
      <c r="H202" s="4">
        <f>SUMIFS(BOM!$T:$T,BOM!$Q:$Q,$A202,BOM!$R:$R,$E202)</f>
        <v>0</v>
      </c>
      <c r="I202" s="4" t="s">
        <v>694</v>
      </c>
    </row>
    <row r="203" spans="1:9" x14ac:dyDescent="0.35">
      <c r="A203" s="4" t="s">
        <v>156</v>
      </c>
      <c r="B203" s="4" t="s">
        <v>691</v>
      </c>
      <c r="C203" s="4">
        <v>5</v>
      </c>
      <c r="D203" s="4" t="s">
        <v>692</v>
      </c>
      <c r="E203" s="4" t="s">
        <v>83</v>
      </c>
      <c r="G203" s="4" t="s">
        <v>693</v>
      </c>
      <c r="H203" s="4">
        <f>SUMIFS(BOM!$T:$T,BOM!$Q:$Q,$A203,BOM!$R:$R,$E203)</f>
        <v>0</v>
      </c>
      <c r="I203" s="4" t="s">
        <v>694</v>
      </c>
    </row>
    <row r="204" spans="1:9" x14ac:dyDescent="0.35">
      <c r="A204" s="4" t="s">
        <v>156</v>
      </c>
      <c r="B204" s="4" t="s">
        <v>691</v>
      </c>
      <c r="C204" s="4">
        <v>6</v>
      </c>
      <c r="D204" s="4" t="s">
        <v>692</v>
      </c>
      <c r="E204" s="4" t="s">
        <v>111</v>
      </c>
      <c r="G204" s="4" t="s">
        <v>693</v>
      </c>
      <c r="H204" s="4">
        <f>SUMIFS(BOM!$T:$T,BOM!$Q:$Q,$A204,BOM!$R:$R,$E204)</f>
        <v>45</v>
      </c>
      <c r="I204" s="4" t="s">
        <v>694</v>
      </c>
    </row>
    <row r="205" spans="1:9" x14ac:dyDescent="0.35">
      <c r="A205" s="4" t="s">
        <v>156</v>
      </c>
      <c r="B205" s="4" t="s">
        <v>691</v>
      </c>
      <c r="C205" s="4">
        <v>7</v>
      </c>
      <c r="D205" s="4" t="s">
        <v>692</v>
      </c>
      <c r="E205" s="4" t="s">
        <v>38</v>
      </c>
      <c r="G205" s="4" t="s">
        <v>693</v>
      </c>
      <c r="H205" s="4">
        <f>SUMIFS(BOM!$T:$T,BOM!$Q:$Q,$A205,BOM!$R:$R,$E205)</f>
        <v>0</v>
      </c>
      <c r="I205" s="4" t="s">
        <v>694</v>
      </c>
    </row>
    <row r="206" spans="1:9" x14ac:dyDescent="0.35">
      <c r="A206" s="4" t="s">
        <v>156</v>
      </c>
      <c r="B206" s="4" t="s">
        <v>691</v>
      </c>
      <c r="C206" s="4">
        <v>8</v>
      </c>
      <c r="D206" s="4" t="s">
        <v>692</v>
      </c>
      <c r="E206" s="4" t="s">
        <v>43</v>
      </c>
      <c r="G206" s="4" t="s">
        <v>693</v>
      </c>
      <c r="H206" s="4">
        <f>SUMIFS(BOM!$T:$T,BOM!$Q:$Q,$A206,BOM!$R:$R,$E206)</f>
        <v>0</v>
      </c>
      <c r="I206" s="4" t="s">
        <v>694</v>
      </c>
    </row>
    <row r="207" spans="1:9" x14ac:dyDescent="0.35">
      <c r="A207" s="4" t="s">
        <v>156</v>
      </c>
      <c r="B207" s="4" t="s">
        <v>691</v>
      </c>
      <c r="C207" s="4">
        <v>9</v>
      </c>
      <c r="D207" s="4" t="s">
        <v>692</v>
      </c>
      <c r="E207" s="4" t="s">
        <v>165</v>
      </c>
      <c r="G207" s="4" t="s">
        <v>693</v>
      </c>
      <c r="H207" s="4">
        <f>SUMIFS(BOM!$T:$T,BOM!$Q:$Q,$A207,BOM!$R:$R,$E207)</f>
        <v>0</v>
      </c>
      <c r="I207" s="4" t="s">
        <v>694</v>
      </c>
    </row>
    <row r="208" spans="1:9" x14ac:dyDescent="0.35">
      <c r="A208" s="4" t="s">
        <v>156</v>
      </c>
      <c r="B208" s="4" t="s">
        <v>691</v>
      </c>
      <c r="C208" s="4">
        <v>10</v>
      </c>
      <c r="D208" s="4" t="s">
        <v>692</v>
      </c>
      <c r="E208" s="4" t="s">
        <v>50</v>
      </c>
      <c r="G208" s="4" t="s">
        <v>693</v>
      </c>
      <c r="H208" s="4">
        <f>SUMIFS(BOM!$T:$T,BOM!$Q:$Q,$A208,BOM!$R:$R,$E208)</f>
        <v>8</v>
      </c>
      <c r="I208" s="4" t="s">
        <v>694</v>
      </c>
    </row>
    <row r="209" spans="1:9" x14ac:dyDescent="0.35">
      <c r="A209" s="4" t="s">
        <v>156</v>
      </c>
      <c r="B209" s="4" t="s">
        <v>691</v>
      </c>
      <c r="C209" s="4">
        <v>11</v>
      </c>
      <c r="D209" s="4" t="s">
        <v>692</v>
      </c>
      <c r="E209" s="4" t="s">
        <v>150</v>
      </c>
      <c r="G209" s="4" t="s">
        <v>693</v>
      </c>
      <c r="H209" s="4">
        <f>SUMIFS(BOM!$T:$T,BOM!$Q:$Q,$A209,BOM!$R:$R,$E209)</f>
        <v>0</v>
      </c>
      <c r="I209" s="4" t="s">
        <v>694</v>
      </c>
    </row>
    <row r="210" spans="1:9" x14ac:dyDescent="0.35">
      <c r="A210" s="4" t="s">
        <v>156</v>
      </c>
      <c r="B210" s="4" t="s">
        <v>691</v>
      </c>
      <c r="C210" s="4">
        <v>12</v>
      </c>
      <c r="D210" s="4" t="s">
        <v>692</v>
      </c>
      <c r="E210" s="4" t="s">
        <v>170</v>
      </c>
      <c r="G210" s="4" t="s">
        <v>693</v>
      </c>
      <c r="H210" s="4">
        <f>SUMIFS(BOM!$T:$T,BOM!$Q:$Q,$A210,BOM!$R:$R,$E210)</f>
        <v>0</v>
      </c>
      <c r="I210" s="4" t="s">
        <v>694</v>
      </c>
    </row>
    <row r="211" spans="1:9" x14ac:dyDescent="0.35">
      <c r="A211" s="4" t="s">
        <v>156</v>
      </c>
      <c r="B211" s="4" t="s">
        <v>691</v>
      </c>
      <c r="C211" s="4">
        <v>13</v>
      </c>
      <c r="D211" s="4" t="s">
        <v>692</v>
      </c>
      <c r="E211" s="4" t="s">
        <v>123</v>
      </c>
      <c r="G211" s="4" t="s">
        <v>693</v>
      </c>
      <c r="H211" s="4">
        <f>SUMIFS(BOM!$T:$T,BOM!$Q:$Q,$A211,BOM!$R:$R,$E211)</f>
        <v>30</v>
      </c>
      <c r="I211" s="4" t="s">
        <v>694</v>
      </c>
    </row>
    <row r="212" spans="1:9" x14ac:dyDescent="0.35">
      <c r="A212" s="4" t="s">
        <v>156</v>
      </c>
      <c r="B212" s="4" t="s">
        <v>691</v>
      </c>
      <c r="C212" s="4">
        <v>14</v>
      </c>
      <c r="D212" s="4" t="s">
        <v>692</v>
      </c>
      <c r="E212" s="4" t="s">
        <v>59</v>
      </c>
      <c r="G212" s="4" t="s">
        <v>693</v>
      </c>
      <c r="H212" s="4">
        <f>SUMIFS(BOM!$T:$T,BOM!$Q:$Q,$A212,BOM!$R:$R,$E212)</f>
        <v>0</v>
      </c>
      <c r="I212" s="4" t="s">
        <v>694</v>
      </c>
    </row>
    <row r="213" spans="1:9" x14ac:dyDescent="0.35">
      <c r="A213" s="4" t="s">
        <v>156</v>
      </c>
      <c r="B213" s="4" t="s">
        <v>691</v>
      </c>
      <c r="C213" s="4">
        <v>15</v>
      </c>
      <c r="D213" s="4" t="s">
        <v>692</v>
      </c>
      <c r="E213" s="4" t="s">
        <v>66</v>
      </c>
      <c r="G213" s="4" t="s">
        <v>693</v>
      </c>
      <c r="H213" s="4">
        <f>SUMIFS(BOM!$T:$T,BOM!$Q:$Q,$A213,BOM!$R:$R,$E213)</f>
        <v>0</v>
      </c>
      <c r="I213" s="4" t="s">
        <v>694</v>
      </c>
    </row>
    <row r="214" spans="1:9" x14ac:dyDescent="0.35">
      <c r="A214" s="4" t="s">
        <v>156</v>
      </c>
      <c r="B214" s="4" t="s">
        <v>691</v>
      </c>
      <c r="C214" s="4">
        <v>16</v>
      </c>
      <c r="D214" s="4" t="s">
        <v>692</v>
      </c>
      <c r="E214" s="4" t="s">
        <v>70</v>
      </c>
      <c r="G214" s="4" t="s">
        <v>693</v>
      </c>
      <c r="H214" s="4">
        <f>SUMIFS(BOM!$T:$T,BOM!$Q:$Q,$A214,BOM!$R:$R,$E214)</f>
        <v>0</v>
      </c>
      <c r="I214" s="4" t="s">
        <v>694</v>
      </c>
    </row>
    <row r="215" spans="1:9" x14ac:dyDescent="0.35">
      <c r="A215" s="4" t="s">
        <v>156</v>
      </c>
      <c r="B215" s="4" t="s">
        <v>691</v>
      </c>
      <c r="C215" s="4">
        <v>17</v>
      </c>
      <c r="D215" s="4" t="s">
        <v>692</v>
      </c>
      <c r="E215" s="4" t="s">
        <v>62</v>
      </c>
      <c r="G215" s="4" t="s">
        <v>693</v>
      </c>
      <c r="H215" s="4">
        <f>SUMIFS(BOM!$T:$T,BOM!$Q:$Q,$A215,BOM!$R:$R,$E215)</f>
        <v>0</v>
      </c>
      <c r="I215" s="4" t="s">
        <v>694</v>
      </c>
    </row>
    <row r="216" spans="1:9" x14ac:dyDescent="0.35">
      <c r="A216" s="4" t="s">
        <v>156</v>
      </c>
      <c r="B216" s="4" t="s">
        <v>691</v>
      </c>
      <c r="C216" s="4">
        <v>18</v>
      </c>
      <c r="D216" s="4" t="s">
        <v>692</v>
      </c>
      <c r="E216" s="4" t="s">
        <v>90</v>
      </c>
      <c r="G216" s="4" t="s">
        <v>693</v>
      </c>
      <c r="H216" s="4">
        <f>SUMIFS(BOM!$T:$T,BOM!$Q:$Q,$A216,BOM!$R:$R,$E216)</f>
        <v>0</v>
      </c>
      <c r="I216" s="4" t="s">
        <v>694</v>
      </c>
    </row>
    <row r="217" spans="1:9" x14ac:dyDescent="0.35">
      <c r="A217" s="4" t="s">
        <v>156</v>
      </c>
      <c r="B217" s="4" t="s">
        <v>691</v>
      </c>
      <c r="C217" s="4">
        <v>19</v>
      </c>
      <c r="D217" s="4" t="s">
        <v>692</v>
      </c>
      <c r="E217" s="4" t="s">
        <v>136</v>
      </c>
      <c r="G217" s="4" t="s">
        <v>693</v>
      </c>
      <c r="H217" s="4">
        <f>SUMIFS(BOM!$T:$T,BOM!$Q:$Q,$A217,BOM!$R:$R,$E217)</f>
        <v>256</v>
      </c>
      <c r="I217" s="4" t="s">
        <v>694</v>
      </c>
    </row>
    <row r="218" spans="1:9" x14ac:dyDescent="0.35">
      <c r="A218" s="4" t="s">
        <v>156</v>
      </c>
      <c r="B218" s="4" t="s">
        <v>691</v>
      </c>
      <c r="C218" s="4">
        <v>20</v>
      </c>
      <c r="D218" s="4" t="s">
        <v>692</v>
      </c>
      <c r="E218" s="4" t="s">
        <v>695</v>
      </c>
      <c r="G218" s="4" t="s">
        <v>693</v>
      </c>
      <c r="H218" s="4">
        <f>SUMIFS(BOM!$T:$T,BOM!$Q:$Q,$A218,BOM!$R:$R,$E218)</f>
        <v>0</v>
      </c>
      <c r="I218" s="4" t="s">
        <v>694</v>
      </c>
    </row>
    <row r="219" spans="1:9" x14ac:dyDescent="0.35">
      <c r="A219" s="4" t="str">
        <f>DEVRE!A32</f>
        <v>P04</v>
      </c>
      <c r="B219" s="4" t="s">
        <v>696</v>
      </c>
      <c r="C219" s="4">
        <v>1</v>
      </c>
      <c r="D219" s="4" t="str">
        <f>DEVRE!B32&amp;" · "&amp;DEVRE!E32</f>
        <v>QS · Ввод ~380/220В (МС-2)</v>
      </c>
      <c r="E219" s="4">
        <f>DEVRE!V32</f>
        <v>16</v>
      </c>
      <c r="F219" s="4">
        <f>DEVRE!Z32</f>
        <v>3.5999999999999996</v>
      </c>
      <c r="G219" s="4" t="s">
        <v>697</v>
      </c>
      <c r="I219" s="4" t="str">
        <f>DEVRE!AL32&amp;IF(DEVRE!AF32="",""," · XT "&amp;DEVRE!AF32&amp;"–"&amp;DEVRE!AG32)</f>
        <v>L1 sarı · L2 yeşil · L3 kırmızı · N mavi · PE sarı-yeşil</v>
      </c>
    </row>
    <row r="220" spans="1:9" x14ac:dyDescent="0.35">
      <c r="A220" s="4" t="str">
        <f>DEVRE!A33</f>
        <v>P04</v>
      </c>
      <c r="B220" s="4" t="s">
        <v>696</v>
      </c>
      <c r="C220" s="4">
        <v>2</v>
      </c>
      <c r="D220" s="4" t="str">
        <f>DEVRE!B33&amp;" · "&amp;DEVRE!E33</f>
        <v>НА1 · ЭВН1 Аристон-15л 1,2 кВт</v>
      </c>
      <c r="E220" s="4">
        <f>DEVRE!V33</f>
        <v>2.5</v>
      </c>
      <c r="F220" s="4">
        <f>DEVRE!Z33</f>
        <v>3.5999999999999996</v>
      </c>
      <c r="G220" s="4" t="s">
        <v>697</v>
      </c>
      <c r="I220" s="4" t="str">
        <f>DEVRE!AL33&amp;IF(DEVRE!AF33="",""," · XT "&amp;DEVRE!AF33&amp;"–"&amp;DEVRE!AG33)</f>
        <v>sarı · N mavi · PE sarı-yeşil · XT 1–3</v>
      </c>
    </row>
    <row r="221" spans="1:9" x14ac:dyDescent="0.35">
      <c r="A221" s="4" t="str">
        <f>DEVRE!A34</f>
        <v>P04</v>
      </c>
      <c r="B221" s="4" t="s">
        <v>696</v>
      </c>
      <c r="C221" s="4">
        <v>3</v>
      </c>
      <c r="D221" s="4" t="str">
        <f>DEVRE!B34&amp;" · "&amp;DEVRE!E34</f>
        <v>НА2 · ЭВН2 Аристон-15л 1,2 кВт</v>
      </c>
      <c r="E221" s="4">
        <f>DEVRE!V34</f>
        <v>2.5</v>
      </c>
      <c r="F221" s="4">
        <f>DEVRE!Z34</f>
        <v>3.5999999999999996</v>
      </c>
      <c r="G221" s="4" t="s">
        <v>697</v>
      </c>
      <c r="I221" s="4" t="str">
        <f>DEVRE!AL34&amp;IF(DEVRE!AF34="",""," · XT "&amp;DEVRE!AF34&amp;"–"&amp;DEVRE!AG34)</f>
        <v>yeşil · N mavi · PE sarı-yeşil · XT 4–6</v>
      </c>
    </row>
    <row r="222" spans="1:9" x14ac:dyDescent="0.35">
      <c r="A222" s="4" t="str">
        <f>DEVRE!A35</f>
        <v>P04</v>
      </c>
      <c r="B222" s="4" t="s">
        <v>696</v>
      </c>
      <c r="C222" s="4">
        <v>4</v>
      </c>
      <c r="D222" s="4" t="str">
        <f>DEVRE!B35&amp;" · "&amp;DEVRE!E35</f>
        <v>НА3 · ЭВН3 Аристон-100л 1,5 кВт</v>
      </c>
      <c r="E222" s="4">
        <f>DEVRE!V35</f>
        <v>2.5</v>
      </c>
      <c r="F222" s="4">
        <f>DEVRE!Z35</f>
        <v>3.5999999999999996</v>
      </c>
      <c r="G222" s="4" t="s">
        <v>697</v>
      </c>
      <c r="I222" s="4" t="str">
        <f>DEVRE!AL35&amp;IF(DEVRE!AF35="",""," · XT "&amp;DEVRE!AF35&amp;"–"&amp;DEVRE!AG35)</f>
        <v>kırmızı · N mavi · PE sarı-yeşil · XT 7–9</v>
      </c>
    </row>
    <row r="223" spans="1:9" x14ac:dyDescent="0.35">
      <c r="A223" s="4" t="str">
        <f>DEVRE!A36</f>
        <v>P04</v>
      </c>
      <c r="B223" s="4" t="s">
        <v>696</v>
      </c>
      <c r="C223" s="4">
        <v>5</v>
      </c>
      <c r="D223" s="4" t="str">
        <f>DEVRE!B36&amp;" · "&amp;DEVRE!E36</f>
        <v>НА4 · ЭВН4 Аристон-100л 1,5 кВт</v>
      </c>
      <c r="E223" s="4">
        <f>DEVRE!V36</f>
        <v>2.5</v>
      </c>
      <c r="F223" s="4">
        <f>DEVRE!Z36</f>
        <v>3.5999999999999996</v>
      </c>
      <c r="G223" s="4" t="s">
        <v>697</v>
      </c>
      <c r="I223" s="4" t="str">
        <f>DEVRE!AL36&amp;IF(DEVRE!AF36="",""," · XT "&amp;DEVRE!AF36&amp;"–"&amp;DEVRE!AG36)</f>
        <v>sarı · N mavi · PE sarı-yeşil · XT 10–12</v>
      </c>
    </row>
    <row r="224" spans="1:9" x14ac:dyDescent="0.35">
      <c r="A224" s="4" t="str">
        <f>DEVRE!A37</f>
        <v>P04</v>
      </c>
      <c r="B224" s="4" t="s">
        <v>696</v>
      </c>
      <c r="C224" s="4">
        <v>6</v>
      </c>
      <c r="D224" s="4" t="str">
        <f>DEVRE!B37&amp;" · "&amp;DEVRE!E37</f>
        <v>НА5 · ЭВН5 Аристон-100л 1,5 кВт</v>
      </c>
      <c r="E224" s="4">
        <f>DEVRE!V37</f>
        <v>2.5</v>
      </c>
      <c r="F224" s="4">
        <f>DEVRE!Z37</f>
        <v>3.5999999999999996</v>
      </c>
      <c r="G224" s="4" t="s">
        <v>697</v>
      </c>
      <c r="I224" s="4" t="str">
        <f>DEVRE!AL37&amp;IF(DEVRE!AF37="",""," · XT "&amp;DEVRE!AF37&amp;"–"&amp;DEVRE!AG37)</f>
        <v>yeşil · N mavi · PE sarı-yeşil · XT 13–15</v>
      </c>
    </row>
    <row r="225" spans="1:9" x14ac:dyDescent="0.35">
      <c r="A225" s="4" t="str">
        <f>DEVRE!A38</f>
        <v>P04</v>
      </c>
      <c r="B225" s="4" t="s">
        <v>696</v>
      </c>
      <c r="C225" s="4">
        <v>7</v>
      </c>
      <c r="D225" s="4" t="str">
        <f>DEVRE!B38&amp;" · "&amp;DEVRE!E38</f>
        <v>НА6 · ЭВН6 Аристон-100л 1,5 кВт</v>
      </c>
      <c r="E225" s="4">
        <f>DEVRE!V38</f>
        <v>2.5</v>
      </c>
      <c r="F225" s="4">
        <f>DEVRE!Z38</f>
        <v>3.5999999999999996</v>
      </c>
      <c r="G225" s="4" t="s">
        <v>697</v>
      </c>
      <c r="I225" s="4" t="str">
        <f>DEVRE!AL38&amp;IF(DEVRE!AF38="",""," · XT "&amp;DEVRE!AF38&amp;"–"&amp;DEVRE!AG38)</f>
        <v>kırmızı · N mavi · PE sarı-yeşil · XT 16–18</v>
      </c>
    </row>
    <row r="226" spans="1:9" x14ac:dyDescent="0.35">
      <c r="A226" s="4" t="str">
        <f>DEVRE!A39</f>
        <v>P04</v>
      </c>
      <c r="B226" s="4" t="s">
        <v>696</v>
      </c>
      <c r="C226" s="4">
        <v>8</v>
      </c>
      <c r="D226" s="4" t="str">
        <f>DEVRE!B39&amp;" · "&amp;DEVRE!E39</f>
        <v>НА7 · ЭВН7 Аристон-15л 1,2 кВт</v>
      </c>
      <c r="E226" s="4">
        <f>DEVRE!V39</f>
        <v>2.5</v>
      </c>
      <c r="F226" s="4">
        <f>DEVRE!Z39</f>
        <v>3.5999999999999996</v>
      </c>
      <c r="G226" s="4" t="s">
        <v>697</v>
      </c>
      <c r="I226" s="4" t="str">
        <f>DEVRE!AL39&amp;IF(DEVRE!AF39="",""," · XT "&amp;DEVRE!AF39&amp;"–"&amp;DEVRE!AG39)</f>
        <v>sarı · N mavi · PE sarı-yeşil · XT 19–21</v>
      </c>
    </row>
    <row r="227" spans="1:9" x14ac:dyDescent="0.35">
      <c r="A227" s="4" t="str">
        <f>DEVRE!A40</f>
        <v>P04</v>
      </c>
      <c r="B227" s="4" t="s">
        <v>696</v>
      </c>
      <c r="C227" s="4">
        <v>9</v>
      </c>
      <c r="D227" s="4" t="str">
        <f>DEVRE!B40&amp;" · "&amp;DEVRE!E40</f>
        <v>НА8 · ЭВН8 Аристон-10л 1,5 кВт</v>
      </c>
      <c r="E227" s="4">
        <f>DEVRE!V40</f>
        <v>2.5</v>
      </c>
      <c r="F227" s="4">
        <f>DEVRE!Z40</f>
        <v>3.5999999999999996</v>
      </c>
      <c r="G227" s="4" t="s">
        <v>697</v>
      </c>
      <c r="I227" s="4" t="str">
        <f>DEVRE!AL40&amp;IF(DEVRE!AF40="",""," · XT "&amp;DEVRE!AF40&amp;"–"&amp;DEVRE!AG40)</f>
        <v>yeşil · N mavi · PE sarı-yeşil · XT 22–24</v>
      </c>
    </row>
    <row r="228" spans="1:9" x14ac:dyDescent="0.35">
      <c r="A228" s="4" t="str">
        <f>DEVRE!A41</f>
        <v>P04</v>
      </c>
      <c r="B228" s="4" t="s">
        <v>696</v>
      </c>
      <c r="C228" s="4">
        <v>10</v>
      </c>
      <c r="D228" s="4" t="str">
        <f>DEVRE!B41&amp;" · "&amp;DEVRE!E41</f>
        <v>НА9 · ЭВН9 Аристон-100л 1,5 кВт</v>
      </c>
      <c r="E228" s="4">
        <f>DEVRE!V41</f>
        <v>2.5</v>
      </c>
      <c r="F228" s="4">
        <f>DEVRE!Z41</f>
        <v>3.5999999999999996</v>
      </c>
      <c r="G228" s="4" t="s">
        <v>697</v>
      </c>
      <c r="I228" s="4" t="str">
        <f>DEVRE!AL41&amp;IF(DEVRE!AF41="",""," · XT "&amp;DEVRE!AF41&amp;"–"&amp;DEVRE!AG41)</f>
        <v>kırmızı · N mavi · PE sarı-yeşil · XT 25–27</v>
      </c>
    </row>
    <row r="229" spans="1:9" x14ac:dyDescent="0.35">
      <c r="A229" s="4" t="str">
        <f>DEVRE!A42</f>
        <v>P04</v>
      </c>
      <c r="B229" s="4" t="s">
        <v>696</v>
      </c>
      <c r="C229" s="4">
        <v>11</v>
      </c>
      <c r="D229" s="4" t="str">
        <f>DEVRE!B42&amp;" · "&amp;DEVRE!E42</f>
        <v>НА10 · ЭВН10 Аристон-100л 1,5 кВт</v>
      </c>
      <c r="E229" s="4">
        <f>DEVRE!V42</f>
        <v>2.5</v>
      </c>
      <c r="F229" s="4">
        <f>DEVRE!Z42</f>
        <v>3.5999999999999996</v>
      </c>
      <c r="G229" s="4" t="s">
        <v>697</v>
      </c>
      <c r="I229" s="4" t="str">
        <f>DEVRE!AL42&amp;IF(DEVRE!AF42="",""," · XT "&amp;DEVRE!AF42&amp;"–"&amp;DEVRE!AG42)</f>
        <v>sarı · N mavi · PE sarı-yeşil · XT 28–30</v>
      </c>
    </row>
    <row r="230" spans="1:9" x14ac:dyDescent="0.35">
      <c r="A230" s="4" t="str">
        <f>DEVRE!A43</f>
        <v>P04</v>
      </c>
      <c r="B230" s="4" t="s">
        <v>696</v>
      </c>
      <c r="C230" s="4">
        <v>12</v>
      </c>
      <c r="D230" s="4" t="str">
        <f>DEVRE!B43&amp;" · "&amp;DEVRE!E43</f>
        <v>НА11 · ЭВН11 Аристон-100л 1,5 кВт</v>
      </c>
      <c r="E230" s="4">
        <f>DEVRE!V43</f>
        <v>2.5</v>
      </c>
      <c r="F230" s="4">
        <f>DEVRE!Z43</f>
        <v>3.5999999999999996</v>
      </c>
      <c r="G230" s="4" t="s">
        <v>697</v>
      </c>
      <c r="I230" s="4" t="str">
        <f>DEVRE!AL43&amp;IF(DEVRE!AF43="",""," · XT "&amp;DEVRE!AF43&amp;"–"&amp;DEVRE!AG43)</f>
        <v>yeşil · N mavi · PE sarı-yeşil · XT 31–33</v>
      </c>
    </row>
    <row r="231" spans="1:9" x14ac:dyDescent="0.35">
      <c r="A231" s="4" t="str">
        <f>DEVRE!A44</f>
        <v>P04</v>
      </c>
      <c r="B231" s="4" t="s">
        <v>696</v>
      </c>
      <c r="C231" s="4">
        <v>13</v>
      </c>
      <c r="D231" s="4" t="str">
        <f>DEVRE!B44&amp;" · "&amp;DEVRE!E44</f>
        <v>НА12 · ЭВН12 Аристон-100л 1,5 кВт</v>
      </c>
      <c r="E231" s="4">
        <f>DEVRE!V44</f>
        <v>2.5</v>
      </c>
      <c r="F231" s="4">
        <f>DEVRE!Z44</f>
        <v>3.5999999999999996</v>
      </c>
      <c r="G231" s="4" t="s">
        <v>697</v>
      </c>
      <c r="I231" s="4" t="str">
        <f>DEVRE!AL44&amp;IF(DEVRE!AF44="",""," · XT "&amp;DEVRE!AF44&amp;"–"&amp;DEVRE!AG44)</f>
        <v>kırmızı · N mavi · PE sarı-yeşil · XT 34–36</v>
      </c>
    </row>
    <row r="232" spans="1:9" x14ac:dyDescent="0.35">
      <c r="A232" s="4" t="str">
        <f>DEVRE!A45</f>
        <v>P04</v>
      </c>
      <c r="B232" s="4" t="s">
        <v>696</v>
      </c>
      <c r="C232" s="4">
        <v>14</v>
      </c>
      <c r="D232" s="4" t="str">
        <f>DEVRE!B45&amp;" · "&amp;DEVRE!E45</f>
        <v>НА13 · ЭВН13 Аристон-15л 1,2 кВт</v>
      </c>
      <c r="E232" s="4">
        <f>DEVRE!V45</f>
        <v>2.5</v>
      </c>
      <c r="F232" s="4">
        <f>DEVRE!Z45</f>
        <v>3.5999999999999996</v>
      </c>
      <c r="G232" s="4" t="s">
        <v>697</v>
      </c>
      <c r="I232" s="4" t="str">
        <f>DEVRE!AL45&amp;IF(DEVRE!AF45="",""," · XT "&amp;DEVRE!AF45&amp;"–"&amp;DEVRE!AG45)</f>
        <v>sarı · N mavi · PE sarı-yeşil · XT 37–39</v>
      </c>
    </row>
    <row r="233" spans="1:9" x14ac:dyDescent="0.35">
      <c r="A233" s="4" t="str">
        <f>DEVRE!A46</f>
        <v>P04</v>
      </c>
      <c r="B233" s="4" t="s">
        <v>696</v>
      </c>
      <c r="C233" s="4">
        <v>15</v>
      </c>
      <c r="D233" s="4" t="str">
        <f>DEVRE!B46&amp;" · "&amp;DEVRE!E46</f>
        <v>НА14 · ЭВН14 Аристон-10л 1,2 кВт</v>
      </c>
      <c r="E233" s="4">
        <f>DEVRE!V46</f>
        <v>2.5</v>
      </c>
      <c r="F233" s="4">
        <f>DEVRE!Z46</f>
        <v>3.5999999999999996</v>
      </c>
      <c r="G233" s="4" t="s">
        <v>697</v>
      </c>
      <c r="I233" s="4" t="str">
        <f>DEVRE!AL46&amp;IF(DEVRE!AF46="",""," · XT "&amp;DEVRE!AF46&amp;"–"&amp;DEVRE!AG46)</f>
        <v>yeşil · N mavi · PE sarı-yeşil · XT 40–42</v>
      </c>
    </row>
    <row r="234" spans="1:9" x14ac:dyDescent="0.35">
      <c r="A234" s="4" t="str">
        <f>DEVRE!A47</f>
        <v>P04</v>
      </c>
      <c r="B234" s="4" t="s">
        <v>696</v>
      </c>
      <c r="C234" s="4">
        <v>16</v>
      </c>
      <c r="D234" s="4" t="str">
        <f>DEVRE!B47&amp;" · "&amp;DEVRE!E47</f>
        <v>НА15 · ЭВН15 Аристон-100л 1,5 кВт</v>
      </c>
      <c r="E234" s="4">
        <f>DEVRE!V47</f>
        <v>2.5</v>
      </c>
      <c r="F234" s="4">
        <f>DEVRE!Z47</f>
        <v>3.5999999999999996</v>
      </c>
      <c r="G234" s="4" t="s">
        <v>697</v>
      </c>
      <c r="I234" s="4" t="str">
        <f>DEVRE!AL47&amp;IF(DEVRE!AF47="",""," · XT "&amp;DEVRE!AF47&amp;"–"&amp;DEVRE!AG47)</f>
        <v>kırmızı · N mavi · PE sarı-yeşil · XT 43–45</v>
      </c>
    </row>
    <row r="235" spans="1:9" x14ac:dyDescent="0.35">
      <c r="A235" s="4" t="str">
        <f>DEVRE!A48</f>
        <v>P04</v>
      </c>
      <c r="B235" s="4" t="s">
        <v>696</v>
      </c>
      <c r="C235" s="4">
        <v>17</v>
      </c>
      <c r="D235" s="4" t="str">
        <f>DEVRE!B48&amp;" · "&amp;DEVRE!E48</f>
        <v>НА16 · ЭВН16 Аристон-100л 1,5 кВт</v>
      </c>
      <c r="E235" s="4">
        <f>DEVRE!V48</f>
        <v>2.5</v>
      </c>
      <c r="F235" s="4">
        <f>DEVRE!Z48</f>
        <v>3.5999999999999996</v>
      </c>
      <c r="G235" s="4" t="s">
        <v>697</v>
      </c>
      <c r="I235" s="4" t="str">
        <f>DEVRE!AL48&amp;IF(DEVRE!AF48="",""," · XT "&amp;DEVRE!AF48&amp;"–"&amp;DEVRE!AG48)</f>
        <v>sarı · N mavi · PE sarı-yeşil · XT 46–48</v>
      </c>
    </row>
    <row r="236" spans="1:9" x14ac:dyDescent="0.35">
      <c r="A236" s="4" t="str">
        <f>DEVRE!A49</f>
        <v>P04</v>
      </c>
      <c r="B236" s="4" t="s">
        <v>696</v>
      </c>
      <c r="C236" s="4">
        <v>18</v>
      </c>
      <c r="D236" s="4" t="str">
        <f>DEVRE!B49&amp;" · "&amp;DEVRE!E49</f>
        <v>НА17 · ЭВН17 Аристон-100л 1,5 кВт</v>
      </c>
      <c r="E236" s="4">
        <f>DEVRE!V49</f>
        <v>2.5</v>
      </c>
      <c r="F236" s="4">
        <f>DEVRE!Z49</f>
        <v>3.5999999999999996</v>
      </c>
      <c r="G236" s="4" t="s">
        <v>697</v>
      </c>
      <c r="I236" s="4" t="str">
        <f>DEVRE!AL49&amp;IF(DEVRE!AF49="",""," · XT "&amp;DEVRE!AF49&amp;"–"&amp;DEVRE!AG49)</f>
        <v>yeşil · N mavi · PE sarı-yeşil · XT 49–51</v>
      </c>
    </row>
    <row r="237" spans="1:9" x14ac:dyDescent="0.35">
      <c r="A237" s="4" t="str">
        <f>DEVRE!A50</f>
        <v>P04</v>
      </c>
      <c r="B237" s="4" t="s">
        <v>696</v>
      </c>
      <c r="C237" s="4">
        <v>19</v>
      </c>
      <c r="D237" s="4" t="str">
        <f>DEVRE!B50&amp;" · "&amp;DEVRE!E50</f>
        <v>НА18 · ЭВН18 Аристон-10л 1,2 кВт</v>
      </c>
      <c r="E237" s="4">
        <f>DEVRE!V50</f>
        <v>2.5</v>
      </c>
      <c r="F237" s="4">
        <f>DEVRE!Z50</f>
        <v>3.5999999999999996</v>
      </c>
      <c r="G237" s="4" t="s">
        <v>697</v>
      </c>
      <c r="I237" s="4" t="str">
        <f>DEVRE!AL50&amp;IF(DEVRE!AF50="",""," · XT "&amp;DEVRE!AF50&amp;"–"&amp;DEVRE!AG50)</f>
        <v>kırmızı · N mavi · PE sarı-yeşil · XT 52–54</v>
      </c>
    </row>
    <row r="238" spans="1:9" x14ac:dyDescent="0.35">
      <c r="A238" s="4" t="str">
        <f>DEVRE!A51</f>
        <v>P04</v>
      </c>
      <c r="B238" s="4" t="s">
        <v>696</v>
      </c>
      <c r="C238" s="4">
        <v>20</v>
      </c>
      <c r="D238" s="4" t="str">
        <f>DEVRE!B51&amp;" · "&amp;DEVRE!E51</f>
        <v>НДА1 · Н3 Дренажный насос 0,2 кВт (компл.)</v>
      </c>
      <c r="E238" s="4">
        <f>DEVRE!V51</f>
        <v>1.5</v>
      </c>
      <c r="F238" s="4">
        <f>DEVRE!Z51</f>
        <v>4.8</v>
      </c>
      <c r="G238" s="4" t="s">
        <v>697</v>
      </c>
      <c r="I238" s="4" t="str">
        <f>DEVRE!AL51&amp;IF(DEVRE!AF51="",""," · XT "&amp;DEVRE!AF51&amp;"–"&amp;DEVRE!AG51)</f>
        <v>L1 sarı · L2 yeşil · L3 kırmızı · PE sarı-yeşil · XT 55–58</v>
      </c>
    </row>
    <row r="239" spans="1:9" x14ac:dyDescent="0.35">
      <c r="A239" s="4" t="s">
        <v>156</v>
      </c>
      <c r="B239" s="4" t="s">
        <v>698</v>
      </c>
      <c r="C239" s="4">
        <v>21</v>
      </c>
      <c r="D239" s="4" t="s">
        <v>699</v>
      </c>
      <c r="F239" s="4">
        <f>SUMIFS(DEVRE!$AI:$AI,DEVRE!$A:$A,$A239)</f>
        <v>6</v>
      </c>
      <c r="G239" s="4" t="s">
        <v>700</v>
      </c>
      <c r="I239" s="4" t="s">
        <v>701</v>
      </c>
    </row>
    <row r="240" spans="1:9" x14ac:dyDescent="0.35">
      <c r="A240" s="4" t="s">
        <v>156</v>
      </c>
      <c r="B240" s="4" t="s">
        <v>698</v>
      </c>
      <c r="C240" s="4">
        <v>22</v>
      </c>
      <c r="D240" s="4" t="s">
        <v>702</v>
      </c>
      <c r="F240" s="4">
        <f>SUMIFS(DEVRE!$AJ:$AJ,DEVRE!$A:$A,$A240)</f>
        <v>135</v>
      </c>
      <c r="G240" s="4" t="s">
        <v>700</v>
      </c>
      <c r="I240" s="4" t="s">
        <v>703</v>
      </c>
    </row>
    <row r="241" spans="1:9" x14ac:dyDescent="0.35">
      <c r="A241" s="4" t="s">
        <v>156</v>
      </c>
      <c r="B241" s="4" t="s">
        <v>698</v>
      </c>
      <c r="C241" s="4">
        <v>23</v>
      </c>
      <c r="D241" s="4" t="s">
        <v>704</v>
      </c>
      <c r="F241" s="4">
        <f>SUMIFS(DEVRE!$AK:$AK,DEVRE!$A:$A,$A241)</f>
        <v>122</v>
      </c>
      <c r="G241" s="4" t="s">
        <v>700</v>
      </c>
      <c r="I241" s="4" t="s">
        <v>705</v>
      </c>
    </row>
    <row r="242" spans="1:9" x14ac:dyDescent="0.35">
      <c r="A242" s="4" t="s">
        <v>156</v>
      </c>
      <c r="B242" s="4" t="s">
        <v>698</v>
      </c>
      <c r="C242" s="4">
        <v>24</v>
      </c>
      <c r="D242" s="4" t="s">
        <v>706</v>
      </c>
      <c r="F242" s="4" t="str">
        <f>IF(PANO!R8="","",2*(PANO!R8+1))</f>
        <v/>
      </c>
      <c r="G242" s="4" t="s">
        <v>700</v>
      </c>
      <c r="I242" s="4" t="s">
        <v>707</v>
      </c>
    </row>
    <row r="243" spans="1:9" x14ac:dyDescent="0.35">
      <c r="A243" s="4" t="s">
        <v>156</v>
      </c>
      <c r="B243" s="4" t="s">
        <v>698</v>
      </c>
      <c r="C243" s="4">
        <v>25</v>
      </c>
      <c r="D243" s="4" t="s">
        <v>708</v>
      </c>
      <c r="E243" s="4" t="s">
        <v>709</v>
      </c>
      <c r="F243" s="4">
        <v>1</v>
      </c>
      <c r="G243" s="4" t="s">
        <v>700</v>
      </c>
      <c r="I243" s="4" t="s">
        <v>710</v>
      </c>
    </row>
    <row r="244" spans="1:9" x14ac:dyDescent="0.35">
      <c r="A244" s="4" t="s">
        <v>156</v>
      </c>
      <c r="B244" s="4" t="s">
        <v>711</v>
      </c>
      <c r="C244" s="4">
        <v>1</v>
      </c>
      <c r="D244" s="4" t="s">
        <v>712</v>
      </c>
      <c r="I244" s="4" t="s">
        <v>713</v>
      </c>
    </row>
    <row r="245" spans="1:9" x14ac:dyDescent="0.35">
      <c r="A245" s="4" t="s">
        <v>156</v>
      </c>
      <c r="B245" s="4" t="s">
        <v>711</v>
      </c>
      <c r="C245" s="4">
        <v>2</v>
      </c>
      <c r="D245" s="4" t="s">
        <v>714</v>
      </c>
      <c r="I245" s="4" t="s">
        <v>713</v>
      </c>
    </row>
    <row r="246" spans="1:9" x14ac:dyDescent="0.35">
      <c r="A246" s="4" t="s">
        <v>156</v>
      </c>
      <c r="B246" s="4" t="s">
        <v>711</v>
      </c>
      <c r="C246" s="4">
        <v>3</v>
      </c>
      <c r="D246" s="4" t="s">
        <v>715</v>
      </c>
      <c r="I246" s="4" t="s">
        <v>713</v>
      </c>
    </row>
    <row r="247" spans="1:9" x14ac:dyDescent="0.35">
      <c r="A247" s="4" t="s">
        <v>156</v>
      </c>
      <c r="B247" s="4" t="s">
        <v>711</v>
      </c>
      <c r="C247" s="4">
        <v>4</v>
      </c>
      <c r="D247" s="4" t="s">
        <v>716</v>
      </c>
      <c r="I247" s="4" t="s">
        <v>713</v>
      </c>
    </row>
    <row r="248" spans="1:9" x14ac:dyDescent="0.35">
      <c r="A248" s="4" t="s">
        <v>156</v>
      </c>
      <c r="B248" s="4" t="s">
        <v>711</v>
      </c>
      <c r="C248" s="4">
        <v>5</v>
      </c>
      <c r="D248" s="4" t="s">
        <v>717</v>
      </c>
      <c r="I248" s="4" t="s">
        <v>713</v>
      </c>
    </row>
    <row r="249" spans="1:9" x14ac:dyDescent="0.35">
      <c r="A249" s="4" t="s">
        <v>156</v>
      </c>
      <c r="B249" s="4" t="s">
        <v>711</v>
      </c>
      <c r="C249" s="4">
        <v>6</v>
      </c>
      <c r="D249" s="4" t="s">
        <v>718</v>
      </c>
      <c r="I249" s="4" t="s">
        <v>713</v>
      </c>
    </row>
    <row r="250" spans="1:9" x14ac:dyDescent="0.35">
      <c r="A250" s="4" t="s">
        <v>156</v>
      </c>
      <c r="B250" s="4" t="s">
        <v>711</v>
      </c>
      <c r="C250" s="4">
        <v>7</v>
      </c>
      <c r="D250" s="4" t="s">
        <v>719</v>
      </c>
      <c r="I250" s="4" t="s">
        <v>713</v>
      </c>
    </row>
    <row r="251" spans="1:9" x14ac:dyDescent="0.35">
      <c r="A251" s="4" t="s">
        <v>156</v>
      </c>
      <c r="B251" s="4" t="s">
        <v>711</v>
      </c>
      <c r="C251" s="4">
        <v>8</v>
      </c>
      <c r="D251" s="4" t="s">
        <v>720</v>
      </c>
      <c r="I251" s="4" t="s">
        <v>713</v>
      </c>
    </row>
    <row r="252" spans="1:9" x14ac:dyDescent="0.35">
      <c r="A252" s="4" t="s">
        <v>156</v>
      </c>
      <c r="B252" s="4" t="s">
        <v>711</v>
      </c>
      <c r="C252" s="4">
        <v>9</v>
      </c>
      <c r="D252" s="4" t="s">
        <v>721</v>
      </c>
      <c r="I252" s="4" t="s">
        <v>713</v>
      </c>
    </row>
    <row r="253" spans="1:9" x14ac:dyDescent="0.35">
      <c r="A253" s="4" t="str">
        <f>BOM!Q84</f>
        <v>P05</v>
      </c>
      <c r="B253" s="4" t="s">
        <v>689</v>
      </c>
      <c r="C253" s="4">
        <v>1</v>
      </c>
      <c r="D253" s="4" t="str">
        <f>BOM!E84</f>
        <v>Мет.Щит ЩРВ-7-3 S/A 700x300x150мм IP31</v>
      </c>
      <c r="E253" s="4" t="str">
        <f>IF(BOM!X84="",BOM!D84,BOM!X84)</f>
        <v>713-15040</v>
      </c>
      <c r="F253" s="4">
        <f>BOM!I84</f>
        <v>1</v>
      </c>
      <c r="G253" s="4" t="str">
        <f>BOM!J84</f>
        <v>шт</v>
      </c>
      <c r="I253" s="4" t="s">
        <v>690</v>
      </c>
    </row>
    <row r="254" spans="1:9" x14ac:dyDescent="0.35">
      <c r="A254" s="4" t="str">
        <f>BOM!Q85</f>
        <v>P05</v>
      </c>
      <c r="B254" s="4" t="s">
        <v>689</v>
      </c>
      <c r="C254" s="4">
        <v>2</v>
      </c>
      <c r="D254" s="4" t="str">
        <f>BOM!E85</f>
        <v>Выключатель нагрузки NXHB-125 3P 63A</v>
      </c>
      <c r="E254" s="4" t="str">
        <f>IF(BOM!X85="",BOM!D85,BOM!X85)</f>
        <v>193183</v>
      </c>
      <c r="F254" s="4">
        <f>BOM!I85</f>
        <v>1</v>
      </c>
      <c r="G254" s="4" t="str">
        <f>BOM!J85</f>
        <v>шт</v>
      </c>
      <c r="I254" s="4" t="s">
        <v>690</v>
      </c>
    </row>
    <row r="255" spans="1:9" x14ac:dyDescent="0.35">
      <c r="A255" s="4" t="str">
        <f>BOM!Q86</f>
        <v>P05</v>
      </c>
      <c r="B255" s="4" t="s">
        <v>689</v>
      </c>
      <c r="C255" s="4">
        <v>3</v>
      </c>
      <c r="D255" s="4" t="str">
        <f>BOM!E86</f>
        <v>Авт. выкл. NXB-63 1P 10A 6кА х-ка C</v>
      </c>
      <c r="E255" s="4" t="str">
        <f>IF(BOM!X86="",BOM!D86,BOM!X86)</f>
        <v>814013</v>
      </c>
      <c r="F255" s="4">
        <f>BOM!I86</f>
        <v>2</v>
      </c>
      <c r="G255" s="4" t="str">
        <f>BOM!J86</f>
        <v>шт</v>
      </c>
      <c r="I255" s="4" t="s">
        <v>690</v>
      </c>
    </row>
    <row r="256" spans="1:9" x14ac:dyDescent="0.35">
      <c r="A256" s="4" t="str">
        <f>BOM!Q87</f>
        <v>P05</v>
      </c>
      <c r="B256" s="4" t="s">
        <v>689</v>
      </c>
      <c r="C256" s="4">
        <v>4</v>
      </c>
      <c r="D256" s="4" t="str">
        <f>BOM!E87</f>
        <v>Авт. выкл. NXB-63 1P 16A 6кА х-ка C</v>
      </c>
      <c r="E256" s="4" t="str">
        <f>IF(BOM!X87="",BOM!D87,BOM!X87)</f>
        <v>814014</v>
      </c>
      <c r="F256" s="4">
        <f>BOM!I87</f>
        <v>7</v>
      </c>
      <c r="G256" s="4" t="str">
        <f>BOM!J87</f>
        <v>шт</v>
      </c>
      <c r="I256" s="4" t="s">
        <v>690</v>
      </c>
    </row>
    <row r="257" spans="1:9" x14ac:dyDescent="0.35">
      <c r="A257" s="4" t="str">
        <f>BOM!Q88</f>
        <v>P05</v>
      </c>
      <c r="B257" s="4" t="s">
        <v>689</v>
      </c>
      <c r="C257" s="4">
        <v>5</v>
      </c>
      <c r="D257" s="4" t="str">
        <f>BOM!E88</f>
        <v>Диф. авт. выкл. NXBLE-63 4P C40 30mA тип AC 6kA</v>
      </c>
      <c r="E257" s="4" t="str">
        <f>IF(BOM!X88="",BOM!D88,BOM!X88)</f>
        <v>982161</v>
      </c>
      <c r="F257" s="4">
        <f>BOM!I88</f>
        <v>1</v>
      </c>
      <c r="G257" s="4" t="str">
        <f>BOM!J88</f>
        <v>шт</v>
      </c>
      <c r="I257" s="4" t="s">
        <v>690</v>
      </c>
    </row>
    <row r="258" spans="1:9" x14ac:dyDescent="0.35">
      <c r="A258" s="4" t="str">
        <f>BOM!Q89</f>
        <v>P05</v>
      </c>
      <c r="B258" s="4" t="s">
        <v>689</v>
      </c>
      <c r="C258" s="4">
        <v>6</v>
      </c>
      <c r="D258" s="4" t="str">
        <f>BOM!E89</f>
        <v>Шина соединительная типа FORK 1P, 63А, L=1000мм</v>
      </c>
      <c r="E258" s="4" t="str">
        <f>IF(BOM!X89="",BOM!D89,BOM!X89)</f>
        <v>1P</v>
      </c>
      <c r="F258" s="4">
        <f>BOM!I89</f>
        <v>1</v>
      </c>
      <c r="G258" s="4" t="str">
        <f>BOM!J89</f>
        <v>шт</v>
      </c>
      <c r="I258" s="4" t="s">
        <v>690</v>
      </c>
    </row>
    <row r="259" spans="1:9" x14ac:dyDescent="0.35">
      <c r="A259" s="4" t="str">
        <f>BOM!Q90</f>
        <v>P05</v>
      </c>
      <c r="B259" s="4" t="s">
        <v>689</v>
      </c>
      <c r="C259" s="4">
        <v>7</v>
      </c>
      <c r="D259" s="4" t="str">
        <f>BOM!E90</f>
        <v/>
      </c>
      <c r="E259" s="4" t="str">
        <f>IF(BOM!X90="",BOM!D90,BOM!X90)</f>
        <v/>
      </c>
      <c r="F259" s="4">
        <f>BOM!I90</f>
        <v>2</v>
      </c>
      <c r="G259" s="4" t="str">
        <f>BOM!J90</f>
        <v/>
      </c>
      <c r="I259" s="4" t="s">
        <v>690</v>
      </c>
    </row>
    <row r="260" spans="1:9" x14ac:dyDescent="0.35">
      <c r="A260" s="4" t="str">
        <f>BOM!Q91</f>
        <v>P05</v>
      </c>
      <c r="B260" s="4" t="s">
        <v>689</v>
      </c>
      <c r="C260" s="4">
        <v>8</v>
      </c>
      <c r="D260" s="4" t="str">
        <f>BOM!E91</f>
        <v/>
      </c>
      <c r="E260" s="4" t="str">
        <f>IF(BOM!X91="",BOM!D91,BOM!X91)</f>
        <v/>
      </c>
      <c r="F260" s="4" t="str">
        <f>BOM!I91</f>
        <v/>
      </c>
      <c r="G260" s="4" t="str">
        <f>BOM!J91</f>
        <v/>
      </c>
      <c r="I260" s="4" t="s">
        <v>690</v>
      </c>
    </row>
    <row r="261" spans="1:9" x14ac:dyDescent="0.35">
      <c r="A261" s="4" t="str">
        <f>BOM!Q92</f>
        <v>P05</v>
      </c>
      <c r="B261" s="4" t="s">
        <v>689</v>
      </c>
      <c r="C261" s="4">
        <v>9</v>
      </c>
      <c r="D261" s="4" t="str">
        <f>BOM!E92</f>
        <v>Лоток перфорированный 50х 50х3000 (0,7 мм) EKT</v>
      </c>
      <c r="E261" s="4" t="str">
        <f>IF(BOM!X92="",BOM!D92,BOM!X92)</f>
        <v>280300704</v>
      </c>
      <c r="F261" s="4" t="str">
        <f>BOM!I92</f>
        <v/>
      </c>
      <c r="G261" s="4" t="str">
        <f>BOM!J92</f>
        <v>м</v>
      </c>
      <c r="I261" s="4" t="s">
        <v>690</v>
      </c>
    </row>
    <row r="262" spans="1:9" x14ac:dyDescent="0.35">
      <c r="A262" s="4" t="str">
        <f>BOM!Q93</f>
        <v>P05</v>
      </c>
      <c r="B262" s="4" t="s">
        <v>689</v>
      </c>
      <c r="C262" s="4">
        <v>10</v>
      </c>
      <c r="D262" s="4" t="str">
        <f>BOM!E93</f>
        <v>Крышка на лоток осн. 50мм. (0,6 мм) EKT</v>
      </c>
      <c r="E262" s="4" t="str">
        <f>IF(BOM!X93="",BOM!D93,BOM!X93)</f>
        <v>280300718</v>
      </c>
      <c r="F262" s="4" t="str">
        <f>BOM!I93</f>
        <v/>
      </c>
      <c r="G262" s="4" t="str">
        <f>BOM!J93</f>
        <v>м</v>
      </c>
      <c r="I262" s="4" t="s">
        <v>690</v>
      </c>
    </row>
    <row r="263" spans="1:9" x14ac:dyDescent="0.35">
      <c r="A263" s="4" t="str">
        <f>BOM!Q94</f>
        <v>P05</v>
      </c>
      <c r="B263" s="4" t="s">
        <v>689</v>
      </c>
      <c r="C263" s="4">
        <v>11</v>
      </c>
      <c r="D263" s="4" t="str">
        <f>BOM!E94</f>
        <v>HARMONY ПВ3 1 1,5</v>
      </c>
      <c r="E263" s="4">
        <f>IF(BOM!X94="",BOM!D94,BOM!X94)</f>
        <v>1.5</v>
      </c>
      <c r="F263" s="4">
        <f>BOM!I94</f>
        <v>7.9</v>
      </c>
      <c r="G263" s="4" t="str">
        <f>BOM!J94</f>
        <v>м</v>
      </c>
      <c r="I263" s="4" t="s">
        <v>690</v>
      </c>
    </row>
    <row r="264" spans="1:9" x14ac:dyDescent="0.35">
      <c r="A264" s="4" t="str">
        <f>BOM!Q95</f>
        <v>P05</v>
      </c>
      <c r="B264" s="4" t="s">
        <v>689</v>
      </c>
      <c r="C264" s="4">
        <v>12</v>
      </c>
      <c r="D264" s="4" t="str">
        <f>BOM!E95</f>
        <v>HARMONY ПВ3 1 2,5</v>
      </c>
      <c r="E264" s="4">
        <f>IF(BOM!X95="",BOM!D95,BOM!X95)</f>
        <v>2.5</v>
      </c>
      <c r="F264" s="4">
        <f>BOM!I95</f>
        <v>27.7</v>
      </c>
      <c r="G264" s="4" t="str">
        <f>BOM!J95</f>
        <v>м</v>
      </c>
      <c r="I264" s="4" t="s">
        <v>690</v>
      </c>
    </row>
    <row r="265" spans="1:9" x14ac:dyDescent="0.35">
      <c r="A265" s="4" t="str">
        <f>BOM!Q96</f>
        <v>P05</v>
      </c>
      <c r="B265" s="4" t="s">
        <v>689</v>
      </c>
      <c r="C265" s="4">
        <v>13</v>
      </c>
      <c r="D265" s="4" t="str">
        <f>BOM!E96</f>
        <v>HARMONY ПВ3 1 6</v>
      </c>
      <c r="E265" s="4">
        <f>IF(BOM!X96="",BOM!D96,BOM!X96)</f>
        <v>6</v>
      </c>
      <c r="F265" s="4">
        <f>BOM!I96</f>
        <v>6.6</v>
      </c>
      <c r="G265" s="4" t="str">
        <f>BOM!J96</f>
        <v>м</v>
      </c>
      <c r="I265" s="4" t="s">
        <v>690</v>
      </c>
    </row>
    <row r="266" spans="1:9" x14ac:dyDescent="0.35">
      <c r="A266" s="4" t="str">
        <f>BOM!Q97</f>
        <v>P05</v>
      </c>
      <c r="B266" s="4" t="s">
        <v>689</v>
      </c>
      <c r="C266" s="4">
        <v>14</v>
      </c>
      <c r="D266" s="4" t="str">
        <f>BOM!E97</f>
        <v>HARMONY ПВ3 1 16</v>
      </c>
      <c r="E266" s="4">
        <f>IF(BOM!X97="",BOM!D97,BOM!X97)</f>
        <v>16</v>
      </c>
      <c r="F266" s="4">
        <f>BOM!I97</f>
        <v>4</v>
      </c>
      <c r="G266" s="4" t="str">
        <f>BOM!J97</f>
        <v>м</v>
      </c>
      <c r="I266" s="4" t="s">
        <v>690</v>
      </c>
    </row>
    <row r="267" spans="1:9" x14ac:dyDescent="0.35">
      <c r="A267" s="4" t="str">
        <f>BOM!Q98</f>
        <v>P05</v>
      </c>
      <c r="B267" s="4" t="s">
        <v>689</v>
      </c>
      <c r="C267" s="4">
        <v>15</v>
      </c>
      <c r="D267" s="4" t="str">
        <f>BOM!E98</f>
        <v>ЗНИ 2.5мм ² (24А) серый IEK</v>
      </c>
      <c r="E267" s="4">
        <f>IF(BOM!X98="",BOM!D98,BOM!X98)</f>
        <v>2.5</v>
      </c>
      <c r="F267" s="4">
        <f>BOM!I98</f>
        <v>16</v>
      </c>
      <c r="G267" s="4" t="str">
        <f>BOM!J98</f>
        <v>шт</v>
      </c>
      <c r="I267" s="4" t="s">
        <v>690</v>
      </c>
    </row>
    <row r="268" spans="1:9" x14ac:dyDescent="0.35">
      <c r="A268" s="4" t="str">
        <f>BOM!Q99</f>
        <v>P05</v>
      </c>
      <c r="B268" s="4" t="s">
        <v>689</v>
      </c>
      <c r="C268" s="4">
        <v>16</v>
      </c>
      <c r="D268" s="4" t="str">
        <f>BOM!E99</f>
        <v>Зажим наборный ЗНИ - 4PEN 4мм2 (JXB-земля) IEK</v>
      </c>
      <c r="E268" s="4">
        <f>IF(BOM!X99="",BOM!D99,BOM!X99)</f>
        <v>2.5</v>
      </c>
      <c r="F268" s="4">
        <f>BOM!I99</f>
        <v>7</v>
      </c>
      <c r="G268" s="4" t="str">
        <f>BOM!J99</f>
        <v>шт</v>
      </c>
      <c r="I268" s="4" t="s">
        <v>690</v>
      </c>
    </row>
    <row r="269" spans="1:9" x14ac:dyDescent="0.35">
      <c r="A269" s="4" t="str">
        <f>BOM!Q100</f>
        <v>P05</v>
      </c>
      <c r="B269" s="4" t="s">
        <v>689</v>
      </c>
      <c r="C269" s="4">
        <v>17</v>
      </c>
      <c r="D269" s="4" t="str">
        <f>BOM!E100</f>
        <v>ЗНИ 4мм ² (35А) серый IEK</v>
      </c>
      <c r="E269" s="4">
        <f>IF(BOM!X100="",BOM!D100,BOM!X100)</f>
        <v>4</v>
      </c>
      <c r="F269" s="4">
        <f>BOM!I100</f>
        <v>10</v>
      </c>
      <c r="G269" s="4" t="str">
        <f>BOM!J100</f>
        <v>шт</v>
      </c>
      <c r="I269" s="4" t="s">
        <v>690</v>
      </c>
    </row>
    <row r="270" spans="1:9" x14ac:dyDescent="0.35">
      <c r="A270" s="4" t="str">
        <f>BOM!Q101</f>
        <v>P05</v>
      </c>
      <c r="B270" s="4" t="s">
        <v>689</v>
      </c>
      <c r="C270" s="4">
        <v>18</v>
      </c>
      <c r="D270" s="4" t="str">
        <f>BOM!E101</f>
        <v>Зажим наборный ЗНИ - 4PEN 4мм2 (JXB-земля) IEK</v>
      </c>
      <c r="E270" s="4">
        <f>IF(BOM!X101="",BOM!D101,BOM!X101)</f>
        <v>4</v>
      </c>
      <c r="F270" s="4">
        <f>BOM!I101</f>
        <v>4</v>
      </c>
      <c r="G270" s="4" t="str">
        <f>BOM!J101</f>
        <v>шт</v>
      </c>
      <c r="I270" s="4" t="s">
        <v>690</v>
      </c>
    </row>
    <row r="271" spans="1:9" x14ac:dyDescent="0.35">
      <c r="A271" s="4" t="str">
        <f>BOM!Q102</f>
        <v>P05</v>
      </c>
      <c r="B271" s="4" t="s">
        <v>689</v>
      </c>
      <c r="C271" s="4">
        <v>19</v>
      </c>
      <c r="D271" s="4" t="str">
        <f>BOM!E102</f>
        <v>ЗНИ 6мм ² серый IEK</v>
      </c>
      <c r="E271" s="4">
        <f>IF(BOM!X102="",BOM!D102,BOM!X102)</f>
        <v>6</v>
      </c>
      <c r="F271" s="4">
        <f>BOM!I102</f>
        <v>8</v>
      </c>
      <c r="G271" s="4" t="str">
        <f>BOM!J102</f>
        <v>шт</v>
      </c>
      <c r="I271" s="4" t="s">
        <v>690</v>
      </c>
    </row>
    <row r="272" spans="1:9" x14ac:dyDescent="0.35">
      <c r="A272" s="4" t="str">
        <f>BOM!Q103</f>
        <v>P05</v>
      </c>
      <c r="B272" s="4" t="s">
        <v>689</v>
      </c>
      <c r="C272" s="4">
        <v>20</v>
      </c>
      <c r="D272" s="4" t="str">
        <f>BOM!E103</f>
        <v>ЗНИ 10PEN 10мм2 (JXB-земля) IEK E-PRO</v>
      </c>
      <c r="E272" s="4">
        <f>IF(BOM!X103="",BOM!D103,BOM!X103)</f>
        <v>6</v>
      </c>
      <c r="F272" s="4">
        <f>BOM!I103</f>
        <v>2</v>
      </c>
      <c r="G272" s="4" t="str">
        <f>BOM!J103</f>
        <v>шт</v>
      </c>
      <c r="I272" s="4" t="s">
        <v>690</v>
      </c>
    </row>
    <row r="273" spans="1:9" x14ac:dyDescent="0.35">
      <c r="A273" s="4" t="s">
        <v>161</v>
      </c>
      <c r="B273" s="4" t="s">
        <v>691</v>
      </c>
      <c r="C273" s="4">
        <v>1</v>
      </c>
      <c r="D273" s="4" t="s">
        <v>692</v>
      </c>
      <c r="E273" s="4" t="s">
        <v>188</v>
      </c>
      <c r="G273" s="4" t="s">
        <v>693</v>
      </c>
      <c r="H273" s="4">
        <f>SUMIFS(BOM!$T:$T,BOM!$Q:$Q,$A273,BOM!$R:$R,$E273)</f>
        <v>0</v>
      </c>
      <c r="I273" s="4" t="s">
        <v>694</v>
      </c>
    </row>
    <row r="274" spans="1:9" x14ac:dyDescent="0.35">
      <c r="A274" s="4" t="s">
        <v>161</v>
      </c>
      <c r="B274" s="4" t="s">
        <v>691</v>
      </c>
      <c r="C274" s="4">
        <v>2</v>
      </c>
      <c r="D274" s="4" t="s">
        <v>692</v>
      </c>
      <c r="E274" s="4" t="s">
        <v>107</v>
      </c>
      <c r="G274" s="4" t="s">
        <v>693</v>
      </c>
      <c r="H274" s="4">
        <f>SUMIFS(BOM!$T:$T,BOM!$Q:$Q,$A274,BOM!$R:$R,$E274)</f>
        <v>30</v>
      </c>
      <c r="I274" s="4" t="s">
        <v>694</v>
      </c>
    </row>
    <row r="275" spans="1:9" x14ac:dyDescent="0.35">
      <c r="A275" s="4" t="s">
        <v>161</v>
      </c>
      <c r="B275" s="4" t="s">
        <v>691</v>
      </c>
      <c r="C275" s="4">
        <v>3</v>
      </c>
      <c r="D275" s="4" t="s">
        <v>692</v>
      </c>
      <c r="E275" s="4" t="s">
        <v>33</v>
      </c>
      <c r="G275" s="4" t="s">
        <v>693</v>
      </c>
      <c r="H275" s="4">
        <f>SUMIFS(BOM!$T:$T,BOM!$Q:$Q,$A275,BOM!$R:$R,$E275)</f>
        <v>0</v>
      </c>
      <c r="I275" s="4" t="s">
        <v>694</v>
      </c>
    </row>
    <row r="276" spans="1:9" x14ac:dyDescent="0.35">
      <c r="A276" s="4" t="s">
        <v>161</v>
      </c>
      <c r="B276" s="4" t="s">
        <v>691</v>
      </c>
      <c r="C276" s="4">
        <v>4</v>
      </c>
      <c r="D276" s="4" t="s">
        <v>692</v>
      </c>
      <c r="E276" s="4" t="s">
        <v>79</v>
      </c>
      <c r="G276" s="4" t="s">
        <v>693</v>
      </c>
      <c r="H276" s="4">
        <f>SUMIFS(BOM!$T:$T,BOM!$Q:$Q,$A276,BOM!$R:$R,$E276)</f>
        <v>0</v>
      </c>
      <c r="I276" s="4" t="s">
        <v>694</v>
      </c>
    </row>
    <row r="277" spans="1:9" x14ac:dyDescent="0.35">
      <c r="A277" s="4" t="s">
        <v>161</v>
      </c>
      <c r="B277" s="4" t="s">
        <v>691</v>
      </c>
      <c r="C277" s="4">
        <v>5</v>
      </c>
      <c r="D277" s="4" t="s">
        <v>692</v>
      </c>
      <c r="E277" s="4" t="s">
        <v>83</v>
      </c>
      <c r="G277" s="4" t="s">
        <v>693</v>
      </c>
      <c r="H277" s="4">
        <f>SUMIFS(BOM!$T:$T,BOM!$Q:$Q,$A277,BOM!$R:$R,$E277)</f>
        <v>0</v>
      </c>
      <c r="I277" s="4" t="s">
        <v>694</v>
      </c>
    </row>
    <row r="278" spans="1:9" x14ac:dyDescent="0.35">
      <c r="A278" s="4" t="s">
        <v>161</v>
      </c>
      <c r="B278" s="4" t="s">
        <v>691</v>
      </c>
      <c r="C278" s="4">
        <v>6</v>
      </c>
      <c r="D278" s="4" t="s">
        <v>692</v>
      </c>
      <c r="E278" s="4" t="s">
        <v>111</v>
      </c>
      <c r="G278" s="4" t="s">
        <v>693</v>
      </c>
      <c r="H278" s="4">
        <f>SUMIFS(BOM!$T:$T,BOM!$Q:$Q,$A278,BOM!$R:$R,$E278)</f>
        <v>45</v>
      </c>
      <c r="I278" s="4" t="s">
        <v>694</v>
      </c>
    </row>
    <row r="279" spans="1:9" x14ac:dyDescent="0.35">
      <c r="A279" s="4" t="s">
        <v>161</v>
      </c>
      <c r="B279" s="4" t="s">
        <v>691</v>
      </c>
      <c r="C279" s="4">
        <v>7</v>
      </c>
      <c r="D279" s="4" t="s">
        <v>692</v>
      </c>
      <c r="E279" s="4" t="s">
        <v>38</v>
      </c>
      <c r="G279" s="4" t="s">
        <v>693</v>
      </c>
      <c r="H279" s="4">
        <f>SUMIFS(BOM!$T:$T,BOM!$Q:$Q,$A279,BOM!$R:$R,$E279)</f>
        <v>0</v>
      </c>
      <c r="I279" s="4" t="s">
        <v>694</v>
      </c>
    </row>
    <row r="280" spans="1:9" x14ac:dyDescent="0.35">
      <c r="A280" s="4" t="s">
        <v>161</v>
      </c>
      <c r="B280" s="4" t="s">
        <v>691</v>
      </c>
      <c r="C280" s="4">
        <v>8</v>
      </c>
      <c r="D280" s="4" t="s">
        <v>692</v>
      </c>
      <c r="E280" s="4" t="s">
        <v>43</v>
      </c>
      <c r="G280" s="4" t="s">
        <v>693</v>
      </c>
      <c r="H280" s="4">
        <f>SUMIFS(BOM!$T:$T,BOM!$Q:$Q,$A280,BOM!$R:$R,$E280)</f>
        <v>0</v>
      </c>
      <c r="I280" s="4" t="s">
        <v>694</v>
      </c>
    </row>
    <row r="281" spans="1:9" x14ac:dyDescent="0.35">
      <c r="A281" s="4" t="s">
        <v>161</v>
      </c>
      <c r="B281" s="4" t="s">
        <v>691</v>
      </c>
      <c r="C281" s="4">
        <v>9</v>
      </c>
      <c r="D281" s="4" t="s">
        <v>692</v>
      </c>
      <c r="E281" s="4" t="s">
        <v>165</v>
      </c>
      <c r="G281" s="4" t="s">
        <v>693</v>
      </c>
      <c r="H281" s="4">
        <f>SUMIFS(BOM!$T:$T,BOM!$Q:$Q,$A281,BOM!$R:$R,$E281)</f>
        <v>27</v>
      </c>
      <c r="I281" s="4" t="s">
        <v>694</v>
      </c>
    </row>
    <row r="282" spans="1:9" x14ac:dyDescent="0.35">
      <c r="A282" s="4" t="s">
        <v>161</v>
      </c>
      <c r="B282" s="4" t="s">
        <v>691</v>
      </c>
      <c r="C282" s="4">
        <v>10</v>
      </c>
      <c r="D282" s="4" t="s">
        <v>692</v>
      </c>
      <c r="E282" s="4" t="s">
        <v>50</v>
      </c>
      <c r="G282" s="4" t="s">
        <v>693</v>
      </c>
      <c r="H282" s="4">
        <f>SUMIFS(BOM!$T:$T,BOM!$Q:$Q,$A282,BOM!$R:$R,$E282)</f>
        <v>0</v>
      </c>
      <c r="I282" s="4" t="s">
        <v>694</v>
      </c>
    </row>
    <row r="283" spans="1:9" x14ac:dyDescent="0.35">
      <c r="A283" s="4" t="s">
        <v>161</v>
      </c>
      <c r="B283" s="4" t="s">
        <v>691</v>
      </c>
      <c r="C283" s="4">
        <v>11</v>
      </c>
      <c r="D283" s="4" t="s">
        <v>692</v>
      </c>
      <c r="E283" s="4" t="s">
        <v>150</v>
      </c>
      <c r="G283" s="4" t="s">
        <v>693</v>
      </c>
      <c r="H283" s="4">
        <f>SUMIFS(BOM!$T:$T,BOM!$Q:$Q,$A283,BOM!$R:$R,$E283)</f>
        <v>0</v>
      </c>
      <c r="I283" s="4" t="s">
        <v>694</v>
      </c>
    </row>
    <row r="284" spans="1:9" x14ac:dyDescent="0.35">
      <c r="A284" s="4" t="s">
        <v>161</v>
      </c>
      <c r="B284" s="4" t="s">
        <v>691</v>
      </c>
      <c r="C284" s="4">
        <v>12</v>
      </c>
      <c r="D284" s="4" t="s">
        <v>692</v>
      </c>
      <c r="E284" s="4" t="s">
        <v>170</v>
      </c>
      <c r="G284" s="4" t="s">
        <v>693</v>
      </c>
      <c r="H284" s="4">
        <f>SUMIFS(BOM!$T:$T,BOM!$Q:$Q,$A284,BOM!$R:$R,$E284)</f>
        <v>0</v>
      </c>
      <c r="I284" s="4" t="s">
        <v>694</v>
      </c>
    </row>
    <row r="285" spans="1:9" x14ac:dyDescent="0.35">
      <c r="A285" s="4" t="s">
        <v>161</v>
      </c>
      <c r="B285" s="4" t="s">
        <v>691</v>
      </c>
      <c r="C285" s="4">
        <v>13</v>
      </c>
      <c r="D285" s="4" t="s">
        <v>692</v>
      </c>
      <c r="E285" s="4" t="s">
        <v>123</v>
      </c>
      <c r="G285" s="4" t="s">
        <v>693</v>
      </c>
      <c r="H285" s="4">
        <f>SUMIFS(BOM!$T:$T,BOM!$Q:$Q,$A285,BOM!$R:$R,$E285)</f>
        <v>10</v>
      </c>
      <c r="I285" s="4" t="s">
        <v>694</v>
      </c>
    </row>
    <row r="286" spans="1:9" x14ac:dyDescent="0.35">
      <c r="A286" s="4" t="s">
        <v>161</v>
      </c>
      <c r="B286" s="4" t="s">
        <v>691</v>
      </c>
      <c r="C286" s="4">
        <v>14</v>
      </c>
      <c r="D286" s="4" t="s">
        <v>692</v>
      </c>
      <c r="E286" s="4" t="s">
        <v>59</v>
      </c>
      <c r="G286" s="4" t="s">
        <v>693</v>
      </c>
      <c r="H286" s="4">
        <f>SUMIFS(BOM!$T:$T,BOM!$Q:$Q,$A286,BOM!$R:$R,$E286)</f>
        <v>0</v>
      </c>
      <c r="I286" s="4" t="s">
        <v>694</v>
      </c>
    </row>
    <row r="287" spans="1:9" x14ac:dyDescent="0.35">
      <c r="A287" s="4" t="s">
        <v>161</v>
      </c>
      <c r="B287" s="4" t="s">
        <v>691</v>
      </c>
      <c r="C287" s="4">
        <v>15</v>
      </c>
      <c r="D287" s="4" t="s">
        <v>692</v>
      </c>
      <c r="E287" s="4" t="s">
        <v>66</v>
      </c>
      <c r="G287" s="4" t="s">
        <v>693</v>
      </c>
      <c r="H287" s="4">
        <f>SUMIFS(BOM!$T:$T,BOM!$Q:$Q,$A287,BOM!$R:$R,$E287)</f>
        <v>0</v>
      </c>
      <c r="I287" s="4" t="s">
        <v>694</v>
      </c>
    </row>
    <row r="288" spans="1:9" x14ac:dyDescent="0.35">
      <c r="A288" s="4" t="s">
        <v>161</v>
      </c>
      <c r="B288" s="4" t="s">
        <v>691</v>
      </c>
      <c r="C288" s="4">
        <v>16</v>
      </c>
      <c r="D288" s="4" t="s">
        <v>692</v>
      </c>
      <c r="E288" s="4" t="s">
        <v>70</v>
      </c>
      <c r="G288" s="4" t="s">
        <v>693</v>
      </c>
      <c r="H288" s="4">
        <f>SUMIFS(BOM!$T:$T,BOM!$Q:$Q,$A288,BOM!$R:$R,$E288)</f>
        <v>0</v>
      </c>
      <c r="I288" s="4" t="s">
        <v>694</v>
      </c>
    </row>
    <row r="289" spans="1:9" x14ac:dyDescent="0.35">
      <c r="A289" s="4" t="s">
        <v>161</v>
      </c>
      <c r="B289" s="4" t="s">
        <v>691</v>
      </c>
      <c r="C289" s="4">
        <v>17</v>
      </c>
      <c r="D289" s="4" t="s">
        <v>692</v>
      </c>
      <c r="E289" s="4" t="s">
        <v>62</v>
      </c>
      <c r="G289" s="4" t="s">
        <v>693</v>
      </c>
      <c r="H289" s="4">
        <f>SUMIFS(BOM!$T:$T,BOM!$Q:$Q,$A289,BOM!$R:$R,$E289)</f>
        <v>0</v>
      </c>
      <c r="I289" s="4" t="s">
        <v>694</v>
      </c>
    </row>
    <row r="290" spans="1:9" x14ac:dyDescent="0.35">
      <c r="A290" s="4" t="s">
        <v>161</v>
      </c>
      <c r="B290" s="4" t="s">
        <v>691</v>
      </c>
      <c r="C290" s="4">
        <v>18</v>
      </c>
      <c r="D290" s="4" t="s">
        <v>692</v>
      </c>
      <c r="E290" s="4" t="s">
        <v>90</v>
      </c>
      <c r="G290" s="4" t="s">
        <v>693</v>
      </c>
      <c r="H290" s="4">
        <f>SUMIFS(BOM!$T:$T,BOM!$Q:$Q,$A290,BOM!$R:$R,$E290)</f>
        <v>0</v>
      </c>
      <c r="I290" s="4" t="s">
        <v>694</v>
      </c>
    </row>
    <row r="291" spans="1:9" x14ac:dyDescent="0.35">
      <c r="A291" s="4" t="s">
        <v>161</v>
      </c>
      <c r="B291" s="4" t="s">
        <v>691</v>
      </c>
      <c r="C291" s="4">
        <v>19</v>
      </c>
      <c r="D291" s="4" t="s">
        <v>692</v>
      </c>
      <c r="E291" s="4" t="s">
        <v>136</v>
      </c>
      <c r="G291" s="4" t="s">
        <v>693</v>
      </c>
      <c r="H291" s="4">
        <f>SUMIFS(BOM!$T:$T,BOM!$Q:$Q,$A291,BOM!$R:$R,$E291)</f>
        <v>188</v>
      </c>
      <c r="I291" s="4" t="s">
        <v>694</v>
      </c>
    </row>
    <row r="292" spans="1:9" x14ac:dyDescent="0.35">
      <c r="A292" s="4" t="s">
        <v>161</v>
      </c>
      <c r="B292" s="4" t="s">
        <v>691</v>
      </c>
      <c r="C292" s="4">
        <v>20</v>
      </c>
      <c r="D292" s="4" t="s">
        <v>692</v>
      </c>
      <c r="E292" s="4" t="s">
        <v>695</v>
      </c>
      <c r="G292" s="4" t="s">
        <v>693</v>
      </c>
      <c r="H292" s="4">
        <f>SUMIFS(BOM!$T:$T,BOM!$Q:$Q,$A292,BOM!$R:$R,$E292)</f>
        <v>0</v>
      </c>
      <c r="I292" s="4" t="s">
        <v>694</v>
      </c>
    </row>
    <row r="293" spans="1:9" x14ac:dyDescent="0.35">
      <c r="A293" s="4" t="str">
        <f>DEVRE!A52</f>
        <v>P05</v>
      </c>
      <c r="B293" s="4" t="s">
        <v>696</v>
      </c>
      <c r="C293" s="4">
        <v>1</v>
      </c>
      <c r="D293" s="4" t="str">
        <f>DEVRE!B52&amp;" · "&amp;DEVRE!E52</f>
        <v>QS · Ввод ~380/220В (МВ-1)</v>
      </c>
      <c r="E293" s="4">
        <f>DEVRE!V52</f>
        <v>16</v>
      </c>
      <c r="F293" s="4">
        <f>DEVRE!Z52</f>
        <v>3.5999999999999996</v>
      </c>
      <c r="G293" s="4" t="s">
        <v>697</v>
      </c>
      <c r="I293" s="4" t="str">
        <f>DEVRE!AL52&amp;IF(DEVRE!AF52="",""," · XT "&amp;DEVRE!AF52&amp;"–"&amp;DEVRE!AG52)</f>
        <v>L1 sarı · L2 yeşil · L3 kırmızı · N mavi · PE sarı-yeşil</v>
      </c>
    </row>
    <row r="294" spans="1:9" x14ac:dyDescent="0.35">
      <c r="A294" s="4" t="str">
        <f>DEVRE!A53</f>
        <v>P05</v>
      </c>
      <c r="B294" s="4" t="s">
        <v>696</v>
      </c>
      <c r="C294" s="4">
        <v>2</v>
      </c>
      <c r="D294" s="4" t="str">
        <f>DEVRE!B53&amp;" · "&amp;DEVRE!E53</f>
        <v>НТП1 · ТП1 Тепловой пункт 1,0 кВт</v>
      </c>
      <c r="E294" s="4">
        <f>DEVRE!V53</f>
        <v>6</v>
      </c>
      <c r="F294" s="4">
        <f>DEVRE!Z53</f>
        <v>6</v>
      </c>
      <c r="G294" s="4" t="s">
        <v>697</v>
      </c>
      <c r="I294" s="4" t="str">
        <f>DEVRE!AL53&amp;IF(DEVRE!AF53="",""," · XT "&amp;DEVRE!AF53&amp;"–"&amp;DEVRE!AG53)</f>
        <v>L1 sarı · L2 yeşil · L3 kırmızı · N mavi · PE sarı-yeşil · XT 1–5</v>
      </c>
    </row>
    <row r="295" spans="1:9" x14ac:dyDescent="0.35">
      <c r="A295" s="4" t="str">
        <f>DEVRE!A54</f>
        <v>P05</v>
      </c>
      <c r="B295" s="4" t="s">
        <v>696</v>
      </c>
      <c r="C295" s="4">
        <v>3</v>
      </c>
      <c r="D295" s="4" t="str">
        <f>DEVRE!B54&amp;" · "&amp;DEVRE!E54</f>
        <v>НП1-1 · П1 Приточная установка 3,0 кВт (ШУ-П1 компл.)</v>
      </c>
      <c r="E295" s="4">
        <f>DEVRE!V54</f>
        <v>1.5</v>
      </c>
      <c r="F295" s="4">
        <f>DEVRE!Z54</f>
        <v>3.5999999999999996</v>
      </c>
      <c r="G295" s="4" t="s">
        <v>697</v>
      </c>
      <c r="I295" s="4" t="str">
        <f>DEVRE!AL54&amp;IF(DEVRE!AF54="",""," · XT "&amp;DEVRE!AF54&amp;"–"&amp;DEVRE!AG54)</f>
        <v>sarı · N mavi · PE sarı-yeşil · XT 6–8</v>
      </c>
    </row>
    <row r="296" spans="1:9" x14ac:dyDescent="0.35">
      <c r="A296" s="4" t="str">
        <f>DEVRE!A55</f>
        <v>P05</v>
      </c>
      <c r="B296" s="4" t="s">
        <v>696</v>
      </c>
      <c r="C296" s="4">
        <v>4</v>
      </c>
      <c r="D296" s="4" t="str">
        <f>DEVRE!B55&amp;" · "&amp;DEVRE!E55</f>
        <v>НП2-1 · П2 Приточная установка 2,2 кВт (ШУ-П2 компл.)</v>
      </c>
      <c r="E296" s="4">
        <f>DEVRE!V55</f>
        <v>1.5</v>
      </c>
      <c r="F296" s="4">
        <f>DEVRE!Z55</f>
        <v>3.5999999999999996</v>
      </c>
      <c r="G296" s="4" t="s">
        <v>697</v>
      </c>
      <c r="I296" s="4" t="str">
        <f>DEVRE!AL55&amp;IF(DEVRE!AF55="",""," · XT "&amp;DEVRE!AF55&amp;"–"&amp;DEVRE!AG55)</f>
        <v>yeşil · N mavi · PE sarı-yeşil · XT 9–11</v>
      </c>
    </row>
    <row r="297" spans="1:9" x14ac:dyDescent="0.35">
      <c r="A297" s="4" t="str">
        <f>DEVRE!A56</f>
        <v>P05</v>
      </c>
      <c r="B297" s="4" t="s">
        <v>696</v>
      </c>
      <c r="C297" s="4">
        <v>5</v>
      </c>
      <c r="D297" s="4" t="str">
        <f>DEVRE!B56&amp;" · "&amp;DEVRE!E56</f>
        <v>НВ1-1 · В1 Вентилятор 1,15 кВт</v>
      </c>
      <c r="E297" s="4">
        <f>DEVRE!V56</f>
        <v>2.5</v>
      </c>
      <c r="F297" s="4">
        <f>DEVRE!Z56</f>
        <v>3.5999999999999996</v>
      </c>
      <c r="G297" s="4" t="s">
        <v>697</v>
      </c>
      <c r="I297" s="4" t="str">
        <f>DEVRE!AL56&amp;IF(DEVRE!AF56="",""," · XT "&amp;DEVRE!AF56&amp;"–"&amp;DEVRE!AG56)</f>
        <v>kırmızı · N mavi · PE sarı-yeşil · XT 12–14</v>
      </c>
    </row>
    <row r="298" spans="1:9" x14ac:dyDescent="0.35">
      <c r="A298" s="4" t="str">
        <f>DEVRE!A57</f>
        <v>P05</v>
      </c>
      <c r="B298" s="4" t="s">
        <v>696</v>
      </c>
      <c r="C298" s="4">
        <v>6</v>
      </c>
      <c r="D298" s="4" t="str">
        <f>DEVRE!B57&amp;" · "&amp;DEVRE!E57</f>
        <v>НВ2-1 · В2 Вентилятор 0,071 кВт</v>
      </c>
      <c r="E298" s="4">
        <f>DEVRE!V57</f>
        <v>2.5</v>
      </c>
      <c r="F298" s="4">
        <f>DEVRE!Z57</f>
        <v>3.5999999999999996</v>
      </c>
      <c r="G298" s="4" t="s">
        <v>697</v>
      </c>
      <c r="I298" s="4" t="str">
        <f>DEVRE!AL57&amp;IF(DEVRE!AF57="",""," · XT "&amp;DEVRE!AF57&amp;"–"&amp;DEVRE!AG57)</f>
        <v>sarı · N mavi · PE sarı-yeşil · XT 15–17</v>
      </c>
    </row>
    <row r="299" spans="1:9" x14ac:dyDescent="0.35">
      <c r="A299" s="4" t="str">
        <f>DEVRE!A58</f>
        <v>P05</v>
      </c>
      <c r="B299" s="4" t="s">
        <v>696</v>
      </c>
      <c r="C299" s="4">
        <v>7</v>
      </c>
      <c r="D299" s="4" t="str">
        <f>DEVRE!B58&amp;" · "&amp;DEVRE!E58</f>
        <v>НВ3-1 · В3 Вентилятор 0,295 кВт</v>
      </c>
      <c r="E299" s="4">
        <f>DEVRE!V58</f>
        <v>2.5</v>
      </c>
      <c r="F299" s="4">
        <f>DEVRE!Z58</f>
        <v>3.5999999999999996</v>
      </c>
      <c r="G299" s="4" t="s">
        <v>697</v>
      </c>
      <c r="I299" s="4" t="str">
        <f>DEVRE!AL58&amp;IF(DEVRE!AF58="",""," · XT "&amp;DEVRE!AF58&amp;"–"&amp;DEVRE!AG58)</f>
        <v>yeşil · N mavi · PE sarı-yeşil · XT 18–20</v>
      </c>
    </row>
    <row r="300" spans="1:9" x14ac:dyDescent="0.35">
      <c r="A300" s="4" t="str">
        <f>DEVRE!A59</f>
        <v>P05</v>
      </c>
      <c r="B300" s="4" t="s">
        <v>696</v>
      </c>
      <c r="C300" s="4">
        <v>8</v>
      </c>
      <c r="D300" s="4" t="str">
        <f>DEVRE!B59&amp;" · "&amp;DEVRE!E59</f>
        <v>НВ4-1 · В4 Вентилятор 0,230 кВт</v>
      </c>
      <c r="E300" s="4">
        <f>DEVRE!V59</f>
        <v>2.5</v>
      </c>
      <c r="F300" s="4">
        <f>DEVRE!Z59</f>
        <v>3.5999999999999996</v>
      </c>
      <c r="G300" s="4" t="s">
        <v>697</v>
      </c>
      <c r="I300" s="4" t="str">
        <f>DEVRE!AL59&amp;IF(DEVRE!AF59="",""," · XT "&amp;DEVRE!AF59&amp;"–"&amp;DEVRE!AG59)</f>
        <v>kırmızı · N mavi · PE sarı-yeşil · XT 21–23</v>
      </c>
    </row>
    <row r="301" spans="1:9" x14ac:dyDescent="0.35">
      <c r="A301" s="4" t="str">
        <f>DEVRE!A60</f>
        <v>P05</v>
      </c>
      <c r="B301" s="4" t="s">
        <v>696</v>
      </c>
      <c r="C301" s="4">
        <v>9</v>
      </c>
      <c r="D301" s="4" t="str">
        <f>DEVRE!B60&amp;" · "&amp;DEVRE!E60</f>
        <v>НВ5-1 · В5 Вентилятор 0,071 кВт</v>
      </c>
      <c r="E301" s="4">
        <f>DEVRE!V60</f>
        <v>2.5</v>
      </c>
      <c r="F301" s="4">
        <f>DEVRE!Z60</f>
        <v>3.5999999999999996</v>
      </c>
      <c r="G301" s="4" t="s">
        <v>697</v>
      </c>
      <c r="I301" s="4" t="str">
        <f>DEVRE!AL60&amp;IF(DEVRE!AF60="",""," · XT "&amp;DEVRE!AF60&amp;"–"&amp;DEVRE!AG60)</f>
        <v>sarı · N mavi · PE sarı-yeşil · XT 24–26</v>
      </c>
    </row>
    <row r="302" spans="1:9" x14ac:dyDescent="0.35">
      <c r="A302" s="4" t="str">
        <f>DEVRE!A61</f>
        <v>P05</v>
      </c>
      <c r="B302" s="4" t="s">
        <v>696</v>
      </c>
      <c r="C302" s="4">
        <v>10</v>
      </c>
      <c r="D302" s="4" t="str">
        <f>DEVRE!B61&amp;" · "&amp;DEVRE!E61</f>
        <v>НВ6-1 · В6 Вентилятор 0,105 кВт</v>
      </c>
      <c r="E302" s="4">
        <f>DEVRE!V61</f>
        <v>2.5</v>
      </c>
      <c r="F302" s="4">
        <f>DEVRE!Z61</f>
        <v>3.5999999999999996</v>
      </c>
      <c r="G302" s="4" t="s">
        <v>697</v>
      </c>
      <c r="I302" s="4" t="str">
        <f>DEVRE!AL61&amp;IF(DEVRE!AF61="",""," · XT "&amp;DEVRE!AF61&amp;"–"&amp;DEVRE!AG61)</f>
        <v>yeşil · N mavi · PE sarı-yeşil · XT 27–29</v>
      </c>
    </row>
    <row r="303" spans="1:9" x14ac:dyDescent="0.35">
      <c r="A303" s="4" t="str">
        <f>DEVRE!A62</f>
        <v>P05</v>
      </c>
      <c r="B303" s="4" t="s">
        <v>696</v>
      </c>
      <c r="C303" s="4">
        <v>11</v>
      </c>
      <c r="D303" s="4" t="str">
        <f>DEVRE!B62&amp;" · "&amp;DEVRE!E62</f>
        <v>НВ7-1 · В7 Вентилятор 1,6 кВт</v>
      </c>
      <c r="E303" s="4">
        <f>DEVRE!V62</f>
        <v>2.5</v>
      </c>
      <c r="F303" s="4">
        <f>DEVRE!Z62</f>
        <v>3.5999999999999996</v>
      </c>
      <c r="G303" s="4" t="s">
        <v>697</v>
      </c>
      <c r="I303" s="4" t="str">
        <f>DEVRE!AL62&amp;IF(DEVRE!AF62="",""," · XT "&amp;DEVRE!AF62&amp;"–"&amp;DEVRE!AG62)</f>
        <v>kırmızı · N mavi · PE sarı-yeşil · XT 30–32</v>
      </c>
    </row>
    <row r="304" spans="1:9" x14ac:dyDescent="0.35">
      <c r="A304" s="4" t="s">
        <v>161</v>
      </c>
      <c r="B304" s="4" t="s">
        <v>698</v>
      </c>
      <c r="C304" s="4">
        <v>12</v>
      </c>
      <c r="D304" s="4" t="s">
        <v>699</v>
      </c>
      <c r="F304" s="4">
        <f>SUMIFS(DEVRE!$AI:$AI,DEVRE!$A:$A,$A304)</f>
        <v>6</v>
      </c>
      <c r="G304" s="4" t="s">
        <v>700</v>
      </c>
      <c r="I304" s="4" t="s">
        <v>701</v>
      </c>
    </row>
    <row r="305" spans="1:9" x14ac:dyDescent="0.35">
      <c r="A305" s="4" t="s">
        <v>161</v>
      </c>
      <c r="B305" s="4" t="s">
        <v>698</v>
      </c>
      <c r="C305" s="4">
        <v>13</v>
      </c>
      <c r="D305" s="4" t="s">
        <v>702</v>
      </c>
      <c r="F305" s="4">
        <f>SUMIFS(DEVRE!$AJ:$AJ,DEVRE!$A:$A,$A305)</f>
        <v>74</v>
      </c>
      <c r="G305" s="4" t="s">
        <v>700</v>
      </c>
      <c r="I305" s="4" t="s">
        <v>703</v>
      </c>
    </row>
    <row r="306" spans="1:9" x14ac:dyDescent="0.35">
      <c r="A306" s="4" t="s">
        <v>161</v>
      </c>
      <c r="B306" s="4" t="s">
        <v>698</v>
      </c>
      <c r="C306" s="4">
        <v>14</v>
      </c>
      <c r="D306" s="4" t="s">
        <v>704</v>
      </c>
      <c r="F306" s="4">
        <f>SUMIFS(DEVRE!$AK:$AK,DEVRE!$A:$A,$A306)</f>
        <v>70</v>
      </c>
      <c r="G306" s="4" t="s">
        <v>700</v>
      </c>
      <c r="I306" s="4" t="s">
        <v>705</v>
      </c>
    </row>
    <row r="307" spans="1:9" x14ac:dyDescent="0.35">
      <c r="A307" s="4" t="s">
        <v>161</v>
      </c>
      <c r="B307" s="4" t="s">
        <v>698</v>
      </c>
      <c r="C307" s="4">
        <v>15</v>
      </c>
      <c r="D307" s="4" t="s">
        <v>706</v>
      </c>
      <c r="F307" s="4" t="str">
        <f>IF(PANO!R9="","",2*(PANO!R9+1))</f>
        <v/>
      </c>
      <c r="G307" s="4" t="s">
        <v>700</v>
      </c>
      <c r="I307" s="4" t="s">
        <v>707</v>
      </c>
    </row>
    <row r="308" spans="1:9" x14ac:dyDescent="0.35">
      <c r="A308" s="4" t="s">
        <v>161</v>
      </c>
      <c r="B308" s="4" t="s">
        <v>698</v>
      </c>
      <c r="C308" s="4">
        <v>16</v>
      </c>
      <c r="D308" s="4" t="s">
        <v>708</v>
      </c>
      <c r="E308" s="4" t="s">
        <v>709</v>
      </c>
      <c r="F308" s="4">
        <v>1</v>
      </c>
      <c r="G308" s="4" t="s">
        <v>700</v>
      </c>
      <c r="I308" s="4" t="s">
        <v>710</v>
      </c>
    </row>
    <row r="309" spans="1:9" x14ac:dyDescent="0.35">
      <c r="A309" s="4" t="s">
        <v>161</v>
      </c>
      <c r="B309" s="4" t="s">
        <v>711</v>
      </c>
      <c r="C309" s="4">
        <v>1</v>
      </c>
      <c r="D309" s="4" t="s">
        <v>712</v>
      </c>
      <c r="I309" s="4" t="s">
        <v>713</v>
      </c>
    </row>
    <row r="310" spans="1:9" x14ac:dyDescent="0.35">
      <c r="A310" s="4" t="s">
        <v>161</v>
      </c>
      <c r="B310" s="4" t="s">
        <v>711</v>
      </c>
      <c r="C310" s="4">
        <v>2</v>
      </c>
      <c r="D310" s="4" t="s">
        <v>714</v>
      </c>
      <c r="I310" s="4" t="s">
        <v>713</v>
      </c>
    </row>
    <row r="311" spans="1:9" x14ac:dyDescent="0.35">
      <c r="A311" s="4" t="s">
        <v>161</v>
      </c>
      <c r="B311" s="4" t="s">
        <v>711</v>
      </c>
      <c r="C311" s="4">
        <v>3</v>
      </c>
      <c r="D311" s="4" t="s">
        <v>715</v>
      </c>
      <c r="I311" s="4" t="s">
        <v>713</v>
      </c>
    </row>
    <row r="312" spans="1:9" x14ac:dyDescent="0.35">
      <c r="A312" s="4" t="s">
        <v>161</v>
      </c>
      <c r="B312" s="4" t="s">
        <v>711</v>
      </c>
      <c r="C312" s="4">
        <v>4</v>
      </c>
      <c r="D312" s="4" t="s">
        <v>716</v>
      </c>
      <c r="I312" s="4" t="s">
        <v>713</v>
      </c>
    </row>
    <row r="313" spans="1:9" x14ac:dyDescent="0.35">
      <c r="A313" s="4" t="s">
        <v>161</v>
      </c>
      <c r="B313" s="4" t="s">
        <v>711</v>
      </c>
      <c r="C313" s="4">
        <v>5</v>
      </c>
      <c r="D313" s="4" t="s">
        <v>717</v>
      </c>
      <c r="I313" s="4" t="s">
        <v>713</v>
      </c>
    </row>
    <row r="314" spans="1:9" x14ac:dyDescent="0.35">
      <c r="A314" s="4" t="s">
        <v>161</v>
      </c>
      <c r="B314" s="4" t="s">
        <v>711</v>
      </c>
      <c r="C314" s="4">
        <v>6</v>
      </c>
      <c r="D314" s="4" t="s">
        <v>718</v>
      </c>
      <c r="I314" s="4" t="s">
        <v>713</v>
      </c>
    </row>
    <row r="315" spans="1:9" x14ac:dyDescent="0.35">
      <c r="A315" s="4" t="s">
        <v>161</v>
      </c>
      <c r="B315" s="4" t="s">
        <v>711</v>
      </c>
      <c r="C315" s="4">
        <v>7</v>
      </c>
      <c r="D315" s="4" t="s">
        <v>719</v>
      </c>
      <c r="I315" s="4" t="s">
        <v>713</v>
      </c>
    </row>
    <row r="316" spans="1:9" x14ac:dyDescent="0.35">
      <c r="A316" s="4" t="s">
        <v>161</v>
      </c>
      <c r="B316" s="4" t="s">
        <v>711</v>
      </c>
      <c r="C316" s="4">
        <v>8</v>
      </c>
      <c r="D316" s="4" t="s">
        <v>720</v>
      </c>
      <c r="I316" s="4" t="s">
        <v>713</v>
      </c>
    </row>
    <row r="317" spans="1:9" x14ac:dyDescent="0.35">
      <c r="A317" s="4" t="s">
        <v>161</v>
      </c>
      <c r="B317" s="4" t="s">
        <v>711</v>
      </c>
      <c r="C317" s="4">
        <v>9</v>
      </c>
      <c r="D317" s="4" t="s">
        <v>721</v>
      </c>
      <c r="I317" s="4" t="s">
        <v>713</v>
      </c>
    </row>
    <row r="318" spans="1:9" x14ac:dyDescent="0.35">
      <c r="A318" s="4" t="str">
        <f>BOM!Q108</f>
        <v>P06</v>
      </c>
      <c r="B318" s="4" t="s">
        <v>689</v>
      </c>
      <c r="C318" s="4">
        <v>1</v>
      </c>
      <c r="D318" s="4" t="str">
        <f>BOM!E108</f>
        <v>Мет.Щит ЩРВ-7-3 S/A 700x300x150мм IP31</v>
      </c>
      <c r="E318" s="4" t="str">
        <f>IF(BOM!X108="",BOM!D108,BOM!X108)</f>
        <v>713-15040</v>
      </c>
      <c r="F318" s="4">
        <f>BOM!I108</f>
        <v>1</v>
      </c>
      <c r="G318" s="4" t="str">
        <f>BOM!J108</f>
        <v>шт</v>
      </c>
      <c r="I318" s="4" t="s">
        <v>690</v>
      </c>
    </row>
    <row r="319" spans="1:9" x14ac:dyDescent="0.35">
      <c r="A319" s="4" t="str">
        <f>BOM!Q109</f>
        <v>P06</v>
      </c>
      <c r="B319" s="4" t="s">
        <v>689</v>
      </c>
      <c r="C319" s="4">
        <v>2</v>
      </c>
      <c r="D319" s="4" t="str">
        <f>BOM!E109</f>
        <v>Выключатель нагрузки 3P 25A</v>
      </c>
      <c r="E319" s="4" t="str">
        <f>IF(BOM!X109="",BOM!D109,BOM!X109)</f>
        <v/>
      </c>
      <c r="F319" s="4">
        <f>BOM!I109</f>
        <v>1</v>
      </c>
      <c r="G319" s="4" t="str">
        <f>BOM!J109</f>
        <v>шт</v>
      </c>
      <c r="I319" s="4" t="s">
        <v>690</v>
      </c>
    </row>
    <row r="320" spans="1:9" x14ac:dyDescent="0.35">
      <c r="A320" s="4" t="str">
        <f>BOM!Q110</f>
        <v>P06</v>
      </c>
      <c r="B320" s="4" t="s">
        <v>689</v>
      </c>
      <c r="C320" s="4">
        <v>3</v>
      </c>
      <c r="D320" s="4" t="str">
        <f>BOM!E110</f>
        <v>Авт. выкл. NXB-63S 1P 16А 4.5kA х-ка B</v>
      </c>
      <c r="E320" s="4" t="str">
        <f>IF(BOM!X110="",BOM!D110,BOM!X110)</f>
        <v>296697</v>
      </c>
      <c r="F320" s="4">
        <f>BOM!I110</f>
        <v>12</v>
      </c>
      <c r="G320" s="4" t="str">
        <f>BOM!J110</f>
        <v>шт</v>
      </c>
      <c r="I320" s="4" t="s">
        <v>690</v>
      </c>
    </row>
    <row r="321" spans="1:9" x14ac:dyDescent="0.35">
      <c r="A321" s="4" t="str">
        <f>BOM!Q111</f>
        <v>P06</v>
      </c>
      <c r="B321" s="4" t="s">
        <v>689</v>
      </c>
      <c r="C321" s="4">
        <v>4</v>
      </c>
      <c r="D321" s="4" t="str">
        <f>BOM!E111</f>
        <v>Диф. авт. выкл. NXBLE-63 2P C16 30mA тип AC 6kA</v>
      </c>
      <c r="E321" s="4" t="str">
        <f>IF(BOM!X111="",BOM!D111,BOM!X111)</f>
        <v>819977</v>
      </c>
      <c r="F321" s="4">
        <f>BOM!I111</f>
        <v>5</v>
      </c>
      <c r="G321" s="4" t="str">
        <f>BOM!J111</f>
        <v>шт</v>
      </c>
      <c r="I321" s="4" t="s">
        <v>690</v>
      </c>
    </row>
    <row r="322" spans="1:9" x14ac:dyDescent="0.35">
      <c r="A322" s="4" t="str">
        <f>BOM!Q112</f>
        <v>P06</v>
      </c>
      <c r="B322" s="4" t="s">
        <v>689</v>
      </c>
      <c r="C322" s="4">
        <v>5</v>
      </c>
      <c r="D322" s="4" t="str">
        <f>BOM!E112</f>
        <v>Шина соединительная типа FORK 1P, 63А, L=1000мм</v>
      </c>
      <c r="E322" s="4" t="str">
        <f>IF(BOM!X112="",BOM!D112,BOM!X112)</f>
        <v>1P</v>
      </c>
      <c r="F322" s="4">
        <f>BOM!I112</f>
        <v>1</v>
      </c>
      <c r="G322" s="4" t="str">
        <f>BOM!J112</f>
        <v>шт</v>
      </c>
      <c r="I322" s="4" t="s">
        <v>690</v>
      </c>
    </row>
    <row r="323" spans="1:9" x14ac:dyDescent="0.35">
      <c r="A323" s="4" t="str">
        <f>BOM!Q113</f>
        <v>P06</v>
      </c>
      <c r="B323" s="4" t="s">
        <v>689</v>
      </c>
      <c r="C323" s="4">
        <v>6</v>
      </c>
      <c r="D323" s="4" t="str">
        <f>BOM!E113</f>
        <v>Шина соединительная типа PIN 2P, 63А, L=1000мм</v>
      </c>
      <c r="E323" s="4" t="str">
        <f>IF(BOM!X113="",BOM!D113,BOM!X113)</f>
        <v>2P</v>
      </c>
      <c r="F323" s="4">
        <f>BOM!I113</f>
        <v>1</v>
      </c>
      <c r="G323" s="4" t="str">
        <f>BOM!J113</f>
        <v>шт</v>
      </c>
      <c r="I323" s="4" t="s">
        <v>690</v>
      </c>
    </row>
    <row r="324" spans="1:9" x14ac:dyDescent="0.35">
      <c r="A324" s="4" t="str">
        <f>BOM!Q114</f>
        <v>P06</v>
      </c>
      <c r="B324" s="4" t="s">
        <v>689</v>
      </c>
      <c r="C324" s="4">
        <v>7</v>
      </c>
      <c r="D324" s="4" t="str">
        <f>BOM!E114</f>
        <v/>
      </c>
      <c r="E324" s="4" t="str">
        <f>IF(BOM!X114="",BOM!D114,BOM!X114)</f>
        <v/>
      </c>
      <c r="F324" s="4">
        <f>BOM!I114</f>
        <v>2</v>
      </c>
      <c r="G324" s="4" t="str">
        <f>BOM!J114</f>
        <v/>
      </c>
      <c r="I324" s="4" t="s">
        <v>690</v>
      </c>
    </row>
    <row r="325" spans="1:9" x14ac:dyDescent="0.35">
      <c r="A325" s="4" t="str">
        <f>BOM!Q115</f>
        <v>P06</v>
      </c>
      <c r="B325" s="4" t="s">
        <v>689</v>
      </c>
      <c r="C325" s="4">
        <v>8</v>
      </c>
      <c r="D325" s="4" t="str">
        <f>BOM!E115</f>
        <v/>
      </c>
      <c r="E325" s="4" t="str">
        <f>IF(BOM!X115="",BOM!D115,BOM!X115)</f>
        <v/>
      </c>
      <c r="F325" s="4" t="str">
        <f>BOM!I115</f>
        <v/>
      </c>
      <c r="G325" s="4" t="str">
        <f>BOM!J115</f>
        <v/>
      </c>
      <c r="I325" s="4" t="s">
        <v>690</v>
      </c>
    </row>
    <row r="326" spans="1:9" x14ac:dyDescent="0.35">
      <c r="A326" s="4" t="str">
        <f>BOM!Q116</f>
        <v>P06</v>
      </c>
      <c r="B326" s="4" t="s">
        <v>689</v>
      </c>
      <c r="C326" s="4">
        <v>9</v>
      </c>
      <c r="D326" s="4" t="str">
        <f>BOM!E116</f>
        <v/>
      </c>
      <c r="E326" s="4" t="str">
        <f>IF(BOM!X116="",BOM!D116,BOM!X116)</f>
        <v/>
      </c>
      <c r="F326" s="4" t="str">
        <f>BOM!I116</f>
        <v/>
      </c>
      <c r="G326" s="4" t="str">
        <f>BOM!J116</f>
        <v/>
      </c>
      <c r="I326" s="4" t="s">
        <v>690</v>
      </c>
    </row>
    <row r="327" spans="1:9" x14ac:dyDescent="0.35">
      <c r="A327" s="4" t="str">
        <f>BOM!Q117</f>
        <v>P06</v>
      </c>
      <c r="B327" s="4" t="s">
        <v>689</v>
      </c>
      <c r="C327" s="4">
        <v>10</v>
      </c>
      <c r="D327" s="4" t="str">
        <f>BOM!E117</f>
        <v/>
      </c>
      <c r="E327" s="4" t="str">
        <f>IF(BOM!X117="",BOM!D117,BOM!X117)</f>
        <v/>
      </c>
      <c r="F327" s="4" t="str">
        <f>BOM!I117</f>
        <v/>
      </c>
      <c r="G327" s="4" t="str">
        <f>BOM!J117</f>
        <v/>
      </c>
      <c r="I327" s="4" t="s">
        <v>690</v>
      </c>
    </row>
    <row r="328" spans="1:9" x14ac:dyDescent="0.35">
      <c r="A328" s="4" t="str">
        <f>BOM!Q118</f>
        <v>P06</v>
      </c>
      <c r="B328" s="4" t="s">
        <v>689</v>
      </c>
      <c r="C328" s="4">
        <v>11</v>
      </c>
      <c r="D328" s="4" t="str">
        <f>BOM!E118</f>
        <v>HARMONY ПВ3 1 2,5</v>
      </c>
      <c r="E328" s="4">
        <f>IF(BOM!X118="",BOM!D118,BOM!X118)</f>
        <v>2.5</v>
      </c>
      <c r="F328" s="4">
        <f>BOM!I118</f>
        <v>63.4</v>
      </c>
      <c r="G328" s="4" t="str">
        <f>BOM!J118</f>
        <v>м</v>
      </c>
      <c r="I328" s="4" t="s">
        <v>690</v>
      </c>
    </row>
    <row r="329" spans="1:9" x14ac:dyDescent="0.35">
      <c r="A329" s="4" t="str">
        <f>BOM!Q119</f>
        <v>P06</v>
      </c>
      <c r="B329" s="4" t="s">
        <v>689</v>
      </c>
      <c r="C329" s="4">
        <v>12</v>
      </c>
      <c r="D329" s="4" t="str">
        <f>BOM!E119</f>
        <v>HARMONY ПВ3 1 4</v>
      </c>
      <c r="E329" s="4">
        <f>IF(BOM!X119="",BOM!D119,BOM!X119)</f>
        <v>4</v>
      </c>
      <c r="F329" s="4">
        <f>BOM!I119</f>
        <v>4</v>
      </c>
      <c r="G329" s="4" t="str">
        <f>BOM!J119</f>
        <v>м</v>
      </c>
      <c r="I329" s="4" t="s">
        <v>690</v>
      </c>
    </row>
    <row r="330" spans="1:9" x14ac:dyDescent="0.35">
      <c r="A330" s="4" t="str">
        <f>BOM!Q120</f>
        <v>P06</v>
      </c>
      <c r="B330" s="4" t="s">
        <v>689</v>
      </c>
      <c r="C330" s="4">
        <v>13</v>
      </c>
      <c r="D330" s="4" t="str">
        <f>BOM!E120</f>
        <v>ЗНИ 2.5мм ² (24А) серый IEK</v>
      </c>
      <c r="E330" s="4">
        <f>IF(BOM!X120="",BOM!D120,BOM!X120)</f>
        <v>2.5</v>
      </c>
      <c r="F330" s="4">
        <f>BOM!I120</f>
        <v>36</v>
      </c>
      <c r="G330" s="4" t="str">
        <f>BOM!J120</f>
        <v>шт</v>
      </c>
      <c r="I330" s="4" t="s">
        <v>690</v>
      </c>
    </row>
    <row r="331" spans="1:9" x14ac:dyDescent="0.35">
      <c r="A331" s="4" t="str">
        <f>BOM!Q121</f>
        <v>P06</v>
      </c>
      <c r="B331" s="4" t="s">
        <v>689</v>
      </c>
      <c r="C331" s="4">
        <v>14</v>
      </c>
      <c r="D331" s="4" t="str">
        <f>BOM!E121</f>
        <v>Зажим наборный ЗНИ - 4PEN 4мм2 (JXB-земля) IEK</v>
      </c>
      <c r="E331" s="4">
        <f>IF(BOM!X121="",BOM!D121,BOM!X121)</f>
        <v>2.5</v>
      </c>
      <c r="F331" s="4">
        <f>BOM!I121</f>
        <v>18</v>
      </c>
      <c r="G331" s="4" t="str">
        <f>BOM!J121</f>
        <v>шт</v>
      </c>
      <c r="I331" s="4" t="s">
        <v>690</v>
      </c>
    </row>
    <row r="332" spans="1:9" x14ac:dyDescent="0.35">
      <c r="A332" s="4" t="s">
        <v>180</v>
      </c>
      <c r="B332" s="4" t="s">
        <v>691</v>
      </c>
      <c r="C332" s="4">
        <v>1</v>
      </c>
      <c r="D332" s="4" t="s">
        <v>692</v>
      </c>
      <c r="E332" s="4" t="s">
        <v>188</v>
      </c>
      <c r="G332" s="4" t="s">
        <v>693</v>
      </c>
      <c r="H332" s="4">
        <f>SUMIFS(BOM!$T:$T,BOM!$Q:$Q,$A332,BOM!$R:$R,$E332)</f>
        <v>0</v>
      </c>
      <c r="I332" s="4" t="s">
        <v>694</v>
      </c>
    </row>
    <row r="333" spans="1:9" x14ac:dyDescent="0.35">
      <c r="A333" s="4" t="s">
        <v>180</v>
      </c>
      <c r="B333" s="4" t="s">
        <v>691</v>
      </c>
      <c r="C333" s="4">
        <v>2</v>
      </c>
      <c r="D333" s="4" t="s">
        <v>692</v>
      </c>
      <c r="E333" s="4" t="s">
        <v>107</v>
      </c>
      <c r="G333" s="4" t="s">
        <v>693</v>
      </c>
      <c r="H333" s="4">
        <f>SUMIFS(BOM!$T:$T,BOM!$Q:$Q,$A333,BOM!$R:$R,$E333)</f>
        <v>30</v>
      </c>
      <c r="I333" s="4" t="s">
        <v>694</v>
      </c>
    </row>
    <row r="334" spans="1:9" x14ac:dyDescent="0.35">
      <c r="A334" s="4" t="s">
        <v>180</v>
      </c>
      <c r="B334" s="4" t="s">
        <v>691</v>
      </c>
      <c r="C334" s="4">
        <v>3</v>
      </c>
      <c r="D334" s="4" t="s">
        <v>692</v>
      </c>
      <c r="E334" s="4" t="s">
        <v>33</v>
      </c>
      <c r="G334" s="4" t="s">
        <v>693</v>
      </c>
      <c r="H334" s="4">
        <f>SUMIFS(BOM!$T:$T,BOM!$Q:$Q,$A334,BOM!$R:$R,$E334)</f>
        <v>0</v>
      </c>
      <c r="I334" s="4" t="s">
        <v>694</v>
      </c>
    </row>
    <row r="335" spans="1:9" x14ac:dyDescent="0.35">
      <c r="A335" s="4" t="s">
        <v>180</v>
      </c>
      <c r="B335" s="4" t="s">
        <v>691</v>
      </c>
      <c r="C335" s="4">
        <v>4</v>
      </c>
      <c r="D335" s="4" t="s">
        <v>692</v>
      </c>
      <c r="E335" s="4" t="s">
        <v>79</v>
      </c>
      <c r="G335" s="4" t="s">
        <v>693</v>
      </c>
      <c r="H335" s="4">
        <f>SUMIFS(BOM!$T:$T,BOM!$Q:$Q,$A335,BOM!$R:$R,$E335)</f>
        <v>0</v>
      </c>
      <c r="I335" s="4" t="s">
        <v>694</v>
      </c>
    </row>
    <row r="336" spans="1:9" x14ac:dyDescent="0.35">
      <c r="A336" s="4" t="s">
        <v>180</v>
      </c>
      <c r="B336" s="4" t="s">
        <v>691</v>
      </c>
      <c r="C336" s="4">
        <v>5</v>
      </c>
      <c r="D336" s="4" t="s">
        <v>692</v>
      </c>
      <c r="E336" s="4" t="s">
        <v>83</v>
      </c>
      <c r="G336" s="4" t="s">
        <v>693</v>
      </c>
      <c r="H336" s="4">
        <f>SUMIFS(BOM!$T:$T,BOM!$Q:$Q,$A336,BOM!$R:$R,$E336)</f>
        <v>0</v>
      </c>
      <c r="I336" s="4" t="s">
        <v>694</v>
      </c>
    </row>
    <row r="337" spans="1:9" x14ac:dyDescent="0.35">
      <c r="A337" s="4" t="s">
        <v>180</v>
      </c>
      <c r="B337" s="4" t="s">
        <v>691</v>
      </c>
      <c r="C337" s="4">
        <v>6</v>
      </c>
      <c r="D337" s="4" t="s">
        <v>692</v>
      </c>
      <c r="E337" s="4" t="s">
        <v>111</v>
      </c>
      <c r="G337" s="4" t="s">
        <v>693</v>
      </c>
      <c r="H337" s="4">
        <f>SUMIFS(BOM!$T:$T,BOM!$Q:$Q,$A337,BOM!$R:$R,$E337)</f>
        <v>45</v>
      </c>
      <c r="I337" s="4" t="s">
        <v>694</v>
      </c>
    </row>
    <row r="338" spans="1:9" x14ac:dyDescent="0.35">
      <c r="A338" s="4" t="s">
        <v>180</v>
      </c>
      <c r="B338" s="4" t="s">
        <v>691</v>
      </c>
      <c r="C338" s="4">
        <v>7</v>
      </c>
      <c r="D338" s="4" t="s">
        <v>692</v>
      </c>
      <c r="E338" s="4" t="s">
        <v>38</v>
      </c>
      <c r="G338" s="4" t="s">
        <v>693</v>
      </c>
      <c r="H338" s="4">
        <f>SUMIFS(BOM!$T:$T,BOM!$Q:$Q,$A338,BOM!$R:$R,$E338)</f>
        <v>0</v>
      </c>
      <c r="I338" s="4" t="s">
        <v>694</v>
      </c>
    </row>
    <row r="339" spans="1:9" x14ac:dyDescent="0.35">
      <c r="A339" s="4" t="s">
        <v>180</v>
      </c>
      <c r="B339" s="4" t="s">
        <v>691</v>
      </c>
      <c r="C339" s="4">
        <v>8</v>
      </c>
      <c r="D339" s="4" t="s">
        <v>692</v>
      </c>
      <c r="E339" s="4" t="s">
        <v>43</v>
      </c>
      <c r="G339" s="4" t="s">
        <v>693</v>
      </c>
      <c r="H339" s="4">
        <f>SUMIFS(BOM!$T:$T,BOM!$Q:$Q,$A339,BOM!$R:$R,$E339)</f>
        <v>0</v>
      </c>
      <c r="I339" s="4" t="s">
        <v>694</v>
      </c>
    </row>
    <row r="340" spans="1:9" x14ac:dyDescent="0.35">
      <c r="A340" s="4" t="s">
        <v>180</v>
      </c>
      <c r="B340" s="4" t="s">
        <v>691</v>
      </c>
      <c r="C340" s="4">
        <v>9</v>
      </c>
      <c r="D340" s="4" t="s">
        <v>692</v>
      </c>
      <c r="E340" s="4" t="s">
        <v>165</v>
      </c>
      <c r="G340" s="4" t="s">
        <v>693</v>
      </c>
      <c r="H340" s="4">
        <f>SUMIFS(BOM!$T:$T,BOM!$Q:$Q,$A340,BOM!$R:$R,$E340)</f>
        <v>36</v>
      </c>
      <c r="I340" s="4" t="s">
        <v>694</v>
      </c>
    </row>
    <row r="341" spans="1:9" x14ac:dyDescent="0.35">
      <c r="A341" s="4" t="s">
        <v>180</v>
      </c>
      <c r="B341" s="4" t="s">
        <v>691</v>
      </c>
      <c r="C341" s="4">
        <v>10</v>
      </c>
      <c r="D341" s="4" t="s">
        <v>692</v>
      </c>
      <c r="E341" s="4" t="s">
        <v>50</v>
      </c>
      <c r="G341" s="4" t="s">
        <v>693</v>
      </c>
      <c r="H341" s="4">
        <f>SUMIFS(BOM!$T:$T,BOM!$Q:$Q,$A341,BOM!$R:$R,$E341)</f>
        <v>0</v>
      </c>
      <c r="I341" s="4" t="s">
        <v>694</v>
      </c>
    </row>
    <row r="342" spans="1:9" x14ac:dyDescent="0.35">
      <c r="A342" s="4" t="s">
        <v>180</v>
      </c>
      <c r="B342" s="4" t="s">
        <v>691</v>
      </c>
      <c r="C342" s="4">
        <v>11</v>
      </c>
      <c r="D342" s="4" t="s">
        <v>692</v>
      </c>
      <c r="E342" s="4" t="s">
        <v>150</v>
      </c>
      <c r="G342" s="4" t="s">
        <v>693</v>
      </c>
      <c r="H342" s="4">
        <f>SUMIFS(BOM!$T:$T,BOM!$Q:$Q,$A342,BOM!$R:$R,$E342)</f>
        <v>0</v>
      </c>
      <c r="I342" s="4" t="s">
        <v>694</v>
      </c>
    </row>
    <row r="343" spans="1:9" x14ac:dyDescent="0.35">
      <c r="A343" s="4" t="s">
        <v>180</v>
      </c>
      <c r="B343" s="4" t="s">
        <v>691</v>
      </c>
      <c r="C343" s="4">
        <v>12</v>
      </c>
      <c r="D343" s="4" t="s">
        <v>692</v>
      </c>
      <c r="E343" s="4" t="s">
        <v>170</v>
      </c>
      <c r="G343" s="4" t="s">
        <v>693</v>
      </c>
      <c r="H343" s="4">
        <f>SUMIFS(BOM!$T:$T,BOM!$Q:$Q,$A343,BOM!$R:$R,$E343)</f>
        <v>0</v>
      </c>
      <c r="I343" s="4" t="s">
        <v>694</v>
      </c>
    </row>
    <row r="344" spans="1:9" x14ac:dyDescent="0.35">
      <c r="A344" s="4" t="s">
        <v>180</v>
      </c>
      <c r="B344" s="4" t="s">
        <v>691</v>
      </c>
      <c r="C344" s="4">
        <v>13</v>
      </c>
      <c r="D344" s="4" t="s">
        <v>692</v>
      </c>
      <c r="E344" s="4" t="s">
        <v>123</v>
      </c>
      <c r="G344" s="4" t="s">
        <v>693</v>
      </c>
      <c r="H344" s="4">
        <f>SUMIFS(BOM!$T:$T,BOM!$Q:$Q,$A344,BOM!$R:$R,$E344)</f>
        <v>20</v>
      </c>
      <c r="I344" s="4" t="s">
        <v>694</v>
      </c>
    </row>
    <row r="345" spans="1:9" x14ac:dyDescent="0.35">
      <c r="A345" s="4" t="s">
        <v>180</v>
      </c>
      <c r="B345" s="4" t="s">
        <v>691</v>
      </c>
      <c r="C345" s="4">
        <v>14</v>
      </c>
      <c r="D345" s="4" t="s">
        <v>692</v>
      </c>
      <c r="E345" s="4" t="s">
        <v>59</v>
      </c>
      <c r="G345" s="4" t="s">
        <v>693</v>
      </c>
      <c r="H345" s="4">
        <f>SUMIFS(BOM!$T:$T,BOM!$Q:$Q,$A345,BOM!$R:$R,$E345)</f>
        <v>0</v>
      </c>
      <c r="I345" s="4" t="s">
        <v>694</v>
      </c>
    </row>
    <row r="346" spans="1:9" x14ac:dyDescent="0.35">
      <c r="A346" s="4" t="s">
        <v>180</v>
      </c>
      <c r="B346" s="4" t="s">
        <v>691</v>
      </c>
      <c r="C346" s="4">
        <v>15</v>
      </c>
      <c r="D346" s="4" t="s">
        <v>692</v>
      </c>
      <c r="E346" s="4" t="s">
        <v>66</v>
      </c>
      <c r="G346" s="4" t="s">
        <v>693</v>
      </c>
      <c r="H346" s="4">
        <f>SUMIFS(BOM!$T:$T,BOM!$Q:$Q,$A346,BOM!$R:$R,$E346)</f>
        <v>0</v>
      </c>
      <c r="I346" s="4" t="s">
        <v>694</v>
      </c>
    </row>
    <row r="347" spans="1:9" x14ac:dyDescent="0.35">
      <c r="A347" s="4" t="s">
        <v>180</v>
      </c>
      <c r="B347" s="4" t="s">
        <v>691</v>
      </c>
      <c r="C347" s="4">
        <v>16</v>
      </c>
      <c r="D347" s="4" t="s">
        <v>692</v>
      </c>
      <c r="E347" s="4" t="s">
        <v>70</v>
      </c>
      <c r="G347" s="4" t="s">
        <v>693</v>
      </c>
      <c r="H347" s="4">
        <f>SUMIFS(BOM!$T:$T,BOM!$Q:$Q,$A347,BOM!$R:$R,$E347)</f>
        <v>0</v>
      </c>
      <c r="I347" s="4" t="s">
        <v>694</v>
      </c>
    </row>
    <row r="348" spans="1:9" x14ac:dyDescent="0.35">
      <c r="A348" s="4" t="s">
        <v>180</v>
      </c>
      <c r="B348" s="4" t="s">
        <v>691</v>
      </c>
      <c r="C348" s="4">
        <v>17</v>
      </c>
      <c r="D348" s="4" t="s">
        <v>692</v>
      </c>
      <c r="E348" s="4" t="s">
        <v>62</v>
      </c>
      <c r="G348" s="4" t="s">
        <v>693</v>
      </c>
      <c r="H348" s="4">
        <f>SUMIFS(BOM!$T:$T,BOM!$Q:$Q,$A348,BOM!$R:$R,$E348)</f>
        <v>0</v>
      </c>
      <c r="I348" s="4" t="s">
        <v>694</v>
      </c>
    </row>
    <row r="349" spans="1:9" x14ac:dyDescent="0.35">
      <c r="A349" s="4" t="s">
        <v>180</v>
      </c>
      <c r="B349" s="4" t="s">
        <v>691</v>
      </c>
      <c r="C349" s="4">
        <v>18</v>
      </c>
      <c r="D349" s="4" t="s">
        <v>692</v>
      </c>
      <c r="E349" s="4" t="s">
        <v>90</v>
      </c>
      <c r="G349" s="4" t="s">
        <v>693</v>
      </c>
      <c r="H349" s="4">
        <f>SUMIFS(BOM!$T:$T,BOM!$Q:$Q,$A349,BOM!$R:$R,$E349)</f>
        <v>0</v>
      </c>
      <c r="I349" s="4" t="s">
        <v>694</v>
      </c>
    </row>
    <row r="350" spans="1:9" x14ac:dyDescent="0.35">
      <c r="A350" s="4" t="s">
        <v>180</v>
      </c>
      <c r="B350" s="4" t="s">
        <v>691</v>
      </c>
      <c r="C350" s="4">
        <v>19</v>
      </c>
      <c r="D350" s="4" t="s">
        <v>692</v>
      </c>
      <c r="E350" s="4" t="s">
        <v>136</v>
      </c>
      <c r="G350" s="4" t="s">
        <v>693</v>
      </c>
      <c r="H350" s="4">
        <f>SUMIFS(BOM!$T:$T,BOM!$Q:$Q,$A350,BOM!$R:$R,$E350)</f>
        <v>216</v>
      </c>
      <c r="I350" s="4" t="s">
        <v>694</v>
      </c>
    </row>
    <row r="351" spans="1:9" x14ac:dyDescent="0.35">
      <c r="A351" s="4" t="s">
        <v>180</v>
      </c>
      <c r="B351" s="4" t="s">
        <v>691</v>
      </c>
      <c r="C351" s="4">
        <v>20</v>
      </c>
      <c r="D351" s="4" t="s">
        <v>692</v>
      </c>
      <c r="E351" s="4" t="s">
        <v>695</v>
      </c>
      <c r="G351" s="4" t="s">
        <v>693</v>
      </c>
      <c r="H351" s="4">
        <f>SUMIFS(BOM!$T:$T,BOM!$Q:$Q,$A351,BOM!$R:$R,$E351)</f>
        <v>0</v>
      </c>
      <c r="I351" s="4" t="s">
        <v>694</v>
      </c>
    </row>
    <row r="352" spans="1:9" x14ac:dyDescent="0.35">
      <c r="A352" s="4" t="str">
        <f>DEVRE!A63</f>
        <v>P06</v>
      </c>
      <c r="B352" s="4" t="s">
        <v>696</v>
      </c>
      <c r="C352" s="4">
        <v>1</v>
      </c>
      <c r="D352" s="4" t="str">
        <f>DEVRE!B63&amp;" · "&amp;DEVRE!E63</f>
        <v>QS · Ввод от ВРУ (МО-1)</v>
      </c>
      <c r="E352" s="4">
        <f>DEVRE!V63</f>
        <v>4</v>
      </c>
      <c r="F352" s="4">
        <f>DEVRE!Z63</f>
        <v>3.5999999999999996</v>
      </c>
      <c r="G352" s="4" t="s">
        <v>697</v>
      </c>
      <c r="I352" s="4" t="str">
        <f>DEVRE!AL63&amp;IF(DEVRE!AF63="",""," · XT "&amp;DEVRE!AF63&amp;"–"&amp;DEVRE!AG63)</f>
        <v>L1 sarı · L2 yeşil · L3 kırmızı · N mavi · PE sarı-yeşil</v>
      </c>
    </row>
    <row r="353" spans="1:9" x14ac:dyDescent="0.35">
      <c r="A353" s="4" t="str">
        <f>DEVRE!A64</f>
        <v>P06</v>
      </c>
      <c r="B353" s="4" t="s">
        <v>696</v>
      </c>
      <c r="C353" s="4">
        <v>2</v>
      </c>
      <c r="D353" s="4" t="str">
        <f>DEVRE!B64&amp;" · "&amp;DEVRE!E64</f>
        <v>Гр1 · Рабочее освещение 0,54 кВт</v>
      </c>
      <c r="E353" s="4">
        <f>DEVRE!V64</f>
        <v>2.5</v>
      </c>
      <c r="F353" s="4">
        <f>DEVRE!Z64</f>
        <v>3.5999999999999996</v>
      </c>
      <c r="G353" s="4" t="s">
        <v>697</v>
      </c>
      <c r="I353" s="4" t="str">
        <f>DEVRE!AL64&amp;IF(DEVRE!AF64="",""," · XT "&amp;DEVRE!AF64&amp;"–"&amp;DEVRE!AG64)</f>
        <v>sarı · N mavi · PE sarı-yeşil · XT 1–3</v>
      </c>
    </row>
    <row r="354" spans="1:9" x14ac:dyDescent="0.35">
      <c r="A354" s="4" t="str">
        <f>DEVRE!A65</f>
        <v>P06</v>
      </c>
      <c r="B354" s="4" t="s">
        <v>696</v>
      </c>
      <c r="C354" s="4">
        <v>3</v>
      </c>
      <c r="D354" s="4" t="str">
        <f>DEVRE!B65&amp;" · "&amp;DEVRE!E65</f>
        <v>Гр2 · Рабочее освещение 0,582 кВт</v>
      </c>
      <c r="E354" s="4">
        <f>DEVRE!V65</f>
        <v>2.5</v>
      </c>
      <c r="F354" s="4">
        <f>DEVRE!Z65</f>
        <v>3.5999999999999996</v>
      </c>
      <c r="G354" s="4" t="s">
        <v>697</v>
      </c>
      <c r="I354" s="4" t="str">
        <f>DEVRE!AL65&amp;IF(DEVRE!AF65="",""," · XT "&amp;DEVRE!AF65&amp;"–"&amp;DEVRE!AG65)</f>
        <v>yeşil · N mavi · PE sarı-yeşil · XT 4–6</v>
      </c>
    </row>
    <row r="355" spans="1:9" x14ac:dyDescent="0.35">
      <c r="A355" s="4" t="str">
        <f>DEVRE!A66</f>
        <v>P06</v>
      </c>
      <c r="B355" s="4" t="s">
        <v>696</v>
      </c>
      <c r="C355" s="4">
        <v>4</v>
      </c>
      <c r="D355" s="4" t="str">
        <f>DEVRE!B66&amp;" · "&amp;DEVRE!E66</f>
        <v>Гр3 · Рабочее освещение 0,702 кВт</v>
      </c>
      <c r="E355" s="4">
        <f>DEVRE!V66</f>
        <v>2.5</v>
      </c>
      <c r="F355" s="4">
        <f>DEVRE!Z66</f>
        <v>3.5999999999999996</v>
      </c>
      <c r="G355" s="4" t="s">
        <v>697</v>
      </c>
      <c r="I355" s="4" t="str">
        <f>DEVRE!AL66&amp;IF(DEVRE!AF66="",""," · XT "&amp;DEVRE!AF66&amp;"–"&amp;DEVRE!AG66)</f>
        <v>kırmızı · N mavi · PE sarı-yeşil · XT 7–9</v>
      </c>
    </row>
    <row r="356" spans="1:9" x14ac:dyDescent="0.35">
      <c r="A356" s="4" t="str">
        <f>DEVRE!A67</f>
        <v>P06</v>
      </c>
      <c r="B356" s="4" t="s">
        <v>696</v>
      </c>
      <c r="C356" s="4">
        <v>5</v>
      </c>
      <c r="D356" s="4" t="str">
        <f>DEVRE!B67&amp;" · "&amp;DEVRE!E67</f>
        <v>Гр4 · Рабочее освещение 0,624 кВт</v>
      </c>
      <c r="E356" s="4">
        <f>DEVRE!V67</f>
        <v>2.5</v>
      </c>
      <c r="F356" s="4">
        <f>DEVRE!Z67</f>
        <v>3.5999999999999996</v>
      </c>
      <c r="G356" s="4" t="s">
        <v>697</v>
      </c>
      <c r="I356" s="4" t="str">
        <f>DEVRE!AL67&amp;IF(DEVRE!AF67="",""," · XT "&amp;DEVRE!AF67&amp;"–"&amp;DEVRE!AG67)</f>
        <v>sarı · N mavi · PE sarı-yeşil · XT 10–12</v>
      </c>
    </row>
    <row r="357" spans="1:9" x14ac:dyDescent="0.35">
      <c r="A357" s="4" t="str">
        <f>DEVRE!A68</f>
        <v>P06</v>
      </c>
      <c r="B357" s="4" t="s">
        <v>696</v>
      </c>
      <c r="C357" s="4">
        <v>6</v>
      </c>
      <c r="D357" s="4" t="str">
        <f>DEVRE!B68&amp;" · "&amp;DEVRE!E68</f>
        <v>Гр5 · Рабочее освещение 0,612 кВт</v>
      </c>
      <c r="E357" s="4">
        <f>DEVRE!V68</f>
        <v>2.5</v>
      </c>
      <c r="F357" s="4">
        <f>DEVRE!Z68</f>
        <v>3.5999999999999996</v>
      </c>
      <c r="G357" s="4" t="s">
        <v>697</v>
      </c>
      <c r="I357" s="4" t="str">
        <f>DEVRE!AL68&amp;IF(DEVRE!AF68="",""," · XT "&amp;DEVRE!AF68&amp;"–"&amp;DEVRE!AG68)</f>
        <v>yeşil · N mavi · PE sarı-yeşil · XT 13–15</v>
      </c>
    </row>
    <row r="358" spans="1:9" x14ac:dyDescent="0.35">
      <c r="A358" s="4" t="str">
        <f>DEVRE!A69</f>
        <v>P06</v>
      </c>
      <c r="B358" s="4" t="s">
        <v>696</v>
      </c>
      <c r="C358" s="4">
        <v>7</v>
      </c>
      <c r="D358" s="4" t="str">
        <f>DEVRE!B69&amp;" · "&amp;DEVRE!E69</f>
        <v>Гр6 · Рабочее освещение 0,6 кВт</v>
      </c>
      <c r="E358" s="4">
        <f>DEVRE!V69</f>
        <v>2.5</v>
      </c>
      <c r="F358" s="4">
        <f>DEVRE!Z69</f>
        <v>3.5999999999999996</v>
      </c>
      <c r="G358" s="4" t="s">
        <v>697</v>
      </c>
      <c r="I358" s="4" t="str">
        <f>DEVRE!AL69&amp;IF(DEVRE!AF69="",""," · XT "&amp;DEVRE!AF69&amp;"–"&amp;DEVRE!AG69)</f>
        <v>kırmızı · N mavi · PE sarı-yeşil · XT 16–18</v>
      </c>
    </row>
    <row r="359" spans="1:9" x14ac:dyDescent="0.35">
      <c r="A359" s="4" t="str">
        <f>DEVRE!A70</f>
        <v>P06</v>
      </c>
      <c r="B359" s="4" t="s">
        <v>696</v>
      </c>
      <c r="C359" s="4">
        <v>8</v>
      </c>
      <c r="D359" s="4" t="str">
        <f>DEVRE!B70&amp;" · "&amp;DEVRE!E70</f>
        <v>Гр7 · Рабочее освещение 0,45 кВт</v>
      </c>
      <c r="E359" s="4">
        <f>DEVRE!V70</f>
        <v>2.5</v>
      </c>
      <c r="F359" s="4">
        <f>DEVRE!Z70</f>
        <v>3.5999999999999996</v>
      </c>
      <c r="G359" s="4" t="s">
        <v>697</v>
      </c>
      <c r="I359" s="4" t="str">
        <f>DEVRE!AL70&amp;IF(DEVRE!AF70="",""," · XT "&amp;DEVRE!AF70&amp;"–"&amp;DEVRE!AG70)</f>
        <v>sarı · N mavi · PE sarı-yeşil · XT 19–21</v>
      </c>
    </row>
    <row r="360" spans="1:9" x14ac:dyDescent="0.35">
      <c r="A360" s="4" t="str">
        <f>DEVRE!A71</f>
        <v>P06</v>
      </c>
      <c r="B360" s="4" t="s">
        <v>696</v>
      </c>
      <c r="C360" s="4">
        <v>9</v>
      </c>
      <c r="D360" s="4" t="str">
        <f>DEVRE!B71&amp;" · "&amp;DEVRE!E71</f>
        <v>Гр8 · Рабочее освещение 0,432 кВт</v>
      </c>
      <c r="E360" s="4">
        <f>DEVRE!V71</f>
        <v>2.5</v>
      </c>
      <c r="F360" s="4">
        <f>DEVRE!Z71</f>
        <v>3.5999999999999996</v>
      </c>
      <c r="G360" s="4" t="s">
        <v>697</v>
      </c>
      <c r="I360" s="4" t="str">
        <f>DEVRE!AL71&amp;IF(DEVRE!AF71="",""," · XT "&amp;DEVRE!AF71&amp;"–"&amp;DEVRE!AG71)</f>
        <v>yeşil · N mavi · PE sarı-yeşil · XT 22–24</v>
      </c>
    </row>
    <row r="361" spans="1:9" x14ac:dyDescent="0.35">
      <c r="A361" s="4" t="str">
        <f>DEVRE!A72</f>
        <v>P06</v>
      </c>
      <c r="B361" s="4" t="s">
        <v>696</v>
      </c>
      <c r="C361" s="4">
        <v>10</v>
      </c>
      <c r="D361" s="4" t="str">
        <f>DEVRE!B72&amp;" · "&amp;DEVRE!E72</f>
        <v>Гр9 · Рабочее освещение 0,504 кВт</v>
      </c>
      <c r="E361" s="4">
        <f>DEVRE!V72</f>
        <v>2.5</v>
      </c>
      <c r="F361" s="4">
        <f>DEVRE!Z72</f>
        <v>3.5999999999999996</v>
      </c>
      <c r="G361" s="4" t="s">
        <v>697</v>
      </c>
      <c r="I361" s="4" t="str">
        <f>DEVRE!AL72&amp;IF(DEVRE!AF72="",""," · XT "&amp;DEVRE!AF72&amp;"–"&amp;DEVRE!AG72)</f>
        <v>kırmızı · N mavi · PE sarı-yeşil · XT 25–27</v>
      </c>
    </row>
    <row r="362" spans="1:9" x14ac:dyDescent="0.35">
      <c r="A362" s="4" t="str">
        <f>DEVRE!A73</f>
        <v>P06</v>
      </c>
      <c r="B362" s="4" t="s">
        <v>696</v>
      </c>
      <c r="C362" s="4">
        <v>11</v>
      </c>
      <c r="D362" s="4" t="str">
        <f>DEVRE!B73&amp;" · "&amp;DEVRE!E73</f>
        <v>Гр10 · Рабочее освещение 0,513 кВт</v>
      </c>
      <c r="E362" s="4">
        <f>DEVRE!V73</f>
        <v>2.5</v>
      </c>
      <c r="F362" s="4">
        <f>DEVRE!Z73</f>
        <v>3.5999999999999996</v>
      </c>
      <c r="G362" s="4" t="s">
        <v>697</v>
      </c>
      <c r="I362" s="4" t="str">
        <f>DEVRE!AL73&amp;IF(DEVRE!AF73="",""," · XT "&amp;DEVRE!AF73&amp;"–"&amp;DEVRE!AG73)</f>
        <v>sarı · N mavi · PE sarı-yeşil · XT 28–30</v>
      </c>
    </row>
    <row r="363" spans="1:9" x14ac:dyDescent="0.35">
      <c r="A363" s="4" t="str">
        <f>DEVRE!A74</f>
        <v>P06</v>
      </c>
      <c r="B363" s="4" t="s">
        <v>696</v>
      </c>
      <c r="C363" s="4">
        <v>12</v>
      </c>
      <c r="D363" s="4" t="str">
        <f>DEVRE!B74&amp;" · "&amp;DEVRE!E74</f>
        <v>Гр11 · Рабочее освещение 0,576 кВт</v>
      </c>
      <c r="E363" s="4">
        <f>DEVRE!V74</f>
        <v>2.5</v>
      </c>
      <c r="F363" s="4">
        <f>DEVRE!Z74</f>
        <v>3.5999999999999996</v>
      </c>
      <c r="G363" s="4" t="s">
        <v>697</v>
      </c>
      <c r="I363" s="4" t="str">
        <f>DEVRE!AL74&amp;IF(DEVRE!AF74="",""," · XT "&amp;DEVRE!AF74&amp;"–"&amp;DEVRE!AG74)</f>
        <v>yeşil · N mavi · PE sarı-yeşil · XT 31–33</v>
      </c>
    </row>
    <row r="364" spans="1:9" x14ac:dyDescent="0.35">
      <c r="A364" s="4" t="str">
        <f>DEVRE!A75</f>
        <v>P06</v>
      </c>
      <c r="B364" s="4" t="s">
        <v>696</v>
      </c>
      <c r="C364" s="4">
        <v>13</v>
      </c>
      <c r="D364" s="4" t="str">
        <f>DEVRE!B75&amp;" · "&amp;DEVRE!E75</f>
        <v>Гр12 · Розеточная группа 0,8 кВт</v>
      </c>
      <c r="E364" s="4">
        <f>DEVRE!V75</f>
        <v>2.5</v>
      </c>
      <c r="F364" s="4">
        <f>DEVRE!Z75</f>
        <v>3.5999999999999996</v>
      </c>
      <c r="G364" s="4" t="s">
        <v>697</v>
      </c>
      <c r="I364" s="4" t="str">
        <f>DEVRE!AL75&amp;IF(DEVRE!AF75="",""," · XT "&amp;DEVRE!AF75&amp;"–"&amp;DEVRE!AG75)</f>
        <v>kırmızı · N mavi · PE sarı-yeşil · XT 34–36</v>
      </c>
    </row>
    <row r="365" spans="1:9" x14ac:dyDescent="0.35">
      <c r="A365" s="4" t="str">
        <f>DEVRE!A76</f>
        <v>P06</v>
      </c>
      <c r="B365" s="4" t="s">
        <v>696</v>
      </c>
      <c r="C365" s="4">
        <v>14</v>
      </c>
      <c r="D365" s="4" t="str">
        <f>DEVRE!B76&amp;" · "&amp;DEVRE!E76</f>
        <v>Гр13 · Розеточная группа 1,0 кВт</v>
      </c>
      <c r="E365" s="4">
        <f>DEVRE!V76</f>
        <v>2.5</v>
      </c>
      <c r="F365" s="4">
        <f>DEVRE!Z76</f>
        <v>3.5999999999999996</v>
      </c>
      <c r="G365" s="4" t="s">
        <v>697</v>
      </c>
      <c r="I365" s="4" t="str">
        <f>DEVRE!AL76&amp;IF(DEVRE!AF76="",""," · XT "&amp;DEVRE!AF76&amp;"–"&amp;DEVRE!AG76)</f>
        <v>sarı · N mavi · PE sarı-yeşil · XT 37–39</v>
      </c>
    </row>
    <row r="366" spans="1:9" x14ac:dyDescent="0.35">
      <c r="A366" s="4" t="str">
        <f>DEVRE!A77</f>
        <v>P06</v>
      </c>
      <c r="B366" s="4" t="s">
        <v>696</v>
      </c>
      <c r="C366" s="4">
        <v>15</v>
      </c>
      <c r="D366" s="4" t="str">
        <f>DEVRE!B77&amp;" · "&amp;DEVRE!E77</f>
        <v>Гр14 · Розеточная группа 0,9 кВт</v>
      </c>
      <c r="E366" s="4">
        <f>DEVRE!V77</f>
        <v>2.5</v>
      </c>
      <c r="F366" s="4">
        <f>DEVRE!Z77</f>
        <v>3.5999999999999996</v>
      </c>
      <c r="G366" s="4" t="s">
        <v>697</v>
      </c>
      <c r="I366" s="4" t="str">
        <f>DEVRE!AL77&amp;IF(DEVRE!AF77="",""," · XT "&amp;DEVRE!AF77&amp;"–"&amp;DEVRE!AG77)</f>
        <v>yeşil · N mavi · PE sarı-yeşil · XT 40–42</v>
      </c>
    </row>
    <row r="367" spans="1:9" x14ac:dyDescent="0.35">
      <c r="A367" s="4" t="str">
        <f>DEVRE!A78</f>
        <v>P06</v>
      </c>
      <c r="B367" s="4" t="s">
        <v>696</v>
      </c>
      <c r="C367" s="4">
        <v>16</v>
      </c>
      <c r="D367" s="4" t="str">
        <f>DEVRE!B78&amp;" · "&amp;DEVRE!E78</f>
        <v>Гр15 · Розеточная группа 1,0 кВт</v>
      </c>
      <c r="E367" s="4">
        <f>DEVRE!V78</f>
        <v>2.5</v>
      </c>
      <c r="F367" s="4">
        <f>DEVRE!Z78</f>
        <v>3.5999999999999996</v>
      </c>
      <c r="G367" s="4" t="s">
        <v>697</v>
      </c>
      <c r="I367" s="4" t="str">
        <f>DEVRE!AL78&amp;IF(DEVRE!AF78="",""," · XT "&amp;DEVRE!AF78&amp;"–"&amp;DEVRE!AG78)</f>
        <v>kırmızı · N mavi · PE sarı-yeşil · XT 43–45</v>
      </c>
    </row>
    <row r="368" spans="1:9" x14ac:dyDescent="0.35">
      <c r="A368" s="4" t="str">
        <f>DEVRE!A79</f>
        <v>P06</v>
      </c>
      <c r="B368" s="4" t="s">
        <v>696</v>
      </c>
      <c r="C368" s="4">
        <v>17</v>
      </c>
      <c r="D368" s="4" t="str">
        <f>DEVRE!B79&amp;" · "&amp;DEVRE!E79</f>
        <v>Гр16 · Розеточная группа 0,7 кВт</v>
      </c>
      <c r="E368" s="4">
        <f>DEVRE!V79</f>
        <v>2.5</v>
      </c>
      <c r="F368" s="4">
        <f>DEVRE!Z79</f>
        <v>3.5999999999999996</v>
      </c>
      <c r="G368" s="4" t="s">
        <v>697</v>
      </c>
      <c r="I368" s="4" t="str">
        <f>DEVRE!AL79&amp;IF(DEVRE!AF79="",""," · XT "&amp;DEVRE!AF79&amp;"–"&amp;DEVRE!AG79)</f>
        <v>sarı · N mavi · PE sarı-yeşil · XT 46–48</v>
      </c>
    </row>
    <row r="369" spans="1:9" x14ac:dyDescent="0.35">
      <c r="A369" s="4" t="str">
        <f>DEVRE!A80</f>
        <v>P06</v>
      </c>
      <c r="B369" s="4" t="s">
        <v>696</v>
      </c>
      <c r="C369" s="4">
        <v>18</v>
      </c>
      <c r="D369" s="4" t="str">
        <f>DEVRE!B80&amp;" · "&amp;DEVRE!E80</f>
        <v>Резерв · Резерв</v>
      </c>
      <c r="E369" s="4" t="str">
        <f>DEVRE!V80</f>
        <v/>
      </c>
      <c r="F369" s="4" t="str">
        <f>DEVRE!Z80</f>
        <v/>
      </c>
      <c r="G369" s="4" t="s">
        <v>697</v>
      </c>
      <c r="I369" s="4" t="str">
        <f>DEVRE!AL80&amp;IF(DEVRE!AF80="",""," · XT "&amp;DEVRE!AF80&amp;"–"&amp;DEVRE!AG80)</f>
        <v/>
      </c>
    </row>
    <row r="370" spans="1:9" x14ac:dyDescent="0.35">
      <c r="A370" s="4" t="s">
        <v>180</v>
      </c>
      <c r="B370" s="4" t="s">
        <v>698</v>
      </c>
      <c r="C370" s="4">
        <v>19</v>
      </c>
      <c r="D370" s="4" t="s">
        <v>699</v>
      </c>
      <c r="F370" s="4">
        <f>SUMIFS(DEVRE!$AI:$AI,DEVRE!$A:$A,$A370)</f>
        <v>0</v>
      </c>
      <c r="G370" s="4" t="s">
        <v>700</v>
      </c>
      <c r="I370" s="4" t="s">
        <v>701</v>
      </c>
    </row>
    <row r="371" spans="1:9" x14ac:dyDescent="0.35">
      <c r="A371" s="4" t="s">
        <v>180</v>
      </c>
      <c r="B371" s="4" t="s">
        <v>698</v>
      </c>
      <c r="C371" s="4">
        <v>20</v>
      </c>
      <c r="D371" s="4" t="s">
        <v>702</v>
      </c>
      <c r="F371" s="4">
        <f>SUMIFS(DEVRE!$AJ:$AJ,DEVRE!$A:$A,$A371)</f>
        <v>119</v>
      </c>
      <c r="G371" s="4" t="s">
        <v>700</v>
      </c>
      <c r="I371" s="4" t="s">
        <v>703</v>
      </c>
    </row>
    <row r="372" spans="1:9" x14ac:dyDescent="0.35">
      <c r="A372" s="4" t="s">
        <v>180</v>
      </c>
      <c r="B372" s="4" t="s">
        <v>698</v>
      </c>
      <c r="C372" s="4">
        <v>21</v>
      </c>
      <c r="D372" s="4" t="s">
        <v>704</v>
      </c>
      <c r="F372" s="4">
        <f>SUMIFS(DEVRE!$AK:$AK,DEVRE!$A:$A,$A372)</f>
        <v>102</v>
      </c>
      <c r="G372" s="4" t="s">
        <v>700</v>
      </c>
      <c r="I372" s="4" t="s">
        <v>705</v>
      </c>
    </row>
    <row r="373" spans="1:9" x14ac:dyDescent="0.35">
      <c r="A373" s="4" t="s">
        <v>180</v>
      </c>
      <c r="B373" s="4" t="s">
        <v>698</v>
      </c>
      <c r="C373" s="4">
        <v>22</v>
      </c>
      <c r="D373" s="4" t="s">
        <v>706</v>
      </c>
      <c r="F373" s="4" t="str">
        <f>IF(PANO!R10="","",2*(PANO!R10+1))</f>
        <v/>
      </c>
      <c r="G373" s="4" t="s">
        <v>700</v>
      </c>
      <c r="I373" s="4" t="s">
        <v>707</v>
      </c>
    </row>
    <row r="374" spans="1:9" x14ac:dyDescent="0.35">
      <c r="A374" s="4" t="s">
        <v>180</v>
      </c>
      <c r="B374" s="4" t="s">
        <v>698</v>
      </c>
      <c r="C374" s="4">
        <v>23</v>
      </c>
      <c r="D374" s="4" t="s">
        <v>708</v>
      </c>
      <c r="E374" s="4" t="s">
        <v>709</v>
      </c>
      <c r="F374" s="4">
        <v>1</v>
      </c>
      <c r="G374" s="4" t="s">
        <v>700</v>
      </c>
      <c r="I374" s="4" t="s">
        <v>710</v>
      </c>
    </row>
    <row r="375" spans="1:9" x14ac:dyDescent="0.35">
      <c r="A375" s="4" t="s">
        <v>180</v>
      </c>
      <c r="B375" s="4" t="s">
        <v>711</v>
      </c>
      <c r="C375" s="4">
        <v>1</v>
      </c>
      <c r="D375" s="4" t="s">
        <v>712</v>
      </c>
      <c r="I375" s="4" t="s">
        <v>713</v>
      </c>
    </row>
    <row r="376" spans="1:9" x14ac:dyDescent="0.35">
      <c r="A376" s="4" t="s">
        <v>180</v>
      </c>
      <c r="B376" s="4" t="s">
        <v>711</v>
      </c>
      <c r="C376" s="4">
        <v>2</v>
      </c>
      <c r="D376" s="4" t="s">
        <v>714</v>
      </c>
      <c r="I376" s="4" t="s">
        <v>713</v>
      </c>
    </row>
    <row r="377" spans="1:9" x14ac:dyDescent="0.35">
      <c r="A377" s="4" t="s">
        <v>180</v>
      </c>
      <c r="B377" s="4" t="s">
        <v>711</v>
      </c>
      <c r="C377" s="4">
        <v>3</v>
      </c>
      <c r="D377" s="4" t="s">
        <v>715</v>
      </c>
      <c r="I377" s="4" t="s">
        <v>713</v>
      </c>
    </row>
    <row r="378" spans="1:9" x14ac:dyDescent="0.35">
      <c r="A378" s="4" t="s">
        <v>180</v>
      </c>
      <c r="B378" s="4" t="s">
        <v>711</v>
      </c>
      <c r="C378" s="4">
        <v>4</v>
      </c>
      <c r="D378" s="4" t="s">
        <v>716</v>
      </c>
      <c r="I378" s="4" t="s">
        <v>713</v>
      </c>
    </row>
    <row r="379" spans="1:9" x14ac:dyDescent="0.35">
      <c r="A379" s="4" t="s">
        <v>180</v>
      </c>
      <c r="B379" s="4" t="s">
        <v>711</v>
      </c>
      <c r="C379" s="4">
        <v>5</v>
      </c>
      <c r="D379" s="4" t="s">
        <v>717</v>
      </c>
      <c r="I379" s="4" t="s">
        <v>713</v>
      </c>
    </row>
    <row r="380" spans="1:9" x14ac:dyDescent="0.35">
      <c r="A380" s="4" t="s">
        <v>180</v>
      </c>
      <c r="B380" s="4" t="s">
        <v>711</v>
      </c>
      <c r="C380" s="4">
        <v>6</v>
      </c>
      <c r="D380" s="4" t="s">
        <v>718</v>
      </c>
      <c r="I380" s="4" t="s">
        <v>713</v>
      </c>
    </row>
    <row r="381" spans="1:9" x14ac:dyDescent="0.35">
      <c r="A381" s="4" t="s">
        <v>180</v>
      </c>
      <c r="B381" s="4" t="s">
        <v>711</v>
      </c>
      <c r="C381" s="4">
        <v>7</v>
      </c>
      <c r="D381" s="4" t="s">
        <v>719</v>
      </c>
      <c r="I381" s="4" t="s">
        <v>713</v>
      </c>
    </row>
    <row r="382" spans="1:9" x14ac:dyDescent="0.35">
      <c r="A382" s="4" t="s">
        <v>180</v>
      </c>
      <c r="B382" s="4" t="s">
        <v>711</v>
      </c>
      <c r="C382" s="4">
        <v>8</v>
      </c>
      <c r="D382" s="4" t="s">
        <v>720</v>
      </c>
      <c r="I382" s="4" t="s">
        <v>713</v>
      </c>
    </row>
    <row r="383" spans="1:9" x14ac:dyDescent="0.35">
      <c r="A383" s="4" t="s">
        <v>180</v>
      </c>
      <c r="B383" s="4" t="s">
        <v>711</v>
      </c>
      <c r="C383" s="4">
        <v>9</v>
      </c>
      <c r="D383" s="4" t="s">
        <v>721</v>
      </c>
      <c r="I383" s="4" t="s">
        <v>713</v>
      </c>
    </row>
    <row r="384" spans="1:9" x14ac:dyDescent="0.35">
      <c r="A384" s="4" t="str">
        <f>BOM!Q126</f>
        <v>P07</v>
      </c>
      <c r="B384" s="4" t="s">
        <v>689</v>
      </c>
      <c r="C384" s="4">
        <v>1</v>
      </c>
      <c r="D384" s="4" t="str">
        <f>BOM!E126</f>
        <v>Щит мет.ЩРв-18 (275х450х120)</v>
      </c>
      <c r="E384" s="4" t="str">
        <f>IF(BOM!X126="",BOM!D126,BOM!X126)</f>
        <v>713-09054</v>
      </c>
      <c r="F384" s="4">
        <f>BOM!I126</f>
        <v>1</v>
      </c>
      <c r="G384" s="4" t="str">
        <f>BOM!J126</f>
        <v>шт</v>
      </c>
      <c r="I384" s="4" t="s">
        <v>690</v>
      </c>
    </row>
    <row r="385" spans="1:9" x14ac:dyDescent="0.35">
      <c r="A385" s="4" t="str">
        <f>BOM!Q127</f>
        <v>P07</v>
      </c>
      <c r="B385" s="4" t="s">
        <v>689</v>
      </c>
      <c r="C385" s="4">
        <v>2</v>
      </c>
      <c r="D385" s="4" t="str">
        <f>BOM!E127</f>
        <v>Выключатель нагрузки 3P 25A</v>
      </c>
      <c r="E385" s="4" t="str">
        <f>IF(BOM!X127="",BOM!D127,BOM!X127)</f>
        <v/>
      </c>
      <c r="F385" s="4">
        <f>BOM!I127</f>
        <v>1</v>
      </c>
      <c r="G385" s="4" t="str">
        <f>BOM!J127</f>
        <v>шт</v>
      </c>
      <c r="I385" s="4" t="s">
        <v>690</v>
      </c>
    </row>
    <row r="386" spans="1:9" x14ac:dyDescent="0.35">
      <c r="A386" s="4" t="str">
        <f>BOM!Q128</f>
        <v>P07</v>
      </c>
      <c r="B386" s="4" t="s">
        <v>689</v>
      </c>
      <c r="C386" s="4">
        <v>3</v>
      </c>
      <c r="D386" s="4" t="str">
        <f>BOM!E128</f>
        <v>Авт. выкл. NXB-63S 1P 16А 4.5kA х-ка B</v>
      </c>
      <c r="E386" s="4" t="str">
        <f>IF(BOM!X128="",BOM!D128,BOM!X128)</f>
        <v>296697</v>
      </c>
      <c r="F386" s="4">
        <f>BOM!I128</f>
        <v>5</v>
      </c>
      <c r="G386" s="4" t="str">
        <f>BOM!J128</f>
        <v>шт</v>
      </c>
      <c r="I386" s="4" t="s">
        <v>690</v>
      </c>
    </row>
    <row r="387" spans="1:9" x14ac:dyDescent="0.35">
      <c r="A387" s="4" t="str">
        <f>BOM!Q129</f>
        <v>P07</v>
      </c>
      <c r="B387" s="4" t="s">
        <v>689</v>
      </c>
      <c r="C387" s="4">
        <v>4</v>
      </c>
      <c r="D387" s="4" t="str">
        <f>BOM!E129</f>
        <v>Шина соединительная типа FORK 1P, 63А, L=1000мм</v>
      </c>
      <c r="E387" s="4" t="str">
        <f>IF(BOM!X129="",BOM!D129,BOM!X129)</f>
        <v>1P</v>
      </c>
      <c r="F387" s="4">
        <f>BOM!I129</f>
        <v>1</v>
      </c>
      <c r="G387" s="4" t="str">
        <f>BOM!J129</f>
        <v>шт</v>
      </c>
      <c r="I387" s="4" t="s">
        <v>690</v>
      </c>
    </row>
    <row r="388" spans="1:9" x14ac:dyDescent="0.35">
      <c r="A388" s="4" t="str">
        <f>BOM!Q130</f>
        <v>P07</v>
      </c>
      <c r="B388" s="4" t="s">
        <v>689</v>
      </c>
      <c r="C388" s="4">
        <v>5</v>
      </c>
      <c r="D388" s="4" t="str">
        <f>BOM!E130</f>
        <v/>
      </c>
      <c r="E388" s="4" t="str">
        <f>IF(BOM!X130="",BOM!D130,BOM!X130)</f>
        <v/>
      </c>
      <c r="F388" s="4">
        <f>BOM!I130</f>
        <v>2</v>
      </c>
      <c r="G388" s="4" t="str">
        <f>BOM!J130</f>
        <v/>
      </c>
      <c r="I388" s="4" t="s">
        <v>690</v>
      </c>
    </row>
    <row r="389" spans="1:9" x14ac:dyDescent="0.35">
      <c r="A389" s="4" t="str">
        <f>BOM!Q131</f>
        <v>P07</v>
      </c>
      <c r="B389" s="4" t="s">
        <v>689</v>
      </c>
      <c r="C389" s="4">
        <v>6</v>
      </c>
      <c r="D389" s="4" t="str">
        <f>BOM!E131</f>
        <v/>
      </c>
      <c r="E389" s="4" t="str">
        <f>IF(BOM!X131="",BOM!D131,BOM!X131)</f>
        <v/>
      </c>
      <c r="F389" s="4" t="str">
        <f>BOM!I131</f>
        <v/>
      </c>
      <c r="G389" s="4" t="str">
        <f>BOM!J131</f>
        <v/>
      </c>
      <c r="I389" s="4" t="s">
        <v>690</v>
      </c>
    </row>
    <row r="390" spans="1:9" x14ac:dyDescent="0.35">
      <c r="A390" s="4" t="str">
        <f>BOM!Q132</f>
        <v>P07</v>
      </c>
      <c r="B390" s="4" t="s">
        <v>689</v>
      </c>
      <c r="C390" s="4">
        <v>7</v>
      </c>
      <c r="D390" s="4" t="str">
        <f>BOM!E132</f>
        <v>Лоток перфорированный 50х 50х3000 (0,7 мм) EKT</v>
      </c>
      <c r="E390" s="4" t="str">
        <f>IF(BOM!X132="",BOM!D132,BOM!X132)</f>
        <v>280300704</v>
      </c>
      <c r="F390" s="4" t="str">
        <f>BOM!I132</f>
        <v/>
      </c>
      <c r="G390" s="4" t="str">
        <f>BOM!J132</f>
        <v>м</v>
      </c>
      <c r="I390" s="4" t="s">
        <v>690</v>
      </c>
    </row>
    <row r="391" spans="1:9" x14ac:dyDescent="0.35">
      <c r="A391" s="4" t="str">
        <f>BOM!Q133</f>
        <v>P07</v>
      </c>
      <c r="B391" s="4" t="s">
        <v>689</v>
      </c>
      <c r="C391" s="4">
        <v>8</v>
      </c>
      <c r="D391" s="4" t="str">
        <f>BOM!E133</f>
        <v>Крышка на лоток осн. 50мм. (0,6 мм) EKT</v>
      </c>
      <c r="E391" s="4" t="str">
        <f>IF(BOM!X133="",BOM!D133,BOM!X133)</f>
        <v>280300718</v>
      </c>
      <c r="F391" s="4" t="str">
        <f>BOM!I133</f>
        <v/>
      </c>
      <c r="G391" s="4" t="str">
        <f>BOM!J133</f>
        <v>м</v>
      </c>
      <c r="I391" s="4" t="s">
        <v>690</v>
      </c>
    </row>
    <row r="392" spans="1:9" x14ac:dyDescent="0.35">
      <c r="A392" s="4" t="str">
        <f>BOM!Q134</f>
        <v>P07</v>
      </c>
      <c r="B392" s="4" t="s">
        <v>689</v>
      </c>
      <c r="C392" s="4">
        <v>9</v>
      </c>
      <c r="D392" s="4" t="str">
        <f>BOM!E134</f>
        <v>HARMONY ПВ3 1 2,5</v>
      </c>
      <c r="E392" s="4">
        <f>IF(BOM!X134="",BOM!D134,BOM!X134)</f>
        <v>2.5</v>
      </c>
      <c r="F392" s="4">
        <f>BOM!I134</f>
        <v>15.8</v>
      </c>
      <c r="G392" s="4" t="str">
        <f>BOM!J134</f>
        <v>м</v>
      </c>
      <c r="I392" s="4" t="s">
        <v>690</v>
      </c>
    </row>
    <row r="393" spans="1:9" x14ac:dyDescent="0.35">
      <c r="A393" s="4" t="str">
        <f>BOM!Q135</f>
        <v>P07</v>
      </c>
      <c r="B393" s="4" t="s">
        <v>689</v>
      </c>
      <c r="C393" s="4">
        <v>10</v>
      </c>
      <c r="D393" s="4" t="str">
        <f>BOM!E135</f>
        <v>HARMONY ПВ3 1 4</v>
      </c>
      <c r="E393" s="4">
        <f>IF(BOM!X135="",BOM!D135,BOM!X135)</f>
        <v>4</v>
      </c>
      <c r="F393" s="4">
        <f>BOM!I135</f>
        <v>4</v>
      </c>
      <c r="G393" s="4" t="str">
        <f>BOM!J135</f>
        <v>м</v>
      </c>
      <c r="I393" s="4" t="s">
        <v>690</v>
      </c>
    </row>
    <row r="394" spans="1:9" x14ac:dyDescent="0.35">
      <c r="A394" s="4" t="str">
        <f>BOM!Q136</f>
        <v>P07</v>
      </c>
      <c r="B394" s="4" t="s">
        <v>689</v>
      </c>
      <c r="C394" s="4">
        <v>11</v>
      </c>
      <c r="D394" s="4" t="str">
        <f>BOM!E136</f>
        <v>ЗНИ 2.5мм ² (24А) серый IEK</v>
      </c>
      <c r="E394" s="4">
        <f>IF(BOM!X136="",BOM!D136,BOM!X136)</f>
        <v>2.5</v>
      </c>
      <c r="F394" s="4">
        <f>BOM!I136</f>
        <v>12</v>
      </c>
      <c r="G394" s="4" t="str">
        <f>BOM!J136</f>
        <v>шт</v>
      </c>
      <c r="I394" s="4" t="s">
        <v>690</v>
      </c>
    </row>
    <row r="395" spans="1:9" x14ac:dyDescent="0.35">
      <c r="A395" s="4" t="str">
        <f>BOM!Q137</f>
        <v>P07</v>
      </c>
      <c r="B395" s="4" t="s">
        <v>689</v>
      </c>
      <c r="C395" s="4">
        <v>12</v>
      </c>
      <c r="D395" s="4" t="str">
        <f>BOM!E137</f>
        <v>Зажим наборный ЗНИ - 4PEN 4мм2 (JXB-земля) IEK</v>
      </c>
      <c r="E395" s="4">
        <f>IF(BOM!X137="",BOM!D137,BOM!X137)</f>
        <v>2.5</v>
      </c>
      <c r="F395" s="4">
        <f>BOM!I137</f>
        <v>5</v>
      </c>
      <c r="G395" s="4" t="str">
        <f>BOM!J137</f>
        <v>шт</v>
      </c>
      <c r="I395" s="4" t="s">
        <v>690</v>
      </c>
    </row>
    <row r="396" spans="1:9" x14ac:dyDescent="0.35">
      <c r="A396" s="4" t="s">
        <v>186</v>
      </c>
      <c r="B396" s="4" t="s">
        <v>691</v>
      </c>
      <c r="C396" s="4">
        <v>1</v>
      </c>
      <c r="D396" s="4" t="s">
        <v>692</v>
      </c>
      <c r="E396" s="4" t="s">
        <v>188</v>
      </c>
      <c r="G396" s="4" t="s">
        <v>693</v>
      </c>
      <c r="H396" s="4">
        <f>SUMIFS(BOM!$T:$T,BOM!$Q:$Q,$A396,BOM!$R:$R,$E396)</f>
        <v>8</v>
      </c>
      <c r="I396" s="4" t="s">
        <v>694</v>
      </c>
    </row>
    <row r="397" spans="1:9" x14ac:dyDescent="0.35">
      <c r="A397" s="4" t="s">
        <v>186</v>
      </c>
      <c r="B397" s="4" t="s">
        <v>691</v>
      </c>
      <c r="C397" s="4">
        <v>2</v>
      </c>
      <c r="D397" s="4" t="s">
        <v>692</v>
      </c>
      <c r="E397" s="4" t="s">
        <v>107</v>
      </c>
      <c r="G397" s="4" t="s">
        <v>693</v>
      </c>
      <c r="H397" s="4">
        <f>SUMIFS(BOM!$T:$T,BOM!$Q:$Q,$A397,BOM!$R:$R,$E397)</f>
        <v>0</v>
      </c>
      <c r="I397" s="4" t="s">
        <v>694</v>
      </c>
    </row>
    <row r="398" spans="1:9" x14ac:dyDescent="0.35">
      <c r="A398" s="4" t="s">
        <v>186</v>
      </c>
      <c r="B398" s="4" t="s">
        <v>691</v>
      </c>
      <c r="C398" s="4">
        <v>3</v>
      </c>
      <c r="D398" s="4" t="s">
        <v>692</v>
      </c>
      <c r="E398" s="4" t="s">
        <v>33</v>
      </c>
      <c r="G398" s="4" t="s">
        <v>693</v>
      </c>
      <c r="H398" s="4">
        <f>SUMIFS(BOM!$T:$T,BOM!$Q:$Q,$A398,BOM!$R:$R,$E398)</f>
        <v>0</v>
      </c>
      <c r="I398" s="4" t="s">
        <v>694</v>
      </c>
    </row>
    <row r="399" spans="1:9" x14ac:dyDescent="0.35">
      <c r="A399" s="4" t="s">
        <v>186</v>
      </c>
      <c r="B399" s="4" t="s">
        <v>691</v>
      </c>
      <c r="C399" s="4">
        <v>4</v>
      </c>
      <c r="D399" s="4" t="s">
        <v>692</v>
      </c>
      <c r="E399" s="4" t="s">
        <v>79</v>
      </c>
      <c r="G399" s="4" t="s">
        <v>693</v>
      </c>
      <c r="H399" s="4">
        <f>SUMIFS(BOM!$T:$T,BOM!$Q:$Q,$A399,BOM!$R:$R,$E399)</f>
        <v>0</v>
      </c>
      <c r="I399" s="4" t="s">
        <v>694</v>
      </c>
    </row>
    <row r="400" spans="1:9" x14ac:dyDescent="0.35">
      <c r="A400" s="4" t="s">
        <v>186</v>
      </c>
      <c r="B400" s="4" t="s">
        <v>691</v>
      </c>
      <c r="C400" s="4">
        <v>5</v>
      </c>
      <c r="D400" s="4" t="s">
        <v>692</v>
      </c>
      <c r="E400" s="4" t="s">
        <v>83</v>
      </c>
      <c r="G400" s="4" t="s">
        <v>693</v>
      </c>
      <c r="H400" s="4">
        <f>SUMIFS(BOM!$T:$T,BOM!$Q:$Q,$A400,BOM!$R:$R,$E400)</f>
        <v>0</v>
      </c>
      <c r="I400" s="4" t="s">
        <v>694</v>
      </c>
    </row>
    <row r="401" spans="1:9" x14ac:dyDescent="0.35">
      <c r="A401" s="4" t="s">
        <v>186</v>
      </c>
      <c r="B401" s="4" t="s">
        <v>691</v>
      </c>
      <c r="C401" s="4">
        <v>6</v>
      </c>
      <c r="D401" s="4" t="s">
        <v>692</v>
      </c>
      <c r="E401" s="4" t="s">
        <v>111</v>
      </c>
      <c r="G401" s="4" t="s">
        <v>693</v>
      </c>
      <c r="H401" s="4">
        <f>SUMIFS(BOM!$T:$T,BOM!$Q:$Q,$A401,BOM!$R:$R,$E401)</f>
        <v>45</v>
      </c>
      <c r="I401" s="4" t="s">
        <v>694</v>
      </c>
    </row>
    <row r="402" spans="1:9" x14ac:dyDescent="0.35">
      <c r="A402" s="4" t="s">
        <v>186</v>
      </c>
      <c r="B402" s="4" t="s">
        <v>691</v>
      </c>
      <c r="C402" s="4">
        <v>7</v>
      </c>
      <c r="D402" s="4" t="s">
        <v>692</v>
      </c>
      <c r="E402" s="4" t="s">
        <v>38</v>
      </c>
      <c r="G402" s="4" t="s">
        <v>693</v>
      </c>
      <c r="H402" s="4">
        <f>SUMIFS(BOM!$T:$T,BOM!$Q:$Q,$A402,BOM!$R:$R,$E402)</f>
        <v>0</v>
      </c>
      <c r="I402" s="4" t="s">
        <v>694</v>
      </c>
    </row>
    <row r="403" spans="1:9" x14ac:dyDescent="0.35">
      <c r="A403" s="4" t="s">
        <v>186</v>
      </c>
      <c r="B403" s="4" t="s">
        <v>691</v>
      </c>
      <c r="C403" s="4">
        <v>8</v>
      </c>
      <c r="D403" s="4" t="s">
        <v>692</v>
      </c>
      <c r="E403" s="4" t="s">
        <v>43</v>
      </c>
      <c r="G403" s="4" t="s">
        <v>693</v>
      </c>
      <c r="H403" s="4">
        <f>SUMIFS(BOM!$T:$T,BOM!$Q:$Q,$A403,BOM!$R:$R,$E403)</f>
        <v>0</v>
      </c>
      <c r="I403" s="4" t="s">
        <v>694</v>
      </c>
    </row>
    <row r="404" spans="1:9" x14ac:dyDescent="0.35">
      <c r="A404" s="4" t="s">
        <v>186</v>
      </c>
      <c r="B404" s="4" t="s">
        <v>691</v>
      </c>
      <c r="C404" s="4">
        <v>9</v>
      </c>
      <c r="D404" s="4" t="s">
        <v>692</v>
      </c>
      <c r="E404" s="4" t="s">
        <v>165</v>
      </c>
      <c r="G404" s="4" t="s">
        <v>693</v>
      </c>
      <c r="H404" s="4">
        <f>SUMIFS(BOM!$T:$T,BOM!$Q:$Q,$A404,BOM!$R:$R,$E404)</f>
        <v>15</v>
      </c>
      <c r="I404" s="4" t="s">
        <v>694</v>
      </c>
    </row>
    <row r="405" spans="1:9" x14ac:dyDescent="0.35">
      <c r="A405" s="4" t="s">
        <v>186</v>
      </c>
      <c r="B405" s="4" t="s">
        <v>691</v>
      </c>
      <c r="C405" s="4">
        <v>10</v>
      </c>
      <c r="D405" s="4" t="s">
        <v>692</v>
      </c>
      <c r="E405" s="4" t="s">
        <v>50</v>
      </c>
      <c r="G405" s="4" t="s">
        <v>693</v>
      </c>
      <c r="H405" s="4">
        <f>SUMIFS(BOM!$T:$T,BOM!$Q:$Q,$A405,BOM!$R:$R,$E405)</f>
        <v>0</v>
      </c>
      <c r="I405" s="4" t="s">
        <v>694</v>
      </c>
    </row>
    <row r="406" spans="1:9" x14ac:dyDescent="0.35">
      <c r="A406" s="4" t="s">
        <v>186</v>
      </c>
      <c r="B406" s="4" t="s">
        <v>691</v>
      </c>
      <c r="C406" s="4">
        <v>11</v>
      </c>
      <c r="D406" s="4" t="s">
        <v>692</v>
      </c>
      <c r="E406" s="4" t="s">
        <v>150</v>
      </c>
      <c r="G406" s="4" t="s">
        <v>693</v>
      </c>
      <c r="H406" s="4">
        <f>SUMIFS(BOM!$T:$T,BOM!$Q:$Q,$A406,BOM!$R:$R,$E406)</f>
        <v>0</v>
      </c>
      <c r="I406" s="4" t="s">
        <v>694</v>
      </c>
    </row>
    <row r="407" spans="1:9" x14ac:dyDescent="0.35">
      <c r="A407" s="4" t="s">
        <v>186</v>
      </c>
      <c r="B407" s="4" t="s">
        <v>691</v>
      </c>
      <c r="C407" s="4">
        <v>12</v>
      </c>
      <c r="D407" s="4" t="s">
        <v>692</v>
      </c>
      <c r="E407" s="4" t="s">
        <v>170</v>
      </c>
      <c r="G407" s="4" t="s">
        <v>693</v>
      </c>
      <c r="H407" s="4">
        <f>SUMIFS(BOM!$T:$T,BOM!$Q:$Q,$A407,BOM!$R:$R,$E407)</f>
        <v>0</v>
      </c>
      <c r="I407" s="4" t="s">
        <v>694</v>
      </c>
    </row>
    <row r="408" spans="1:9" x14ac:dyDescent="0.35">
      <c r="A408" s="4" t="s">
        <v>186</v>
      </c>
      <c r="B408" s="4" t="s">
        <v>691</v>
      </c>
      <c r="C408" s="4">
        <v>13</v>
      </c>
      <c r="D408" s="4" t="s">
        <v>692</v>
      </c>
      <c r="E408" s="4" t="s">
        <v>123</v>
      </c>
      <c r="G408" s="4" t="s">
        <v>693</v>
      </c>
      <c r="H408" s="4">
        <f>SUMIFS(BOM!$T:$T,BOM!$Q:$Q,$A408,BOM!$R:$R,$E408)</f>
        <v>10</v>
      </c>
      <c r="I408" s="4" t="s">
        <v>694</v>
      </c>
    </row>
    <row r="409" spans="1:9" x14ac:dyDescent="0.35">
      <c r="A409" s="4" t="s">
        <v>186</v>
      </c>
      <c r="B409" s="4" t="s">
        <v>691</v>
      </c>
      <c r="C409" s="4">
        <v>14</v>
      </c>
      <c r="D409" s="4" t="s">
        <v>692</v>
      </c>
      <c r="E409" s="4" t="s">
        <v>59</v>
      </c>
      <c r="G409" s="4" t="s">
        <v>693</v>
      </c>
      <c r="H409" s="4">
        <f>SUMIFS(BOM!$T:$T,BOM!$Q:$Q,$A409,BOM!$R:$R,$E409)</f>
        <v>0</v>
      </c>
      <c r="I409" s="4" t="s">
        <v>694</v>
      </c>
    </row>
    <row r="410" spans="1:9" x14ac:dyDescent="0.35">
      <c r="A410" s="4" t="s">
        <v>186</v>
      </c>
      <c r="B410" s="4" t="s">
        <v>691</v>
      </c>
      <c r="C410" s="4">
        <v>15</v>
      </c>
      <c r="D410" s="4" t="s">
        <v>692</v>
      </c>
      <c r="E410" s="4" t="s">
        <v>66</v>
      </c>
      <c r="G410" s="4" t="s">
        <v>693</v>
      </c>
      <c r="H410" s="4">
        <f>SUMIFS(BOM!$T:$T,BOM!$Q:$Q,$A410,BOM!$R:$R,$E410)</f>
        <v>0</v>
      </c>
      <c r="I410" s="4" t="s">
        <v>694</v>
      </c>
    </row>
    <row r="411" spans="1:9" x14ac:dyDescent="0.35">
      <c r="A411" s="4" t="s">
        <v>186</v>
      </c>
      <c r="B411" s="4" t="s">
        <v>691</v>
      </c>
      <c r="C411" s="4">
        <v>16</v>
      </c>
      <c r="D411" s="4" t="s">
        <v>692</v>
      </c>
      <c r="E411" s="4" t="s">
        <v>70</v>
      </c>
      <c r="G411" s="4" t="s">
        <v>693</v>
      </c>
      <c r="H411" s="4">
        <f>SUMIFS(BOM!$T:$T,BOM!$Q:$Q,$A411,BOM!$R:$R,$E411)</f>
        <v>0</v>
      </c>
      <c r="I411" s="4" t="s">
        <v>694</v>
      </c>
    </row>
    <row r="412" spans="1:9" x14ac:dyDescent="0.35">
      <c r="A412" s="4" t="s">
        <v>186</v>
      </c>
      <c r="B412" s="4" t="s">
        <v>691</v>
      </c>
      <c r="C412" s="4">
        <v>17</v>
      </c>
      <c r="D412" s="4" t="s">
        <v>692</v>
      </c>
      <c r="E412" s="4" t="s">
        <v>62</v>
      </c>
      <c r="G412" s="4" t="s">
        <v>693</v>
      </c>
      <c r="H412" s="4">
        <f>SUMIFS(BOM!$T:$T,BOM!$Q:$Q,$A412,BOM!$R:$R,$E412)</f>
        <v>0</v>
      </c>
      <c r="I412" s="4" t="s">
        <v>694</v>
      </c>
    </row>
    <row r="413" spans="1:9" x14ac:dyDescent="0.35">
      <c r="A413" s="4" t="s">
        <v>186</v>
      </c>
      <c r="B413" s="4" t="s">
        <v>691</v>
      </c>
      <c r="C413" s="4">
        <v>18</v>
      </c>
      <c r="D413" s="4" t="s">
        <v>692</v>
      </c>
      <c r="E413" s="4" t="s">
        <v>90</v>
      </c>
      <c r="G413" s="4" t="s">
        <v>693</v>
      </c>
      <c r="H413" s="4">
        <f>SUMIFS(BOM!$T:$T,BOM!$Q:$Q,$A413,BOM!$R:$R,$E413)</f>
        <v>0</v>
      </c>
      <c r="I413" s="4" t="s">
        <v>694</v>
      </c>
    </row>
    <row r="414" spans="1:9" x14ac:dyDescent="0.35">
      <c r="A414" s="4" t="s">
        <v>186</v>
      </c>
      <c r="B414" s="4" t="s">
        <v>691</v>
      </c>
      <c r="C414" s="4">
        <v>19</v>
      </c>
      <c r="D414" s="4" t="s">
        <v>692</v>
      </c>
      <c r="E414" s="4" t="s">
        <v>136</v>
      </c>
      <c r="G414" s="4" t="s">
        <v>693</v>
      </c>
      <c r="H414" s="4">
        <f>SUMIFS(BOM!$T:$T,BOM!$Q:$Q,$A414,BOM!$R:$R,$E414)</f>
        <v>68</v>
      </c>
      <c r="I414" s="4" t="s">
        <v>694</v>
      </c>
    </row>
    <row r="415" spans="1:9" x14ac:dyDescent="0.35">
      <c r="A415" s="4" t="s">
        <v>186</v>
      </c>
      <c r="B415" s="4" t="s">
        <v>691</v>
      </c>
      <c r="C415" s="4">
        <v>20</v>
      </c>
      <c r="D415" s="4" t="s">
        <v>692</v>
      </c>
      <c r="E415" s="4" t="s">
        <v>695</v>
      </c>
      <c r="G415" s="4" t="s">
        <v>693</v>
      </c>
      <c r="H415" s="4">
        <f>SUMIFS(BOM!$T:$T,BOM!$Q:$Q,$A415,BOM!$R:$R,$E415)</f>
        <v>0</v>
      </c>
      <c r="I415" s="4" t="s">
        <v>694</v>
      </c>
    </row>
    <row r="416" spans="1:9" x14ac:dyDescent="0.35">
      <c r="A416" s="4" t="str">
        <f>DEVRE!A81</f>
        <v>P07</v>
      </c>
      <c r="B416" s="4" t="s">
        <v>696</v>
      </c>
      <c r="C416" s="4">
        <v>1</v>
      </c>
      <c r="D416" s="4" t="str">
        <f>DEVRE!B81&amp;" · "&amp;DEVRE!E81</f>
        <v>QS · Ввод от ВРУ (МАО-1)</v>
      </c>
      <c r="E416" s="4">
        <f>DEVRE!V81</f>
        <v>4</v>
      </c>
      <c r="F416" s="4">
        <f>DEVRE!Z81</f>
        <v>3.5999999999999996</v>
      </c>
      <c r="G416" s="4" t="s">
        <v>697</v>
      </c>
      <c r="I416" s="4" t="str">
        <f>DEVRE!AL81&amp;IF(DEVRE!AF81="",""," · XT "&amp;DEVRE!AF81&amp;"–"&amp;DEVRE!AG81)</f>
        <v>L1 sarı · L2 yeşil · L3 kırmızı · N mavi · PE sarı-yeşil</v>
      </c>
    </row>
    <row r="417" spans="1:9" x14ac:dyDescent="0.35">
      <c r="A417" s="4" t="str">
        <f>DEVRE!A82</f>
        <v>P07</v>
      </c>
      <c r="B417" s="4" t="s">
        <v>696</v>
      </c>
      <c r="C417" s="4">
        <v>2</v>
      </c>
      <c r="D417" s="4" t="str">
        <f>DEVRE!B82&amp;" · "&amp;DEVRE!E82</f>
        <v>Гр1А · Аварийное освещение 0,579 кВт</v>
      </c>
      <c r="E417" s="4">
        <f>DEVRE!V82</f>
        <v>2.5</v>
      </c>
      <c r="F417" s="4">
        <f>DEVRE!Z82</f>
        <v>3.5999999999999996</v>
      </c>
      <c r="G417" s="4" t="s">
        <v>697</v>
      </c>
      <c r="I417" s="4" t="str">
        <f>DEVRE!AL82&amp;IF(DEVRE!AF82="",""," · XT "&amp;DEVRE!AF82&amp;"–"&amp;DEVRE!AG82)</f>
        <v>sarı · N mavi · PE sarı-yeşil · XT 1–3</v>
      </c>
    </row>
    <row r="418" spans="1:9" x14ac:dyDescent="0.35">
      <c r="A418" s="4" t="str">
        <f>DEVRE!A83</f>
        <v>P07</v>
      </c>
      <c r="B418" s="4" t="s">
        <v>696</v>
      </c>
      <c r="C418" s="4">
        <v>3</v>
      </c>
      <c r="D418" s="4" t="str">
        <f>DEVRE!B83&amp;" · "&amp;DEVRE!E83</f>
        <v>Гр2А · Аварийное освещение 0,759 кВт</v>
      </c>
      <c r="E418" s="4">
        <f>DEVRE!V83</f>
        <v>2.5</v>
      </c>
      <c r="F418" s="4">
        <f>DEVRE!Z83</f>
        <v>3.5999999999999996</v>
      </c>
      <c r="G418" s="4" t="s">
        <v>697</v>
      </c>
      <c r="I418" s="4" t="str">
        <f>DEVRE!AL83&amp;IF(DEVRE!AF83="",""," · XT "&amp;DEVRE!AF83&amp;"–"&amp;DEVRE!AG83)</f>
        <v>yeşil · N mavi · PE sarı-yeşil · XT 4–6</v>
      </c>
    </row>
    <row r="419" spans="1:9" x14ac:dyDescent="0.35">
      <c r="A419" s="4" t="str">
        <f>DEVRE!A84</f>
        <v>P07</v>
      </c>
      <c r="B419" s="4" t="s">
        <v>696</v>
      </c>
      <c r="C419" s="4">
        <v>4</v>
      </c>
      <c r="D419" s="4" t="str">
        <f>DEVRE!B84&amp;" · "&amp;DEVRE!E84</f>
        <v>Гр3А · Аварийное освещение 0,558 кВт</v>
      </c>
      <c r="E419" s="4">
        <f>DEVRE!V84</f>
        <v>2.5</v>
      </c>
      <c r="F419" s="4">
        <f>DEVRE!Z84</f>
        <v>3.5999999999999996</v>
      </c>
      <c r="G419" s="4" t="s">
        <v>697</v>
      </c>
      <c r="I419" s="4" t="str">
        <f>DEVRE!AL84&amp;IF(DEVRE!AF84="",""," · XT "&amp;DEVRE!AF84&amp;"–"&amp;DEVRE!AG84)</f>
        <v>kırmızı · N mavi · PE sarı-yeşil · XT 7–9</v>
      </c>
    </row>
    <row r="420" spans="1:9" x14ac:dyDescent="0.35">
      <c r="A420" s="4" t="str">
        <f>DEVRE!A85</f>
        <v>P07</v>
      </c>
      <c r="B420" s="4" t="s">
        <v>696</v>
      </c>
      <c r="C420" s="4">
        <v>5</v>
      </c>
      <c r="D420" s="4" t="str">
        <f>DEVRE!B85&amp;" · "&amp;DEVRE!E85</f>
        <v>Гр4А · Аварийное освещение 0,601 кВт</v>
      </c>
      <c r="E420" s="4">
        <f>DEVRE!V85</f>
        <v>2.5</v>
      </c>
      <c r="F420" s="4">
        <f>DEVRE!Z85</f>
        <v>3.5999999999999996</v>
      </c>
      <c r="G420" s="4" t="s">
        <v>697</v>
      </c>
      <c r="I420" s="4" t="str">
        <f>DEVRE!AL85&amp;IF(DEVRE!AF85="",""," · XT "&amp;DEVRE!AF85&amp;"–"&amp;DEVRE!AG85)</f>
        <v>sarı · N mavi · PE sarı-yeşil · XT 10–12</v>
      </c>
    </row>
    <row r="421" spans="1:9" x14ac:dyDescent="0.35">
      <c r="A421" s="4" t="str">
        <f>DEVRE!A86</f>
        <v>P07</v>
      </c>
      <c r="B421" s="4" t="s">
        <v>696</v>
      </c>
      <c r="C421" s="4">
        <v>6</v>
      </c>
      <c r="D421" s="4" t="str">
        <f>DEVRE!B86&amp;" · "&amp;DEVRE!E86</f>
        <v>Резерв · Резерв</v>
      </c>
      <c r="E421" s="4" t="str">
        <f>DEVRE!V86</f>
        <v/>
      </c>
      <c r="F421" s="4" t="str">
        <f>DEVRE!Z86</f>
        <v/>
      </c>
      <c r="G421" s="4" t="s">
        <v>697</v>
      </c>
      <c r="I421" s="4" t="str">
        <f>DEVRE!AL86&amp;IF(DEVRE!AF86="",""," · XT "&amp;DEVRE!AF86&amp;"–"&amp;DEVRE!AG86)</f>
        <v/>
      </c>
    </row>
    <row r="422" spans="1:9" x14ac:dyDescent="0.35">
      <c r="A422" s="4" t="s">
        <v>186</v>
      </c>
      <c r="B422" s="4" t="s">
        <v>698</v>
      </c>
      <c r="C422" s="4">
        <v>7</v>
      </c>
      <c r="D422" s="4" t="s">
        <v>699</v>
      </c>
      <c r="F422" s="4">
        <f>SUMIFS(DEVRE!$AI:$AI,DEVRE!$A:$A,$A422)</f>
        <v>0</v>
      </c>
      <c r="G422" s="4" t="s">
        <v>700</v>
      </c>
      <c r="I422" s="4" t="s">
        <v>701</v>
      </c>
    </row>
    <row r="423" spans="1:9" x14ac:dyDescent="0.35">
      <c r="A423" s="4" t="s">
        <v>186</v>
      </c>
      <c r="B423" s="4" t="s">
        <v>698</v>
      </c>
      <c r="C423" s="4">
        <v>8</v>
      </c>
      <c r="D423" s="4" t="s">
        <v>702</v>
      </c>
      <c r="F423" s="4">
        <f>SUMIFS(DEVRE!$AJ:$AJ,DEVRE!$A:$A,$A423)</f>
        <v>35</v>
      </c>
      <c r="G423" s="4" t="s">
        <v>700</v>
      </c>
      <c r="I423" s="4" t="s">
        <v>703</v>
      </c>
    </row>
    <row r="424" spans="1:9" x14ac:dyDescent="0.35">
      <c r="A424" s="4" t="s">
        <v>186</v>
      </c>
      <c r="B424" s="4" t="s">
        <v>698</v>
      </c>
      <c r="C424" s="4">
        <v>9</v>
      </c>
      <c r="D424" s="4" t="s">
        <v>704</v>
      </c>
      <c r="F424" s="4">
        <f>SUMIFS(DEVRE!$AK:$AK,DEVRE!$A:$A,$A424)</f>
        <v>30</v>
      </c>
      <c r="G424" s="4" t="s">
        <v>700</v>
      </c>
      <c r="I424" s="4" t="s">
        <v>705</v>
      </c>
    </row>
    <row r="425" spans="1:9" x14ac:dyDescent="0.35">
      <c r="A425" s="4" t="s">
        <v>186</v>
      </c>
      <c r="B425" s="4" t="s">
        <v>698</v>
      </c>
      <c r="C425" s="4">
        <v>10</v>
      </c>
      <c r="D425" s="4" t="s">
        <v>706</v>
      </c>
      <c r="F425" s="4" t="str">
        <f>IF(PANO!R11="","",2*(PANO!R11+1))</f>
        <v/>
      </c>
      <c r="G425" s="4" t="s">
        <v>700</v>
      </c>
      <c r="I425" s="4" t="s">
        <v>707</v>
      </c>
    </row>
    <row r="426" spans="1:9" x14ac:dyDescent="0.35">
      <c r="A426" s="4" t="s">
        <v>186</v>
      </c>
      <c r="B426" s="4" t="s">
        <v>698</v>
      </c>
      <c r="C426" s="4">
        <v>11</v>
      </c>
      <c r="D426" s="4" t="s">
        <v>708</v>
      </c>
      <c r="E426" s="4" t="s">
        <v>709</v>
      </c>
      <c r="F426" s="4">
        <v>1</v>
      </c>
      <c r="G426" s="4" t="s">
        <v>700</v>
      </c>
      <c r="I426" s="4" t="s">
        <v>710</v>
      </c>
    </row>
    <row r="427" spans="1:9" x14ac:dyDescent="0.35">
      <c r="A427" s="4" t="s">
        <v>186</v>
      </c>
      <c r="B427" s="4" t="s">
        <v>711</v>
      </c>
      <c r="C427" s="4">
        <v>1</v>
      </c>
      <c r="D427" s="4" t="s">
        <v>712</v>
      </c>
      <c r="I427" s="4" t="s">
        <v>713</v>
      </c>
    </row>
    <row r="428" spans="1:9" x14ac:dyDescent="0.35">
      <c r="A428" s="4" t="s">
        <v>186</v>
      </c>
      <c r="B428" s="4" t="s">
        <v>711</v>
      </c>
      <c r="C428" s="4">
        <v>2</v>
      </c>
      <c r="D428" s="4" t="s">
        <v>714</v>
      </c>
      <c r="I428" s="4" t="s">
        <v>713</v>
      </c>
    </row>
    <row r="429" spans="1:9" x14ac:dyDescent="0.35">
      <c r="A429" s="4" t="s">
        <v>186</v>
      </c>
      <c r="B429" s="4" t="s">
        <v>711</v>
      </c>
      <c r="C429" s="4">
        <v>3</v>
      </c>
      <c r="D429" s="4" t="s">
        <v>715</v>
      </c>
      <c r="I429" s="4" t="s">
        <v>713</v>
      </c>
    </row>
    <row r="430" spans="1:9" x14ac:dyDescent="0.35">
      <c r="A430" s="4" t="s">
        <v>186</v>
      </c>
      <c r="B430" s="4" t="s">
        <v>711</v>
      </c>
      <c r="C430" s="4">
        <v>4</v>
      </c>
      <c r="D430" s="4" t="s">
        <v>716</v>
      </c>
      <c r="I430" s="4" t="s">
        <v>713</v>
      </c>
    </row>
    <row r="431" spans="1:9" x14ac:dyDescent="0.35">
      <c r="A431" s="4" t="s">
        <v>186</v>
      </c>
      <c r="B431" s="4" t="s">
        <v>711</v>
      </c>
      <c r="C431" s="4">
        <v>5</v>
      </c>
      <c r="D431" s="4" t="s">
        <v>717</v>
      </c>
      <c r="I431" s="4" t="s">
        <v>713</v>
      </c>
    </row>
    <row r="432" spans="1:9" x14ac:dyDescent="0.35">
      <c r="A432" s="4" t="s">
        <v>186</v>
      </c>
      <c r="B432" s="4" t="s">
        <v>711</v>
      </c>
      <c r="C432" s="4">
        <v>6</v>
      </c>
      <c r="D432" s="4" t="s">
        <v>718</v>
      </c>
      <c r="I432" s="4" t="s">
        <v>713</v>
      </c>
    </row>
    <row r="433" spans="1:9" x14ac:dyDescent="0.35">
      <c r="A433" s="4" t="s">
        <v>186</v>
      </c>
      <c r="B433" s="4" t="s">
        <v>711</v>
      </c>
      <c r="C433" s="4">
        <v>7</v>
      </c>
      <c r="D433" s="4" t="s">
        <v>719</v>
      </c>
      <c r="I433" s="4" t="s">
        <v>713</v>
      </c>
    </row>
    <row r="434" spans="1:9" x14ac:dyDescent="0.35">
      <c r="A434" s="4" t="s">
        <v>186</v>
      </c>
      <c r="B434" s="4" t="s">
        <v>711</v>
      </c>
      <c r="C434" s="4">
        <v>8</v>
      </c>
      <c r="D434" s="4" t="s">
        <v>720</v>
      </c>
      <c r="I434" s="4" t="s">
        <v>713</v>
      </c>
    </row>
    <row r="435" spans="1:9" x14ac:dyDescent="0.35">
      <c r="A435" s="4" t="s">
        <v>186</v>
      </c>
      <c r="B435" s="4" t="s">
        <v>711</v>
      </c>
      <c r="C435" s="4">
        <v>9</v>
      </c>
      <c r="D435" s="4" t="s">
        <v>721</v>
      </c>
      <c r="I435" s="4" t="s">
        <v>713</v>
      </c>
    </row>
  </sheetData>
  <autoFilter ref="A1:J435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8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2" max="2" width="26" customWidth="1"/>
    <col min="4" max="4" width="48" customWidth="1"/>
  </cols>
  <sheetData>
    <row r="1" spans="1:38" x14ac:dyDescent="0.35">
      <c r="A1" s="1" t="s">
        <v>193</v>
      </c>
      <c r="B1" s="1" t="s">
        <v>267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726</v>
      </c>
      <c r="H1" s="1" t="s">
        <v>727</v>
      </c>
      <c r="I1" s="1" t="s">
        <v>728</v>
      </c>
      <c r="J1" s="1" t="s">
        <v>729</v>
      </c>
      <c r="K1" s="1" t="s">
        <v>730</v>
      </c>
      <c r="L1" s="1" t="s">
        <v>731</v>
      </c>
      <c r="M1" s="1" t="s">
        <v>732</v>
      </c>
      <c r="N1" s="1" t="s">
        <v>733</v>
      </c>
      <c r="O1" s="1" t="s">
        <v>14</v>
      </c>
      <c r="P1" s="1" t="s">
        <v>12</v>
      </c>
      <c r="Q1" s="1" t="s">
        <v>734</v>
      </c>
      <c r="R1" s="1" t="s">
        <v>13</v>
      </c>
      <c r="S1" s="1" t="s">
        <v>735</v>
      </c>
      <c r="T1" s="1" t="s">
        <v>372</v>
      </c>
      <c r="U1" s="1" t="s">
        <v>356</v>
      </c>
      <c r="V1" s="1" t="s">
        <v>355</v>
      </c>
      <c r="W1" s="1" t="s">
        <v>736</v>
      </c>
      <c r="X1" s="1" t="s">
        <v>737</v>
      </c>
      <c r="Y1" s="1" t="s">
        <v>738</v>
      </c>
      <c r="Z1" s="1" t="s">
        <v>739</v>
      </c>
      <c r="AA1" s="1" t="s">
        <v>740</v>
      </c>
      <c r="AB1" s="1" t="s">
        <v>741</v>
      </c>
      <c r="AC1" s="1" t="s">
        <v>282</v>
      </c>
      <c r="AD1" s="1" t="s">
        <v>742</v>
      </c>
      <c r="AE1" s="1" t="s">
        <v>379</v>
      </c>
      <c r="AF1" s="1" t="s">
        <v>743</v>
      </c>
      <c r="AG1" s="1" t="s">
        <v>357</v>
      </c>
      <c r="AH1" s="1" t="s">
        <v>744</v>
      </c>
      <c r="AI1" s="1" t="s">
        <v>745</v>
      </c>
      <c r="AJ1" s="1" t="s">
        <v>746</v>
      </c>
      <c r="AK1" s="1" t="s">
        <v>747</v>
      </c>
      <c r="AL1" s="1" t="s">
        <v>748</v>
      </c>
    </row>
    <row r="2" spans="1:38" x14ac:dyDescent="0.35">
      <c r="A2" s="4">
        <f t="shared" ref="A2:A33" si="0">ROW()-1</f>
        <v>1</v>
      </c>
      <c r="B2" s="4" t="s">
        <v>37</v>
      </c>
      <c r="C2" s="4" t="s">
        <v>749</v>
      </c>
      <c r="D2" s="4" t="s">
        <v>750</v>
      </c>
      <c r="E2" s="4" t="s">
        <v>35</v>
      </c>
      <c r="F2" s="12">
        <v>27656</v>
      </c>
      <c r="G2" s="4" t="s">
        <v>751</v>
      </c>
      <c r="H2" s="4" t="str">
        <f t="shared" ref="H2:H33" si="1">IF($G2="","",INDEX(MARKA_PARA,MATCH($G2,MARKA_AD,0)))</f>
        <v>KZT</v>
      </c>
      <c r="I2" s="4">
        <f t="shared" ref="I2:I33" si="2">IF($G2="","",INDEX(MARKA_KAT,MATCH($G2,MARKA_AD,0)))</f>
        <v>0.6</v>
      </c>
      <c r="J2" s="4">
        <f t="shared" ref="J2:J33" si="3">IF($B2="","",IF(INDEX(MARKA_IZIN,MATCH($G2,MARKA_AD,0))="HAYIR","",IF(INDEX(YAS_DURUM,MATCH($O2,YAS_KOD,0))="YASAK","",IF(INDEX(MARKA_TIP,MATCH($G2,MARKA_AD,0))="METAL",$AA2*IF($G2="BAKIR-BARA",BAKIR_KG_KZT,ALUM_KG_KZT)*BARA_ISLEM_KAT,IF($F2="","",IF(INDEX(MARKA_TIP,MATCH($G2,MARKA_AD,0))="NET",$F2,$F2*$I2*INDEX(KUR_DEG,MATCH($H2,KUR_AD,0))))))))</f>
        <v>16593.599999999999</v>
      </c>
      <c r="K2" s="4" t="s">
        <v>700</v>
      </c>
      <c r="L2" s="4">
        <f>SUMIFS(BOM!$AA:$AA,BOM!$P:$P,$B2)</f>
        <v>2</v>
      </c>
      <c r="M2" s="4">
        <f t="shared" ref="M2:M33" si="4">IF($E2="шина",ROUNDUP($L2/BARA_BOY_M,0),$L2)</f>
        <v>2</v>
      </c>
      <c r="N2" s="4">
        <f>IF($J2="","",$J2*SUMIFS(BOM!$AA:$AA,BOM!$P:$P,$B2,BOM!$M:$M,"&lt;&gt;KAPSAM_DISI",BOM!$M:$M,"&lt;&gt;KONTROL"))</f>
        <v>33187.199999999997</v>
      </c>
      <c r="O2" s="4" t="s">
        <v>752</v>
      </c>
      <c r="P2" s="4" t="str">
        <f t="shared" ref="P2:P33" si="5">IF($B2="","",IF(INDEX(MARKA_GRUP,MATCH($G2,MARKA_AD,0))&lt;&gt;INDEX(MARKA_GRUP,MATCH($S2,MARKA_AD,0)),"KONTROL",IF($AL2="KISMI","KONTROL",IF(OR($C2="",$J2=""),"FIYAT_YOK",IF($Q2&lt;&gt;"",$Q2,IF(OR(INDEX(YAS_DURUM,MATCH($O2,YAS_KOD,0))="ESKI",INDEX(YAS_DURUM,MATCH($O2,YAS_KOD,0))="BILINMIYOR"),"FIYAT_ESKI","OK"))))))</f>
        <v>OK</v>
      </c>
      <c r="R2" s="4" t="s">
        <v>753</v>
      </c>
      <c r="S2" s="4" t="s">
        <v>751</v>
      </c>
      <c r="U2" s="5">
        <v>3</v>
      </c>
      <c r="V2" s="5">
        <v>125</v>
      </c>
      <c r="AD2" s="5" t="s">
        <v>754</v>
      </c>
      <c r="AE2" s="5" t="s">
        <v>125</v>
      </c>
      <c r="AG2" s="5">
        <v>36</v>
      </c>
      <c r="AL2" s="5" t="s">
        <v>755</v>
      </c>
    </row>
    <row r="3" spans="1:38" x14ac:dyDescent="0.35">
      <c r="A3" s="4">
        <f t="shared" si="0"/>
        <v>2</v>
      </c>
      <c r="B3" s="4" t="s">
        <v>49</v>
      </c>
      <c r="C3" s="4" t="s">
        <v>756</v>
      </c>
      <c r="D3" s="4" t="s">
        <v>757</v>
      </c>
      <c r="E3" s="4" t="s">
        <v>47</v>
      </c>
      <c r="F3" s="12">
        <v>11015</v>
      </c>
      <c r="G3" s="4" t="s">
        <v>751</v>
      </c>
      <c r="H3" s="4" t="str">
        <f t="shared" si="1"/>
        <v>KZT</v>
      </c>
      <c r="I3" s="4">
        <f t="shared" si="2"/>
        <v>0.6</v>
      </c>
      <c r="J3" s="4">
        <f t="shared" si="3"/>
        <v>6609</v>
      </c>
      <c r="K3" s="4" t="s">
        <v>700</v>
      </c>
      <c r="L3" s="4">
        <f>SUMIFS(BOM!$AA:$AA,BOM!$P:$P,$B3)</f>
        <v>1</v>
      </c>
      <c r="M3" s="4">
        <f t="shared" si="4"/>
        <v>1</v>
      </c>
      <c r="N3" s="4">
        <f>IF($J3="","",$J3*SUMIFS(BOM!$AA:$AA,BOM!$P:$P,$B3,BOM!$M:$M,"&lt;&gt;KAPSAM_DISI",BOM!$M:$M,"&lt;&gt;KONTROL"))</f>
        <v>6609</v>
      </c>
      <c r="O3" s="4" t="s">
        <v>752</v>
      </c>
      <c r="P3" s="4" t="str">
        <f t="shared" si="5"/>
        <v>OK</v>
      </c>
      <c r="R3" s="4" t="s">
        <v>758</v>
      </c>
      <c r="S3" s="4" t="s">
        <v>751</v>
      </c>
      <c r="T3" s="5">
        <v>3</v>
      </c>
      <c r="U3" s="5">
        <v>3</v>
      </c>
      <c r="V3" s="5">
        <v>100</v>
      </c>
      <c r="AD3" s="5" t="s">
        <v>759</v>
      </c>
      <c r="AE3" s="5" t="s">
        <v>125</v>
      </c>
      <c r="AF3" s="5" t="s">
        <v>760</v>
      </c>
      <c r="AG3" s="5">
        <v>10</v>
      </c>
      <c r="AL3" s="5" t="s">
        <v>755</v>
      </c>
    </row>
    <row r="4" spans="1:38" x14ac:dyDescent="0.35">
      <c r="A4" s="4">
        <f t="shared" si="0"/>
        <v>3</v>
      </c>
      <c r="B4" s="4" t="s">
        <v>61</v>
      </c>
      <c r="C4" s="4" t="s">
        <v>761</v>
      </c>
      <c r="D4" s="4" t="s">
        <v>762</v>
      </c>
      <c r="E4" s="4" t="s">
        <v>47</v>
      </c>
      <c r="F4" s="12">
        <v>1436</v>
      </c>
      <c r="G4" s="4" t="s">
        <v>751</v>
      </c>
      <c r="H4" s="4" t="str">
        <f t="shared" si="1"/>
        <v>KZT</v>
      </c>
      <c r="I4" s="4">
        <f t="shared" si="2"/>
        <v>0.6</v>
      </c>
      <c r="J4" s="4">
        <f t="shared" si="3"/>
        <v>861.6</v>
      </c>
      <c r="K4" s="4" t="s">
        <v>700</v>
      </c>
      <c r="L4" s="4">
        <f>SUMIFS(BOM!$AA:$AA,BOM!$P:$P,$B4)</f>
        <v>5</v>
      </c>
      <c r="M4" s="4">
        <f t="shared" si="4"/>
        <v>5</v>
      </c>
      <c r="N4" s="4">
        <f>IF($J4="","",$J4*SUMIFS(BOM!$AA:$AA,BOM!$P:$P,$B4,BOM!$M:$M,"&lt;&gt;KAPSAM_DISI",BOM!$M:$M,"&lt;&gt;KONTROL"))</f>
        <v>4308</v>
      </c>
      <c r="O4" s="4" t="s">
        <v>752</v>
      </c>
      <c r="P4" s="4" t="str">
        <f t="shared" si="5"/>
        <v>OK</v>
      </c>
      <c r="R4" s="4" t="s">
        <v>763</v>
      </c>
      <c r="S4" s="4" t="s">
        <v>751</v>
      </c>
      <c r="T4" s="5">
        <v>1</v>
      </c>
      <c r="U4" s="5">
        <v>1</v>
      </c>
      <c r="V4" s="5">
        <v>6</v>
      </c>
      <c r="AD4" s="5" t="s">
        <v>764</v>
      </c>
      <c r="AE4" s="5" t="s">
        <v>173</v>
      </c>
      <c r="AF4" s="5" t="s">
        <v>760</v>
      </c>
      <c r="AG4" s="5">
        <v>6</v>
      </c>
      <c r="AL4" s="5" t="s">
        <v>755</v>
      </c>
    </row>
    <row r="5" spans="1:38" x14ac:dyDescent="0.35">
      <c r="A5" s="4">
        <f t="shared" si="0"/>
        <v>4</v>
      </c>
      <c r="B5" s="4" t="s">
        <v>164</v>
      </c>
      <c r="C5" s="4" t="s">
        <v>765</v>
      </c>
      <c r="D5" s="4" t="s">
        <v>766</v>
      </c>
      <c r="E5" s="4" t="s">
        <v>47</v>
      </c>
      <c r="F5" s="12">
        <v>1362</v>
      </c>
      <c r="G5" s="4" t="s">
        <v>751</v>
      </c>
      <c r="H5" s="4" t="str">
        <f t="shared" si="1"/>
        <v>KZT</v>
      </c>
      <c r="I5" s="4">
        <f t="shared" si="2"/>
        <v>0.6</v>
      </c>
      <c r="J5" s="4">
        <f t="shared" si="3"/>
        <v>817.19999999999993</v>
      </c>
      <c r="K5" s="4" t="s">
        <v>700</v>
      </c>
      <c r="L5" s="4">
        <f>SUMIFS(BOM!$AA:$AA,BOM!$P:$P,$B5)</f>
        <v>2</v>
      </c>
      <c r="M5" s="4">
        <f t="shared" si="4"/>
        <v>2</v>
      </c>
      <c r="N5" s="4">
        <f>IF($J5="","",$J5*SUMIFS(BOM!$AA:$AA,BOM!$P:$P,$B5,BOM!$M:$M,"&lt;&gt;KAPSAM_DISI",BOM!$M:$M,"&lt;&gt;KONTROL"))</f>
        <v>1634.3999999999999</v>
      </c>
      <c r="O5" s="4" t="s">
        <v>752</v>
      </c>
      <c r="P5" s="4" t="str">
        <f t="shared" si="5"/>
        <v>OK</v>
      </c>
      <c r="R5" s="4" t="s">
        <v>767</v>
      </c>
      <c r="S5" s="4" t="s">
        <v>751</v>
      </c>
      <c r="T5" s="5">
        <v>1</v>
      </c>
      <c r="U5" s="5">
        <v>1</v>
      </c>
      <c r="V5" s="5">
        <v>10</v>
      </c>
      <c r="AD5" s="5" t="s">
        <v>764</v>
      </c>
      <c r="AE5" s="5" t="s">
        <v>173</v>
      </c>
      <c r="AF5" s="5" t="s">
        <v>760</v>
      </c>
      <c r="AG5" s="5">
        <v>6</v>
      </c>
      <c r="AL5" s="5" t="s">
        <v>755</v>
      </c>
    </row>
    <row r="6" spans="1:38" x14ac:dyDescent="0.35">
      <c r="A6" s="4">
        <f t="shared" si="0"/>
        <v>5</v>
      </c>
      <c r="B6" s="4" t="s">
        <v>167</v>
      </c>
      <c r="C6" s="4" t="s">
        <v>768</v>
      </c>
      <c r="D6" s="4" t="s">
        <v>769</v>
      </c>
      <c r="E6" s="4" t="s">
        <v>47</v>
      </c>
      <c r="F6" s="12">
        <v>1389</v>
      </c>
      <c r="G6" s="4" t="s">
        <v>751</v>
      </c>
      <c r="H6" s="4" t="str">
        <f t="shared" si="1"/>
        <v>KZT</v>
      </c>
      <c r="I6" s="4">
        <f t="shared" si="2"/>
        <v>0.6</v>
      </c>
      <c r="J6" s="4">
        <f t="shared" si="3"/>
        <v>833.4</v>
      </c>
      <c r="K6" s="4" t="s">
        <v>700</v>
      </c>
      <c r="L6" s="4">
        <f>SUMIFS(BOM!$AA:$AA,BOM!$P:$P,$B6)</f>
        <v>7</v>
      </c>
      <c r="M6" s="4">
        <f t="shared" si="4"/>
        <v>7</v>
      </c>
      <c r="N6" s="4">
        <f>IF($J6="","",$J6*SUMIFS(BOM!$AA:$AA,BOM!$P:$P,$B6,BOM!$M:$M,"&lt;&gt;KAPSAM_DISI",BOM!$M:$M,"&lt;&gt;KONTROL"))</f>
        <v>5833.8</v>
      </c>
      <c r="O6" s="4" t="s">
        <v>752</v>
      </c>
      <c r="P6" s="4" t="str">
        <f t="shared" si="5"/>
        <v>OK</v>
      </c>
      <c r="R6" s="4" t="s">
        <v>770</v>
      </c>
      <c r="S6" s="4" t="s">
        <v>751</v>
      </c>
      <c r="T6" s="5">
        <v>1</v>
      </c>
      <c r="U6" s="5">
        <v>1</v>
      </c>
      <c r="V6" s="5">
        <v>16</v>
      </c>
      <c r="AD6" s="5" t="s">
        <v>764</v>
      </c>
      <c r="AE6" s="5" t="s">
        <v>173</v>
      </c>
      <c r="AF6" s="5" t="s">
        <v>760</v>
      </c>
      <c r="AG6" s="5">
        <v>6</v>
      </c>
      <c r="AL6" s="5" t="s">
        <v>755</v>
      </c>
    </row>
    <row r="7" spans="1:38" x14ac:dyDescent="0.35">
      <c r="A7" s="4">
        <f t="shared" si="0"/>
        <v>6</v>
      </c>
      <c r="B7" s="4" t="s">
        <v>159</v>
      </c>
      <c r="C7" s="4" t="s">
        <v>771</v>
      </c>
      <c r="D7" s="4" t="s">
        <v>772</v>
      </c>
      <c r="E7" s="4" t="s">
        <v>47</v>
      </c>
      <c r="F7" s="12">
        <v>5878</v>
      </c>
      <c r="G7" s="4" t="s">
        <v>751</v>
      </c>
      <c r="H7" s="4" t="str">
        <f t="shared" si="1"/>
        <v>KZT</v>
      </c>
      <c r="I7" s="4">
        <f t="shared" si="2"/>
        <v>0.6</v>
      </c>
      <c r="J7" s="4">
        <f t="shared" si="3"/>
        <v>3526.7999999999997</v>
      </c>
      <c r="K7" s="4" t="s">
        <v>700</v>
      </c>
      <c r="L7" s="4">
        <f>SUMIFS(BOM!$AA:$AA,BOM!$P:$P,$B7)</f>
        <v>1</v>
      </c>
      <c r="M7" s="4">
        <f t="shared" si="4"/>
        <v>1</v>
      </c>
      <c r="N7" s="4">
        <f>IF($J7="","",$J7*SUMIFS(BOM!$AA:$AA,BOM!$P:$P,$B7,BOM!$M:$M,"&lt;&gt;KAPSAM_DISI",BOM!$M:$M,"&lt;&gt;KONTROL"))</f>
        <v>3526.7999999999997</v>
      </c>
      <c r="O7" s="4" t="s">
        <v>752</v>
      </c>
      <c r="P7" s="4" t="str">
        <f t="shared" si="5"/>
        <v>OK</v>
      </c>
      <c r="R7" s="4" t="s">
        <v>773</v>
      </c>
      <c r="S7" s="4" t="s">
        <v>751</v>
      </c>
      <c r="T7" s="5">
        <v>3</v>
      </c>
      <c r="U7" s="5">
        <v>3</v>
      </c>
      <c r="V7" s="5">
        <v>10</v>
      </c>
      <c r="AD7" s="5" t="s">
        <v>764</v>
      </c>
      <c r="AE7" s="5" t="s">
        <v>125</v>
      </c>
      <c r="AF7" s="5" t="s">
        <v>760</v>
      </c>
      <c r="AG7" s="5">
        <v>6</v>
      </c>
      <c r="AL7" s="5" t="s">
        <v>755</v>
      </c>
    </row>
    <row r="8" spans="1:38" x14ac:dyDescent="0.35">
      <c r="A8" s="4">
        <f t="shared" si="0"/>
        <v>7</v>
      </c>
      <c r="B8" s="4" t="s">
        <v>119</v>
      </c>
      <c r="C8" s="4" t="s">
        <v>774</v>
      </c>
      <c r="D8" s="4" t="s">
        <v>775</v>
      </c>
      <c r="E8" s="4" t="s">
        <v>47</v>
      </c>
      <c r="F8" s="12">
        <v>5334</v>
      </c>
      <c r="G8" s="4" t="s">
        <v>751</v>
      </c>
      <c r="H8" s="4" t="str">
        <f t="shared" si="1"/>
        <v>KZT</v>
      </c>
      <c r="I8" s="4">
        <f t="shared" si="2"/>
        <v>0.6</v>
      </c>
      <c r="J8" s="4">
        <f t="shared" si="3"/>
        <v>3200.4</v>
      </c>
      <c r="K8" s="4" t="s">
        <v>700</v>
      </c>
      <c r="L8" s="4">
        <f>SUMIFS(BOM!$AA:$AA,BOM!$P:$P,$B8)</f>
        <v>2</v>
      </c>
      <c r="M8" s="4">
        <f t="shared" si="4"/>
        <v>2</v>
      </c>
      <c r="N8" s="4">
        <f>IF($J8="","",$J8*SUMIFS(BOM!$AA:$AA,BOM!$P:$P,$B8,BOM!$M:$M,"&lt;&gt;KAPSAM_DISI",BOM!$M:$M,"&lt;&gt;KONTROL"))</f>
        <v>6400.8</v>
      </c>
      <c r="O8" s="4" t="s">
        <v>752</v>
      </c>
      <c r="P8" s="4" t="str">
        <f t="shared" si="5"/>
        <v>OK</v>
      </c>
      <c r="R8" s="4" t="s">
        <v>776</v>
      </c>
      <c r="S8" s="4" t="s">
        <v>751</v>
      </c>
      <c r="T8" s="5">
        <v>3</v>
      </c>
      <c r="U8" s="5">
        <v>3</v>
      </c>
      <c r="V8" s="5">
        <v>25</v>
      </c>
      <c r="AD8" s="5" t="s">
        <v>764</v>
      </c>
      <c r="AE8" s="5" t="s">
        <v>125</v>
      </c>
      <c r="AF8" s="5" t="s">
        <v>760</v>
      </c>
      <c r="AG8" s="5">
        <v>6</v>
      </c>
      <c r="AL8" s="5" t="s">
        <v>755</v>
      </c>
    </row>
    <row r="9" spans="1:38" x14ac:dyDescent="0.35">
      <c r="A9" s="4">
        <f t="shared" si="0"/>
        <v>8</v>
      </c>
      <c r="B9" s="4" t="s">
        <v>117</v>
      </c>
      <c r="C9" s="4" t="s">
        <v>777</v>
      </c>
      <c r="D9" s="4" t="s">
        <v>778</v>
      </c>
      <c r="E9" s="4" t="s">
        <v>47</v>
      </c>
      <c r="F9" s="12">
        <v>6060</v>
      </c>
      <c r="G9" s="4" t="s">
        <v>751</v>
      </c>
      <c r="H9" s="4" t="str">
        <f t="shared" si="1"/>
        <v>KZT</v>
      </c>
      <c r="I9" s="4">
        <f t="shared" si="2"/>
        <v>0.6</v>
      </c>
      <c r="J9" s="4">
        <f t="shared" si="3"/>
        <v>3636</v>
      </c>
      <c r="K9" s="4" t="s">
        <v>700</v>
      </c>
      <c r="L9" s="4">
        <f>SUMIFS(BOM!$AA:$AA,BOM!$P:$P,$B9)</f>
        <v>1</v>
      </c>
      <c r="M9" s="4">
        <f t="shared" si="4"/>
        <v>1</v>
      </c>
      <c r="N9" s="4">
        <f>IF($J9="","",$J9*SUMIFS(BOM!$AA:$AA,BOM!$P:$P,$B9,BOM!$M:$M,"&lt;&gt;KAPSAM_DISI",BOM!$M:$M,"&lt;&gt;KONTROL"))</f>
        <v>3636</v>
      </c>
      <c r="O9" s="4" t="s">
        <v>752</v>
      </c>
      <c r="P9" s="4" t="str">
        <f t="shared" si="5"/>
        <v>OK</v>
      </c>
      <c r="R9" s="4" t="s">
        <v>779</v>
      </c>
      <c r="S9" s="4" t="s">
        <v>751</v>
      </c>
      <c r="T9" s="5">
        <v>3</v>
      </c>
      <c r="U9" s="5">
        <v>3</v>
      </c>
      <c r="V9" s="5">
        <v>32</v>
      </c>
      <c r="AD9" s="5" t="s">
        <v>764</v>
      </c>
      <c r="AE9" s="5" t="s">
        <v>125</v>
      </c>
      <c r="AF9" s="5" t="s">
        <v>760</v>
      </c>
      <c r="AG9" s="5">
        <v>6</v>
      </c>
      <c r="AL9" s="5" t="s">
        <v>755</v>
      </c>
    </row>
    <row r="10" spans="1:38" x14ac:dyDescent="0.35">
      <c r="A10" s="4">
        <f t="shared" si="0"/>
        <v>9</v>
      </c>
      <c r="B10" s="4" t="s">
        <v>113</v>
      </c>
      <c r="C10" s="4" t="s">
        <v>780</v>
      </c>
      <c r="D10" s="4" t="s">
        <v>781</v>
      </c>
      <c r="E10" s="4" t="s">
        <v>47</v>
      </c>
      <c r="F10" s="12">
        <v>5647</v>
      </c>
      <c r="G10" s="4" t="s">
        <v>751</v>
      </c>
      <c r="H10" s="4" t="str">
        <f t="shared" si="1"/>
        <v>KZT</v>
      </c>
      <c r="I10" s="4">
        <f t="shared" si="2"/>
        <v>0.6</v>
      </c>
      <c r="J10" s="4">
        <f t="shared" si="3"/>
        <v>3388.2</v>
      </c>
      <c r="K10" s="4" t="s">
        <v>700</v>
      </c>
      <c r="L10" s="4">
        <f>SUMIFS(BOM!$AA:$AA,BOM!$P:$P,$B10)</f>
        <v>2</v>
      </c>
      <c r="M10" s="4">
        <f t="shared" si="4"/>
        <v>2</v>
      </c>
      <c r="N10" s="4">
        <f>IF($J10="","",$J10*SUMIFS(BOM!$AA:$AA,BOM!$P:$P,$B10,BOM!$M:$M,"&lt;&gt;KAPSAM_DISI",BOM!$M:$M,"&lt;&gt;KONTROL"))</f>
        <v>6776.4</v>
      </c>
      <c r="O10" s="4" t="s">
        <v>752</v>
      </c>
      <c r="P10" s="4" t="str">
        <f t="shared" si="5"/>
        <v>OK</v>
      </c>
      <c r="R10" s="4" t="s">
        <v>782</v>
      </c>
      <c r="S10" s="4" t="s">
        <v>751</v>
      </c>
      <c r="T10" s="5">
        <v>3</v>
      </c>
      <c r="U10" s="5">
        <v>3</v>
      </c>
      <c r="V10" s="5">
        <v>40</v>
      </c>
      <c r="AD10" s="5" t="s">
        <v>764</v>
      </c>
      <c r="AE10" s="5" t="s">
        <v>125</v>
      </c>
      <c r="AF10" s="5" t="s">
        <v>760</v>
      </c>
      <c r="AG10" s="5">
        <v>6</v>
      </c>
      <c r="AL10" s="5" t="s">
        <v>755</v>
      </c>
    </row>
    <row r="11" spans="1:38" x14ac:dyDescent="0.35">
      <c r="A11" s="4">
        <f t="shared" si="0"/>
        <v>10</v>
      </c>
      <c r="B11" s="4" t="s">
        <v>115</v>
      </c>
      <c r="C11" s="4" t="s">
        <v>783</v>
      </c>
      <c r="D11" s="4" t="s">
        <v>784</v>
      </c>
      <c r="E11" s="4" t="s">
        <v>47</v>
      </c>
      <c r="F11" s="12">
        <v>5719</v>
      </c>
      <c r="G11" s="4" t="s">
        <v>751</v>
      </c>
      <c r="H11" s="4" t="str">
        <f t="shared" si="1"/>
        <v>KZT</v>
      </c>
      <c r="I11" s="4">
        <f t="shared" si="2"/>
        <v>0.6</v>
      </c>
      <c r="J11" s="4">
        <f t="shared" si="3"/>
        <v>3431.4</v>
      </c>
      <c r="K11" s="4" t="s">
        <v>700</v>
      </c>
      <c r="L11" s="4">
        <f>SUMIFS(BOM!$AA:$AA,BOM!$P:$P,$B11)</f>
        <v>1</v>
      </c>
      <c r="M11" s="4">
        <f t="shared" si="4"/>
        <v>1</v>
      </c>
      <c r="N11" s="4">
        <f>IF($J11="","",$J11*SUMIFS(BOM!$AA:$AA,BOM!$P:$P,$B11,BOM!$M:$M,"&lt;&gt;KAPSAM_DISI",BOM!$M:$M,"&lt;&gt;KONTROL"))</f>
        <v>3431.4</v>
      </c>
      <c r="O11" s="4" t="s">
        <v>752</v>
      </c>
      <c r="P11" s="4" t="str">
        <f t="shared" si="5"/>
        <v>OK</v>
      </c>
      <c r="R11" s="4" t="s">
        <v>785</v>
      </c>
      <c r="S11" s="4" t="s">
        <v>751</v>
      </c>
      <c r="T11" s="5">
        <v>3</v>
      </c>
      <c r="U11" s="5">
        <v>3</v>
      </c>
      <c r="V11" s="5">
        <v>50</v>
      </c>
      <c r="AD11" s="5" t="s">
        <v>764</v>
      </c>
      <c r="AE11" s="5" t="s">
        <v>125</v>
      </c>
      <c r="AF11" s="5" t="s">
        <v>760</v>
      </c>
      <c r="AG11" s="5">
        <v>6</v>
      </c>
      <c r="AL11" s="5" t="s">
        <v>755</v>
      </c>
    </row>
    <row r="12" spans="1:38" x14ac:dyDescent="0.35">
      <c r="A12" s="4">
        <f t="shared" si="0"/>
        <v>11</v>
      </c>
      <c r="B12" s="4" t="s">
        <v>184</v>
      </c>
      <c r="C12" s="4" t="s">
        <v>786</v>
      </c>
      <c r="D12" s="4" t="s">
        <v>787</v>
      </c>
      <c r="E12" s="4" t="s">
        <v>47</v>
      </c>
      <c r="F12" s="12">
        <v>878</v>
      </c>
      <c r="G12" s="4" t="s">
        <v>751</v>
      </c>
      <c r="H12" s="4" t="str">
        <f t="shared" si="1"/>
        <v>KZT</v>
      </c>
      <c r="I12" s="4">
        <f t="shared" si="2"/>
        <v>0.6</v>
      </c>
      <c r="J12" s="4">
        <f t="shared" si="3"/>
        <v>526.79999999999995</v>
      </c>
      <c r="K12" s="4" t="s">
        <v>700</v>
      </c>
      <c r="L12" s="4">
        <f>SUMIFS(BOM!$AA:$AA,BOM!$P:$P,$B12)</f>
        <v>17</v>
      </c>
      <c r="M12" s="4">
        <f t="shared" si="4"/>
        <v>17</v>
      </c>
      <c r="N12" s="4">
        <f>IF($J12="","",$J12*SUMIFS(BOM!$AA:$AA,BOM!$P:$P,$B12,BOM!$M:$M,"&lt;&gt;KAPSAM_DISI",BOM!$M:$M,"&lt;&gt;KONTROL"))</f>
        <v>8955.5999999999985</v>
      </c>
      <c r="O12" s="4" t="s">
        <v>752</v>
      </c>
      <c r="P12" s="4" t="str">
        <f t="shared" si="5"/>
        <v>OK</v>
      </c>
      <c r="R12" s="4" t="s">
        <v>788</v>
      </c>
      <c r="S12" s="4" t="s">
        <v>751</v>
      </c>
      <c r="T12" s="5">
        <v>1</v>
      </c>
      <c r="U12" s="5">
        <v>1</v>
      </c>
      <c r="V12" s="5">
        <v>16</v>
      </c>
      <c r="AD12" s="5" t="s">
        <v>789</v>
      </c>
      <c r="AE12" s="5" t="s">
        <v>173</v>
      </c>
      <c r="AF12" s="5" t="s">
        <v>790</v>
      </c>
      <c r="AG12" s="5">
        <v>4.5</v>
      </c>
      <c r="AL12" s="5" t="s">
        <v>755</v>
      </c>
    </row>
    <row r="13" spans="1:38" x14ac:dyDescent="0.35">
      <c r="A13" s="4">
        <f t="shared" si="0"/>
        <v>12</v>
      </c>
      <c r="B13" s="4" t="s">
        <v>149</v>
      </c>
      <c r="C13" s="4" t="s">
        <v>791</v>
      </c>
      <c r="D13" s="4" t="s">
        <v>792</v>
      </c>
      <c r="E13" s="4" t="s">
        <v>147</v>
      </c>
      <c r="F13" s="12">
        <v>5934</v>
      </c>
      <c r="G13" s="4" t="s">
        <v>751</v>
      </c>
      <c r="H13" s="4" t="str">
        <f t="shared" si="1"/>
        <v>KZT</v>
      </c>
      <c r="I13" s="4">
        <f t="shared" si="2"/>
        <v>0.6</v>
      </c>
      <c r="J13" s="4">
        <f t="shared" si="3"/>
        <v>3560.4</v>
      </c>
      <c r="K13" s="4" t="s">
        <v>700</v>
      </c>
      <c r="L13" s="4">
        <f>SUMIFS(BOM!$AA:$AA,BOM!$P:$P,$B13)</f>
        <v>36</v>
      </c>
      <c r="M13" s="4">
        <f t="shared" si="4"/>
        <v>36</v>
      </c>
      <c r="N13" s="4">
        <f>IF($J13="","",$J13*SUMIFS(BOM!$AA:$AA,BOM!$P:$P,$B13,BOM!$M:$M,"&lt;&gt;KAPSAM_DISI",BOM!$M:$M,"&lt;&gt;KONTROL"))</f>
        <v>128174.40000000001</v>
      </c>
      <c r="O13" s="4" t="s">
        <v>752</v>
      </c>
      <c r="P13" s="4" t="str">
        <f t="shared" si="5"/>
        <v>OK</v>
      </c>
      <c r="R13" s="4" t="s">
        <v>793</v>
      </c>
      <c r="S13" s="4" t="s">
        <v>751</v>
      </c>
      <c r="T13" s="5">
        <v>2</v>
      </c>
      <c r="U13" s="5">
        <v>2</v>
      </c>
      <c r="V13" s="5">
        <v>16</v>
      </c>
      <c r="AD13" s="5" t="s">
        <v>794</v>
      </c>
      <c r="AE13" s="5" t="s">
        <v>153</v>
      </c>
      <c r="AF13" s="5" t="s">
        <v>760</v>
      </c>
      <c r="AG13" s="5">
        <v>6</v>
      </c>
      <c r="AH13" s="5">
        <v>30</v>
      </c>
      <c r="AI13" s="5" t="s">
        <v>795</v>
      </c>
      <c r="AL13" s="5" t="s">
        <v>755</v>
      </c>
    </row>
    <row r="14" spans="1:38" x14ac:dyDescent="0.35">
      <c r="A14" s="4">
        <f t="shared" si="0"/>
        <v>13</v>
      </c>
      <c r="B14" s="4" t="s">
        <v>169</v>
      </c>
      <c r="C14" s="4" t="s">
        <v>796</v>
      </c>
      <c r="D14" s="4" t="s">
        <v>797</v>
      </c>
      <c r="E14" s="4" t="s">
        <v>147</v>
      </c>
      <c r="F14" s="12">
        <v>11813</v>
      </c>
      <c r="G14" s="4" t="s">
        <v>751</v>
      </c>
      <c r="H14" s="4" t="str">
        <f t="shared" si="1"/>
        <v>KZT</v>
      </c>
      <c r="I14" s="4">
        <f t="shared" si="2"/>
        <v>0.6</v>
      </c>
      <c r="J14" s="4">
        <f t="shared" si="3"/>
        <v>7087.8</v>
      </c>
      <c r="K14" s="4" t="s">
        <v>700</v>
      </c>
      <c r="L14" s="4">
        <f>SUMIFS(BOM!$AA:$AA,BOM!$P:$P,$B14)</f>
        <v>1</v>
      </c>
      <c r="M14" s="4">
        <f t="shared" si="4"/>
        <v>1</v>
      </c>
      <c r="N14" s="4">
        <f>IF($J14="","",$J14*SUMIFS(BOM!$AA:$AA,BOM!$P:$P,$B14,BOM!$M:$M,"&lt;&gt;KAPSAM_DISI",BOM!$M:$M,"&lt;&gt;KONTROL"))</f>
        <v>7087.8</v>
      </c>
      <c r="O14" s="4" t="s">
        <v>752</v>
      </c>
      <c r="P14" s="4" t="str">
        <f t="shared" si="5"/>
        <v>OK</v>
      </c>
      <c r="R14" s="4" t="s">
        <v>798</v>
      </c>
      <c r="S14" s="4" t="s">
        <v>751</v>
      </c>
      <c r="T14" s="5">
        <v>4</v>
      </c>
      <c r="U14" s="5">
        <v>4</v>
      </c>
      <c r="V14" s="5">
        <v>40</v>
      </c>
      <c r="AD14" s="5" t="s">
        <v>794</v>
      </c>
      <c r="AE14" s="5" t="s">
        <v>799</v>
      </c>
      <c r="AF14" s="5" t="s">
        <v>760</v>
      </c>
      <c r="AG14" s="5">
        <v>6</v>
      </c>
      <c r="AH14" s="5">
        <v>30</v>
      </c>
      <c r="AI14" s="5" t="s">
        <v>795</v>
      </c>
      <c r="AL14" s="5" t="s">
        <v>755</v>
      </c>
    </row>
    <row r="15" spans="1:38" x14ac:dyDescent="0.35">
      <c r="A15" s="4">
        <f t="shared" si="0"/>
        <v>14</v>
      </c>
      <c r="B15" s="4" t="s">
        <v>146</v>
      </c>
      <c r="C15" s="4" t="s">
        <v>800</v>
      </c>
      <c r="D15" s="4" t="s">
        <v>801</v>
      </c>
      <c r="E15" s="4" t="s">
        <v>108</v>
      </c>
      <c r="F15" s="12">
        <v>4217</v>
      </c>
      <c r="G15" s="4" t="s">
        <v>751</v>
      </c>
      <c r="H15" s="4" t="str">
        <f t="shared" si="1"/>
        <v>KZT</v>
      </c>
      <c r="I15" s="4">
        <f t="shared" si="2"/>
        <v>0.6</v>
      </c>
      <c r="J15" s="4">
        <f t="shared" si="3"/>
        <v>2530.1999999999998</v>
      </c>
      <c r="K15" s="4" t="s">
        <v>700</v>
      </c>
      <c r="L15" s="4">
        <f>SUMIFS(BOM!$AA:$AA,BOM!$P:$P,$B15)</f>
        <v>3</v>
      </c>
      <c r="M15" s="4">
        <f t="shared" si="4"/>
        <v>3</v>
      </c>
      <c r="N15" s="4">
        <f>IF($J15="","",$J15*SUMIFS(BOM!$AA:$AA,BOM!$P:$P,$B15,BOM!$M:$M,"&lt;&gt;KAPSAM_DISI",BOM!$M:$M,"&lt;&gt;KONTROL"))</f>
        <v>7590.5999999999995</v>
      </c>
      <c r="O15" s="4" t="s">
        <v>752</v>
      </c>
      <c r="P15" s="4" t="str">
        <f t="shared" si="5"/>
        <v>OK</v>
      </c>
      <c r="R15" s="4" t="s">
        <v>802</v>
      </c>
      <c r="S15" s="4" t="s">
        <v>751</v>
      </c>
      <c r="T15" s="5">
        <v>3</v>
      </c>
      <c r="U15" s="5">
        <v>3</v>
      </c>
      <c r="V15" s="5">
        <v>63</v>
      </c>
      <c r="AD15" s="5" t="s">
        <v>803</v>
      </c>
      <c r="AE15" s="5" t="s">
        <v>125</v>
      </c>
      <c r="AL15" s="5" t="s">
        <v>755</v>
      </c>
    </row>
    <row r="16" spans="1:38" x14ac:dyDescent="0.35">
      <c r="A16" s="4">
        <f t="shared" si="0"/>
        <v>15</v>
      </c>
      <c r="B16" s="4" t="s">
        <v>110</v>
      </c>
      <c r="C16" s="4" t="s">
        <v>804</v>
      </c>
      <c r="D16" s="4" t="s">
        <v>805</v>
      </c>
      <c r="E16" s="4" t="s">
        <v>108</v>
      </c>
      <c r="F16" s="12">
        <v>4334</v>
      </c>
      <c r="G16" s="4" t="s">
        <v>751</v>
      </c>
      <c r="H16" s="4" t="str">
        <f t="shared" si="1"/>
        <v>KZT</v>
      </c>
      <c r="I16" s="4">
        <f t="shared" si="2"/>
        <v>0.6</v>
      </c>
      <c r="J16" s="4">
        <f t="shared" si="3"/>
        <v>2600.4</v>
      </c>
      <c r="K16" s="4" t="s">
        <v>700</v>
      </c>
      <c r="L16" s="4">
        <f>SUMIFS(BOM!$AA:$AA,BOM!$P:$P,$B16)</f>
        <v>1</v>
      </c>
      <c r="M16" s="4">
        <f t="shared" si="4"/>
        <v>1</v>
      </c>
      <c r="N16" s="4">
        <f>IF($J16="","",$J16*SUMIFS(BOM!$AA:$AA,BOM!$P:$P,$B16,BOM!$M:$M,"&lt;&gt;KAPSAM_DISI",BOM!$M:$M,"&lt;&gt;KONTROL"))</f>
        <v>2600.4</v>
      </c>
      <c r="O16" s="4" t="s">
        <v>752</v>
      </c>
      <c r="P16" s="4" t="str">
        <f t="shared" si="5"/>
        <v>OK</v>
      </c>
      <c r="R16" s="4" t="s">
        <v>806</v>
      </c>
      <c r="S16" s="4" t="s">
        <v>751</v>
      </c>
      <c r="T16" s="5">
        <v>3</v>
      </c>
      <c r="U16" s="5">
        <v>3</v>
      </c>
      <c r="V16" s="5">
        <v>100</v>
      </c>
      <c r="AD16" s="5" t="s">
        <v>803</v>
      </c>
      <c r="AE16" s="5" t="s">
        <v>125</v>
      </c>
      <c r="AL16" s="5" t="s">
        <v>755</v>
      </c>
    </row>
    <row r="17" spans="1:38" x14ac:dyDescent="0.35">
      <c r="A17" s="4">
        <f t="shared" si="0"/>
        <v>16</v>
      </c>
      <c r="B17" s="4" t="s">
        <v>53</v>
      </c>
      <c r="C17" s="4" t="s">
        <v>807</v>
      </c>
      <c r="D17" s="4" t="s">
        <v>808</v>
      </c>
      <c r="E17" s="4" t="s">
        <v>51</v>
      </c>
      <c r="F17" s="12">
        <v>3506</v>
      </c>
      <c r="G17" s="4" t="s">
        <v>751</v>
      </c>
      <c r="H17" s="4" t="str">
        <f t="shared" si="1"/>
        <v>KZT</v>
      </c>
      <c r="I17" s="4">
        <f t="shared" si="2"/>
        <v>0.6</v>
      </c>
      <c r="J17" s="4">
        <f t="shared" si="3"/>
        <v>2103.6</v>
      </c>
      <c r="K17" s="4" t="s">
        <v>700</v>
      </c>
      <c r="L17" s="4">
        <f>SUMIFS(BOM!$AA:$AA,BOM!$P:$P,$B17)</f>
        <v>1</v>
      </c>
      <c r="M17" s="4">
        <f t="shared" si="4"/>
        <v>1</v>
      </c>
      <c r="N17" s="4">
        <f>IF($J17="","",$J17*SUMIFS(BOM!$AA:$AA,BOM!$P:$P,$B17,BOM!$M:$M,"&lt;&gt;KAPSAM_DISI",BOM!$M:$M,"&lt;&gt;KONTROL"))</f>
        <v>2103.6</v>
      </c>
      <c r="O17" s="4" t="s">
        <v>752</v>
      </c>
      <c r="P17" s="4" t="str">
        <f t="shared" si="5"/>
        <v>OK</v>
      </c>
      <c r="R17" s="4" t="s">
        <v>809</v>
      </c>
      <c r="S17" s="4" t="s">
        <v>751</v>
      </c>
      <c r="AD17" s="5" t="s">
        <v>810</v>
      </c>
      <c r="AL17" s="5" t="s">
        <v>755</v>
      </c>
    </row>
    <row r="18" spans="1:38" x14ac:dyDescent="0.35">
      <c r="A18" s="4">
        <f t="shared" si="0"/>
        <v>17</v>
      </c>
      <c r="B18" s="4" t="s">
        <v>65</v>
      </c>
      <c r="C18" s="4" t="s">
        <v>811</v>
      </c>
      <c r="D18" s="4" t="s">
        <v>812</v>
      </c>
      <c r="E18" s="4" t="s">
        <v>63</v>
      </c>
      <c r="F18" s="12">
        <v>16808</v>
      </c>
      <c r="G18" s="4" t="s">
        <v>751</v>
      </c>
      <c r="H18" s="4" t="str">
        <f t="shared" si="1"/>
        <v>KZT</v>
      </c>
      <c r="I18" s="4">
        <f t="shared" si="2"/>
        <v>0.6</v>
      </c>
      <c r="J18" s="4">
        <f t="shared" si="3"/>
        <v>10084.799999999999</v>
      </c>
      <c r="K18" s="4" t="s">
        <v>700</v>
      </c>
      <c r="L18" s="4">
        <f>SUMIFS(BOM!$AA:$AA,BOM!$P:$P,$B18)</f>
        <v>2</v>
      </c>
      <c r="M18" s="4">
        <f t="shared" si="4"/>
        <v>2</v>
      </c>
      <c r="N18" s="4">
        <f>IF($J18="","",$J18*SUMIFS(BOM!$AA:$AA,BOM!$P:$P,$B18,BOM!$M:$M,"&lt;&gt;KAPSAM_DISI",BOM!$M:$M,"&lt;&gt;KONTROL"))</f>
        <v>20169.599999999999</v>
      </c>
      <c r="O18" s="4" t="s">
        <v>752</v>
      </c>
      <c r="P18" s="4" t="str">
        <f t="shared" si="5"/>
        <v>OK</v>
      </c>
      <c r="R18" s="4" t="s">
        <v>813</v>
      </c>
      <c r="S18" s="4" t="s">
        <v>751</v>
      </c>
      <c r="AD18" s="5" t="s">
        <v>814</v>
      </c>
      <c r="AJ18" s="5">
        <v>380</v>
      </c>
      <c r="AL18" s="5" t="s">
        <v>755</v>
      </c>
    </row>
    <row r="19" spans="1:38" x14ac:dyDescent="0.35">
      <c r="A19" s="4">
        <f t="shared" si="0"/>
        <v>18</v>
      </c>
      <c r="B19" s="4" t="s">
        <v>152</v>
      </c>
      <c r="C19" s="4" t="s">
        <v>815</v>
      </c>
      <c r="D19" s="4" t="s">
        <v>816</v>
      </c>
      <c r="E19" s="4" t="s">
        <v>120</v>
      </c>
      <c r="F19" s="12">
        <v>8819</v>
      </c>
      <c r="G19" s="4" t="s">
        <v>751</v>
      </c>
      <c r="H19" s="4" t="str">
        <f t="shared" si="1"/>
        <v>KZT</v>
      </c>
      <c r="I19" s="4">
        <f t="shared" si="2"/>
        <v>0.6</v>
      </c>
      <c r="J19" s="4">
        <f t="shared" si="3"/>
        <v>5291.4</v>
      </c>
      <c r="K19" s="4" t="s">
        <v>700</v>
      </c>
      <c r="L19" s="4">
        <f>SUMIFS(BOM!$AA:$AA,BOM!$P:$P,$B19)</f>
        <v>7</v>
      </c>
      <c r="M19" s="4">
        <f t="shared" si="4"/>
        <v>7</v>
      </c>
      <c r="N19" s="4">
        <f>IF($J19="","",$J19*SUMIFS(BOM!$AA:$AA,BOM!$P:$P,$B19,BOM!$M:$M,"&lt;&gt;KAPSAM_DISI",BOM!$M:$M,"&lt;&gt;KONTROL"))</f>
        <v>0</v>
      </c>
      <c r="O19" s="4" t="s">
        <v>752</v>
      </c>
      <c r="P19" s="4" t="str">
        <f t="shared" si="5"/>
        <v>OK</v>
      </c>
      <c r="R19" s="4" t="s">
        <v>817</v>
      </c>
      <c r="S19" s="4" t="s">
        <v>751</v>
      </c>
      <c r="U19" s="5">
        <v>2</v>
      </c>
      <c r="V19" s="5">
        <v>63</v>
      </c>
      <c r="AE19" s="5" t="s">
        <v>153</v>
      </c>
      <c r="AL19" s="5" t="s">
        <v>755</v>
      </c>
    </row>
    <row r="20" spans="1:38" x14ac:dyDescent="0.35">
      <c r="A20" s="4">
        <f t="shared" si="0"/>
        <v>19</v>
      </c>
      <c r="B20" s="4" t="s">
        <v>122</v>
      </c>
      <c r="C20" s="4" t="s">
        <v>818</v>
      </c>
      <c r="D20" s="4" t="s">
        <v>819</v>
      </c>
      <c r="E20" s="4" t="s">
        <v>120</v>
      </c>
      <c r="F20" s="12">
        <v>12699</v>
      </c>
      <c r="G20" s="4" t="s">
        <v>751</v>
      </c>
      <c r="H20" s="4" t="str">
        <f t="shared" si="1"/>
        <v>KZT</v>
      </c>
      <c r="I20" s="4">
        <f t="shared" si="2"/>
        <v>0.6</v>
      </c>
      <c r="J20" s="4">
        <f t="shared" si="3"/>
        <v>7619.4</v>
      </c>
      <c r="K20" s="4" t="s">
        <v>700</v>
      </c>
      <c r="L20" s="4">
        <f>SUMIFS(BOM!$AA:$AA,BOM!$P:$P,$B20)</f>
        <v>2</v>
      </c>
      <c r="M20" s="4">
        <f t="shared" si="4"/>
        <v>2</v>
      </c>
      <c r="N20" s="4">
        <f>IF($J20="","",$J20*SUMIFS(BOM!$AA:$AA,BOM!$P:$P,$B20,BOM!$M:$M,"&lt;&gt;KAPSAM_DISI",BOM!$M:$M,"&lt;&gt;KONTROL"))</f>
        <v>0</v>
      </c>
      <c r="O20" s="4" t="s">
        <v>752</v>
      </c>
      <c r="P20" s="4" t="str">
        <f t="shared" si="5"/>
        <v>OK</v>
      </c>
      <c r="R20" s="4" t="s">
        <v>820</v>
      </c>
      <c r="S20" s="4" t="s">
        <v>751</v>
      </c>
      <c r="U20" s="5">
        <v>3</v>
      </c>
      <c r="V20" s="5">
        <v>63</v>
      </c>
      <c r="AE20" s="5" t="s">
        <v>125</v>
      </c>
      <c r="AL20" s="5" t="s">
        <v>755</v>
      </c>
    </row>
    <row r="21" spans="1:38" x14ac:dyDescent="0.35">
      <c r="A21" s="4">
        <f t="shared" si="0"/>
        <v>20</v>
      </c>
      <c r="B21" s="4" t="s">
        <v>172</v>
      </c>
      <c r="C21" s="4" t="s">
        <v>821</v>
      </c>
      <c r="D21" s="4" t="s">
        <v>822</v>
      </c>
      <c r="E21" s="4" t="s">
        <v>120</v>
      </c>
      <c r="F21" s="12">
        <v>5438</v>
      </c>
      <c r="G21" s="4" t="s">
        <v>751</v>
      </c>
      <c r="H21" s="4" t="str">
        <f t="shared" si="1"/>
        <v>KZT</v>
      </c>
      <c r="I21" s="4">
        <f t="shared" si="2"/>
        <v>0.6</v>
      </c>
      <c r="J21" s="4">
        <f t="shared" si="3"/>
        <v>3262.7999999999997</v>
      </c>
      <c r="K21" s="4" t="s">
        <v>700</v>
      </c>
      <c r="L21" s="4">
        <f>SUMIFS(BOM!$AA:$AA,BOM!$P:$P,$B21)</f>
        <v>3</v>
      </c>
      <c r="M21" s="4">
        <f t="shared" si="4"/>
        <v>3</v>
      </c>
      <c r="N21" s="4">
        <f>IF($J21="","",$J21*SUMIFS(BOM!$AA:$AA,BOM!$P:$P,$B21,BOM!$M:$M,"&lt;&gt;KAPSAM_DISI",BOM!$M:$M,"&lt;&gt;KONTROL"))</f>
        <v>0</v>
      </c>
      <c r="O21" s="4" t="s">
        <v>752</v>
      </c>
      <c r="P21" s="4" t="str">
        <f t="shared" si="5"/>
        <v>OK</v>
      </c>
      <c r="R21" s="4" t="s">
        <v>823</v>
      </c>
      <c r="S21" s="4" t="s">
        <v>751</v>
      </c>
      <c r="U21" s="5">
        <v>1</v>
      </c>
      <c r="V21" s="5">
        <v>63</v>
      </c>
      <c r="AE21" s="5" t="s">
        <v>173</v>
      </c>
      <c r="AL21" s="5" t="s">
        <v>755</v>
      </c>
    </row>
    <row r="22" spans="1:38" x14ac:dyDescent="0.35">
      <c r="A22" s="4">
        <f t="shared" si="0"/>
        <v>21</v>
      </c>
      <c r="B22" s="4" t="s">
        <v>42</v>
      </c>
      <c r="C22" s="4" t="s">
        <v>824</v>
      </c>
      <c r="D22" s="4" t="s">
        <v>825</v>
      </c>
      <c r="E22" s="4" t="s">
        <v>40</v>
      </c>
      <c r="F22" s="12">
        <v>35380</v>
      </c>
      <c r="G22" s="4" t="s">
        <v>826</v>
      </c>
      <c r="H22" s="4" t="str">
        <f t="shared" si="1"/>
        <v>KZT</v>
      </c>
      <c r="I22" s="4">
        <f t="shared" si="2"/>
        <v>0.6</v>
      </c>
      <c r="J22" s="4">
        <f t="shared" si="3"/>
        <v>21228</v>
      </c>
      <c r="K22" s="4" t="s">
        <v>700</v>
      </c>
      <c r="L22" s="4">
        <f>SUMIFS(BOM!$AA:$AA,BOM!$P:$P,$B22)</f>
        <v>1</v>
      </c>
      <c r="M22" s="4">
        <f t="shared" si="4"/>
        <v>1</v>
      </c>
      <c r="N22" s="4">
        <f>IF($J22="","",$J22*SUMIFS(BOM!$AA:$AA,BOM!$P:$P,$B22,BOM!$M:$M,"&lt;&gt;KAPSAM_DISI",BOM!$M:$M,"&lt;&gt;KONTROL"))</f>
        <v>21228</v>
      </c>
      <c r="O22" s="4" t="s">
        <v>827</v>
      </c>
      <c r="P22" s="4" t="str">
        <f t="shared" si="5"/>
        <v>OK</v>
      </c>
      <c r="R22" s="4" t="s">
        <v>828</v>
      </c>
      <c r="S22" s="4" t="s">
        <v>826</v>
      </c>
      <c r="U22" s="5">
        <v>3</v>
      </c>
      <c r="AD22" s="5" t="s">
        <v>829</v>
      </c>
      <c r="AL22" s="5" t="s">
        <v>755</v>
      </c>
    </row>
    <row r="23" spans="1:38" x14ac:dyDescent="0.35">
      <c r="A23" s="4">
        <f t="shared" si="0"/>
        <v>22</v>
      </c>
      <c r="B23" s="4" t="s">
        <v>46</v>
      </c>
      <c r="C23" s="4" t="s">
        <v>830</v>
      </c>
      <c r="D23" s="4" t="s">
        <v>831</v>
      </c>
      <c r="E23" s="4" t="s">
        <v>44</v>
      </c>
      <c r="F23" s="12">
        <v>4701</v>
      </c>
      <c r="G23" s="4" t="s">
        <v>832</v>
      </c>
      <c r="H23" s="4" t="str">
        <f t="shared" si="1"/>
        <v>KZT</v>
      </c>
      <c r="I23" s="4">
        <f t="shared" si="2"/>
        <v>1</v>
      </c>
      <c r="J23" s="4">
        <f t="shared" si="3"/>
        <v>4701</v>
      </c>
      <c r="K23" s="4" t="s">
        <v>700</v>
      </c>
      <c r="L23" s="4">
        <f>SUMIFS(BOM!$AA:$AA,BOM!$P:$P,$B23)</f>
        <v>3</v>
      </c>
      <c r="M23" s="4">
        <f t="shared" si="4"/>
        <v>3</v>
      </c>
      <c r="N23" s="4">
        <f>IF($J23="","",$J23*SUMIFS(BOM!$AA:$AA,BOM!$P:$P,$B23,BOM!$M:$M,"&lt;&gt;KAPSAM_DISI",BOM!$M:$M,"&lt;&gt;KONTROL"))</f>
        <v>14103</v>
      </c>
      <c r="O23" s="4" t="s">
        <v>833</v>
      </c>
      <c r="P23" s="4" t="str">
        <f t="shared" si="5"/>
        <v>FIYAT_ESKI</v>
      </c>
      <c r="R23" s="4" t="s">
        <v>834</v>
      </c>
      <c r="S23" s="4" t="s">
        <v>832</v>
      </c>
      <c r="AD23" s="5" t="s">
        <v>835</v>
      </c>
      <c r="AL23" s="5" t="s">
        <v>755</v>
      </c>
    </row>
    <row r="24" spans="1:38" x14ac:dyDescent="0.35">
      <c r="A24" s="4">
        <f t="shared" si="0"/>
        <v>23</v>
      </c>
      <c r="B24" s="4" t="s">
        <v>316</v>
      </c>
      <c r="C24" s="4" t="s">
        <v>836</v>
      </c>
      <c r="D24" s="4" t="s">
        <v>837</v>
      </c>
      <c r="E24" s="4" t="s">
        <v>31</v>
      </c>
      <c r="F24" s="12">
        <v>172785</v>
      </c>
      <c r="G24" s="4" t="s">
        <v>826</v>
      </c>
      <c r="H24" s="4" t="str">
        <f t="shared" si="1"/>
        <v>KZT</v>
      </c>
      <c r="I24" s="4">
        <f t="shared" si="2"/>
        <v>0.6</v>
      </c>
      <c r="J24" s="4">
        <f t="shared" si="3"/>
        <v>103671</v>
      </c>
      <c r="K24" s="4" t="s">
        <v>700</v>
      </c>
      <c r="L24" s="4">
        <f>SUMIFS(BOM!$AA:$AA,BOM!$P:$P,$B24)</f>
        <v>1</v>
      </c>
      <c r="M24" s="4">
        <f t="shared" si="4"/>
        <v>1</v>
      </c>
      <c r="N24" s="4">
        <f>IF($J24="","",$J24*SUMIFS(BOM!$AA:$AA,BOM!$P:$P,$B24,BOM!$M:$M,"&lt;&gt;KAPSAM_DISI",BOM!$M:$M,"&lt;&gt;KONTROL"))</f>
        <v>0</v>
      </c>
      <c r="O24" s="4" t="s">
        <v>827</v>
      </c>
      <c r="P24" s="4" t="str">
        <f t="shared" si="5"/>
        <v>KONTROL</v>
      </c>
      <c r="R24" s="4" t="s">
        <v>838</v>
      </c>
      <c r="S24" s="4" t="s">
        <v>826</v>
      </c>
      <c r="X24" s="5">
        <v>800</v>
      </c>
      <c r="Y24" s="5">
        <v>2000</v>
      </c>
      <c r="Z24" s="5">
        <v>450</v>
      </c>
      <c r="AB24" s="4" t="str">
        <f t="shared" ref="AB24:AB29" si="6">IF(OR($X24="",$AC24=""),"",ROUNDDOWN(($X24-KORPUS_IC_PAY_M*1000)/MODUL_GENISLIK_MM,0)*$AC24)</f>
        <v/>
      </c>
      <c r="AC24" s="4" t="str">
        <f t="shared" ref="AC24:AC29" si="7">IF(OR($Y24="",SIRA_ARALIK_MM="",KORPUS_IC_PAY_M=""),"",ROUNDDOWN(($Y24-KORPUS_IC_PAY_M*1000)/SIRA_ARALIK_MM,0))</f>
        <v/>
      </c>
      <c r="AL24" s="5" t="s">
        <v>839</v>
      </c>
    </row>
    <row r="25" spans="1:38" x14ac:dyDescent="0.35">
      <c r="A25" s="4">
        <f t="shared" si="0"/>
        <v>24</v>
      </c>
      <c r="B25" s="4" t="s">
        <v>324</v>
      </c>
      <c r="C25" s="4" t="s">
        <v>840</v>
      </c>
      <c r="D25" s="4" t="s">
        <v>841</v>
      </c>
      <c r="E25" s="4" t="s">
        <v>31</v>
      </c>
      <c r="F25" s="12">
        <v>16550</v>
      </c>
      <c r="G25" s="4" t="s">
        <v>826</v>
      </c>
      <c r="H25" s="4" t="str">
        <f t="shared" si="1"/>
        <v>KZT</v>
      </c>
      <c r="I25" s="4">
        <f t="shared" si="2"/>
        <v>0.6</v>
      </c>
      <c r="J25" s="4">
        <f t="shared" si="3"/>
        <v>9930</v>
      </c>
      <c r="K25" s="4" t="s">
        <v>700</v>
      </c>
      <c r="L25" s="4">
        <f>SUMIFS(BOM!$AA:$AA,BOM!$P:$P,$B25)</f>
        <v>1</v>
      </c>
      <c r="M25" s="4">
        <f t="shared" si="4"/>
        <v>1</v>
      </c>
      <c r="N25" s="4">
        <f>IF($J25="","",$J25*SUMIFS(BOM!$AA:$AA,BOM!$P:$P,$B25,BOM!$M:$M,"&lt;&gt;KAPSAM_DISI",BOM!$M:$M,"&lt;&gt;KONTROL"))</f>
        <v>9930</v>
      </c>
      <c r="O25" s="4" t="s">
        <v>827</v>
      </c>
      <c r="P25" s="4" t="str">
        <f t="shared" si="5"/>
        <v>OK</v>
      </c>
      <c r="R25" s="4" t="s">
        <v>842</v>
      </c>
      <c r="S25" s="4" t="s">
        <v>826</v>
      </c>
      <c r="X25" s="5">
        <v>310</v>
      </c>
      <c r="Y25" s="5">
        <v>540</v>
      </c>
      <c r="Z25" s="5">
        <v>120</v>
      </c>
      <c r="AB25" s="4" t="str">
        <f t="shared" si="6"/>
        <v/>
      </c>
      <c r="AC25" s="4" t="str">
        <f t="shared" si="7"/>
        <v/>
      </c>
      <c r="AL25" s="5" t="s">
        <v>755</v>
      </c>
    </row>
    <row r="26" spans="1:38" x14ac:dyDescent="0.35">
      <c r="A26" s="4">
        <f t="shared" si="0"/>
        <v>25</v>
      </c>
      <c r="B26" s="4" t="s">
        <v>329</v>
      </c>
      <c r="C26" s="4" t="s">
        <v>843</v>
      </c>
      <c r="D26" s="4" t="s">
        <v>844</v>
      </c>
      <c r="E26" s="4" t="s">
        <v>31</v>
      </c>
      <c r="F26" s="12">
        <v>26470</v>
      </c>
      <c r="G26" s="4" t="s">
        <v>826</v>
      </c>
      <c r="H26" s="4" t="str">
        <f t="shared" si="1"/>
        <v>KZT</v>
      </c>
      <c r="I26" s="4">
        <f t="shared" si="2"/>
        <v>0.6</v>
      </c>
      <c r="J26" s="4">
        <f t="shared" si="3"/>
        <v>15882</v>
      </c>
      <c r="K26" s="4" t="s">
        <v>700</v>
      </c>
      <c r="L26" s="4">
        <f>SUMIFS(BOM!$AA:$AA,BOM!$P:$P,$B26)</f>
        <v>1</v>
      </c>
      <c r="M26" s="4">
        <f t="shared" si="4"/>
        <v>1</v>
      </c>
      <c r="N26" s="4">
        <f>IF($J26="","",$J26*SUMIFS(BOM!$AA:$AA,BOM!$P:$P,$B26,BOM!$M:$M,"&lt;&gt;KAPSAM_DISI",BOM!$M:$M,"&lt;&gt;KONTROL"))</f>
        <v>15882</v>
      </c>
      <c r="O26" s="4" t="s">
        <v>827</v>
      </c>
      <c r="P26" s="4" t="str">
        <f t="shared" si="5"/>
        <v>OK</v>
      </c>
      <c r="R26" s="4" t="s">
        <v>845</v>
      </c>
      <c r="S26" s="4" t="s">
        <v>826</v>
      </c>
      <c r="X26" s="5">
        <v>500</v>
      </c>
      <c r="Y26" s="5">
        <v>1000</v>
      </c>
      <c r="Z26" s="5">
        <v>180</v>
      </c>
      <c r="AB26" s="4" t="str">
        <f t="shared" si="6"/>
        <v/>
      </c>
      <c r="AC26" s="4" t="str">
        <f t="shared" si="7"/>
        <v/>
      </c>
      <c r="AL26" s="5" t="s">
        <v>755</v>
      </c>
    </row>
    <row r="27" spans="1:38" x14ac:dyDescent="0.35">
      <c r="A27" s="4">
        <f t="shared" si="0"/>
        <v>26</v>
      </c>
      <c r="B27" s="4" t="s">
        <v>333</v>
      </c>
      <c r="C27" s="4" t="s">
        <v>846</v>
      </c>
      <c r="D27" s="4" t="s">
        <v>847</v>
      </c>
      <c r="E27" s="4" t="s">
        <v>31</v>
      </c>
      <c r="F27" s="12">
        <v>27290</v>
      </c>
      <c r="G27" s="4" t="s">
        <v>826</v>
      </c>
      <c r="H27" s="4" t="str">
        <f t="shared" si="1"/>
        <v>KZT</v>
      </c>
      <c r="I27" s="4">
        <f t="shared" si="2"/>
        <v>0.6</v>
      </c>
      <c r="J27" s="4">
        <f t="shared" si="3"/>
        <v>16374</v>
      </c>
      <c r="K27" s="4" t="s">
        <v>700</v>
      </c>
      <c r="L27" s="4">
        <f>SUMIFS(BOM!$AA:$AA,BOM!$P:$P,$B27)</f>
        <v>1</v>
      </c>
      <c r="M27" s="4">
        <f t="shared" si="4"/>
        <v>1</v>
      </c>
      <c r="N27" s="4">
        <f>IF($J27="","",$J27*SUMIFS(BOM!$AA:$AA,BOM!$P:$P,$B27,BOM!$M:$M,"&lt;&gt;KAPSAM_DISI",BOM!$M:$M,"&lt;&gt;KONTROL"))</f>
        <v>16374</v>
      </c>
      <c r="O27" s="4" t="s">
        <v>827</v>
      </c>
      <c r="P27" s="4" t="str">
        <f t="shared" si="5"/>
        <v>OK</v>
      </c>
      <c r="R27" s="4" t="s">
        <v>848</v>
      </c>
      <c r="S27" s="4" t="s">
        <v>826</v>
      </c>
      <c r="X27" s="5">
        <v>500</v>
      </c>
      <c r="Y27" s="5">
        <v>1150</v>
      </c>
      <c r="Z27" s="5">
        <v>180</v>
      </c>
      <c r="AB27" s="4" t="str">
        <f t="shared" si="6"/>
        <v/>
      </c>
      <c r="AC27" s="4" t="str">
        <f t="shared" si="7"/>
        <v/>
      </c>
      <c r="AL27" s="5" t="s">
        <v>755</v>
      </c>
    </row>
    <row r="28" spans="1:38" x14ac:dyDescent="0.35">
      <c r="A28" s="4">
        <f t="shared" si="0"/>
        <v>27</v>
      </c>
      <c r="B28" s="4" t="s">
        <v>336</v>
      </c>
      <c r="C28" s="4" t="s">
        <v>849</v>
      </c>
      <c r="D28" s="4" t="s">
        <v>850</v>
      </c>
      <c r="E28" s="4" t="s">
        <v>31</v>
      </c>
      <c r="F28" s="12">
        <v>20445</v>
      </c>
      <c r="G28" s="4" t="s">
        <v>826</v>
      </c>
      <c r="H28" s="4" t="str">
        <f t="shared" si="1"/>
        <v>KZT</v>
      </c>
      <c r="I28" s="4">
        <f t="shared" si="2"/>
        <v>0.6</v>
      </c>
      <c r="J28" s="4">
        <f t="shared" si="3"/>
        <v>12267</v>
      </c>
      <c r="K28" s="4" t="s">
        <v>700</v>
      </c>
      <c r="L28" s="4">
        <f>SUMIFS(BOM!$AA:$AA,BOM!$P:$P,$B28)</f>
        <v>2</v>
      </c>
      <c r="M28" s="4">
        <f t="shared" si="4"/>
        <v>2</v>
      </c>
      <c r="N28" s="4">
        <f>IF($J28="","",$J28*SUMIFS(BOM!$AA:$AA,BOM!$P:$P,$B28,BOM!$M:$M,"&lt;&gt;KAPSAM_DISI",BOM!$M:$M,"&lt;&gt;KONTROL"))</f>
        <v>24534</v>
      </c>
      <c r="O28" s="4" t="s">
        <v>827</v>
      </c>
      <c r="P28" s="4" t="str">
        <f t="shared" si="5"/>
        <v>OK</v>
      </c>
      <c r="R28" s="4" t="s">
        <v>851</v>
      </c>
      <c r="S28" s="4" t="s">
        <v>826</v>
      </c>
      <c r="X28" s="5">
        <v>300</v>
      </c>
      <c r="Y28" s="5">
        <v>700</v>
      </c>
      <c r="Z28" s="5">
        <v>150</v>
      </c>
      <c r="AB28" s="4" t="str">
        <f t="shared" si="6"/>
        <v/>
      </c>
      <c r="AC28" s="4" t="str">
        <f t="shared" si="7"/>
        <v/>
      </c>
      <c r="AL28" s="5" t="s">
        <v>755</v>
      </c>
    </row>
    <row r="29" spans="1:38" x14ac:dyDescent="0.35">
      <c r="A29" s="4">
        <f t="shared" si="0"/>
        <v>28</v>
      </c>
      <c r="B29" s="4" t="s">
        <v>341</v>
      </c>
      <c r="C29" s="4" t="s">
        <v>852</v>
      </c>
      <c r="D29" s="4" t="s">
        <v>853</v>
      </c>
      <c r="E29" s="4" t="s">
        <v>31</v>
      </c>
      <c r="F29" s="12">
        <v>7735</v>
      </c>
      <c r="G29" s="4" t="s">
        <v>826</v>
      </c>
      <c r="H29" s="4" t="str">
        <f t="shared" si="1"/>
        <v>KZT</v>
      </c>
      <c r="I29" s="4">
        <f t="shared" si="2"/>
        <v>0.6</v>
      </c>
      <c r="J29" s="4">
        <f t="shared" si="3"/>
        <v>4641</v>
      </c>
      <c r="K29" s="4" t="s">
        <v>700</v>
      </c>
      <c r="L29" s="4">
        <f>SUMIFS(BOM!$AA:$AA,BOM!$P:$P,$B29)</f>
        <v>1</v>
      </c>
      <c r="M29" s="4">
        <f t="shared" si="4"/>
        <v>1</v>
      </c>
      <c r="N29" s="4">
        <f>IF($J29="","",$J29*SUMIFS(BOM!$AA:$AA,BOM!$P:$P,$B29,BOM!$M:$M,"&lt;&gt;KAPSAM_DISI",BOM!$M:$M,"&lt;&gt;KONTROL"))</f>
        <v>0</v>
      </c>
      <c r="O29" s="4" t="s">
        <v>827</v>
      </c>
      <c r="P29" s="4" t="str">
        <f t="shared" si="5"/>
        <v>KONTROL</v>
      </c>
      <c r="R29" s="4" t="s">
        <v>854</v>
      </c>
      <c r="S29" s="4" t="s">
        <v>826</v>
      </c>
      <c r="X29" s="5">
        <v>450</v>
      </c>
      <c r="Y29" s="5">
        <v>275</v>
      </c>
      <c r="Z29" s="5">
        <v>120</v>
      </c>
      <c r="AB29" s="4" t="str">
        <f t="shared" si="6"/>
        <v/>
      </c>
      <c r="AC29" s="4" t="str">
        <f t="shared" si="7"/>
        <v/>
      </c>
      <c r="AL29" s="5" t="s">
        <v>839</v>
      </c>
    </row>
    <row r="30" spans="1:38" x14ac:dyDescent="0.35">
      <c r="A30" s="4">
        <f t="shared" si="0"/>
        <v>29</v>
      </c>
      <c r="B30" s="4" t="s">
        <v>175</v>
      </c>
      <c r="C30" s="4" t="s">
        <v>855</v>
      </c>
      <c r="D30" s="4" t="s">
        <v>856</v>
      </c>
      <c r="E30" s="4" t="s">
        <v>133</v>
      </c>
      <c r="F30" s="12">
        <v>97</v>
      </c>
      <c r="G30" s="4" t="s">
        <v>832</v>
      </c>
      <c r="H30" s="4" t="str">
        <f t="shared" si="1"/>
        <v>KZT</v>
      </c>
      <c r="I30" s="4">
        <f t="shared" si="2"/>
        <v>1</v>
      </c>
      <c r="J30" s="4">
        <f t="shared" si="3"/>
        <v>97</v>
      </c>
      <c r="K30" s="4" t="s">
        <v>700</v>
      </c>
      <c r="L30" s="4">
        <f>SUMIFS(BOM!$AA:$AA,BOM!$P:$P,$B30)</f>
        <v>64</v>
      </c>
      <c r="M30" s="4">
        <f t="shared" si="4"/>
        <v>64</v>
      </c>
      <c r="N30" s="4">
        <f>IF($J30="","",$J30*SUMIFS(BOM!$AA:$AA,BOM!$P:$P,$B30,BOM!$M:$M,"&lt;&gt;KAPSAM_DISI",BOM!$M:$M,"&lt;&gt;KONTROL"))</f>
        <v>6208</v>
      </c>
      <c r="O30" s="4" t="s">
        <v>833</v>
      </c>
      <c r="P30" s="4" t="str">
        <f t="shared" si="5"/>
        <v>FIYAT_ESKI</v>
      </c>
      <c r="R30" s="4" t="s">
        <v>857</v>
      </c>
      <c r="S30" s="4" t="s">
        <v>832</v>
      </c>
      <c r="W30" s="5">
        <v>5.2</v>
      </c>
      <c r="AD30" s="5" t="s">
        <v>858</v>
      </c>
      <c r="AL30" s="5" t="s">
        <v>755</v>
      </c>
    </row>
    <row r="31" spans="1:38" x14ac:dyDescent="0.35">
      <c r="A31" s="4">
        <f t="shared" si="0"/>
        <v>30</v>
      </c>
      <c r="B31" s="4" t="s">
        <v>135</v>
      </c>
      <c r="C31" s="4" t="s">
        <v>859</v>
      </c>
      <c r="D31" s="4" t="s">
        <v>860</v>
      </c>
      <c r="E31" s="4" t="s">
        <v>133</v>
      </c>
      <c r="F31" s="12">
        <v>98</v>
      </c>
      <c r="G31" s="4" t="s">
        <v>832</v>
      </c>
      <c r="H31" s="4" t="str">
        <f t="shared" si="1"/>
        <v>KZT</v>
      </c>
      <c r="I31" s="4">
        <f t="shared" si="2"/>
        <v>1</v>
      </c>
      <c r="J31" s="4">
        <f t="shared" si="3"/>
        <v>98</v>
      </c>
      <c r="K31" s="4" t="s">
        <v>700</v>
      </c>
      <c r="L31" s="4">
        <f>SUMIFS(BOM!$AA:$AA,BOM!$P:$P,$B31)</f>
        <v>95</v>
      </c>
      <c r="M31" s="4">
        <f t="shared" si="4"/>
        <v>95</v>
      </c>
      <c r="N31" s="4">
        <f>IF($J31="","",$J31*SUMIFS(BOM!$AA:$AA,BOM!$P:$P,$B31,BOM!$M:$M,"&lt;&gt;KAPSAM_DISI",BOM!$M:$M,"&lt;&gt;KONTROL"))</f>
        <v>9310</v>
      </c>
      <c r="O31" s="4" t="s">
        <v>833</v>
      </c>
      <c r="P31" s="4" t="str">
        <f t="shared" si="5"/>
        <v>FIYAT_ESKI</v>
      </c>
      <c r="R31" s="4" t="s">
        <v>861</v>
      </c>
      <c r="S31" s="4" t="s">
        <v>832</v>
      </c>
      <c r="W31" s="5">
        <v>6.2</v>
      </c>
      <c r="AD31" s="5" t="s">
        <v>858</v>
      </c>
      <c r="AL31" s="5" t="s">
        <v>755</v>
      </c>
    </row>
    <row r="32" spans="1:38" x14ac:dyDescent="0.35">
      <c r="A32" s="4">
        <f t="shared" si="0"/>
        <v>31</v>
      </c>
      <c r="B32" s="4" t="s">
        <v>178</v>
      </c>
      <c r="C32" s="4" t="s">
        <v>862</v>
      </c>
      <c r="D32" s="4" t="s">
        <v>863</v>
      </c>
      <c r="E32" s="4" t="s">
        <v>133</v>
      </c>
      <c r="F32" s="12">
        <v>116</v>
      </c>
      <c r="G32" s="4" t="s">
        <v>832</v>
      </c>
      <c r="H32" s="4" t="str">
        <f t="shared" si="1"/>
        <v>KZT</v>
      </c>
      <c r="I32" s="4">
        <f t="shared" si="2"/>
        <v>1</v>
      </c>
      <c r="J32" s="4">
        <f t="shared" si="3"/>
        <v>116</v>
      </c>
      <c r="K32" s="4" t="s">
        <v>700</v>
      </c>
      <c r="L32" s="4">
        <f>SUMIFS(BOM!$AA:$AA,BOM!$P:$P,$B32)</f>
        <v>8</v>
      </c>
      <c r="M32" s="4">
        <f t="shared" si="4"/>
        <v>8</v>
      </c>
      <c r="N32" s="4">
        <f>IF($J32="","",$J32*SUMIFS(BOM!$AA:$AA,BOM!$P:$P,$B32,BOM!$M:$M,"&lt;&gt;KAPSAM_DISI",BOM!$M:$M,"&lt;&gt;KONTROL"))</f>
        <v>928</v>
      </c>
      <c r="O32" s="4" t="s">
        <v>833</v>
      </c>
      <c r="P32" s="4" t="str">
        <f t="shared" si="5"/>
        <v>FIYAT_ESKI</v>
      </c>
      <c r="R32" s="4" t="s">
        <v>864</v>
      </c>
      <c r="S32" s="4" t="s">
        <v>832</v>
      </c>
      <c r="W32" s="5">
        <v>8.1999999999999993</v>
      </c>
      <c r="AD32" s="5" t="s">
        <v>858</v>
      </c>
      <c r="AL32" s="5" t="s">
        <v>755</v>
      </c>
    </row>
    <row r="33" spans="1:38" x14ac:dyDescent="0.35">
      <c r="A33" s="4">
        <f t="shared" si="0"/>
        <v>32</v>
      </c>
      <c r="B33" s="4" t="s">
        <v>141</v>
      </c>
      <c r="C33" s="4" t="s">
        <v>865</v>
      </c>
      <c r="D33" s="4" t="s">
        <v>866</v>
      </c>
      <c r="E33" s="4" t="s">
        <v>133</v>
      </c>
      <c r="F33" s="12">
        <v>163</v>
      </c>
      <c r="G33" s="4" t="s">
        <v>832</v>
      </c>
      <c r="H33" s="4" t="str">
        <f t="shared" si="1"/>
        <v>KZT</v>
      </c>
      <c r="I33" s="4">
        <f t="shared" si="2"/>
        <v>1</v>
      </c>
      <c r="J33" s="4">
        <f t="shared" si="3"/>
        <v>163</v>
      </c>
      <c r="K33" s="4" t="s">
        <v>700</v>
      </c>
      <c r="L33" s="4">
        <f>SUMIFS(BOM!$AA:$AA,BOM!$P:$P,$B33)</f>
        <v>20</v>
      </c>
      <c r="M33" s="4">
        <f t="shared" si="4"/>
        <v>20</v>
      </c>
      <c r="N33" s="4">
        <f>IF($J33="","",$J33*SUMIFS(BOM!$AA:$AA,BOM!$P:$P,$B33,BOM!$M:$M,"&lt;&gt;KAPSAM_DISI",BOM!$M:$M,"&lt;&gt;KONTROL"))</f>
        <v>3260</v>
      </c>
      <c r="O33" s="4" t="s">
        <v>833</v>
      </c>
      <c r="P33" s="4" t="str">
        <f t="shared" si="5"/>
        <v>FIYAT_ESKI</v>
      </c>
      <c r="R33" s="4" t="s">
        <v>867</v>
      </c>
      <c r="S33" s="4" t="s">
        <v>832</v>
      </c>
      <c r="W33" s="5">
        <v>10.199999999999999</v>
      </c>
      <c r="AD33" s="5" t="s">
        <v>858</v>
      </c>
      <c r="AL33" s="5" t="s">
        <v>755</v>
      </c>
    </row>
    <row r="34" spans="1:38" x14ac:dyDescent="0.35">
      <c r="A34" s="4">
        <f t="shared" ref="A34:A65" si="8">ROW()-1</f>
        <v>33</v>
      </c>
      <c r="B34" s="4" t="s">
        <v>139</v>
      </c>
      <c r="C34" s="4" t="s">
        <v>868</v>
      </c>
      <c r="D34" s="4" t="s">
        <v>869</v>
      </c>
      <c r="E34" s="4" t="s">
        <v>133</v>
      </c>
      <c r="F34" s="12">
        <v>283</v>
      </c>
      <c r="G34" s="4" t="s">
        <v>832</v>
      </c>
      <c r="H34" s="4" t="str">
        <f t="shared" ref="H34:H65" si="9">IF($G34="","",INDEX(MARKA_PARA,MATCH($G34,MARKA_AD,0)))</f>
        <v>KZT</v>
      </c>
      <c r="I34" s="4">
        <f t="shared" ref="I34:I65" si="10">IF($G34="","",INDEX(MARKA_KAT,MATCH($G34,MARKA_AD,0)))</f>
        <v>1</v>
      </c>
      <c r="J34" s="4">
        <f t="shared" ref="J34:J65" si="11">IF($B34="","",IF(INDEX(MARKA_IZIN,MATCH($G34,MARKA_AD,0))="HAYIR","",IF(INDEX(YAS_DURUM,MATCH($O34,YAS_KOD,0))="YASAK","",IF(INDEX(MARKA_TIP,MATCH($G34,MARKA_AD,0))="METAL",$AA34*IF($G34="BAKIR-BARA",BAKIR_KG_KZT,ALUM_KG_KZT)*BARA_ISLEM_KAT,IF($F34="","",IF(INDEX(MARKA_TIP,MATCH($G34,MARKA_AD,0))="NET",$F34,$F34*$I34*INDEX(KUR_DEG,MATCH($H34,KUR_AD,0))))))))</f>
        <v>283</v>
      </c>
      <c r="K34" s="4" t="s">
        <v>700</v>
      </c>
      <c r="L34" s="4">
        <f>SUMIFS(BOM!$AA:$AA,BOM!$P:$P,$B34)</f>
        <v>73</v>
      </c>
      <c r="M34" s="4">
        <f t="shared" ref="M34:M65" si="12">IF($E34="шина",ROUNDUP($L34/BARA_BOY_M,0),$L34)</f>
        <v>73</v>
      </c>
      <c r="N34" s="4">
        <f>IF($J34="","",$J34*SUMIFS(BOM!$AA:$AA,BOM!$P:$P,$B34,BOM!$M:$M,"&lt;&gt;KAPSAM_DISI",BOM!$M:$M,"&lt;&gt;KONTROL"))</f>
        <v>20659</v>
      </c>
      <c r="O34" s="4" t="s">
        <v>833</v>
      </c>
      <c r="P34" s="4" t="str">
        <f t="shared" ref="P34:P65" si="13">IF($B34="","",IF(INDEX(MARKA_GRUP,MATCH($G34,MARKA_AD,0))&lt;&gt;INDEX(MARKA_GRUP,MATCH($S34,MARKA_AD,0)),"KONTROL",IF($AL34="KISMI","KONTROL",IF(OR($C34="",$J34=""),"FIYAT_YOK",IF($Q34&lt;&gt;"",$Q34,IF(OR(INDEX(YAS_DURUM,MATCH($O34,YAS_KOD,0))="ESKI",INDEX(YAS_DURUM,MATCH($O34,YAS_KOD,0))="BILINMIYOR"),"FIYAT_ESKI","OK"))))))</f>
        <v>FIYAT_ESKI</v>
      </c>
      <c r="R34" s="4" t="s">
        <v>870</v>
      </c>
      <c r="S34" s="4" t="s">
        <v>832</v>
      </c>
      <c r="W34" s="5">
        <v>6.2</v>
      </c>
      <c r="AD34" s="5" t="s">
        <v>871</v>
      </c>
      <c r="AL34" s="5" t="s">
        <v>755</v>
      </c>
    </row>
    <row r="35" spans="1:38" x14ac:dyDescent="0.35">
      <c r="A35" s="4">
        <f t="shared" si="8"/>
        <v>34</v>
      </c>
      <c r="B35" s="4" t="s">
        <v>143</v>
      </c>
      <c r="C35" s="4" t="s">
        <v>872</v>
      </c>
      <c r="D35" s="4" t="s">
        <v>873</v>
      </c>
      <c r="E35" s="4" t="s">
        <v>133</v>
      </c>
      <c r="F35" s="12">
        <v>367</v>
      </c>
      <c r="G35" s="4" t="s">
        <v>832</v>
      </c>
      <c r="H35" s="4" t="str">
        <f t="shared" si="9"/>
        <v>KZT</v>
      </c>
      <c r="I35" s="4">
        <f t="shared" si="10"/>
        <v>1</v>
      </c>
      <c r="J35" s="4">
        <f t="shared" si="11"/>
        <v>367</v>
      </c>
      <c r="K35" s="4" t="s">
        <v>700</v>
      </c>
      <c r="L35" s="4">
        <f>SUMIFS(BOM!$AA:$AA,BOM!$P:$P,$B35)</f>
        <v>7</v>
      </c>
      <c r="M35" s="4">
        <f t="shared" si="12"/>
        <v>7</v>
      </c>
      <c r="N35" s="4">
        <f>IF($J35="","",$J35*SUMIFS(BOM!$AA:$AA,BOM!$P:$P,$B35,BOM!$M:$M,"&lt;&gt;KAPSAM_DISI",BOM!$M:$M,"&lt;&gt;KONTROL"))</f>
        <v>2569</v>
      </c>
      <c r="O35" s="4" t="s">
        <v>833</v>
      </c>
      <c r="P35" s="4" t="str">
        <f t="shared" si="13"/>
        <v>FIYAT_ESKI</v>
      </c>
      <c r="R35" s="4" t="s">
        <v>874</v>
      </c>
      <c r="S35" s="4" t="s">
        <v>832</v>
      </c>
      <c r="W35" s="5">
        <v>10.199999999999999</v>
      </c>
      <c r="AD35" s="5" t="s">
        <v>871</v>
      </c>
      <c r="AL35" s="5" t="s">
        <v>755</v>
      </c>
    </row>
    <row r="36" spans="1:38" x14ac:dyDescent="0.35">
      <c r="A36" s="4">
        <f t="shared" si="8"/>
        <v>35</v>
      </c>
      <c r="B36" s="4" t="s">
        <v>89</v>
      </c>
      <c r="C36" s="4" t="s">
        <v>875</v>
      </c>
      <c r="D36" s="4" t="s">
        <v>876</v>
      </c>
      <c r="E36" s="4" t="s">
        <v>87</v>
      </c>
      <c r="F36" s="12">
        <v>105</v>
      </c>
      <c r="G36" s="4" t="s">
        <v>877</v>
      </c>
      <c r="H36" s="4" t="str">
        <f t="shared" si="9"/>
        <v>KZT</v>
      </c>
      <c r="I36" s="4">
        <f t="shared" si="10"/>
        <v>1</v>
      </c>
      <c r="J36" s="4">
        <f t="shared" si="11"/>
        <v>105</v>
      </c>
      <c r="K36" s="4" t="s">
        <v>697</v>
      </c>
      <c r="L36" s="4">
        <f>SUMIFS(BOM!$AA:$AA,BOM!$P:$P,$B36)</f>
        <v>27</v>
      </c>
      <c r="M36" s="4">
        <f t="shared" si="12"/>
        <v>27</v>
      </c>
      <c r="N36" s="4">
        <f>IF($J36="","",$J36*SUMIFS(BOM!$AA:$AA,BOM!$P:$P,$B36,BOM!$M:$M,"&lt;&gt;KAPSAM_DISI",BOM!$M:$M,"&lt;&gt;KONTROL"))</f>
        <v>2835</v>
      </c>
      <c r="O36" s="4" t="s">
        <v>877</v>
      </c>
      <c r="P36" s="4" t="str">
        <f t="shared" si="13"/>
        <v>FIYAT_ESKI</v>
      </c>
      <c r="R36" s="4" t="s">
        <v>878</v>
      </c>
      <c r="S36" s="4" t="s">
        <v>877</v>
      </c>
      <c r="AL36" s="5" t="s">
        <v>755</v>
      </c>
    </row>
    <row r="37" spans="1:38" x14ac:dyDescent="0.35">
      <c r="A37" s="4">
        <f t="shared" si="8"/>
        <v>36</v>
      </c>
      <c r="B37" s="4" t="s">
        <v>93</v>
      </c>
      <c r="C37" s="4" t="s">
        <v>879</v>
      </c>
      <c r="D37" s="4" t="s">
        <v>880</v>
      </c>
      <c r="E37" s="4" t="s">
        <v>87</v>
      </c>
      <c r="F37" s="12">
        <v>174</v>
      </c>
      <c r="G37" s="4" t="s">
        <v>877</v>
      </c>
      <c r="H37" s="4" t="str">
        <f t="shared" si="9"/>
        <v>KZT</v>
      </c>
      <c r="I37" s="4">
        <f t="shared" si="10"/>
        <v>1</v>
      </c>
      <c r="J37" s="4">
        <f t="shared" si="11"/>
        <v>174</v>
      </c>
      <c r="K37" s="4" t="s">
        <v>697</v>
      </c>
      <c r="L37" s="4">
        <f>SUMIFS(BOM!$AA:$AA,BOM!$P:$P,$B37)</f>
        <v>246.20000000000002</v>
      </c>
      <c r="M37" s="4">
        <f t="shared" si="12"/>
        <v>246.20000000000002</v>
      </c>
      <c r="N37" s="4">
        <f>IF($J37="","",$J37*SUMIFS(BOM!$AA:$AA,BOM!$P:$P,$B37,BOM!$M:$M,"&lt;&gt;KAPSAM_DISI",BOM!$M:$M,"&lt;&gt;KONTROL"))</f>
        <v>42838.8</v>
      </c>
      <c r="O37" s="4" t="s">
        <v>877</v>
      </c>
      <c r="P37" s="4" t="str">
        <f t="shared" si="13"/>
        <v>FIYAT_ESKI</v>
      </c>
      <c r="R37" s="4" t="s">
        <v>881</v>
      </c>
      <c r="S37" s="4" t="s">
        <v>877</v>
      </c>
      <c r="AL37" s="5" t="s">
        <v>755</v>
      </c>
    </row>
    <row r="38" spans="1:38" x14ac:dyDescent="0.35">
      <c r="A38" s="4">
        <f t="shared" si="8"/>
        <v>37</v>
      </c>
      <c r="B38" s="4" t="s">
        <v>128</v>
      </c>
      <c r="C38" s="4" t="s">
        <v>882</v>
      </c>
      <c r="D38" s="4" t="s">
        <v>883</v>
      </c>
      <c r="E38" s="4" t="s">
        <v>87</v>
      </c>
      <c r="F38" s="12">
        <v>274</v>
      </c>
      <c r="G38" s="4" t="s">
        <v>877</v>
      </c>
      <c r="H38" s="4" t="str">
        <f t="shared" si="9"/>
        <v>KZT</v>
      </c>
      <c r="I38" s="4">
        <f t="shared" si="10"/>
        <v>1</v>
      </c>
      <c r="J38" s="4">
        <f t="shared" si="11"/>
        <v>274</v>
      </c>
      <c r="K38" s="4" t="s">
        <v>697</v>
      </c>
      <c r="L38" s="4">
        <f>SUMIFS(BOM!$AA:$AA,BOM!$P:$P,$B38)</f>
        <v>21.2</v>
      </c>
      <c r="M38" s="4">
        <f t="shared" si="12"/>
        <v>21.2</v>
      </c>
      <c r="N38" s="4">
        <f>IF($J38="","",$J38*SUMIFS(BOM!$AA:$AA,BOM!$P:$P,$B38,BOM!$M:$M,"&lt;&gt;KAPSAM_DISI",BOM!$M:$M,"&lt;&gt;KONTROL"))</f>
        <v>5808.8</v>
      </c>
      <c r="O38" s="4" t="s">
        <v>877</v>
      </c>
      <c r="P38" s="4" t="str">
        <f t="shared" si="13"/>
        <v>FIYAT_ESKI</v>
      </c>
      <c r="R38" s="4" t="s">
        <v>884</v>
      </c>
      <c r="S38" s="4" t="s">
        <v>877</v>
      </c>
      <c r="AL38" s="5" t="s">
        <v>755</v>
      </c>
    </row>
    <row r="39" spans="1:38" x14ac:dyDescent="0.35">
      <c r="A39" s="4">
        <f t="shared" si="8"/>
        <v>38</v>
      </c>
      <c r="B39" s="4" t="s">
        <v>130</v>
      </c>
      <c r="C39" s="4" t="s">
        <v>885</v>
      </c>
      <c r="D39" s="4" t="s">
        <v>886</v>
      </c>
      <c r="E39" s="4" t="s">
        <v>87</v>
      </c>
      <c r="F39" s="12">
        <v>398</v>
      </c>
      <c r="G39" s="4" t="s">
        <v>877</v>
      </c>
      <c r="H39" s="4" t="str">
        <f t="shared" si="9"/>
        <v>KZT</v>
      </c>
      <c r="I39" s="4">
        <f t="shared" si="10"/>
        <v>1</v>
      </c>
      <c r="J39" s="4">
        <f t="shared" si="11"/>
        <v>398</v>
      </c>
      <c r="K39" s="4" t="s">
        <v>697</v>
      </c>
      <c r="L39" s="4">
        <f>SUMIFS(BOM!$AA:$AA,BOM!$P:$P,$B39)</f>
        <v>26.4</v>
      </c>
      <c r="M39" s="4">
        <f t="shared" si="12"/>
        <v>26.4</v>
      </c>
      <c r="N39" s="4">
        <f>IF($J39="","",$J39*SUMIFS(BOM!$AA:$AA,BOM!$P:$P,$B39,BOM!$M:$M,"&lt;&gt;KAPSAM_DISI",BOM!$M:$M,"&lt;&gt;KONTROL"))</f>
        <v>10507.199999999999</v>
      </c>
      <c r="O39" s="4" t="s">
        <v>877</v>
      </c>
      <c r="P39" s="4" t="str">
        <f t="shared" si="13"/>
        <v>FIYAT_ESKI</v>
      </c>
      <c r="R39" s="4" t="s">
        <v>887</v>
      </c>
      <c r="S39" s="4" t="s">
        <v>877</v>
      </c>
      <c r="AL39" s="5" t="s">
        <v>755</v>
      </c>
    </row>
    <row r="40" spans="1:38" x14ac:dyDescent="0.35">
      <c r="A40" s="4">
        <f t="shared" si="8"/>
        <v>39</v>
      </c>
      <c r="B40" s="4" t="s">
        <v>132</v>
      </c>
      <c r="C40" s="4" t="s">
        <v>888</v>
      </c>
      <c r="D40" s="4" t="s">
        <v>889</v>
      </c>
      <c r="E40" s="4" t="s">
        <v>87</v>
      </c>
      <c r="F40" s="12">
        <v>697</v>
      </c>
      <c r="G40" s="4" t="s">
        <v>877</v>
      </c>
      <c r="H40" s="4" t="str">
        <f t="shared" si="9"/>
        <v>KZT</v>
      </c>
      <c r="I40" s="4">
        <f t="shared" si="10"/>
        <v>1</v>
      </c>
      <c r="J40" s="4">
        <f t="shared" si="11"/>
        <v>697</v>
      </c>
      <c r="K40" s="4" t="s">
        <v>697</v>
      </c>
      <c r="L40" s="4">
        <f>SUMIFS(BOM!$AA:$AA,BOM!$P:$P,$B40)</f>
        <v>6.6</v>
      </c>
      <c r="M40" s="4">
        <f t="shared" si="12"/>
        <v>6.6</v>
      </c>
      <c r="N40" s="4">
        <f>IF($J40="","",$J40*SUMIFS(BOM!$AA:$AA,BOM!$P:$P,$B40,BOM!$M:$M,"&lt;&gt;KAPSAM_DISI",BOM!$M:$M,"&lt;&gt;KONTROL"))</f>
        <v>4600.2</v>
      </c>
      <c r="O40" s="4" t="s">
        <v>877</v>
      </c>
      <c r="P40" s="4" t="str">
        <f t="shared" si="13"/>
        <v>FIYAT_ESKI</v>
      </c>
      <c r="R40" s="4" t="s">
        <v>890</v>
      </c>
      <c r="S40" s="4" t="s">
        <v>877</v>
      </c>
      <c r="AL40" s="5" t="s">
        <v>755</v>
      </c>
    </row>
    <row r="41" spans="1:38" x14ac:dyDescent="0.35">
      <c r="A41" s="4">
        <f t="shared" si="8"/>
        <v>40</v>
      </c>
      <c r="B41" s="4" t="s">
        <v>155</v>
      </c>
      <c r="C41" s="4" t="s">
        <v>891</v>
      </c>
      <c r="D41" s="4" t="s">
        <v>892</v>
      </c>
      <c r="E41" s="4" t="s">
        <v>87</v>
      </c>
      <c r="F41" s="12">
        <v>1084</v>
      </c>
      <c r="G41" s="4" t="s">
        <v>877</v>
      </c>
      <c r="H41" s="4" t="str">
        <f t="shared" si="9"/>
        <v>KZT</v>
      </c>
      <c r="I41" s="4">
        <f t="shared" si="10"/>
        <v>1</v>
      </c>
      <c r="J41" s="4">
        <f t="shared" si="11"/>
        <v>1084</v>
      </c>
      <c r="K41" s="4" t="s">
        <v>697</v>
      </c>
      <c r="L41" s="4">
        <f>SUMIFS(BOM!$AA:$AA,BOM!$P:$P,$B41)</f>
        <v>12</v>
      </c>
      <c r="M41" s="4">
        <f t="shared" si="12"/>
        <v>12</v>
      </c>
      <c r="N41" s="4">
        <f>IF($J41="","",$J41*SUMIFS(BOM!$AA:$AA,BOM!$P:$P,$B41,BOM!$M:$M,"&lt;&gt;KAPSAM_DISI",BOM!$M:$M,"&lt;&gt;KONTROL"))</f>
        <v>13008</v>
      </c>
      <c r="O41" s="4" t="s">
        <v>877</v>
      </c>
      <c r="P41" s="4" t="str">
        <f t="shared" si="13"/>
        <v>FIYAT_ESKI</v>
      </c>
      <c r="R41" s="4" t="s">
        <v>893</v>
      </c>
      <c r="S41" s="4" t="s">
        <v>877</v>
      </c>
      <c r="AL41" s="5" t="s">
        <v>755</v>
      </c>
    </row>
    <row r="42" spans="1:38" x14ac:dyDescent="0.35">
      <c r="A42" s="4">
        <f t="shared" si="8"/>
        <v>41</v>
      </c>
      <c r="B42" s="4" t="s">
        <v>95</v>
      </c>
      <c r="C42" s="4" t="s">
        <v>894</v>
      </c>
      <c r="D42" s="4" t="s">
        <v>895</v>
      </c>
      <c r="E42" s="4" t="s">
        <v>87</v>
      </c>
      <c r="F42" s="12">
        <v>1688</v>
      </c>
      <c r="G42" s="4" t="s">
        <v>877</v>
      </c>
      <c r="H42" s="4" t="str">
        <f t="shared" si="9"/>
        <v>KZT</v>
      </c>
      <c r="I42" s="4">
        <f t="shared" si="10"/>
        <v>1</v>
      </c>
      <c r="J42" s="4">
        <f t="shared" si="11"/>
        <v>1688</v>
      </c>
      <c r="K42" s="4" t="s">
        <v>697</v>
      </c>
      <c r="L42" s="4">
        <f>SUMIFS(BOM!$AA:$AA,BOM!$P:$P,$B42)</f>
        <v>10.6</v>
      </c>
      <c r="M42" s="4">
        <f t="shared" si="12"/>
        <v>10.6</v>
      </c>
      <c r="N42" s="4">
        <f>IF($J42="","",$J42*SUMIFS(BOM!$AA:$AA,BOM!$P:$P,$B42,BOM!$M:$M,"&lt;&gt;KAPSAM_DISI",BOM!$M:$M,"&lt;&gt;KONTROL"))</f>
        <v>17892.8</v>
      </c>
      <c r="O42" s="4" t="s">
        <v>877</v>
      </c>
      <c r="P42" s="4" t="str">
        <f t="shared" si="13"/>
        <v>FIYAT_ESKI</v>
      </c>
      <c r="R42" s="4" t="s">
        <v>896</v>
      </c>
      <c r="S42" s="4" t="s">
        <v>877</v>
      </c>
      <c r="AL42" s="5" t="s">
        <v>755</v>
      </c>
    </row>
    <row r="43" spans="1:38" x14ac:dyDescent="0.35">
      <c r="A43" s="4">
        <f t="shared" si="8"/>
        <v>42</v>
      </c>
      <c r="B43" s="4" t="s">
        <v>97</v>
      </c>
      <c r="C43" s="4" t="s">
        <v>897</v>
      </c>
      <c r="D43" s="4" t="s">
        <v>898</v>
      </c>
      <c r="E43" s="4" t="s">
        <v>87</v>
      </c>
      <c r="F43" s="12">
        <v>2399</v>
      </c>
      <c r="G43" s="4" t="s">
        <v>877</v>
      </c>
      <c r="H43" s="4" t="str">
        <f t="shared" si="9"/>
        <v>KZT</v>
      </c>
      <c r="I43" s="4">
        <f t="shared" si="10"/>
        <v>1</v>
      </c>
      <c r="J43" s="4">
        <f t="shared" si="11"/>
        <v>2399</v>
      </c>
      <c r="K43" s="4" t="s">
        <v>697</v>
      </c>
      <c r="L43" s="4">
        <f>SUMIFS(BOM!$AA:$AA,BOM!$P:$P,$B43)</f>
        <v>5.3</v>
      </c>
      <c r="M43" s="4">
        <f t="shared" si="12"/>
        <v>5.3</v>
      </c>
      <c r="N43" s="4">
        <f>IF($J43="","",$J43*SUMIFS(BOM!$AA:$AA,BOM!$P:$P,$B43,BOM!$M:$M,"&lt;&gt;KAPSAM_DISI",BOM!$M:$M,"&lt;&gt;KONTROL"))</f>
        <v>12714.699999999999</v>
      </c>
      <c r="O43" s="4" t="s">
        <v>877</v>
      </c>
      <c r="P43" s="4" t="str">
        <f t="shared" si="13"/>
        <v>FIYAT_ESKI</v>
      </c>
      <c r="R43" s="4" t="s">
        <v>899</v>
      </c>
      <c r="S43" s="4" t="s">
        <v>877</v>
      </c>
      <c r="AL43" s="5" t="s">
        <v>755</v>
      </c>
    </row>
    <row r="44" spans="1:38" x14ac:dyDescent="0.35">
      <c r="A44" s="4">
        <f t="shared" si="8"/>
        <v>43</v>
      </c>
      <c r="B44" s="4" t="s">
        <v>900</v>
      </c>
      <c r="C44" s="4" t="s">
        <v>901</v>
      </c>
      <c r="D44" s="4" t="s">
        <v>902</v>
      </c>
      <c r="E44" s="4" t="s">
        <v>81</v>
      </c>
      <c r="F44" s="12">
        <v>1022</v>
      </c>
      <c r="G44" s="4" t="s">
        <v>832</v>
      </c>
      <c r="H44" s="4" t="str">
        <f t="shared" si="9"/>
        <v>KZT</v>
      </c>
      <c r="I44" s="4">
        <f t="shared" si="10"/>
        <v>1</v>
      </c>
      <c r="J44" s="4">
        <f t="shared" si="11"/>
        <v>1022</v>
      </c>
      <c r="K44" s="4" t="s">
        <v>697</v>
      </c>
      <c r="L44" s="4">
        <f>SUMIFS(BOM!$AA:$AA,BOM!$P:$P,$B44)</f>
        <v>0</v>
      </c>
      <c r="M44" s="4">
        <f t="shared" si="12"/>
        <v>0</v>
      </c>
      <c r="N44" s="4">
        <f>IF($J44="","",$J44*SUMIFS(BOM!$AA:$AA,BOM!$P:$P,$B44,BOM!$M:$M,"&lt;&gt;KAPSAM_DISI",BOM!$M:$M,"&lt;&gt;KONTROL"))</f>
        <v>0</v>
      </c>
      <c r="O44" s="4" t="s">
        <v>833</v>
      </c>
      <c r="P44" s="4" t="str">
        <f t="shared" si="13"/>
        <v>MUADIL_ONAY</v>
      </c>
      <c r="Q44" s="4" t="s">
        <v>84</v>
      </c>
      <c r="R44" s="4" t="s">
        <v>903</v>
      </c>
      <c r="S44" s="4" t="s">
        <v>832</v>
      </c>
      <c r="AL44" s="5" t="s">
        <v>755</v>
      </c>
    </row>
    <row r="45" spans="1:38" x14ac:dyDescent="0.35">
      <c r="A45" s="4">
        <f t="shared" si="8"/>
        <v>44</v>
      </c>
      <c r="B45" s="4" t="s">
        <v>904</v>
      </c>
      <c r="C45" s="4" t="s">
        <v>905</v>
      </c>
      <c r="D45" s="4" t="s">
        <v>906</v>
      </c>
      <c r="E45" s="4" t="s">
        <v>81</v>
      </c>
      <c r="F45" s="12">
        <v>596</v>
      </c>
      <c r="G45" s="4" t="s">
        <v>832</v>
      </c>
      <c r="H45" s="4" t="str">
        <f t="shared" si="9"/>
        <v>KZT</v>
      </c>
      <c r="I45" s="4">
        <f t="shared" si="10"/>
        <v>1</v>
      </c>
      <c r="J45" s="4">
        <f t="shared" si="11"/>
        <v>596</v>
      </c>
      <c r="K45" s="4" t="s">
        <v>697</v>
      </c>
      <c r="L45" s="4">
        <f>SUMIFS(BOM!$AA:$AA,BOM!$P:$P,$B45)</f>
        <v>0</v>
      </c>
      <c r="M45" s="4">
        <f t="shared" si="12"/>
        <v>0</v>
      </c>
      <c r="N45" s="4">
        <f>IF($J45="","",$J45*SUMIFS(BOM!$AA:$AA,BOM!$P:$P,$B45,BOM!$M:$M,"&lt;&gt;KAPSAM_DISI",BOM!$M:$M,"&lt;&gt;KONTROL"))</f>
        <v>0</v>
      </c>
      <c r="O45" s="4" t="s">
        <v>833</v>
      </c>
      <c r="P45" s="4" t="str">
        <f t="shared" si="13"/>
        <v>MUADIL_ONAY</v>
      </c>
      <c r="Q45" s="4" t="s">
        <v>84</v>
      </c>
      <c r="R45" s="4" t="s">
        <v>907</v>
      </c>
      <c r="S45" s="4" t="s">
        <v>832</v>
      </c>
      <c r="AL45" s="5" t="s">
        <v>755</v>
      </c>
    </row>
    <row r="46" spans="1:38" x14ac:dyDescent="0.35">
      <c r="A46" s="4">
        <f t="shared" si="8"/>
        <v>45</v>
      </c>
      <c r="B46" s="4" t="s">
        <v>58</v>
      </c>
      <c r="D46" s="4" t="s">
        <v>908</v>
      </c>
      <c r="E46" s="4" t="s">
        <v>56</v>
      </c>
      <c r="F46" s="13"/>
      <c r="G46" s="4" t="s">
        <v>751</v>
      </c>
      <c r="H46" s="4" t="str">
        <f t="shared" si="9"/>
        <v>KZT</v>
      </c>
      <c r="I46" s="4">
        <f t="shared" si="10"/>
        <v>0.6</v>
      </c>
      <c r="J46" s="4" t="str">
        <f t="shared" si="11"/>
        <v/>
      </c>
      <c r="K46" s="4" t="s">
        <v>700</v>
      </c>
      <c r="L46" s="4">
        <f>SUMIFS(BOM!$AA:$AA,BOM!$P:$P,$B46)</f>
        <v>2</v>
      </c>
      <c r="M46" s="4">
        <f t="shared" si="12"/>
        <v>2</v>
      </c>
      <c r="N46" s="4" t="str">
        <f>IF($J46="","",$J46*SUMIFS(BOM!$AA:$AA,BOM!$P:$P,$B46,BOM!$M:$M,"&lt;&gt;KAPSAM_DISI",BOM!$M:$M,"&lt;&gt;KONTROL"))</f>
        <v/>
      </c>
      <c r="O46" s="4" t="s">
        <v>752</v>
      </c>
      <c r="P46" s="4" t="str">
        <f t="shared" si="13"/>
        <v>FIYAT_YOK</v>
      </c>
      <c r="R46" s="4" t="s">
        <v>909</v>
      </c>
      <c r="S46" s="4" t="s">
        <v>751</v>
      </c>
      <c r="U46" s="5">
        <v>3</v>
      </c>
      <c r="V46" s="5">
        <v>125</v>
      </c>
      <c r="AE46" s="5" t="s">
        <v>125</v>
      </c>
      <c r="AJ46" s="5">
        <v>230</v>
      </c>
    </row>
    <row r="47" spans="1:38" x14ac:dyDescent="0.35">
      <c r="A47" s="4">
        <f t="shared" si="8"/>
        <v>46</v>
      </c>
      <c r="B47" s="4" t="s">
        <v>182</v>
      </c>
      <c r="D47" s="4" t="s">
        <v>910</v>
      </c>
      <c r="E47" s="4" t="s">
        <v>108</v>
      </c>
      <c r="F47" s="13"/>
      <c r="G47" s="4" t="s">
        <v>751</v>
      </c>
      <c r="H47" s="4" t="str">
        <f t="shared" si="9"/>
        <v>KZT</v>
      </c>
      <c r="I47" s="4">
        <f t="shared" si="10"/>
        <v>0.6</v>
      </c>
      <c r="J47" s="4" t="str">
        <f t="shared" si="11"/>
        <v/>
      </c>
      <c r="K47" s="4" t="s">
        <v>700</v>
      </c>
      <c r="L47" s="4">
        <f>SUMIFS(BOM!$AA:$AA,BOM!$P:$P,$B47)</f>
        <v>2</v>
      </c>
      <c r="M47" s="4">
        <f t="shared" si="12"/>
        <v>2</v>
      </c>
      <c r="N47" s="4" t="str">
        <f>IF($J47="","",$J47*SUMIFS(BOM!$AA:$AA,BOM!$P:$P,$B47,BOM!$M:$M,"&lt;&gt;KAPSAM_DISI",BOM!$M:$M,"&lt;&gt;KONTROL"))</f>
        <v/>
      </c>
      <c r="O47" s="4" t="s">
        <v>752</v>
      </c>
      <c r="P47" s="4" t="str">
        <f t="shared" si="13"/>
        <v>FIYAT_YOK</v>
      </c>
      <c r="R47" s="4" t="s">
        <v>911</v>
      </c>
      <c r="S47" s="4" t="s">
        <v>751</v>
      </c>
      <c r="T47" s="5">
        <v>3</v>
      </c>
      <c r="U47" s="5">
        <v>3</v>
      </c>
      <c r="V47" s="5">
        <v>25</v>
      </c>
      <c r="AE47" s="5" t="s">
        <v>125</v>
      </c>
    </row>
    <row r="48" spans="1:38" x14ac:dyDescent="0.35">
      <c r="A48" s="4">
        <f t="shared" si="8"/>
        <v>47</v>
      </c>
      <c r="B48" s="4" t="s">
        <v>69</v>
      </c>
      <c r="D48" s="4" t="s">
        <v>912</v>
      </c>
      <c r="E48" s="4" t="s">
        <v>67</v>
      </c>
      <c r="F48" s="13"/>
      <c r="G48" s="4" t="s">
        <v>751</v>
      </c>
      <c r="H48" s="4" t="str">
        <f t="shared" si="9"/>
        <v>KZT</v>
      </c>
      <c r="I48" s="4">
        <f t="shared" si="10"/>
        <v>0.6</v>
      </c>
      <c r="J48" s="4" t="str">
        <f t="shared" si="11"/>
        <v/>
      </c>
      <c r="K48" s="4" t="s">
        <v>700</v>
      </c>
      <c r="L48" s="4">
        <f>SUMIFS(BOM!$AA:$AA,BOM!$P:$P,$B48)</f>
        <v>2</v>
      </c>
      <c r="M48" s="4">
        <f t="shared" si="12"/>
        <v>2</v>
      </c>
      <c r="N48" s="4" t="str">
        <f>IF($J48="","",$J48*SUMIFS(BOM!$AA:$AA,BOM!$P:$P,$B48,BOM!$M:$M,"&lt;&gt;KAPSAM_DISI",BOM!$M:$M,"&lt;&gt;KONTROL"))</f>
        <v/>
      </c>
      <c r="O48" s="4" t="s">
        <v>752</v>
      </c>
      <c r="P48" s="4" t="str">
        <f t="shared" si="13"/>
        <v>FIYAT_YOK</v>
      </c>
      <c r="R48" s="4" t="s">
        <v>913</v>
      </c>
      <c r="S48" s="4" t="s">
        <v>751</v>
      </c>
    </row>
    <row r="49" spans="1:27" x14ac:dyDescent="0.35">
      <c r="A49" s="4">
        <f t="shared" si="8"/>
        <v>48</v>
      </c>
      <c r="B49" s="4" t="s">
        <v>104</v>
      </c>
      <c r="C49" s="4" t="s">
        <v>104</v>
      </c>
      <c r="D49" s="4" t="s">
        <v>914</v>
      </c>
      <c r="E49" s="4" t="s">
        <v>102</v>
      </c>
      <c r="F49" s="12">
        <f>ISCILIK_DK_UCRETI</f>
        <v>100</v>
      </c>
      <c r="G49" s="4" t="s">
        <v>101</v>
      </c>
      <c r="H49" s="4" t="str">
        <f t="shared" si="9"/>
        <v>KZT</v>
      </c>
      <c r="I49" s="4">
        <f t="shared" si="10"/>
        <v>1</v>
      </c>
      <c r="J49" s="4">
        <f t="shared" si="11"/>
        <v>100</v>
      </c>
      <c r="K49" s="4" t="s">
        <v>693</v>
      </c>
      <c r="L49" s="4">
        <f>SUMIFS(BOM!$AA:$AA,BOM!$P:$P,$B49)</f>
        <v>2366</v>
      </c>
      <c r="M49" s="4">
        <f t="shared" si="12"/>
        <v>2366</v>
      </c>
      <c r="N49" s="4">
        <f>IF($J49="","",$J49*SUMIFS(BOM!$AA:$AA,BOM!$P:$P,$B49,BOM!$M:$M,"&lt;&gt;KAPSAM_DISI",BOM!$M:$M,"&lt;&gt;KONTROL"))</f>
        <v>236600</v>
      </c>
      <c r="O49" s="4" t="s">
        <v>101</v>
      </c>
      <c r="P49" s="4" t="str">
        <f t="shared" si="13"/>
        <v>OK</v>
      </c>
      <c r="R49" s="4" t="s">
        <v>915</v>
      </c>
      <c r="S49" s="4" t="s">
        <v>101</v>
      </c>
    </row>
    <row r="50" spans="1:27" x14ac:dyDescent="0.35">
      <c r="A50" s="4">
        <f t="shared" si="8"/>
        <v>49</v>
      </c>
      <c r="B50" s="4" t="s">
        <v>100</v>
      </c>
      <c r="C50" s="4" t="s">
        <v>100</v>
      </c>
      <c r="D50" s="4" t="s">
        <v>916</v>
      </c>
      <c r="E50" s="4" t="s">
        <v>98</v>
      </c>
      <c r="F50" s="12">
        <v>1</v>
      </c>
      <c r="G50" s="4" t="s">
        <v>101</v>
      </c>
      <c r="H50" s="4" t="str">
        <f t="shared" si="9"/>
        <v>KZT</v>
      </c>
      <c r="I50" s="4">
        <f t="shared" si="10"/>
        <v>1</v>
      </c>
      <c r="J50" s="4">
        <f t="shared" si="11"/>
        <v>1</v>
      </c>
      <c r="K50" s="4" t="s">
        <v>917</v>
      </c>
      <c r="L50" s="4">
        <f>SUMIFS(BOM!$AA:$AA,BOM!$P:$P,$B50)</f>
        <v>0</v>
      </c>
      <c r="M50" s="4">
        <f t="shared" si="12"/>
        <v>0</v>
      </c>
      <c r="N50" s="4">
        <f>IF($J50="","",$J50*SUMIFS(BOM!$AA:$AA,BOM!$P:$P,$B50,BOM!$M:$M,"&lt;&gt;KAPSAM_DISI",BOM!$M:$M,"&lt;&gt;KONTROL"))</f>
        <v>0</v>
      </c>
      <c r="O50" s="4" t="s">
        <v>101</v>
      </c>
      <c r="P50" s="4" t="str">
        <f t="shared" si="13"/>
        <v>OK</v>
      </c>
      <c r="R50" s="4" t="s">
        <v>915</v>
      </c>
      <c r="S50" s="4" t="s">
        <v>101</v>
      </c>
    </row>
    <row r="51" spans="1:27" x14ac:dyDescent="0.35">
      <c r="A51" s="4">
        <f t="shared" si="8"/>
        <v>50</v>
      </c>
      <c r="B51" s="4" t="s">
        <v>918</v>
      </c>
      <c r="C51" s="4" t="s">
        <v>918</v>
      </c>
      <c r="D51" s="4" t="s">
        <v>919</v>
      </c>
      <c r="E51" s="4" t="s">
        <v>920</v>
      </c>
      <c r="F51" s="13"/>
      <c r="G51" s="4" t="s">
        <v>921</v>
      </c>
      <c r="H51" s="4" t="str">
        <f t="shared" si="9"/>
        <v>KZT</v>
      </c>
      <c r="I51" s="4">
        <f t="shared" si="10"/>
        <v>1</v>
      </c>
      <c r="J51" s="4">
        <f t="shared" si="11"/>
        <v>3171.3993</v>
      </c>
      <c r="K51" s="4" t="s">
        <v>697</v>
      </c>
      <c r="L51" s="4">
        <f>SUMIFS(BOM!$AA:$AA,BOM!$P:$P,$B51)</f>
        <v>0</v>
      </c>
      <c r="M51" s="4">
        <f t="shared" si="12"/>
        <v>0</v>
      </c>
      <c r="N51" s="4">
        <f>IF($J51="","",$J51*SUMIFS(BOM!$AA:$AA,BOM!$P:$P,$B51,BOM!$M:$M,"&lt;&gt;KAPSAM_DISI",BOM!$M:$M,"&lt;&gt;KONTROL"))</f>
        <v>0</v>
      </c>
      <c r="O51" s="4" t="s">
        <v>922</v>
      </c>
      <c r="P51" s="4" t="str">
        <f t="shared" si="13"/>
        <v>FIYAT_ESKI</v>
      </c>
      <c r="R51" s="4" t="s">
        <v>923</v>
      </c>
      <c r="S51" s="4" t="s">
        <v>921</v>
      </c>
      <c r="AA51" s="4">
        <f>INDEX(BARA_CU_KGM,MATCH($B51,BARA_KOD_CU,0))</f>
        <v>0.40050000000000002</v>
      </c>
    </row>
    <row r="52" spans="1:27" x14ac:dyDescent="0.35">
      <c r="A52" s="4">
        <f t="shared" si="8"/>
        <v>51</v>
      </c>
      <c r="B52" s="4" t="s">
        <v>924</v>
      </c>
      <c r="C52" s="4" t="s">
        <v>924</v>
      </c>
      <c r="D52" s="4" t="s">
        <v>925</v>
      </c>
      <c r="E52" s="4" t="s">
        <v>920</v>
      </c>
      <c r="F52" s="13"/>
      <c r="G52" s="4" t="s">
        <v>926</v>
      </c>
      <c r="H52" s="4" t="str">
        <f t="shared" si="9"/>
        <v>KZT</v>
      </c>
      <c r="I52" s="4">
        <f t="shared" si="10"/>
        <v>1</v>
      </c>
      <c r="J52" s="4">
        <f t="shared" si="11"/>
        <v>545.97239999999999</v>
      </c>
      <c r="K52" s="4" t="s">
        <v>697</v>
      </c>
      <c r="L52" s="4">
        <f>SUMIFS(BOM!$AA:$AA,BOM!$P:$P,$B52)</f>
        <v>0</v>
      </c>
      <c r="M52" s="4">
        <f t="shared" si="12"/>
        <v>0</v>
      </c>
      <c r="N52" s="4">
        <f>IF($J52="","",$J52*SUMIFS(BOM!$AA:$AA,BOM!$P:$P,$B52,BOM!$M:$M,"&lt;&gt;KAPSAM_DISI",BOM!$M:$M,"&lt;&gt;KONTROL"))</f>
        <v>0</v>
      </c>
      <c r="O52" s="4" t="s">
        <v>922</v>
      </c>
      <c r="P52" s="4" t="str">
        <f t="shared" si="13"/>
        <v>FIYAT_ESKI</v>
      </c>
      <c r="R52" s="4" t="s">
        <v>923</v>
      </c>
      <c r="S52" s="4" t="s">
        <v>926</v>
      </c>
      <c r="AA52" s="4">
        <f>INDEX(BARA_AL_KGM,MATCH($B52,BARA_KOD_AL,0))</f>
        <v>0.12150000000000001</v>
      </c>
    </row>
    <row r="53" spans="1:27" x14ac:dyDescent="0.35">
      <c r="A53" s="4">
        <f t="shared" si="8"/>
        <v>52</v>
      </c>
      <c r="B53" s="4" t="s">
        <v>927</v>
      </c>
      <c r="C53" s="4" t="s">
        <v>927</v>
      </c>
      <c r="D53" s="4" t="s">
        <v>928</v>
      </c>
      <c r="E53" s="4" t="s">
        <v>920</v>
      </c>
      <c r="F53" s="13"/>
      <c r="G53" s="4" t="s">
        <v>921</v>
      </c>
      <c r="H53" s="4" t="str">
        <f t="shared" si="9"/>
        <v>KZT</v>
      </c>
      <c r="I53" s="4">
        <f t="shared" si="10"/>
        <v>1</v>
      </c>
      <c r="J53" s="4">
        <f t="shared" si="11"/>
        <v>4228.5324000000001</v>
      </c>
      <c r="K53" s="4" t="s">
        <v>697</v>
      </c>
      <c r="L53" s="4">
        <f>SUMIFS(BOM!$AA:$AA,BOM!$P:$P,$B53)</f>
        <v>0</v>
      </c>
      <c r="M53" s="4">
        <f t="shared" si="12"/>
        <v>0</v>
      </c>
      <c r="N53" s="4">
        <f>IF($J53="","",$J53*SUMIFS(BOM!$AA:$AA,BOM!$P:$P,$B53,BOM!$M:$M,"&lt;&gt;KAPSAM_DISI",BOM!$M:$M,"&lt;&gt;KONTROL"))</f>
        <v>0</v>
      </c>
      <c r="O53" s="4" t="s">
        <v>922</v>
      </c>
      <c r="P53" s="4" t="str">
        <f t="shared" si="13"/>
        <v>FIYAT_ESKI</v>
      </c>
      <c r="R53" s="4" t="s">
        <v>923</v>
      </c>
      <c r="S53" s="4" t="s">
        <v>921</v>
      </c>
      <c r="AA53" s="4">
        <f>INDEX(BARA_CU_KGM,MATCH($B53,BARA_KOD_CU,0))</f>
        <v>0.53400000000000003</v>
      </c>
    </row>
    <row r="54" spans="1:27" x14ac:dyDescent="0.35">
      <c r="A54" s="4">
        <f t="shared" si="8"/>
        <v>53</v>
      </c>
      <c r="B54" s="4" t="s">
        <v>929</v>
      </c>
      <c r="C54" s="4" t="s">
        <v>929</v>
      </c>
      <c r="D54" s="4" t="s">
        <v>930</v>
      </c>
      <c r="E54" s="4" t="s">
        <v>920</v>
      </c>
      <c r="F54" s="13"/>
      <c r="G54" s="4" t="s">
        <v>926</v>
      </c>
      <c r="H54" s="4" t="str">
        <f t="shared" si="9"/>
        <v>KZT</v>
      </c>
      <c r="I54" s="4">
        <f t="shared" si="10"/>
        <v>1</v>
      </c>
      <c r="J54" s="4">
        <f t="shared" si="11"/>
        <v>727.96319999999992</v>
      </c>
      <c r="K54" s="4" t="s">
        <v>697</v>
      </c>
      <c r="L54" s="4">
        <f>SUMIFS(BOM!$AA:$AA,BOM!$P:$P,$B54)</f>
        <v>0</v>
      </c>
      <c r="M54" s="4">
        <f t="shared" si="12"/>
        <v>0</v>
      </c>
      <c r="N54" s="4">
        <f>IF($J54="","",$J54*SUMIFS(BOM!$AA:$AA,BOM!$P:$P,$B54,BOM!$M:$M,"&lt;&gt;KAPSAM_DISI",BOM!$M:$M,"&lt;&gt;KONTROL"))</f>
        <v>0</v>
      </c>
      <c r="O54" s="4" t="s">
        <v>922</v>
      </c>
      <c r="P54" s="4" t="str">
        <f t="shared" si="13"/>
        <v>FIYAT_ESKI</v>
      </c>
      <c r="R54" s="4" t="s">
        <v>923</v>
      </c>
      <c r="S54" s="4" t="s">
        <v>926</v>
      </c>
      <c r="AA54" s="4">
        <f>INDEX(BARA_AL_KGM,MATCH($B54,BARA_KOD_AL,0))</f>
        <v>0.16200000000000001</v>
      </c>
    </row>
    <row r="55" spans="1:27" x14ac:dyDescent="0.35">
      <c r="A55" s="4">
        <f t="shared" si="8"/>
        <v>54</v>
      </c>
      <c r="B55" s="4" t="s">
        <v>931</v>
      </c>
      <c r="C55" s="4" t="s">
        <v>931</v>
      </c>
      <c r="D55" s="4" t="s">
        <v>932</v>
      </c>
      <c r="E55" s="4" t="s">
        <v>920</v>
      </c>
      <c r="F55" s="13"/>
      <c r="G55" s="4" t="s">
        <v>921</v>
      </c>
      <c r="H55" s="4" t="str">
        <f t="shared" si="9"/>
        <v>KZT</v>
      </c>
      <c r="I55" s="4">
        <f t="shared" si="10"/>
        <v>1</v>
      </c>
      <c r="J55" s="4">
        <f t="shared" si="11"/>
        <v>5285.6654999999992</v>
      </c>
      <c r="K55" s="4" t="s">
        <v>697</v>
      </c>
      <c r="L55" s="4">
        <f>SUMIFS(BOM!$AA:$AA,BOM!$P:$P,$B55)</f>
        <v>0</v>
      </c>
      <c r="M55" s="4">
        <f t="shared" si="12"/>
        <v>0</v>
      </c>
      <c r="N55" s="4">
        <f>IF($J55="","",$J55*SUMIFS(BOM!$AA:$AA,BOM!$P:$P,$B55,BOM!$M:$M,"&lt;&gt;KAPSAM_DISI",BOM!$M:$M,"&lt;&gt;KONTROL"))</f>
        <v>0</v>
      </c>
      <c r="O55" s="4" t="s">
        <v>922</v>
      </c>
      <c r="P55" s="4" t="str">
        <f t="shared" si="13"/>
        <v>FIYAT_ESKI</v>
      </c>
      <c r="R55" s="4" t="s">
        <v>923</v>
      </c>
      <c r="S55" s="4" t="s">
        <v>921</v>
      </c>
      <c r="AA55" s="4">
        <f>INDEX(BARA_CU_KGM,MATCH($B55,BARA_KOD_CU,0))</f>
        <v>0.66749999999999998</v>
      </c>
    </row>
    <row r="56" spans="1:27" x14ac:dyDescent="0.35">
      <c r="A56" s="4">
        <f t="shared" si="8"/>
        <v>55</v>
      </c>
      <c r="B56" s="4" t="s">
        <v>933</v>
      </c>
      <c r="C56" s="4" t="s">
        <v>933</v>
      </c>
      <c r="D56" s="4" t="s">
        <v>934</v>
      </c>
      <c r="E56" s="4" t="s">
        <v>920</v>
      </c>
      <c r="F56" s="13"/>
      <c r="G56" s="4" t="s">
        <v>926</v>
      </c>
      <c r="H56" s="4" t="str">
        <f t="shared" si="9"/>
        <v>KZT</v>
      </c>
      <c r="I56" s="4">
        <f t="shared" si="10"/>
        <v>1</v>
      </c>
      <c r="J56" s="4">
        <f t="shared" si="11"/>
        <v>909.95399999999995</v>
      </c>
      <c r="K56" s="4" t="s">
        <v>697</v>
      </c>
      <c r="L56" s="4">
        <f>SUMIFS(BOM!$AA:$AA,BOM!$P:$P,$B56)</f>
        <v>0</v>
      </c>
      <c r="M56" s="4">
        <f t="shared" si="12"/>
        <v>0</v>
      </c>
      <c r="N56" s="4">
        <f>IF($J56="","",$J56*SUMIFS(BOM!$AA:$AA,BOM!$P:$P,$B56,BOM!$M:$M,"&lt;&gt;KAPSAM_DISI",BOM!$M:$M,"&lt;&gt;KONTROL"))</f>
        <v>0</v>
      </c>
      <c r="O56" s="4" t="s">
        <v>922</v>
      </c>
      <c r="P56" s="4" t="str">
        <f t="shared" si="13"/>
        <v>FIYAT_ESKI</v>
      </c>
      <c r="R56" s="4" t="s">
        <v>923</v>
      </c>
      <c r="S56" s="4" t="s">
        <v>926</v>
      </c>
      <c r="AA56" s="4">
        <f>INDEX(BARA_AL_KGM,MATCH($B56,BARA_KOD_AL,0))</f>
        <v>0.20250000000000001</v>
      </c>
    </row>
    <row r="57" spans="1:27" x14ac:dyDescent="0.35">
      <c r="A57" s="4">
        <f t="shared" si="8"/>
        <v>56</v>
      </c>
      <c r="B57" s="4" t="s">
        <v>935</v>
      </c>
      <c r="C57" s="4" t="s">
        <v>935</v>
      </c>
      <c r="D57" s="4" t="s">
        <v>936</v>
      </c>
      <c r="E57" s="4" t="s">
        <v>920</v>
      </c>
      <c r="F57" s="13"/>
      <c r="G57" s="4" t="s">
        <v>921</v>
      </c>
      <c r="H57" s="4" t="str">
        <f t="shared" si="9"/>
        <v>KZT</v>
      </c>
      <c r="I57" s="4">
        <f t="shared" si="10"/>
        <v>1</v>
      </c>
      <c r="J57" s="4">
        <f t="shared" si="11"/>
        <v>8457.0648000000001</v>
      </c>
      <c r="K57" s="4" t="s">
        <v>697</v>
      </c>
      <c r="L57" s="4">
        <f>SUMIFS(BOM!$AA:$AA,BOM!$P:$P,$B57)</f>
        <v>0</v>
      </c>
      <c r="M57" s="4">
        <f t="shared" si="12"/>
        <v>0</v>
      </c>
      <c r="N57" s="4">
        <f>IF($J57="","",$J57*SUMIFS(BOM!$AA:$AA,BOM!$P:$P,$B57,BOM!$M:$M,"&lt;&gt;KAPSAM_DISI",BOM!$M:$M,"&lt;&gt;KONTROL"))</f>
        <v>0</v>
      </c>
      <c r="O57" s="4" t="s">
        <v>922</v>
      </c>
      <c r="P57" s="4" t="str">
        <f t="shared" si="13"/>
        <v>FIYAT_ESKI</v>
      </c>
      <c r="R57" s="4" t="s">
        <v>923</v>
      </c>
      <c r="S57" s="4" t="s">
        <v>921</v>
      </c>
      <c r="AA57" s="4">
        <f>INDEX(BARA_CU_KGM,MATCH($B57,BARA_KOD_CU,0))</f>
        <v>1.0680000000000001</v>
      </c>
    </row>
    <row r="58" spans="1:27" x14ac:dyDescent="0.35">
      <c r="A58" s="4">
        <f t="shared" si="8"/>
        <v>57</v>
      </c>
      <c r="B58" s="4" t="s">
        <v>937</v>
      </c>
      <c r="C58" s="4" t="s">
        <v>937</v>
      </c>
      <c r="D58" s="4" t="s">
        <v>938</v>
      </c>
      <c r="E58" s="4" t="s">
        <v>920</v>
      </c>
      <c r="F58" s="13"/>
      <c r="G58" s="4" t="s">
        <v>926</v>
      </c>
      <c r="H58" s="4" t="str">
        <f t="shared" si="9"/>
        <v>KZT</v>
      </c>
      <c r="I58" s="4">
        <f t="shared" si="10"/>
        <v>1</v>
      </c>
      <c r="J58" s="4">
        <f t="shared" si="11"/>
        <v>1455.9263999999998</v>
      </c>
      <c r="K58" s="4" t="s">
        <v>697</v>
      </c>
      <c r="L58" s="4">
        <f>SUMIFS(BOM!$AA:$AA,BOM!$P:$P,$B58)</f>
        <v>0</v>
      </c>
      <c r="M58" s="4">
        <f t="shared" si="12"/>
        <v>0</v>
      </c>
      <c r="N58" s="4">
        <f>IF($J58="","",$J58*SUMIFS(BOM!$AA:$AA,BOM!$P:$P,$B58,BOM!$M:$M,"&lt;&gt;KAPSAM_DISI",BOM!$M:$M,"&lt;&gt;KONTROL"))</f>
        <v>0</v>
      </c>
      <c r="O58" s="4" t="s">
        <v>922</v>
      </c>
      <c r="P58" s="4" t="str">
        <f t="shared" si="13"/>
        <v>FIYAT_ESKI</v>
      </c>
      <c r="R58" s="4" t="s">
        <v>923</v>
      </c>
      <c r="S58" s="4" t="s">
        <v>926</v>
      </c>
      <c r="AA58" s="4">
        <f>INDEX(BARA_AL_KGM,MATCH($B58,BARA_KOD_AL,0))</f>
        <v>0.32400000000000001</v>
      </c>
    </row>
    <row r="59" spans="1:27" x14ac:dyDescent="0.35">
      <c r="A59" s="4">
        <f t="shared" si="8"/>
        <v>58</v>
      </c>
      <c r="B59" s="4" t="s">
        <v>939</v>
      </c>
      <c r="C59" s="4" t="s">
        <v>939</v>
      </c>
      <c r="D59" s="4" t="s">
        <v>940</v>
      </c>
      <c r="E59" s="4" t="s">
        <v>920</v>
      </c>
      <c r="F59" s="13"/>
      <c r="G59" s="4" t="s">
        <v>921</v>
      </c>
      <c r="H59" s="4" t="str">
        <f t="shared" si="9"/>
        <v>KZT</v>
      </c>
      <c r="I59" s="4">
        <f t="shared" si="10"/>
        <v>1</v>
      </c>
      <c r="J59" s="4">
        <f t="shared" si="11"/>
        <v>11276.086399999998</v>
      </c>
      <c r="K59" s="4" t="s">
        <v>697</v>
      </c>
      <c r="L59" s="4">
        <f>SUMIFS(BOM!$AA:$AA,BOM!$P:$P,$B59)</f>
        <v>0</v>
      </c>
      <c r="M59" s="4">
        <f t="shared" si="12"/>
        <v>0</v>
      </c>
      <c r="N59" s="4">
        <f>IF($J59="","",$J59*SUMIFS(BOM!$AA:$AA,BOM!$P:$P,$B59,BOM!$M:$M,"&lt;&gt;KAPSAM_DISI",BOM!$M:$M,"&lt;&gt;KONTROL"))</f>
        <v>0</v>
      </c>
      <c r="O59" s="4" t="s">
        <v>922</v>
      </c>
      <c r="P59" s="4" t="str">
        <f t="shared" si="13"/>
        <v>FIYAT_ESKI</v>
      </c>
      <c r="R59" s="4" t="s">
        <v>923</v>
      </c>
      <c r="S59" s="4" t="s">
        <v>921</v>
      </c>
      <c r="AA59" s="4">
        <f>INDEX(BARA_CU_KGM,MATCH($B59,BARA_KOD_CU,0))</f>
        <v>1.4239999999999999</v>
      </c>
    </row>
    <row r="60" spans="1:27" x14ac:dyDescent="0.35">
      <c r="A60" s="4">
        <f t="shared" si="8"/>
        <v>59</v>
      </c>
      <c r="B60" s="4" t="s">
        <v>941</v>
      </c>
      <c r="C60" s="4" t="s">
        <v>941</v>
      </c>
      <c r="D60" s="4" t="s">
        <v>942</v>
      </c>
      <c r="E60" s="4" t="s">
        <v>920</v>
      </c>
      <c r="F60" s="13"/>
      <c r="G60" s="4" t="s">
        <v>926</v>
      </c>
      <c r="H60" s="4" t="str">
        <f t="shared" si="9"/>
        <v>KZT</v>
      </c>
      <c r="I60" s="4">
        <f t="shared" si="10"/>
        <v>1</v>
      </c>
      <c r="J60" s="4">
        <f t="shared" si="11"/>
        <v>1941.2351999999998</v>
      </c>
      <c r="K60" s="4" t="s">
        <v>697</v>
      </c>
      <c r="L60" s="4">
        <f>SUMIFS(BOM!$AA:$AA,BOM!$P:$P,$B60)</f>
        <v>0</v>
      </c>
      <c r="M60" s="4">
        <f t="shared" si="12"/>
        <v>0</v>
      </c>
      <c r="N60" s="4">
        <f>IF($J60="","",$J60*SUMIFS(BOM!$AA:$AA,BOM!$P:$P,$B60,BOM!$M:$M,"&lt;&gt;KAPSAM_DISI",BOM!$M:$M,"&lt;&gt;KONTROL"))</f>
        <v>0</v>
      </c>
      <c r="O60" s="4" t="s">
        <v>922</v>
      </c>
      <c r="P60" s="4" t="str">
        <f t="shared" si="13"/>
        <v>FIYAT_ESKI</v>
      </c>
      <c r="R60" s="4" t="s">
        <v>923</v>
      </c>
      <c r="S60" s="4" t="s">
        <v>926</v>
      </c>
      <c r="AA60" s="4">
        <f>INDEX(BARA_AL_KGM,MATCH($B60,BARA_KOD_AL,0))</f>
        <v>0.432</v>
      </c>
    </row>
    <row r="61" spans="1:27" x14ac:dyDescent="0.35">
      <c r="A61" s="4">
        <f t="shared" si="8"/>
        <v>60</v>
      </c>
      <c r="B61" s="4" t="s">
        <v>943</v>
      </c>
      <c r="C61" s="4" t="s">
        <v>943</v>
      </c>
      <c r="D61" s="4" t="s">
        <v>944</v>
      </c>
      <c r="E61" s="4" t="s">
        <v>920</v>
      </c>
      <c r="F61" s="13"/>
      <c r="G61" s="4" t="s">
        <v>921</v>
      </c>
      <c r="H61" s="4" t="str">
        <f t="shared" si="9"/>
        <v>KZT</v>
      </c>
      <c r="I61" s="4">
        <f t="shared" si="10"/>
        <v>1</v>
      </c>
      <c r="J61" s="4">
        <f t="shared" si="11"/>
        <v>14095.107999999998</v>
      </c>
      <c r="K61" s="4" t="s">
        <v>697</v>
      </c>
      <c r="L61" s="4">
        <f>SUMIFS(BOM!$AA:$AA,BOM!$P:$P,$B61)</f>
        <v>0</v>
      </c>
      <c r="M61" s="4">
        <f t="shared" si="12"/>
        <v>0</v>
      </c>
      <c r="N61" s="4">
        <f>IF($J61="","",$J61*SUMIFS(BOM!$AA:$AA,BOM!$P:$P,$B61,BOM!$M:$M,"&lt;&gt;KAPSAM_DISI",BOM!$M:$M,"&lt;&gt;KONTROL"))</f>
        <v>0</v>
      </c>
      <c r="O61" s="4" t="s">
        <v>922</v>
      </c>
      <c r="P61" s="4" t="str">
        <f t="shared" si="13"/>
        <v>FIYAT_ESKI</v>
      </c>
      <c r="R61" s="4" t="s">
        <v>923</v>
      </c>
      <c r="S61" s="4" t="s">
        <v>921</v>
      </c>
      <c r="AA61" s="4">
        <f>INDEX(BARA_CU_KGM,MATCH($B61,BARA_KOD_CU,0))</f>
        <v>1.78</v>
      </c>
    </row>
    <row r="62" spans="1:27" x14ac:dyDescent="0.35">
      <c r="A62" s="4">
        <f t="shared" si="8"/>
        <v>61</v>
      </c>
      <c r="B62" s="4" t="s">
        <v>945</v>
      </c>
      <c r="C62" s="4" t="s">
        <v>945</v>
      </c>
      <c r="D62" s="4" t="s">
        <v>946</v>
      </c>
      <c r="E62" s="4" t="s">
        <v>920</v>
      </c>
      <c r="F62" s="13"/>
      <c r="G62" s="4" t="s">
        <v>926</v>
      </c>
      <c r="H62" s="4" t="str">
        <f t="shared" si="9"/>
        <v>KZT</v>
      </c>
      <c r="I62" s="4">
        <f t="shared" si="10"/>
        <v>1</v>
      </c>
      <c r="J62" s="4">
        <f t="shared" si="11"/>
        <v>2426.5439999999999</v>
      </c>
      <c r="K62" s="4" t="s">
        <v>697</v>
      </c>
      <c r="L62" s="4">
        <f>SUMIFS(BOM!$AA:$AA,BOM!$P:$P,$B62)</f>
        <v>0</v>
      </c>
      <c r="M62" s="4">
        <f t="shared" si="12"/>
        <v>0</v>
      </c>
      <c r="N62" s="4">
        <f>IF($J62="","",$J62*SUMIFS(BOM!$AA:$AA,BOM!$P:$P,$B62,BOM!$M:$M,"&lt;&gt;KAPSAM_DISI",BOM!$M:$M,"&lt;&gt;KONTROL"))</f>
        <v>0</v>
      </c>
      <c r="O62" s="4" t="s">
        <v>922</v>
      </c>
      <c r="P62" s="4" t="str">
        <f t="shared" si="13"/>
        <v>FIYAT_ESKI</v>
      </c>
      <c r="R62" s="4" t="s">
        <v>923</v>
      </c>
      <c r="S62" s="4" t="s">
        <v>926</v>
      </c>
      <c r="AA62" s="4">
        <f>INDEX(BARA_AL_KGM,MATCH($B62,BARA_KOD_AL,0))</f>
        <v>0.54</v>
      </c>
    </row>
    <row r="63" spans="1:27" x14ac:dyDescent="0.35">
      <c r="A63" s="4">
        <f t="shared" si="8"/>
        <v>62</v>
      </c>
      <c r="B63" s="4" t="s">
        <v>947</v>
      </c>
      <c r="C63" s="4" t="s">
        <v>947</v>
      </c>
      <c r="D63" s="4" t="s">
        <v>948</v>
      </c>
      <c r="E63" s="4" t="s">
        <v>920</v>
      </c>
      <c r="F63" s="13"/>
      <c r="G63" s="4" t="s">
        <v>921</v>
      </c>
      <c r="H63" s="4" t="str">
        <f t="shared" si="9"/>
        <v>KZT</v>
      </c>
      <c r="I63" s="4">
        <f t="shared" si="10"/>
        <v>1</v>
      </c>
      <c r="J63" s="4">
        <f t="shared" si="11"/>
        <v>17618.884999999998</v>
      </c>
      <c r="K63" s="4" t="s">
        <v>697</v>
      </c>
      <c r="L63" s="4">
        <f>SUMIFS(BOM!$AA:$AA,BOM!$P:$P,$B63)</f>
        <v>0</v>
      </c>
      <c r="M63" s="4">
        <f t="shared" si="12"/>
        <v>0</v>
      </c>
      <c r="N63" s="4">
        <f>IF($J63="","",$J63*SUMIFS(BOM!$AA:$AA,BOM!$P:$P,$B63,BOM!$M:$M,"&lt;&gt;KAPSAM_DISI",BOM!$M:$M,"&lt;&gt;KONTROL"))</f>
        <v>0</v>
      </c>
      <c r="O63" s="4" t="s">
        <v>922</v>
      </c>
      <c r="P63" s="4" t="str">
        <f t="shared" si="13"/>
        <v>FIYAT_ESKI</v>
      </c>
      <c r="R63" s="4" t="s">
        <v>923</v>
      </c>
      <c r="S63" s="4" t="s">
        <v>921</v>
      </c>
      <c r="AA63" s="4">
        <f>INDEX(BARA_CU_KGM,MATCH($B63,BARA_KOD_CU,0))</f>
        <v>2.2250000000000001</v>
      </c>
    </row>
    <row r="64" spans="1:27" x14ac:dyDescent="0.35">
      <c r="A64" s="4">
        <f t="shared" si="8"/>
        <v>63</v>
      </c>
      <c r="B64" s="4" t="s">
        <v>949</v>
      </c>
      <c r="C64" s="4" t="s">
        <v>949</v>
      </c>
      <c r="D64" s="4" t="s">
        <v>950</v>
      </c>
      <c r="E64" s="4" t="s">
        <v>920</v>
      </c>
      <c r="F64" s="13"/>
      <c r="G64" s="4" t="s">
        <v>926</v>
      </c>
      <c r="H64" s="4" t="str">
        <f t="shared" si="9"/>
        <v>KZT</v>
      </c>
      <c r="I64" s="4">
        <f t="shared" si="10"/>
        <v>1</v>
      </c>
      <c r="J64" s="4">
        <f t="shared" si="11"/>
        <v>3033.18</v>
      </c>
      <c r="K64" s="4" t="s">
        <v>697</v>
      </c>
      <c r="L64" s="4">
        <f>SUMIFS(BOM!$AA:$AA,BOM!$P:$P,$B64)</f>
        <v>0</v>
      </c>
      <c r="M64" s="4">
        <f t="shared" si="12"/>
        <v>0</v>
      </c>
      <c r="N64" s="4">
        <f>IF($J64="","",$J64*SUMIFS(BOM!$AA:$AA,BOM!$P:$P,$B64,BOM!$M:$M,"&lt;&gt;KAPSAM_DISI",BOM!$M:$M,"&lt;&gt;KONTROL"))</f>
        <v>0</v>
      </c>
      <c r="O64" s="4" t="s">
        <v>922</v>
      </c>
      <c r="P64" s="4" t="str">
        <f t="shared" si="13"/>
        <v>FIYAT_ESKI</v>
      </c>
      <c r="R64" s="4" t="s">
        <v>923</v>
      </c>
      <c r="S64" s="4" t="s">
        <v>926</v>
      </c>
      <c r="AA64" s="4">
        <f>INDEX(BARA_AL_KGM,MATCH($B64,BARA_KOD_AL,0))</f>
        <v>0.67500000000000004</v>
      </c>
    </row>
    <row r="65" spans="1:27" x14ac:dyDescent="0.35">
      <c r="A65" s="4">
        <f t="shared" si="8"/>
        <v>64</v>
      </c>
      <c r="B65" s="4" t="s">
        <v>951</v>
      </c>
      <c r="C65" s="4" t="s">
        <v>951</v>
      </c>
      <c r="D65" s="4" t="s">
        <v>952</v>
      </c>
      <c r="E65" s="4" t="s">
        <v>920</v>
      </c>
      <c r="F65" s="13"/>
      <c r="G65" s="4" t="s">
        <v>921</v>
      </c>
      <c r="H65" s="4" t="str">
        <f t="shared" si="9"/>
        <v>KZT</v>
      </c>
      <c r="I65" s="4">
        <f t="shared" si="10"/>
        <v>1</v>
      </c>
      <c r="J65" s="4">
        <f t="shared" si="11"/>
        <v>21142.661999999997</v>
      </c>
      <c r="K65" s="4" t="s">
        <v>697</v>
      </c>
      <c r="L65" s="4">
        <f>SUMIFS(BOM!$AA:$AA,BOM!$P:$P,$B65)</f>
        <v>0</v>
      </c>
      <c r="M65" s="4">
        <f t="shared" si="12"/>
        <v>0</v>
      </c>
      <c r="N65" s="4">
        <f>IF($J65="","",$J65*SUMIFS(BOM!$AA:$AA,BOM!$P:$P,$B65,BOM!$M:$M,"&lt;&gt;KAPSAM_DISI",BOM!$M:$M,"&lt;&gt;KONTROL"))</f>
        <v>0</v>
      </c>
      <c r="O65" s="4" t="s">
        <v>922</v>
      </c>
      <c r="P65" s="4" t="str">
        <f t="shared" si="13"/>
        <v>FIYAT_ESKI</v>
      </c>
      <c r="R65" s="4" t="s">
        <v>923</v>
      </c>
      <c r="S65" s="4" t="s">
        <v>921</v>
      </c>
      <c r="AA65" s="4">
        <f>INDEX(BARA_CU_KGM,MATCH($B65,BARA_KOD_CU,0))</f>
        <v>2.67</v>
      </c>
    </row>
    <row r="66" spans="1:27" x14ac:dyDescent="0.35">
      <c r="A66" s="4">
        <f t="shared" ref="A66:A88" si="14">ROW()-1</f>
        <v>65</v>
      </c>
      <c r="B66" s="4" t="s">
        <v>953</v>
      </c>
      <c r="C66" s="4" t="s">
        <v>953</v>
      </c>
      <c r="D66" s="4" t="s">
        <v>954</v>
      </c>
      <c r="E66" s="4" t="s">
        <v>920</v>
      </c>
      <c r="F66" s="13"/>
      <c r="G66" s="4" t="s">
        <v>926</v>
      </c>
      <c r="H66" s="4" t="str">
        <f t="shared" ref="H66:H88" si="15">IF($G66="","",INDEX(MARKA_PARA,MATCH($G66,MARKA_AD,0)))</f>
        <v>KZT</v>
      </c>
      <c r="I66" s="4">
        <f t="shared" ref="I66:I88" si="16">IF($G66="","",INDEX(MARKA_KAT,MATCH($G66,MARKA_AD,0)))</f>
        <v>1</v>
      </c>
      <c r="J66" s="4">
        <f t="shared" ref="J66:J88" si="17">IF($B66="","",IF(INDEX(MARKA_IZIN,MATCH($G66,MARKA_AD,0))="HAYIR","",IF(INDEX(YAS_DURUM,MATCH($O66,YAS_KOD,0))="YASAK","",IF(INDEX(MARKA_TIP,MATCH($G66,MARKA_AD,0))="METAL",$AA66*IF($G66="BAKIR-BARA",BAKIR_KG_KZT,ALUM_KG_KZT)*BARA_ISLEM_KAT,IF($F66="","",IF(INDEX(MARKA_TIP,MATCH($G66,MARKA_AD,0))="NET",$F66,$F66*$I66*INDEX(KUR_DEG,MATCH($H66,KUR_AD,0))))))))</f>
        <v>3639.8159999999998</v>
      </c>
      <c r="K66" s="4" t="s">
        <v>697</v>
      </c>
      <c r="L66" s="4">
        <f>SUMIFS(BOM!$AA:$AA,BOM!$P:$P,$B66)</f>
        <v>0</v>
      </c>
      <c r="M66" s="4">
        <f t="shared" ref="M66:M88" si="18">IF($E66="шина",ROUNDUP($L66/BARA_BOY_M,0),$L66)</f>
        <v>0</v>
      </c>
      <c r="N66" s="4">
        <f>IF($J66="","",$J66*SUMIFS(BOM!$AA:$AA,BOM!$P:$P,$B66,BOM!$M:$M,"&lt;&gt;KAPSAM_DISI",BOM!$M:$M,"&lt;&gt;KONTROL"))</f>
        <v>0</v>
      </c>
      <c r="O66" s="4" t="s">
        <v>922</v>
      </c>
      <c r="P66" s="4" t="str">
        <f t="shared" ref="P66:P88" si="19">IF($B66="","",IF(INDEX(MARKA_GRUP,MATCH($G66,MARKA_AD,0))&lt;&gt;INDEX(MARKA_GRUP,MATCH($S66,MARKA_AD,0)),"KONTROL",IF($AL66="KISMI","KONTROL",IF(OR($C66="",$J66=""),"FIYAT_YOK",IF($Q66&lt;&gt;"",$Q66,IF(OR(INDEX(YAS_DURUM,MATCH($O66,YAS_KOD,0))="ESKI",INDEX(YAS_DURUM,MATCH($O66,YAS_KOD,0))="BILINMIYOR"),"FIYAT_ESKI","OK"))))))</f>
        <v>FIYAT_ESKI</v>
      </c>
      <c r="R66" s="4" t="s">
        <v>923</v>
      </c>
      <c r="S66" s="4" t="s">
        <v>926</v>
      </c>
      <c r="AA66" s="4">
        <f>INDEX(BARA_AL_KGM,MATCH($B66,BARA_KOD_AL,0))</f>
        <v>0.81</v>
      </c>
    </row>
    <row r="67" spans="1:27" x14ac:dyDescent="0.35">
      <c r="A67" s="4">
        <f t="shared" si="14"/>
        <v>66</v>
      </c>
      <c r="B67" s="4" t="s">
        <v>955</v>
      </c>
      <c r="C67" s="4" t="s">
        <v>955</v>
      </c>
      <c r="D67" s="4" t="s">
        <v>956</v>
      </c>
      <c r="E67" s="4" t="s">
        <v>920</v>
      </c>
      <c r="F67" s="13"/>
      <c r="G67" s="4" t="s">
        <v>921</v>
      </c>
      <c r="H67" s="4" t="str">
        <f t="shared" si="15"/>
        <v>KZT</v>
      </c>
      <c r="I67" s="4">
        <f t="shared" si="16"/>
        <v>1</v>
      </c>
      <c r="J67" s="4">
        <f t="shared" si="17"/>
        <v>25371.1944</v>
      </c>
      <c r="K67" s="4" t="s">
        <v>697</v>
      </c>
      <c r="L67" s="4">
        <f>SUMIFS(BOM!$AA:$AA,BOM!$P:$P,$B67)</f>
        <v>0</v>
      </c>
      <c r="M67" s="4">
        <f t="shared" si="18"/>
        <v>0</v>
      </c>
      <c r="N67" s="4">
        <f>IF($J67="","",$J67*SUMIFS(BOM!$AA:$AA,BOM!$P:$P,$B67,BOM!$M:$M,"&lt;&gt;KAPSAM_DISI",BOM!$M:$M,"&lt;&gt;KONTROL"))</f>
        <v>0</v>
      </c>
      <c r="O67" s="4" t="s">
        <v>922</v>
      </c>
      <c r="P67" s="4" t="str">
        <f t="shared" si="19"/>
        <v>FIYAT_ESKI</v>
      </c>
      <c r="R67" s="4" t="s">
        <v>923</v>
      </c>
      <c r="S67" s="4" t="s">
        <v>921</v>
      </c>
      <c r="AA67" s="4">
        <f>INDEX(BARA_CU_KGM,MATCH($B67,BARA_KOD_CU,0))</f>
        <v>3.2040000000000002</v>
      </c>
    </row>
    <row r="68" spans="1:27" x14ac:dyDescent="0.35">
      <c r="A68" s="4">
        <f t="shared" si="14"/>
        <v>67</v>
      </c>
      <c r="B68" s="4" t="s">
        <v>957</v>
      </c>
      <c r="C68" s="4" t="s">
        <v>957</v>
      </c>
      <c r="D68" s="4" t="s">
        <v>958</v>
      </c>
      <c r="E68" s="4" t="s">
        <v>920</v>
      </c>
      <c r="F68" s="13"/>
      <c r="G68" s="4" t="s">
        <v>926</v>
      </c>
      <c r="H68" s="4" t="str">
        <f t="shared" si="15"/>
        <v>KZT</v>
      </c>
      <c r="I68" s="4">
        <f t="shared" si="16"/>
        <v>1</v>
      </c>
      <c r="J68" s="4">
        <f t="shared" si="17"/>
        <v>4367.7791999999999</v>
      </c>
      <c r="K68" s="4" t="s">
        <v>697</v>
      </c>
      <c r="L68" s="4">
        <f>SUMIFS(BOM!$AA:$AA,BOM!$P:$P,$B68)</f>
        <v>0</v>
      </c>
      <c r="M68" s="4">
        <f t="shared" si="18"/>
        <v>0</v>
      </c>
      <c r="N68" s="4">
        <f>IF($J68="","",$J68*SUMIFS(BOM!$AA:$AA,BOM!$P:$P,$B68,BOM!$M:$M,"&lt;&gt;KAPSAM_DISI",BOM!$M:$M,"&lt;&gt;KONTROL"))</f>
        <v>0</v>
      </c>
      <c r="O68" s="4" t="s">
        <v>922</v>
      </c>
      <c r="P68" s="4" t="str">
        <f t="shared" si="19"/>
        <v>FIYAT_ESKI</v>
      </c>
      <c r="R68" s="4" t="s">
        <v>923</v>
      </c>
      <c r="S68" s="4" t="s">
        <v>926</v>
      </c>
      <c r="AA68" s="4">
        <f>INDEX(BARA_AL_KGM,MATCH($B68,BARA_KOD_AL,0))</f>
        <v>0.97200000000000009</v>
      </c>
    </row>
    <row r="69" spans="1:27" x14ac:dyDescent="0.35">
      <c r="A69" s="4">
        <f t="shared" si="14"/>
        <v>68</v>
      </c>
      <c r="B69" s="4" t="s">
        <v>959</v>
      </c>
      <c r="C69" s="4" t="s">
        <v>959</v>
      </c>
      <c r="D69" s="4" t="s">
        <v>960</v>
      </c>
      <c r="E69" s="4" t="s">
        <v>920</v>
      </c>
      <c r="F69" s="13"/>
      <c r="G69" s="4" t="s">
        <v>921</v>
      </c>
      <c r="H69" s="4" t="str">
        <f t="shared" si="15"/>
        <v>KZT</v>
      </c>
      <c r="I69" s="4">
        <f t="shared" si="16"/>
        <v>1</v>
      </c>
      <c r="J69" s="4">
        <f t="shared" si="17"/>
        <v>33828.2592</v>
      </c>
      <c r="K69" s="4" t="s">
        <v>697</v>
      </c>
      <c r="L69" s="4">
        <f>SUMIFS(BOM!$AA:$AA,BOM!$P:$P,$B69)</f>
        <v>0</v>
      </c>
      <c r="M69" s="4">
        <f t="shared" si="18"/>
        <v>0</v>
      </c>
      <c r="N69" s="4">
        <f>IF($J69="","",$J69*SUMIFS(BOM!$AA:$AA,BOM!$P:$P,$B69,BOM!$M:$M,"&lt;&gt;KAPSAM_DISI",BOM!$M:$M,"&lt;&gt;KONTROL"))</f>
        <v>0</v>
      </c>
      <c r="O69" s="4" t="s">
        <v>922</v>
      </c>
      <c r="P69" s="4" t="str">
        <f t="shared" si="19"/>
        <v>FIYAT_ESKI</v>
      </c>
      <c r="R69" s="4" t="s">
        <v>923</v>
      </c>
      <c r="S69" s="4" t="s">
        <v>921</v>
      </c>
      <c r="AA69" s="4">
        <f>INDEX(BARA_CU_KGM,MATCH($B69,BARA_KOD_CU,0))</f>
        <v>4.2720000000000002</v>
      </c>
    </row>
    <row r="70" spans="1:27" x14ac:dyDescent="0.35">
      <c r="A70" s="4">
        <f t="shared" si="14"/>
        <v>69</v>
      </c>
      <c r="B70" s="4" t="s">
        <v>961</v>
      </c>
      <c r="C70" s="4" t="s">
        <v>961</v>
      </c>
      <c r="D70" s="4" t="s">
        <v>962</v>
      </c>
      <c r="E70" s="4" t="s">
        <v>920</v>
      </c>
      <c r="F70" s="13"/>
      <c r="G70" s="4" t="s">
        <v>926</v>
      </c>
      <c r="H70" s="4" t="str">
        <f t="shared" si="15"/>
        <v>KZT</v>
      </c>
      <c r="I70" s="4">
        <f t="shared" si="16"/>
        <v>1</v>
      </c>
      <c r="J70" s="4">
        <f t="shared" si="17"/>
        <v>5823.7055999999993</v>
      </c>
      <c r="K70" s="4" t="s">
        <v>697</v>
      </c>
      <c r="L70" s="4">
        <f>SUMIFS(BOM!$AA:$AA,BOM!$P:$P,$B70)</f>
        <v>0</v>
      </c>
      <c r="M70" s="4">
        <f t="shared" si="18"/>
        <v>0</v>
      </c>
      <c r="N70" s="4">
        <f>IF($J70="","",$J70*SUMIFS(BOM!$AA:$AA,BOM!$P:$P,$B70,BOM!$M:$M,"&lt;&gt;KAPSAM_DISI",BOM!$M:$M,"&lt;&gt;KONTROL"))</f>
        <v>0</v>
      </c>
      <c r="O70" s="4" t="s">
        <v>922</v>
      </c>
      <c r="P70" s="4" t="str">
        <f t="shared" si="19"/>
        <v>FIYAT_ESKI</v>
      </c>
      <c r="R70" s="4" t="s">
        <v>923</v>
      </c>
      <c r="S70" s="4" t="s">
        <v>926</v>
      </c>
      <c r="AA70" s="4">
        <f>INDEX(BARA_AL_KGM,MATCH($B70,BARA_KOD_AL,0))</f>
        <v>1.296</v>
      </c>
    </row>
    <row r="71" spans="1:27" x14ac:dyDescent="0.35">
      <c r="A71" s="4">
        <f t="shared" si="14"/>
        <v>70</v>
      </c>
      <c r="B71" s="4" t="s">
        <v>963</v>
      </c>
      <c r="C71" s="4" t="s">
        <v>963</v>
      </c>
      <c r="D71" s="4" t="s">
        <v>964</v>
      </c>
      <c r="E71" s="4" t="s">
        <v>920</v>
      </c>
      <c r="F71" s="13"/>
      <c r="G71" s="4" t="s">
        <v>921</v>
      </c>
      <c r="H71" s="4" t="str">
        <f t="shared" si="15"/>
        <v>KZT</v>
      </c>
      <c r="I71" s="4">
        <f t="shared" si="16"/>
        <v>1</v>
      </c>
      <c r="J71" s="4">
        <f t="shared" si="17"/>
        <v>42285.323999999993</v>
      </c>
      <c r="K71" s="4" t="s">
        <v>697</v>
      </c>
      <c r="L71" s="4">
        <f>SUMIFS(BOM!$AA:$AA,BOM!$P:$P,$B71)</f>
        <v>0</v>
      </c>
      <c r="M71" s="4">
        <f t="shared" si="18"/>
        <v>0</v>
      </c>
      <c r="N71" s="4">
        <f>IF($J71="","",$J71*SUMIFS(BOM!$AA:$AA,BOM!$P:$P,$B71,BOM!$M:$M,"&lt;&gt;KAPSAM_DISI",BOM!$M:$M,"&lt;&gt;KONTROL"))</f>
        <v>0</v>
      </c>
      <c r="O71" s="4" t="s">
        <v>922</v>
      </c>
      <c r="P71" s="4" t="str">
        <f t="shared" si="19"/>
        <v>FIYAT_ESKI</v>
      </c>
      <c r="R71" s="4" t="s">
        <v>923</v>
      </c>
      <c r="S71" s="4" t="s">
        <v>921</v>
      </c>
      <c r="AA71" s="4">
        <f>INDEX(BARA_CU_KGM,MATCH($B71,BARA_KOD_CU,0))</f>
        <v>5.34</v>
      </c>
    </row>
    <row r="72" spans="1:27" x14ac:dyDescent="0.35">
      <c r="A72" s="4">
        <f t="shared" si="14"/>
        <v>71</v>
      </c>
      <c r="B72" s="4" t="s">
        <v>965</v>
      </c>
      <c r="C72" s="4" t="s">
        <v>965</v>
      </c>
      <c r="D72" s="4" t="s">
        <v>966</v>
      </c>
      <c r="E72" s="4" t="s">
        <v>920</v>
      </c>
      <c r="F72" s="13"/>
      <c r="G72" s="4" t="s">
        <v>926</v>
      </c>
      <c r="H72" s="4" t="str">
        <f t="shared" si="15"/>
        <v>KZT</v>
      </c>
      <c r="I72" s="4">
        <f t="shared" si="16"/>
        <v>1</v>
      </c>
      <c r="J72" s="4">
        <f t="shared" si="17"/>
        <v>7279.6319999999996</v>
      </c>
      <c r="K72" s="4" t="s">
        <v>697</v>
      </c>
      <c r="L72" s="4">
        <f>SUMIFS(BOM!$AA:$AA,BOM!$P:$P,$B72)</f>
        <v>0</v>
      </c>
      <c r="M72" s="4">
        <f t="shared" si="18"/>
        <v>0</v>
      </c>
      <c r="N72" s="4">
        <f>IF($J72="","",$J72*SUMIFS(BOM!$AA:$AA,BOM!$P:$P,$B72,BOM!$M:$M,"&lt;&gt;KAPSAM_DISI",BOM!$M:$M,"&lt;&gt;KONTROL"))</f>
        <v>0</v>
      </c>
      <c r="O72" s="4" t="s">
        <v>922</v>
      </c>
      <c r="P72" s="4" t="str">
        <f t="shared" si="19"/>
        <v>FIYAT_ESKI</v>
      </c>
      <c r="R72" s="4" t="s">
        <v>923</v>
      </c>
      <c r="S72" s="4" t="s">
        <v>926</v>
      </c>
      <c r="AA72" s="4">
        <f>INDEX(BARA_AL_KGM,MATCH($B72,BARA_KOD_AL,0))</f>
        <v>1.62</v>
      </c>
    </row>
    <row r="73" spans="1:27" x14ac:dyDescent="0.35">
      <c r="A73" s="4">
        <f t="shared" si="14"/>
        <v>72</v>
      </c>
      <c r="B73" s="4" t="s">
        <v>967</v>
      </c>
      <c r="C73" s="4" t="s">
        <v>967</v>
      </c>
      <c r="D73" s="4" t="s">
        <v>968</v>
      </c>
      <c r="E73" s="4" t="s">
        <v>920</v>
      </c>
      <c r="F73" s="13"/>
      <c r="G73" s="4" t="s">
        <v>921</v>
      </c>
      <c r="H73" s="4" t="str">
        <f t="shared" si="15"/>
        <v>KZT</v>
      </c>
      <c r="I73" s="4">
        <f t="shared" si="16"/>
        <v>1</v>
      </c>
      <c r="J73" s="4">
        <f t="shared" si="17"/>
        <v>33828.2592</v>
      </c>
      <c r="K73" s="4" t="s">
        <v>697</v>
      </c>
      <c r="L73" s="4">
        <f>SUMIFS(BOM!$AA:$AA,BOM!$P:$P,$B73)</f>
        <v>0</v>
      </c>
      <c r="M73" s="4">
        <f t="shared" si="18"/>
        <v>0</v>
      </c>
      <c r="N73" s="4">
        <f>IF($J73="","",$J73*SUMIFS(BOM!$AA:$AA,BOM!$P:$P,$B73,BOM!$M:$M,"&lt;&gt;KAPSAM_DISI",BOM!$M:$M,"&lt;&gt;KONTROL"))</f>
        <v>0</v>
      </c>
      <c r="O73" s="4" t="s">
        <v>922</v>
      </c>
      <c r="P73" s="4" t="str">
        <f t="shared" si="19"/>
        <v>FIYAT_ESKI</v>
      </c>
      <c r="R73" s="4" t="s">
        <v>923</v>
      </c>
      <c r="S73" s="4" t="s">
        <v>921</v>
      </c>
      <c r="AA73" s="4">
        <f>INDEX(BARA_CU_KGM,MATCH($B73,BARA_KOD_CU,0))</f>
        <v>4.2720000000000002</v>
      </c>
    </row>
    <row r="74" spans="1:27" x14ac:dyDescent="0.35">
      <c r="A74" s="4">
        <f t="shared" si="14"/>
        <v>73</v>
      </c>
      <c r="B74" s="4" t="s">
        <v>969</v>
      </c>
      <c r="C74" s="4" t="s">
        <v>969</v>
      </c>
      <c r="D74" s="4" t="s">
        <v>970</v>
      </c>
      <c r="E74" s="4" t="s">
        <v>920</v>
      </c>
      <c r="F74" s="13"/>
      <c r="G74" s="4" t="s">
        <v>926</v>
      </c>
      <c r="H74" s="4" t="str">
        <f t="shared" si="15"/>
        <v>KZT</v>
      </c>
      <c r="I74" s="4">
        <f t="shared" si="16"/>
        <v>1</v>
      </c>
      <c r="J74" s="4">
        <f t="shared" si="17"/>
        <v>5823.7055999999993</v>
      </c>
      <c r="K74" s="4" t="s">
        <v>697</v>
      </c>
      <c r="L74" s="4">
        <f>SUMIFS(BOM!$AA:$AA,BOM!$P:$P,$B74)</f>
        <v>0</v>
      </c>
      <c r="M74" s="4">
        <f t="shared" si="18"/>
        <v>0</v>
      </c>
      <c r="N74" s="4">
        <f>IF($J74="","",$J74*SUMIFS(BOM!$AA:$AA,BOM!$P:$P,$B74,BOM!$M:$M,"&lt;&gt;KAPSAM_DISI",BOM!$M:$M,"&lt;&gt;KONTROL"))</f>
        <v>0</v>
      </c>
      <c r="O74" s="4" t="s">
        <v>922</v>
      </c>
      <c r="P74" s="4" t="str">
        <f t="shared" si="19"/>
        <v>FIYAT_ESKI</v>
      </c>
      <c r="R74" s="4" t="s">
        <v>923</v>
      </c>
      <c r="S74" s="4" t="s">
        <v>926</v>
      </c>
      <c r="AA74" s="4">
        <f>INDEX(BARA_AL_KGM,MATCH($B74,BARA_KOD_AL,0))</f>
        <v>1.296</v>
      </c>
    </row>
    <row r="75" spans="1:27" x14ac:dyDescent="0.35">
      <c r="A75" s="4">
        <f t="shared" si="14"/>
        <v>74</v>
      </c>
      <c r="B75" s="4" t="s">
        <v>971</v>
      </c>
      <c r="C75" s="4" t="s">
        <v>971</v>
      </c>
      <c r="D75" s="4" t="s">
        <v>972</v>
      </c>
      <c r="E75" s="4" t="s">
        <v>920</v>
      </c>
      <c r="F75" s="13"/>
      <c r="G75" s="4" t="s">
        <v>921</v>
      </c>
      <c r="H75" s="4" t="str">
        <f t="shared" si="15"/>
        <v>KZT</v>
      </c>
      <c r="I75" s="4">
        <f t="shared" si="16"/>
        <v>1</v>
      </c>
      <c r="J75" s="4">
        <f t="shared" si="17"/>
        <v>45104.345599999993</v>
      </c>
      <c r="K75" s="4" t="s">
        <v>697</v>
      </c>
      <c r="L75" s="4">
        <f>SUMIFS(BOM!$AA:$AA,BOM!$P:$P,$B75)</f>
        <v>0</v>
      </c>
      <c r="M75" s="4">
        <f t="shared" si="18"/>
        <v>0</v>
      </c>
      <c r="N75" s="4">
        <f>IF($J75="","",$J75*SUMIFS(BOM!$AA:$AA,BOM!$P:$P,$B75,BOM!$M:$M,"&lt;&gt;KAPSAM_DISI",BOM!$M:$M,"&lt;&gt;KONTROL"))</f>
        <v>0</v>
      </c>
      <c r="O75" s="4" t="s">
        <v>922</v>
      </c>
      <c r="P75" s="4" t="str">
        <f t="shared" si="19"/>
        <v>FIYAT_ESKI</v>
      </c>
      <c r="R75" s="4" t="s">
        <v>923</v>
      </c>
      <c r="S75" s="4" t="s">
        <v>921</v>
      </c>
      <c r="AA75" s="4">
        <f>INDEX(BARA_CU_KGM,MATCH($B75,BARA_KOD_CU,0))</f>
        <v>5.6959999999999997</v>
      </c>
    </row>
    <row r="76" spans="1:27" x14ac:dyDescent="0.35">
      <c r="A76" s="4">
        <f t="shared" si="14"/>
        <v>75</v>
      </c>
      <c r="B76" s="4" t="s">
        <v>973</v>
      </c>
      <c r="C76" s="4" t="s">
        <v>973</v>
      </c>
      <c r="D76" s="4" t="s">
        <v>974</v>
      </c>
      <c r="E76" s="4" t="s">
        <v>920</v>
      </c>
      <c r="F76" s="13"/>
      <c r="G76" s="4" t="s">
        <v>926</v>
      </c>
      <c r="H76" s="4" t="str">
        <f t="shared" si="15"/>
        <v>KZT</v>
      </c>
      <c r="I76" s="4">
        <f t="shared" si="16"/>
        <v>1</v>
      </c>
      <c r="J76" s="4">
        <f t="shared" si="17"/>
        <v>7764.9407999999994</v>
      </c>
      <c r="K76" s="4" t="s">
        <v>697</v>
      </c>
      <c r="L76" s="4">
        <f>SUMIFS(BOM!$AA:$AA,BOM!$P:$P,$B76)</f>
        <v>0</v>
      </c>
      <c r="M76" s="4">
        <f t="shared" si="18"/>
        <v>0</v>
      </c>
      <c r="N76" s="4">
        <f>IF($J76="","",$J76*SUMIFS(BOM!$AA:$AA,BOM!$P:$P,$B76,BOM!$M:$M,"&lt;&gt;KAPSAM_DISI",BOM!$M:$M,"&lt;&gt;KONTROL"))</f>
        <v>0</v>
      </c>
      <c r="O76" s="4" t="s">
        <v>922</v>
      </c>
      <c r="P76" s="4" t="str">
        <f t="shared" si="19"/>
        <v>FIYAT_ESKI</v>
      </c>
      <c r="R76" s="4" t="s">
        <v>923</v>
      </c>
      <c r="S76" s="4" t="s">
        <v>926</v>
      </c>
      <c r="AA76" s="4">
        <f>INDEX(BARA_AL_KGM,MATCH($B76,BARA_KOD_AL,0))</f>
        <v>1.728</v>
      </c>
    </row>
    <row r="77" spans="1:27" x14ac:dyDescent="0.35">
      <c r="A77" s="4">
        <f t="shared" si="14"/>
        <v>76</v>
      </c>
      <c r="B77" s="4" t="s">
        <v>975</v>
      </c>
      <c r="C77" s="4" t="s">
        <v>975</v>
      </c>
      <c r="D77" s="4" t="s">
        <v>976</v>
      </c>
      <c r="E77" s="4" t="s">
        <v>920</v>
      </c>
      <c r="F77" s="13"/>
      <c r="G77" s="4" t="s">
        <v>921</v>
      </c>
      <c r="H77" s="4" t="str">
        <f t="shared" si="15"/>
        <v>KZT</v>
      </c>
      <c r="I77" s="4">
        <f t="shared" si="16"/>
        <v>1</v>
      </c>
      <c r="J77" s="4">
        <f t="shared" si="17"/>
        <v>56380.431999999993</v>
      </c>
      <c r="K77" s="4" t="s">
        <v>697</v>
      </c>
      <c r="L77" s="4">
        <f>SUMIFS(BOM!$AA:$AA,BOM!$P:$P,$B77)</f>
        <v>0</v>
      </c>
      <c r="M77" s="4">
        <f t="shared" si="18"/>
        <v>0</v>
      </c>
      <c r="N77" s="4">
        <f>IF($J77="","",$J77*SUMIFS(BOM!$AA:$AA,BOM!$P:$P,$B77,BOM!$M:$M,"&lt;&gt;KAPSAM_DISI",BOM!$M:$M,"&lt;&gt;KONTROL"))</f>
        <v>0</v>
      </c>
      <c r="O77" s="4" t="s">
        <v>922</v>
      </c>
      <c r="P77" s="4" t="str">
        <f t="shared" si="19"/>
        <v>FIYAT_ESKI</v>
      </c>
      <c r="R77" s="4" t="s">
        <v>923</v>
      </c>
      <c r="S77" s="4" t="s">
        <v>921</v>
      </c>
      <c r="AA77" s="4">
        <f>INDEX(BARA_CU_KGM,MATCH($B77,BARA_KOD_CU,0))</f>
        <v>7.12</v>
      </c>
    </row>
    <row r="78" spans="1:27" x14ac:dyDescent="0.35">
      <c r="A78" s="4">
        <f t="shared" si="14"/>
        <v>77</v>
      </c>
      <c r="B78" s="4" t="s">
        <v>977</v>
      </c>
      <c r="C78" s="4" t="s">
        <v>977</v>
      </c>
      <c r="D78" s="4" t="s">
        <v>978</v>
      </c>
      <c r="E78" s="4" t="s">
        <v>920</v>
      </c>
      <c r="F78" s="13"/>
      <c r="G78" s="4" t="s">
        <v>926</v>
      </c>
      <c r="H78" s="4" t="str">
        <f t="shared" si="15"/>
        <v>KZT</v>
      </c>
      <c r="I78" s="4">
        <f t="shared" si="16"/>
        <v>1</v>
      </c>
      <c r="J78" s="4">
        <f t="shared" si="17"/>
        <v>9706.1759999999995</v>
      </c>
      <c r="K78" s="4" t="s">
        <v>697</v>
      </c>
      <c r="L78" s="4">
        <f>SUMIFS(BOM!$AA:$AA,BOM!$P:$P,$B78)</f>
        <v>0</v>
      </c>
      <c r="M78" s="4">
        <f t="shared" si="18"/>
        <v>0</v>
      </c>
      <c r="N78" s="4">
        <f>IF($J78="","",$J78*SUMIFS(BOM!$AA:$AA,BOM!$P:$P,$B78,BOM!$M:$M,"&lt;&gt;KAPSAM_DISI",BOM!$M:$M,"&lt;&gt;KONTROL"))</f>
        <v>0</v>
      </c>
      <c r="O78" s="4" t="s">
        <v>922</v>
      </c>
      <c r="P78" s="4" t="str">
        <f t="shared" si="19"/>
        <v>FIYAT_ESKI</v>
      </c>
      <c r="R78" s="4" t="s">
        <v>923</v>
      </c>
      <c r="S78" s="4" t="s">
        <v>926</v>
      </c>
      <c r="AA78" s="4">
        <f>INDEX(BARA_AL_KGM,MATCH($B78,BARA_KOD_AL,0))</f>
        <v>2.16</v>
      </c>
    </row>
    <row r="79" spans="1:27" x14ac:dyDescent="0.35">
      <c r="A79" s="4">
        <f t="shared" si="14"/>
        <v>78</v>
      </c>
      <c r="B79" s="4" t="s">
        <v>979</v>
      </c>
      <c r="C79" s="4" t="s">
        <v>979</v>
      </c>
      <c r="D79" s="4" t="s">
        <v>980</v>
      </c>
      <c r="E79" s="4" t="s">
        <v>920</v>
      </c>
      <c r="F79" s="13"/>
      <c r="G79" s="4" t="s">
        <v>921</v>
      </c>
      <c r="H79" s="4" t="str">
        <f t="shared" si="15"/>
        <v>KZT</v>
      </c>
      <c r="I79" s="4">
        <f t="shared" si="16"/>
        <v>1</v>
      </c>
      <c r="J79" s="4">
        <f t="shared" si="17"/>
        <v>67656.518400000001</v>
      </c>
      <c r="K79" s="4" t="s">
        <v>697</v>
      </c>
      <c r="L79" s="4">
        <f>SUMIFS(BOM!$AA:$AA,BOM!$P:$P,$B79)</f>
        <v>0</v>
      </c>
      <c r="M79" s="4">
        <f t="shared" si="18"/>
        <v>0</v>
      </c>
      <c r="N79" s="4">
        <f>IF($J79="","",$J79*SUMIFS(BOM!$AA:$AA,BOM!$P:$P,$B79,BOM!$M:$M,"&lt;&gt;KAPSAM_DISI",BOM!$M:$M,"&lt;&gt;KONTROL"))</f>
        <v>0</v>
      </c>
      <c r="O79" s="4" t="s">
        <v>922</v>
      </c>
      <c r="P79" s="4" t="str">
        <f t="shared" si="19"/>
        <v>FIYAT_ESKI</v>
      </c>
      <c r="R79" s="4" t="s">
        <v>923</v>
      </c>
      <c r="S79" s="4" t="s">
        <v>921</v>
      </c>
      <c r="AA79" s="4">
        <f>INDEX(BARA_CU_KGM,MATCH($B79,BARA_KOD_CU,0))</f>
        <v>8.5440000000000005</v>
      </c>
    </row>
    <row r="80" spans="1:27" x14ac:dyDescent="0.35">
      <c r="A80" s="4">
        <f t="shared" si="14"/>
        <v>79</v>
      </c>
      <c r="B80" s="4" t="s">
        <v>981</v>
      </c>
      <c r="C80" s="4" t="s">
        <v>981</v>
      </c>
      <c r="D80" s="4" t="s">
        <v>982</v>
      </c>
      <c r="E80" s="4" t="s">
        <v>920</v>
      </c>
      <c r="F80" s="13"/>
      <c r="G80" s="4" t="s">
        <v>926</v>
      </c>
      <c r="H80" s="4" t="str">
        <f t="shared" si="15"/>
        <v>KZT</v>
      </c>
      <c r="I80" s="4">
        <f t="shared" si="16"/>
        <v>1</v>
      </c>
      <c r="J80" s="4">
        <f t="shared" si="17"/>
        <v>11647.411199999999</v>
      </c>
      <c r="K80" s="4" t="s">
        <v>697</v>
      </c>
      <c r="L80" s="4">
        <f>SUMIFS(BOM!$AA:$AA,BOM!$P:$P,$B80)</f>
        <v>0</v>
      </c>
      <c r="M80" s="4">
        <f t="shared" si="18"/>
        <v>0</v>
      </c>
      <c r="N80" s="4">
        <f>IF($J80="","",$J80*SUMIFS(BOM!$AA:$AA,BOM!$P:$P,$B80,BOM!$M:$M,"&lt;&gt;KAPSAM_DISI",BOM!$M:$M,"&lt;&gt;KONTROL"))</f>
        <v>0</v>
      </c>
      <c r="O80" s="4" t="s">
        <v>922</v>
      </c>
      <c r="P80" s="4" t="str">
        <f t="shared" si="19"/>
        <v>FIYAT_ESKI</v>
      </c>
      <c r="R80" s="4" t="s">
        <v>923</v>
      </c>
      <c r="S80" s="4" t="s">
        <v>926</v>
      </c>
      <c r="AA80" s="4">
        <f>INDEX(BARA_AL_KGM,MATCH($B80,BARA_KOD_AL,0))</f>
        <v>2.5920000000000001</v>
      </c>
    </row>
    <row r="81" spans="1:27" x14ac:dyDescent="0.35">
      <c r="A81" s="4">
        <f t="shared" si="14"/>
        <v>80</v>
      </c>
      <c r="B81" s="4" t="s">
        <v>983</v>
      </c>
      <c r="C81" s="4" t="s">
        <v>983</v>
      </c>
      <c r="D81" s="4" t="s">
        <v>984</v>
      </c>
      <c r="E81" s="4" t="s">
        <v>920</v>
      </c>
      <c r="F81" s="13"/>
      <c r="G81" s="4" t="s">
        <v>921</v>
      </c>
      <c r="H81" s="4" t="str">
        <f t="shared" si="15"/>
        <v>KZT</v>
      </c>
      <c r="I81" s="4">
        <f t="shared" si="16"/>
        <v>1</v>
      </c>
      <c r="J81" s="4">
        <f t="shared" si="17"/>
        <v>42285.323999999993</v>
      </c>
      <c r="K81" s="4" t="s">
        <v>697</v>
      </c>
      <c r="L81" s="4">
        <f>SUMIFS(BOM!$AA:$AA,BOM!$P:$P,$B81)</f>
        <v>0</v>
      </c>
      <c r="M81" s="4">
        <f t="shared" si="18"/>
        <v>0</v>
      </c>
      <c r="N81" s="4">
        <f>IF($J81="","",$J81*SUMIFS(BOM!$AA:$AA,BOM!$P:$P,$B81,BOM!$M:$M,"&lt;&gt;KAPSAM_DISI",BOM!$M:$M,"&lt;&gt;KONTROL"))</f>
        <v>0</v>
      </c>
      <c r="O81" s="4" t="s">
        <v>922</v>
      </c>
      <c r="P81" s="4" t="str">
        <f t="shared" si="19"/>
        <v>FIYAT_ESKI</v>
      </c>
      <c r="R81" s="4" t="s">
        <v>923</v>
      </c>
      <c r="S81" s="4" t="s">
        <v>921</v>
      </c>
      <c r="AA81" s="4">
        <f>INDEX(BARA_CU_KGM,MATCH($B81,BARA_KOD_CU,0))</f>
        <v>5.34</v>
      </c>
    </row>
    <row r="82" spans="1:27" x14ac:dyDescent="0.35">
      <c r="A82" s="4">
        <f t="shared" si="14"/>
        <v>81</v>
      </c>
      <c r="B82" s="4" t="s">
        <v>985</v>
      </c>
      <c r="C82" s="4" t="s">
        <v>985</v>
      </c>
      <c r="D82" s="4" t="s">
        <v>986</v>
      </c>
      <c r="E82" s="4" t="s">
        <v>920</v>
      </c>
      <c r="F82" s="13"/>
      <c r="G82" s="4" t="s">
        <v>926</v>
      </c>
      <c r="H82" s="4" t="str">
        <f t="shared" si="15"/>
        <v>KZT</v>
      </c>
      <c r="I82" s="4">
        <f t="shared" si="16"/>
        <v>1</v>
      </c>
      <c r="J82" s="4">
        <f t="shared" si="17"/>
        <v>7279.6319999999996</v>
      </c>
      <c r="K82" s="4" t="s">
        <v>697</v>
      </c>
      <c r="L82" s="4">
        <f>SUMIFS(BOM!$AA:$AA,BOM!$P:$P,$B82)</f>
        <v>0</v>
      </c>
      <c r="M82" s="4">
        <f t="shared" si="18"/>
        <v>0</v>
      </c>
      <c r="N82" s="4">
        <f>IF($J82="","",$J82*SUMIFS(BOM!$AA:$AA,BOM!$P:$P,$B82,BOM!$M:$M,"&lt;&gt;KAPSAM_DISI",BOM!$M:$M,"&lt;&gt;KONTROL"))</f>
        <v>0</v>
      </c>
      <c r="O82" s="4" t="s">
        <v>922</v>
      </c>
      <c r="P82" s="4" t="str">
        <f t="shared" si="19"/>
        <v>FIYAT_ESKI</v>
      </c>
      <c r="R82" s="4" t="s">
        <v>923</v>
      </c>
      <c r="S82" s="4" t="s">
        <v>926</v>
      </c>
      <c r="AA82" s="4">
        <f>INDEX(BARA_AL_KGM,MATCH($B82,BARA_KOD_AL,0))</f>
        <v>1.62</v>
      </c>
    </row>
    <row r="83" spans="1:27" x14ac:dyDescent="0.35">
      <c r="A83" s="4">
        <f t="shared" si="14"/>
        <v>82</v>
      </c>
      <c r="B83" s="4" t="s">
        <v>987</v>
      </c>
      <c r="C83" s="4" t="s">
        <v>987</v>
      </c>
      <c r="D83" s="4" t="s">
        <v>988</v>
      </c>
      <c r="E83" s="4" t="s">
        <v>920</v>
      </c>
      <c r="F83" s="13"/>
      <c r="G83" s="4" t="s">
        <v>921</v>
      </c>
      <c r="H83" s="4" t="str">
        <f t="shared" si="15"/>
        <v>KZT</v>
      </c>
      <c r="I83" s="4">
        <f t="shared" si="16"/>
        <v>1</v>
      </c>
      <c r="J83" s="4">
        <f t="shared" si="17"/>
        <v>56380.431999999993</v>
      </c>
      <c r="K83" s="4" t="s">
        <v>697</v>
      </c>
      <c r="L83" s="4">
        <f>SUMIFS(BOM!$AA:$AA,BOM!$P:$P,$B83)</f>
        <v>0</v>
      </c>
      <c r="M83" s="4">
        <f t="shared" si="18"/>
        <v>0</v>
      </c>
      <c r="N83" s="4">
        <f>IF($J83="","",$J83*SUMIFS(BOM!$AA:$AA,BOM!$P:$P,$B83,BOM!$M:$M,"&lt;&gt;KAPSAM_DISI",BOM!$M:$M,"&lt;&gt;KONTROL"))</f>
        <v>0</v>
      </c>
      <c r="O83" s="4" t="s">
        <v>922</v>
      </c>
      <c r="P83" s="4" t="str">
        <f t="shared" si="19"/>
        <v>FIYAT_ESKI</v>
      </c>
      <c r="R83" s="4" t="s">
        <v>923</v>
      </c>
      <c r="S83" s="4" t="s">
        <v>921</v>
      </c>
      <c r="AA83" s="4">
        <f>INDEX(BARA_CU_KGM,MATCH($B83,BARA_KOD_CU,0))</f>
        <v>7.12</v>
      </c>
    </row>
    <row r="84" spans="1:27" x14ac:dyDescent="0.35">
      <c r="A84" s="4">
        <f t="shared" si="14"/>
        <v>83</v>
      </c>
      <c r="B84" s="4" t="s">
        <v>989</v>
      </c>
      <c r="C84" s="4" t="s">
        <v>989</v>
      </c>
      <c r="D84" s="4" t="s">
        <v>990</v>
      </c>
      <c r="E84" s="4" t="s">
        <v>920</v>
      </c>
      <c r="F84" s="13"/>
      <c r="G84" s="4" t="s">
        <v>926</v>
      </c>
      <c r="H84" s="4" t="str">
        <f t="shared" si="15"/>
        <v>KZT</v>
      </c>
      <c r="I84" s="4">
        <f t="shared" si="16"/>
        <v>1</v>
      </c>
      <c r="J84" s="4">
        <f t="shared" si="17"/>
        <v>9706.1759999999995</v>
      </c>
      <c r="K84" s="4" t="s">
        <v>697</v>
      </c>
      <c r="L84" s="4">
        <f>SUMIFS(BOM!$AA:$AA,BOM!$P:$P,$B84)</f>
        <v>0</v>
      </c>
      <c r="M84" s="4">
        <f t="shared" si="18"/>
        <v>0</v>
      </c>
      <c r="N84" s="4">
        <f>IF($J84="","",$J84*SUMIFS(BOM!$AA:$AA,BOM!$P:$P,$B84,BOM!$M:$M,"&lt;&gt;KAPSAM_DISI",BOM!$M:$M,"&lt;&gt;KONTROL"))</f>
        <v>0</v>
      </c>
      <c r="O84" s="4" t="s">
        <v>922</v>
      </c>
      <c r="P84" s="4" t="str">
        <f t="shared" si="19"/>
        <v>FIYAT_ESKI</v>
      </c>
      <c r="R84" s="4" t="s">
        <v>923</v>
      </c>
      <c r="S84" s="4" t="s">
        <v>926</v>
      </c>
      <c r="AA84" s="4">
        <f>INDEX(BARA_AL_KGM,MATCH($B84,BARA_KOD_AL,0))</f>
        <v>2.16</v>
      </c>
    </row>
    <row r="85" spans="1:27" x14ac:dyDescent="0.35">
      <c r="A85" s="4">
        <f t="shared" si="14"/>
        <v>84</v>
      </c>
      <c r="B85" s="4" t="s">
        <v>991</v>
      </c>
      <c r="C85" s="4" t="s">
        <v>991</v>
      </c>
      <c r="D85" s="4" t="s">
        <v>992</v>
      </c>
      <c r="E85" s="4" t="s">
        <v>920</v>
      </c>
      <c r="F85" s="13"/>
      <c r="G85" s="4" t="s">
        <v>921</v>
      </c>
      <c r="H85" s="4" t="str">
        <f t="shared" si="15"/>
        <v>KZT</v>
      </c>
      <c r="I85" s="4">
        <f t="shared" si="16"/>
        <v>1</v>
      </c>
      <c r="J85" s="4">
        <f t="shared" si="17"/>
        <v>70475.539999999994</v>
      </c>
      <c r="K85" s="4" t="s">
        <v>697</v>
      </c>
      <c r="L85" s="4">
        <f>SUMIFS(BOM!$AA:$AA,BOM!$P:$P,$B85)</f>
        <v>0</v>
      </c>
      <c r="M85" s="4">
        <f t="shared" si="18"/>
        <v>0</v>
      </c>
      <c r="N85" s="4">
        <f>IF($J85="","",$J85*SUMIFS(BOM!$AA:$AA,BOM!$P:$P,$B85,BOM!$M:$M,"&lt;&gt;KAPSAM_DISI",BOM!$M:$M,"&lt;&gt;KONTROL"))</f>
        <v>0</v>
      </c>
      <c r="O85" s="4" t="s">
        <v>922</v>
      </c>
      <c r="P85" s="4" t="str">
        <f t="shared" si="19"/>
        <v>FIYAT_ESKI</v>
      </c>
      <c r="R85" s="4" t="s">
        <v>923</v>
      </c>
      <c r="S85" s="4" t="s">
        <v>921</v>
      </c>
      <c r="AA85" s="4">
        <f>INDEX(BARA_CU_KGM,MATCH($B85,BARA_KOD_CU,0))</f>
        <v>8.9</v>
      </c>
    </row>
    <row r="86" spans="1:27" x14ac:dyDescent="0.35">
      <c r="A86" s="4">
        <f t="shared" si="14"/>
        <v>85</v>
      </c>
      <c r="B86" s="4" t="s">
        <v>993</v>
      </c>
      <c r="C86" s="4" t="s">
        <v>993</v>
      </c>
      <c r="D86" s="4" t="s">
        <v>994</v>
      </c>
      <c r="E86" s="4" t="s">
        <v>920</v>
      </c>
      <c r="F86" s="13"/>
      <c r="G86" s="4" t="s">
        <v>926</v>
      </c>
      <c r="H86" s="4" t="str">
        <f t="shared" si="15"/>
        <v>KZT</v>
      </c>
      <c r="I86" s="4">
        <f t="shared" si="16"/>
        <v>1</v>
      </c>
      <c r="J86" s="4">
        <f t="shared" si="17"/>
        <v>12132.72</v>
      </c>
      <c r="K86" s="4" t="s">
        <v>697</v>
      </c>
      <c r="L86" s="4">
        <f>SUMIFS(BOM!$AA:$AA,BOM!$P:$P,$B86)</f>
        <v>0</v>
      </c>
      <c r="M86" s="4">
        <f t="shared" si="18"/>
        <v>0</v>
      </c>
      <c r="N86" s="4">
        <f>IF($J86="","",$J86*SUMIFS(BOM!$AA:$AA,BOM!$P:$P,$B86,BOM!$M:$M,"&lt;&gt;KAPSAM_DISI",BOM!$M:$M,"&lt;&gt;KONTROL"))</f>
        <v>0</v>
      </c>
      <c r="O86" s="4" t="s">
        <v>922</v>
      </c>
      <c r="P86" s="4" t="str">
        <f t="shared" si="19"/>
        <v>FIYAT_ESKI</v>
      </c>
      <c r="R86" s="4" t="s">
        <v>923</v>
      </c>
      <c r="S86" s="4" t="s">
        <v>926</v>
      </c>
      <c r="AA86" s="4">
        <f>INDEX(BARA_AL_KGM,MATCH($B86,BARA_KOD_AL,0))</f>
        <v>2.7</v>
      </c>
    </row>
    <row r="87" spans="1:27" x14ac:dyDescent="0.35">
      <c r="A87" s="4">
        <f t="shared" si="14"/>
        <v>86</v>
      </c>
      <c r="B87" s="4" t="s">
        <v>995</v>
      </c>
      <c r="C87" s="4" t="s">
        <v>995</v>
      </c>
      <c r="D87" s="4" t="s">
        <v>996</v>
      </c>
      <c r="E87" s="4" t="s">
        <v>920</v>
      </c>
      <c r="F87" s="13"/>
      <c r="G87" s="4" t="s">
        <v>921</v>
      </c>
      <c r="H87" s="4" t="str">
        <f t="shared" si="15"/>
        <v>KZT</v>
      </c>
      <c r="I87" s="4">
        <f t="shared" si="16"/>
        <v>1</v>
      </c>
      <c r="J87" s="4">
        <f t="shared" si="17"/>
        <v>84570.647999999986</v>
      </c>
      <c r="K87" s="4" t="s">
        <v>697</v>
      </c>
      <c r="L87" s="4">
        <f>SUMIFS(BOM!$AA:$AA,BOM!$P:$P,$B87)</f>
        <v>0</v>
      </c>
      <c r="M87" s="4">
        <f t="shared" si="18"/>
        <v>0</v>
      </c>
      <c r="N87" s="4">
        <f>IF($J87="","",$J87*SUMIFS(BOM!$AA:$AA,BOM!$P:$P,$B87,BOM!$M:$M,"&lt;&gt;KAPSAM_DISI",BOM!$M:$M,"&lt;&gt;KONTROL"))</f>
        <v>0</v>
      </c>
      <c r="O87" s="4" t="s">
        <v>922</v>
      </c>
      <c r="P87" s="4" t="str">
        <f t="shared" si="19"/>
        <v>FIYAT_ESKI</v>
      </c>
      <c r="R87" s="4" t="s">
        <v>923</v>
      </c>
      <c r="S87" s="4" t="s">
        <v>921</v>
      </c>
      <c r="AA87" s="4">
        <f>INDEX(BARA_CU_KGM,MATCH($B87,BARA_KOD_CU,0))</f>
        <v>10.68</v>
      </c>
    </row>
    <row r="88" spans="1:27" x14ac:dyDescent="0.35">
      <c r="A88" s="4">
        <f t="shared" si="14"/>
        <v>87</v>
      </c>
      <c r="B88" s="4" t="s">
        <v>997</v>
      </c>
      <c r="C88" s="4" t="s">
        <v>997</v>
      </c>
      <c r="D88" s="4" t="s">
        <v>998</v>
      </c>
      <c r="E88" s="4" t="s">
        <v>920</v>
      </c>
      <c r="F88" s="13"/>
      <c r="G88" s="4" t="s">
        <v>926</v>
      </c>
      <c r="H88" s="4" t="str">
        <f t="shared" si="15"/>
        <v>KZT</v>
      </c>
      <c r="I88" s="4">
        <f t="shared" si="16"/>
        <v>1</v>
      </c>
      <c r="J88" s="4">
        <f t="shared" si="17"/>
        <v>14559.263999999999</v>
      </c>
      <c r="K88" s="4" t="s">
        <v>697</v>
      </c>
      <c r="L88" s="4">
        <f>SUMIFS(BOM!$AA:$AA,BOM!$P:$P,$B88)</f>
        <v>0</v>
      </c>
      <c r="M88" s="4">
        <f t="shared" si="18"/>
        <v>0</v>
      </c>
      <c r="N88" s="4">
        <f>IF($J88="","",$J88*SUMIFS(BOM!$AA:$AA,BOM!$P:$P,$B88,BOM!$M:$M,"&lt;&gt;KAPSAM_DISI",BOM!$M:$M,"&lt;&gt;KONTROL"))</f>
        <v>0</v>
      </c>
      <c r="O88" s="4" t="s">
        <v>922</v>
      </c>
      <c r="P88" s="4" t="str">
        <f t="shared" si="19"/>
        <v>FIYAT_ESKI</v>
      </c>
      <c r="R88" s="4" t="s">
        <v>923</v>
      </c>
      <c r="S88" s="4" t="s">
        <v>926</v>
      </c>
      <c r="AA88" s="4">
        <f>INDEX(BARA_AL_KGM,MATCH($B88,BARA_KOD_AL,0))</f>
        <v>3.24</v>
      </c>
    </row>
  </sheetData>
  <autoFilter ref="A1:AL88" xr:uid="{00000000-0009-0000-0000-000006000000}"/>
  <conditionalFormatting sqref="P2:P88">
    <cfRule type="expression" dxfId="8" priority="2">
      <formula>$P2="KONTROL"</formula>
    </cfRule>
    <cfRule type="expression" dxfId="7" priority="3">
      <formula>$P2="FIYAT_YOK"</formula>
    </cfRule>
    <cfRule type="expression" dxfId="6" priority="4">
      <formula>$P2="CIHAZ_BELIRSIZ"</formula>
    </cfRule>
    <cfRule type="expression" dxfId="5" priority="5">
      <formula>$P2="OKUNAMADI"</formula>
    </cfRule>
    <cfRule type="expression" dxfId="4" priority="6">
      <formula>$P2="MUADIL_ONAY"</formula>
    </cfRule>
    <cfRule type="expression" dxfId="3" priority="7">
      <formula>$P2="MUADIL"</formula>
    </cfRule>
    <cfRule type="expression" dxfId="2" priority="8">
      <formula>$P2="VARSAYIM"</formula>
    </cfRule>
    <cfRule type="expression" dxfId="1" priority="9">
      <formula>$P2="FIYAT_ESKI"</formula>
    </cfRule>
    <cfRule type="expression" dxfId="0" priority="10">
      <formula>$P2="KAPSAM_DISI"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92"/>
  <sheetViews>
    <sheetView zoomScaleNormal="100" workbookViewId="0">
      <selection activeCell="A20" sqref="A20"/>
    </sheetView>
  </sheetViews>
  <sheetFormatPr defaultColWidth="8.6328125" defaultRowHeight="14.5" x14ac:dyDescent="0.35"/>
  <cols>
    <col min="1" max="1" width="26" customWidth="1"/>
    <col min="2" max="2" width="22" customWidth="1"/>
  </cols>
  <sheetData>
    <row r="1" spans="1:4" x14ac:dyDescent="0.35">
      <c r="A1" s="1" t="s">
        <v>999</v>
      </c>
    </row>
    <row r="2" spans="1:4" x14ac:dyDescent="0.35">
      <c r="A2" s="4" t="s">
        <v>1000</v>
      </c>
      <c r="B2" s="4" t="s">
        <v>1001</v>
      </c>
    </row>
    <row r="3" spans="1:4" x14ac:dyDescent="0.35">
      <c r="A3" s="4" t="s">
        <v>1002</v>
      </c>
      <c r="B3" s="4" t="s">
        <v>1003</v>
      </c>
    </row>
    <row r="4" spans="1:4" x14ac:dyDescent="0.35">
      <c r="A4" s="4" t="s">
        <v>1004</v>
      </c>
      <c r="B4" s="4" t="s">
        <v>1005</v>
      </c>
    </row>
    <row r="5" spans="1:4" x14ac:dyDescent="0.35">
      <c r="A5" s="4" t="s">
        <v>1006</v>
      </c>
      <c r="B5" s="4" t="s">
        <v>1007</v>
      </c>
    </row>
    <row r="6" spans="1:4" x14ac:dyDescent="0.35">
      <c r="A6" s="4" t="s">
        <v>1008</v>
      </c>
      <c r="B6" s="4">
        <v>34700</v>
      </c>
    </row>
    <row r="7" spans="1:4" x14ac:dyDescent="0.35">
      <c r="A7" s="4" t="s">
        <v>1009</v>
      </c>
      <c r="B7" s="4" t="s">
        <v>1010</v>
      </c>
    </row>
    <row r="8" spans="1:4" x14ac:dyDescent="0.35">
      <c r="A8" s="4" t="s">
        <v>1011</v>
      </c>
      <c r="B8" s="4" t="s">
        <v>568</v>
      </c>
    </row>
    <row r="9" spans="1:4" x14ac:dyDescent="0.35">
      <c r="A9" s="4" t="s">
        <v>1012</v>
      </c>
      <c r="B9" s="4" t="s">
        <v>1013</v>
      </c>
    </row>
    <row r="10" spans="1:4" x14ac:dyDescent="0.35">
      <c r="A10" s="4" t="s">
        <v>1014</v>
      </c>
      <c r="B10" s="4"/>
    </row>
    <row r="11" spans="1:4" x14ac:dyDescent="0.35">
      <c r="A11" s="4" t="s">
        <v>1015</v>
      </c>
      <c r="B11" s="4" t="s">
        <v>1016</v>
      </c>
    </row>
    <row r="12" spans="1:4" x14ac:dyDescent="0.35">
      <c r="A12" s="4" t="s">
        <v>1017</v>
      </c>
      <c r="B12" s="4">
        <v>0</v>
      </c>
      <c r="C12" s="4" t="s">
        <v>1018</v>
      </c>
    </row>
    <row r="13" spans="1:4" x14ac:dyDescent="0.35">
      <c r="A13" s="1" t="s">
        <v>1019</v>
      </c>
    </row>
    <row r="14" spans="1:4" x14ac:dyDescent="0.35">
      <c r="A14" s="1" t="s">
        <v>1020</v>
      </c>
    </row>
    <row r="15" spans="1:4" x14ac:dyDescent="0.35">
      <c r="A15" s="1" t="s">
        <v>727</v>
      </c>
      <c r="B15" s="1" t="s">
        <v>192</v>
      </c>
      <c r="C15" s="1" t="s">
        <v>1021</v>
      </c>
      <c r="D15" s="1" t="s">
        <v>12</v>
      </c>
    </row>
    <row r="16" spans="1:4" x14ac:dyDescent="0.35">
      <c r="A16" s="4" t="s">
        <v>192</v>
      </c>
      <c r="B16" s="12">
        <v>1</v>
      </c>
      <c r="C16" s="4"/>
      <c r="D16" s="4" t="s">
        <v>1022</v>
      </c>
    </row>
    <row r="17" spans="1:10" x14ac:dyDescent="0.35">
      <c r="A17" s="4" t="s">
        <v>1023</v>
      </c>
      <c r="B17" s="12">
        <v>585</v>
      </c>
      <c r="C17" s="4"/>
      <c r="D17" s="4" t="s">
        <v>54</v>
      </c>
    </row>
    <row r="18" spans="1:10" x14ac:dyDescent="0.35">
      <c r="A18" s="4" t="s">
        <v>1024</v>
      </c>
      <c r="B18" s="12">
        <v>548</v>
      </c>
      <c r="C18" s="4"/>
      <c r="D18" s="4" t="s">
        <v>54</v>
      </c>
    </row>
    <row r="19" spans="1:10" x14ac:dyDescent="0.35">
      <c r="A19" s="4" t="s">
        <v>1025</v>
      </c>
      <c r="B19" s="12">
        <v>13.5</v>
      </c>
      <c r="C19" s="4"/>
      <c r="D19" s="4" t="s">
        <v>54</v>
      </c>
    </row>
    <row r="20" spans="1:10" x14ac:dyDescent="0.35">
      <c r="A20" s="4" t="s">
        <v>1026</v>
      </c>
      <c r="B20" s="14">
        <v>46281</v>
      </c>
      <c r="C20" s="4"/>
    </row>
    <row r="21" spans="1:10" x14ac:dyDescent="0.35">
      <c r="A21" s="4" t="s">
        <v>1027</v>
      </c>
      <c r="B21" s="12">
        <v>30.4375</v>
      </c>
      <c r="C21" s="4"/>
    </row>
    <row r="22" spans="1:10" x14ac:dyDescent="0.35">
      <c r="A22" s="4" t="s">
        <v>1028</v>
      </c>
      <c r="B22" s="12">
        <v>60</v>
      </c>
      <c r="C22" s="4"/>
    </row>
    <row r="23" spans="1:10" x14ac:dyDescent="0.35">
      <c r="A23" s="1" t="s">
        <v>1029</v>
      </c>
    </row>
    <row r="24" spans="1:10" x14ac:dyDescent="0.35">
      <c r="A24" s="1" t="s">
        <v>726</v>
      </c>
      <c r="B24" s="1" t="s">
        <v>727</v>
      </c>
      <c r="C24" s="1" t="s">
        <v>1030</v>
      </c>
      <c r="D24" s="1" t="s">
        <v>1031</v>
      </c>
      <c r="E24" s="1" t="s">
        <v>728</v>
      </c>
      <c r="F24" s="1" t="s">
        <v>1032</v>
      </c>
      <c r="G24" s="1" t="s">
        <v>1033</v>
      </c>
      <c r="H24" s="1" t="s">
        <v>1034</v>
      </c>
      <c r="I24" s="1" t="s">
        <v>1035</v>
      </c>
      <c r="J24" s="1" t="s">
        <v>13</v>
      </c>
    </row>
    <row r="25" spans="1:10" x14ac:dyDescent="0.35">
      <c r="A25" s="4" t="s">
        <v>1036</v>
      </c>
      <c r="B25" s="4" t="s">
        <v>1023</v>
      </c>
      <c r="C25" s="12">
        <v>1.35</v>
      </c>
      <c r="D25" s="12">
        <v>0.3</v>
      </c>
      <c r="E25" s="4">
        <f t="shared" ref="E25:E41" si="0">C25*D25</f>
        <v>0.40500000000000003</v>
      </c>
      <c r="F25" s="4" t="s">
        <v>1037</v>
      </c>
      <c r="G25" s="4" t="s">
        <v>321</v>
      </c>
      <c r="H25" s="4" t="s">
        <v>1036</v>
      </c>
      <c r="I25" s="4" t="s">
        <v>1036</v>
      </c>
      <c r="J25" s="4" t="s">
        <v>1038</v>
      </c>
    </row>
    <row r="26" spans="1:10" x14ac:dyDescent="0.35">
      <c r="A26" s="4" t="s">
        <v>1039</v>
      </c>
      <c r="B26" s="4" t="s">
        <v>1023</v>
      </c>
      <c r="C26" s="12">
        <v>1.35</v>
      </c>
      <c r="D26" s="12">
        <v>0.23</v>
      </c>
      <c r="E26" s="4">
        <f t="shared" si="0"/>
        <v>0.31050000000000005</v>
      </c>
      <c r="F26" s="4" t="s">
        <v>1037</v>
      </c>
      <c r="G26" s="4" t="s">
        <v>321</v>
      </c>
      <c r="H26" s="4" t="s">
        <v>1036</v>
      </c>
      <c r="I26" s="4" t="s">
        <v>1036</v>
      </c>
      <c r="J26" s="4" t="s">
        <v>1040</v>
      </c>
    </row>
    <row r="27" spans="1:10" x14ac:dyDescent="0.35">
      <c r="A27" s="4" t="s">
        <v>1041</v>
      </c>
      <c r="B27" s="4" t="s">
        <v>1025</v>
      </c>
      <c r="C27" s="12">
        <v>0.6</v>
      </c>
      <c r="D27" s="12">
        <v>1</v>
      </c>
      <c r="E27" s="4">
        <f t="shared" si="0"/>
        <v>0.6</v>
      </c>
      <c r="F27" s="4" t="s">
        <v>1037</v>
      </c>
      <c r="G27" s="4" t="s">
        <v>321</v>
      </c>
      <c r="H27" s="4" t="s">
        <v>1041</v>
      </c>
      <c r="I27" s="4" t="s">
        <v>1042</v>
      </c>
      <c r="J27" s="4" t="s">
        <v>1043</v>
      </c>
    </row>
    <row r="28" spans="1:10" x14ac:dyDescent="0.35">
      <c r="A28" s="4" t="s">
        <v>1044</v>
      </c>
      <c r="B28" s="4" t="s">
        <v>1025</v>
      </c>
      <c r="C28" s="12">
        <v>0.5</v>
      </c>
      <c r="D28" s="12">
        <v>1</v>
      </c>
      <c r="E28" s="4">
        <f t="shared" si="0"/>
        <v>0.5</v>
      </c>
      <c r="F28" s="4" t="s">
        <v>1037</v>
      </c>
      <c r="G28" s="4" t="s">
        <v>321</v>
      </c>
      <c r="H28" s="4" t="s">
        <v>1044</v>
      </c>
      <c r="I28" s="4" t="s">
        <v>1045</v>
      </c>
      <c r="J28" s="4" t="s">
        <v>1046</v>
      </c>
    </row>
    <row r="29" spans="1:10" x14ac:dyDescent="0.35">
      <c r="A29" s="4" t="s">
        <v>751</v>
      </c>
      <c r="B29" s="4" t="s">
        <v>192</v>
      </c>
      <c r="C29" s="12">
        <v>0.6</v>
      </c>
      <c r="D29" s="12">
        <v>1</v>
      </c>
      <c r="E29" s="4">
        <f t="shared" si="0"/>
        <v>0.6</v>
      </c>
      <c r="F29" s="4" t="s">
        <v>1037</v>
      </c>
      <c r="G29" s="4" t="s">
        <v>321</v>
      </c>
      <c r="H29" s="4" t="s">
        <v>751</v>
      </c>
      <c r="I29" s="4" t="s">
        <v>751</v>
      </c>
      <c r="J29" s="4"/>
    </row>
    <row r="30" spans="1:10" x14ac:dyDescent="0.35">
      <c r="A30" s="4" t="s">
        <v>826</v>
      </c>
      <c r="B30" s="4" t="s">
        <v>192</v>
      </c>
      <c r="C30" s="12">
        <v>0.6</v>
      </c>
      <c r="D30" s="12">
        <v>1</v>
      </c>
      <c r="E30" s="4">
        <f t="shared" si="0"/>
        <v>0.6</v>
      </c>
      <c r="F30" s="4" t="s">
        <v>1037</v>
      </c>
      <c r="G30" s="4" t="s">
        <v>321</v>
      </c>
      <c r="H30" s="4" t="s">
        <v>826</v>
      </c>
      <c r="I30" s="4" t="s">
        <v>826</v>
      </c>
      <c r="J30" s="4" t="s">
        <v>1047</v>
      </c>
    </row>
    <row r="31" spans="1:10" x14ac:dyDescent="0.35">
      <c r="A31" s="4" t="s">
        <v>832</v>
      </c>
      <c r="B31" s="4" t="s">
        <v>192</v>
      </c>
      <c r="C31" s="12">
        <v>1</v>
      </c>
      <c r="D31" s="12">
        <v>1</v>
      </c>
      <c r="E31" s="4">
        <f t="shared" si="0"/>
        <v>1</v>
      </c>
      <c r="F31" s="4" t="s">
        <v>1037</v>
      </c>
      <c r="G31" s="4" t="s">
        <v>321</v>
      </c>
      <c r="H31" s="4" t="s">
        <v>832</v>
      </c>
      <c r="I31" s="4" t="s">
        <v>832</v>
      </c>
      <c r="J31" s="4"/>
    </row>
    <row r="32" spans="1:10" x14ac:dyDescent="0.35">
      <c r="A32" s="4" t="s">
        <v>1048</v>
      </c>
      <c r="B32" s="4" t="s">
        <v>192</v>
      </c>
      <c r="C32" s="12">
        <v>1</v>
      </c>
      <c r="D32" s="12">
        <v>1</v>
      </c>
      <c r="E32" s="4">
        <f t="shared" si="0"/>
        <v>1</v>
      </c>
      <c r="F32" s="4" t="s">
        <v>1037</v>
      </c>
      <c r="G32" s="4" t="s">
        <v>321</v>
      </c>
      <c r="H32" s="4" t="s">
        <v>1048</v>
      </c>
      <c r="I32" s="4" t="s">
        <v>1048</v>
      </c>
      <c r="J32" s="4"/>
    </row>
    <row r="33" spans="1:10" x14ac:dyDescent="0.35">
      <c r="A33" s="4" t="s">
        <v>877</v>
      </c>
      <c r="B33" s="4" t="s">
        <v>192</v>
      </c>
      <c r="C33" s="12">
        <v>1</v>
      </c>
      <c r="D33" s="12">
        <v>1</v>
      </c>
      <c r="E33" s="4">
        <f t="shared" si="0"/>
        <v>1</v>
      </c>
      <c r="F33" s="4" t="s">
        <v>1037</v>
      </c>
      <c r="G33" s="4" t="s">
        <v>321</v>
      </c>
      <c r="H33" s="4" t="s">
        <v>877</v>
      </c>
      <c r="I33" s="4" t="s">
        <v>877</v>
      </c>
      <c r="J33" s="4" t="s">
        <v>1049</v>
      </c>
    </row>
    <row r="34" spans="1:10" x14ac:dyDescent="0.35">
      <c r="A34" s="4" t="s">
        <v>1050</v>
      </c>
      <c r="B34" s="4" t="s">
        <v>192</v>
      </c>
      <c r="C34" s="12">
        <v>1</v>
      </c>
      <c r="D34" s="12">
        <v>1</v>
      </c>
      <c r="E34" s="4">
        <f t="shared" si="0"/>
        <v>1</v>
      </c>
      <c r="F34" s="4" t="s">
        <v>1037</v>
      </c>
      <c r="G34" s="4" t="s">
        <v>321</v>
      </c>
      <c r="H34" s="4" t="s">
        <v>1050</v>
      </c>
      <c r="I34" s="4" t="s">
        <v>1050</v>
      </c>
      <c r="J34" s="4" t="s">
        <v>1051</v>
      </c>
    </row>
    <row r="35" spans="1:10" x14ac:dyDescent="0.35">
      <c r="A35" s="4" t="s">
        <v>1052</v>
      </c>
      <c r="B35" s="4" t="s">
        <v>192</v>
      </c>
      <c r="C35" s="12">
        <v>0.67</v>
      </c>
      <c r="D35" s="12">
        <v>1</v>
      </c>
      <c r="E35" s="4">
        <f t="shared" si="0"/>
        <v>0.67</v>
      </c>
      <c r="F35" s="4" t="s">
        <v>1037</v>
      </c>
      <c r="G35" s="4" t="s">
        <v>326</v>
      </c>
      <c r="H35" s="4" t="s">
        <v>1052</v>
      </c>
      <c r="I35" s="4" t="s">
        <v>1052</v>
      </c>
      <c r="J35" s="4" t="s">
        <v>1053</v>
      </c>
    </row>
    <row r="36" spans="1:10" x14ac:dyDescent="0.35">
      <c r="A36" s="4" t="s">
        <v>1054</v>
      </c>
      <c r="B36" s="4" t="s">
        <v>192</v>
      </c>
      <c r="C36" s="12">
        <v>0.55000000000000004</v>
      </c>
      <c r="D36" s="12">
        <v>1</v>
      </c>
      <c r="E36" s="4">
        <f t="shared" si="0"/>
        <v>0.55000000000000004</v>
      </c>
      <c r="F36" s="4" t="s">
        <v>1037</v>
      </c>
      <c r="G36" s="4" t="s">
        <v>326</v>
      </c>
      <c r="H36" s="4" t="s">
        <v>1054</v>
      </c>
      <c r="I36" s="4" t="s">
        <v>1054</v>
      </c>
      <c r="J36" s="4" t="s">
        <v>1053</v>
      </c>
    </row>
    <row r="37" spans="1:10" x14ac:dyDescent="0.35">
      <c r="A37" s="4" t="s">
        <v>1055</v>
      </c>
      <c r="B37" s="4" t="s">
        <v>1023</v>
      </c>
      <c r="C37" s="12">
        <v>1</v>
      </c>
      <c r="D37" s="12">
        <v>1</v>
      </c>
      <c r="E37" s="4">
        <f t="shared" si="0"/>
        <v>1</v>
      </c>
      <c r="F37" s="4" t="s">
        <v>1037</v>
      </c>
      <c r="G37" s="4" t="s">
        <v>326</v>
      </c>
      <c r="H37" s="4" t="s">
        <v>1055</v>
      </c>
      <c r="I37" s="4" t="s">
        <v>1055</v>
      </c>
      <c r="J37" s="4" t="s">
        <v>1056</v>
      </c>
    </row>
    <row r="38" spans="1:10" x14ac:dyDescent="0.35">
      <c r="A38" s="4" t="s">
        <v>921</v>
      </c>
      <c r="B38" s="4" t="s">
        <v>192</v>
      </c>
      <c r="C38" s="12">
        <v>1</v>
      </c>
      <c r="D38" s="12">
        <v>1</v>
      </c>
      <c r="E38" s="4">
        <f t="shared" si="0"/>
        <v>1</v>
      </c>
      <c r="F38" s="4" t="s">
        <v>922</v>
      </c>
      <c r="G38" s="4" t="s">
        <v>321</v>
      </c>
      <c r="H38" s="4" t="s">
        <v>1057</v>
      </c>
      <c r="I38" s="4" t="s">
        <v>1057</v>
      </c>
      <c r="J38" s="4"/>
    </row>
    <row r="39" spans="1:10" x14ac:dyDescent="0.35">
      <c r="A39" s="4" t="s">
        <v>926</v>
      </c>
      <c r="B39" s="4" t="s">
        <v>192</v>
      </c>
      <c r="C39" s="12">
        <v>1</v>
      </c>
      <c r="D39" s="12">
        <v>1</v>
      </c>
      <c r="E39" s="4">
        <f t="shared" si="0"/>
        <v>1</v>
      </c>
      <c r="F39" s="4" t="s">
        <v>922</v>
      </c>
      <c r="G39" s="4" t="s">
        <v>321</v>
      </c>
      <c r="H39" s="4" t="s">
        <v>1057</v>
      </c>
      <c r="I39" s="4" t="s">
        <v>1057</v>
      </c>
      <c r="J39" s="4"/>
    </row>
    <row r="40" spans="1:10" x14ac:dyDescent="0.35">
      <c r="A40" s="4" t="s">
        <v>1058</v>
      </c>
      <c r="B40" s="4" t="s">
        <v>192</v>
      </c>
      <c r="C40" s="12">
        <v>1</v>
      </c>
      <c r="D40" s="12">
        <v>1</v>
      </c>
      <c r="E40" s="4">
        <f t="shared" si="0"/>
        <v>1</v>
      </c>
      <c r="F40" s="4" t="s">
        <v>1059</v>
      </c>
      <c r="G40" s="4" t="s">
        <v>321</v>
      </c>
      <c r="H40" s="4" t="s">
        <v>1060</v>
      </c>
      <c r="I40" s="4" t="s">
        <v>1060</v>
      </c>
      <c r="J40" s="4"/>
    </row>
    <row r="41" spans="1:10" x14ac:dyDescent="0.35">
      <c r="A41" s="4" t="s">
        <v>101</v>
      </c>
      <c r="B41" s="4" t="s">
        <v>192</v>
      </c>
      <c r="C41" s="12">
        <v>1</v>
      </c>
      <c r="D41" s="12">
        <v>1</v>
      </c>
      <c r="E41" s="4">
        <f t="shared" si="0"/>
        <v>1</v>
      </c>
      <c r="F41" s="4" t="s">
        <v>1059</v>
      </c>
      <c r="G41" s="4" t="s">
        <v>321</v>
      </c>
      <c r="H41" s="4" t="s">
        <v>101</v>
      </c>
      <c r="I41" s="4" t="s">
        <v>101</v>
      </c>
      <c r="J41" s="4" t="s">
        <v>1061</v>
      </c>
    </row>
    <row r="42" spans="1:10" x14ac:dyDescent="0.35">
      <c r="A42" s="1" t="s">
        <v>1062</v>
      </c>
    </row>
    <row r="43" spans="1:10" x14ac:dyDescent="0.35">
      <c r="A43" s="4" t="s">
        <v>1063</v>
      </c>
      <c r="B43" s="12">
        <v>100</v>
      </c>
      <c r="C43" s="4"/>
    </row>
    <row r="44" spans="1:10" x14ac:dyDescent="0.35">
      <c r="A44" s="4" t="s">
        <v>1064</v>
      </c>
      <c r="B44" s="12">
        <v>1.1499999999999999</v>
      </c>
      <c r="C44" s="4"/>
    </row>
    <row r="45" spans="1:10" x14ac:dyDescent="0.35">
      <c r="A45" s="4" t="s">
        <v>1065</v>
      </c>
      <c r="B45" s="12">
        <v>0.9</v>
      </c>
      <c r="C45" s="4"/>
    </row>
    <row r="46" spans="1:10" x14ac:dyDescent="0.35">
      <c r="A46" s="4" t="s">
        <v>1066</v>
      </c>
      <c r="C46" s="4"/>
    </row>
    <row r="47" spans="1:10" x14ac:dyDescent="0.35">
      <c r="A47" s="1" t="s">
        <v>1067</v>
      </c>
    </row>
    <row r="48" spans="1:10" x14ac:dyDescent="0.35">
      <c r="A48" s="1" t="s">
        <v>1068</v>
      </c>
      <c r="B48" s="1" t="s">
        <v>1069</v>
      </c>
    </row>
    <row r="49" spans="1:2" x14ac:dyDescent="0.35">
      <c r="A49" s="4" t="s">
        <v>188</v>
      </c>
      <c r="B49" s="12">
        <v>8</v>
      </c>
    </row>
    <row r="50" spans="1:2" x14ac:dyDescent="0.35">
      <c r="A50" s="4" t="s">
        <v>107</v>
      </c>
      <c r="B50" s="12">
        <v>30</v>
      </c>
    </row>
    <row r="51" spans="1:2" x14ac:dyDescent="0.35">
      <c r="A51" s="4" t="s">
        <v>33</v>
      </c>
      <c r="B51" s="12">
        <v>90</v>
      </c>
    </row>
    <row r="52" spans="1:2" x14ac:dyDescent="0.35">
      <c r="A52" s="4" t="s">
        <v>165</v>
      </c>
      <c r="B52" s="12">
        <v>3</v>
      </c>
    </row>
    <row r="53" spans="1:2" x14ac:dyDescent="0.35">
      <c r="A53" s="4" t="s">
        <v>1070</v>
      </c>
    </row>
    <row r="54" spans="1:2" x14ac:dyDescent="0.35">
      <c r="A54" s="4" t="s">
        <v>50</v>
      </c>
      <c r="B54" s="12">
        <v>8</v>
      </c>
    </row>
    <row r="55" spans="1:2" x14ac:dyDescent="0.35">
      <c r="A55" s="4" t="s">
        <v>1071</v>
      </c>
    </row>
    <row r="56" spans="1:2" x14ac:dyDescent="0.35">
      <c r="A56" s="4" t="s">
        <v>150</v>
      </c>
    </row>
    <row r="57" spans="1:2" x14ac:dyDescent="0.35">
      <c r="A57" s="4" t="s">
        <v>170</v>
      </c>
    </row>
    <row r="58" spans="1:2" x14ac:dyDescent="0.35">
      <c r="A58" s="4" t="s">
        <v>1072</v>
      </c>
    </row>
    <row r="59" spans="1:2" x14ac:dyDescent="0.35">
      <c r="A59" s="4" t="s">
        <v>1073</v>
      </c>
    </row>
    <row r="60" spans="1:2" x14ac:dyDescent="0.35">
      <c r="A60" s="4" t="s">
        <v>38</v>
      </c>
      <c r="B60" s="12">
        <v>60</v>
      </c>
    </row>
    <row r="61" spans="1:2" x14ac:dyDescent="0.35">
      <c r="A61" s="4" t="s">
        <v>1074</v>
      </c>
      <c r="B61" s="12">
        <v>60</v>
      </c>
    </row>
    <row r="62" spans="1:2" x14ac:dyDescent="0.35">
      <c r="A62" s="4" t="s">
        <v>1075</v>
      </c>
    </row>
    <row r="63" spans="1:2" x14ac:dyDescent="0.35">
      <c r="A63" s="4" t="s">
        <v>1076</v>
      </c>
    </row>
    <row r="64" spans="1:2" x14ac:dyDescent="0.35">
      <c r="A64" s="4" t="s">
        <v>1077</v>
      </c>
    </row>
    <row r="65" spans="1:2" x14ac:dyDescent="0.35">
      <c r="A65" s="4" t="s">
        <v>111</v>
      </c>
      <c r="B65" s="12">
        <v>45</v>
      </c>
    </row>
    <row r="66" spans="1:2" x14ac:dyDescent="0.35">
      <c r="A66" s="4" t="s">
        <v>1078</v>
      </c>
    </row>
    <row r="67" spans="1:2" x14ac:dyDescent="0.35">
      <c r="A67" s="4" t="s">
        <v>1079</v>
      </c>
      <c r="B67" s="12">
        <v>15</v>
      </c>
    </row>
    <row r="68" spans="1:2" x14ac:dyDescent="0.35">
      <c r="A68" s="4" t="s">
        <v>43</v>
      </c>
      <c r="B68" s="12">
        <v>90</v>
      </c>
    </row>
    <row r="69" spans="1:2" x14ac:dyDescent="0.35">
      <c r="A69" s="4" t="s">
        <v>1080</v>
      </c>
    </row>
    <row r="70" spans="1:2" x14ac:dyDescent="0.35">
      <c r="A70" s="4" t="s">
        <v>59</v>
      </c>
    </row>
    <row r="71" spans="1:2" x14ac:dyDescent="0.35">
      <c r="A71" s="4" t="s">
        <v>1081</v>
      </c>
    </row>
    <row r="72" spans="1:2" x14ac:dyDescent="0.35">
      <c r="A72" s="4" t="s">
        <v>1082</v>
      </c>
    </row>
    <row r="73" spans="1:2" x14ac:dyDescent="0.35">
      <c r="A73" s="4" t="s">
        <v>1083</v>
      </c>
    </row>
    <row r="74" spans="1:2" x14ac:dyDescent="0.35">
      <c r="A74" s="4" t="s">
        <v>1084</v>
      </c>
    </row>
    <row r="75" spans="1:2" x14ac:dyDescent="0.35">
      <c r="A75" s="4" t="s">
        <v>1085</v>
      </c>
      <c r="B75" s="12">
        <v>90</v>
      </c>
    </row>
    <row r="76" spans="1:2" x14ac:dyDescent="0.35">
      <c r="A76" s="4" t="s">
        <v>1086</v>
      </c>
      <c r="B76" s="12">
        <v>90</v>
      </c>
    </row>
    <row r="77" spans="1:2" x14ac:dyDescent="0.35">
      <c r="A77" s="4" t="s">
        <v>1087</v>
      </c>
    </row>
    <row r="78" spans="1:2" x14ac:dyDescent="0.35">
      <c r="A78" s="4" t="s">
        <v>695</v>
      </c>
    </row>
    <row r="79" spans="1:2" x14ac:dyDescent="0.35">
      <c r="A79" s="4" t="s">
        <v>1088</v>
      </c>
    </row>
    <row r="80" spans="1:2" x14ac:dyDescent="0.35">
      <c r="A80" s="4" t="s">
        <v>66</v>
      </c>
    </row>
    <row r="81" spans="1:2" x14ac:dyDescent="0.35">
      <c r="A81" s="4" t="s">
        <v>1089</v>
      </c>
    </row>
    <row r="82" spans="1:2" x14ac:dyDescent="0.35">
      <c r="A82" s="4" t="s">
        <v>70</v>
      </c>
    </row>
    <row r="83" spans="1:2" x14ac:dyDescent="0.35">
      <c r="A83" s="4" t="s">
        <v>1090</v>
      </c>
    </row>
    <row r="84" spans="1:2" x14ac:dyDescent="0.35">
      <c r="A84" s="4" t="s">
        <v>62</v>
      </c>
    </row>
    <row r="85" spans="1:2" x14ac:dyDescent="0.35">
      <c r="A85" s="4" t="s">
        <v>136</v>
      </c>
      <c r="B85" s="12">
        <v>4</v>
      </c>
    </row>
    <row r="86" spans="1:2" x14ac:dyDescent="0.35">
      <c r="A86" s="4" t="s">
        <v>123</v>
      </c>
      <c r="B86" s="12">
        <v>10</v>
      </c>
    </row>
    <row r="87" spans="1:2" x14ac:dyDescent="0.35">
      <c r="A87" s="4" t="s">
        <v>1091</v>
      </c>
      <c r="B87" s="12">
        <v>45</v>
      </c>
    </row>
    <row r="88" spans="1:2" x14ac:dyDescent="0.35">
      <c r="A88" s="4" t="s">
        <v>1092</v>
      </c>
    </row>
    <row r="89" spans="1:2" x14ac:dyDescent="0.35">
      <c r="A89" s="4" t="s">
        <v>79</v>
      </c>
      <c r="B89" s="12">
        <v>5</v>
      </c>
    </row>
    <row r="90" spans="1:2" x14ac:dyDescent="0.35">
      <c r="A90" s="4" t="s">
        <v>83</v>
      </c>
      <c r="B90" s="12">
        <v>5</v>
      </c>
    </row>
    <row r="91" spans="1:2" x14ac:dyDescent="0.35">
      <c r="A91" s="4" t="s">
        <v>90</v>
      </c>
    </row>
    <row r="92" spans="1:2" x14ac:dyDescent="0.35">
      <c r="A92" s="4" t="s">
        <v>1093</v>
      </c>
    </row>
    <row r="93" spans="1:2" x14ac:dyDescent="0.35">
      <c r="A93" s="1" t="s">
        <v>1094</v>
      </c>
    </row>
    <row r="94" spans="1:2" x14ac:dyDescent="0.35">
      <c r="A94" s="1" t="s">
        <v>1095</v>
      </c>
    </row>
    <row r="95" spans="1:2" x14ac:dyDescent="0.35">
      <c r="A95" s="4" t="s">
        <v>59</v>
      </c>
    </row>
    <row r="96" spans="1:2" x14ac:dyDescent="0.35">
      <c r="A96" s="4" t="s">
        <v>1081</v>
      </c>
    </row>
    <row r="97" spans="1:3" x14ac:dyDescent="0.35">
      <c r="A97" s="4" t="s">
        <v>1082</v>
      </c>
    </row>
    <row r="98" spans="1:3" x14ac:dyDescent="0.35">
      <c r="A98" s="4" t="s">
        <v>1083</v>
      </c>
    </row>
    <row r="99" spans="1:3" x14ac:dyDescent="0.35">
      <c r="A99" s="4" t="s">
        <v>1084</v>
      </c>
    </row>
    <row r="100" spans="1:3" x14ac:dyDescent="0.35">
      <c r="A100" s="4" t="s">
        <v>1088</v>
      </c>
    </row>
    <row r="101" spans="1:3" x14ac:dyDescent="0.35">
      <c r="A101" s="4" t="s">
        <v>66</v>
      </c>
    </row>
    <row r="102" spans="1:3" x14ac:dyDescent="0.35">
      <c r="A102" s="4" t="s">
        <v>1089</v>
      </c>
    </row>
    <row r="103" spans="1:3" x14ac:dyDescent="0.35">
      <c r="A103" s="4" t="s">
        <v>70</v>
      </c>
    </row>
    <row r="104" spans="1:3" x14ac:dyDescent="0.35">
      <c r="A104" s="4" t="s">
        <v>1090</v>
      </c>
    </row>
    <row r="105" spans="1:3" x14ac:dyDescent="0.35">
      <c r="A105" s="1" t="s">
        <v>1096</v>
      </c>
    </row>
    <row r="106" spans="1:3" x14ac:dyDescent="0.35">
      <c r="A106" s="4" t="s">
        <v>1097</v>
      </c>
      <c r="B106" s="12">
        <v>40</v>
      </c>
      <c r="C106" s="4"/>
    </row>
    <row r="107" spans="1:3" x14ac:dyDescent="0.35">
      <c r="A107" s="4" t="s">
        <v>1098</v>
      </c>
      <c r="B107" s="12">
        <v>70</v>
      </c>
      <c r="C107" s="4"/>
    </row>
    <row r="108" spans="1:3" x14ac:dyDescent="0.35">
      <c r="A108" s="4" t="s">
        <v>1099</v>
      </c>
      <c r="B108" s="12">
        <v>25</v>
      </c>
      <c r="C108" s="4"/>
    </row>
    <row r="109" spans="1:3" x14ac:dyDescent="0.35">
      <c r="A109" s="4" t="s">
        <v>1100</v>
      </c>
      <c r="B109" s="12">
        <v>1.1499999999999999</v>
      </c>
      <c r="C109" s="4"/>
    </row>
    <row r="110" spans="1:3" x14ac:dyDescent="0.35">
      <c r="A110" s="4" t="s">
        <v>1101</v>
      </c>
      <c r="B110" s="12">
        <v>1</v>
      </c>
      <c r="C110" s="4"/>
    </row>
    <row r="111" spans="1:3" x14ac:dyDescent="0.35">
      <c r="A111" s="4" t="s">
        <v>1102</v>
      </c>
      <c r="B111" s="12">
        <v>0.5</v>
      </c>
      <c r="C111" s="4"/>
    </row>
    <row r="112" spans="1:3" x14ac:dyDescent="0.35">
      <c r="A112" s="4" t="s">
        <v>1103</v>
      </c>
      <c r="B112" s="12">
        <v>75</v>
      </c>
      <c r="C112" s="4"/>
    </row>
    <row r="113" spans="1:3" x14ac:dyDescent="0.35">
      <c r="A113" s="4" t="s">
        <v>1104</v>
      </c>
      <c r="B113" s="12">
        <v>0.3</v>
      </c>
      <c r="C113" s="4"/>
    </row>
    <row r="114" spans="1:3" x14ac:dyDescent="0.35">
      <c r="A114" s="4" t="s">
        <v>1105</v>
      </c>
      <c r="B114" s="12">
        <v>4</v>
      </c>
      <c r="C114" s="4"/>
    </row>
    <row r="115" spans="1:3" x14ac:dyDescent="0.35">
      <c r="A115" s="4" t="s">
        <v>1106</v>
      </c>
      <c r="B115" s="12">
        <v>0.1</v>
      </c>
      <c r="C115" s="4"/>
    </row>
    <row r="116" spans="1:3" x14ac:dyDescent="0.35">
      <c r="A116" s="4" t="s">
        <v>1107</v>
      </c>
      <c r="B116" s="12">
        <v>0.25</v>
      </c>
      <c r="C116" s="4"/>
    </row>
    <row r="117" spans="1:3" x14ac:dyDescent="0.35">
      <c r="A117" s="4" t="s">
        <v>1108</v>
      </c>
      <c r="B117" s="12">
        <v>0.5</v>
      </c>
      <c r="C117" s="4"/>
    </row>
    <row r="118" spans="1:3" x14ac:dyDescent="0.35">
      <c r="A118" s="4" t="s">
        <v>1109</v>
      </c>
      <c r="B118" s="12">
        <v>125</v>
      </c>
      <c r="C118" s="4"/>
    </row>
    <row r="119" spans="1:3" x14ac:dyDescent="0.35">
      <c r="A119" s="4" t="s">
        <v>1110</v>
      </c>
      <c r="B119" s="12">
        <v>12</v>
      </c>
      <c r="C119" s="4"/>
    </row>
    <row r="120" spans="1:3" x14ac:dyDescent="0.35">
      <c r="A120" s="4" t="s">
        <v>1111</v>
      </c>
      <c r="B120" s="12">
        <v>63</v>
      </c>
      <c r="C120" s="4"/>
    </row>
    <row r="121" spans="1:3" x14ac:dyDescent="0.35">
      <c r="A121" s="4" t="s">
        <v>1112</v>
      </c>
      <c r="B121" s="12">
        <v>3</v>
      </c>
      <c r="C121" s="4"/>
    </row>
    <row r="122" spans="1:3" x14ac:dyDescent="0.35">
      <c r="A122" s="4" t="s">
        <v>1113</v>
      </c>
      <c r="B122" s="12">
        <v>16</v>
      </c>
      <c r="C122" s="4"/>
    </row>
    <row r="123" spans="1:3" x14ac:dyDescent="0.35">
      <c r="A123" s="4" t="s">
        <v>1114</v>
      </c>
      <c r="B123" s="12">
        <v>10</v>
      </c>
      <c r="C123" s="4"/>
    </row>
    <row r="124" spans="1:3" x14ac:dyDescent="0.35">
      <c r="A124" s="4" t="s">
        <v>1115</v>
      </c>
      <c r="B124" s="12">
        <v>1.1000000000000001</v>
      </c>
      <c r="C124" s="4"/>
    </row>
    <row r="125" spans="1:3" x14ac:dyDescent="0.35">
      <c r="A125" s="4" t="s">
        <v>1116</v>
      </c>
      <c r="B125" s="12">
        <v>17.5</v>
      </c>
      <c r="C125" s="4"/>
    </row>
    <row r="126" spans="1:3" x14ac:dyDescent="0.35">
      <c r="A126" s="4" t="s">
        <v>1117</v>
      </c>
      <c r="C126" s="4"/>
    </row>
    <row r="127" spans="1:3" x14ac:dyDescent="0.35">
      <c r="A127" s="4" t="s">
        <v>1118</v>
      </c>
      <c r="C127" s="4"/>
    </row>
    <row r="128" spans="1:3" x14ac:dyDescent="0.35">
      <c r="A128" s="4" t="s">
        <v>1119</v>
      </c>
      <c r="B128" s="12">
        <v>0.7</v>
      </c>
      <c r="C128" s="4"/>
    </row>
    <row r="129" spans="1:3" x14ac:dyDescent="0.35">
      <c r="A129" s="4" t="s">
        <v>1120</v>
      </c>
      <c r="B129" s="12">
        <v>0.8</v>
      </c>
      <c r="C129" s="4"/>
    </row>
    <row r="130" spans="1:3" x14ac:dyDescent="0.35">
      <c r="A130" s="4" t="s">
        <v>1121</v>
      </c>
      <c r="B130" s="12">
        <v>250</v>
      </c>
      <c r="C130" s="4"/>
    </row>
    <row r="131" spans="1:3" x14ac:dyDescent="0.35">
      <c r="A131" s="4" t="s">
        <v>1122</v>
      </c>
      <c r="B131" s="12">
        <v>100</v>
      </c>
      <c r="C131" s="4"/>
    </row>
    <row r="132" spans="1:3" x14ac:dyDescent="0.35">
      <c r="A132" s="4" t="s">
        <v>1123</v>
      </c>
      <c r="B132" s="12">
        <v>1.6</v>
      </c>
      <c r="C132" s="4"/>
    </row>
    <row r="133" spans="1:3" x14ac:dyDescent="0.35">
      <c r="A133" s="4" t="s">
        <v>1124</v>
      </c>
      <c r="B133" s="12">
        <v>4.5</v>
      </c>
      <c r="C133" s="4"/>
    </row>
    <row r="134" spans="1:3" x14ac:dyDescent="0.35">
      <c r="A134" s="4" t="s">
        <v>1125</v>
      </c>
      <c r="B134" s="12">
        <v>1.1000000000000001</v>
      </c>
      <c r="C134" s="4"/>
    </row>
    <row r="135" spans="1:3" x14ac:dyDescent="0.35">
      <c r="A135" s="4" t="s">
        <v>1126</v>
      </c>
      <c r="B135" s="12">
        <v>1.2</v>
      </c>
      <c r="C135" s="4"/>
    </row>
    <row r="136" spans="1:3" x14ac:dyDescent="0.35">
      <c r="A136" s="4" t="s">
        <v>1127</v>
      </c>
      <c r="B136" s="12">
        <v>0.8</v>
      </c>
      <c r="C136" s="4"/>
    </row>
    <row r="137" spans="1:3" x14ac:dyDescent="0.35">
      <c r="A137" s="4" t="s">
        <v>1128</v>
      </c>
      <c r="B137" s="12">
        <v>6</v>
      </c>
      <c r="C137" s="4"/>
    </row>
    <row r="138" spans="1:3" x14ac:dyDescent="0.35">
      <c r="A138" s="4" t="s">
        <v>1129</v>
      </c>
      <c r="B138" s="12">
        <v>1.5</v>
      </c>
      <c r="C138" s="4"/>
    </row>
    <row r="139" spans="1:3" x14ac:dyDescent="0.35">
      <c r="A139" s="4" t="s">
        <v>1130</v>
      </c>
      <c r="B139" s="12">
        <v>2.5</v>
      </c>
      <c r="C139" s="4"/>
    </row>
    <row r="140" spans="1:3" x14ac:dyDescent="0.35">
      <c r="A140" s="4" t="s">
        <v>1131</v>
      </c>
      <c r="B140" s="12">
        <v>250</v>
      </c>
      <c r="C140" s="4"/>
    </row>
    <row r="141" spans="1:3" x14ac:dyDescent="0.35">
      <c r="A141" s="4" t="s">
        <v>1132</v>
      </c>
      <c r="B141" s="12">
        <v>1.5</v>
      </c>
      <c r="C141" s="4"/>
    </row>
    <row r="142" spans="1:3" x14ac:dyDescent="0.35">
      <c r="A142" s="4" t="s">
        <v>1133</v>
      </c>
      <c r="B142" s="12">
        <v>2.5</v>
      </c>
      <c r="C142" s="4"/>
    </row>
    <row r="143" spans="1:3" x14ac:dyDescent="0.35">
      <c r="A143" s="4" t="s">
        <v>1134</v>
      </c>
      <c r="B143" s="12">
        <v>2.5</v>
      </c>
      <c r="C143" s="4"/>
    </row>
    <row r="144" spans="1:3" x14ac:dyDescent="0.35">
      <c r="A144" s="4" t="s">
        <v>1135</v>
      </c>
      <c r="B144" s="12">
        <v>1.1000000000000001</v>
      </c>
      <c r="C144" s="4"/>
    </row>
    <row r="145" spans="1:3" x14ac:dyDescent="0.35">
      <c r="A145" s="4" t="s">
        <v>1136</v>
      </c>
      <c r="B145" s="12">
        <v>4</v>
      </c>
      <c r="C145" s="4"/>
    </row>
    <row r="146" spans="1:3" x14ac:dyDescent="0.35">
      <c r="A146" s="4" t="s">
        <v>1137</v>
      </c>
      <c r="B146" s="12">
        <v>1.2</v>
      </c>
      <c r="C146" s="4"/>
    </row>
    <row r="147" spans="1:3" x14ac:dyDescent="0.35">
      <c r="A147" s="4" t="s">
        <v>1138</v>
      </c>
      <c r="B147" s="12" t="s">
        <v>136</v>
      </c>
      <c r="C147" s="4"/>
    </row>
    <row r="148" spans="1:3" x14ac:dyDescent="0.35">
      <c r="A148" s="4" t="s">
        <v>1139</v>
      </c>
      <c r="B148" s="12">
        <v>1.1000000000000001</v>
      </c>
      <c r="C148" s="4"/>
    </row>
    <row r="149" spans="1:3" x14ac:dyDescent="0.35">
      <c r="A149" s="4" t="s">
        <v>1140</v>
      </c>
      <c r="B149" s="12">
        <v>1.1000000000000001</v>
      </c>
      <c r="C149" s="4"/>
    </row>
    <row r="150" spans="1:3" x14ac:dyDescent="0.35">
      <c r="A150" s="4" t="s">
        <v>1141</v>
      </c>
      <c r="B150" s="12">
        <v>24</v>
      </c>
      <c r="C150" s="4"/>
    </row>
    <row r="151" spans="1:3" x14ac:dyDescent="0.35">
      <c r="A151" s="4" t="s">
        <v>1142</v>
      </c>
      <c r="B151" s="12">
        <v>72</v>
      </c>
      <c r="C151" s="4"/>
    </row>
    <row r="152" spans="1:3" x14ac:dyDescent="0.35">
      <c r="A152" s="4" t="s">
        <v>1143</v>
      </c>
      <c r="B152" s="12" t="s">
        <v>900</v>
      </c>
      <c r="C152" s="4"/>
    </row>
    <row r="153" spans="1:3" x14ac:dyDescent="0.35">
      <c r="A153" s="4" t="s">
        <v>1144</v>
      </c>
      <c r="B153" s="12" t="s">
        <v>904</v>
      </c>
      <c r="C153" s="4"/>
    </row>
    <row r="154" spans="1:3" x14ac:dyDescent="0.35">
      <c r="A154" s="4" t="s">
        <v>1145</v>
      </c>
      <c r="C154" s="4"/>
    </row>
    <row r="155" spans="1:3" x14ac:dyDescent="0.35">
      <c r="A155" s="4" t="s">
        <v>1146</v>
      </c>
      <c r="C155" s="4"/>
    </row>
    <row r="156" spans="1:3" x14ac:dyDescent="0.35">
      <c r="A156" s="4" t="s">
        <v>1147</v>
      </c>
      <c r="C156" s="4"/>
    </row>
    <row r="157" spans="1:3" x14ac:dyDescent="0.35">
      <c r="A157" s="4" t="s">
        <v>1148</v>
      </c>
      <c r="C157" s="4"/>
    </row>
    <row r="158" spans="1:3" x14ac:dyDescent="0.35">
      <c r="A158" s="4" t="s">
        <v>1149</v>
      </c>
      <c r="C158" s="4"/>
    </row>
    <row r="159" spans="1:3" x14ac:dyDescent="0.35">
      <c r="A159" s="4" t="s">
        <v>1150</v>
      </c>
      <c r="C159" s="4"/>
    </row>
    <row r="160" spans="1:3" x14ac:dyDescent="0.35">
      <c r="A160" s="4" t="s">
        <v>1151</v>
      </c>
      <c r="C160" s="4"/>
    </row>
    <row r="161" spans="1:3" x14ac:dyDescent="0.35">
      <c r="A161" s="4" t="s">
        <v>1152</v>
      </c>
      <c r="C161" s="4"/>
    </row>
    <row r="162" spans="1:3" x14ac:dyDescent="0.35">
      <c r="A162" s="4" t="s">
        <v>1153</v>
      </c>
      <c r="C162" s="4"/>
    </row>
    <row r="163" spans="1:3" x14ac:dyDescent="0.35">
      <c r="A163" s="4" t="s">
        <v>1154</v>
      </c>
      <c r="C163" s="4"/>
    </row>
    <row r="164" spans="1:3" x14ac:dyDescent="0.35">
      <c r="A164" s="4" t="s">
        <v>1155</v>
      </c>
      <c r="B164" s="4">
        <f>SQRT((BARA_T_ILETKEN-BARA_T_ORTAM)/(BARA_T_ILETKEN-BARA_T_NORM))</f>
        <v>0.81649658092772603</v>
      </c>
      <c r="C164" s="4"/>
    </row>
    <row r="165" spans="1:3" x14ac:dyDescent="0.35">
      <c r="A165" s="1" t="s">
        <v>1156</v>
      </c>
    </row>
    <row r="166" spans="1:3" x14ac:dyDescent="0.35">
      <c r="A166" s="4" t="s">
        <v>1157</v>
      </c>
      <c r="B166" s="12"/>
      <c r="C166" s="4"/>
    </row>
    <row r="167" spans="1:3" x14ac:dyDescent="0.35">
      <c r="A167" s="4" t="s">
        <v>1158</v>
      </c>
      <c r="B167" s="12" t="s">
        <v>1159</v>
      </c>
      <c r="C167" s="4"/>
    </row>
    <row r="168" spans="1:3" x14ac:dyDescent="0.35">
      <c r="A168" s="4" t="s">
        <v>1160</v>
      </c>
      <c r="B168" s="12" t="s">
        <v>1161</v>
      </c>
      <c r="C168" s="4"/>
    </row>
    <row r="169" spans="1:3" x14ac:dyDescent="0.35">
      <c r="A169" s="4" t="s">
        <v>1162</v>
      </c>
      <c r="B169" s="12" t="s">
        <v>1163</v>
      </c>
      <c r="C169" s="4"/>
    </row>
    <row r="170" spans="1:3" x14ac:dyDescent="0.35">
      <c r="A170" s="4" t="s">
        <v>1164</v>
      </c>
      <c r="B170" s="12" t="s">
        <v>192</v>
      </c>
      <c r="C170" s="4"/>
    </row>
    <row r="171" spans="1:3" x14ac:dyDescent="0.35">
      <c r="A171" s="4" t="s">
        <v>1165</v>
      </c>
      <c r="C171" s="4"/>
    </row>
    <row r="172" spans="1:3" x14ac:dyDescent="0.35">
      <c r="A172" s="4" t="s">
        <v>1166</v>
      </c>
      <c r="C172" s="4"/>
    </row>
    <row r="173" spans="1:3" x14ac:dyDescent="0.35">
      <c r="A173" s="4" t="s">
        <v>1167</v>
      </c>
      <c r="B173" s="12">
        <v>0.12</v>
      </c>
      <c r="C173" s="4"/>
    </row>
    <row r="174" spans="1:3" x14ac:dyDescent="0.35">
      <c r="A174" s="4" t="s">
        <v>1168</v>
      </c>
      <c r="B174" s="12">
        <v>0</v>
      </c>
      <c r="C174" s="4"/>
    </row>
    <row r="175" spans="1:3" x14ac:dyDescent="0.35">
      <c r="A175" s="4" t="s">
        <v>1169</v>
      </c>
      <c r="C175" s="4"/>
    </row>
    <row r="176" spans="1:3" x14ac:dyDescent="0.35">
      <c r="A176" s="4" t="s">
        <v>1170</v>
      </c>
      <c r="C176" s="4"/>
    </row>
    <row r="177" spans="1:3" x14ac:dyDescent="0.35">
      <c r="A177" s="4" t="s">
        <v>1171</v>
      </c>
      <c r="C177" s="4"/>
    </row>
    <row r="178" spans="1:3" x14ac:dyDescent="0.35">
      <c r="A178" s="4" t="s">
        <v>1172</v>
      </c>
      <c r="C178" s="4"/>
    </row>
    <row r="179" spans="1:3" x14ac:dyDescent="0.35">
      <c r="A179" s="1" t="s">
        <v>1173</v>
      </c>
    </row>
    <row r="180" spans="1:3" x14ac:dyDescent="0.35">
      <c r="A180" s="4" t="s">
        <v>1174</v>
      </c>
      <c r="C180" s="4"/>
    </row>
    <row r="181" spans="1:3" x14ac:dyDescent="0.35">
      <c r="A181" s="4" t="s">
        <v>1175</v>
      </c>
      <c r="C181" s="4"/>
    </row>
    <row r="182" spans="1:3" x14ac:dyDescent="0.35">
      <c r="A182" s="4" t="s">
        <v>1176</v>
      </c>
      <c r="C182" s="4"/>
    </row>
    <row r="183" spans="1:3" x14ac:dyDescent="0.35">
      <c r="A183" s="4" t="s">
        <v>1177</v>
      </c>
      <c r="C183" s="4"/>
    </row>
    <row r="184" spans="1:3" x14ac:dyDescent="0.35">
      <c r="A184" s="4" t="s">
        <v>1178</v>
      </c>
      <c r="C184" s="4"/>
    </row>
    <row r="185" spans="1:3" x14ac:dyDescent="0.35">
      <c r="A185" s="4" t="s">
        <v>1179</v>
      </c>
      <c r="C185" s="4"/>
    </row>
    <row r="186" spans="1:3" x14ac:dyDescent="0.35">
      <c r="A186" s="4" t="s">
        <v>1180</v>
      </c>
      <c r="C186" s="4"/>
    </row>
    <row r="187" spans="1:3" x14ac:dyDescent="0.35">
      <c r="A187" s="1" t="s">
        <v>1181</v>
      </c>
    </row>
    <row r="188" spans="1:3" x14ac:dyDescent="0.35">
      <c r="A188" s="4" t="s">
        <v>1182</v>
      </c>
      <c r="B188" s="12">
        <v>14.45</v>
      </c>
      <c r="C188" s="4"/>
    </row>
    <row r="189" spans="1:3" x14ac:dyDescent="0.35">
      <c r="A189" s="4" t="s">
        <v>1183</v>
      </c>
      <c r="B189" s="12">
        <v>8.1999999999999993</v>
      </c>
      <c r="C189" s="4"/>
    </row>
    <row r="190" spans="1:3" x14ac:dyDescent="0.35">
      <c r="A190" s="4" t="s">
        <v>1184</v>
      </c>
      <c r="C190" s="4"/>
    </row>
    <row r="191" spans="1:3" x14ac:dyDescent="0.35">
      <c r="A191" s="4" t="s">
        <v>1185</v>
      </c>
      <c r="B191" s="12">
        <v>1</v>
      </c>
      <c r="C191" s="4"/>
    </row>
    <row r="192" spans="1:3" x14ac:dyDescent="0.35">
      <c r="A192" s="4" t="s">
        <v>1186</v>
      </c>
      <c r="B192" s="12">
        <v>8.9</v>
      </c>
      <c r="C192" s="4"/>
    </row>
    <row r="193" spans="1:3" x14ac:dyDescent="0.35">
      <c r="A193" s="4" t="s">
        <v>1187</v>
      </c>
      <c r="B193" s="12">
        <v>2.7</v>
      </c>
      <c r="C193" s="4"/>
    </row>
    <row r="194" spans="1:3" x14ac:dyDescent="0.35">
      <c r="A194" s="4" t="s">
        <v>1188</v>
      </c>
      <c r="B194" s="4">
        <f>BAKIR_KG_USD*INDEX(KUR_DEG,MATCH("USD",KUR_AD,0))</f>
        <v>7918.5999999999995</v>
      </c>
      <c r="C194" s="4"/>
    </row>
    <row r="195" spans="1:3" x14ac:dyDescent="0.35">
      <c r="A195" s="4" t="s">
        <v>1189</v>
      </c>
      <c r="B195" s="4">
        <f>ALUM_KG_USD*INDEX(KUR_DEG,MATCH("USD",KUR_AD,0))</f>
        <v>4493.5999999999995</v>
      </c>
      <c r="C195" s="4"/>
    </row>
    <row r="196" spans="1:3" x14ac:dyDescent="0.35">
      <c r="A196" s="1" t="s">
        <v>1190</v>
      </c>
    </row>
    <row r="197" spans="1:3" x14ac:dyDescent="0.35">
      <c r="A197" s="1" t="s">
        <v>1191</v>
      </c>
      <c r="B197" s="1" t="s">
        <v>1192</v>
      </c>
    </row>
    <row r="198" spans="1:3" x14ac:dyDescent="0.35">
      <c r="A198" s="4" t="s">
        <v>1066</v>
      </c>
      <c r="B198" s="4">
        <f>IF(MONTAJ_MALZ_ORANI="",1,0)</f>
        <v>1</v>
      </c>
    </row>
    <row r="199" spans="1:3" x14ac:dyDescent="0.35">
      <c r="A199" s="4" t="s">
        <v>1117</v>
      </c>
      <c r="B199" s="4">
        <f>IF(SIRA_ARALIK_MM="",1,0)</f>
        <v>1</v>
      </c>
    </row>
    <row r="200" spans="1:3" x14ac:dyDescent="0.35">
      <c r="A200" s="4" t="s">
        <v>1118</v>
      </c>
      <c r="B200" s="4">
        <f>IF(KORPUS_IC_PAY_M="",1,0)</f>
        <v>1</v>
      </c>
    </row>
    <row r="201" spans="1:3" x14ac:dyDescent="0.35">
      <c r="A201" s="4" t="s">
        <v>1174</v>
      </c>
      <c r="B201" s="4">
        <f>IF(AMBALAJ_KZT_PANO="",1,0)</f>
        <v>1</v>
      </c>
    </row>
    <row r="202" spans="1:3" x14ac:dyDescent="0.35">
      <c r="A202" s="4" t="s">
        <v>1175</v>
      </c>
      <c r="B202" s="4">
        <f>IF(GENEL_GIDER_ORANI="",1,0)</f>
        <v>1</v>
      </c>
    </row>
    <row r="203" spans="1:3" x14ac:dyDescent="0.35">
      <c r="A203" s="4" t="s">
        <v>1176</v>
      </c>
      <c r="B203" s="4">
        <f>IF(NAKLIYE_KZT="",1,0)</f>
        <v>1</v>
      </c>
    </row>
    <row r="204" spans="1:3" x14ac:dyDescent="0.35">
      <c r="A204" s="4" t="s">
        <v>1177</v>
      </c>
      <c r="B204" s="4">
        <f>IF(TEST_SERTIFIKA_KZT="",1,0)</f>
        <v>1</v>
      </c>
    </row>
    <row r="205" spans="1:3" x14ac:dyDescent="0.35">
      <c r="A205" s="4" t="s">
        <v>1178</v>
      </c>
      <c r="B205" s="4">
        <f>IF(DOKUMAN_KZT="",1,0)</f>
        <v>1</v>
      </c>
    </row>
    <row r="206" spans="1:3" x14ac:dyDescent="0.35">
      <c r="A206" s="4" t="s">
        <v>1179</v>
      </c>
      <c r="B206" s="4">
        <f>IF(FINANSMAN_ORANI="",1,0)</f>
        <v>1</v>
      </c>
    </row>
    <row r="207" spans="1:3" x14ac:dyDescent="0.35">
      <c r="A207" s="4" t="s">
        <v>1180</v>
      </c>
      <c r="B207" s="4">
        <f>IF(GARANTI_ORANI="",1,0)</f>
        <v>1</v>
      </c>
    </row>
    <row r="208" spans="1:3" x14ac:dyDescent="0.35">
      <c r="A208" s="4" t="s">
        <v>1184</v>
      </c>
      <c r="B208" s="4">
        <f>IF(METAL_TARIH="",1,0)</f>
        <v>1</v>
      </c>
    </row>
    <row r="209" spans="1:3" x14ac:dyDescent="0.35">
      <c r="A209" s="4" t="s">
        <v>1145</v>
      </c>
      <c r="B209" s="4">
        <f>IF(KANAL_KOD_ORTA="",1,0)</f>
        <v>1</v>
      </c>
    </row>
    <row r="210" spans="1:3" x14ac:dyDescent="0.35">
      <c r="A210" s="4" t="s">
        <v>1146</v>
      </c>
      <c r="B210" s="4">
        <f>IF(KANAL_KOD_BUYUK="",1,0)</f>
        <v>1</v>
      </c>
    </row>
    <row r="211" spans="1:3" x14ac:dyDescent="0.35">
      <c r="A211" s="4" t="s">
        <v>1147</v>
      </c>
      <c r="B211" s="4">
        <f>IF(KANAL_KAPAK_KOD_ORTA="",1,0)</f>
        <v>1</v>
      </c>
    </row>
    <row r="212" spans="1:3" x14ac:dyDescent="0.35">
      <c r="A212" s="4" t="s">
        <v>1148</v>
      </c>
      <c r="B212" s="4">
        <f>IF(KANAL_KAPAK_KOD_BUYUK="",1,0)</f>
        <v>1</v>
      </c>
    </row>
    <row r="213" spans="1:3" x14ac:dyDescent="0.35">
      <c r="A213" s="4" t="s">
        <v>1149</v>
      </c>
      <c r="B213" s="4">
        <f>IF(DINRAY_KOD="",1,0)</f>
        <v>1</v>
      </c>
    </row>
    <row r="214" spans="1:3" x14ac:dyDescent="0.35">
      <c r="A214" s="4" t="s">
        <v>1150</v>
      </c>
      <c r="B214" s="4">
        <f>IF(GZS_KOD="",1,0)</f>
        <v>1</v>
      </c>
    </row>
    <row r="215" spans="1:3" x14ac:dyDescent="0.35">
      <c r="A215" s="4" t="s">
        <v>1151</v>
      </c>
      <c r="B215" s="4">
        <f>IF(NOTR_BARA_KOD="",1,0)</f>
        <v>1</v>
      </c>
    </row>
    <row r="216" spans="1:3" x14ac:dyDescent="0.35">
      <c r="A216" s="4" t="s">
        <v>1152</v>
      </c>
      <c r="B216" s="4">
        <f>IF(PEN_KOPRU_KOD="",1,0)</f>
        <v>1</v>
      </c>
    </row>
    <row r="217" spans="1:3" x14ac:dyDescent="0.35">
      <c r="A217" s="4" t="s">
        <v>1153</v>
      </c>
      <c r="B217" s="4">
        <f>IF(GRUP_BESLEME_KESIT="",1,0)</f>
        <v>1</v>
      </c>
    </row>
    <row r="218" spans="1:3" x14ac:dyDescent="0.35">
      <c r="A218" s="4" t="s">
        <v>1154</v>
      </c>
      <c r="B218" s="4">
        <f>IF(GRUP_BESLEME_M="",1,0)</f>
        <v>1</v>
      </c>
    </row>
    <row r="219" spans="1:3" x14ac:dyDescent="0.35">
      <c r="A219" s="4" t="s">
        <v>1076</v>
      </c>
      <c r="B219" s="4">
        <f>IF(INDEX(NORM_DK,MATCH("PABUC_YUKSUK",NORM_AD,0))="",1,0)</f>
        <v>1</v>
      </c>
    </row>
    <row r="220" spans="1:3" x14ac:dyDescent="0.35">
      <c r="A220" s="4" t="s">
        <v>695</v>
      </c>
      <c r="B220" s="4">
        <f>IF(INDEX(NORM_DK,MATCH("SABIT_AMBALAJ",NORM_AD,0))="",1,0)</f>
        <v>1</v>
      </c>
    </row>
    <row r="221" spans="1:3" x14ac:dyDescent="0.35">
      <c r="A221" s="1" t="s">
        <v>1193</v>
      </c>
    </row>
    <row r="222" spans="1:3" x14ac:dyDescent="0.35">
      <c r="A222" s="4" t="s">
        <v>1194</v>
      </c>
      <c r="B222" s="12">
        <v>12</v>
      </c>
      <c r="C222" s="4"/>
    </row>
    <row r="223" spans="1:3" x14ac:dyDescent="0.35">
      <c r="A223" s="4" t="s">
        <v>1195</v>
      </c>
      <c r="B223" s="12">
        <v>18</v>
      </c>
      <c r="C223" s="4"/>
    </row>
    <row r="224" spans="1:3" x14ac:dyDescent="0.35">
      <c r="A224" s="4" t="s">
        <v>1196</v>
      </c>
      <c r="B224" s="12">
        <v>60</v>
      </c>
      <c r="C224" s="4"/>
    </row>
    <row r="225" spans="1:7" x14ac:dyDescent="0.35">
      <c r="A225" s="1" t="s">
        <v>267</v>
      </c>
      <c r="B225" s="1" t="s">
        <v>1197</v>
      </c>
      <c r="C225" s="1" t="s">
        <v>726</v>
      </c>
      <c r="D225" s="1" t="s">
        <v>1021</v>
      </c>
      <c r="E225" s="1" t="s">
        <v>1198</v>
      </c>
      <c r="F225" s="1" t="s">
        <v>1199</v>
      </c>
      <c r="G225" s="1" t="s">
        <v>1200</v>
      </c>
    </row>
    <row r="226" spans="1:7" x14ac:dyDescent="0.35">
      <c r="A226" s="4" t="s">
        <v>752</v>
      </c>
      <c r="B226" s="4" t="s">
        <v>1201</v>
      </c>
      <c r="C226" s="4" t="s">
        <v>751</v>
      </c>
      <c r="D226" s="15">
        <v>46261</v>
      </c>
      <c r="E226" s="4" t="s">
        <v>1202</v>
      </c>
      <c r="F226" s="4">
        <f t="shared" ref="F226:F239" si="1">IF(D226="","",ROUND((RAPOR_TARIHI-D226)/GUN_AY,1))</f>
        <v>0.7</v>
      </c>
      <c r="G226" s="4" t="str">
        <f t="shared" ref="G226:G239" si="2">IF(E226="yasak","YASAK",IF(D226="","BILINMIYOR",IF(F226&gt;YAS_YASAK_AY,"YASAK",IF(F226&gt;YAS_ESKI_AY,"ESKI","OK"))))</f>
        <v>OK</v>
      </c>
    </row>
    <row r="227" spans="1:7" x14ac:dyDescent="0.35">
      <c r="A227" s="4" t="s">
        <v>827</v>
      </c>
      <c r="B227" s="4" t="s">
        <v>1203</v>
      </c>
      <c r="C227" s="4" t="s">
        <v>1204</v>
      </c>
      <c r="D227" s="15">
        <v>46218</v>
      </c>
      <c r="E227" s="4" t="s">
        <v>1202</v>
      </c>
      <c r="F227" s="4">
        <f t="shared" si="1"/>
        <v>2.1</v>
      </c>
      <c r="G227" s="4" t="str">
        <f t="shared" si="2"/>
        <v>OK</v>
      </c>
    </row>
    <row r="228" spans="1:7" x14ac:dyDescent="0.35">
      <c r="A228" s="4" t="s">
        <v>877</v>
      </c>
      <c r="B228" s="4" t="s">
        <v>1205</v>
      </c>
      <c r="C228" s="4" t="s">
        <v>1206</v>
      </c>
      <c r="E228" s="4" t="s">
        <v>1207</v>
      </c>
      <c r="F228" s="4" t="str">
        <f t="shared" si="1"/>
        <v/>
      </c>
      <c r="G228" s="4" t="str">
        <f t="shared" si="2"/>
        <v>BILINMIYOR</v>
      </c>
    </row>
    <row r="229" spans="1:7" x14ac:dyDescent="0.35">
      <c r="A229" s="4" t="s">
        <v>1208</v>
      </c>
      <c r="B229" s="4" t="s">
        <v>1209</v>
      </c>
      <c r="C229" s="4" t="s">
        <v>1041</v>
      </c>
      <c r="D229" s="15">
        <v>45839</v>
      </c>
      <c r="E229" s="4" t="s">
        <v>1207</v>
      </c>
      <c r="F229" s="4">
        <f t="shared" si="1"/>
        <v>14.5</v>
      </c>
      <c r="G229" s="4" t="str">
        <f t="shared" si="2"/>
        <v>ESKI</v>
      </c>
    </row>
    <row r="230" spans="1:7" x14ac:dyDescent="0.35">
      <c r="A230" s="4" t="s">
        <v>1210</v>
      </c>
      <c r="B230" s="4" t="s">
        <v>1211</v>
      </c>
      <c r="C230" s="4" t="s">
        <v>1036</v>
      </c>
      <c r="D230" s="15">
        <v>45962</v>
      </c>
      <c r="E230" s="4" t="s">
        <v>1202</v>
      </c>
      <c r="F230" s="4">
        <f t="shared" si="1"/>
        <v>10.5</v>
      </c>
      <c r="G230" s="4" t="str">
        <f t="shared" si="2"/>
        <v>OK</v>
      </c>
    </row>
    <row r="231" spans="1:7" x14ac:dyDescent="0.35">
      <c r="A231" s="4" t="s">
        <v>1212</v>
      </c>
      <c r="B231" s="4" t="s">
        <v>1213</v>
      </c>
      <c r="C231" s="4" t="s">
        <v>1044</v>
      </c>
      <c r="D231" s="15">
        <v>45931</v>
      </c>
      <c r="E231" s="4" t="s">
        <v>1202</v>
      </c>
      <c r="F231" s="4">
        <f t="shared" si="1"/>
        <v>11.5</v>
      </c>
      <c r="G231" s="4" t="str">
        <f t="shared" si="2"/>
        <v>OK</v>
      </c>
    </row>
    <row r="232" spans="1:7" x14ac:dyDescent="0.35">
      <c r="A232" s="4" t="s">
        <v>833</v>
      </c>
      <c r="B232" s="4" t="s">
        <v>1214</v>
      </c>
      <c r="C232" s="4" t="s">
        <v>832</v>
      </c>
      <c r="D232" s="15">
        <v>45820</v>
      </c>
      <c r="E232" s="4" t="s">
        <v>1207</v>
      </c>
      <c r="F232" s="4">
        <f t="shared" si="1"/>
        <v>15.1</v>
      </c>
      <c r="G232" s="4" t="str">
        <f t="shared" si="2"/>
        <v>ESKI</v>
      </c>
    </row>
    <row r="233" spans="1:7" x14ac:dyDescent="0.35">
      <c r="A233" s="4" t="s">
        <v>1215</v>
      </c>
      <c r="B233" s="4" t="s">
        <v>1214</v>
      </c>
      <c r="C233" s="4" t="s">
        <v>1048</v>
      </c>
      <c r="D233" s="15">
        <v>46023</v>
      </c>
      <c r="E233" s="4" t="s">
        <v>1202</v>
      </c>
      <c r="F233" s="4">
        <f t="shared" si="1"/>
        <v>8.5</v>
      </c>
      <c r="G233" s="4" t="str">
        <f t="shared" si="2"/>
        <v>OK</v>
      </c>
    </row>
    <row r="234" spans="1:7" x14ac:dyDescent="0.35">
      <c r="A234" s="4" t="s">
        <v>1216</v>
      </c>
      <c r="B234" s="4" t="s">
        <v>1214</v>
      </c>
      <c r="C234" s="4" t="s">
        <v>1052</v>
      </c>
      <c r="D234" s="15">
        <v>44614</v>
      </c>
      <c r="E234" s="4" t="s">
        <v>1217</v>
      </c>
      <c r="F234" s="4">
        <f t="shared" si="1"/>
        <v>54.8</v>
      </c>
      <c r="G234" s="4" t="str">
        <f t="shared" si="2"/>
        <v>YASAK</v>
      </c>
    </row>
    <row r="235" spans="1:7" x14ac:dyDescent="0.35">
      <c r="A235" s="4" t="s">
        <v>1218</v>
      </c>
      <c r="B235" s="4" t="s">
        <v>1214</v>
      </c>
      <c r="C235" s="4" t="s">
        <v>1055</v>
      </c>
      <c r="D235" s="15">
        <v>44866</v>
      </c>
      <c r="E235" s="4" t="s">
        <v>1217</v>
      </c>
      <c r="F235" s="4">
        <f t="shared" si="1"/>
        <v>46.5</v>
      </c>
      <c r="G235" s="4" t="str">
        <f t="shared" si="2"/>
        <v>YASAK</v>
      </c>
    </row>
    <row r="236" spans="1:7" x14ac:dyDescent="0.35">
      <c r="A236" s="4" t="s">
        <v>1219</v>
      </c>
      <c r="B236" s="4" t="s">
        <v>1214</v>
      </c>
      <c r="C236" s="4" t="s">
        <v>1054</v>
      </c>
      <c r="D236" s="15">
        <v>45692</v>
      </c>
      <c r="E236" s="4" t="s">
        <v>1217</v>
      </c>
      <c r="F236" s="4">
        <f t="shared" si="1"/>
        <v>19.399999999999999</v>
      </c>
      <c r="G236" s="4" t="str">
        <f t="shared" si="2"/>
        <v>YASAK</v>
      </c>
    </row>
    <row r="237" spans="1:7" x14ac:dyDescent="0.35">
      <c r="A237" s="4" t="s">
        <v>922</v>
      </c>
      <c r="B237" s="4" t="s">
        <v>1220</v>
      </c>
      <c r="C237" s="4" t="s">
        <v>1221</v>
      </c>
      <c r="D237" s="15" t="str">
        <f>IF(METAL_TARIH="","",METAL_TARIH)</f>
        <v/>
      </c>
      <c r="E237" s="4" t="s">
        <v>1202</v>
      </c>
      <c r="F237" s="4" t="str">
        <f t="shared" si="1"/>
        <v/>
      </c>
      <c r="G237" s="4" t="str">
        <f t="shared" si="2"/>
        <v>BILINMIYOR</v>
      </c>
    </row>
    <row r="238" spans="1:7" x14ac:dyDescent="0.35">
      <c r="A238" s="4" t="s">
        <v>101</v>
      </c>
      <c r="B238" s="4" t="s">
        <v>1221</v>
      </c>
      <c r="C238" s="4" t="s">
        <v>1221</v>
      </c>
      <c r="D238" s="15">
        <f>RAPOR_TARIHI</f>
        <v>46281</v>
      </c>
      <c r="E238" s="4" t="s">
        <v>1202</v>
      </c>
      <c r="F238" s="4">
        <f t="shared" si="1"/>
        <v>0</v>
      </c>
      <c r="G238" s="4" t="str">
        <f t="shared" si="2"/>
        <v>OK</v>
      </c>
    </row>
    <row r="239" spans="1:7" x14ac:dyDescent="0.35">
      <c r="A239" s="4" t="s">
        <v>1060</v>
      </c>
      <c r="B239" s="4" t="s">
        <v>1222</v>
      </c>
      <c r="C239" s="4" t="s">
        <v>1221</v>
      </c>
      <c r="D239" s="15"/>
      <c r="E239" s="4" t="s">
        <v>1202</v>
      </c>
      <c r="F239" s="4" t="str">
        <f t="shared" si="1"/>
        <v/>
      </c>
      <c r="G239" s="4" t="str">
        <f t="shared" si="2"/>
        <v>BILINMIYOR</v>
      </c>
    </row>
    <row r="240" spans="1:7" x14ac:dyDescent="0.35">
      <c r="A240" s="1" t="s">
        <v>1223</v>
      </c>
    </row>
    <row r="241" spans="1:11" x14ac:dyDescent="0.35">
      <c r="A241" s="1" t="s">
        <v>1224</v>
      </c>
      <c r="B241" s="1" t="s">
        <v>1225</v>
      </c>
      <c r="C241" s="1" t="s">
        <v>1226</v>
      </c>
      <c r="D241" s="1" t="s">
        <v>1227</v>
      </c>
      <c r="E241" s="1" t="s">
        <v>1228</v>
      </c>
      <c r="F241" s="1" t="s">
        <v>1229</v>
      </c>
      <c r="G241" s="1" t="s">
        <v>1230</v>
      </c>
      <c r="H241" s="1" t="s">
        <v>1231</v>
      </c>
      <c r="I241" s="1" t="s">
        <v>1232</v>
      </c>
      <c r="J241" s="1" t="s">
        <v>1233</v>
      </c>
      <c r="K241" s="1" t="s">
        <v>1234</v>
      </c>
    </row>
    <row r="242" spans="1:11" x14ac:dyDescent="0.35">
      <c r="A242" s="4" t="s">
        <v>918</v>
      </c>
      <c r="B242" s="4" t="s">
        <v>924</v>
      </c>
      <c r="C242" s="4">
        <v>3</v>
      </c>
      <c r="D242" s="4">
        <v>15</v>
      </c>
      <c r="E242" s="4">
        <f t="shared" ref="E242:E260" si="3">C242*D242</f>
        <v>45</v>
      </c>
      <c r="F242" s="4">
        <f t="shared" ref="F242:F260" si="4">E242*CU_YOGUNLUK/1000</f>
        <v>0.40050000000000002</v>
      </c>
      <c r="G242" s="4">
        <f t="shared" ref="G242:G260" si="5">E242*AL_YOGUNLUK/1000</f>
        <v>0.12150000000000001</v>
      </c>
      <c r="H242" s="12">
        <v>210</v>
      </c>
      <c r="J242" s="12">
        <v>165</v>
      </c>
    </row>
    <row r="243" spans="1:11" x14ac:dyDescent="0.35">
      <c r="A243" s="4" t="s">
        <v>927</v>
      </c>
      <c r="B243" s="4" t="s">
        <v>929</v>
      </c>
      <c r="C243" s="4">
        <v>3</v>
      </c>
      <c r="D243" s="4">
        <v>20</v>
      </c>
      <c r="E243" s="4">
        <f t="shared" si="3"/>
        <v>60</v>
      </c>
      <c r="F243" s="4">
        <f t="shared" si="4"/>
        <v>0.53400000000000003</v>
      </c>
      <c r="G243" s="4">
        <f t="shared" si="5"/>
        <v>0.16200000000000001</v>
      </c>
      <c r="H243" s="12">
        <v>275</v>
      </c>
      <c r="J243" s="12">
        <v>215</v>
      </c>
    </row>
    <row r="244" spans="1:11" x14ac:dyDescent="0.35">
      <c r="A244" s="4" t="s">
        <v>931</v>
      </c>
      <c r="B244" s="4" t="s">
        <v>933</v>
      </c>
      <c r="C244" s="4">
        <v>3</v>
      </c>
      <c r="D244" s="4">
        <v>25</v>
      </c>
      <c r="E244" s="4">
        <f t="shared" si="3"/>
        <v>75</v>
      </c>
      <c r="F244" s="4">
        <f t="shared" si="4"/>
        <v>0.66749999999999998</v>
      </c>
      <c r="G244" s="4">
        <f t="shared" si="5"/>
        <v>0.20250000000000001</v>
      </c>
      <c r="H244" s="12">
        <v>340</v>
      </c>
      <c r="J244" s="12">
        <v>265</v>
      </c>
    </row>
    <row r="245" spans="1:11" x14ac:dyDescent="0.35">
      <c r="A245" s="4" t="s">
        <v>935</v>
      </c>
      <c r="B245" s="4" t="s">
        <v>937</v>
      </c>
      <c r="C245" s="4">
        <v>4</v>
      </c>
      <c r="D245" s="4">
        <v>30</v>
      </c>
      <c r="E245" s="4">
        <f t="shared" si="3"/>
        <v>120</v>
      </c>
      <c r="F245" s="4">
        <f t="shared" si="4"/>
        <v>1.0680000000000001</v>
      </c>
      <c r="G245" s="4">
        <f t="shared" si="5"/>
        <v>0.32400000000000001</v>
      </c>
      <c r="H245" s="12">
        <v>475</v>
      </c>
      <c r="J245" s="12">
        <v>365</v>
      </c>
    </row>
    <row r="246" spans="1:11" x14ac:dyDescent="0.35">
      <c r="A246" s="4" t="s">
        <v>939</v>
      </c>
      <c r="B246" s="4" t="s">
        <v>941</v>
      </c>
      <c r="C246" s="4">
        <v>4</v>
      </c>
      <c r="D246" s="4">
        <v>40</v>
      </c>
      <c r="E246" s="4">
        <f t="shared" si="3"/>
        <v>160</v>
      </c>
      <c r="F246" s="4">
        <f t="shared" si="4"/>
        <v>1.4239999999999999</v>
      </c>
      <c r="G246" s="4">
        <f t="shared" si="5"/>
        <v>0.432</v>
      </c>
      <c r="H246" s="12">
        <v>625</v>
      </c>
      <c r="J246" s="12">
        <v>480</v>
      </c>
    </row>
    <row r="247" spans="1:11" x14ac:dyDescent="0.35">
      <c r="A247" s="4" t="s">
        <v>943</v>
      </c>
      <c r="B247" s="4" t="s">
        <v>945</v>
      </c>
      <c r="C247" s="4">
        <v>5</v>
      </c>
      <c r="D247" s="4">
        <v>40</v>
      </c>
      <c r="E247" s="4">
        <f t="shared" si="3"/>
        <v>200</v>
      </c>
      <c r="F247" s="4">
        <f t="shared" si="4"/>
        <v>1.78</v>
      </c>
      <c r="G247" s="4">
        <f t="shared" si="5"/>
        <v>0.54</v>
      </c>
      <c r="H247" s="12">
        <v>700</v>
      </c>
      <c r="J247" s="12">
        <v>540</v>
      </c>
    </row>
    <row r="248" spans="1:11" x14ac:dyDescent="0.35">
      <c r="A248" s="4" t="s">
        <v>947</v>
      </c>
      <c r="B248" s="4" t="s">
        <v>949</v>
      </c>
      <c r="C248" s="4">
        <v>5</v>
      </c>
      <c r="D248" s="4">
        <v>50</v>
      </c>
      <c r="E248" s="4">
        <f t="shared" si="3"/>
        <v>250</v>
      </c>
      <c r="F248" s="4">
        <f t="shared" si="4"/>
        <v>2.2250000000000001</v>
      </c>
      <c r="G248" s="4">
        <f t="shared" si="5"/>
        <v>0.67500000000000004</v>
      </c>
      <c r="H248" s="12">
        <v>860</v>
      </c>
      <c r="J248" s="12">
        <v>665</v>
      </c>
    </row>
    <row r="249" spans="1:11" x14ac:dyDescent="0.35">
      <c r="A249" s="4" t="s">
        <v>951</v>
      </c>
      <c r="B249" s="4" t="s">
        <v>953</v>
      </c>
      <c r="C249" s="4">
        <v>6</v>
      </c>
      <c r="D249" s="4">
        <v>50</v>
      </c>
      <c r="E249" s="4">
        <f t="shared" si="3"/>
        <v>300</v>
      </c>
      <c r="F249" s="4">
        <f t="shared" si="4"/>
        <v>2.67</v>
      </c>
      <c r="G249" s="4">
        <f t="shared" si="5"/>
        <v>0.81</v>
      </c>
      <c r="H249" s="12">
        <v>955</v>
      </c>
      <c r="J249" s="12">
        <v>740</v>
      </c>
    </row>
    <row r="250" spans="1:11" x14ac:dyDescent="0.35">
      <c r="A250" s="4" t="s">
        <v>955</v>
      </c>
      <c r="B250" s="4" t="s">
        <v>957</v>
      </c>
      <c r="C250" s="4">
        <v>6</v>
      </c>
      <c r="D250" s="4">
        <v>60</v>
      </c>
      <c r="E250" s="4">
        <f t="shared" si="3"/>
        <v>360</v>
      </c>
      <c r="F250" s="4">
        <f t="shared" si="4"/>
        <v>3.2040000000000002</v>
      </c>
      <c r="G250" s="4">
        <f t="shared" si="5"/>
        <v>0.97200000000000009</v>
      </c>
      <c r="H250" s="12">
        <v>1125</v>
      </c>
      <c r="I250" s="12">
        <v>1740</v>
      </c>
      <c r="J250" s="12">
        <v>870</v>
      </c>
      <c r="K250" s="12">
        <v>1350</v>
      </c>
    </row>
    <row r="251" spans="1:11" x14ac:dyDescent="0.35">
      <c r="A251" s="4" t="s">
        <v>959</v>
      </c>
      <c r="B251" s="4" t="s">
        <v>961</v>
      </c>
      <c r="C251" s="4">
        <v>6</v>
      </c>
      <c r="D251" s="4">
        <v>80</v>
      </c>
      <c r="E251" s="4">
        <f t="shared" si="3"/>
        <v>480</v>
      </c>
      <c r="F251" s="4">
        <f t="shared" si="4"/>
        <v>4.2720000000000002</v>
      </c>
      <c r="G251" s="4">
        <f t="shared" si="5"/>
        <v>1.296</v>
      </c>
      <c r="H251" s="12">
        <v>1480</v>
      </c>
      <c r="I251" s="12">
        <v>2110</v>
      </c>
      <c r="J251" s="12">
        <v>1150</v>
      </c>
      <c r="K251" s="12">
        <v>1630</v>
      </c>
    </row>
    <row r="252" spans="1:11" x14ac:dyDescent="0.35">
      <c r="A252" s="4" t="s">
        <v>963</v>
      </c>
      <c r="B252" s="4" t="s">
        <v>965</v>
      </c>
      <c r="C252" s="4">
        <v>6</v>
      </c>
      <c r="D252" s="4">
        <v>100</v>
      </c>
      <c r="E252" s="4">
        <f t="shared" si="3"/>
        <v>600</v>
      </c>
      <c r="F252" s="4">
        <f t="shared" si="4"/>
        <v>5.34</v>
      </c>
      <c r="G252" s="4">
        <f t="shared" si="5"/>
        <v>1.62</v>
      </c>
      <c r="H252" s="12">
        <v>1810</v>
      </c>
      <c r="I252" s="12">
        <v>2470</v>
      </c>
      <c r="J252" s="12">
        <v>1425</v>
      </c>
      <c r="K252" s="12">
        <v>1935</v>
      </c>
    </row>
    <row r="253" spans="1:11" x14ac:dyDescent="0.35">
      <c r="A253" s="4" t="s">
        <v>967</v>
      </c>
      <c r="B253" s="4" t="s">
        <v>969</v>
      </c>
      <c r="C253" s="4">
        <v>8</v>
      </c>
      <c r="D253" s="4">
        <v>60</v>
      </c>
      <c r="E253" s="4">
        <f t="shared" si="3"/>
        <v>480</v>
      </c>
      <c r="F253" s="4">
        <f t="shared" si="4"/>
        <v>4.2720000000000002</v>
      </c>
      <c r="G253" s="4">
        <f t="shared" si="5"/>
        <v>1.296</v>
      </c>
      <c r="H253" s="12">
        <v>1320</v>
      </c>
      <c r="I253" s="12">
        <v>2160</v>
      </c>
      <c r="J253" s="12">
        <v>1025</v>
      </c>
      <c r="K253" s="12">
        <v>1680</v>
      </c>
    </row>
    <row r="254" spans="1:11" x14ac:dyDescent="0.35">
      <c r="A254" s="4" t="s">
        <v>971</v>
      </c>
      <c r="B254" s="4" t="s">
        <v>973</v>
      </c>
      <c r="C254" s="4">
        <v>8</v>
      </c>
      <c r="D254" s="4">
        <v>80</v>
      </c>
      <c r="E254" s="4">
        <f t="shared" si="3"/>
        <v>640</v>
      </c>
      <c r="F254" s="4">
        <f t="shared" si="4"/>
        <v>5.6959999999999997</v>
      </c>
      <c r="G254" s="4">
        <f t="shared" si="5"/>
        <v>1.728</v>
      </c>
      <c r="H254" s="12">
        <v>1690</v>
      </c>
      <c r="I254" s="12">
        <v>2620</v>
      </c>
      <c r="J254" s="12">
        <v>1320</v>
      </c>
      <c r="K254" s="12">
        <v>2040</v>
      </c>
    </row>
    <row r="255" spans="1:11" x14ac:dyDescent="0.35">
      <c r="A255" s="4" t="s">
        <v>975</v>
      </c>
      <c r="B255" s="4" t="s">
        <v>977</v>
      </c>
      <c r="C255" s="4">
        <v>8</v>
      </c>
      <c r="D255" s="4">
        <v>100</v>
      </c>
      <c r="E255" s="4">
        <f t="shared" si="3"/>
        <v>800</v>
      </c>
      <c r="F255" s="4">
        <f t="shared" si="4"/>
        <v>7.12</v>
      </c>
      <c r="G255" s="4">
        <f t="shared" si="5"/>
        <v>2.16</v>
      </c>
      <c r="H255" s="12">
        <v>2080</v>
      </c>
      <c r="I255" s="12">
        <v>3060</v>
      </c>
      <c r="J255" s="12">
        <v>1625</v>
      </c>
      <c r="K255" s="12">
        <v>2390</v>
      </c>
    </row>
    <row r="256" spans="1:11" x14ac:dyDescent="0.35">
      <c r="A256" s="4" t="s">
        <v>979</v>
      </c>
      <c r="B256" s="4" t="s">
        <v>981</v>
      </c>
      <c r="C256" s="4">
        <v>8</v>
      </c>
      <c r="D256" s="4">
        <v>120</v>
      </c>
      <c r="E256" s="4">
        <f t="shared" si="3"/>
        <v>960</v>
      </c>
      <c r="F256" s="4">
        <f t="shared" si="4"/>
        <v>8.5440000000000005</v>
      </c>
      <c r="G256" s="4">
        <f t="shared" si="5"/>
        <v>2.5920000000000001</v>
      </c>
      <c r="H256" s="12">
        <v>2400</v>
      </c>
      <c r="I256" s="12">
        <v>3400</v>
      </c>
      <c r="J256" s="12">
        <v>1900</v>
      </c>
      <c r="K256" s="12">
        <v>2650</v>
      </c>
    </row>
    <row r="257" spans="1:11" x14ac:dyDescent="0.35">
      <c r="A257" s="4" t="s">
        <v>983</v>
      </c>
      <c r="B257" s="4" t="s">
        <v>985</v>
      </c>
      <c r="C257" s="4">
        <v>10</v>
      </c>
      <c r="D257" s="4">
        <v>60</v>
      </c>
      <c r="E257" s="4">
        <f t="shared" si="3"/>
        <v>600</v>
      </c>
      <c r="F257" s="4">
        <f t="shared" si="4"/>
        <v>5.34</v>
      </c>
      <c r="G257" s="4">
        <f t="shared" si="5"/>
        <v>1.62</v>
      </c>
      <c r="H257" s="12">
        <v>1475</v>
      </c>
      <c r="I257" s="12">
        <v>2560</v>
      </c>
      <c r="J257" s="12">
        <v>1155</v>
      </c>
      <c r="K257" s="12">
        <v>2010</v>
      </c>
    </row>
    <row r="258" spans="1:11" x14ac:dyDescent="0.35">
      <c r="A258" s="4" t="s">
        <v>987</v>
      </c>
      <c r="B258" s="4" t="s">
        <v>989</v>
      </c>
      <c r="C258" s="4">
        <v>10</v>
      </c>
      <c r="D258" s="4">
        <v>80</v>
      </c>
      <c r="E258" s="4">
        <f t="shared" si="3"/>
        <v>800</v>
      </c>
      <c r="F258" s="4">
        <f t="shared" si="4"/>
        <v>7.12</v>
      </c>
      <c r="G258" s="4">
        <f t="shared" si="5"/>
        <v>2.16</v>
      </c>
      <c r="H258" s="12">
        <v>1900</v>
      </c>
      <c r="I258" s="12">
        <v>3100</v>
      </c>
      <c r="J258" s="12">
        <v>1480</v>
      </c>
      <c r="K258" s="12">
        <v>2410</v>
      </c>
    </row>
    <row r="259" spans="1:11" x14ac:dyDescent="0.35">
      <c r="A259" s="4" t="s">
        <v>991</v>
      </c>
      <c r="B259" s="4" t="s">
        <v>993</v>
      </c>
      <c r="C259" s="4">
        <v>10</v>
      </c>
      <c r="D259" s="4">
        <v>100</v>
      </c>
      <c r="E259" s="4">
        <f t="shared" si="3"/>
        <v>1000</v>
      </c>
      <c r="F259" s="4">
        <f t="shared" si="4"/>
        <v>8.9</v>
      </c>
      <c r="G259" s="4">
        <f t="shared" si="5"/>
        <v>2.7</v>
      </c>
      <c r="H259" s="12">
        <v>2310</v>
      </c>
      <c r="I259" s="12">
        <v>3610</v>
      </c>
      <c r="J259" s="12">
        <v>1820</v>
      </c>
      <c r="K259" s="12">
        <v>2860</v>
      </c>
    </row>
    <row r="260" spans="1:11" x14ac:dyDescent="0.35">
      <c r="A260" s="4" t="s">
        <v>995</v>
      </c>
      <c r="B260" s="4" t="s">
        <v>997</v>
      </c>
      <c r="C260" s="4">
        <v>10</v>
      </c>
      <c r="D260" s="4">
        <v>120</v>
      </c>
      <c r="E260" s="4">
        <f t="shared" si="3"/>
        <v>1200</v>
      </c>
      <c r="F260" s="4">
        <f t="shared" si="4"/>
        <v>10.68</v>
      </c>
      <c r="G260" s="4">
        <f t="shared" si="5"/>
        <v>3.24</v>
      </c>
      <c r="H260" s="12">
        <v>2650</v>
      </c>
      <c r="I260" s="12">
        <v>4100</v>
      </c>
      <c r="J260" s="12">
        <v>2070</v>
      </c>
      <c r="K260" s="12">
        <v>3200</v>
      </c>
    </row>
    <row r="261" spans="1:11" x14ac:dyDescent="0.35">
      <c r="A261" s="1" t="s">
        <v>1235</v>
      </c>
    </row>
    <row r="262" spans="1:11" x14ac:dyDescent="0.35">
      <c r="A262" s="1" t="s">
        <v>267</v>
      </c>
      <c r="B262" s="1" t="s">
        <v>1236</v>
      </c>
      <c r="C262" s="1" t="s">
        <v>1237</v>
      </c>
      <c r="D262" s="1" t="s">
        <v>1238</v>
      </c>
      <c r="E262" s="1" t="s">
        <v>1239</v>
      </c>
    </row>
    <row r="263" spans="1:11" x14ac:dyDescent="0.35">
      <c r="A263" s="4" t="s">
        <v>918</v>
      </c>
      <c r="B263" s="4">
        <v>1</v>
      </c>
      <c r="C263" s="4">
        <f t="shared" ref="C263:C292" si="6">INDEX(BARA_MM2,MATCH(A263,BARA_KOD_CU,0))*B263</f>
        <v>45</v>
      </c>
      <c r="D263" s="4">
        <f t="shared" ref="D263:D276" si="7">INDEX(BARA_CU_A,MATCH(A263,BARA_KOD_CU,0))</f>
        <v>210</v>
      </c>
      <c r="E263" s="4">
        <f>D263</f>
        <v>210</v>
      </c>
    </row>
    <row r="264" spans="1:11" x14ac:dyDescent="0.35">
      <c r="A264" s="4" t="s">
        <v>927</v>
      </c>
      <c r="B264" s="4">
        <v>1</v>
      </c>
      <c r="C264" s="4">
        <f t="shared" si="6"/>
        <v>60</v>
      </c>
      <c r="D264" s="4">
        <f t="shared" si="7"/>
        <v>275</v>
      </c>
      <c r="E264" s="4">
        <f t="shared" ref="E264:E292" si="8">MAX(D264,E263)</f>
        <v>275</v>
      </c>
    </row>
    <row r="265" spans="1:11" x14ac:dyDescent="0.35">
      <c r="A265" s="4" t="s">
        <v>931</v>
      </c>
      <c r="B265" s="4">
        <v>1</v>
      </c>
      <c r="C265" s="4">
        <f t="shared" si="6"/>
        <v>75</v>
      </c>
      <c r="D265" s="4">
        <f t="shared" si="7"/>
        <v>340</v>
      </c>
      <c r="E265" s="4">
        <f t="shared" si="8"/>
        <v>340</v>
      </c>
    </row>
    <row r="266" spans="1:11" x14ac:dyDescent="0.35">
      <c r="A266" s="4" t="s">
        <v>935</v>
      </c>
      <c r="B266" s="4">
        <v>1</v>
      </c>
      <c r="C266" s="4">
        <f t="shared" si="6"/>
        <v>120</v>
      </c>
      <c r="D266" s="4">
        <f t="shared" si="7"/>
        <v>475</v>
      </c>
      <c r="E266" s="4">
        <f t="shared" si="8"/>
        <v>475</v>
      </c>
    </row>
    <row r="267" spans="1:11" x14ac:dyDescent="0.35">
      <c r="A267" s="4" t="s">
        <v>939</v>
      </c>
      <c r="B267" s="4">
        <v>1</v>
      </c>
      <c r="C267" s="4">
        <f t="shared" si="6"/>
        <v>160</v>
      </c>
      <c r="D267" s="4">
        <f t="shared" si="7"/>
        <v>625</v>
      </c>
      <c r="E267" s="4">
        <f t="shared" si="8"/>
        <v>625</v>
      </c>
    </row>
    <row r="268" spans="1:11" x14ac:dyDescent="0.35">
      <c r="A268" s="4" t="s">
        <v>943</v>
      </c>
      <c r="B268" s="4">
        <v>1</v>
      </c>
      <c r="C268" s="4">
        <f t="shared" si="6"/>
        <v>200</v>
      </c>
      <c r="D268" s="4">
        <f t="shared" si="7"/>
        <v>700</v>
      </c>
      <c r="E268" s="4">
        <f t="shared" si="8"/>
        <v>700</v>
      </c>
    </row>
    <row r="269" spans="1:11" x14ac:dyDescent="0.35">
      <c r="A269" s="4" t="s">
        <v>947</v>
      </c>
      <c r="B269" s="4">
        <v>1</v>
      </c>
      <c r="C269" s="4">
        <f t="shared" si="6"/>
        <v>250</v>
      </c>
      <c r="D269" s="4">
        <f t="shared" si="7"/>
        <v>860</v>
      </c>
      <c r="E269" s="4">
        <f t="shared" si="8"/>
        <v>860</v>
      </c>
    </row>
    <row r="270" spans="1:11" x14ac:dyDescent="0.35">
      <c r="A270" s="4" t="s">
        <v>951</v>
      </c>
      <c r="B270" s="4">
        <v>1</v>
      </c>
      <c r="C270" s="4">
        <f t="shared" si="6"/>
        <v>300</v>
      </c>
      <c r="D270" s="4">
        <f t="shared" si="7"/>
        <v>955</v>
      </c>
      <c r="E270" s="4">
        <f t="shared" si="8"/>
        <v>955</v>
      </c>
    </row>
    <row r="271" spans="1:11" x14ac:dyDescent="0.35">
      <c r="A271" s="4" t="s">
        <v>955</v>
      </c>
      <c r="B271" s="4">
        <v>1</v>
      </c>
      <c r="C271" s="4">
        <f t="shared" si="6"/>
        <v>360</v>
      </c>
      <c r="D271" s="4">
        <f t="shared" si="7"/>
        <v>1125</v>
      </c>
      <c r="E271" s="4">
        <f t="shared" si="8"/>
        <v>1125</v>
      </c>
    </row>
    <row r="272" spans="1:11" x14ac:dyDescent="0.35">
      <c r="A272" s="4" t="s">
        <v>959</v>
      </c>
      <c r="B272" s="4">
        <v>1</v>
      </c>
      <c r="C272" s="4">
        <f t="shared" si="6"/>
        <v>480</v>
      </c>
      <c r="D272" s="4">
        <f t="shared" si="7"/>
        <v>1480</v>
      </c>
      <c r="E272" s="4">
        <f t="shared" si="8"/>
        <v>1480</v>
      </c>
    </row>
    <row r="273" spans="1:5" x14ac:dyDescent="0.35">
      <c r="A273" s="4" t="s">
        <v>967</v>
      </c>
      <c r="B273" s="4">
        <v>1</v>
      </c>
      <c r="C273" s="4">
        <f t="shared" si="6"/>
        <v>480</v>
      </c>
      <c r="D273" s="4">
        <f t="shared" si="7"/>
        <v>1320</v>
      </c>
      <c r="E273" s="4">
        <f t="shared" si="8"/>
        <v>1480</v>
      </c>
    </row>
    <row r="274" spans="1:5" x14ac:dyDescent="0.35">
      <c r="A274" s="4" t="s">
        <v>963</v>
      </c>
      <c r="B274" s="4">
        <v>1</v>
      </c>
      <c r="C274" s="4">
        <f t="shared" si="6"/>
        <v>600</v>
      </c>
      <c r="D274" s="4">
        <f t="shared" si="7"/>
        <v>1810</v>
      </c>
      <c r="E274" s="4">
        <f t="shared" si="8"/>
        <v>1810</v>
      </c>
    </row>
    <row r="275" spans="1:5" x14ac:dyDescent="0.35">
      <c r="A275" s="4" t="s">
        <v>983</v>
      </c>
      <c r="B275" s="4">
        <v>1</v>
      </c>
      <c r="C275" s="4">
        <f t="shared" si="6"/>
        <v>600</v>
      </c>
      <c r="D275" s="4">
        <f t="shared" si="7"/>
        <v>1475</v>
      </c>
      <c r="E275" s="4">
        <f t="shared" si="8"/>
        <v>1810</v>
      </c>
    </row>
    <row r="276" spans="1:5" x14ac:dyDescent="0.35">
      <c r="A276" s="4" t="s">
        <v>971</v>
      </c>
      <c r="B276" s="4">
        <v>1</v>
      </c>
      <c r="C276" s="4">
        <f t="shared" si="6"/>
        <v>640</v>
      </c>
      <c r="D276" s="4">
        <f t="shared" si="7"/>
        <v>1690</v>
      </c>
      <c r="E276" s="4">
        <f t="shared" si="8"/>
        <v>1810</v>
      </c>
    </row>
    <row r="277" spans="1:5" x14ac:dyDescent="0.35">
      <c r="A277" s="4" t="s">
        <v>955</v>
      </c>
      <c r="B277" s="4">
        <v>2</v>
      </c>
      <c r="C277" s="4">
        <f t="shared" si="6"/>
        <v>720</v>
      </c>
      <c r="D277" s="4">
        <f>INDEX(BARA_CU2_A,MATCH(A277,BARA_KOD_CU,0))</f>
        <v>1740</v>
      </c>
      <c r="E277" s="4">
        <f t="shared" si="8"/>
        <v>1810</v>
      </c>
    </row>
    <row r="278" spans="1:5" x14ac:dyDescent="0.35">
      <c r="A278" s="4" t="s">
        <v>975</v>
      </c>
      <c r="B278" s="4">
        <v>1</v>
      </c>
      <c r="C278" s="4">
        <f t="shared" si="6"/>
        <v>800</v>
      </c>
      <c r="D278" s="4">
        <f>INDEX(BARA_CU_A,MATCH(A278,BARA_KOD_CU,0))</f>
        <v>2080</v>
      </c>
      <c r="E278" s="4">
        <f t="shared" si="8"/>
        <v>2080</v>
      </c>
    </row>
    <row r="279" spans="1:5" x14ac:dyDescent="0.35">
      <c r="A279" s="4" t="s">
        <v>987</v>
      </c>
      <c r="B279" s="4">
        <v>1</v>
      </c>
      <c r="C279" s="4">
        <f t="shared" si="6"/>
        <v>800</v>
      </c>
      <c r="D279" s="4">
        <f>INDEX(BARA_CU_A,MATCH(A279,BARA_KOD_CU,0))</f>
        <v>1900</v>
      </c>
      <c r="E279" s="4">
        <f t="shared" si="8"/>
        <v>2080</v>
      </c>
    </row>
    <row r="280" spans="1:5" x14ac:dyDescent="0.35">
      <c r="A280" s="4" t="s">
        <v>979</v>
      </c>
      <c r="B280" s="4">
        <v>1</v>
      </c>
      <c r="C280" s="4">
        <f t="shared" si="6"/>
        <v>960</v>
      </c>
      <c r="D280" s="4">
        <f>INDEX(BARA_CU_A,MATCH(A280,BARA_KOD_CU,0))</f>
        <v>2400</v>
      </c>
      <c r="E280" s="4">
        <f t="shared" si="8"/>
        <v>2400</v>
      </c>
    </row>
    <row r="281" spans="1:5" x14ac:dyDescent="0.35">
      <c r="A281" s="4" t="s">
        <v>967</v>
      </c>
      <c r="B281" s="4">
        <v>2</v>
      </c>
      <c r="C281" s="4">
        <f t="shared" si="6"/>
        <v>960</v>
      </c>
      <c r="D281" s="4">
        <f>INDEX(BARA_CU2_A,MATCH(A281,BARA_KOD_CU,0))</f>
        <v>2160</v>
      </c>
      <c r="E281" s="4">
        <f t="shared" si="8"/>
        <v>2400</v>
      </c>
    </row>
    <row r="282" spans="1:5" x14ac:dyDescent="0.35">
      <c r="A282" s="4" t="s">
        <v>959</v>
      </c>
      <c r="B282" s="4">
        <v>2</v>
      </c>
      <c r="C282" s="4">
        <f t="shared" si="6"/>
        <v>960</v>
      </c>
      <c r="D282" s="4">
        <f>INDEX(BARA_CU2_A,MATCH(A282,BARA_KOD_CU,0))</f>
        <v>2110</v>
      </c>
      <c r="E282" s="4">
        <f t="shared" si="8"/>
        <v>2400</v>
      </c>
    </row>
    <row r="283" spans="1:5" x14ac:dyDescent="0.35">
      <c r="A283" s="4" t="s">
        <v>991</v>
      </c>
      <c r="B283" s="4">
        <v>1</v>
      </c>
      <c r="C283" s="4">
        <f t="shared" si="6"/>
        <v>1000</v>
      </c>
      <c r="D283" s="4">
        <f>INDEX(BARA_CU_A,MATCH(A283,BARA_KOD_CU,0))</f>
        <v>2310</v>
      </c>
      <c r="E283" s="4">
        <f t="shared" si="8"/>
        <v>2400</v>
      </c>
    </row>
    <row r="284" spans="1:5" x14ac:dyDescent="0.35">
      <c r="A284" s="4" t="s">
        <v>995</v>
      </c>
      <c r="B284" s="4">
        <v>1</v>
      </c>
      <c r="C284" s="4">
        <f t="shared" si="6"/>
        <v>1200</v>
      </c>
      <c r="D284" s="4">
        <f>INDEX(BARA_CU_A,MATCH(A284,BARA_KOD_CU,0))</f>
        <v>2650</v>
      </c>
      <c r="E284" s="4">
        <f t="shared" si="8"/>
        <v>2650</v>
      </c>
    </row>
    <row r="285" spans="1:5" x14ac:dyDescent="0.35">
      <c r="A285" s="4" t="s">
        <v>983</v>
      </c>
      <c r="B285" s="4">
        <v>2</v>
      </c>
      <c r="C285" s="4">
        <f t="shared" si="6"/>
        <v>1200</v>
      </c>
      <c r="D285" s="4">
        <f t="shared" ref="D285:D292" si="9">INDEX(BARA_CU2_A,MATCH(A285,BARA_KOD_CU,0))</f>
        <v>2560</v>
      </c>
      <c r="E285" s="4">
        <f t="shared" si="8"/>
        <v>2650</v>
      </c>
    </row>
    <row r="286" spans="1:5" x14ac:dyDescent="0.35">
      <c r="A286" s="4" t="s">
        <v>963</v>
      </c>
      <c r="B286" s="4">
        <v>2</v>
      </c>
      <c r="C286" s="4">
        <f t="shared" si="6"/>
        <v>1200</v>
      </c>
      <c r="D286" s="4">
        <f t="shared" si="9"/>
        <v>2470</v>
      </c>
      <c r="E286" s="4">
        <f t="shared" si="8"/>
        <v>2650</v>
      </c>
    </row>
    <row r="287" spans="1:5" x14ac:dyDescent="0.35">
      <c r="A287" s="4" t="s">
        <v>971</v>
      </c>
      <c r="B287" s="4">
        <v>2</v>
      </c>
      <c r="C287" s="4">
        <f t="shared" si="6"/>
        <v>1280</v>
      </c>
      <c r="D287" s="4">
        <f t="shared" si="9"/>
        <v>2620</v>
      </c>
      <c r="E287" s="4">
        <f t="shared" si="8"/>
        <v>2650</v>
      </c>
    </row>
    <row r="288" spans="1:5" x14ac:dyDescent="0.35">
      <c r="A288" s="4" t="s">
        <v>987</v>
      </c>
      <c r="B288" s="4">
        <v>2</v>
      </c>
      <c r="C288" s="4">
        <f t="shared" si="6"/>
        <v>1600</v>
      </c>
      <c r="D288" s="4">
        <f t="shared" si="9"/>
        <v>3100</v>
      </c>
      <c r="E288" s="4">
        <f t="shared" si="8"/>
        <v>3100</v>
      </c>
    </row>
    <row r="289" spans="1:5" x14ac:dyDescent="0.35">
      <c r="A289" s="4" t="s">
        <v>975</v>
      </c>
      <c r="B289" s="4">
        <v>2</v>
      </c>
      <c r="C289" s="4">
        <f t="shared" si="6"/>
        <v>1600</v>
      </c>
      <c r="D289" s="4">
        <f t="shared" si="9"/>
        <v>3060</v>
      </c>
      <c r="E289" s="4">
        <f t="shared" si="8"/>
        <v>3100</v>
      </c>
    </row>
    <row r="290" spans="1:5" x14ac:dyDescent="0.35">
      <c r="A290" s="4" t="s">
        <v>979</v>
      </c>
      <c r="B290" s="4">
        <v>2</v>
      </c>
      <c r="C290" s="4">
        <f t="shared" si="6"/>
        <v>1920</v>
      </c>
      <c r="D290" s="4">
        <f t="shared" si="9"/>
        <v>3400</v>
      </c>
      <c r="E290" s="4">
        <f t="shared" si="8"/>
        <v>3400</v>
      </c>
    </row>
    <row r="291" spans="1:5" x14ac:dyDescent="0.35">
      <c r="A291" s="4" t="s">
        <v>991</v>
      </c>
      <c r="B291" s="4">
        <v>2</v>
      </c>
      <c r="C291" s="4">
        <f t="shared" si="6"/>
        <v>2000</v>
      </c>
      <c r="D291" s="4">
        <f t="shared" si="9"/>
        <v>3610</v>
      </c>
      <c r="E291" s="4">
        <f t="shared" si="8"/>
        <v>3610</v>
      </c>
    </row>
    <row r="292" spans="1:5" x14ac:dyDescent="0.35">
      <c r="A292" s="4" t="s">
        <v>995</v>
      </c>
      <c r="B292" s="4">
        <v>2</v>
      </c>
      <c r="C292" s="4">
        <f t="shared" si="6"/>
        <v>2400</v>
      </c>
      <c r="D292" s="4">
        <f t="shared" si="9"/>
        <v>4100</v>
      </c>
      <c r="E292" s="4">
        <f t="shared" si="8"/>
        <v>4100</v>
      </c>
    </row>
    <row r="293" spans="1:5" x14ac:dyDescent="0.35">
      <c r="A293" s="1" t="s">
        <v>1240</v>
      </c>
    </row>
    <row r="294" spans="1:5" x14ac:dyDescent="0.35">
      <c r="A294" s="1" t="s">
        <v>267</v>
      </c>
      <c r="B294" s="1" t="s">
        <v>1236</v>
      </c>
      <c r="C294" s="1" t="s">
        <v>1237</v>
      </c>
      <c r="D294" s="1" t="s">
        <v>1238</v>
      </c>
      <c r="E294" s="1" t="s">
        <v>1239</v>
      </c>
    </row>
    <row r="295" spans="1:5" x14ac:dyDescent="0.35">
      <c r="A295" s="4" t="s">
        <v>924</v>
      </c>
      <c r="B295" s="4">
        <v>1</v>
      </c>
      <c r="C295" s="4">
        <f t="shared" ref="C295:C324" si="10">INDEX(BARA_MM2,MATCH(A295,BARA_KOD_AL,0))*B295</f>
        <v>45</v>
      </c>
      <c r="D295" s="4">
        <f t="shared" ref="D295:D308" si="11">INDEX(BARA_AL_A,MATCH(A295,BARA_KOD_AL,0))</f>
        <v>165</v>
      </c>
      <c r="E295" s="4">
        <f>D295</f>
        <v>165</v>
      </c>
    </row>
    <row r="296" spans="1:5" x14ac:dyDescent="0.35">
      <c r="A296" s="4" t="s">
        <v>929</v>
      </c>
      <c r="B296" s="4">
        <v>1</v>
      </c>
      <c r="C296" s="4">
        <f t="shared" si="10"/>
        <v>60</v>
      </c>
      <c r="D296" s="4">
        <f t="shared" si="11"/>
        <v>215</v>
      </c>
      <c r="E296" s="4">
        <f t="shared" ref="E296:E324" si="12">MAX(D296,E295)</f>
        <v>215</v>
      </c>
    </row>
    <row r="297" spans="1:5" x14ac:dyDescent="0.35">
      <c r="A297" s="4" t="s">
        <v>933</v>
      </c>
      <c r="B297" s="4">
        <v>1</v>
      </c>
      <c r="C297" s="4">
        <f t="shared" si="10"/>
        <v>75</v>
      </c>
      <c r="D297" s="4">
        <f t="shared" si="11"/>
        <v>265</v>
      </c>
      <c r="E297" s="4">
        <f t="shared" si="12"/>
        <v>265</v>
      </c>
    </row>
    <row r="298" spans="1:5" x14ac:dyDescent="0.35">
      <c r="A298" s="4" t="s">
        <v>937</v>
      </c>
      <c r="B298" s="4">
        <v>1</v>
      </c>
      <c r="C298" s="4">
        <f t="shared" si="10"/>
        <v>120</v>
      </c>
      <c r="D298" s="4">
        <f t="shared" si="11"/>
        <v>365</v>
      </c>
      <c r="E298" s="4">
        <f t="shared" si="12"/>
        <v>365</v>
      </c>
    </row>
    <row r="299" spans="1:5" x14ac:dyDescent="0.35">
      <c r="A299" s="4" t="s">
        <v>941</v>
      </c>
      <c r="B299" s="4">
        <v>1</v>
      </c>
      <c r="C299" s="4">
        <f t="shared" si="10"/>
        <v>160</v>
      </c>
      <c r="D299" s="4">
        <f t="shared" si="11"/>
        <v>480</v>
      </c>
      <c r="E299" s="4">
        <f t="shared" si="12"/>
        <v>480</v>
      </c>
    </row>
    <row r="300" spans="1:5" x14ac:dyDescent="0.35">
      <c r="A300" s="4" t="s">
        <v>945</v>
      </c>
      <c r="B300" s="4">
        <v>1</v>
      </c>
      <c r="C300" s="4">
        <f t="shared" si="10"/>
        <v>200</v>
      </c>
      <c r="D300" s="4">
        <f t="shared" si="11"/>
        <v>540</v>
      </c>
      <c r="E300" s="4">
        <f t="shared" si="12"/>
        <v>540</v>
      </c>
    </row>
    <row r="301" spans="1:5" x14ac:dyDescent="0.35">
      <c r="A301" s="4" t="s">
        <v>949</v>
      </c>
      <c r="B301" s="4">
        <v>1</v>
      </c>
      <c r="C301" s="4">
        <f t="shared" si="10"/>
        <v>250</v>
      </c>
      <c r="D301" s="4">
        <f t="shared" si="11"/>
        <v>665</v>
      </c>
      <c r="E301" s="4">
        <f t="shared" si="12"/>
        <v>665</v>
      </c>
    </row>
    <row r="302" spans="1:5" x14ac:dyDescent="0.35">
      <c r="A302" s="4" t="s">
        <v>953</v>
      </c>
      <c r="B302" s="4">
        <v>1</v>
      </c>
      <c r="C302" s="4">
        <f t="shared" si="10"/>
        <v>300</v>
      </c>
      <c r="D302" s="4">
        <f t="shared" si="11"/>
        <v>740</v>
      </c>
      <c r="E302" s="4">
        <f t="shared" si="12"/>
        <v>740</v>
      </c>
    </row>
    <row r="303" spans="1:5" x14ac:dyDescent="0.35">
      <c r="A303" s="4" t="s">
        <v>957</v>
      </c>
      <c r="B303" s="4">
        <v>1</v>
      </c>
      <c r="C303" s="4">
        <f t="shared" si="10"/>
        <v>360</v>
      </c>
      <c r="D303" s="4">
        <f t="shared" si="11"/>
        <v>870</v>
      </c>
      <c r="E303" s="4">
        <f t="shared" si="12"/>
        <v>870</v>
      </c>
    </row>
    <row r="304" spans="1:5" x14ac:dyDescent="0.35">
      <c r="A304" s="4" t="s">
        <v>961</v>
      </c>
      <c r="B304" s="4">
        <v>1</v>
      </c>
      <c r="C304" s="4">
        <f t="shared" si="10"/>
        <v>480</v>
      </c>
      <c r="D304" s="4">
        <f t="shared" si="11"/>
        <v>1150</v>
      </c>
      <c r="E304" s="4">
        <f t="shared" si="12"/>
        <v>1150</v>
      </c>
    </row>
    <row r="305" spans="1:5" x14ac:dyDescent="0.35">
      <c r="A305" s="4" t="s">
        <v>969</v>
      </c>
      <c r="B305" s="4">
        <v>1</v>
      </c>
      <c r="C305" s="4">
        <f t="shared" si="10"/>
        <v>480</v>
      </c>
      <c r="D305" s="4">
        <f t="shared" si="11"/>
        <v>1025</v>
      </c>
      <c r="E305" s="4">
        <f t="shared" si="12"/>
        <v>1150</v>
      </c>
    </row>
    <row r="306" spans="1:5" x14ac:dyDescent="0.35">
      <c r="A306" s="4" t="s">
        <v>965</v>
      </c>
      <c r="B306" s="4">
        <v>1</v>
      </c>
      <c r="C306" s="4">
        <f t="shared" si="10"/>
        <v>600</v>
      </c>
      <c r="D306" s="4">
        <f t="shared" si="11"/>
        <v>1425</v>
      </c>
      <c r="E306" s="4">
        <f t="shared" si="12"/>
        <v>1425</v>
      </c>
    </row>
    <row r="307" spans="1:5" x14ac:dyDescent="0.35">
      <c r="A307" s="4" t="s">
        <v>985</v>
      </c>
      <c r="B307" s="4">
        <v>1</v>
      </c>
      <c r="C307" s="4">
        <f t="shared" si="10"/>
        <v>600</v>
      </c>
      <c r="D307" s="4">
        <f t="shared" si="11"/>
        <v>1155</v>
      </c>
      <c r="E307" s="4">
        <f t="shared" si="12"/>
        <v>1425</v>
      </c>
    </row>
    <row r="308" spans="1:5" x14ac:dyDescent="0.35">
      <c r="A308" s="4" t="s">
        <v>973</v>
      </c>
      <c r="B308" s="4">
        <v>1</v>
      </c>
      <c r="C308" s="4">
        <f t="shared" si="10"/>
        <v>640</v>
      </c>
      <c r="D308" s="4">
        <f t="shared" si="11"/>
        <v>1320</v>
      </c>
      <c r="E308" s="4">
        <f t="shared" si="12"/>
        <v>1425</v>
      </c>
    </row>
    <row r="309" spans="1:5" x14ac:dyDescent="0.35">
      <c r="A309" s="4" t="s">
        <v>957</v>
      </c>
      <c r="B309" s="4">
        <v>2</v>
      </c>
      <c r="C309" s="4">
        <f t="shared" si="10"/>
        <v>720</v>
      </c>
      <c r="D309" s="4">
        <f>INDEX(BARA_AL2_A,MATCH(A309,BARA_KOD_AL,0))</f>
        <v>1350</v>
      </c>
      <c r="E309" s="4">
        <f t="shared" si="12"/>
        <v>1425</v>
      </c>
    </row>
    <row r="310" spans="1:5" x14ac:dyDescent="0.35">
      <c r="A310" s="4" t="s">
        <v>977</v>
      </c>
      <c r="B310" s="4">
        <v>1</v>
      </c>
      <c r="C310" s="4">
        <f t="shared" si="10"/>
        <v>800</v>
      </c>
      <c r="D310" s="4">
        <f>INDEX(BARA_AL_A,MATCH(A310,BARA_KOD_AL,0))</f>
        <v>1625</v>
      </c>
      <c r="E310" s="4">
        <f t="shared" si="12"/>
        <v>1625</v>
      </c>
    </row>
    <row r="311" spans="1:5" x14ac:dyDescent="0.35">
      <c r="A311" s="4" t="s">
        <v>989</v>
      </c>
      <c r="B311" s="4">
        <v>1</v>
      </c>
      <c r="C311" s="4">
        <f t="shared" si="10"/>
        <v>800</v>
      </c>
      <c r="D311" s="4">
        <f>INDEX(BARA_AL_A,MATCH(A311,BARA_KOD_AL,0))</f>
        <v>1480</v>
      </c>
      <c r="E311" s="4">
        <f t="shared" si="12"/>
        <v>1625</v>
      </c>
    </row>
    <row r="312" spans="1:5" x14ac:dyDescent="0.35">
      <c r="A312" s="4" t="s">
        <v>981</v>
      </c>
      <c r="B312" s="4">
        <v>1</v>
      </c>
      <c r="C312" s="4">
        <f t="shared" si="10"/>
        <v>960</v>
      </c>
      <c r="D312" s="4">
        <f>INDEX(BARA_AL_A,MATCH(A312,BARA_KOD_AL,0))</f>
        <v>1900</v>
      </c>
      <c r="E312" s="4">
        <f t="shared" si="12"/>
        <v>1900</v>
      </c>
    </row>
    <row r="313" spans="1:5" x14ac:dyDescent="0.35">
      <c r="A313" s="4" t="s">
        <v>969</v>
      </c>
      <c r="B313" s="4">
        <v>2</v>
      </c>
      <c r="C313" s="4">
        <f t="shared" si="10"/>
        <v>960</v>
      </c>
      <c r="D313" s="4">
        <f>INDEX(BARA_AL2_A,MATCH(A313,BARA_KOD_AL,0))</f>
        <v>1680</v>
      </c>
      <c r="E313" s="4">
        <f t="shared" si="12"/>
        <v>1900</v>
      </c>
    </row>
    <row r="314" spans="1:5" x14ac:dyDescent="0.35">
      <c r="A314" s="4" t="s">
        <v>961</v>
      </c>
      <c r="B314" s="4">
        <v>2</v>
      </c>
      <c r="C314" s="4">
        <f t="shared" si="10"/>
        <v>960</v>
      </c>
      <c r="D314" s="4">
        <f>INDEX(BARA_AL2_A,MATCH(A314,BARA_KOD_AL,0))</f>
        <v>1630</v>
      </c>
      <c r="E314" s="4">
        <f t="shared" si="12"/>
        <v>1900</v>
      </c>
    </row>
    <row r="315" spans="1:5" x14ac:dyDescent="0.35">
      <c r="A315" s="4" t="s">
        <v>993</v>
      </c>
      <c r="B315" s="4">
        <v>1</v>
      </c>
      <c r="C315" s="4">
        <f t="shared" si="10"/>
        <v>1000</v>
      </c>
      <c r="D315" s="4">
        <f>INDEX(BARA_AL_A,MATCH(A315,BARA_KOD_AL,0))</f>
        <v>1820</v>
      </c>
      <c r="E315" s="4">
        <f t="shared" si="12"/>
        <v>1900</v>
      </c>
    </row>
    <row r="316" spans="1:5" x14ac:dyDescent="0.35">
      <c r="A316" s="4" t="s">
        <v>997</v>
      </c>
      <c r="B316" s="4">
        <v>1</v>
      </c>
      <c r="C316" s="4">
        <f t="shared" si="10"/>
        <v>1200</v>
      </c>
      <c r="D316" s="4">
        <f>INDEX(BARA_AL_A,MATCH(A316,BARA_KOD_AL,0))</f>
        <v>2070</v>
      </c>
      <c r="E316" s="4">
        <f t="shared" si="12"/>
        <v>2070</v>
      </c>
    </row>
    <row r="317" spans="1:5" x14ac:dyDescent="0.35">
      <c r="A317" s="4" t="s">
        <v>985</v>
      </c>
      <c r="B317" s="4">
        <v>2</v>
      </c>
      <c r="C317" s="4">
        <f t="shared" si="10"/>
        <v>1200</v>
      </c>
      <c r="D317" s="4">
        <f t="shared" ref="D317:D324" si="13">INDEX(BARA_AL2_A,MATCH(A317,BARA_KOD_AL,0))</f>
        <v>2010</v>
      </c>
      <c r="E317" s="4">
        <f t="shared" si="12"/>
        <v>2070</v>
      </c>
    </row>
    <row r="318" spans="1:5" x14ac:dyDescent="0.35">
      <c r="A318" s="4" t="s">
        <v>965</v>
      </c>
      <c r="B318" s="4">
        <v>2</v>
      </c>
      <c r="C318" s="4">
        <f t="shared" si="10"/>
        <v>1200</v>
      </c>
      <c r="D318" s="4">
        <f t="shared" si="13"/>
        <v>1935</v>
      </c>
      <c r="E318" s="4">
        <f t="shared" si="12"/>
        <v>2070</v>
      </c>
    </row>
    <row r="319" spans="1:5" x14ac:dyDescent="0.35">
      <c r="A319" s="4" t="s">
        <v>973</v>
      </c>
      <c r="B319" s="4">
        <v>2</v>
      </c>
      <c r="C319" s="4">
        <f t="shared" si="10"/>
        <v>1280</v>
      </c>
      <c r="D319" s="4">
        <f t="shared" si="13"/>
        <v>2040</v>
      </c>
      <c r="E319" s="4">
        <f t="shared" si="12"/>
        <v>2070</v>
      </c>
    </row>
    <row r="320" spans="1:5" x14ac:dyDescent="0.35">
      <c r="A320" s="4" t="s">
        <v>989</v>
      </c>
      <c r="B320" s="4">
        <v>2</v>
      </c>
      <c r="C320" s="4">
        <f t="shared" si="10"/>
        <v>1600</v>
      </c>
      <c r="D320" s="4">
        <f t="shared" si="13"/>
        <v>2410</v>
      </c>
      <c r="E320" s="4">
        <f t="shared" si="12"/>
        <v>2410</v>
      </c>
    </row>
    <row r="321" spans="1:5" x14ac:dyDescent="0.35">
      <c r="A321" s="4" t="s">
        <v>977</v>
      </c>
      <c r="B321" s="4">
        <v>2</v>
      </c>
      <c r="C321" s="4">
        <f t="shared" si="10"/>
        <v>1600</v>
      </c>
      <c r="D321" s="4">
        <f t="shared" si="13"/>
        <v>2390</v>
      </c>
      <c r="E321" s="4">
        <f t="shared" si="12"/>
        <v>2410</v>
      </c>
    </row>
    <row r="322" spans="1:5" x14ac:dyDescent="0.35">
      <c r="A322" s="4" t="s">
        <v>981</v>
      </c>
      <c r="B322" s="4">
        <v>2</v>
      </c>
      <c r="C322" s="4">
        <f t="shared" si="10"/>
        <v>1920</v>
      </c>
      <c r="D322" s="4">
        <f t="shared" si="13"/>
        <v>2650</v>
      </c>
      <c r="E322" s="4">
        <f t="shared" si="12"/>
        <v>2650</v>
      </c>
    </row>
    <row r="323" spans="1:5" x14ac:dyDescent="0.35">
      <c r="A323" s="4" t="s">
        <v>993</v>
      </c>
      <c r="B323" s="4">
        <v>2</v>
      </c>
      <c r="C323" s="4">
        <f t="shared" si="10"/>
        <v>2000</v>
      </c>
      <c r="D323" s="4">
        <f t="shared" si="13"/>
        <v>2860</v>
      </c>
      <c r="E323" s="4">
        <f t="shared" si="12"/>
        <v>2860</v>
      </c>
    </row>
    <row r="324" spans="1:5" x14ac:dyDescent="0.35">
      <c r="A324" s="4" t="s">
        <v>997</v>
      </c>
      <c r="B324" s="4">
        <v>2</v>
      </c>
      <c r="C324" s="4">
        <f t="shared" si="10"/>
        <v>2400</v>
      </c>
      <c r="D324" s="4">
        <f t="shared" si="13"/>
        <v>3200</v>
      </c>
      <c r="E324" s="4">
        <f t="shared" si="12"/>
        <v>3200</v>
      </c>
    </row>
    <row r="325" spans="1:5" x14ac:dyDescent="0.35">
      <c r="A325" s="1" t="s">
        <v>1241</v>
      </c>
    </row>
    <row r="326" spans="1:5" x14ac:dyDescent="0.35">
      <c r="A326" s="1" t="s">
        <v>1242</v>
      </c>
      <c r="B326" s="1" t="s">
        <v>360</v>
      </c>
      <c r="C326" s="1" t="s">
        <v>361</v>
      </c>
    </row>
    <row r="327" spans="1:5" x14ac:dyDescent="0.35">
      <c r="A327" s="4">
        <v>0</v>
      </c>
      <c r="B327" s="12">
        <v>1.5</v>
      </c>
      <c r="C327" s="12">
        <v>1</v>
      </c>
    </row>
    <row r="328" spans="1:5" x14ac:dyDescent="0.35">
      <c r="A328" s="4">
        <v>10.01</v>
      </c>
      <c r="B328" s="12">
        <v>2.5</v>
      </c>
      <c r="C328" s="12">
        <v>1</v>
      </c>
    </row>
    <row r="329" spans="1:5" x14ac:dyDescent="0.35">
      <c r="A329" s="4">
        <v>16.010000000000002</v>
      </c>
      <c r="B329" s="12">
        <v>4</v>
      </c>
      <c r="C329" s="12">
        <v>1</v>
      </c>
    </row>
    <row r="330" spans="1:5" x14ac:dyDescent="0.35">
      <c r="A330" s="4">
        <v>25.01</v>
      </c>
      <c r="B330" s="12">
        <v>6</v>
      </c>
      <c r="C330" s="12">
        <v>1</v>
      </c>
    </row>
    <row r="331" spans="1:5" x14ac:dyDescent="0.35">
      <c r="A331" s="4">
        <v>40.01</v>
      </c>
      <c r="B331" s="12">
        <v>10</v>
      </c>
      <c r="C331" s="12">
        <v>1</v>
      </c>
    </row>
    <row r="332" spans="1:5" x14ac:dyDescent="0.35">
      <c r="A332" s="4">
        <v>50.01</v>
      </c>
      <c r="B332" s="12">
        <v>16</v>
      </c>
      <c r="C332" s="12">
        <v>1</v>
      </c>
    </row>
    <row r="333" spans="1:5" x14ac:dyDescent="0.35">
      <c r="A333" s="4">
        <v>63.01</v>
      </c>
      <c r="B333" s="12">
        <v>25</v>
      </c>
      <c r="C333" s="12">
        <v>1</v>
      </c>
    </row>
    <row r="334" spans="1:5" x14ac:dyDescent="0.35">
      <c r="A334" s="4">
        <v>100.01</v>
      </c>
      <c r="B334" s="12">
        <v>35</v>
      </c>
      <c r="C334" s="12">
        <v>1</v>
      </c>
    </row>
    <row r="335" spans="1:5" x14ac:dyDescent="0.35">
      <c r="A335" s="4">
        <v>125.01</v>
      </c>
      <c r="B335" s="12">
        <v>50</v>
      </c>
      <c r="C335" s="12">
        <v>1</v>
      </c>
    </row>
    <row r="336" spans="1:5" x14ac:dyDescent="0.35">
      <c r="A336" s="4">
        <v>160.01</v>
      </c>
      <c r="B336" s="12">
        <v>70</v>
      </c>
      <c r="C336" s="12">
        <v>1</v>
      </c>
    </row>
    <row r="337" spans="1:3" x14ac:dyDescent="0.35">
      <c r="A337" s="4">
        <v>200.01</v>
      </c>
      <c r="B337" s="12">
        <v>95</v>
      </c>
      <c r="C337" s="12">
        <v>1</v>
      </c>
    </row>
    <row r="338" spans="1:3" x14ac:dyDescent="0.35">
      <c r="A338" s="1" t="s">
        <v>1243</v>
      </c>
    </row>
    <row r="339" spans="1:3" x14ac:dyDescent="0.35">
      <c r="A339" s="1" t="s">
        <v>360</v>
      </c>
    </row>
    <row r="340" spans="1:3" x14ac:dyDescent="0.35">
      <c r="A340" s="4">
        <v>1.5</v>
      </c>
    </row>
    <row r="341" spans="1:3" x14ac:dyDescent="0.35">
      <c r="A341" s="4">
        <v>2.5</v>
      </c>
    </row>
    <row r="342" spans="1:3" x14ac:dyDescent="0.35">
      <c r="A342" s="4">
        <v>4</v>
      </c>
    </row>
    <row r="343" spans="1:3" x14ac:dyDescent="0.35">
      <c r="A343" s="4">
        <v>6</v>
      </c>
    </row>
    <row r="344" spans="1:3" x14ac:dyDescent="0.35">
      <c r="A344" s="4">
        <v>10</v>
      </c>
    </row>
    <row r="345" spans="1:3" x14ac:dyDescent="0.35">
      <c r="A345" s="4">
        <v>16</v>
      </c>
    </row>
    <row r="346" spans="1:3" x14ac:dyDescent="0.35">
      <c r="A346" s="4">
        <v>25</v>
      </c>
    </row>
    <row r="347" spans="1:3" x14ac:dyDescent="0.35">
      <c r="A347" s="4">
        <v>35</v>
      </c>
    </row>
    <row r="348" spans="1:3" x14ac:dyDescent="0.35">
      <c r="A348" s="4">
        <v>50</v>
      </c>
    </row>
    <row r="349" spans="1:3" x14ac:dyDescent="0.35">
      <c r="A349" s="4">
        <v>70</v>
      </c>
    </row>
    <row r="350" spans="1:3" x14ac:dyDescent="0.35">
      <c r="A350" s="4">
        <v>95</v>
      </c>
    </row>
    <row r="351" spans="1:3" x14ac:dyDescent="0.35">
      <c r="A351" s="1" t="s">
        <v>1244</v>
      </c>
    </row>
    <row r="352" spans="1:3" x14ac:dyDescent="0.35">
      <c r="A352" s="1" t="s">
        <v>1245</v>
      </c>
      <c r="B352" s="1" t="s">
        <v>1246</v>
      </c>
      <c r="C352" s="1" t="s">
        <v>1247</v>
      </c>
    </row>
    <row r="353" spans="1:3" x14ac:dyDescent="0.35">
      <c r="A353" s="4">
        <v>0</v>
      </c>
      <c r="B353" s="12">
        <v>2.5</v>
      </c>
      <c r="C353" s="12">
        <v>5.2</v>
      </c>
    </row>
    <row r="354" spans="1:3" x14ac:dyDescent="0.35">
      <c r="A354" s="4">
        <v>2.5099999999999998</v>
      </c>
      <c r="B354" s="12">
        <v>4</v>
      </c>
      <c r="C354" s="12">
        <v>6.2</v>
      </c>
    </row>
    <row r="355" spans="1:3" x14ac:dyDescent="0.35">
      <c r="A355" s="4">
        <v>4.01</v>
      </c>
      <c r="B355" s="12">
        <v>6</v>
      </c>
      <c r="C355" s="12">
        <v>8.1999999999999993</v>
      </c>
    </row>
    <row r="356" spans="1:3" x14ac:dyDescent="0.35">
      <c r="A356" s="4">
        <v>6.01</v>
      </c>
      <c r="B356" s="12">
        <v>10</v>
      </c>
      <c r="C356" s="12">
        <v>10.199999999999999</v>
      </c>
    </row>
    <row r="357" spans="1:3" x14ac:dyDescent="0.35">
      <c r="A357" s="4">
        <v>10.01</v>
      </c>
      <c r="B357" s="12">
        <v>16</v>
      </c>
      <c r="C357" s="12">
        <v>12.2</v>
      </c>
    </row>
    <row r="358" spans="1:3" x14ac:dyDescent="0.35">
      <c r="A358" s="4">
        <v>16.010000000000002</v>
      </c>
      <c r="B358" s="12">
        <v>35</v>
      </c>
      <c r="C358" s="12">
        <v>16</v>
      </c>
    </row>
    <row r="359" spans="1:3" x14ac:dyDescent="0.35">
      <c r="A359" s="4">
        <v>35.01</v>
      </c>
    </row>
    <row r="360" spans="1:3" x14ac:dyDescent="0.35">
      <c r="A360" s="1" t="s">
        <v>1248</v>
      </c>
    </row>
    <row r="361" spans="1:3" x14ac:dyDescent="0.35">
      <c r="A361" s="1" t="s">
        <v>360</v>
      </c>
    </row>
    <row r="362" spans="1:3" x14ac:dyDescent="0.35">
      <c r="A362" s="4">
        <v>2.5</v>
      </c>
    </row>
    <row r="363" spans="1:3" x14ac:dyDescent="0.35">
      <c r="A363" s="4">
        <v>4</v>
      </c>
    </row>
    <row r="364" spans="1:3" x14ac:dyDescent="0.35">
      <c r="A364" s="4">
        <v>6</v>
      </c>
    </row>
    <row r="365" spans="1:3" x14ac:dyDescent="0.35">
      <c r="A365" s="4">
        <v>10</v>
      </c>
    </row>
    <row r="366" spans="1:3" x14ac:dyDescent="0.35">
      <c r="A366" s="4">
        <v>16</v>
      </c>
    </row>
    <row r="367" spans="1:3" x14ac:dyDescent="0.35">
      <c r="A367" s="4">
        <v>35</v>
      </c>
    </row>
    <row r="368" spans="1:3" x14ac:dyDescent="0.35">
      <c r="A368" s="1" t="s">
        <v>1249</v>
      </c>
    </row>
    <row r="369" spans="1:1" x14ac:dyDescent="0.35">
      <c r="A369" s="1" t="s">
        <v>1250</v>
      </c>
    </row>
    <row r="370" spans="1:1" x14ac:dyDescent="0.35">
      <c r="A370" s="4">
        <v>6</v>
      </c>
    </row>
    <row r="371" spans="1:1" x14ac:dyDescent="0.35">
      <c r="A371" s="4">
        <v>10</v>
      </c>
    </row>
    <row r="372" spans="1:1" x14ac:dyDescent="0.35">
      <c r="A372" s="4">
        <v>13</v>
      </c>
    </row>
    <row r="373" spans="1:1" x14ac:dyDescent="0.35">
      <c r="A373" s="4">
        <v>16</v>
      </c>
    </row>
    <row r="374" spans="1:1" x14ac:dyDescent="0.35">
      <c r="A374" s="4">
        <v>20</v>
      </c>
    </row>
    <row r="375" spans="1:1" x14ac:dyDescent="0.35">
      <c r="A375" s="4">
        <v>25</v>
      </c>
    </row>
    <row r="376" spans="1:1" x14ac:dyDescent="0.35">
      <c r="A376" s="4">
        <v>32</v>
      </c>
    </row>
    <row r="377" spans="1:1" x14ac:dyDescent="0.35">
      <c r="A377" s="4">
        <v>40</v>
      </c>
    </row>
    <row r="378" spans="1:1" x14ac:dyDescent="0.35">
      <c r="A378" s="4">
        <v>50</v>
      </c>
    </row>
    <row r="379" spans="1:1" x14ac:dyDescent="0.35">
      <c r="A379" s="4">
        <v>63</v>
      </c>
    </row>
    <row r="380" spans="1:1" x14ac:dyDescent="0.35">
      <c r="A380" s="4">
        <v>80</v>
      </c>
    </row>
    <row r="381" spans="1:1" x14ac:dyDescent="0.35">
      <c r="A381" s="4">
        <v>100</v>
      </c>
    </row>
    <row r="382" spans="1:1" x14ac:dyDescent="0.35">
      <c r="A382" s="4">
        <v>125</v>
      </c>
    </row>
    <row r="383" spans="1:1" x14ac:dyDescent="0.35">
      <c r="A383" s="4">
        <v>160</v>
      </c>
    </row>
    <row r="384" spans="1:1" x14ac:dyDescent="0.35">
      <c r="A384" s="4">
        <v>200</v>
      </c>
    </row>
    <row r="385" spans="1:2" x14ac:dyDescent="0.35">
      <c r="A385" s="4">
        <v>250</v>
      </c>
    </row>
    <row r="386" spans="1:2" x14ac:dyDescent="0.35">
      <c r="A386" s="4">
        <v>315</v>
      </c>
    </row>
    <row r="387" spans="1:2" x14ac:dyDescent="0.35">
      <c r="A387" s="4">
        <v>400</v>
      </c>
    </row>
    <row r="388" spans="1:2" x14ac:dyDescent="0.35">
      <c r="A388" s="4">
        <v>500</v>
      </c>
    </row>
    <row r="389" spans="1:2" x14ac:dyDescent="0.35">
      <c r="A389" s="4">
        <v>630</v>
      </c>
    </row>
    <row r="390" spans="1:2" x14ac:dyDescent="0.35">
      <c r="A390" s="4">
        <v>800</v>
      </c>
    </row>
    <row r="391" spans="1:2" x14ac:dyDescent="0.35">
      <c r="A391" s="4">
        <v>1000</v>
      </c>
    </row>
    <row r="392" spans="1:2" x14ac:dyDescent="0.35">
      <c r="A392" s="4">
        <v>1250</v>
      </c>
    </row>
    <row r="393" spans="1:2" x14ac:dyDescent="0.35">
      <c r="A393" s="4">
        <v>1600</v>
      </c>
    </row>
    <row r="394" spans="1:2" x14ac:dyDescent="0.35">
      <c r="A394" s="4">
        <v>2000</v>
      </c>
    </row>
    <row r="395" spans="1:2" x14ac:dyDescent="0.35">
      <c r="A395" s="4">
        <v>2500</v>
      </c>
    </row>
    <row r="396" spans="1:2" x14ac:dyDescent="0.35">
      <c r="A396" s="4">
        <v>3200</v>
      </c>
    </row>
    <row r="397" spans="1:2" x14ac:dyDescent="0.35">
      <c r="A397" s="1" t="s">
        <v>1251</v>
      </c>
    </row>
    <row r="398" spans="1:2" x14ac:dyDescent="0.35">
      <c r="A398" s="1" t="s">
        <v>12</v>
      </c>
      <c r="B398" s="1" t="s">
        <v>377</v>
      </c>
    </row>
    <row r="399" spans="1:2" x14ac:dyDescent="0.35">
      <c r="A399" s="4" t="s">
        <v>1252</v>
      </c>
      <c r="B399" s="4">
        <v>10</v>
      </c>
    </row>
    <row r="400" spans="1:2" x14ac:dyDescent="0.35">
      <c r="A400" s="4" t="s">
        <v>211</v>
      </c>
      <c r="B400" s="4">
        <v>9</v>
      </c>
    </row>
    <row r="401" spans="1:2" x14ac:dyDescent="0.35">
      <c r="A401" s="4" t="s">
        <v>124</v>
      </c>
      <c r="B401" s="4">
        <v>8</v>
      </c>
    </row>
    <row r="402" spans="1:2" x14ac:dyDescent="0.35">
      <c r="A402" s="4" t="s">
        <v>577</v>
      </c>
      <c r="B402" s="4">
        <v>7</v>
      </c>
    </row>
    <row r="403" spans="1:2" x14ac:dyDescent="0.35">
      <c r="A403" s="4" t="s">
        <v>1253</v>
      </c>
      <c r="B403" s="4">
        <v>6</v>
      </c>
    </row>
    <row r="404" spans="1:2" x14ac:dyDescent="0.35">
      <c r="A404" s="4" t="s">
        <v>84</v>
      </c>
      <c r="B404" s="4">
        <v>5</v>
      </c>
    </row>
    <row r="405" spans="1:2" x14ac:dyDescent="0.35">
      <c r="A405" s="4" t="s">
        <v>1060</v>
      </c>
      <c r="B405" s="4">
        <v>4</v>
      </c>
    </row>
    <row r="406" spans="1:2" x14ac:dyDescent="0.35">
      <c r="A406" s="4" t="s">
        <v>54</v>
      </c>
      <c r="B406" s="4">
        <v>3</v>
      </c>
    </row>
    <row r="407" spans="1:2" x14ac:dyDescent="0.35">
      <c r="A407" s="4" t="s">
        <v>1254</v>
      </c>
      <c r="B407" s="4">
        <v>2</v>
      </c>
    </row>
    <row r="408" spans="1:2" x14ac:dyDescent="0.35">
      <c r="A408" s="4" t="s">
        <v>47</v>
      </c>
      <c r="B408" s="4">
        <v>1</v>
      </c>
    </row>
    <row r="409" spans="1:2" x14ac:dyDescent="0.35">
      <c r="A409" s="4" t="s">
        <v>1255</v>
      </c>
      <c r="B409" s="4">
        <v>0</v>
      </c>
    </row>
    <row r="410" spans="1:2" x14ac:dyDescent="0.35">
      <c r="A410" s="1" t="s">
        <v>1256</v>
      </c>
    </row>
    <row r="411" spans="1:2" x14ac:dyDescent="0.35">
      <c r="A411" s="1" t="s">
        <v>12</v>
      </c>
    </row>
    <row r="412" spans="1:2" x14ac:dyDescent="0.35">
      <c r="A412" s="4" t="s">
        <v>1253</v>
      </c>
    </row>
    <row r="413" spans="1:2" x14ac:dyDescent="0.35">
      <c r="A413" s="4" t="s">
        <v>84</v>
      </c>
    </row>
    <row r="414" spans="1:2" x14ac:dyDescent="0.35">
      <c r="A414" s="4" t="s">
        <v>1060</v>
      </c>
    </row>
    <row r="415" spans="1:2" x14ac:dyDescent="0.35">
      <c r="A415" s="4" t="s">
        <v>54</v>
      </c>
    </row>
    <row r="416" spans="1:2" x14ac:dyDescent="0.35">
      <c r="A416" s="4" t="s">
        <v>1254</v>
      </c>
    </row>
    <row r="417" spans="1:2" x14ac:dyDescent="0.35">
      <c r="A417" s="1" t="s">
        <v>351</v>
      </c>
    </row>
    <row r="418" spans="1:2" x14ac:dyDescent="0.35">
      <c r="A418" s="1" t="s">
        <v>724</v>
      </c>
      <c r="B418" s="1" t="s">
        <v>377</v>
      </c>
    </row>
    <row r="419" spans="1:2" x14ac:dyDescent="0.35">
      <c r="A419" s="4" t="s">
        <v>385</v>
      </c>
      <c r="B419" s="4">
        <v>0</v>
      </c>
    </row>
    <row r="420" spans="1:2" x14ac:dyDescent="0.35">
      <c r="A420" s="4" t="s">
        <v>1257</v>
      </c>
      <c r="B420" s="4">
        <v>0</v>
      </c>
    </row>
    <row r="421" spans="1:2" x14ac:dyDescent="0.35">
      <c r="A421" s="4" t="s">
        <v>1258</v>
      </c>
      <c r="B421" s="4">
        <v>0</v>
      </c>
    </row>
    <row r="422" spans="1:2" x14ac:dyDescent="0.35">
      <c r="A422" s="4" t="s">
        <v>47</v>
      </c>
      <c r="B422" s="4">
        <v>1</v>
      </c>
    </row>
    <row r="423" spans="1:2" x14ac:dyDescent="0.35">
      <c r="A423" s="4" t="s">
        <v>1259</v>
      </c>
      <c r="B423" s="4">
        <v>3</v>
      </c>
    </row>
    <row r="424" spans="1:2" x14ac:dyDescent="0.35">
      <c r="A424" s="4" t="s">
        <v>618</v>
      </c>
      <c r="B424" s="4">
        <v>6</v>
      </c>
    </row>
    <row r="425" spans="1:2" x14ac:dyDescent="0.35">
      <c r="A425" s="1" t="s">
        <v>1260</v>
      </c>
    </row>
    <row r="426" spans="1:2" x14ac:dyDescent="0.35">
      <c r="A426" s="1" t="s">
        <v>724</v>
      </c>
    </row>
    <row r="427" spans="1:2" x14ac:dyDescent="0.35">
      <c r="A427" s="4" t="s">
        <v>31</v>
      </c>
    </row>
    <row r="428" spans="1:2" x14ac:dyDescent="0.35">
      <c r="A428" s="4" t="s">
        <v>108</v>
      </c>
    </row>
    <row r="429" spans="1:2" x14ac:dyDescent="0.35">
      <c r="A429" s="4" t="s">
        <v>35</v>
      </c>
    </row>
    <row r="430" spans="1:2" x14ac:dyDescent="0.35">
      <c r="A430" s="4" t="s">
        <v>47</v>
      </c>
    </row>
    <row r="431" spans="1:2" x14ac:dyDescent="0.35">
      <c r="A431" s="4" t="s">
        <v>147</v>
      </c>
    </row>
    <row r="432" spans="1:2" x14ac:dyDescent="0.35">
      <c r="A432" s="4" t="s">
        <v>1261</v>
      </c>
    </row>
    <row r="433" spans="1:1" x14ac:dyDescent="0.35">
      <c r="A433" s="4" t="s">
        <v>1262</v>
      </c>
    </row>
    <row r="434" spans="1:1" x14ac:dyDescent="0.35">
      <c r="A434" s="4" t="s">
        <v>63</v>
      </c>
    </row>
    <row r="435" spans="1:1" x14ac:dyDescent="0.35">
      <c r="A435" s="4" t="s">
        <v>1263</v>
      </c>
    </row>
    <row r="436" spans="1:1" x14ac:dyDescent="0.35">
      <c r="A436" s="4" t="s">
        <v>1264</v>
      </c>
    </row>
    <row r="437" spans="1:1" x14ac:dyDescent="0.35">
      <c r="A437" s="4" t="s">
        <v>1265</v>
      </c>
    </row>
    <row r="438" spans="1:1" x14ac:dyDescent="0.35">
      <c r="A438" s="4" t="s">
        <v>56</v>
      </c>
    </row>
    <row r="439" spans="1:1" x14ac:dyDescent="0.35">
      <c r="A439" s="4" t="s">
        <v>1266</v>
      </c>
    </row>
    <row r="440" spans="1:1" x14ac:dyDescent="0.35">
      <c r="A440" s="4" t="s">
        <v>1267</v>
      </c>
    </row>
    <row r="441" spans="1:1" x14ac:dyDescent="0.35">
      <c r="A441" s="4" t="s">
        <v>40</v>
      </c>
    </row>
    <row r="442" spans="1:1" x14ac:dyDescent="0.35">
      <c r="A442" s="4" t="s">
        <v>44</v>
      </c>
    </row>
    <row r="443" spans="1:1" x14ac:dyDescent="0.35">
      <c r="A443" s="4" t="s">
        <v>1268</v>
      </c>
    </row>
    <row r="444" spans="1:1" x14ac:dyDescent="0.35">
      <c r="A444" s="4" t="s">
        <v>1269</v>
      </c>
    </row>
    <row r="445" spans="1:1" x14ac:dyDescent="0.35">
      <c r="A445" s="4" t="s">
        <v>133</v>
      </c>
    </row>
    <row r="446" spans="1:1" x14ac:dyDescent="0.35">
      <c r="A446" s="4" t="s">
        <v>120</v>
      </c>
    </row>
    <row r="447" spans="1:1" x14ac:dyDescent="0.35">
      <c r="A447" s="4" t="s">
        <v>920</v>
      </c>
    </row>
    <row r="448" spans="1:1" x14ac:dyDescent="0.35">
      <c r="A448" s="4" t="s">
        <v>1270</v>
      </c>
    </row>
    <row r="449" spans="1:1" x14ac:dyDescent="0.35">
      <c r="A449" s="4" t="s">
        <v>87</v>
      </c>
    </row>
    <row r="450" spans="1:1" x14ac:dyDescent="0.35">
      <c r="A450" s="4" t="s">
        <v>77</v>
      </c>
    </row>
    <row r="451" spans="1:1" x14ac:dyDescent="0.35">
      <c r="A451" s="4" t="s">
        <v>81</v>
      </c>
    </row>
    <row r="452" spans="1:1" x14ac:dyDescent="0.35">
      <c r="A452" s="4" t="s">
        <v>67</v>
      </c>
    </row>
    <row r="453" spans="1:1" x14ac:dyDescent="0.35">
      <c r="A453" s="4" t="s">
        <v>51</v>
      </c>
    </row>
    <row r="454" spans="1:1" x14ac:dyDescent="0.35">
      <c r="A454" s="4" t="s">
        <v>98</v>
      </c>
    </row>
    <row r="455" spans="1:1" x14ac:dyDescent="0.35">
      <c r="A455" s="4" t="s">
        <v>102</v>
      </c>
    </row>
    <row r="456" spans="1:1" x14ac:dyDescent="0.35">
      <c r="A456" s="1" t="s">
        <v>1271</v>
      </c>
    </row>
    <row r="457" spans="1:1" x14ac:dyDescent="0.35">
      <c r="A457" s="1" t="s">
        <v>724</v>
      </c>
    </row>
    <row r="458" spans="1:1" x14ac:dyDescent="0.35">
      <c r="A458" s="4" t="s">
        <v>35</v>
      </c>
    </row>
    <row r="459" spans="1:1" x14ac:dyDescent="0.35">
      <c r="A459" s="4" t="s">
        <v>108</v>
      </c>
    </row>
    <row r="460" spans="1:1" x14ac:dyDescent="0.35">
      <c r="A460" s="4" t="s">
        <v>40</v>
      </c>
    </row>
    <row r="461" spans="1:1" x14ac:dyDescent="0.35">
      <c r="A461" s="4" t="s">
        <v>44</v>
      </c>
    </row>
    <row r="462" spans="1:1" x14ac:dyDescent="0.35">
      <c r="A462" s="4" t="s">
        <v>56</v>
      </c>
    </row>
    <row r="463" spans="1:1" x14ac:dyDescent="0.35">
      <c r="A463" s="4" t="s">
        <v>1269</v>
      </c>
    </row>
    <row r="464" spans="1:1" x14ac:dyDescent="0.35">
      <c r="A464" s="1" t="s">
        <v>1272</v>
      </c>
    </row>
    <row r="465" spans="1:2" x14ac:dyDescent="0.35">
      <c r="A465" s="1" t="s">
        <v>724</v>
      </c>
    </row>
    <row r="466" spans="1:2" x14ac:dyDescent="0.35">
      <c r="A466" s="4" t="s">
        <v>381</v>
      </c>
    </row>
    <row r="467" spans="1:2" x14ac:dyDescent="0.35">
      <c r="A467" s="4" t="s">
        <v>391</v>
      </c>
    </row>
    <row r="468" spans="1:2" x14ac:dyDescent="0.35">
      <c r="A468" s="4" t="s">
        <v>401</v>
      </c>
    </row>
    <row r="469" spans="1:2" x14ac:dyDescent="0.35">
      <c r="A469" s="4" t="s">
        <v>397</v>
      </c>
    </row>
    <row r="470" spans="1:2" x14ac:dyDescent="0.35">
      <c r="A470" s="4" t="s">
        <v>666</v>
      </c>
    </row>
    <row r="471" spans="1:2" x14ac:dyDescent="0.35">
      <c r="A471" s="1" t="s">
        <v>1273</v>
      </c>
    </row>
    <row r="472" spans="1:2" x14ac:dyDescent="0.35">
      <c r="A472" s="1" t="s">
        <v>379</v>
      </c>
    </row>
    <row r="473" spans="1:2" x14ac:dyDescent="0.35">
      <c r="A473" s="4" t="s">
        <v>173</v>
      </c>
    </row>
    <row r="474" spans="1:2" x14ac:dyDescent="0.35">
      <c r="A474" s="4" t="s">
        <v>1274</v>
      </c>
    </row>
    <row r="475" spans="1:2" x14ac:dyDescent="0.35">
      <c r="A475" s="4" t="s">
        <v>153</v>
      </c>
    </row>
    <row r="476" spans="1:2" x14ac:dyDescent="0.35">
      <c r="A476" s="4" t="s">
        <v>125</v>
      </c>
    </row>
    <row r="477" spans="1:2" x14ac:dyDescent="0.35">
      <c r="A477" s="4" t="s">
        <v>1275</v>
      </c>
    </row>
    <row r="478" spans="1:2" x14ac:dyDescent="0.35">
      <c r="A478" s="4" t="s">
        <v>799</v>
      </c>
    </row>
    <row r="479" spans="1:2" x14ac:dyDescent="0.35">
      <c r="A479" s="1" t="s">
        <v>270</v>
      </c>
    </row>
    <row r="480" spans="1:2" x14ac:dyDescent="0.35">
      <c r="A480" s="1" t="s">
        <v>1276</v>
      </c>
      <c r="B480" s="1" t="s">
        <v>1277</v>
      </c>
    </row>
    <row r="481" spans="1:3" x14ac:dyDescent="0.35">
      <c r="A481" s="4" t="s">
        <v>325</v>
      </c>
      <c r="B481" s="4" t="s">
        <v>1278</v>
      </c>
    </row>
    <row r="482" spans="1:3" x14ac:dyDescent="0.35">
      <c r="A482" s="4" t="s">
        <v>330</v>
      </c>
      <c r="B482" s="4" t="s">
        <v>1279</v>
      </c>
    </row>
    <row r="483" spans="1:3" x14ac:dyDescent="0.35">
      <c r="A483" s="4" t="s">
        <v>317</v>
      </c>
      <c r="B483" s="4" t="s">
        <v>1280</v>
      </c>
    </row>
    <row r="484" spans="1:3" x14ac:dyDescent="0.35">
      <c r="A484" s="1" t="s">
        <v>1281</v>
      </c>
    </row>
    <row r="485" spans="1:3" x14ac:dyDescent="0.35">
      <c r="A485" s="4" t="s">
        <v>1282</v>
      </c>
      <c r="B485" s="12">
        <v>0.98</v>
      </c>
      <c r="C485" s="4"/>
    </row>
    <row r="486" spans="1:3" x14ac:dyDescent="0.35">
      <c r="A486" s="4" t="s">
        <v>1283</v>
      </c>
      <c r="B486" s="12">
        <v>0.03</v>
      </c>
      <c r="C486" s="4"/>
    </row>
    <row r="487" spans="1:3" x14ac:dyDescent="0.35">
      <c r="A487" s="4" t="s">
        <v>1284</v>
      </c>
      <c r="B487" s="12">
        <v>0.99</v>
      </c>
      <c r="C487" s="4"/>
    </row>
    <row r="488" spans="1:3" x14ac:dyDescent="0.35">
      <c r="A488" s="4" t="s">
        <v>1285</v>
      </c>
      <c r="B488" s="12">
        <v>0.99</v>
      </c>
      <c r="C488" s="4"/>
    </row>
    <row r="489" spans="1:3" x14ac:dyDescent="0.35">
      <c r="A489" s="4" t="s">
        <v>1286</v>
      </c>
      <c r="B489" s="12">
        <v>0.98</v>
      </c>
      <c r="C489" s="4"/>
    </row>
    <row r="490" spans="1:3" x14ac:dyDescent="0.35">
      <c r="A490" s="1" t="s">
        <v>1287</v>
      </c>
      <c r="B490" s="1" t="s">
        <v>1288</v>
      </c>
    </row>
    <row r="491" spans="1:3" x14ac:dyDescent="0.35">
      <c r="A491" s="4" t="s">
        <v>242</v>
      </c>
      <c r="B491" s="4">
        <f>SUMPRODUCT((COUNTIF(BOM_U,NORM_AD)&gt;0)*(NORM_DK=""))+SUM(ZP_BOS)</f>
        <v>30</v>
      </c>
      <c r="C491" s="4"/>
    </row>
    <row r="492" spans="1:3" x14ac:dyDescent="0.35">
      <c r="A492" s="4" t="s">
        <v>243</v>
      </c>
      <c r="B492" s="4">
        <f>IF(SUMPRODUCT((COUNTIF(FIYAT_PARA,KUR_AD)&gt;0)*(KUR_DURUM="VARSAYIM"))&gt;0,1,IF(AND(COUNTIF(FIYAT_MARKA,"*-BARA")&gt;0,INDEX(KUR_DURUM,MATCH("USD",KUR_AD,0))="VARSAYIM"),1,0))</f>
        <v>1</v>
      </c>
      <c r="C492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2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6" max="6" width="40" customWidth="1"/>
    <col min="8" max="8" width="50" customWidth="1"/>
    <col min="11" max="11" width="40" customWidth="1"/>
  </cols>
  <sheetData>
    <row r="1" spans="1:12" x14ac:dyDescent="0.35">
      <c r="A1" s="1" t="s">
        <v>193</v>
      </c>
      <c r="B1" s="1" t="s">
        <v>1289</v>
      </c>
      <c r="C1" s="1" t="s">
        <v>16</v>
      </c>
      <c r="D1" s="1" t="s">
        <v>1290</v>
      </c>
      <c r="E1" s="1" t="s">
        <v>267</v>
      </c>
      <c r="F1" s="1" t="s">
        <v>1291</v>
      </c>
      <c r="G1" s="1" t="s">
        <v>1292</v>
      </c>
      <c r="H1" s="1" t="s">
        <v>1293</v>
      </c>
      <c r="I1" s="1" t="s">
        <v>1294</v>
      </c>
      <c r="J1" s="1" t="s">
        <v>12</v>
      </c>
      <c r="K1" s="1" t="s">
        <v>1295</v>
      </c>
      <c r="L1" s="1" t="s">
        <v>1296</v>
      </c>
    </row>
    <row r="2" spans="1:12" x14ac:dyDescent="0.35">
      <c r="A2" s="4">
        <f t="shared" ref="A2:A33" si="0">ROW()-1</f>
        <v>1</v>
      </c>
      <c r="B2" s="4" t="s">
        <v>1297</v>
      </c>
      <c r="D2" s="4" t="s">
        <v>1298</v>
      </c>
      <c r="F2" s="4" t="s">
        <v>1299</v>
      </c>
      <c r="I2" s="4" t="s">
        <v>1300</v>
      </c>
      <c r="J2" s="4" t="s">
        <v>1301</v>
      </c>
    </row>
    <row r="3" spans="1:12" x14ac:dyDescent="0.35">
      <c r="A3" s="4">
        <f t="shared" si="0"/>
        <v>2</v>
      </c>
      <c r="B3" s="4" t="s">
        <v>1297</v>
      </c>
      <c r="D3" s="4" t="s">
        <v>1302</v>
      </c>
      <c r="F3" s="4" t="s">
        <v>1303</v>
      </c>
      <c r="I3" s="4" t="s">
        <v>1304</v>
      </c>
      <c r="J3" s="4" t="s">
        <v>1301</v>
      </c>
    </row>
    <row r="4" spans="1:12" x14ac:dyDescent="0.35">
      <c r="A4" s="4">
        <f t="shared" si="0"/>
        <v>3</v>
      </c>
      <c r="B4" s="4" t="s">
        <v>1297</v>
      </c>
      <c r="D4" s="4" t="s">
        <v>1305</v>
      </c>
      <c r="F4" s="4" t="s">
        <v>1306</v>
      </c>
      <c r="I4" s="4" t="s">
        <v>1307</v>
      </c>
      <c r="J4" s="4" t="s">
        <v>1301</v>
      </c>
    </row>
    <row r="5" spans="1:12" x14ac:dyDescent="0.35">
      <c r="A5" s="4">
        <f t="shared" si="0"/>
        <v>4</v>
      </c>
      <c r="B5" s="4" t="s">
        <v>1297</v>
      </c>
      <c r="D5" s="4" t="s">
        <v>1308</v>
      </c>
      <c r="F5" s="4" t="s">
        <v>1309</v>
      </c>
      <c r="I5" s="4" t="s">
        <v>1310</v>
      </c>
      <c r="J5" s="4" t="s">
        <v>1301</v>
      </c>
    </row>
    <row r="6" spans="1:12" x14ac:dyDescent="0.35">
      <c r="A6" s="4">
        <f t="shared" si="0"/>
        <v>5</v>
      </c>
      <c r="B6" s="4" t="s">
        <v>1297</v>
      </c>
      <c r="D6" s="4" t="s">
        <v>1311</v>
      </c>
      <c r="F6" s="4" t="s">
        <v>1312</v>
      </c>
      <c r="I6" s="4" t="s">
        <v>1313</v>
      </c>
      <c r="J6" s="4" t="s">
        <v>1301</v>
      </c>
    </row>
    <row r="7" spans="1:12" x14ac:dyDescent="0.35">
      <c r="A7" s="4">
        <f t="shared" si="0"/>
        <v>6</v>
      </c>
      <c r="B7" s="4" t="s">
        <v>1297</v>
      </c>
      <c r="D7" s="4" t="s">
        <v>1314</v>
      </c>
      <c r="F7" s="4" t="s">
        <v>1315</v>
      </c>
      <c r="I7" s="4" t="s">
        <v>1316</v>
      </c>
      <c r="J7" s="4" t="s">
        <v>1301</v>
      </c>
    </row>
    <row r="8" spans="1:12" x14ac:dyDescent="0.35">
      <c r="A8" s="4">
        <f t="shared" si="0"/>
        <v>7</v>
      </c>
      <c r="B8" s="4" t="s">
        <v>1297</v>
      </c>
      <c r="D8" s="4" t="s">
        <v>1317</v>
      </c>
      <c r="F8" s="4" t="s">
        <v>1318</v>
      </c>
      <c r="I8" s="4" t="s">
        <v>1319</v>
      </c>
      <c r="J8" s="4" t="s">
        <v>1320</v>
      </c>
    </row>
    <row r="9" spans="1:12" x14ac:dyDescent="0.35">
      <c r="A9" s="4">
        <f t="shared" si="0"/>
        <v>8</v>
      </c>
      <c r="B9" s="4" t="s">
        <v>1297</v>
      </c>
      <c r="D9" s="4" t="s">
        <v>1321</v>
      </c>
      <c r="F9" s="4" t="s">
        <v>1322</v>
      </c>
      <c r="I9" s="4" t="s">
        <v>1323</v>
      </c>
      <c r="J9" s="4" t="s">
        <v>1301</v>
      </c>
    </row>
    <row r="10" spans="1:12" x14ac:dyDescent="0.35">
      <c r="A10" s="4">
        <f t="shared" si="0"/>
        <v>9</v>
      </c>
      <c r="B10" s="4" t="s">
        <v>1297</v>
      </c>
      <c r="D10" s="4" t="s">
        <v>1324</v>
      </c>
      <c r="F10" s="4" t="s">
        <v>1325</v>
      </c>
      <c r="I10" s="4" t="s">
        <v>1323</v>
      </c>
      <c r="J10" s="4" t="s">
        <v>1301</v>
      </c>
    </row>
    <row r="11" spans="1:12" x14ac:dyDescent="0.35">
      <c r="A11" s="4">
        <f t="shared" si="0"/>
        <v>10</v>
      </c>
      <c r="B11" s="4" t="s">
        <v>1297</v>
      </c>
      <c r="D11" s="4" t="s">
        <v>1326</v>
      </c>
      <c r="F11" s="4" t="s">
        <v>1327</v>
      </c>
      <c r="I11" s="4" t="s">
        <v>1328</v>
      </c>
      <c r="J11" s="4" t="s">
        <v>1320</v>
      </c>
    </row>
    <row r="12" spans="1:12" x14ac:dyDescent="0.35">
      <c r="A12" s="4">
        <f t="shared" si="0"/>
        <v>11</v>
      </c>
      <c r="B12" s="4" t="s">
        <v>1297</v>
      </c>
      <c r="D12" s="4" t="s">
        <v>1329</v>
      </c>
      <c r="F12" s="4" t="s">
        <v>1330</v>
      </c>
      <c r="I12" s="4" t="s">
        <v>1331</v>
      </c>
      <c r="J12" s="4" t="s">
        <v>1301</v>
      </c>
    </row>
    <row r="13" spans="1:12" x14ac:dyDescent="0.35">
      <c r="A13" s="4">
        <f t="shared" si="0"/>
        <v>12</v>
      </c>
      <c r="B13" s="4" t="s">
        <v>1297</v>
      </c>
      <c r="D13" s="4" t="s">
        <v>1332</v>
      </c>
      <c r="F13" s="4" t="s">
        <v>1333</v>
      </c>
      <c r="I13" s="4" t="s">
        <v>1334</v>
      </c>
      <c r="J13" s="4" t="s">
        <v>1301</v>
      </c>
    </row>
    <row r="14" spans="1:12" x14ac:dyDescent="0.35">
      <c r="A14" s="4">
        <f t="shared" si="0"/>
        <v>13</v>
      </c>
      <c r="B14" s="4" t="s">
        <v>1297</v>
      </c>
      <c r="D14" s="4" t="s">
        <v>1335</v>
      </c>
      <c r="F14" s="4" t="s">
        <v>1336</v>
      </c>
      <c r="I14" s="4" t="s">
        <v>1337</v>
      </c>
      <c r="J14" s="4" t="s">
        <v>1301</v>
      </c>
    </row>
    <row r="15" spans="1:12" x14ac:dyDescent="0.35">
      <c r="A15" s="4">
        <f t="shared" si="0"/>
        <v>14</v>
      </c>
      <c r="B15" s="4" t="s">
        <v>1338</v>
      </c>
      <c r="C15" s="4" t="s">
        <v>30</v>
      </c>
      <c r="E15" s="4" t="s">
        <v>37</v>
      </c>
      <c r="F15" s="4" t="s">
        <v>1339</v>
      </c>
      <c r="G15" s="4" t="s">
        <v>1340</v>
      </c>
      <c r="H15" s="4" t="s">
        <v>1341</v>
      </c>
      <c r="I15" s="4" t="s">
        <v>1342</v>
      </c>
      <c r="J15" s="4" t="s">
        <v>1255</v>
      </c>
    </row>
    <row r="16" spans="1:12" x14ac:dyDescent="0.35">
      <c r="A16" s="4">
        <f t="shared" si="0"/>
        <v>15</v>
      </c>
      <c r="B16" s="4" t="s">
        <v>1338</v>
      </c>
      <c r="C16" s="4" t="s">
        <v>30</v>
      </c>
      <c r="E16" s="4" t="s">
        <v>58</v>
      </c>
      <c r="F16" s="4" t="s">
        <v>1343</v>
      </c>
      <c r="G16" s="4" t="s">
        <v>1344</v>
      </c>
      <c r="H16" s="4" t="s">
        <v>1345</v>
      </c>
      <c r="I16" s="4" t="s">
        <v>1346</v>
      </c>
      <c r="J16" s="4" t="s">
        <v>211</v>
      </c>
      <c r="K16" s="4" t="s">
        <v>1347</v>
      </c>
    </row>
    <row r="17" spans="1:11" x14ac:dyDescent="0.35">
      <c r="A17" s="4">
        <f t="shared" si="0"/>
        <v>16</v>
      </c>
      <c r="B17" s="4" t="s">
        <v>1338</v>
      </c>
      <c r="C17" s="4" t="s">
        <v>30</v>
      </c>
      <c r="E17" s="4" t="s">
        <v>53</v>
      </c>
      <c r="F17" s="4" t="s">
        <v>1348</v>
      </c>
      <c r="G17" s="4" t="s">
        <v>1349</v>
      </c>
      <c r="H17" s="4" t="s">
        <v>1350</v>
      </c>
      <c r="I17" s="4" t="s">
        <v>1351</v>
      </c>
      <c r="J17" s="4" t="s">
        <v>54</v>
      </c>
      <c r="K17" s="4" t="s">
        <v>1352</v>
      </c>
    </row>
    <row r="18" spans="1:11" x14ac:dyDescent="0.35">
      <c r="A18" s="4">
        <f t="shared" si="0"/>
        <v>17</v>
      </c>
      <c r="B18" s="4" t="s">
        <v>1338</v>
      </c>
      <c r="C18" s="4" t="s">
        <v>30</v>
      </c>
      <c r="E18" s="4" t="s">
        <v>65</v>
      </c>
      <c r="F18" s="4" t="s">
        <v>1353</v>
      </c>
      <c r="G18" s="4" t="s">
        <v>1354</v>
      </c>
      <c r="H18" s="4" t="s">
        <v>1355</v>
      </c>
      <c r="I18" s="4" t="s">
        <v>1356</v>
      </c>
      <c r="J18" s="4" t="s">
        <v>54</v>
      </c>
    </row>
    <row r="19" spans="1:11" x14ac:dyDescent="0.35">
      <c r="A19" s="4">
        <f t="shared" si="0"/>
        <v>18</v>
      </c>
      <c r="B19" s="4" t="s">
        <v>1338</v>
      </c>
      <c r="C19" s="4" t="s">
        <v>30</v>
      </c>
      <c r="E19" s="4" t="s">
        <v>69</v>
      </c>
      <c r="F19" s="4" t="s">
        <v>1357</v>
      </c>
      <c r="G19" s="4" t="s">
        <v>1358</v>
      </c>
      <c r="H19" s="4" t="s">
        <v>1359</v>
      </c>
      <c r="J19" s="4" t="s">
        <v>211</v>
      </c>
      <c r="K19" s="4" t="s">
        <v>1360</v>
      </c>
    </row>
    <row r="20" spans="1:11" x14ac:dyDescent="0.35">
      <c r="A20" s="4">
        <f t="shared" si="0"/>
        <v>19</v>
      </c>
      <c r="B20" s="4" t="s">
        <v>1338</v>
      </c>
      <c r="C20" s="4" t="s">
        <v>30</v>
      </c>
      <c r="E20" s="4" t="s">
        <v>316</v>
      </c>
      <c r="F20" s="4" t="s">
        <v>1361</v>
      </c>
      <c r="G20" s="4" t="s">
        <v>1362</v>
      </c>
      <c r="H20" s="4" t="s">
        <v>1363</v>
      </c>
      <c r="I20" s="4" t="s">
        <v>1364</v>
      </c>
      <c r="J20" s="4" t="s">
        <v>124</v>
      </c>
      <c r="K20" s="4" t="s">
        <v>1365</v>
      </c>
    </row>
    <row r="21" spans="1:11" x14ac:dyDescent="0.35">
      <c r="A21" s="4">
        <f t="shared" si="0"/>
        <v>20</v>
      </c>
      <c r="B21" s="4" t="s">
        <v>1338</v>
      </c>
      <c r="C21" s="4" t="s">
        <v>144</v>
      </c>
      <c r="E21" s="4" t="s">
        <v>329</v>
      </c>
      <c r="F21" s="4" t="s">
        <v>1366</v>
      </c>
      <c r="G21" s="4" t="s">
        <v>1367</v>
      </c>
      <c r="H21" s="4" t="s">
        <v>1368</v>
      </c>
      <c r="I21" s="4" t="s">
        <v>1369</v>
      </c>
      <c r="J21" s="4" t="s">
        <v>54</v>
      </c>
    </row>
    <row r="22" spans="1:11" x14ac:dyDescent="0.35">
      <c r="A22" s="4">
        <f t="shared" si="0"/>
        <v>21</v>
      </c>
      <c r="B22" s="4" t="s">
        <v>1338</v>
      </c>
      <c r="C22" s="4" t="s">
        <v>156</v>
      </c>
      <c r="E22" s="4" t="s">
        <v>333</v>
      </c>
      <c r="F22" s="4" t="s">
        <v>1370</v>
      </c>
      <c r="G22" s="4" t="s">
        <v>1371</v>
      </c>
      <c r="H22" s="4" t="s">
        <v>1372</v>
      </c>
      <c r="I22" s="4" t="s">
        <v>1373</v>
      </c>
      <c r="J22" s="4" t="s">
        <v>54</v>
      </c>
    </row>
    <row r="23" spans="1:11" x14ac:dyDescent="0.35">
      <c r="A23" s="4">
        <f t="shared" si="0"/>
        <v>22</v>
      </c>
      <c r="B23" s="4" t="s">
        <v>1338</v>
      </c>
      <c r="C23" s="4" t="s">
        <v>161</v>
      </c>
      <c r="E23" s="4" t="s">
        <v>336</v>
      </c>
      <c r="F23" s="4" t="s">
        <v>1374</v>
      </c>
      <c r="G23" s="4" t="s">
        <v>1375</v>
      </c>
      <c r="H23" s="4" t="s">
        <v>1376</v>
      </c>
      <c r="I23" s="4" t="s">
        <v>1377</v>
      </c>
      <c r="J23" s="4" t="s">
        <v>54</v>
      </c>
    </row>
    <row r="24" spans="1:11" x14ac:dyDescent="0.35">
      <c r="A24" s="4">
        <f t="shared" si="0"/>
        <v>23</v>
      </c>
      <c r="B24" s="4" t="s">
        <v>1338</v>
      </c>
      <c r="C24" s="4" t="s">
        <v>180</v>
      </c>
      <c r="E24" s="4" t="s">
        <v>336</v>
      </c>
      <c r="F24" s="4" t="s">
        <v>1378</v>
      </c>
      <c r="G24" s="4" t="s">
        <v>1379</v>
      </c>
      <c r="H24" s="4" t="s">
        <v>1380</v>
      </c>
      <c r="I24" s="4" t="s">
        <v>1381</v>
      </c>
      <c r="J24" s="4" t="s">
        <v>54</v>
      </c>
    </row>
    <row r="25" spans="1:11" x14ac:dyDescent="0.35">
      <c r="A25" s="4">
        <f t="shared" si="0"/>
        <v>24</v>
      </c>
      <c r="B25" s="4" t="s">
        <v>1338</v>
      </c>
      <c r="C25" s="4" t="s">
        <v>186</v>
      </c>
      <c r="E25" s="4" t="s">
        <v>341</v>
      </c>
      <c r="F25" s="4" t="s">
        <v>1382</v>
      </c>
      <c r="G25" s="4" t="s">
        <v>1383</v>
      </c>
      <c r="H25" s="4" t="s">
        <v>1384</v>
      </c>
      <c r="I25" s="4" t="s">
        <v>1385</v>
      </c>
      <c r="J25" s="4" t="s">
        <v>124</v>
      </c>
      <c r="K25" s="4" t="s">
        <v>1386</v>
      </c>
    </row>
    <row r="26" spans="1:11" x14ac:dyDescent="0.35">
      <c r="A26" s="4">
        <f t="shared" si="0"/>
        <v>25</v>
      </c>
      <c r="B26" s="4" t="s">
        <v>1338</v>
      </c>
      <c r="C26" s="4" t="s">
        <v>161</v>
      </c>
      <c r="E26" s="4" t="s">
        <v>169</v>
      </c>
      <c r="F26" s="4" t="s">
        <v>1387</v>
      </c>
      <c r="G26" s="4" t="s">
        <v>1388</v>
      </c>
      <c r="H26" s="4" t="s">
        <v>1389</v>
      </c>
      <c r="I26" s="4" t="s">
        <v>1390</v>
      </c>
      <c r="J26" s="4" t="s">
        <v>577</v>
      </c>
      <c r="K26" s="4" t="s">
        <v>1391</v>
      </c>
    </row>
    <row r="27" spans="1:11" x14ac:dyDescent="0.35">
      <c r="A27" s="4">
        <f t="shared" si="0"/>
        <v>26</v>
      </c>
      <c r="B27" s="4" t="s">
        <v>1338</v>
      </c>
      <c r="C27" s="4" t="s">
        <v>180</v>
      </c>
      <c r="E27" s="4" t="s">
        <v>182</v>
      </c>
      <c r="F27" s="4" t="s">
        <v>1392</v>
      </c>
      <c r="G27" s="4" t="s">
        <v>1393</v>
      </c>
      <c r="H27" s="4" t="s">
        <v>1394</v>
      </c>
      <c r="J27" s="4" t="s">
        <v>211</v>
      </c>
      <c r="K27" s="4" t="s">
        <v>1395</v>
      </c>
    </row>
    <row r="28" spans="1:11" x14ac:dyDescent="0.35">
      <c r="A28" s="4">
        <f t="shared" si="0"/>
        <v>27</v>
      </c>
      <c r="B28" s="4" t="s">
        <v>1338</v>
      </c>
      <c r="C28" s="4" t="s">
        <v>186</v>
      </c>
      <c r="E28" s="4" t="s">
        <v>182</v>
      </c>
      <c r="F28" s="4" t="s">
        <v>1396</v>
      </c>
      <c r="G28" s="4" t="s">
        <v>1393</v>
      </c>
      <c r="H28" s="4" t="s">
        <v>1394</v>
      </c>
      <c r="J28" s="4" t="s">
        <v>211</v>
      </c>
      <c r="K28" s="4" t="s">
        <v>1395</v>
      </c>
    </row>
    <row r="29" spans="1:11" x14ac:dyDescent="0.35">
      <c r="A29" s="4">
        <f t="shared" si="0"/>
        <v>28</v>
      </c>
      <c r="B29" s="4" t="s">
        <v>1338</v>
      </c>
      <c r="C29" s="4" t="s">
        <v>144</v>
      </c>
      <c r="E29" s="4" t="s">
        <v>149</v>
      </c>
      <c r="F29" s="4" t="s">
        <v>1397</v>
      </c>
      <c r="G29" s="4" t="s">
        <v>1398</v>
      </c>
      <c r="H29" s="4" t="s">
        <v>1399</v>
      </c>
      <c r="I29" s="4" t="s">
        <v>1400</v>
      </c>
      <c r="J29" s="4" t="s">
        <v>1255</v>
      </c>
    </row>
    <row r="30" spans="1:11" x14ac:dyDescent="0.35">
      <c r="A30" s="4">
        <f t="shared" si="0"/>
        <v>29</v>
      </c>
      <c r="B30" s="4" t="s">
        <v>1338</v>
      </c>
      <c r="C30" s="4" t="s">
        <v>180</v>
      </c>
      <c r="E30" s="4" t="s">
        <v>184</v>
      </c>
      <c r="F30" s="4" t="s">
        <v>1401</v>
      </c>
      <c r="G30" s="4" t="s">
        <v>1402</v>
      </c>
      <c r="H30" s="4" t="s">
        <v>1403</v>
      </c>
      <c r="I30" s="4" t="s">
        <v>1404</v>
      </c>
      <c r="J30" s="4" t="s">
        <v>1253</v>
      </c>
      <c r="K30" s="4" t="s">
        <v>1405</v>
      </c>
    </row>
    <row r="31" spans="1:11" x14ac:dyDescent="0.35">
      <c r="A31" s="4">
        <f t="shared" si="0"/>
        <v>30</v>
      </c>
      <c r="B31" s="4" t="s">
        <v>1338</v>
      </c>
      <c r="C31" s="4" t="s">
        <v>105</v>
      </c>
      <c r="E31" s="4" t="s">
        <v>122</v>
      </c>
      <c r="F31" s="4" t="s">
        <v>1406</v>
      </c>
      <c r="G31" s="4" t="s">
        <v>1407</v>
      </c>
      <c r="H31" s="4" t="s">
        <v>1408</v>
      </c>
      <c r="I31" s="4" t="s">
        <v>1409</v>
      </c>
      <c r="J31" s="4" t="s">
        <v>124</v>
      </c>
      <c r="K31" s="4" t="s">
        <v>1410</v>
      </c>
    </row>
    <row r="32" spans="1:11" x14ac:dyDescent="0.35">
      <c r="A32" s="4">
        <f t="shared" si="0"/>
        <v>31</v>
      </c>
      <c r="B32" s="4" t="s">
        <v>1338</v>
      </c>
      <c r="C32" s="4" t="s">
        <v>105</v>
      </c>
      <c r="E32" s="4" t="s">
        <v>900</v>
      </c>
      <c r="F32" s="4" t="s">
        <v>1411</v>
      </c>
      <c r="G32" s="4" t="s">
        <v>1221</v>
      </c>
      <c r="H32" s="4" t="s">
        <v>1412</v>
      </c>
      <c r="I32" s="4" t="s">
        <v>1413</v>
      </c>
      <c r="J32" s="4" t="s">
        <v>84</v>
      </c>
      <c r="K32" s="4" t="s">
        <v>1414</v>
      </c>
    </row>
    <row r="33" spans="1:12" x14ac:dyDescent="0.35">
      <c r="A33" s="4">
        <f t="shared" si="0"/>
        <v>32</v>
      </c>
      <c r="B33" s="4" t="s">
        <v>1338</v>
      </c>
      <c r="C33" s="4" t="s">
        <v>105</v>
      </c>
      <c r="E33" s="4" t="s">
        <v>119</v>
      </c>
      <c r="F33" s="4" t="s">
        <v>1415</v>
      </c>
      <c r="G33" s="4" t="s">
        <v>1416</v>
      </c>
      <c r="H33" s="4" t="s">
        <v>1417</v>
      </c>
      <c r="I33" s="4" t="s">
        <v>1418</v>
      </c>
      <c r="J33" s="4" t="s">
        <v>54</v>
      </c>
    </row>
    <row r="34" spans="1:12" x14ac:dyDescent="0.35">
      <c r="A34" s="4">
        <f t="shared" ref="A34:A65" si="1">ROW()-1</f>
        <v>33</v>
      </c>
      <c r="B34" s="4" t="s">
        <v>1338</v>
      </c>
      <c r="C34" s="4" t="s">
        <v>156</v>
      </c>
      <c r="E34" s="4" t="s">
        <v>159</v>
      </c>
      <c r="F34" s="4" t="s">
        <v>1419</v>
      </c>
      <c r="G34" s="4" t="s">
        <v>1420</v>
      </c>
      <c r="H34" s="4" t="s">
        <v>1421</v>
      </c>
      <c r="I34" s="4" t="s">
        <v>1422</v>
      </c>
      <c r="J34" s="4" t="s">
        <v>54</v>
      </c>
    </row>
    <row r="35" spans="1:12" x14ac:dyDescent="0.35">
      <c r="A35" s="4">
        <f t="shared" si="1"/>
        <v>34</v>
      </c>
      <c r="B35" s="4" t="s">
        <v>1338</v>
      </c>
      <c r="C35" s="4" t="s">
        <v>30</v>
      </c>
      <c r="E35" s="4" t="s">
        <v>42</v>
      </c>
      <c r="F35" s="4" t="s">
        <v>1423</v>
      </c>
      <c r="G35" s="4" t="s">
        <v>1424</v>
      </c>
      <c r="H35" s="4" t="s">
        <v>1425</v>
      </c>
      <c r="I35" s="4" t="s">
        <v>1426</v>
      </c>
      <c r="J35" s="4" t="s">
        <v>1254</v>
      </c>
    </row>
    <row r="36" spans="1:12" x14ac:dyDescent="0.35">
      <c r="A36" s="4">
        <f t="shared" si="1"/>
        <v>35</v>
      </c>
      <c r="B36" s="4" t="s">
        <v>1338</v>
      </c>
      <c r="C36" s="4" t="s">
        <v>180</v>
      </c>
      <c r="F36" s="4" t="s">
        <v>1427</v>
      </c>
      <c r="G36" s="4" t="s">
        <v>1428</v>
      </c>
      <c r="H36" s="4" t="s">
        <v>1429</v>
      </c>
      <c r="I36" s="4" t="s">
        <v>1430</v>
      </c>
      <c r="J36" s="4" t="s">
        <v>124</v>
      </c>
      <c r="K36" s="4" t="s">
        <v>1431</v>
      </c>
    </row>
    <row r="37" spans="1:12" x14ac:dyDescent="0.35">
      <c r="A37" s="4">
        <f t="shared" si="1"/>
        <v>36</v>
      </c>
      <c r="B37" s="4" t="s">
        <v>1338</v>
      </c>
      <c r="F37" s="4" t="s">
        <v>1432</v>
      </c>
      <c r="G37" s="4" t="s">
        <v>1433</v>
      </c>
      <c r="H37" s="4" t="s">
        <v>1434</v>
      </c>
      <c r="I37" s="4" t="s">
        <v>1435</v>
      </c>
      <c r="J37" s="4" t="s">
        <v>1252</v>
      </c>
    </row>
    <row r="38" spans="1:12" x14ac:dyDescent="0.35">
      <c r="A38" s="4">
        <f t="shared" si="1"/>
        <v>37</v>
      </c>
      <c r="B38" s="4" t="s">
        <v>1436</v>
      </c>
      <c r="C38" s="4" t="s">
        <v>30</v>
      </c>
      <c r="E38" s="4" t="s">
        <v>316</v>
      </c>
      <c r="F38" s="4" t="s">
        <v>32</v>
      </c>
      <c r="J38" s="4" t="s">
        <v>124</v>
      </c>
      <c r="L38" s="4">
        <f>SUMIFS(BOM!$H:$H,BOM!$Q:$Q,$C38,BOM!$P:$P,$E38)</f>
        <v>0</v>
      </c>
    </row>
    <row r="39" spans="1:12" x14ac:dyDescent="0.35">
      <c r="A39" s="4">
        <f t="shared" si="1"/>
        <v>38</v>
      </c>
      <c r="B39" s="4" t="s">
        <v>1436</v>
      </c>
      <c r="C39" s="4" t="s">
        <v>30</v>
      </c>
      <c r="E39" s="4" t="s">
        <v>46</v>
      </c>
      <c r="F39" s="4" t="s">
        <v>45</v>
      </c>
      <c r="J39" s="4" t="s">
        <v>1254</v>
      </c>
      <c r="L39" s="4">
        <f>SUMIFS(BOM!$H:$H,BOM!$Q:$Q,$C39,BOM!$P:$P,$E39)</f>
        <v>14103</v>
      </c>
    </row>
    <row r="40" spans="1:12" x14ac:dyDescent="0.35">
      <c r="A40" s="4">
        <f t="shared" si="1"/>
        <v>39</v>
      </c>
      <c r="B40" s="4" t="s">
        <v>1436</v>
      </c>
      <c r="C40" s="4" t="s">
        <v>30</v>
      </c>
      <c r="E40" s="4" t="s">
        <v>53</v>
      </c>
      <c r="F40" s="4" t="s">
        <v>52</v>
      </c>
      <c r="J40" s="4" t="s">
        <v>54</v>
      </c>
      <c r="L40" s="4">
        <f>SUMIFS(BOM!$H:$H,BOM!$Q:$Q,$C40,BOM!$P:$P,$E40)</f>
        <v>2103.6</v>
      </c>
    </row>
    <row r="41" spans="1:12" x14ac:dyDescent="0.35">
      <c r="A41" s="4">
        <f t="shared" si="1"/>
        <v>40</v>
      </c>
      <c r="B41" s="4" t="s">
        <v>1436</v>
      </c>
      <c r="C41" s="4" t="s">
        <v>30</v>
      </c>
      <c r="E41" s="4" t="s">
        <v>58</v>
      </c>
      <c r="F41" s="4" t="s">
        <v>57</v>
      </c>
      <c r="J41" s="4" t="s">
        <v>211</v>
      </c>
      <c r="L41" s="4">
        <f>SUMIFS(BOM!$H:$H,BOM!$Q:$Q,$C41,BOM!$P:$P,$E41)</f>
        <v>0</v>
      </c>
    </row>
    <row r="42" spans="1:12" x14ac:dyDescent="0.35">
      <c r="A42" s="4">
        <f t="shared" si="1"/>
        <v>41</v>
      </c>
      <c r="B42" s="4" t="s">
        <v>1436</v>
      </c>
      <c r="C42" s="4" t="s">
        <v>30</v>
      </c>
      <c r="E42" s="4" t="s">
        <v>65</v>
      </c>
      <c r="F42" s="4" t="s">
        <v>64</v>
      </c>
      <c r="J42" s="4" t="s">
        <v>54</v>
      </c>
      <c r="L42" s="4">
        <f>SUMIFS(BOM!$H:$H,BOM!$Q:$Q,$C42,BOM!$P:$P,$E42)</f>
        <v>20169.599999999999</v>
      </c>
    </row>
    <row r="43" spans="1:12" x14ac:dyDescent="0.35">
      <c r="A43" s="4">
        <f t="shared" si="1"/>
        <v>42</v>
      </c>
      <c r="B43" s="4" t="s">
        <v>1436</v>
      </c>
      <c r="C43" s="4" t="s">
        <v>30</v>
      </c>
      <c r="E43" s="4" t="s">
        <v>69</v>
      </c>
      <c r="F43" s="4" t="s">
        <v>68</v>
      </c>
      <c r="J43" s="4" t="s">
        <v>211</v>
      </c>
      <c r="L43" s="4">
        <f>SUMIFS(BOM!$H:$H,BOM!$Q:$Q,$C43,BOM!$P:$P,$E43)</f>
        <v>0</v>
      </c>
    </row>
    <row r="44" spans="1:12" x14ac:dyDescent="0.35">
      <c r="A44" s="4">
        <f t="shared" si="1"/>
        <v>43</v>
      </c>
      <c r="B44" s="4" t="s">
        <v>1436</v>
      </c>
      <c r="C44" s="4" t="s">
        <v>30</v>
      </c>
      <c r="E44" s="4" t="s">
        <v>89</v>
      </c>
      <c r="F44" s="4" t="s">
        <v>88</v>
      </c>
      <c r="J44" s="4" t="s">
        <v>1254</v>
      </c>
      <c r="L44" s="4">
        <f>SUMIFS(BOM!$H:$H,BOM!$Q:$Q,$C44,BOM!$P:$P,$E44)</f>
        <v>1449</v>
      </c>
    </row>
    <row r="45" spans="1:12" x14ac:dyDescent="0.35">
      <c r="A45" s="4">
        <f t="shared" si="1"/>
        <v>44</v>
      </c>
      <c r="B45" s="4" t="s">
        <v>1436</v>
      </c>
      <c r="C45" s="4" t="s">
        <v>30</v>
      </c>
      <c r="E45" s="4" t="s">
        <v>93</v>
      </c>
      <c r="F45" s="4" t="s">
        <v>92</v>
      </c>
      <c r="J45" s="4" t="s">
        <v>1254</v>
      </c>
      <c r="L45" s="4">
        <f>SUMIFS(BOM!$H:$H,BOM!$Q:$Q,$C45,BOM!$P:$P,$E45)</f>
        <v>2871</v>
      </c>
    </row>
    <row r="46" spans="1:12" x14ac:dyDescent="0.35">
      <c r="A46" s="4">
        <f t="shared" si="1"/>
        <v>45</v>
      </c>
      <c r="B46" s="4" t="s">
        <v>1436</v>
      </c>
      <c r="C46" s="4" t="s">
        <v>30</v>
      </c>
      <c r="E46" s="4" t="s">
        <v>95</v>
      </c>
      <c r="F46" s="4" t="s">
        <v>94</v>
      </c>
      <c r="J46" s="4" t="s">
        <v>1254</v>
      </c>
      <c r="L46" s="4">
        <f>SUMIFS(BOM!$H:$H,BOM!$Q:$Q,$C46,BOM!$P:$P,$E46)</f>
        <v>11140.8</v>
      </c>
    </row>
    <row r="47" spans="1:12" x14ac:dyDescent="0.35">
      <c r="A47" s="4">
        <f t="shared" si="1"/>
        <v>46</v>
      </c>
      <c r="B47" s="4" t="s">
        <v>1436</v>
      </c>
      <c r="C47" s="4" t="s">
        <v>30</v>
      </c>
      <c r="E47" s="4" t="s">
        <v>97</v>
      </c>
      <c r="F47" s="4" t="s">
        <v>96</v>
      </c>
      <c r="J47" s="4" t="s">
        <v>1254</v>
      </c>
      <c r="L47" s="4">
        <f>SUMIFS(BOM!$H:$H,BOM!$Q:$Q,$C47,BOM!$P:$P,$E47)</f>
        <v>12714.699999999999</v>
      </c>
    </row>
    <row r="48" spans="1:12" x14ac:dyDescent="0.35">
      <c r="A48" s="4">
        <f t="shared" si="1"/>
        <v>47</v>
      </c>
      <c r="B48" s="4" t="s">
        <v>1436</v>
      </c>
      <c r="C48" s="4" t="s">
        <v>105</v>
      </c>
      <c r="E48" s="4" t="s">
        <v>122</v>
      </c>
      <c r="F48" s="4" t="s">
        <v>1437</v>
      </c>
      <c r="J48" s="4" t="s">
        <v>124</v>
      </c>
      <c r="L48" s="4">
        <f>SUMIFS(BOM!$H:$H,BOM!$Q:$Q,$C48,BOM!$P:$P,$E48)</f>
        <v>0</v>
      </c>
    </row>
    <row r="49" spans="1:12" x14ac:dyDescent="0.35">
      <c r="A49" s="4">
        <f t="shared" si="1"/>
        <v>48</v>
      </c>
      <c r="B49" s="4" t="s">
        <v>1436</v>
      </c>
      <c r="C49" s="4" t="s">
        <v>105</v>
      </c>
      <c r="E49" s="4" t="s">
        <v>900</v>
      </c>
      <c r="F49" s="4" t="s">
        <v>82</v>
      </c>
      <c r="J49" s="4" t="s">
        <v>84</v>
      </c>
      <c r="L49" s="4">
        <f>SUMIFS(BOM!$H:$H,BOM!$Q:$Q,$C49,BOM!$P:$P,$E49)</f>
        <v>0</v>
      </c>
    </row>
    <row r="50" spans="1:12" x14ac:dyDescent="0.35">
      <c r="A50" s="4">
        <f t="shared" si="1"/>
        <v>49</v>
      </c>
      <c r="B50" s="4" t="s">
        <v>1436</v>
      </c>
      <c r="C50" s="4" t="s">
        <v>105</v>
      </c>
      <c r="E50" s="4" t="s">
        <v>904</v>
      </c>
      <c r="F50" s="4" t="s">
        <v>86</v>
      </c>
      <c r="J50" s="4" t="s">
        <v>84</v>
      </c>
      <c r="L50" s="4">
        <f>SUMIFS(BOM!$H:$H,BOM!$Q:$Q,$C50,BOM!$P:$P,$E50)</f>
        <v>0</v>
      </c>
    </row>
    <row r="51" spans="1:12" x14ac:dyDescent="0.35">
      <c r="A51" s="4">
        <f t="shared" si="1"/>
        <v>50</v>
      </c>
      <c r="B51" s="4" t="s">
        <v>1436</v>
      </c>
      <c r="C51" s="4" t="s">
        <v>105</v>
      </c>
      <c r="E51" s="4" t="s">
        <v>128</v>
      </c>
      <c r="F51" s="4" t="s">
        <v>127</v>
      </c>
      <c r="J51" s="4" t="s">
        <v>1254</v>
      </c>
      <c r="L51" s="4">
        <f>SUMIFS(BOM!$H:$H,BOM!$Q:$Q,$C51,BOM!$P:$P,$E51)</f>
        <v>3616.7999999999997</v>
      </c>
    </row>
    <row r="52" spans="1:12" x14ac:dyDescent="0.35">
      <c r="A52" s="4">
        <f t="shared" si="1"/>
        <v>51</v>
      </c>
      <c r="B52" s="4" t="s">
        <v>1436</v>
      </c>
      <c r="C52" s="4" t="s">
        <v>105</v>
      </c>
      <c r="E52" s="4" t="s">
        <v>130</v>
      </c>
      <c r="F52" s="4" t="s">
        <v>129</v>
      </c>
      <c r="J52" s="4" t="s">
        <v>1254</v>
      </c>
      <c r="L52" s="4">
        <f>SUMIFS(BOM!$H:$H,BOM!$Q:$Q,$C52,BOM!$P:$P,$E52)</f>
        <v>7880.4000000000005</v>
      </c>
    </row>
    <row r="53" spans="1:12" x14ac:dyDescent="0.35">
      <c r="A53" s="4">
        <f t="shared" si="1"/>
        <v>52</v>
      </c>
      <c r="B53" s="4" t="s">
        <v>1436</v>
      </c>
      <c r="C53" s="4" t="s">
        <v>105</v>
      </c>
      <c r="E53" s="4" t="s">
        <v>132</v>
      </c>
      <c r="F53" s="4" t="s">
        <v>131</v>
      </c>
      <c r="J53" s="4" t="s">
        <v>1254</v>
      </c>
      <c r="L53" s="4">
        <f>SUMIFS(BOM!$H:$H,BOM!$Q:$Q,$C53,BOM!$P:$P,$E53)</f>
        <v>4600.2</v>
      </c>
    </row>
    <row r="54" spans="1:12" x14ac:dyDescent="0.35">
      <c r="A54" s="4">
        <f t="shared" si="1"/>
        <v>53</v>
      </c>
      <c r="B54" s="4" t="s">
        <v>1436</v>
      </c>
      <c r="C54" s="4" t="s">
        <v>105</v>
      </c>
      <c r="E54" s="4" t="s">
        <v>95</v>
      </c>
      <c r="F54" s="4" t="s">
        <v>94</v>
      </c>
      <c r="J54" s="4" t="s">
        <v>1254</v>
      </c>
      <c r="L54" s="4">
        <f>SUMIFS(BOM!$H:$H,BOM!$Q:$Q,$C54,BOM!$P:$P,$E54)</f>
        <v>6752</v>
      </c>
    </row>
    <row r="55" spans="1:12" x14ac:dyDescent="0.35">
      <c r="A55" s="4">
        <f t="shared" si="1"/>
        <v>54</v>
      </c>
      <c r="B55" s="4" t="s">
        <v>1436</v>
      </c>
      <c r="C55" s="4" t="s">
        <v>105</v>
      </c>
      <c r="E55" s="4" t="s">
        <v>135</v>
      </c>
      <c r="F55" s="4" t="s">
        <v>134</v>
      </c>
      <c r="J55" s="4" t="s">
        <v>1254</v>
      </c>
      <c r="L55" s="4">
        <f>SUMIFS(BOM!$H:$H,BOM!$Q:$Q,$C55,BOM!$P:$P,$E55)</f>
        <v>1176</v>
      </c>
    </row>
    <row r="56" spans="1:12" x14ac:dyDescent="0.35">
      <c r="A56" s="4">
        <f t="shared" si="1"/>
        <v>55</v>
      </c>
      <c r="B56" s="4" t="s">
        <v>1436</v>
      </c>
      <c r="C56" s="4" t="s">
        <v>105</v>
      </c>
      <c r="E56" s="4" t="s">
        <v>139</v>
      </c>
      <c r="F56" s="4" t="s">
        <v>138</v>
      </c>
      <c r="J56" s="4" t="s">
        <v>1254</v>
      </c>
      <c r="L56" s="4">
        <f>SUMIFS(BOM!$H:$H,BOM!$Q:$Q,$C56,BOM!$P:$P,$E56)</f>
        <v>849</v>
      </c>
    </row>
    <row r="57" spans="1:12" x14ac:dyDescent="0.35">
      <c r="A57" s="4">
        <f t="shared" si="1"/>
        <v>56</v>
      </c>
      <c r="B57" s="4" t="s">
        <v>1436</v>
      </c>
      <c r="C57" s="4" t="s">
        <v>105</v>
      </c>
      <c r="E57" s="4" t="s">
        <v>141</v>
      </c>
      <c r="F57" s="4" t="s">
        <v>140</v>
      </c>
      <c r="J57" s="4" t="s">
        <v>1254</v>
      </c>
      <c r="L57" s="4">
        <f>SUMIFS(BOM!$H:$H,BOM!$Q:$Q,$C57,BOM!$P:$P,$E57)</f>
        <v>3260</v>
      </c>
    </row>
    <row r="58" spans="1:12" x14ac:dyDescent="0.35">
      <c r="A58" s="4">
        <f t="shared" si="1"/>
        <v>57</v>
      </c>
      <c r="B58" s="4" t="s">
        <v>1436</v>
      </c>
      <c r="C58" s="4" t="s">
        <v>105</v>
      </c>
      <c r="E58" s="4" t="s">
        <v>143</v>
      </c>
      <c r="F58" s="4" t="s">
        <v>142</v>
      </c>
      <c r="J58" s="4" t="s">
        <v>1254</v>
      </c>
      <c r="L58" s="4">
        <f>SUMIFS(BOM!$H:$H,BOM!$Q:$Q,$C58,BOM!$P:$P,$E58)</f>
        <v>1835</v>
      </c>
    </row>
    <row r="59" spans="1:12" x14ac:dyDescent="0.35">
      <c r="A59" s="4">
        <f t="shared" si="1"/>
        <v>58</v>
      </c>
      <c r="B59" s="4" t="s">
        <v>1436</v>
      </c>
      <c r="C59" s="4" t="s">
        <v>144</v>
      </c>
      <c r="E59" s="4" t="s">
        <v>329</v>
      </c>
      <c r="F59" s="4" t="s">
        <v>145</v>
      </c>
      <c r="J59" s="4" t="s">
        <v>54</v>
      </c>
      <c r="L59" s="4">
        <f>SUMIFS(BOM!$H:$H,BOM!$Q:$Q,$C59,BOM!$P:$P,$E59)</f>
        <v>15882</v>
      </c>
    </row>
    <row r="60" spans="1:12" x14ac:dyDescent="0.35">
      <c r="A60" s="4">
        <f t="shared" si="1"/>
        <v>59</v>
      </c>
      <c r="B60" s="4" t="s">
        <v>1436</v>
      </c>
      <c r="C60" s="4" t="s">
        <v>144</v>
      </c>
      <c r="E60" s="4" t="s">
        <v>152</v>
      </c>
      <c r="F60" s="4" t="s">
        <v>1438</v>
      </c>
      <c r="J60" s="4" t="s">
        <v>124</v>
      </c>
      <c r="L60" s="4">
        <f>SUMIFS(BOM!$H:$H,BOM!$Q:$Q,$C60,BOM!$P:$P,$E60)</f>
        <v>0</v>
      </c>
    </row>
    <row r="61" spans="1:12" x14ac:dyDescent="0.35">
      <c r="A61" s="4">
        <f t="shared" si="1"/>
        <v>60</v>
      </c>
      <c r="B61" s="4" t="s">
        <v>1436</v>
      </c>
      <c r="C61" s="4" t="s">
        <v>144</v>
      </c>
      <c r="E61" s="4" t="s">
        <v>93</v>
      </c>
      <c r="F61" s="4" t="s">
        <v>92</v>
      </c>
      <c r="J61" s="4" t="s">
        <v>1254</v>
      </c>
      <c r="L61" s="4">
        <f>SUMIFS(BOM!$H:$H,BOM!$Q:$Q,$C61,BOM!$P:$P,$E61)</f>
        <v>8961</v>
      </c>
    </row>
    <row r="62" spans="1:12" x14ac:dyDescent="0.35">
      <c r="A62" s="4">
        <f t="shared" si="1"/>
        <v>61</v>
      </c>
      <c r="B62" s="4" t="s">
        <v>1436</v>
      </c>
      <c r="C62" s="4" t="s">
        <v>144</v>
      </c>
      <c r="E62" s="4" t="s">
        <v>155</v>
      </c>
      <c r="F62" s="4" t="s">
        <v>154</v>
      </c>
      <c r="J62" s="4" t="s">
        <v>1254</v>
      </c>
      <c r="L62" s="4">
        <f>SUMIFS(BOM!$H:$H,BOM!$Q:$Q,$C62,BOM!$P:$P,$E62)</f>
        <v>4336</v>
      </c>
    </row>
    <row r="63" spans="1:12" x14ac:dyDescent="0.35">
      <c r="A63" s="4">
        <f t="shared" si="1"/>
        <v>62</v>
      </c>
      <c r="B63" s="4" t="s">
        <v>1436</v>
      </c>
      <c r="C63" s="4" t="s">
        <v>144</v>
      </c>
      <c r="E63" s="4" t="s">
        <v>135</v>
      </c>
      <c r="F63" s="4" t="s">
        <v>134</v>
      </c>
      <c r="J63" s="4" t="s">
        <v>1254</v>
      </c>
      <c r="L63" s="4">
        <f>SUMIFS(BOM!$H:$H,BOM!$Q:$Q,$C63,BOM!$P:$P,$E63)</f>
        <v>2940</v>
      </c>
    </row>
    <row r="64" spans="1:12" x14ac:dyDescent="0.35">
      <c r="A64" s="4">
        <f t="shared" si="1"/>
        <v>63</v>
      </c>
      <c r="B64" s="4" t="s">
        <v>1436</v>
      </c>
      <c r="C64" s="4" t="s">
        <v>144</v>
      </c>
      <c r="E64" s="4" t="s">
        <v>139</v>
      </c>
      <c r="F64" s="4" t="s">
        <v>138</v>
      </c>
      <c r="J64" s="4" t="s">
        <v>1254</v>
      </c>
      <c r="L64" s="4">
        <f>SUMIFS(BOM!$H:$H,BOM!$Q:$Q,$C64,BOM!$P:$P,$E64)</f>
        <v>4245</v>
      </c>
    </row>
    <row r="65" spans="1:12" x14ac:dyDescent="0.35">
      <c r="A65" s="4">
        <f t="shared" si="1"/>
        <v>64</v>
      </c>
      <c r="B65" s="4" t="s">
        <v>1436</v>
      </c>
      <c r="C65" s="4" t="s">
        <v>156</v>
      </c>
      <c r="E65" s="4" t="s">
        <v>333</v>
      </c>
      <c r="F65" s="4" t="s">
        <v>157</v>
      </c>
      <c r="J65" s="4" t="s">
        <v>54</v>
      </c>
      <c r="L65" s="4">
        <f>SUMIFS(BOM!$H:$H,BOM!$Q:$Q,$C65,BOM!$P:$P,$E65)</f>
        <v>16374</v>
      </c>
    </row>
    <row r="66" spans="1:12" x14ac:dyDescent="0.35">
      <c r="A66" s="4">
        <f t="shared" ref="A66:A97" si="2">ROW()-1</f>
        <v>65</v>
      </c>
      <c r="B66" s="4" t="s">
        <v>1436</v>
      </c>
      <c r="C66" s="4" t="s">
        <v>156</v>
      </c>
      <c r="E66" s="4" t="s">
        <v>152</v>
      </c>
      <c r="F66" s="4" t="s">
        <v>1438</v>
      </c>
      <c r="J66" s="4" t="s">
        <v>124</v>
      </c>
      <c r="L66" s="4">
        <f>SUMIFS(BOM!$H:$H,BOM!$Q:$Q,$C66,BOM!$P:$P,$E66)</f>
        <v>0</v>
      </c>
    </row>
    <row r="67" spans="1:12" x14ac:dyDescent="0.35">
      <c r="A67" s="4">
        <f t="shared" si="2"/>
        <v>66</v>
      </c>
      <c r="B67" s="4" t="s">
        <v>1436</v>
      </c>
      <c r="C67" s="4" t="s">
        <v>156</v>
      </c>
      <c r="E67" s="4" t="s">
        <v>89</v>
      </c>
      <c r="F67" s="4" t="s">
        <v>88</v>
      </c>
      <c r="J67" s="4" t="s">
        <v>1254</v>
      </c>
      <c r="L67" s="4">
        <f>SUMIFS(BOM!$H:$H,BOM!$Q:$Q,$C67,BOM!$P:$P,$E67)</f>
        <v>556.5</v>
      </c>
    </row>
    <row r="68" spans="1:12" x14ac:dyDescent="0.35">
      <c r="A68" s="4">
        <f t="shared" si="2"/>
        <v>67</v>
      </c>
      <c r="B68" s="4" t="s">
        <v>1436</v>
      </c>
      <c r="C68" s="4" t="s">
        <v>156</v>
      </c>
      <c r="E68" s="4" t="s">
        <v>93</v>
      </c>
      <c r="F68" s="4" t="s">
        <v>92</v>
      </c>
      <c r="J68" s="4" t="s">
        <v>1254</v>
      </c>
      <c r="L68" s="4">
        <f>SUMIFS(BOM!$H:$H,BOM!$Q:$Q,$C68,BOM!$P:$P,$E68)</f>
        <v>12406.199999999999</v>
      </c>
    </row>
    <row r="69" spans="1:12" x14ac:dyDescent="0.35">
      <c r="A69" s="4">
        <f t="shared" si="2"/>
        <v>68</v>
      </c>
      <c r="B69" s="4" t="s">
        <v>1436</v>
      </c>
      <c r="C69" s="4" t="s">
        <v>156</v>
      </c>
      <c r="E69" s="4" t="s">
        <v>155</v>
      </c>
      <c r="F69" s="4" t="s">
        <v>154</v>
      </c>
      <c r="J69" s="4" t="s">
        <v>1254</v>
      </c>
      <c r="L69" s="4">
        <f>SUMIFS(BOM!$H:$H,BOM!$Q:$Q,$C69,BOM!$P:$P,$E69)</f>
        <v>4336</v>
      </c>
    </row>
    <row r="70" spans="1:12" x14ac:dyDescent="0.35">
      <c r="A70" s="4">
        <f t="shared" si="2"/>
        <v>69</v>
      </c>
      <c r="B70" s="4" t="s">
        <v>1436</v>
      </c>
      <c r="C70" s="4" t="s">
        <v>156</v>
      </c>
      <c r="E70" s="4" t="s">
        <v>135</v>
      </c>
      <c r="F70" s="4" t="s">
        <v>134</v>
      </c>
      <c r="J70" s="4" t="s">
        <v>1254</v>
      </c>
      <c r="L70" s="4">
        <f>SUMIFS(BOM!$H:$H,BOM!$Q:$Q,$C70,BOM!$P:$P,$E70)</f>
        <v>4214</v>
      </c>
    </row>
    <row r="71" spans="1:12" x14ac:dyDescent="0.35">
      <c r="A71" s="4">
        <f t="shared" si="2"/>
        <v>70</v>
      </c>
      <c r="B71" s="4" t="s">
        <v>1436</v>
      </c>
      <c r="C71" s="4" t="s">
        <v>156</v>
      </c>
      <c r="E71" s="4" t="s">
        <v>139</v>
      </c>
      <c r="F71" s="4" t="s">
        <v>138</v>
      </c>
      <c r="J71" s="4" t="s">
        <v>1254</v>
      </c>
      <c r="L71" s="4">
        <f>SUMIFS(BOM!$H:$H,BOM!$Q:$Q,$C71,BOM!$P:$P,$E71)</f>
        <v>5943</v>
      </c>
    </row>
    <row r="72" spans="1:12" x14ac:dyDescent="0.35">
      <c r="A72" s="4">
        <f t="shared" si="2"/>
        <v>71</v>
      </c>
      <c r="B72" s="4" t="s">
        <v>1436</v>
      </c>
      <c r="C72" s="4" t="s">
        <v>161</v>
      </c>
      <c r="E72" s="4" t="s">
        <v>336</v>
      </c>
      <c r="F72" s="4" t="s">
        <v>162</v>
      </c>
      <c r="J72" s="4" t="s">
        <v>54</v>
      </c>
      <c r="L72" s="4">
        <f>SUMIFS(BOM!$H:$H,BOM!$Q:$Q,$C72,BOM!$P:$P,$E72)</f>
        <v>12267</v>
      </c>
    </row>
    <row r="73" spans="1:12" x14ac:dyDescent="0.35">
      <c r="A73" s="4">
        <f t="shared" si="2"/>
        <v>72</v>
      </c>
      <c r="B73" s="4" t="s">
        <v>1436</v>
      </c>
      <c r="C73" s="4" t="s">
        <v>161</v>
      </c>
      <c r="E73" s="4" t="s">
        <v>169</v>
      </c>
      <c r="F73" s="4" t="s">
        <v>168</v>
      </c>
      <c r="J73" s="4" t="s">
        <v>577</v>
      </c>
      <c r="L73" s="4">
        <f>SUMIFS(BOM!$H:$H,BOM!$Q:$Q,$C73,BOM!$P:$P,$E73)</f>
        <v>7087.8</v>
      </c>
    </row>
    <row r="74" spans="1:12" x14ac:dyDescent="0.35">
      <c r="A74" s="4">
        <f t="shared" si="2"/>
        <v>73</v>
      </c>
      <c r="B74" s="4" t="s">
        <v>1436</v>
      </c>
      <c r="C74" s="4" t="s">
        <v>161</v>
      </c>
      <c r="E74" s="4" t="s">
        <v>172</v>
      </c>
      <c r="F74" s="4" t="s">
        <v>171</v>
      </c>
      <c r="J74" s="4" t="s">
        <v>124</v>
      </c>
      <c r="L74" s="4">
        <f>SUMIFS(BOM!$H:$H,BOM!$Q:$Q,$C74,BOM!$P:$P,$E74)</f>
        <v>0</v>
      </c>
    </row>
    <row r="75" spans="1:12" x14ac:dyDescent="0.35">
      <c r="A75" s="4">
        <f t="shared" si="2"/>
        <v>74</v>
      </c>
      <c r="B75" s="4" t="s">
        <v>1436</v>
      </c>
      <c r="C75" s="4" t="s">
        <v>161</v>
      </c>
      <c r="E75" s="4" t="s">
        <v>900</v>
      </c>
      <c r="F75" s="4" t="s">
        <v>82</v>
      </c>
      <c r="J75" s="4" t="s">
        <v>84</v>
      </c>
      <c r="L75" s="4">
        <f>SUMIFS(BOM!$H:$H,BOM!$Q:$Q,$C75,BOM!$P:$P,$E75)</f>
        <v>0</v>
      </c>
    </row>
    <row r="76" spans="1:12" x14ac:dyDescent="0.35">
      <c r="A76" s="4">
        <f t="shared" si="2"/>
        <v>75</v>
      </c>
      <c r="B76" s="4" t="s">
        <v>1436</v>
      </c>
      <c r="C76" s="4" t="s">
        <v>161</v>
      </c>
      <c r="E76" s="4" t="s">
        <v>904</v>
      </c>
      <c r="F76" s="4" t="s">
        <v>86</v>
      </c>
      <c r="J76" s="4" t="s">
        <v>84</v>
      </c>
      <c r="L76" s="4">
        <f>SUMIFS(BOM!$H:$H,BOM!$Q:$Q,$C76,BOM!$P:$P,$E76)</f>
        <v>0</v>
      </c>
    </row>
    <row r="77" spans="1:12" x14ac:dyDescent="0.35">
      <c r="A77" s="4">
        <f t="shared" si="2"/>
        <v>76</v>
      </c>
      <c r="B77" s="4" t="s">
        <v>1436</v>
      </c>
      <c r="C77" s="4" t="s">
        <v>161</v>
      </c>
      <c r="E77" s="4" t="s">
        <v>89</v>
      </c>
      <c r="F77" s="4" t="s">
        <v>88</v>
      </c>
      <c r="J77" s="4" t="s">
        <v>1254</v>
      </c>
      <c r="L77" s="4">
        <f>SUMIFS(BOM!$H:$H,BOM!$Q:$Q,$C77,BOM!$P:$P,$E77)</f>
        <v>829.5</v>
      </c>
    </row>
    <row r="78" spans="1:12" x14ac:dyDescent="0.35">
      <c r="A78" s="4">
        <f t="shared" si="2"/>
        <v>77</v>
      </c>
      <c r="B78" s="4" t="s">
        <v>1436</v>
      </c>
      <c r="C78" s="4" t="s">
        <v>161</v>
      </c>
      <c r="E78" s="4" t="s">
        <v>93</v>
      </c>
      <c r="F78" s="4" t="s">
        <v>92</v>
      </c>
      <c r="J78" s="4" t="s">
        <v>1254</v>
      </c>
      <c r="L78" s="4">
        <f>SUMIFS(BOM!$H:$H,BOM!$Q:$Q,$C78,BOM!$P:$P,$E78)</f>
        <v>4819.8</v>
      </c>
    </row>
    <row r="79" spans="1:12" x14ac:dyDescent="0.35">
      <c r="A79" s="4">
        <f t="shared" si="2"/>
        <v>78</v>
      </c>
      <c r="B79" s="4" t="s">
        <v>1436</v>
      </c>
      <c r="C79" s="4" t="s">
        <v>161</v>
      </c>
      <c r="E79" s="4" t="s">
        <v>130</v>
      </c>
      <c r="F79" s="4" t="s">
        <v>129</v>
      </c>
      <c r="J79" s="4" t="s">
        <v>1254</v>
      </c>
      <c r="L79" s="4">
        <f>SUMIFS(BOM!$H:$H,BOM!$Q:$Q,$C79,BOM!$P:$P,$E79)</f>
        <v>2626.7999999999997</v>
      </c>
    </row>
    <row r="80" spans="1:12" x14ac:dyDescent="0.35">
      <c r="A80" s="4">
        <f t="shared" si="2"/>
        <v>79</v>
      </c>
      <c r="B80" s="4" t="s">
        <v>1436</v>
      </c>
      <c r="C80" s="4" t="s">
        <v>161</v>
      </c>
      <c r="E80" s="4" t="s">
        <v>155</v>
      </c>
      <c r="F80" s="4" t="s">
        <v>154</v>
      </c>
      <c r="J80" s="4" t="s">
        <v>1254</v>
      </c>
      <c r="L80" s="4">
        <f>SUMIFS(BOM!$H:$H,BOM!$Q:$Q,$C80,BOM!$P:$P,$E80)</f>
        <v>4336</v>
      </c>
    </row>
    <row r="81" spans="1:12" x14ac:dyDescent="0.35">
      <c r="A81" s="4">
        <f t="shared" si="2"/>
        <v>80</v>
      </c>
      <c r="B81" s="4" t="s">
        <v>1436</v>
      </c>
      <c r="C81" s="4" t="s">
        <v>161</v>
      </c>
      <c r="E81" s="4" t="s">
        <v>175</v>
      </c>
      <c r="F81" s="4" t="s">
        <v>174</v>
      </c>
      <c r="J81" s="4" t="s">
        <v>1254</v>
      </c>
      <c r="L81" s="4">
        <f>SUMIFS(BOM!$H:$H,BOM!$Q:$Q,$C81,BOM!$P:$P,$E81)</f>
        <v>1552</v>
      </c>
    </row>
    <row r="82" spans="1:12" x14ac:dyDescent="0.35">
      <c r="A82" s="4">
        <f t="shared" si="2"/>
        <v>81</v>
      </c>
      <c r="B82" s="4" t="s">
        <v>1436</v>
      </c>
      <c r="C82" s="4" t="s">
        <v>161</v>
      </c>
      <c r="E82" s="4" t="s">
        <v>139</v>
      </c>
      <c r="F82" s="4" t="s">
        <v>176</v>
      </c>
      <c r="J82" s="4" t="s">
        <v>54</v>
      </c>
      <c r="L82" s="4">
        <f>SUMIFS(BOM!$H:$H,BOM!$Q:$Q,$C82,BOM!$P:$P,$E82)</f>
        <v>3113</v>
      </c>
    </row>
    <row r="83" spans="1:12" x14ac:dyDescent="0.35">
      <c r="A83" s="4">
        <f t="shared" si="2"/>
        <v>82</v>
      </c>
      <c r="B83" s="4" t="s">
        <v>1436</v>
      </c>
      <c r="C83" s="4" t="s">
        <v>161</v>
      </c>
      <c r="E83" s="4" t="s">
        <v>135</v>
      </c>
      <c r="F83" s="4" t="s">
        <v>134</v>
      </c>
      <c r="J83" s="4" t="s">
        <v>1254</v>
      </c>
      <c r="L83" s="4">
        <f>SUMIFS(BOM!$H:$H,BOM!$Q:$Q,$C83,BOM!$P:$P,$E83)</f>
        <v>980</v>
      </c>
    </row>
    <row r="84" spans="1:12" x14ac:dyDescent="0.35">
      <c r="A84" s="4">
        <f t="shared" si="2"/>
        <v>83</v>
      </c>
      <c r="B84" s="4" t="s">
        <v>1436</v>
      </c>
      <c r="C84" s="4" t="s">
        <v>161</v>
      </c>
      <c r="E84" s="4" t="s">
        <v>139</v>
      </c>
      <c r="F84" s="4" t="s">
        <v>138</v>
      </c>
      <c r="J84" s="4" t="s">
        <v>1254</v>
      </c>
      <c r="L84" s="4">
        <f>SUMIFS(BOM!$H:$H,BOM!$Q:$Q,$C84,BOM!$P:$P,$E84)</f>
        <v>3113</v>
      </c>
    </row>
    <row r="85" spans="1:12" x14ac:dyDescent="0.35">
      <c r="A85" s="4">
        <f t="shared" si="2"/>
        <v>84</v>
      </c>
      <c r="B85" s="4" t="s">
        <v>1436</v>
      </c>
      <c r="C85" s="4" t="s">
        <v>161</v>
      </c>
      <c r="E85" s="4" t="s">
        <v>178</v>
      </c>
      <c r="F85" s="4" t="s">
        <v>177</v>
      </c>
      <c r="J85" s="4" t="s">
        <v>1254</v>
      </c>
      <c r="L85" s="4">
        <f>SUMIFS(BOM!$H:$H,BOM!$Q:$Q,$C85,BOM!$P:$P,$E85)</f>
        <v>928</v>
      </c>
    </row>
    <row r="86" spans="1:12" x14ac:dyDescent="0.35">
      <c r="A86" s="4">
        <f t="shared" si="2"/>
        <v>85</v>
      </c>
      <c r="B86" s="4" t="s">
        <v>1436</v>
      </c>
      <c r="C86" s="4" t="s">
        <v>161</v>
      </c>
      <c r="E86" s="4" t="s">
        <v>143</v>
      </c>
      <c r="F86" s="4" t="s">
        <v>179</v>
      </c>
      <c r="J86" s="4" t="s">
        <v>54</v>
      </c>
      <c r="L86" s="4">
        <f>SUMIFS(BOM!$H:$H,BOM!$Q:$Q,$C86,BOM!$P:$P,$E86)</f>
        <v>734</v>
      </c>
    </row>
    <row r="87" spans="1:12" x14ac:dyDescent="0.35">
      <c r="A87" s="4">
        <f t="shared" si="2"/>
        <v>86</v>
      </c>
      <c r="B87" s="4" t="s">
        <v>1436</v>
      </c>
      <c r="C87" s="4" t="s">
        <v>180</v>
      </c>
      <c r="E87" s="4" t="s">
        <v>336</v>
      </c>
      <c r="F87" s="4" t="s">
        <v>181</v>
      </c>
      <c r="J87" s="4" t="s">
        <v>54</v>
      </c>
      <c r="L87" s="4">
        <f>SUMIFS(BOM!$H:$H,BOM!$Q:$Q,$C87,BOM!$P:$P,$E87)</f>
        <v>12267</v>
      </c>
    </row>
    <row r="88" spans="1:12" x14ac:dyDescent="0.35">
      <c r="A88" s="4">
        <f t="shared" si="2"/>
        <v>87</v>
      </c>
      <c r="B88" s="4" t="s">
        <v>1436</v>
      </c>
      <c r="C88" s="4" t="s">
        <v>180</v>
      </c>
      <c r="E88" s="4" t="s">
        <v>182</v>
      </c>
      <c r="F88" s="4" t="s">
        <v>109</v>
      </c>
      <c r="J88" s="4" t="s">
        <v>211</v>
      </c>
      <c r="L88" s="4">
        <f>SUMIFS(BOM!$H:$H,BOM!$Q:$Q,$C88,BOM!$P:$P,$E88)</f>
        <v>0</v>
      </c>
    </row>
    <row r="89" spans="1:12" x14ac:dyDescent="0.35">
      <c r="A89" s="4">
        <f t="shared" si="2"/>
        <v>88</v>
      </c>
      <c r="B89" s="4" t="s">
        <v>1436</v>
      </c>
      <c r="C89" s="4" t="s">
        <v>180</v>
      </c>
      <c r="E89" s="4" t="s">
        <v>184</v>
      </c>
      <c r="F89" s="4" t="s">
        <v>183</v>
      </c>
      <c r="J89" s="4" t="s">
        <v>1253</v>
      </c>
      <c r="L89" s="4">
        <f>SUMIFS(BOM!$H:$H,BOM!$Q:$Q,$C89,BOM!$P:$P,$E89)</f>
        <v>6321.5999999999995</v>
      </c>
    </row>
    <row r="90" spans="1:12" x14ac:dyDescent="0.35">
      <c r="A90" s="4">
        <f t="shared" si="2"/>
        <v>89</v>
      </c>
      <c r="B90" s="4" t="s">
        <v>1436</v>
      </c>
      <c r="C90" s="4" t="s">
        <v>180</v>
      </c>
      <c r="E90" s="4" t="s">
        <v>149</v>
      </c>
      <c r="F90" s="4" t="s">
        <v>185</v>
      </c>
      <c r="J90" s="4" t="s">
        <v>1253</v>
      </c>
      <c r="L90" s="4">
        <f>SUMIFS(BOM!$H:$H,BOM!$Q:$Q,$C90,BOM!$P:$P,$E90)</f>
        <v>17802</v>
      </c>
    </row>
    <row r="91" spans="1:12" x14ac:dyDescent="0.35">
      <c r="A91" s="4">
        <f t="shared" si="2"/>
        <v>90</v>
      </c>
      <c r="B91" s="4" t="s">
        <v>1436</v>
      </c>
      <c r="C91" s="4" t="s">
        <v>180</v>
      </c>
      <c r="E91" s="4" t="s">
        <v>172</v>
      </c>
      <c r="F91" s="4" t="s">
        <v>171</v>
      </c>
      <c r="J91" s="4" t="s">
        <v>124</v>
      </c>
      <c r="L91" s="4">
        <f>SUMIFS(BOM!$H:$H,BOM!$Q:$Q,$C91,BOM!$P:$P,$E91)</f>
        <v>0</v>
      </c>
    </row>
    <row r="92" spans="1:12" x14ac:dyDescent="0.35">
      <c r="A92" s="4">
        <f t="shared" si="2"/>
        <v>91</v>
      </c>
      <c r="B92" s="4" t="s">
        <v>1436</v>
      </c>
      <c r="C92" s="4" t="s">
        <v>180</v>
      </c>
      <c r="E92" s="4" t="s">
        <v>152</v>
      </c>
      <c r="F92" s="4" t="s">
        <v>1438</v>
      </c>
      <c r="J92" s="4" t="s">
        <v>124</v>
      </c>
      <c r="L92" s="4">
        <f>SUMIFS(BOM!$H:$H,BOM!$Q:$Q,$C92,BOM!$P:$P,$E92)</f>
        <v>0</v>
      </c>
    </row>
    <row r="93" spans="1:12" x14ac:dyDescent="0.35">
      <c r="A93" s="4">
        <f t="shared" si="2"/>
        <v>92</v>
      </c>
      <c r="B93" s="4" t="s">
        <v>1436</v>
      </c>
      <c r="C93" s="4" t="s">
        <v>180</v>
      </c>
      <c r="E93" s="4" t="s">
        <v>93</v>
      </c>
      <c r="F93" s="4" t="s">
        <v>92</v>
      </c>
      <c r="J93" s="4" t="s">
        <v>1254</v>
      </c>
      <c r="L93" s="4">
        <f>SUMIFS(BOM!$H:$H,BOM!$Q:$Q,$C93,BOM!$P:$P,$E93)</f>
        <v>11031.6</v>
      </c>
    </row>
    <row r="94" spans="1:12" x14ac:dyDescent="0.35">
      <c r="A94" s="4">
        <f t="shared" si="2"/>
        <v>93</v>
      </c>
      <c r="B94" s="4" t="s">
        <v>1436</v>
      </c>
      <c r="C94" s="4" t="s">
        <v>180</v>
      </c>
      <c r="E94" s="4" t="s">
        <v>128</v>
      </c>
      <c r="F94" s="4" t="s">
        <v>127</v>
      </c>
      <c r="J94" s="4" t="s">
        <v>1254</v>
      </c>
      <c r="L94" s="4">
        <f>SUMIFS(BOM!$H:$H,BOM!$Q:$Q,$C94,BOM!$P:$P,$E94)</f>
        <v>1096</v>
      </c>
    </row>
    <row r="95" spans="1:12" x14ac:dyDescent="0.35">
      <c r="A95" s="4">
        <f t="shared" si="2"/>
        <v>94</v>
      </c>
      <c r="B95" s="4" t="s">
        <v>1436</v>
      </c>
      <c r="C95" s="4" t="s">
        <v>180</v>
      </c>
      <c r="E95" s="4" t="s">
        <v>175</v>
      </c>
      <c r="F95" s="4" t="s">
        <v>174</v>
      </c>
      <c r="J95" s="4" t="s">
        <v>1254</v>
      </c>
      <c r="L95" s="4">
        <f>SUMIFS(BOM!$H:$H,BOM!$Q:$Q,$C95,BOM!$P:$P,$E95)</f>
        <v>3492</v>
      </c>
    </row>
    <row r="96" spans="1:12" x14ac:dyDescent="0.35">
      <c r="A96" s="4">
        <f t="shared" si="2"/>
        <v>95</v>
      </c>
      <c r="B96" s="4" t="s">
        <v>1436</v>
      </c>
      <c r="C96" s="4" t="s">
        <v>180</v>
      </c>
      <c r="E96" s="4" t="s">
        <v>139</v>
      </c>
      <c r="F96" s="4" t="s">
        <v>176</v>
      </c>
      <c r="J96" s="4" t="s">
        <v>54</v>
      </c>
      <c r="L96" s="4">
        <f>SUMIFS(BOM!$H:$H,BOM!$Q:$Q,$C96,BOM!$P:$P,$E96)</f>
        <v>5094</v>
      </c>
    </row>
    <row r="97" spans="1:12" x14ac:dyDescent="0.35">
      <c r="A97" s="4">
        <f t="shared" si="2"/>
        <v>96</v>
      </c>
      <c r="B97" s="4" t="s">
        <v>1436</v>
      </c>
      <c r="C97" s="4" t="s">
        <v>186</v>
      </c>
      <c r="E97" s="4" t="s">
        <v>341</v>
      </c>
      <c r="F97" s="4" t="s">
        <v>187</v>
      </c>
      <c r="J97" s="4" t="s">
        <v>124</v>
      </c>
      <c r="L97" s="4">
        <f>SUMIFS(BOM!$H:$H,BOM!$Q:$Q,$C97,BOM!$P:$P,$E97)</f>
        <v>0</v>
      </c>
    </row>
    <row r="98" spans="1:12" x14ac:dyDescent="0.35">
      <c r="A98" s="4">
        <f t="shared" ref="A98:A120" si="3">ROW()-1</f>
        <v>97</v>
      </c>
      <c r="B98" s="4" t="s">
        <v>1436</v>
      </c>
      <c r="C98" s="4" t="s">
        <v>186</v>
      </c>
      <c r="E98" s="4" t="s">
        <v>182</v>
      </c>
      <c r="F98" s="4" t="s">
        <v>109</v>
      </c>
      <c r="J98" s="4" t="s">
        <v>211</v>
      </c>
      <c r="L98" s="4">
        <f>SUMIFS(BOM!$H:$H,BOM!$Q:$Q,$C98,BOM!$P:$P,$E98)</f>
        <v>0</v>
      </c>
    </row>
    <row r="99" spans="1:12" x14ac:dyDescent="0.35">
      <c r="A99" s="4">
        <f t="shared" si="3"/>
        <v>98</v>
      </c>
      <c r="B99" s="4" t="s">
        <v>1436</v>
      </c>
      <c r="C99" s="4" t="s">
        <v>186</v>
      </c>
      <c r="E99" s="4" t="s">
        <v>184</v>
      </c>
      <c r="F99" s="4" t="s">
        <v>189</v>
      </c>
      <c r="J99" s="4" t="s">
        <v>1253</v>
      </c>
      <c r="L99" s="4">
        <f>SUMIFS(BOM!$H:$H,BOM!$Q:$Q,$C99,BOM!$P:$P,$E99)</f>
        <v>2634</v>
      </c>
    </row>
    <row r="100" spans="1:12" x14ac:dyDescent="0.35">
      <c r="A100" s="4">
        <f t="shared" si="3"/>
        <v>99</v>
      </c>
      <c r="B100" s="4" t="s">
        <v>1436</v>
      </c>
      <c r="C100" s="4" t="s">
        <v>186</v>
      </c>
      <c r="E100" s="4" t="s">
        <v>172</v>
      </c>
      <c r="F100" s="4" t="s">
        <v>171</v>
      </c>
      <c r="J100" s="4" t="s">
        <v>124</v>
      </c>
      <c r="L100" s="4">
        <f>SUMIFS(BOM!$H:$H,BOM!$Q:$Q,$C100,BOM!$P:$P,$E100)</f>
        <v>0</v>
      </c>
    </row>
    <row r="101" spans="1:12" x14ac:dyDescent="0.35">
      <c r="A101" s="4">
        <f t="shared" si="3"/>
        <v>100</v>
      </c>
      <c r="B101" s="4" t="s">
        <v>1436</v>
      </c>
      <c r="C101" s="4" t="s">
        <v>186</v>
      </c>
      <c r="E101" s="4" t="s">
        <v>900</v>
      </c>
      <c r="F101" s="4" t="s">
        <v>82</v>
      </c>
      <c r="J101" s="4" t="s">
        <v>84</v>
      </c>
      <c r="L101" s="4">
        <f>SUMIFS(BOM!$H:$H,BOM!$Q:$Q,$C101,BOM!$P:$P,$E101)</f>
        <v>0</v>
      </c>
    </row>
    <row r="102" spans="1:12" x14ac:dyDescent="0.35">
      <c r="A102" s="4">
        <f t="shared" si="3"/>
        <v>101</v>
      </c>
      <c r="B102" s="4" t="s">
        <v>1436</v>
      </c>
      <c r="C102" s="4" t="s">
        <v>186</v>
      </c>
      <c r="E102" s="4" t="s">
        <v>904</v>
      </c>
      <c r="F102" s="4" t="s">
        <v>86</v>
      </c>
      <c r="J102" s="4" t="s">
        <v>84</v>
      </c>
      <c r="L102" s="4">
        <f>SUMIFS(BOM!$H:$H,BOM!$Q:$Q,$C102,BOM!$P:$P,$E102)</f>
        <v>0</v>
      </c>
    </row>
    <row r="103" spans="1:12" x14ac:dyDescent="0.35">
      <c r="A103" s="4">
        <f t="shared" si="3"/>
        <v>102</v>
      </c>
      <c r="B103" s="4" t="s">
        <v>1436</v>
      </c>
      <c r="C103" s="4" t="s">
        <v>186</v>
      </c>
      <c r="E103" s="4" t="s">
        <v>93</v>
      </c>
      <c r="F103" s="4" t="s">
        <v>92</v>
      </c>
      <c r="J103" s="4" t="s">
        <v>1254</v>
      </c>
      <c r="L103" s="4">
        <f>SUMIFS(BOM!$H:$H,BOM!$Q:$Q,$C103,BOM!$P:$P,$E103)</f>
        <v>2749.2000000000003</v>
      </c>
    </row>
    <row r="104" spans="1:12" x14ac:dyDescent="0.35">
      <c r="A104" s="4">
        <f t="shared" si="3"/>
        <v>103</v>
      </c>
      <c r="B104" s="4" t="s">
        <v>1436</v>
      </c>
      <c r="C104" s="4" t="s">
        <v>186</v>
      </c>
      <c r="E104" s="4" t="s">
        <v>128</v>
      </c>
      <c r="F104" s="4" t="s">
        <v>127</v>
      </c>
      <c r="J104" s="4" t="s">
        <v>1254</v>
      </c>
      <c r="L104" s="4">
        <f>SUMIFS(BOM!$H:$H,BOM!$Q:$Q,$C104,BOM!$P:$P,$E104)</f>
        <v>1096</v>
      </c>
    </row>
    <row r="105" spans="1:12" x14ac:dyDescent="0.35">
      <c r="A105" s="4">
        <f t="shared" si="3"/>
        <v>104</v>
      </c>
      <c r="B105" s="4" t="s">
        <v>1436</v>
      </c>
      <c r="C105" s="4" t="s">
        <v>186</v>
      </c>
      <c r="E105" s="4" t="s">
        <v>175</v>
      </c>
      <c r="F105" s="4" t="s">
        <v>174</v>
      </c>
      <c r="J105" s="4" t="s">
        <v>1254</v>
      </c>
      <c r="L105" s="4">
        <f>SUMIFS(BOM!$H:$H,BOM!$Q:$Q,$C105,BOM!$P:$P,$E105)</f>
        <v>1164</v>
      </c>
    </row>
    <row r="106" spans="1:12" x14ac:dyDescent="0.35">
      <c r="A106" s="4">
        <f t="shared" si="3"/>
        <v>105</v>
      </c>
      <c r="B106" s="4" t="s">
        <v>1436</v>
      </c>
      <c r="C106" s="4" t="s">
        <v>186</v>
      </c>
      <c r="E106" s="4" t="s">
        <v>139</v>
      </c>
      <c r="F106" s="4" t="s">
        <v>176</v>
      </c>
      <c r="J106" s="4" t="s">
        <v>54</v>
      </c>
      <c r="L106" s="4">
        <f>SUMIFS(BOM!$H:$H,BOM!$Q:$Q,$C106,BOM!$P:$P,$E106)</f>
        <v>1415</v>
      </c>
    </row>
    <row r="107" spans="1:12" x14ac:dyDescent="0.35">
      <c r="A107" s="4">
        <f t="shared" si="3"/>
        <v>106</v>
      </c>
      <c r="B107" s="4" t="s">
        <v>1436</v>
      </c>
      <c r="C107" s="4" t="s">
        <v>30</v>
      </c>
      <c r="F107" s="4" t="s">
        <v>1439</v>
      </c>
      <c r="J107" s="4" t="s">
        <v>124</v>
      </c>
    </row>
    <row r="108" spans="1:12" x14ac:dyDescent="0.35">
      <c r="A108" s="4">
        <f t="shared" si="3"/>
        <v>107</v>
      </c>
      <c r="B108" s="4" t="s">
        <v>1436</v>
      </c>
      <c r="C108" s="4" t="s">
        <v>30</v>
      </c>
      <c r="F108" s="4" t="s">
        <v>1440</v>
      </c>
      <c r="J108" s="4" t="s">
        <v>218</v>
      </c>
    </row>
    <row r="109" spans="1:12" x14ac:dyDescent="0.35">
      <c r="A109" s="4">
        <f t="shared" si="3"/>
        <v>108</v>
      </c>
      <c r="B109" s="4" t="s">
        <v>1436</v>
      </c>
      <c r="C109" s="4" t="s">
        <v>30</v>
      </c>
      <c r="F109" s="4" t="s">
        <v>1441</v>
      </c>
      <c r="J109" s="4" t="s">
        <v>218</v>
      </c>
    </row>
    <row r="110" spans="1:12" x14ac:dyDescent="0.35">
      <c r="A110" s="4">
        <f t="shared" si="3"/>
        <v>109</v>
      </c>
      <c r="B110" s="4" t="s">
        <v>1436</v>
      </c>
      <c r="C110" s="4" t="s">
        <v>105</v>
      </c>
      <c r="F110" s="4" t="s">
        <v>1441</v>
      </c>
      <c r="J110" s="4" t="s">
        <v>218</v>
      </c>
    </row>
    <row r="111" spans="1:12" x14ac:dyDescent="0.35">
      <c r="A111" s="4">
        <f t="shared" si="3"/>
        <v>110</v>
      </c>
      <c r="B111" s="4" t="s">
        <v>1436</v>
      </c>
      <c r="C111" s="4" t="s">
        <v>144</v>
      </c>
      <c r="F111" s="4" t="s">
        <v>1441</v>
      </c>
      <c r="J111" s="4" t="s">
        <v>218</v>
      </c>
    </row>
    <row r="112" spans="1:12" x14ac:dyDescent="0.35">
      <c r="A112" s="4">
        <f t="shared" si="3"/>
        <v>111</v>
      </c>
      <c r="B112" s="4" t="s">
        <v>1436</v>
      </c>
      <c r="C112" s="4" t="s">
        <v>156</v>
      </c>
      <c r="F112" s="4" t="s">
        <v>1441</v>
      </c>
      <c r="J112" s="4" t="s">
        <v>218</v>
      </c>
    </row>
    <row r="113" spans="1:10" x14ac:dyDescent="0.35">
      <c r="A113" s="4">
        <f t="shared" si="3"/>
        <v>112</v>
      </c>
      <c r="B113" s="4" t="s">
        <v>1436</v>
      </c>
      <c r="C113" s="4" t="s">
        <v>161</v>
      </c>
      <c r="F113" s="4" t="s">
        <v>1440</v>
      </c>
      <c r="J113" s="4" t="s">
        <v>218</v>
      </c>
    </row>
    <row r="114" spans="1:10" x14ac:dyDescent="0.35">
      <c r="A114" s="4">
        <f t="shared" si="3"/>
        <v>113</v>
      </c>
      <c r="B114" s="4" t="s">
        <v>1436</v>
      </c>
      <c r="C114" s="4" t="s">
        <v>161</v>
      </c>
      <c r="F114" s="4" t="s">
        <v>1441</v>
      </c>
      <c r="J114" s="4" t="s">
        <v>218</v>
      </c>
    </row>
    <row r="115" spans="1:10" x14ac:dyDescent="0.35">
      <c r="A115" s="4">
        <f t="shared" si="3"/>
        <v>114</v>
      </c>
      <c r="B115" s="4" t="s">
        <v>1436</v>
      </c>
      <c r="C115" s="4" t="s">
        <v>180</v>
      </c>
      <c r="F115" s="4" t="s">
        <v>1440</v>
      </c>
      <c r="J115" s="4" t="s">
        <v>218</v>
      </c>
    </row>
    <row r="116" spans="1:10" x14ac:dyDescent="0.35">
      <c r="A116" s="4">
        <f t="shared" si="3"/>
        <v>115</v>
      </c>
      <c r="B116" s="4" t="s">
        <v>1436</v>
      </c>
      <c r="C116" s="4" t="s">
        <v>180</v>
      </c>
      <c r="F116" s="4" t="s">
        <v>1441</v>
      </c>
      <c r="J116" s="4" t="s">
        <v>218</v>
      </c>
    </row>
    <row r="117" spans="1:10" x14ac:dyDescent="0.35">
      <c r="A117" s="4">
        <f t="shared" si="3"/>
        <v>116</v>
      </c>
      <c r="B117" s="4" t="s">
        <v>1436</v>
      </c>
      <c r="C117" s="4" t="s">
        <v>186</v>
      </c>
      <c r="F117" s="4" t="s">
        <v>1440</v>
      </c>
      <c r="J117" s="4" t="s">
        <v>218</v>
      </c>
    </row>
    <row r="118" spans="1:10" x14ac:dyDescent="0.35">
      <c r="A118" s="4">
        <f t="shared" si="3"/>
        <v>117</v>
      </c>
      <c r="B118" s="4" t="s">
        <v>1436</v>
      </c>
      <c r="C118" s="4" t="s">
        <v>186</v>
      </c>
      <c r="F118" s="4" t="s">
        <v>1441</v>
      </c>
      <c r="J118" s="4" t="s">
        <v>218</v>
      </c>
    </row>
    <row r="119" spans="1:10" x14ac:dyDescent="0.35">
      <c r="A119" s="4">
        <f t="shared" si="3"/>
        <v>118</v>
      </c>
      <c r="B119" s="4" t="s">
        <v>1442</v>
      </c>
      <c r="F119" s="4" t="s">
        <v>1443</v>
      </c>
      <c r="J119" s="4" t="s">
        <v>1444</v>
      </c>
    </row>
    <row r="120" spans="1:10" x14ac:dyDescent="0.35">
      <c r="A120" s="4">
        <f t="shared" si="3"/>
        <v>119</v>
      </c>
      <c r="B120" s="4" t="s">
        <v>1442</v>
      </c>
      <c r="F120" s="4" t="s">
        <v>1445</v>
      </c>
      <c r="J120" s="4" t="s">
        <v>1444</v>
      </c>
    </row>
  </sheetData>
  <autoFilter ref="A1:L120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231</vt:i4>
      </vt:variant>
    </vt:vector>
  </HeadingPairs>
  <TitlesOfParts>
    <vt:vector size="240" baseType="lpstr">
      <vt:lpstr>BOM</vt:lpstr>
      <vt:lpstr>OZET</vt:lpstr>
      <vt:lpstr>TEKLIF</vt:lpstr>
      <vt:lpstr>PANO</vt:lpstr>
      <vt:lpstr>DEVRE</vt:lpstr>
      <vt:lpstr>URETIM</vt:lpstr>
      <vt:lpstr>FIYAT</vt:lpstr>
      <vt:lpstr>KURALLAR</vt:lpstr>
      <vt:lpstr>LOG</vt:lpstr>
      <vt:lpstr>ADRES</vt:lpstr>
      <vt:lpstr>AL_YOGUNLUK</vt:lpstr>
      <vt:lpstr>ALAN_TIP_LIST</vt:lpstr>
      <vt:lpstr>ALUM_KG_KZT</vt:lpstr>
      <vt:lpstr>ALUM_KG_USD</vt:lpstr>
      <vt:lpstr>AMBALAJ_KZT_PANO</vt:lpstr>
      <vt:lpstr>BAKIR_KG_KZT</vt:lpstr>
      <vt:lpstr>BAKIR_KG_USD</vt:lpstr>
      <vt:lpstr>BARA_AL_A</vt:lpstr>
      <vt:lpstr>BARA_AL_KGM</vt:lpstr>
      <vt:lpstr>BARA_AL_S_A</vt:lpstr>
      <vt:lpstr>BARA_AL_S_KOD</vt:lpstr>
      <vt:lpstr>BARA_AL_S_MAX</vt:lpstr>
      <vt:lpstr>BARA_AL_S_MM2T</vt:lpstr>
      <vt:lpstr>BARA_AL_S_SERIT</vt:lpstr>
      <vt:lpstr>BARA_AL2_A</vt:lpstr>
      <vt:lpstr>BARA_BOY_M</vt:lpstr>
      <vt:lpstr>BARA_CU_A</vt:lpstr>
      <vt:lpstr>BARA_CU_KGM</vt:lpstr>
      <vt:lpstr>BARA_CU_S_A</vt:lpstr>
      <vt:lpstr>BARA_CU_S_KOD</vt:lpstr>
      <vt:lpstr>BARA_CU_S_MAX</vt:lpstr>
      <vt:lpstr>BARA_CU_S_MM2T</vt:lpstr>
      <vt:lpstr>BARA_CU_S_SERIT</vt:lpstr>
      <vt:lpstr>BARA_CU2_A</vt:lpstr>
      <vt:lpstr>BARA_DERATING</vt:lpstr>
      <vt:lpstr>BARA_DIKEY_PAY_M</vt:lpstr>
      <vt:lpstr>BARA_FIRE</vt:lpstr>
      <vt:lpstr>BARA_ISLEM_KAT</vt:lpstr>
      <vt:lpstr>BARA_IZOLATOR_ARALIK_M</vt:lpstr>
      <vt:lpstr>BARA_KENAR_PAY_M</vt:lpstr>
      <vt:lpstr>BARA_KOD_AL</vt:lpstr>
      <vt:lpstr>BARA_KOD_CU</vt:lpstr>
      <vt:lpstr>BARA_KOPRU_M</vt:lpstr>
      <vt:lpstr>BARA_MM2</vt:lpstr>
      <vt:lpstr>BARA_N_ORANI</vt:lpstr>
      <vt:lpstr>BARA_PE_MIN_MM2</vt:lpstr>
      <vt:lpstr>BARA_PE_ORANI</vt:lpstr>
      <vt:lpstr>BARA_T_ILETKEN</vt:lpstr>
      <vt:lpstr>BARA_T_NORM</vt:lpstr>
      <vt:lpstr>BARA_T_ORTAM</vt:lpstr>
      <vt:lpstr>BOM_I</vt:lpstr>
      <vt:lpstr>BOM_P</vt:lpstr>
      <vt:lpstr>BOM_S</vt:lpstr>
      <vt:lpstr>BOM_T</vt:lpstr>
      <vt:lpstr>BOM_U</vt:lpstr>
      <vt:lpstr>CU_YOGUNLUK</vt:lpstr>
      <vt:lpstr>DEVRE_A</vt:lpstr>
      <vt:lpstr>DEVRE_C</vt:lpstr>
      <vt:lpstr>DEVRE_H</vt:lpstr>
      <vt:lpstr>DEVRE_TIPI_LIST</vt:lpstr>
      <vt:lpstr>DEVRE_U</vt:lpstr>
      <vt:lpstr>DINRAY_FIRE</vt:lpstr>
      <vt:lpstr>DINRAY_KOD</vt:lpstr>
      <vt:lpstr>DK_SAAT</vt:lpstr>
      <vt:lpstr>DOKUMAN_KZT</vt:lpstr>
      <vt:lpstr>DOLULUK_MAX</vt:lpstr>
      <vt:lpstr>DOLULUK_UYARI</vt:lpstr>
      <vt:lpstr>DURUM_LIST</vt:lpstr>
      <vt:lpstr>DURUM_SEV</vt:lpstr>
      <vt:lpstr>FAN_ESIK_A</vt:lpstr>
      <vt:lpstr>FINANSMAN_ORANI</vt:lpstr>
      <vt:lpstr>FIYAT_ACK</vt:lpstr>
      <vt:lpstr>FIYAT_ALAN</vt:lpstr>
      <vt:lpstr>FIYAT_ARTIKUL</vt:lpstr>
      <vt:lpstr>FIYAT_BIRIM</vt:lpstr>
      <vt:lpstr>FIYAT_BOBIN</vt:lpstr>
      <vt:lpstr>FIYAT_DURUM</vt:lpstr>
      <vt:lpstr>FIYAT_EGRI</vt:lpstr>
      <vt:lpstr>FIYAT_GENISLIK</vt:lpstr>
      <vt:lpstr>FIYAT_IN</vt:lpstr>
      <vt:lpstr>FIYAT_KA</vt:lpstr>
      <vt:lpstr>FIYAT_KACAK_MA</vt:lpstr>
      <vt:lpstr>FIYAT_KACAK_TIP</vt:lpstr>
      <vt:lpstr>FIYAT_KAPASITE</vt:lpstr>
      <vt:lpstr>FIYAT_KAYNAK</vt:lpstr>
      <vt:lpstr>FIYAT_KD</vt:lpstr>
      <vt:lpstr>FIYAT_KG</vt:lpstr>
      <vt:lpstr>FIYAT_KGM</vt:lpstr>
      <vt:lpstr>FIYAT_KOD</vt:lpstr>
      <vt:lpstr>FIYAT_KUTUP</vt:lpstr>
      <vt:lpstr>FIYAT_KUTUP_AD</vt:lpstr>
      <vt:lpstr>FIYAT_KY</vt:lpstr>
      <vt:lpstr>FIYAT_LISTE</vt:lpstr>
      <vt:lpstr>FIYAT_MARKA</vt:lpstr>
      <vt:lpstr>FIYAT_MODUL</vt:lpstr>
      <vt:lpstr>FIYAT_NET</vt:lpstr>
      <vt:lpstr>FIYAT_PARA</vt:lpstr>
      <vt:lpstr>FIYAT_PARSE</vt:lpstr>
      <vt:lpstr>FIYAT_SERI</vt:lpstr>
      <vt:lpstr>FIYAT_SIRA</vt:lpstr>
      <vt:lpstr>FIYAT_TIP</vt:lpstr>
      <vt:lpstr>GARANTI</vt:lpstr>
      <vt:lpstr>GARANTI_ORANI</vt:lpstr>
      <vt:lpstr>GENEL_GIDER_ORANI</vt:lpstr>
      <vt:lpstr>GENEL_MALIYET</vt:lpstr>
      <vt:lpstr>GRUP_BESLEME_KESIT</vt:lpstr>
      <vt:lpstr>GRUP_BESLEME_M</vt:lpstr>
      <vt:lpstr>GUN_AY</vt:lpstr>
      <vt:lpstr>GZS_KOD</vt:lpstr>
      <vt:lpstr>ISCILIK_CARPANI</vt:lpstr>
      <vt:lpstr>ISCILIK_DK_UCRETI</vt:lpstr>
      <vt:lpstr>ISKONTO</vt:lpstr>
      <vt:lpstr>KABLO_FIRE</vt:lpstr>
      <vt:lpstr>KABLO_IN_ALT</vt:lpstr>
      <vt:lpstr>KABLO_KESIT</vt:lpstr>
      <vt:lpstr>KABLO_KESIT_LIST</vt:lpstr>
      <vt:lpstr>KABLO_M_AT</vt:lpstr>
      <vt:lpstr>KABLO_M_KUMANDA</vt:lpstr>
      <vt:lpstr>KABLO_M_MCCB</vt:lpstr>
      <vt:lpstr>KABLO_M_MODULER</vt:lpstr>
      <vt:lpstr>KABLO_M_SAYAC</vt:lpstr>
      <vt:lpstr>KABLO_MAX_A</vt:lpstr>
      <vt:lpstr>KABLO_PARALEL</vt:lpstr>
      <vt:lpstr>KANAL_ESIK1_MOD</vt:lpstr>
      <vt:lpstr>KANAL_ESIK2_MOD</vt:lpstr>
      <vt:lpstr>KANAL_FIRE</vt:lpstr>
      <vt:lpstr>KANAL_KAPAK_KOD_BUYUK</vt:lpstr>
      <vt:lpstr>KANAL_KAPAK_KOD_KUCUK</vt:lpstr>
      <vt:lpstr>KANAL_KAPAK_KOD_ORTA</vt:lpstr>
      <vt:lpstr>KANAL_KOD_BUYUK</vt:lpstr>
      <vt:lpstr>KANAL_KOD_KUCUK</vt:lpstr>
      <vt:lpstr>KANAL_KOD_ORTA</vt:lpstr>
      <vt:lpstr>KAR_ORANI</vt:lpstr>
      <vt:lpstr>KAYNAK_SEV</vt:lpstr>
      <vt:lpstr>KAYNAK_TIPI_LIST</vt:lpstr>
      <vt:lpstr>KLEMENS_ALT</vt:lpstr>
      <vt:lpstr>KLEMENS_KESIT_LIST</vt:lpstr>
      <vt:lpstr>KLEMENS_KLEM</vt:lpstr>
      <vt:lpstr>KLEMENS_MIN_YEDEK</vt:lpstr>
      <vt:lpstr>KLEMENS_MM</vt:lpstr>
      <vt:lpstr>KLEMENS_RAY_PAY</vt:lpstr>
      <vt:lpstr>KLEMENS_YEDEK</vt:lpstr>
      <vt:lpstr>KOPRU_KABLO_MAX_A</vt:lpstr>
      <vt:lpstr>KORPUS_IC_PAY_M</vt:lpstr>
      <vt:lpstr>KUMANDA_KA_MIN</vt:lpstr>
      <vt:lpstr>KUMANDA_KESIT</vt:lpstr>
      <vt:lpstr>KUMANDA_KEYS</vt:lpstr>
      <vt:lpstr>KUR_AD</vt:lpstr>
      <vt:lpstr>KUR_DEG</vt:lpstr>
      <vt:lpstr>KUR_DURUM</vt:lpstr>
      <vt:lpstr>KUR_VARSAYIM</vt:lpstr>
      <vt:lpstr>KUTUP_AD_LIST</vt:lpstr>
      <vt:lpstr>MARKA_AD</vt:lpstr>
      <vt:lpstr>MARKA_GRUP</vt:lpstr>
      <vt:lpstr>MARKA_IZIN</vt:lpstr>
      <vt:lpstr>MARKA_KAT</vt:lpstr>
      <vt:lpstr>MARKA_ON</vt:lpstr>
      <vt:lpstr>MARKA_PARA</vt:lpstr>
      <vt:lpstr>MARKA_TIP</vt:lpstr>
      <vt:lpstr>METAL_TARIH</vt:lpstr>
      <vt:lpstr>MODUL_GENISLIK_MM</vt:lpstr>
      <vt:lpstr>MONTAJ_AD</vt:lpstr>
      <vt:lpstr>MONTAJ_MALZ_ORANI</vt:lpstr>
      <vt:lpstr>MONTAJ_RU</vt:lpstr>
      <vt:lpstr>MUSTERI</vt:lpstr>
      <vt:lpstr>NAKLIYE_KZT</vt:lpstr>
      <vt:lpstr>NDS_ORANI</vt:lpstr>
      <vt:lpstr>NORM_AD</vt:lpstr>
      <vt:lpstr>NORM_DK</vt:lpstr>
      <vt:lpstr>NOTR_BARA_KOD</vt:lpstr>
      <vt:lpstr>NPE_YOLU</vt:lpstr>
      <vt:lpstr>ODEME_SARTI</vt:lpstr>
      <vt:lpstr>OGRENME_ORANI</vt:lpstr>
      <vt:lpstr>OLCU_KESIT</vt:lpstr>
      <vt:lpstr>OZET_DAMGA</vt:lpstr>
      <vt:lpstr>PABUC_ESIK_MM2</vt:lpstr>
      <vt:lpstr>PANO_ADET</vt:lpstr>
      <vt:lpstr>PANO_BARA_GEREK</vt:lpstr>
      <vt:lpstr>PANO_DIN_M</vt:lpstr>
      <vt:lpstr>PANO_FAZ_KOD</vt:lpstr>
      <vt:lpstr>PANO_FAZ_M</vt:lpstr>
      <vt:lpstr>PANO_GIRIS</vt:lpstr>
      <vt:lpstr>PANO_GRUP_KABLO_M</vt:lpstr>
      <vt:lpstr>PANO_ICU</vt:lpstr>
      <vt:lpstr>PANO_ID</vt:lpstr>
      <vt:lpstr>PANO_IN_ANA</vt:lpstr>
      <vt:lpstr>PANO_IP</vt:lpstr>
      <vt:lpstr>PANO_IZOL_1F</vt:lpstr>
      <vt:lpstr>PANO_IZOL_3F</vt:lpstr>
      <vt:lpstr>PANO_KANAL_KOD</vt:lpstr>
      <vt:lpstr>PANO_KANAL_M</vt:lpstr>
      <vt:lpstr>PANO_KAPAK_KOD</vt:lpstr>
      <vt:lpstr>PANO_KAPASITE</vt:lpstr>
      <vt:lpstr>PANO_KORPUS</vt:lpstr>
      <vt:lpstr>PANO_MONTAJ</vt:lpstr>
      <vt:lpstr>PANO_N_KOD</vt:lpstr>
      <vt:lpstr>PANO_N_M</vt:lpstr>
      <vt:lpstr>PANO_PE_KOD</vt:lpstr>
      <vt:lpstr>PANO_PE_M</vt:lpstr>
      <vt:lpstr>PANO_PEN</vt:lpstr>
      <vt:lpstr>PANO_RAL</vt:lpstr>
      <vt:lpstr>PANO_SISTEM</vt:lpstr>
      <vt:lpstr>PANO_TAMAD</vt:lpstr>
      <vt:lpstr>PARA_BIRIMI</vt:lpstr>
      <vt:lpstr>PARAM_EKSIK</vt:lpstr>
      <vt:lpstr>PEN_KOPRU_KOD</vt:lpstr>
      <vt:lpstr>PILOT_ADET_ESIK</vt:lpstr>
      <vt:lpstr>PILOT_ARTIKUL_ESIK</vt:lpstr>
      <vt:lpstr>PILOT_PRECISION_ESIK</vt:lpstr>
      <vt:lpstr>PILOT_RECALL_ESIK</vt:lpstr>
      <vt:lpstr>PILOT_TUTAR_ESIK</vt:lpstr>
      <vt:lpstr>PROJE</vt:lpstr>
      <vt:lpstr>QA_HATA</vt:lpstr>
      <vt:lpstr>RAPOR_TARIHI</vt:lpstr>
      <vt:lpstr>SARTLI_LIST</vt:lpstr>
      <vt:lpstr>SARTLI_TUTAR</vt:lpstr>
      <vt:lpstr>SAYAC_OPN_ESIK_A</vt:lpstr>
      <vt:lpstr>SELEKTIVITE_ORANI</vt:lpstr>
      <vt:lpstr>SINYAL_KLEMENS_KESIT</vt:lpstr>
      <vt:lpstr>SIRA_ARALIK_MM</vt:lpstr>
      <vt:lpstr>STANDART_IN</vt:lpstr>
      <vt:lpstr>TARAK_MAX_A</vt:lpstr>
      <vt:lpstr>TARAK_MIN_CIHAZ</vt:lpstr>
      <vt:lpstr>TARAK_MOD_ADET</vt:lpstr>
      <vt:lpstr>TEKLIF_BASLIK</vt:lpstr>
      <vt:lpstr>TEKLIF_GECERLILIK</vt:lpstr>
      <vt:lpstr>TEKLIF_NO</vt:lpstr>
      <vt:lpstr>TEKLIF_YUVARLAMA</vt:lpstr>
      <vt:lpstr>TEST_SERTIFIKA_KZT</vt:lpstr>
      <vt:lpstr>TIP_LIST</vt:lpstr>
      <vt:lpstr>URETIM_SURESI</vt:lpstr>
      <vt:lpstr>YAS_DURUM</vt:lpstr>
      <vt:lpstr>YAS_ESKI_AY</vt:lpstr>
      <vt:lpstr>YAS_KOD</vt:lpstr>
      <vt:lpstr>YAS_UYARI_GUN</vt:lpstr>
      <vt:lpstr>YAS_YASAK_AY</vt:lpstr>
      <vt:lpstr>YUKSUK_ESIK_MM2</vt:lpstr>
      <vt:lpstr>YUKSUK_FIRE</vt:lpstr>
      <vt:lpstr>ZP_AD</vt:lpstr>
      <vt:lpstr>ZP_BOS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2026-09-16T12:07:16Z</dcterms:created>
  <dcterms:modified xsi:type="dcterms:W3CDTF">2026-09-16T17:14:41Z</dcterms:modified>
  <dc:language>en-US</dc:language>
</cp:coreProperties>
</file>