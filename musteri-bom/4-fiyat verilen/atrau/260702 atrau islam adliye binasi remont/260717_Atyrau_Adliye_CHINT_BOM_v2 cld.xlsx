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02 atrau islam adliye binasi remont\"/>
    </mc:Choice>
  </mc:AlternateContent>
  <xr:revisionPtr revIDLastSave="0" documentId="13_ncr:1_{5CAF4514-5AA8-4114-A5AA-801A0F3EFAE5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BOM" sheetId="1" r:id="rId1"/>
    <sheet name="СВОД" sheetId="2" r:id="rId2"/>
    <sheet name="Kurallar" sheetId="3" r:id="rId3"/>
  </sheets>
  <definedNames>
    <definedName name="_xlnm._FilterDatabase" localSheetId="0" hidden="1">BOM!$A$1:$K$104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2" l="1"/>
  <c r="F9" i="2" s="1"/>
  <c r="F3" i="2"/>
  <c r="F4" i="2"/>
  <c r="F5" i="2"/>
  <c r="F6" i="2"/>
  <c r="F7" i="2"/>
  <c r="F8" i="2"/>
  <c r="F2" i="2"/>
  <c r="G104" i="1" l="1"/>
  <c r="H104" i="1" s="1"/>
  <c r="H105" i="1" s="1"/>
  <c r="E9" i="2" s="1"/>
  <c r="B103" i="1"/>
  <c r="I101" i="1"/>
  <c r="F101" i="1" s="1"/>
  <c r="G101" i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B89" i="1"/>
  <c r="I87" i="1"/>
  <c r="F87" i="1" s="1"/>
  <c r="G87" i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B78" i="1"/>
  <c r="I76" i="1"/>
  <c r="F76" i="1" s="1"/>
  <c r="G76" i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B64" i="1"/>
  <c r="I62" i="1"/>
  <c r="F62" i="1" s="1"/>
  <c r="G62" i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B51" i="1"/>
  <c r="I49" i="1"/>
  <c r="F49" i="1" s="1"/>
  <c r="G49" i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B33" i="1"/>
  <c r="I31" i="1"/>
  <c r="F31" i="1" s="1"/>
  <c r="G31" i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B23" i="1"/>
  <c r="I21" i="1"/>
  <c r="F21" i="1" s="1"/>
  <c r="G21" i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B2" i="1"/>
  <c r="H31" i="1" l="1"/>
  <c r="H21" i="1"/>
  <c r="H62" i="1"/>
  <c r="H87" i="1"/>
  <c r="H101" i="1"/>
  <c r="H49" i="1"/>
  <c r="H76" i="1"/>
  <c r="G61" i="1"/>
  <c r="H61" i="1" s="1"/>
  <c r="H63" i="1" s="1"/>
  <c r="D5" i="2" s="1"/>
  <c r="E5" i="2" s="1"/>
  <c r="G86" i="1"/>
  <c r="H86" i="1" s="1"/>
  <c r="H88" i="1" s="1"/>
  <c r="D7" i="2" s="1"/>
  <c r="E7" i="2" s="1"/>
  <c r="G75" i="1"/>
  <c r="H75" i="1" s="1"/>
  <c r="H20" i="1"/>
  <c r="G48" i="1"/>
  <c r="H48" i="1" s="1"/>
  <c r="G30" i="1"/>
  <c r="H30" i="1" s="1"/>
  <c r="G100" i="1"/>
  <c r="H100" i="1" s="1"/>
  <c r="H22" i="1" l="1"/>
  <c r="D2" i="2" s="1"/>
  <c r="E2" i="2" s="1"/>
  <c r="H50" i="1"/>
  <c r="D4" i="2" s="1"/>
  <c r="E4" i="2" s="1"/>
  <c r="H32" i="1"/>
  <c r="D3" i="2" s="1"/>
  <c r="E3" i="2" s="1"/>
  <c r="H102" i="1"/>
  <c r="D8" i="2" s="1"/>
  <c r="E8" i="2" s="1"/>
  <c r="H77" i="1"/>
  <c r="D6" i="2" s="1"/>
  <c r="E6" i="2" s="1"/>
  <c r="E10" i="2" l="1"/>
</calcChain>
</file>

<file path=xl/sharedStrings.xml><?xml version="1.0" encoding="utf-8"?>
<sst xmlns="http://schemas.openxmlformats.org/spreadsheetml/2006/main" count="519" uniqueCount="197">
  <si>
    <t>ROW</t>
  </si>
  <si>
    <t>Наименование1</t>
  </si>
  <si>
    <t>Tip</t>
  </si>
  <si>
    <t>Артикул</t>
  </si>
  <si>
    <t>Номенклатура</t>
  </si>
  <si>
    <t>Цена (liste, KZT)</t>
  </si>
  <si>
    <t>Net KZT</t>
  </si>
  <si>
    <t>Сумма KZT</t>
  </si>
  <si>
    <t>Qty</t>
  </si>
  <si>
    <t>Ед.изм.</t>
  </si>
  <si>
    <t>Завод</t>
  </si>
  <si>
    <t>ГРЩ</t>
  </si>
  <si>
    <t>комплект</t>
  </si>
  <si>
    <t>korpus</t>
  </si>
  <si>
    <t>шт</t>
  </si>
  <si>
    <t>EKT</t>
  </si>
  <si>
    <t>TMŞ</t>
  </si>
  <si>
    <t>Авт. выкл. NXM-250S/3Р 250A 36кА — ввод QF0</t>
  </si>
  <si>
    <t>CHINT</t>
  </si>
  <si>
    <t>OTO</t>
  </si>
  <si>
    <t>816143</t>
  </si>
  <si>
    <t>Авт. выкл. NXB-125 3P 125A 10кА х-ка C — ЩСО-1</t>
  </si>
  <si>
    <t>813876</t>
  </si>
  <si>
    <t>Авт. выкл. NXB-63H 3P 50A 10кА х-ка C — ЩСО-2/ЩСО-3/П1В1/ЩЛ</t>
  </si>
  <si>
    <t>813875</t>
  </si>
  <si>
    <t>Авт. выкл. NXB-63H 3P 40A 10кА х-ка C — ЩСО-0</t>
  </si>
  <si>
    <t>813874</t>
  </si>
  <si>
    <t>Авт. выкл. NXB-63H 3P 32A 10кА х-ка C — серверная/ЩАО</t>
  </si>
  <si>
    <t>813873</t>
  </si>
  <si>
    <t>Авт. выкл. NXB-63H 3P 25A 10кА х-ка C — ЩУН</t>
  </si>
  <si>
    <t>814019</t>
  </si>
  <si>
    <t>Авт. выкл. NXB-63 1P 50A 6кА х-ка C — МГН подъемник (⚠ проектная ошибка кабеля)</t>
  </si>
  <si>
    <t>DİF</t>
  </si>
  <si>
    <t>814013</t>
  </si>
  <si>
    <t>Авт. выкл. NXB-63 1P 10A 6кА х-ка C — обогрев воронок (комб. с УЗО)</t>
  </si>
  <si>
    <t>sayac</t>
  </si>
  <si>
    <t>Saiman</t>
  </si>
  <si>
    <t>tt</t>
  </si>
  <si>
    <t>TJ</t>
  </si>
  <si>
    <t>Трансформатор тока ТОП-0,66 кл.0,5 200/5A (⚠ на схеме 400/5, ПУЭ→200/5)</t>
  </si>
  <si>
    <t>IEK</t>
  </si>
  <si>
    <t>130301016_</t>
  </si>
  <si>
    <t>LOOBAR</t>
  </si>
  <si>
    <t>130300554_</t>
  </si>
  <si>
    <t>Шина медн. 4х30х4000 — ана бара Cu (ПУЭ 1.3.31, 250А)</t>
  </si>
  <si>
    <t>Klemens</t>
  </si>
  <si>
    <t>130301154_</t>
  </si>
  <si>
    <t>ЗНИ 6мм² серый UNIT — ölçü/kumanda</t>
  </si>
  <si>
    <t>UNIT</t>
  </si>
  <si>
    <t>montajный материал</t>
  </si>
  <si>
    <t>Монтажный материал (наконечники, маркировка, провод, крепёж)</t>
  </si>
  <si>
    <t>компл.</t>
  </si>
  <si>
    <t>—</t>
  </si>
  <si>
    <t>montajная работа</t>
  </si>
  <si>
    <t>Монтажная работа (сборка, маркировка, тест) — Qty=dakika</t>
  </si>
  <si>
    <t>дк</t>
  </si>
  <si>
    <t>Toplam ГРЩ</t>
  </si>
  <si>
    <t>ЩСО-0</t>
  </si>
  <si>
    <t>Авт. выкл. NXB-63H 3P 32A 10кА х-ка C — ввод QF0</t>
  </si>
  <si>
    <t>814040</t>
  </si>
  <si>
    <t>Авт. выкл. NXB-63 1P 16A 6кА х-ка B — освещение Гр.0.1–0.2</t>
  </si>
  <si>
    <t>814038</t>
  </si>
  <si>
    <t>Авт. выкл. NXB-63 1P 6A 6кА х-ка B — ЯТП</t>
  </si>
  <si>
    <t>814016</t>
  </si>
  <si>
    <t>Авт. выкл. NXB-63 1P 25A 6кА х-ка C (комб. с УЗО)</t>
  </si>
  <si>
    <t>130301153_</t>
  </si>
  <si>
    <t>ЗНИ 4мм² серый UNIT</t>
  </si>
  <si>
    <t>130200007_</t>
  </si>
  <si>
    <t>Шина N/PE ШНИ 6х9 14/2</t>
  </si>
  <si>
    <t>Toplam ЩСО-0</t>
  </si>
  <si>
    <t>ЩСО-1</t>
  </si>
  <si>
    <t>Авт. выкл. NXB-125 3P 125A 10кА х-ка C — ввод QF0</t>
  </si>
  <si>
    <t>Авт. выкл. NXB-63 1P 16A 6кА х-ка B — QF1/QF2/QF16 освещение</t>
  </si>
  <si>
    <t>814039</t>
  </si>
  <si>
    <t>Авт. выкл. NXB-63 1P 10A 6кА х-ка B — QF10</t>
  </si>
  <si>
    <t>814170</t>
  </si>
  <si>
    <t>Авт. выкл. NXB-63 3P 16A 6кА х-ка C — QF7 (К1)</t>
  </si>
  <si>
    <t>814173</t>
  </si>
  <si>
    <t>Авт. выкл. NXB-63 3P 32A 6кА х-ка C — QF8×2, QF9 (РН47)</t>
  </si>
  <si>
    <t>Авт. выкл. NXB-63 1P 25A 6кА х-ка C — QF13 (РН47)</t>
  </si>
  <si>
    <t>814014</t>
  </si>
  <si>
    <t>Авт. выкл. NXB-63 1P 16A 6кА х-ка C — QF14/QF15 (РН47)</t>
  </si>
  <si>
    <t>Röle</t>
  </si>
  <si>
    <t>814989</t>
  </si>
  <si>
    <t>Независимый расцепитель SHT-X1 AC230V для NXB-63 — РН47</t>
  </si>
  <si>
    <t>ЗНИ 6мм² серый UNIT</t>
  </si>
  <si>
    <t>Toplam ЩСО-1</t>
  </si>
  <si>
    <t>ЩСО-2</t>
  </si>
  <si>
    <t>Авт. выкл. NXB-63H 3P 40A 10кА х-ка C — ввод QF0</t>
  </si>
  <si>
    <t>Авт. выкл. NXB-63 1P 16A 6кА х-ка B — QF1/QF2 освещение</t>
  </si>
  <si>
    <t>Авт. выкл. NXB-63 1P 16A 6кА х-ка C — QF10</t>
  </si>
  <si>
    <t>Авт. выкл. NXB-63 1P 10A 6кА х-ка B — QF11</t>
  </si>
  <si>
    <t>Toplam ЩСО-2</t>
  </si>
  <si>
    <t>ЩСО-3</t>
  </si>
  <si>
    <t>Авт. выкл. NXB-63 1P 16A 6кА х-ка C — QF10 (РН47, кондиционеры)</t>
  </si>
  <si>
    <t>Toplam ЩСО-3</t>
  </si>
  <si>
    <t>ЩАО</t>
  </si>
  <si>
    <t>Авт. выкл. NXB-63H 3P 25A 10кА х-ка C — ввод QF0</t>
  </si>
  <si>
    <t>Авт. выкл. NXB-63 1P 16A 6кА х-ка B — Гр.А0–А3 авар. освещение</t>
  </si>
  <si>
    <t>814012</t>
  </si>
  <si>
    <t>Авт. выкл. NXB-63 1P 6A 6кА х-ка C — оборуд. пож. автоматики</t>
  </si>
  <si>
    <t>Авт. выкл. NXB-63 1P 10A 6кА х-ка B — резерв ×3</t>
  </si>
  <si>
    <t>Toplam ЩАО</t>
  </si>
  <si>
    <t>ЩЛ</t>
  </si>
  <si>
    <t>251000278_</t>
  </si>
  <si>
    <t>Корпус ЩРН-18 (265x440x120) EKT — навесной, маш. помещение</t>
  </si>
  <si>
    <t>814187</t>
  </si>
  <si>
    <t>Авт. выкл. NXB-63 3P 40A 6кА х-ка D — ввод QF0 (⚠ 10кА D stokta yok)</t>
  </si>
  <si>
    <t>814185</t>
  </si>
  <si>
    <t>Авт. выкл. NXB-63 3P 25A 6кА х-ка D — ВУЛ-1 лифт</t>
  </si>
  <si>
    <t>Авт. выкл. NXB-63 1P 6A 6кА х-ка B — QF3/QF4</t>
  </si>
  <si>
    <t>Авт. выкл. NXB-63 1P 16A 6кА х-ка B — резерв QF8</t>
  </si>
  <si>
    <t>Авт. выкл. NXB-63 1P 10A 6кА х-ка B — QF9 освещение шахты</t>
  </si>
  <si>
    <t>Авт. выкл. NXB-63 1P 16A 6кА х-ка C — резерв QF7</t>
  </si>
  <si>
    <t>Toplam ЩЛ</t>
  </si>
  <si>
    <t>ЯТП-12/250</t>
  </si>
  <si>
    <t>270300001_</t>
  </si>
  <si>
    <t>Ящик ЯТП(укп) 0,25кВА 220/12В IEK — с авт. выкл. и розеткой</t>
  </si>
  <si>
    <t>Toplam ЯТП-12/250</t>
  </si>
  <si>
    <t>№</t>
  </si>
  <si>
    <t>Пано</t>
  </si>
  <si>
    <t>Компл.</t>
  </si>
  <si>
    <t>1 компл. maliyeti (KZT)</t>
  </si>
  <si>
    <t>Toplam (KZT)</t>
  </si>
  <si>
    <t>GENEL TOPLAM</t>
  </si>
  <si>
    <t>Katsayı / Norm</t>
  </si>
  <si>
    <t>Değer</t>
  </si>
  <si>
    <t>Açıklama</t>
  </si>
  <si>
    <t>CHINT net katsayı</t>
  </si>
  <si>
    <t>Liste KZT × 0.60 (%40 isk.) — 260613 CHINT listesi (13.06.2026)</t>
  </si>
  <si>
    <t>EKT/IEK/UNIT net katsayı</t>
  </si>
  <si>
    <t>EKT 19.06.2025 (~13 ay) ⚠ ikaz: fiyatlar güncellenmeli</t>
  </si>
  <si>
    <t>Saiman net katsayı</t>
  </si>
  <si>
    <t>Saiman 2026 listesi</t>
  </si>
  <si>
    <t>Montaj malzeme %</t>
  </si>
  <si>
    <t>Pano malzeme toplamının %3ü</t>
  </si>
  <si>
    <t>İşçilik KZT/dk</t>
  </si>
  <si>
    <t>G sütunu işçilik satırında</t>
  </si>
  <si>
    <t>--- İşçilik zaman normları ---</t>
  </si>
  <si>
    <t>Dakika; I sütunu = toplam dk</t>
  </si>
  <si>
    <t>Modüler cihaz dk/modül</t>
  </si>
  <si>
    <t>OTO/DİF(UZO+OTO)/NXB-125</t>
  </si>
  <si>
    <t>TMŞ (MCCB) dk/adet</t>
  </si>
  <si>
    <t>NXM</t>
  </si>
  <si>
    <t>Sayaç dk/adet</t>
  </si>
  <si>
    <t>TT dk/adet</t>
  </si>
  <si>
    <t>PA/PV dk/adet</t>
  </si>
  <si>
    <t>SHT bobin dk/adet</t>
  </si>
  <si>
    <t>РН47 muadili</t>
  </si>
  <si>
    <t>Klemens dk/adet</t>
  </si>
  <si>
    <t>N/PE şina dk/adet</t>
  </si>
  <si>
    <t>Tarak bara dk/adet</t>
  </si>
  <si>
    <t>PIN</t>
  </si>
  <si>
    <t>DIN ray dk/metre</t>
  </si>
  <si>
    <t>Kanal dk/metre</t>
  </si>
  <si>
    <t>Korpus hazırlık dk</t>
  </si>
  <si>
    <t>ГРЩ ×1.5</t>
  </si>
  <si>
    <t>Cu bara işleme dk/çubuk</t>
  </si>
  <si>
    <t>Test/etiket katsayısı</t>
  </si>
  <si>
    <t>FİYAT KAYNAKLARI:</t>
  </si>
  <si>
    <t>CHINT: 260613_chint_Остатки...xlsx (13.06.2026, KZT) — GÜNCEL ✅</t>
  </si>
  <si>
    <t>EKT: 19062025_EKT_PRICE.xlsx (19.06.2025, KZT) — ~13 AY ⚠ ikaz ile kullanıldı</t>
  </si>
  <si>
    <t>Saiman: САЙМАН_2026_прайс (2026, KZT) — GÜNCEL ✅</t>
  </si>
  <si>
    <t>Tüm fiyatlar KZT — kur hücresi gerekmez.</t>
  </si>
  <si>
    <t>NOT: CHINT stok listesinde АВДТ (difavtomat) yok → DİF = УЗО NXL-63 1P+N 30mA + OTO NXB-63 1P kombinasyonu (3 modül).</t>
  </si>
  <si>
    <t>NOT: ЩЛ ввод 40A D 10kA stokta yok → NXB-63 3P D40 6kA kullanıldı (alternatif: NXM-125S/3P 40A).</t>
  </si>
  <si>
    <t>NOT: TT 200/5 (ПУЭ 1.5.17 hesabı); şema sembolü 400/5 — çelişki, hesap 200/5 doğruluyor.</t>
  </si>
  <si>
    <t>pys</t>
  </si>
  <si>
    <t>ekf</t>
  </si>
  <si>
    <t>voltmetr</t>
  </si>
  <si>
    <t>ampermetr</t>
  </si>
  <si>
    <t>bara</t>
  </si>
  <si>
    <t>M.</t>
  </si>
  <si>
    <t>IA</t>
  </si>
  <si>
    <t>ДАЛА СА4У-Э720 R TX OP П RS1 Д W  (3x220/380V 5-7,5A)</t>
  </si>
  <si>
    <t>130300999_</t>
  </si>
  <si>
    <t>Амперметр Э47  400/5А кл. точн. 1,5 96х96мм IEK !!!</t>
  </si>
  <si>
    <t>130300473_</t>
  </si>
  <si>
    <t>Шина медн.3х20х4000</t>
  </si>
  <si>
    <t>515381</t>
  </si>
  <si>
    <t>Диф. авт. выкл. NXBLE-63YH 1P+N C16 30mA тип A, 6kA (R)</t>
  </si>
  <si>
    <t>515395</t>
  </si>
  <si>
    <t>Диф. авт. выкл. NXBLE-63YH 1P+N C25 30mA тип A, 6kA (R) — розет. Гр.0.1–0.4 (комб.)</t>
  </si>
  <si>
    <t>Диф. авт. выкл. NXBLE-63YH 1P+N C25 30mA тип A, 6kA (R)C — розет. группы (комб.)</t>
  </si>
  <si>
    <t>Диф. авт. выкл. NXBLE-63YH 1P+N C25 30mA тип A, 6kA (R) — розет. Гр.2.1–2.7 + 2 резерв (комб.)</t>
  </si>
  <si>
    <t>Диф. авт. выкл. NXBLE-63YH 1P+N C25 30mA тип A, 6kA (R) — розет. Гр.3.1–3.7 + 2 резерв (комб.)</t>
  </si>
  <si>
    <t>719-15614</t>
  </si>
  <si>
    <t>Мет. Корпус (Пустой) (1700x600x450)+10CM База IP31</t>
  </si>
  <si>
    <t>713-15007</t>
  </si>
  <si>
    <t>Pano met.ShRv-1/18b/o(450х277х120)S/AIP31(TS)</t>
  </si>
  <si>
    <t>713-15010</t>
  </si>
  <si>
    <t>Pano met.ShRv-24b/o(320х405х120)S/A36IP31(TS)</t>
  </si>
  <si>
    <t>713-15024</t>
  </si>
  <si>
    <t>ЩРВ- 72 (670x450x125) (TS)</t>
  </si>
  <si>
    <t>713-15022</t>
  </si>
  <si>
    <t>ЩРВ- 45 (550x375x120) (TS)</t>
  </si>
  <si>
    <t>Вольтметр Э47 500В кл. точн. 1,5 72х72 IEK (1/100)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</si>
</sst>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3" fontId="3" fillId="0" borderId="1" xfId="0" applyNumberFormat="1" applyFont="1" applyBorder="1"/>
    <xf numFmtId="3" fontId="2" fillId="0" borderId="1" xfId="0" applyNumberFormat="1" applyFont="1" applyBorder="1"/>
    <xf numFmtId="0" fontId="3" fillId="2" borderId="1" xfId="0" applyFont="1" applyFill="1" applyBorder="1"/>
    <xf numFmtId="0" fontId="3" fillId="0" borderId="0" xfId="0" applyFont="1"/>
    <xf numFmtId="0" fontId="2" fillId="0" borderId="0" xfId="0" applyFont="1"/>
    <xf numFmtId="0" fontId="2" fillId="0" borderId="2" xfId="0" applyFont="1" applyBorder="1"/>
    <xf numFmtId="0" fontId="0" fillId="0" borderId="2" xfId="0" applyBorder="1"/>
    <xf numFmtId="0" fontId="2" fillId="2" borderId="2" xfId="0" applyFont="1" applyFill="1" applyBorder="1"/>
    <xf numFmtId="3" fontId="0" fillId="0" borderId="2" xfId="0" applyNumberFormat="1" applyBorder="1"/>
    <xf numFmtId="0" fontId="3" fillId="0" borderId="2" xfId="0" applyFont="1" applyBorder="1"/>
    <xf numFmtId="3" fontId="3" fillId="0" borderId="2" xfId="0" applyNumberFormat="1" applyFont="1" applyBorder="1"/>
    <xf numFmtId="164" fontId="3" fillId="0" borderId="2" xfId="0" applyNumberFormat="1" applyFont="1" applyBorder="1"/>
    <xf numFmtId="3" fontId="2" fillId="0" borderId="2" xfId="0" applyNumberFormat="1" applyFont="1" applyBorder="1"/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/>
    <xf numFmtId="0" fontId="1" fillId="3" borderId="2" xfId="0" applyFont="1" applyFill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3" fontId="4" fillId="0" borderId="3" xfId="0" applyNumberFormat="1" applyFont="1" applyBorder="1" applyAlignment="1">
      <alignment horizontal="right" vertical="top"/>
    </xf>
    <xf numFmtId="0" fontId="0" fillId="0" borderId="0" xfId="0" applyAlignment="1">
      <alignment vertical="top"/>
    </xf>
    <xf numFmtId="0" fontId="3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zoomScaleNormal="100" workbookViewId="0">
      <pane xSplit="13" ySplit="1" topLeftCell="N77" activePane="bottomRight" state="frozen"/>
      <selection pane="topRight" activeCell="N1" sqref="N1"/>
      <selection pane="bottomLeft" activeCell="A2" sqref="A2"/>
      <selection pane="bottomRight" activeCell="E111" sqref="E111"/>
    </sheetView>
  </sheetViews>
  <sheetFormatPr defaultColWidth="8.7109375" defaultRowHeight="15" x14ac:dyDescent="0.25"/>
  <cols>
    <col min="1" max="1" width="5" customWidth="1"/>
    <col min="2" max="2" width="14" customWidth="1"/>
    <col min="3" max="3" width="22.85546875" customWidth="1"/>
    <col min="4" max="4" width="14" customWidth="1"/>
    <col min="5" max="5" width="68" customWidth="1"/>
    <col min="6" max="6" width="14" customWidth="1"/>
    <col min="7" max="7" width="12" customWidth="1"/>
    <col min="8" max="8" width="14" customWidth="1"/>
    <col min="9" max="9" width="8" style="18" customWidth="1"/>
    <col min="10" max="10" width="10" style="18" customWidth="1"/>
    <col min="11" max="11" width="18.7109375" style="18" customWidth="1"/>
  </cols>
  <sheetData>
    <row r="1" spans="1:11" s="18" customFormat="1" ht="45.75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x14ac:dyDescent="0.25">
      <c r="A2" s="10">
        <v>1</v>
      </c>
      <c r="B2" s="11" t="str">
        <f>E2</f>
        <v>ГРЩ</v>
      </c>
      <c r="C2" s="10"/>
      <c r="D2" s="10"/>
      <c r="E2" s="9" t="s">
        <v>11</v>
      </c>
      <c r="F2" s="12"/>
      <c r="G2" s="12"/>
      <c r="H2" s="12"/>
      <c r="I2" s="21">
        <v>1</v>
      </c>
      <c r="J2" s="21" t="s">
        <v>12</v>
      </c>
      <c r="K2" s="21"/>
    </row>
    <row r="3" spans="1:11" x14ac:dyDescent="0.25">
      <c r="A3" s="13">
        <v>2</v>
      </c>
      <c r="B3" s="13"/>
      <c r="C3" s="13" t="s">
        <v>13</v>
      </c>
      <c r="D3" s="26" t="s">
        <v>186</v>
      </c>
      <c r="E3" s="19" t="s">
        <v>187</v>
      </c>
      <c r="F3" s="14">
        <v>145000</v>
      </c>
      <c r="G3" s="14">
        <f>F3*Kurallar!$B$3</f>
        <v>145000</v>
      </c>
      <c r="H3" s="14">
        <f t="shared" ref="H3:H21" si="0">G3*I3</f>
        <v>145000</v>
      </c>
      <c r="I3" s="22">
        <v>1</v>
      </c>
      <c r="J3" s="22" t="s">
        <v>14</v>
      </c>
      <c r="K3" s="22" t="s">
        <v>15</v>
      </c>
    </row>
    <row r="4" spans="1:11" x14ac:dyDescent="0.25">
      <c r="A4" s="13">
        <v>3</v>
      </c>
      <c r="B4" s="13"/>
      <c r="C4" s="13" t="s">
        <v>16</v>
      </c>
      <c r="D4" s="26" t="s">
        <v>187</v>
      </c>
      <c r="E4" s="13" t="s">
        <v>17</v>
      </c>
      <c r="F4" s="14">
        <v>36869</v>
      </c>
      <c r="G4" s="14">
        <f>F4*Kurallar!$B$2</f>
        <v>22121.399999999998</v>
      </c>
      <c r="H4" s="14">
        <f t="shared" si="0"/>
        <v>22121.399999999998</v>
      </c>
      <c r="I4" s="22">
        <v>1</v>
      </c>
      <c r="J4" s="22" t="s">
        <v>14</v>
      </c>
      <c r="K4" s="22" t="s">
        <v>18</v>
      </c>
    </row>
    <row r="5" spans="1:11" x14ac:dyDescent="0.25">
      <c r="A5" s="13">
        <v>4</v>
      </c>
      <c r="B5" s="13"/>
      <c r="C5" s="13" t="s">
        <v>19</v>
      </c>
      <c r="D5" s="13" t="s">
        <v>20</v>
      </c>
      <c r="E5" s="13" t="s">
        <v>21</v>
      </c>
      <c r="F5" s="14">
        <v>11788</v>
      </c>
      <c r="G5" s="14">
        <f>F5*Kurallar!$B$2</f>
        <v>7072.8</v>
      </c>
      <c r="H5" s="14">
        <f t="shared" si="0"/>
        <v>7072.8</v>
      </c>
      <c r="I5" s="22">
        <v>1</v>
      </c>
      <c r="J5" s="22" t="s">
        <v>14</v>
      </c>
      <c r="K5" s="22" t="s">
        <v>18</v>
      </c>
    </row>
    <row r="6" spans="1:11" x14ac:dyDescent="0.25">
      <c r="A6" s="13">
        <v>5</v>
      </c>
      <c r="B6" s="13"/>
      <c r="C6" s="13" t="s">
        <v>19</v>
      </c>
      <c r="D6" s="13" t="s">
        <v>22</v>
      </c>
      <c r="E6" s="13" t="s">
        <v>23</v>
      </c>
      <c r="F6" s="14">
        <v>11254</v>
      </c>
      <c r="G6" s="14">
        <f>F6*Kurallar!$B$2</f>
        <v>6752.4</v>
      </c>
      <c r="H6" s="14">
        <f t="shared" si="0"/>
        <v>27009.599999999999</v>
      </c>
      <c r="I6" s="22">
        <v>4</v>
      </c>
      <c r="J6" s="22" t="s">
        <v>14</v>
      </c>
      <c r="K6" s="22" t="s">
        <v>18</v>
      </c>
    </row>
    <row r="7" spans="1:11" x14ac:dyDescent="0.25">
      <c r="A7" s="13">
        <v>6</v>
      </c>
      <c r="B7" s="13"/>
      <c r="C7" s="13" t="s">
        <v>19</v>
      </c>
      <c r="D7" s="13" t="s">
        <v>24</v>
      </c>
      <c r="E7" s="13" t="s">
        <v>25</v>
      </c>
      <c r="F7" s="14">
        <v>11002</v>
      </c>
      <c r="G7" s="14">
        <f>F7*Kurallar!$B$2</f>
        <v>6601.2</v>
      </c>
      <c r="H7" s="14">
        <f t="shared" si="0"/>
        <v>6601.2</v>
      </c>
      <c r="I7" s="22">
        <v>1</v>
      </c>
      <c r="J7" s="22" t="s">
        <v>14</v>
      </c>
      <c r="K7" s="22" t="s">
        <v>18</v>
      </c>
    </row>
    <row r="8" spans="1:11" x14ac:dyDescent="0.25">
      <c r="A8" s="13">
        <v>7</v>
      </c>
      <c r="B8" s="13"/>
      <c r="C8" s="13" t="s">
        <v>19</v>
      </c>
      <c r="D8" s="13" t="s">
        <v>26</v>
      </c>
      <c r="E8" s="13" t="s">
        <v>27</v>
      </c>
      <c r="F8" s="14">
        <v>11771</v>
      </c>
      <c r="G8" s="14">
        <f>F8*Kurallar!$B$2</f>
        <v>7062.5999999999995</v>
      </c>
      <c r="H8" s="14">
        <f t="shared" si="0"/>
        <v>14125.199999999999</v>
      </c>
      <c r="I8" s="22">
        <v>2</v>
      </c>
      <c r="J8" s="22" t="s">
        <v>14</v>
      </c>
      <c r="K8" s="22" t="s">
        <v>18</v>
      </c>
    </row>
    <row r="9" spans="1:11" x14ac:dyDescent="0.25">
      <c r="A9" s="13">
        <v>8</v>
      </c>
      <c r="B9" s="13"/>
      <c r="C9" s="13" t="s">
        <v>19</v>
      </c>
      <c r="D9" s="13" t="s">
        <v>28</v>
      </c>
      <c r="E9" s="13" t="s">
        <v>29</v>
      </c>
      <c r="F9" s="14">
        <v>10552</v>
      </c>
      <c r="G9" s="14">
        <f>F9*Kurallar!$B$2</f>
        <v>6331.2</v>
      </c>
      <c r="H9" s="14">
        <f t="shared" si="0"/>
        <v>6331.2</v>
      </c>
      <c r="I9" s="22">
        <v>1</v>
      </c>
      <c r="J9" s="22" t="s">
        <v>14</v>
      </c>
      <c r="K9" s="22" t="s">
        <v>18</v>
      </c>
    </row>
    <row r="10" spans="1:11" x14ac:dyDescent="0.25">
      <c r="A10" s="13">
        <v>9</v>
      </c>
      <c r="B10" s="13"/>
      <c r="C10" s="13" t="s">
        <v>19</v>
      </c>
      <c r="D10" s="13" t="s">
        <v>30</v>
      </c>
      <c r="E10" s="13" t="s">
        <v>31</v>
      </c>
      <c r="F10" s="14">
        <v>1550</v>
      </c>
      <c r="G10" s="14">
        <f>F10*Kurallar!$B$2</f>
        <v>930</v>
      </c>
      <c r="H10" s="14">
        <f t="shared" si="0"/>
        <v>930</v>
      </c>
      <c r="I10" s="22">
        <v>1</v>
      </c>
      <c r="J10" s="22" t="s">
        <v>14</v>
      </c>
      <c r="K10" s="22" t="s">
        <v>18</v>
      </c>
    </row>
    <row r="11" spans="1:11" x14ac:dyDescent="0.25">
      <c r="A11" s="13">
        <v>10</v>
      </c>
      <c r="B11" s="13"/>
      <c r="C11" s="13" t="s">
        <v>32</v>
      </c>
      <c r="D11" s="13" t="s">
        <v>179</v>
      </c>
      <c r="E11" s="13" t="s">
        <v>180</v>
      </c>
      <c r="F11" s="14">
        <v>5104</v>
      </c>
      <c r="G11" s="14">
        <f>F11*Kurallar!$B$2</f>
        <v>3062.4</v>
      </c>
      <c r="H11" s="14">
        <f t="shared" si="0"/>
        <v>3062.4</v>
      </c>
      <c r="I11" s="22">
        <v>1</v>
      </c>
      <c r="J11" s="22" t="s">
        <v>14</v>
      </c>
      <c r="K11" s="22" t="s">
        <v>18</v>
      </c>
    </row>
    <row r="12" spans="1:11" x14ac:dyDescent="0.25">
      <c r="A12" s="13">
        <v>11</v>
      </c>
      <c r="B12" s="13"/>
      <c r="C12" s="13" t="s">
        <v>19</v>
      </c>
      <c r="D12" s="13" t="s">
        <v>33</v>
      </c>
      <c r="E12" s="13" t="s">
        <v>34</v>
      </c>
      <c r="F12" s="14">
        <v>1362</v>
      </c>
      <c r="G12" s="14">
        <f>F12*Kurallar!$B$2</f>
        <v>817.19999999999993</v>
      </c>
      <c r="H12" s="14">
        <f t="shared" si="0"/>
        <v>817.19999999999993</v>
      </c>
      <c r="I12" s="22">
        <v>1</v>
      </c>
      <c r="J12" s="22" t="s">
        <v>14</v>
      </c>
      <c r="K12" s="22" t="s">
        <v>18</v>
      </c>
    </row>
    <row r="13" spans="1:11" x14ac:dyDescent="0.25">
      <c r="A13" s="13">
        <v>12</v>
      </c>
      <c r="B13" s="13"/>
      <c r="C13" s="13" t="s">
        <v>35</v>
      </c>
      <c r="D13" s="13" t="s">
        <v>173</v>
      </c>
      <c r="E13" s="27" t="s">
        <v>174</v>
      </c>
      <c r="F13" s="14">
        <v>95000</v>
      </c>
      <c r="G13" s="14">
        <f>F13*Kurallar!$B$4</f>
        <v>95000</v>
      </c>
      <c r="H13" s="14">
        <f t="shared" si="0"/>
        <v>95000</v>
      </c>
      <c r="I13" s="22">
        <v>1</v>
      </c>
      <c r="J13" s="22" t="s">
        <v>14</v>
      </c>
      <c r="K13" s="22" t="s">
        <v>36</v>
      </c>
    </row>
    <row r="14" spans="1:11" x14ac:dyDescent="0.25">
      <c r="A14" s="13">
        <v>13</v>
      </c>
      <c r="B14" s="13"/>
      <c r="C14" s="13" t="s">
        <v>37</v>
      </c>
      <c r="D14" s="13" t="s">
        <v>38</v>
      </c>
      <c r="E14" s="13" t="s">
        <v>39</v>
      </c>
      <c r="F14" s="14">
        <v>6500</v>
      </c>
      <c r="G14" s="14">
        <f>F14*Kurallar!$B$4</f>
        <v>6500</v>
      </c>
      <c r="H14" s="14">
        <f t="shared" si="0"/>
        <v>39000</v>
      </c>
      <c r="I14" s="22">
        <v>6</v>
      </c>
      <c r="J14" s="22" t="s">
        <v>14</v>
      </c>
      <c r="K14" s="23" t="s">
        <v>168</v>
      </c>
    </row>
    <row r="15" spans="1:11" x14ac:dyDescent="0.25">
      <c r="A15" s="13">
        <v>14</v>
      </c>
      <c r="B15" s="13"/>
      <c r="C15" s="19" t="s">
        <v>170</v>
      </c>
      <c r="D15" s="13" t="s">
        <v>175</v>
      </c>
      <c r="E15" s="13" t="s">
        <v>176</v>
      </c>
      <c r="F15" s="14">
        <v>4800</v>
      </c>
      <c r="G15" s="14">
        <f>F15*Kurallar!$B$3</f>
        <v>4800</v>
      </c>
      <c r="H15" s="14">
        <f t="shared" si="0"/>
        <v>14400</v>
      </c>
      <c r="I15" s="22">
        <v>3</v>
      </c>
      <c r="J15" s="22" t="s">
        <v>14</v>
      </c>
      <c r="K15" s="22" t="s">
        <v>40</v>
      </c>
    </row>
    <row r="16" spans="1:11" x14ac:dyDescent="0.25">
      <c r="A16" s="13">
        <v>15</v>
      </c>
      <c r="B16" s="13"/>
      <c r="C16" s="19" t="s">
        <v>169</v>
      </c>
      <c r="D16" s="13" t="s">
        <v>41</v>
      </c>
      <c r="E16" s="13" t="s">
        <v>196</v>
      </c>
      <c r="F16" s="14">
        <v>4806</v>
      </c>
      <c r="G16" s="14">
        <f>F16*Kurallar!$B$3</f>
        <v>4806</v>
      </c>
      <c r="H16" s="14">
        <f t="shared" si="0"/>
        <v>4806</v>
      </c>
      <c r="I16" s="22">
        <v>1</v>
      </c>
      <c r="J16" s="22" t="s">
        <v>14</v>
      </c>
      <c r="K16" s="22" t="s">
        <v>40</v>
      </c>
    </row>
    <row r="17" spans="1:11" x14ac:dyDescent="0.25">
      <c r="A17" s="13">
        <v>16</v>
      </c>
      <c r="B17" s="13"/>
      <c r="C17" s="13" t="s">
        <v>42</v>
      </c>
      <c r="D17" s="13" t="s">
        <v>43</v>
      </c>
      <c r="E17" s="13" t="s">
        <v>44</v>
      </c>
      <c r="F17" s="14">
        <v>8329</v>
      </c>
      <c r="G17" s="14">
        <f>F17*Kurallar!$B$3</f>
        <v>8329</v>
      </c>
      <c r="H17" s="14">
        <f t="shared" si="0"/>
        <v>8329</v>
      </c>
      <c r="I17" s="22">
        <v>1</v>
      </c>
      <c r="J17" s="22" t="s">
        <v>14</v>
      </c>
      <c r="K17" s="22" t="s">
        <v>15</v>
      </c>
    </row>
    <row r="18" spans="1:11" x14ac:dyDescent="0.25">
      <c r="A18" s="13">
        <v>17</v>
      </c>
      <c r="B18" s="13"/>
      <c r="C18" s="13" t="s">
        <v>45</v>
      </c>
      <c r="D18" s="13" t="s">
        <v>46</v>
      </c>
      <c r="E18" s="13" t="s">
        <v>47</v>
      </c>
      <c r="F18" s="14">
        <v>111</v>
      </c>
      <c r="G18" s="14">
        <f>F18*Kurallar!$B$3</f>
        <v>111</v>
      </c>
      <c r="H18" s="14">
        <f t="shared" si="0"/>
        <v>1332</v>
      </c>
      <c r="I18" s="22">
        <v>12</v>
      </c>
      <c r="J18" s="22" t="s">
        <v>14</v>
      </c>
      <c r="K18" s="22" t="s">
        <v>48</v>
      </c>
    </row>
    <row r="19" spans="1:11" x14ac:dyDescent="0.25">
      <c r="A19" s="13">
        <v>18</v>
      </c>
      <c r="B19" s="13"/>
      <c r="C19" s="19" t="s">
        <v>171</v>
      </c>
      <c r="D19" s="13" t="s">
        <v>177</v>
      </c>
      <c r="E19" s="20" t="s">
        <v>178</v>
      </c>
      <c r="F19" s="14">
        <v>5538</v>
      </c>
      <c r="G19" s="14">
        <f>F19*Kurallar!$B$3</f>
        <v>5538</v>
      </c>
      <c r="H19" s="14">
        <f t="shared" si="0"/>
        <v>44304</v>
      </c>
      <c r="I19" s="22">
        <v>8</v>
      </c>
      <c r="J19" s="22" t="s">
        <v>172</v>
      </c>
      <c r="K19" s="23" t="s">
        <v>167</v>
      </c>
    </row>
    <row r="20" spans="1:11" x14ac:dyDescent="0.25">
      <c r="A20" s="13">
        <v>21</v>
      </c>
      <c r="B20" s="13"/>
      <c r="C20" s="13" t="s">
        <v>49</v>
      </c>
      <c r="D20" s="13" t="s">
        <v>49</v>
      </c>
      <c r="E20" s="13" t="s">
        <v>50</v>
      </c>
      <c r="F20" s="14"/>
      <c r="G20" s="14">
        <v>30000</v>
      </c>
      <c r="H20" s="14">
        <f t="shared" si="0"/>
        <v>30000</v>
      </c>
      <c r="I20" s="22">
        <v>1</v>
      </c>
      <c r="J20" s="22" t="s">
        <v>51</v>
      </c>
      <c r="K20" s="22" t="s">
        <v>49</v>
      </c>
    </row>
    <row r="21" spans="1:11" x14ac:dyDescent="0.25">
      <c r="A21" s="13">
        <v>22</v>
      </c>
      <c r="B21" s="13"/>
      <c r="C21" s="13" t="s">
        <v>53</v>
      </c>
      <c r="D21" s="13" t="s">
        <v>53</v>
      </c>
      <c r="E21" s="13" t="s">
        <v>54</v>
      </c>
      <c r="F21" s="15">
        <f>I21/60</f>
        <v>7.1</v>
      </c>
      <c r="G21" s="14">
        <f>Kurallar!$B$6</f>
        <v>100</v>
      </c>
      <c r="H21" s="14">
        <f t="shared" si="0"/>
        <v>42600</v>
      </c>
      <c r="I21" s="22">
        <f>ROUND((33*Kurallar!$B$8+1*Kurallar!$B$9+1*Kurallar!$B$10+3*Kurallar!$B$11+4*Kurallar!$B$12+12*Kurallar!$B$14+2*Kurallar!$B$15+3*Kurallar!$B$17+10*Kurallar!$B$18+1.5*Kurallar!$B$19+1*Kurallar!$B$20)*Kurallar!$B$21,0)</f>
        <v>426</v>
      </c>
      <c r="J21" s="22" t="s">
        <v>55</v>
      </c>
      <c r="K21" s="22" t="s">
        <v>53</v>
      </c>
    </row>
    <row r="22" spans="1:11" x14ac:dyDescent="0.25">
      <c r="A22" s="10">
        <v>23</v>
      </c>
      <c r="B22" s="9" t="s">
        <v>56</v>
      </c>
      <c r="C22" s="10"/>
      <c r="D22" s="10"/>
      <c r="E22" s="10"/>
      <c r="F22" s="12"/>
      <c r="G22" s="12"/>
      <c r="H22" s="16">
        <f>SUBTOTAL(9,H3:H21)</f>
        <v>512842</v>
      </c>
      <c r="I22" s="21"/>
      <c r="J22" s="21"/>
      <c r="K22" s="21"/>
    </row>
    <row r="23" spans="1:11" x14ac:dyDescent="0.25">
      <c r="A23" s="10">
        <v>24</v>
      </c>
      <c r="B23" s="11" t="str">
        <f>E23</f>
        <v>ЩСО-0</v>
      </c>
      <c r="C23" s="10"/>
      <c r="D23" s="10"/>
      <c r="E23" s="9" t="s">
        <v>57</v>
      </c>
      <c r="F23" s="12"/>
      <c r="G23" s="12"/>
      <c r="H23" s="12"/>
      <c r="I23" s="21">
        <v>1</v>
      </c>
      <c r="J23" s="21" t="s">
        <v>12</v>
      </c>
      <c r="K23" s="21"/>
    </row>
    <row r="24" spans="1:11" x14ac:dyDescent="0.25">
      <c r="A24" s="13">
        <v>25</v>
      </c>
      <c r="B24" s="13"/>
      <c r="C24" s="13" t="s">
        <v>13</v>
      </c>
      <c r="D24" s="13" t="s">
        <v>190</v>
      </c>
      <c r="E24" s="13" t="s">
        <v>191</v>
      </c>
      <c r="F24" s="14">
        <v>16500</v>
      </c>
      <c r="G24" s="14">
        <f>F24*Kurallar!$B$3</f>
        <v>16500</v>
      </c>
      <c r="H24" s="14">
        <f t="shared" ref="H24:H31" si="1">G24*I24</f>
        <v>16500</v>
      </c>
      <c r="I24" s="22">
        <v>1</v>
      </c>
      <c r="J24" s="22" t="s">
        <v>14</v>
      </c>
      <c r="K24" s="22" t="s">
        <v>15</v>
      </c>
    </row>
    <row r="25" spans="1:11" x14ac:dyDescent="0.25">
      <c r="A25" s="13">
        <v>26</v>
      </c>
      <c r="B25" s="13"/>
      <c r="C25" s="13" t="s">
        <v>19</v>
      </c>
      <c r="D25" s="13" t="s">
        <v>26</v>
      </c>
      <c r="E25" s="13" t="s">
        <v>58</v>
      </c>
      <c r="F25" s="14">
        <v>11771</v>
      </c>
      <c r="G25" s="14">
        <f>F25*Kurallar!$B$2</f>
        <v>7062.5999999999995</v>
      </c>
      <c r="H25" s="14">
        <f t="shared" si="1"/>
        <v>7062.5999999999995</v>
      </c>
      <c r="I25" s="22">
        <v>1</v>
      </c>
      <c r="J25" s="22" t="s">
        <v>14</v>
      </c>
      <c r="K25" s="22" t="s">
        <v>18</v>
      </c>
    </row>
    <row r="26" spans="1:11" x14ac:dyDescent="0.25">
      <c r="A26" s="13">
        <v>27</v>
      </c>
      <c r="B26" s="13"/>
      <c r="C26" s="13" t="s">
        <v>19</v>
      </c>
      <c r="D26" s="13" t="s">
        <v>59</v>
      </c>
      <c r="E26" s="13" t="s">
        <v>60</v>
      </c>
      <c r="F26" s="14">
        <v>1419</v>
      </c>
      <c r="G26" s="14">
        <f>F26*Kurallar!$B$2</f>
        <v>851.4</v>
      </c>
      <c r="H26" s="14">
        <f t="shared" si="1"/>
        <v>1702.8</v>
      </c>
      <c r="I26" s="22">
        <v>2</v>
      </c>
      <c r="J26" s="22" t="s">
        <v>14</v>
      </c>
      <c r="K26" s="22" t="s">
        <v>18</v>
      </c>
    </row>
    <row r="27" spans="1:11" x14ac:dyDescent="0.25">
      <c r="A27" s="13">
        <v>28</v>
      </c>
      <c r="B27" s="13"/>
      <c r="C27" s="13" t="s">
        <v>19</v>
      </c>
      <c r="D27" s="13" t="s">
        <v>61</v>
      </c>
      <c r="E27" s="13" t="s">
        <v>62</v>
      </c>
      <c r="F27" s="14">
        <v>1419</v>
      </c>
      <c r="G27" s="14">
        <f>F27*Kurallar!$B$2</f>
        <v>851.4</v>
      </c>
      <c r="H27" s="14">
        <f t="shared" si="1"/>
        <v>851.4</v>
      </c>
      <c r="I27" s="22">
        <v>1</v>
      </c>
      <c r="J27" s="22" t="s">
        <v>14</v>
      </c>
      <c r="K27" s="22" t="s">
        <v>18</v>
      </c>
    </row>
    <row r="28" spans="1:11" x14ac:dyDescent="0.25">
      <c r="A28" s="13">
        <v>29</v>
      </c>
      <c r="B28" s="13"/>
      <c r="C28" s="13" t="s">
        <v>32</v>
      </c>
      <c r="D28" s="13" t="s">
        <v>181</v>
      </c>
      <c r="E28" s="19" t="s">
        <v>182</v>
      </c>
      <c r="F28" s="14">
        <v>5069</v>
      </c>
      <c r="G28" s="14">
        <f>F28*Kurallar!$B$2</f>
        <v>3041.4</v>
      </c>
      <c r="H28" s="14">
        <f t="shared" si="1"/>
        <v>12165.6</v>
      </c>
      <c r="I28" s="22">
        <v>4</v>
      </c>
      <c r="J28" s="22" t="s">
        <v>14</v>
      </c>
      <c r="K28" s="22" t="s">
        <v>18</v>
      </c>
    </row>
    <row r="29" spans="1:11" x14ac:dyDescent="0.25">
      <c r="A29" s="13">
        <v>30</v>
      </c>
      <c r="B29" s="13"/>
      <c r="C29" s="13" t="s">
        <v>19</v>
      </c>
      <c r="D29" s="13" t="s">
        <v>63</v>
      </c>
      <c r="E29" s="13" t="s">
        <v>64</v>
      </c>
      <c r="F29" s="14">
        <v>1330</v>
      </c>
      <c r="G29" s="14">
        <f>F29*Kurallar!$B$2</f>
        <v>798</v>
      </c>
      <c r="H29" s="14">
        <f t="shared" si="1"/>
        <v>3192</v>
      </c>
      <c r="I29" s="22">
        <v>4</v>
      </c>
      <c r="J29" s="22" t="s">
        <v>14</v>
      </c>
      <c r="K29" s="22" t="s">
        <v>18</v>
      </c>
    </row>
    <row r="30" spans="1:11" x14ac:dyDescent="0.25">
      <c r="A30" s="13">
        <v>36</v>
      </c>
      <c r="B30" s="13"/>
      <c r="C30" s="13" t="s">
        <v>49</v>
      </c>
      <c r="D30" s="13"/>
      <c r="E30" s="13" t="s">
        <v>50</v>
      </c>
      <c r="F30" s="14"/>
      <c r="G30" s="14">
        <f>ROUND(Kurallar!$B$5*SUM(H24:H29),0)</f>
        <v>1244</v>
      </c>
      <c r="H30" s="14">
        <f t="shared" si="1"/>
        <v>1244</v>
      </c>
      <c r="I30" s="22">
        <v>1</v>
      </c>
      <c r="J30" s="22" t="s">
        <v>51</v>
      </c>
      <c r="K30" s="22" t="s">
        <v>52</v>
      </c>
    </row>
    <row r="31" spans="1:11" x14ac:dyDescent="0.25">
      <c r="A31" s="13">
        <v>37</v>
      </c>
      <c r="B31" s="13"/>
      <c r="C31" s="13" t="s">
        <v>53</v>
      </c>
      <c r="D31" s="13"/>
      <c r="E31" s="13" t="s">
        <v>54</v>
      </c>
      <c r="F31" s="15">
        <f>I31/60</f>
        <v>3.2666666666666666</v>
      </c>
      <c r="G31" s="14">
        <f>Kurallar!$B$6</f>
        <v>100</v>
      </c>
      <c r="H31" s="14">
        <f t="shared" si="1"/>
        <v>19600</v>
      </c>
      <c r="I31" s="22">
        <f>ROUND((18*Kurallar!$B$8+21*Kurallar!$B$14+2*Kurallar!$B$15+1*Kurallar!$B$16+2*Kurallar!$B$17+4*Kurallar!$B$18+1*Kurallar!$B$19)*Kurallar!$B$21,0)</f>
        <v>196</v>
      </c>
      <c r="J31" s="22" t="s">
        <v>55</v>
      </c>
      <c r="K31" s="22" t="s">
        <v>52</v>
      </c>
    </row>
    <row r="32" spans="1:11" x14ac:dyDescent="0.25">
      <c r="A32" s="10">
        <v>38</v>
      </c>
      <c r="B32" s="9" t="s">
        <v>69</v>
      </c>
      <c r="C32" s="10"/>
      <c r="D32" s="10"/>
      <c r="E32" s="10"/>
      <c r="F32" s="12"/>
      <c r="G32" s="12"/>
      <c r="H32" s="16">
        <f>SUBTOTAL(9,H24:H31)</f>
        <v>62318.400000000001</v>
      </c>
      <c r="I32" s="21"/>
      <c r="J32" s="21"/>
      <c r="K32" s="21"/>
    </row>
    <row r="33" spans="1:11" x14ac:dyDescent="0.25">
      <c r="A33" s="10">
        <v>39</v>
      </c>
      <c r="B33" s="11" t="str">
        <f>E33</f>
        <v>ЩСО-1</v>
      </c>
      <c r="C33" s="10"/>
      <c r="D33" s="10"/>
      <c r="E33" s="9" t="s">
        <v>70</v>
      </c>
      <c r="F33" s="12"/>
      <c r="G33" s="12"/>
      <c r="H33" s="12"/>
      <c r="I33" s="21">
        <v>1</v>
      </c>
      <c r="J33" s="21" t="s">
        <v>12</v>
      </c>
      <c r="K33" s="21"/>
    </row>
    <row r="34" spans="1:11" x14ac:dyDescent="0.25">
      <c r="A34" s="13">
        <v>40</v>
      </c>
      <c r="B34" s="13"/>
      <c r="C34" s="13" t="s">
        <v>13</v>
      </c>
      <c r="D34" s="13" t="s">
        <v>192</v>
      </c>
      <c r="E34" s="13" t="s">
        <v>193</v>
      </c>
      <c r="F34" s="14">
        <v>24490</v>
      </c>
      <c r="G34" s="14">
        <f>F34*Kurallar!$B$3</f>
        <v>24490</v>
      </c>
      <c r="H34" s="14">
        <f t="shared" ref="H34:H49" si="2">G34*I34</f>
        <v>24490</v>
      </c>
      <c r="I34" s="22">
        <v>1</v>
      </c>
      <c r="J34" s="22" t="s">
        <v>14</v>
      </c>
      <c r="K34" s="22" t="s">
        <v>15</v>
      </c>
    </row>
    <row r="35" spans="1:11" x14ac:dyDescent="0.25">
      <c r="A35" s="13">
        <v>41</v>
      </c>
      <c r="B35" s="13"/>
      <c r="C35" s="13" t="s">
        <v>19</v>
      </c>
      <c r="D35" s="13" t="s">
        <v>20</v>
      </c>
      <c r="E35" s="13" t="s">
        <v>71</v>
      </c>
      <c r="F35" s="14">
        <v>11788</v>
      </c>
      <c r="G35" s="14">
        <f>F35*Kurallar!$B$2</f>
        <v>7072.8</v>
      </c>
      <c r="H35" s="14">
        <f t="shared" si="2"/>
        <v>7072.8</v>
      </c>
      <c r="I35" s="22">
        <v>1</v>
      </c>
      <c r="J35" s="22" t="s">
        <v>14</v>
      </c>
      <c r="K35" s="22" t="s">
        <v>18</v>
      </c>
    </row>
    <row r="36" spans="1:11" x14ac:dyDescent="0.25">
      <c r="A36" s="13">
        <v>42</v>
      </c>
      <c r="B36" s="13"/>
      <c r="C36" s="13" t="s">
        <v>19</v>
      </c>
      <c r="D36" s="13" t="s">
        <v>59</v>
      </c>
      <c r="E36" s="13" t="s">
        <v>72</v>
      </c>
      <c r="F36" s="14">
        <v>1419</v>
      </c>
      <c r="G36" s="14">
        <f>F36*Kurallar!$B$2</f>
        <v>851.4</v>
      </c>
      <c r="H36" s="14">
        <f t="shared" si="2"/>
        <v>2554.1999999999998</v>
      </c>
      <c r="I36" s="22">
        <v>3</v>
      </c>
      <c r="J36" s="22" t="s">
        <v>14</v>
      </c>
      <c r="K36" s="22" t="s">
        <v>18</v>
      </c>
    </row>
    <row r="37" spans="1:11" x14ac:dyDescent="0.25">
      <c r="A37" s="13">
        <v>43</v>
      </c>
      <c r="B37" s="13"/>
      <c r="C37" s="13" t="s">
        <v>19</v>
      </c>
      <c r="D37" s="13" t="s">
        <v>73</v>
      </c>
      <c r="E37" s="13" t="s">
        <v>74</v>
      </c>
      <c r="F37" s="14">
        <v>1419</v>
      </c>
      <c r="G37" s="14">
        <f>F37*Kurallar!$B$2</f>
        <v>851.4</v>
      </c>
      <c r="H37" s="14">
        <f t="shared" si="2"/>
        <v>851.4</v>
      </c>
      <c r="I37" s="22">
        <v>1</v>
      </c>
      <c r="J37" s="22" t="s">
        <v>14</v>
      </c>
      <c r="K37" s="22" t="s">
        <v>18</v>
      </c>
    </row>
    <row r="38" spans="1:11" x14ac:dyDescent="0.25">
      <c r="A38" s="13">
        <v>44</v>
      </c>
      <c r="B38" s="13"/>
      <c r="C38" s="13" t="s">
        <v>32</v>
      </c>
      <c r="D38" s="13" t="s">
        <v>181</v>
      </c>
      <c r="E38" s="19" t="s">
        <v>183</v>
      </c>
      <c r="F38" s="14">
        <v>5069</v>
      </c>
      <c r="G38" s="14">
        <f>F38*Kurallar!$B$2</f>
        <v>3041.4</v>
      </c>
      <c r="H38" s="14">
        <f t="shared" si="2"/>
        <v>18248.400000000001</v>
      </c>
      <c r="I38" s="22">
        <v>6</v>
      </c>
      <c r="J38" s="22" t="s">
        <v>14</v>
      </c>
      <c r="K38" s="22" t="s">
        <v>18</v>
      </c>
    </row>
    <row r="39" spans="1:11" x14ac:dyDescent="0.25">
      <c r="A39" s="13">
        <v>45</v>
      </c>
      <c r="B39" s="13"/>
      <c r="C39" s="13" t="s">
        <v>19</v>
      </c>
      <c r="D39" s="13" t="s">
        <v>63</v>
      </c>
      <c r="E39" s="13" t="s">
        <v>64</v>
      </c>
      <c r="F39" s="14">
        <v>1330</v>
      </c>
      <c r="G39" s="14">
        <f>F39*Kurallar!$B$2</f>
        <v>798</v>
      </c>
      <c r="H39" s="14">
        <f t="shared" si="2"/>
        <v>4788</v>
      </c>
      <c r="I39" s="22">
        <v>6</v>
      </c>
      <c r="J39" s="22" t="s">
        <v>14</v>
      </c>
      <c r="K39" s="22" t="s">
        <v>18</v>
      </c>
    </row>
    <row r="40" spans="1:11" x14ac:dyDescent="0.25">
      <c r="A40" s="13">
        <v>46</v>
      </c>
      <c r="B40" s="13"/>
      <c r="C40" s="13" t="s">
        <v>19</v>
      </c>
      <c r="D40" s="13" t="s">
        <v>75</v>
      </c>
      <c r="E40" s="13" t="s">
        <v>76</v>
      </c>
      <c r="F40" s="14">
        <v>5462</v>
      </c>
      <c r="G40" s="14">
        <f>F40*Kurallar!$B$2</f>
        <v>3277.2</v>
      </c>
      <c r="H40" s="14">
        <f t="shared" si="2"/>
        <v>3277.2</v>
      </c>
      <c r="I40" s="22">
        <v>1</v>
      </c>
      <c r="J40" s="22" t="s">
        <v>14</v>
      </c>
      <c r="K40" s="22" t="s">
        <v>18</v>
      </c>
    </row>
    <row r="41" spans="1:11" x14ac:dyDescent="0.25">
      <c r="A41" s="13">
        <v>47</v>
      </c>
      <c r="B41" s="13"/>
      <c r="C41" s="13" t="s">
        <v>19</v>
      </c>
      <c r="D41" s="13" t="s">
        <v>77</v>
      </c>
      <c r="E41" s="13" t="s">
        <v>78</v>
      </c>
      <c r="F41" s="14">
        <v>6060</v>
      </c>
      <c r="G41" s="14">
        <f>F41*Kurallar!$B$2</f>
        <v>3636</v>
      </c>
      <c r="H41" s="14">
        <f t="shared" si="2"/>
        <v>10908</v>
      </c>
      <c r="I41" s="22">
        <v>3</v>
      </c>
      <c r="J41" s="22" t="s">
        <v>14</v>
      </c>
      <c r="K41" s="22" t="s">
        <v>18</v>
      </c>
    </row>
    <row r="42" spans="1:11" x14ac:dyDescent="0.25">
      <c r="A42" s="13">
        <v>48</v>
      </c>
      <c r="B42" s="13"/>
      <c r="C42" s="13" t="s">
        <v>19</v>
      </c>
      <c r="D42" s="13" t="s">
        <v>63</v>
      </c>
      <c r="E42" s="13" t="s">
        <v>79</v>
      </c>
      <c r="F42" s="14">
        <v>1330</v>
      </c>
      <c r="G42" s="14">
        <f>F42*Kurallar!$B$2</f>
        <v>798</v>
      </c>
      <c r="H42" s="14">
        <f t="shared" si="2"/>
        <v>798</v>
      </c>
      <c r="I42" s="22">
        <v>1</v>
      </c>
      <c r="J42" s="22" t="s">
        <v>14</v>
      </c>
      <c r="K42" s="22" t="s">
        <v>18</v>
      </c>
    </row>
    <row r="43" spans="1:11" x14ac:dyDescent="0.25">
      <c r="A43" s="13">
        <v>49</v>
      </c>
      <c r="B43" s="13"/>
      <c r="C43" s="13" t="s">
        <v>19</v>
      </c>
      <c r="D43" s="13" t="s">
        <v>80</v>
      </c>
      <c r="E43" s="13" t="s">
        <v>81</v>
      </c>
      <c r="F43" s="14">
        <v>1389</v>
      </c>
      <c r="G43" s="14">
        <f>F43*Kurallar!$B$2</f>
        <v>833.4</v>
      </c>
      <c r="H43" s="14">
        <f t="shared" si="2"/>
        <v>1666.8</v>
      </c>
      <c r="I43" s="22">
        <v>2</v>
      </c>
      <c r="J43" s="22" t="s">
        <v>14</v>
      </c>
      <c r="K43" s="22" t="s">
        <v>18</v>
      </c>
    </row>
    <row r="44" spans="1:11" x14ac:dyDescent="0.25">
      <c r="A44" s="13">
        <v>50</v>
      </c>
      <c r="B44" s="13"/>
      <c r="C44" s="13" t="s">
        <v>82</v>
      </c>
      <c r="D44" s="13" t="s">
        <v>83</v>
      </c>
      <c r="E44" s="13" t="s">
        <v>84</v>
      </c>
      <c r="F44" s="14">
        <v>5354</v>
      </c>
      <c r="G44" s="14">
        <f>F44*Kurallar!$B$2</f>
        <v>3212.4</v>
      </c>
      <c r="H44" s="14">
        <f t="shared" si="2"/>
        <v>12849.6</v>
      </c>
      <c r="I44" s="22">
        <v>4</v>
      </c>
      <c r="J44" s="22" t="s">
        <v>14</v>
      </c>
      <c r="K44" s="22" t="s">
        <v>18</v>
      </c>
    </row>
    <row r="45" spans="1:11" x14ac:dyDescent="0.25">
      <c r="A45" s="13">
        <v>51</v>
      </c>
      <c r="B45" s="13"/>
      <c r="C45" s="13" t="s">
        <v>45</v>
      </c>
      <c r="D45" s="13" t="s">
        <v>65</v>
      </c>
      <c r="E45" s="13" t="s">
        <v>66</v>
      </c>
      <c r="F45" s="14">
        <v>90</v>
      </c>
      <c r="G45" s="14">
        <f>F45*Kurallar!$B$3</f>
        <v>90</v>
      </c>
      <c r="H45" s="14">
        <f t="shared" si="2"/>
        <v>1890</v>
      </c>
      <c r="I45" s="22">
        <v>21</v>
      </c>
      <c r="J45" s="22" t="s">
        <v>14</v>
      </c>
      <c r="K45" s="22" t="s">
        <v>48</v>
      </c>
    </row>
    <row r="46" spans="1:11" x14ac:dyDescent="0.25">
      <c r="A46" s="13">
        <v>52</v>
      </c>
      <c r="B46" s="13"/>
      <c r="C46" s="13" t="s">
        <v>45</v>
      </c>
      <c r="D46" s="13" t="s">
        <v>46</v>
      </c>
      <c r="E46" s="13" t="s">
        <v>85</v>
      </c>
      <c r="F46" s="14">
        <v>111</v>
      </c>
      <c r="G46" s="14">
        <f>F46*Kurallar!$B$3</f>
        <v>111</v>
      </c>
      <c r="H46" s="14">
        <f t="shared" si="2"/>
        <v>2220</v>
      </c>
      <c r="I46" s="22">
        <v>20</v>
      </c>
      <c r="J46" s="22" t="s">
        <v>14</v>
      </c>
      <c r="K46" s="22" t="s">
        <v>48</v>
      </c>
    </row>
    <row r="47" spans="1:11" x14ac:dyDescent="0.25">
      <c r="A47" s="13">
        <v>53</v>
      </c>
      <c r="B47" s="13"/>
      <c r="C47" s="13" t="s">
        <v>45</v>
      </c>
      <c r="D47" s="13" t="s">
        <v>67</v>
      </c>
      <c r="E47" s="13" t="s">
        <v>68</v>
      </c>
      <c r="F47" s="14">
        <v>494</v>
      </c>
      <c r="G47" s="14">
        <f>F47*Kurallar!$B$3</f>
        <v>494</v>
      </c>
      <c r="H47" s="14">
        <f t="shared" si="2"/>
        <v>988</v>
      </c>
      <c r="I47" s="22">
        <v>2</v>
      </c>
      <c r="J47" s="22" t="s">
        <v>14</v>
      </c>
      <c r="K47" s="22" t="s">
        <v>40</v>
      </c>
    </row>
    <row r="48" spans="1:11" x14ac:dyDescent="0.25">
      <c r="A48" s="13">
        <v>57</v>
      </c>
      <c r="B48" s="13"/>
      <c r="C48" s="13" t="s">
        <v>49</v>
      </c>
      <c r="D48" s="13"/>
      <c r="E48" s="13" t="s">
        <v>50</v>
      </c>
      <c r="F48" s="14"/>
      <c r="G48" s="14">
        <f>ROUND(Kurallar!$B$5*SUM(H34:H47),0)</f>
        <v>2778</v>
      </c>
      <c r="H48" s="14">
        <f t="shared" si="2"/>
        <v>2778</v>
      </c>
      <c r="I48" s="22">
        <v>1</v>
      </c>
      <c r="J48" s="22" t="s">
        <v>51</v>
      </c>
      <c r="K48" s="22" t="s">
        <v>52</v>
      </c>
    </row>
    <row r="49" spans="1:11" x14ac:dyDescent="0.25">
      <c r="A49" s="13">
        <v>58</v>
      </c>
      <c r="B49" s="13"/>
      <c r="C49" s="13" t="s">
        <v>53</v>
      </c>
      <c r="D49" s="13"/>
      <c r="E49" s="13" t="s">
        <v>54</v>
      </c>
      <c r="F49" s="15">
        <f>I49/60</f>
        <v>5.9833333333333334</v>
      </c>
      <c r="G49" s="14">
        <f>Kurallar!$B$6</f>
        <v>100</v>
      </c>
      <c r="H49" s="14">
        <f t="shared" si="2"/>
        <v>35900</v>
      </c>
      <c r="I49" s="22">
        <f>ROUND((46*Kurallar!$B$8+4*Kurallar!$B$13+41*Kurallar!$B$14+2*Kurallar!$B$15+1*Kurallar!$B$16+3*Kurallar!$B$17+8*Kurallar!$B$18+1*Kurallar!$B$19)*Kurallar!$B$21,0)</f>
        <v>359</v>
      </c>
      <c r="J49" s="22" t="s">
        <v>55</v>
      </c>
      <c r="K49" s="22" t="s">
        <v>52</v>
      </c>
    </row>
    <row r="50" spans="1:11" x14ac:dyDescent="0.25">
      <c r="A50" s="10">
        <v>59</v>
      </c>
      <c r="B50" s="9" t="s">
        <v>86</v>
      </c>
      <c r="C50" s="10"/>
      <c r="D50" s="10"/>
      <c r="E50" s="10"/>
      <c r="F50" s="12"/>
      <c r="G50" s="12"/>
      <c r="H50" s="16">
        <f>SUBTOTAL(9,H34:H49)</f>
        <v>131280.40000000002</v>
      </c>
      <c r="I50" s="21"/>
      <c r="J50" s="21"/>
      <c r="K50" s="21"/>
    </row>
    <row r="51" spans="1:11" x14ac:dyDescent="0.25">
      <c r="A51" s="10">
        <v>60</v>
      </c>
      <c r="B51" s="11" t="str">
        <f>E51</f>
        <v>ЩСО-2</v>
      </c>
      <c r="C51" s="10"/>
      <c r="D51" s="10"/>
      <c r="E51" s="9" t="s">
        <v>87</v>
      </c>
      <c r="F51" s="12"/>
      <c r="G51" s="12"/>
      <c r="H51" s="12"/>
      <c r="I51" s="21">
        <v>1</v>
      </c>
      <c r="J51" s="21" t="s">
        <v>12</v>
      </c>
      <c r="K51" s="21"/>
    </row>
    <row r="52" spans="1:11" x14ac:dyDescent="0.25">
      <c r="A52" s="13">
        <v>61</v>
      </c>
      <c r="B52" s="13"/>
      <c r="C52" s="13" t="s">
        <v>13</v>
      </c>
      <c r="D52" s="13" t="s">
        <v>194</v>
      </c>
      <c r="E52" s="13" t="s">
        <v>195</v>
      </c>
      <c r="F52" s="14">
        <v>22000</v>
      </c>
      <c r="G52" s="14">
        <f>F52*Kurallar!$B$3</f>
        <v>22000</v>
      </c>
      <c r="H52" s="14">
        <f t="shared" ref="H52:H62" si="3">G52*I52</f>
        <v>22000</v>
      </c>
      <c r="I52" s="22">
        <v>1</v>
      </c>
      <c r="J52" s="22" t="s">
        <v>14</v>
      </c>
      <c r="K52" s="22" t="s">
        <v>15</v>
      </c>
    </row>
    <row r="53" spans="1:11" x14ac:dyDescent="0.25">
      <c r="A53" s="13">
        <v>62</v>
      </c>
      <c r="B53" s="13"/>
      <c r="C53" s="13" t="s">
        <v>19</v>
      </c>
      <c r="D53" s="13" t="s">
        <v>24</v>
      </c>
      <c r="E53" s="13" t="s">
        <v>88</v>
      </c>
      <c r="F53" s="14">
        <v>11002</v>
      </c>
      <c r="G53" s="14">
        <f>F53*Kurallar!$B$2</f>
        <v>6601.2</v>
      </c>
      <c r="H53" s="14">
        <f t="shared" si="3"/>
        <v>6601.2</v>
      </c>
      <c r="I53" s="22">
        <v>1</v>
      </c>
      <c r="J53" s="22" t="s">
        <v>14</v>
      </c>
      <c r="K53" s="22" t="s">
        <v>18</v>
      </c>
    </row>
    <row r="54" spans="1:11" x14ac:dyDescent="0.25">
      <c r="A54" s="13">
        <v>63</v>
      </c>
      <c r="B54" s="13"/>
      <c r="C54" s="13" t="s">
        <v>19</v>
      </c>
      <c r="D54" s="13" t="s">
        <v>59</v>
      </c>
      <c r="E54" s="13" t="s">
        <v>89</v>
      </c>
      <c r="F54" s="14">
        <v>1419</v>
      </c>
      <c r="G54" s="14">
        <f>F54*Kurallar!$B$2</f>
        <v>851.4</v>
      </c>
      <c r="H54" s="14">
        <f t="shared" si="3"/>
        <v>1702.8</v>
      </c>
      <c r="I54" s="22">
        <v>2</v>
      </c>
      <c r="J54" s="22" t="s">
        <v>14</v>
      </c>
      <c r="K54" s="22" t="s">
        <v>18</v>
      </c>
    </row>
    <row r="55" spans="1:11" x14ac:dyDescent="0.25">
      <c r="A55" s="13">
        <v>64</v>
      </c>
      <c r="B55" s="13"/>
      <c r="C55" s="13" t="s">
        <v>32</v>
      </c>
      <c r="D55" s="13" t="s">
        <v>181</v>
      </c>
      <c r="E55" s="19" t="s">
        <v>184</v>
      </c>
      <c r="F55" s="14">
        <v>5069</v>
      </c>
      <c r="G55" s="14">
        <f>F55*Kurallar!$B$2</f>
        <v>3041.4</v>
      </c>
      <c r="H55" s="14">
        <f t="shared" si="3"/>
        <v>27372.600000000002</v>
      </c>
      <c r="I55" s="22">
        <v>9</v>
      </c>
      <c r="J55" s="22" t="s">
        <v>14</v>
      </c>
      <c r="K55" s="22" t="s">
        <v>18</v>
      </c>
    </row>
    <row r="56" spans="1:11" x14ac:dyDescent="0.25">
      <c r="A56" s="13">
        <v>65</v>
      </c>
      <c r="B56" s="13"/>
      <c r="C56" s="13" t="s">
        <v>19</v>
      </c>
      <c r="D56" s="13" t="s">
        <v>63</v>
      </c>
      <c r="E56" s="13" t="s">
        <v>64</v>
      </c>
      <c r="F56" s="14">
        <v>1330</v>
      </c>
      <c r="G56" s="14">
        <f>F56*Kurallar!$B$2</f>
        <v>798</v>
      </c>
      <c r="H56" s="14">
        <f t="shared" si="3"/>
        <v>7182</v>
      </c>
      <c r="I56" s="22">
        <v>9</v>
      </c>
      <c r="J56" s="22" t="s">
        <v>14</v>
      </c>
      <c r="K56" s="22" t="s">
        <v>18</v>
      </c>
    </row>
    <row r="57" spans="1:11" x14ac:dyDescent="0.25">
      <c r="A57" s="13">
        <v>66</v>
      </c>
      <c r="B57" s="13"/>
      <c r="C57" s="13" t="s">
        <v>19</v>
      </c>
      <c r="D57" s="13" t="s">
        <v>80</v>
      </c>
      <c r="E57" s="13" t="s">
        <v>90</v>
      </c>
      <c r="F57" s="14">
        <v>1389</v>
      </c>
      <c r="G57" s="14">
        <f>F57*Kurallar!$B$2</f>
        <v>833.4</v>
      </c>
      <c r="H57" s="14">
        <f t="shared" si="3"/>
        <v>833.4</v>
      </c>
      <c r="I57" s="22">
        <v>1</v>
      </c>
      <c r="J57" s="22" t="s">
        <v>14</v>
      </c>
      <c r="K57" s="22" t="s">
        <v>18</v>
      </c>
    </row>
    <row r="58" spans="1:11" x14ac:dyDescent="0.25">
      <c r="A58" s="13">
        <v>67</v>
      </c>
      <c r="B58" s="13"/>
      <c r="C58" s="13" t="s">
        <v>19</v>
      </c>
      <c r="D58" s="13" t="s">
        <v>73</v>
      </c>
      <c r="E58" s="13" t="s">
        <v>91</v>
      </c>
      <c r="F58" s="14">
        <v>1419</v>
      </c>
      <c r="G58" s="14">
        <f>F58*Kurallar!$B$2</f>
        <v>851.4</v>
      </c>
      <c r="H58" s="14">
        <f t="shared" si="3"/>
        <v>851.4</v>
      </c>
      <c r="I58" s="22">
        <v>1</v>
      </c>
      <c r="J58" s="22" t="s">
        <v>14</v>
      </c>
      <c r="K58" s="22" t="s">
        <v>18</v>
      </c>
    </row>
    <row r="59" spans="1:11" x14ac:dyDescent="0.25">
      <c r="A59" s="13">
        <v>68</v>
      </c>
      <c r="B59" s="13"/>
      <c r="C59" s="13" t="s">
        <v>45</v>
      </c>
      <c r="D59" s="13" t="s">
        <v>65</v>
      </c>
      <c r="E59" s="13" t="s">
        <v>66</v>
      </c>
      <c r="F59" s="14">
        <v>90</v>
      </c>
      <c r="G59" s="14">
        <f>F59*Kurallar!$B$3</f>
        <v>90</v>
      </c>
      <c r="H59" s="14">
        <f t="shared" si="3"/>
        <v>3510</v>
      </c>
      <c r="I59" s="22">
        <v>39</v>
      </c>
      <c r="J59" s="22" t="s">
        <v>14</v>
      </c>
      <c r="K59" s="22" t="s">
        <v>48</v>
      </c>
    </row>
    <row r="60" spans="1:11" x14ac:dyDescent="0.25">
      <c r="A60" s="13">
        <v>69</v>
      </c>
      <c r="B60" s="13"/>
      <c r="C60" s="13" t="s">
        <v>45</v>
      </c>
      <c r="D60" s="13" t="s">
        <v>67</v>
      </c>
      <c r="E60" s="13" t="s">
        <v>68</v>
      </c>
      <c r="F60" s="14">
        <v>494</v>
      </c>
      <c r="G60" s="14">
        <f>F60*Kurallar!$B$3</f>
        <v>494</v>
      </c>
      <c r="H60" s="14">
        <f t="shared" si="3"/>
        <v>988</v>
      </c>
      <c r="I60" s="22">
        <v>2</v>
      </c>
      <c r="J60" s="22" t="s">
        <v>14</v>
      </c>
      <c r="K60" s="22" t="s">
        <v>40</v>
      </c>
    </row>
    <row r="61" spans="1:11" x14ac:dyDescent="0.25">
      <c r="A61" s="13">
        <v>73</v>
      </c>
      <c r="B61" s="13"/>
      <c r="C61" s="13" t="s">
        <v>49</v>
      </c>
      <c r="D61" s="13"/>
      <c r="E61" s="13" t="s">
        <v>50</v>
      </c>
      <c r="F61" s="14"/>
      <c r="G61" s="14">
        <f>ROUND(Kurallar!$B$5*SUM(H52:H60),0)</f>
        <v>2131</v>
      </c>
      <c r="H61" s="14">
        <f t="shared" si="3"/>
        <v>2131</v>
      </c>
      <c r="I61" s="22">
        <v>1</v>
      </c>
      <c r="J61" s="22" t="s">
        <v>51</v>
      </c>
      <c r="K61" s="22" t="s">
        <v>52</v>
      </c>
    </row>
    <row r="62" spans="1:11" x14ac:dyDescent="0.25">
      <c r="A62" s="13">
        <v>74</v>
      </c>
      <c r="B62" s="13"/>
      <c r="C62" s="13" t="s">
        <v>53</v>
      </c>
      <c r="D62" s="13"/>
      <c r="E62" s="13" t="s">
        <v>54</v>
      </c>
      <c r="F62" s="15">
        <f>I62/60</f>
        <v>4.833333333333333</v>
      </c>
      <c r="G62" s="14">
        <f>Kurallar!$B$6</f>
        <v>100</v>
      </c>
      <c r="H62" s="14">
        <f t="shared" si="3"/>
        <v>29000</v>
      </c>
      <c r="I62" s="22">
        <f>ROUND((35*Kurallar!$B$8+39*Kurallar!$B$14+2*Kurallar!$B$15+1*Kurallar!$B$16+3*Kurallar!$B$17+6*Kurallar!$B$18+1*Kurallar!$B$19)*Kurallar!$B$21,0)</f>
        <v>290</v>
      </c>
      <c r="J62" s="22" t="s">
        <v>55</v>
      </c>
      <c r="K62" s="22" t="s">
        <v>52</v>
      </c>
    </row>
    <row r="63" spans="1:11" x14ac:dyDescent="0.25">
      <c r="A63" s="10">
        <v>75</v>
      </c>
      <c r="B63" s="9" t="s">
        <v>92</v>
      </c>
      <c r="C63" s="10"/>
      <c r="D63" s="10"/>
      <c r="E63" s="10"/>
      <c r="F63" s="12"/>
      <c r="G63" s="12"/>
      <c r="H63" s="16">
        <f>SUBTOTAL(9,H52:H62)</f>
        <v>102172.4</v>
      </c>
      <c r="I63" s="21"/>
      <c r="J63" s="21"/>
      <c r="K63" s="21"/>
    </row>
    <row r="64" spans="1:11" x14ac:dyDescent="0.25">
      <c r="A64" s="10">
        <v>76</v>
      </c>
      <c r="B64" s="11" t="str">
        <f>E64</f>
        <v>ЩСО-3</v>
      </c>
      <c r="C64" s="10"/>
      <c r="D64" s="10"/>
      <c r="E64" s="9" t="s">
        <v>93</v>
      </c>
      <c r="F64" s="12"/>
      <c r="G64" s="12"/>
      <c r="H64" s="12"/>
      <c r="I64" s="21">
        <v>1</v>
      </c>
      <c r="J64" s="21" t="s">
        <v>12</v>
      </c>
      <c r="K64" s="21"/>
    </row>
    <row r="65" spans="1:11" x14ac:dyDescent="0.25">
      <c r="A65" s="13">
        <v>77</v>
      </c>
      <c r="B65" s="13"/>
      <c r="C65" s="13" t="s">
        <v>13</v>
      </c>
      <c r="D65" s="13" t="s">
        <v>194</v>
      </c>
      <c r="E65" s="13" t="s">
        <v>195</v>
      </c>
      <c r="F65" s="14">
        <v>22000</v>
      </c>
      <c r="G65" s="14">
        <f>F65*Kurallar!$B$3</f>
        <v>22000</v>
      </c>
      <c r="H65" s="14">
        <f t="shared" ref="H65:H76" si="4">G65*I65</f>
        <v>22000</v>
      </c>
      <c r="I65" s="22">
        <v>1</v>
      </c>
      <c r="J65" s="22" t="s">
        <v>14</v>
      </c>
      <c r="K65" s="22" t="s">
        <v>15</v>
      </c>
    </row>
    <row r="66" spans="1:11" x14ac:dyDescent="0.25">
      <c r="A66" s="13">
        <v>78</v>
      </c>
      <c r="B66" s="13"/>
      <c r="C66" s="13" t="s">
        <v>19</v>
      </c>
      <c r="D66" s="13" t="s">
        <v>24</v>
      </c>
      <c r="E66" s="13" t="s">
        <v>88</v>
      </c>
      <c r="F66" s="14">
        <v>11002</v>
      </c>
      <c r="G66" s="14">
        <f>F66*Kurallar!$B$2</f>
        <v>6601.2</v>
      </c>
      <c r="H66" s="14">
        <f t="shared" si="4"/>
        <v>6601.2</v>
      </c>
      <c r="I66" s="22">
        <v>1</v>
      </c>
      <c r="J66" s="22" t="s">
        <v>14</v>
      </c>
      <c r="K66" s="22" t="s">
        <v>18</v>
      </c>
    </row>
    <row r="67" spans="1:11" x14ac:dyDescent="0.25">
      <c r="A67" s="13">
        <v>79</v>
      </c>
      <c r="B67" s="13"/>
      <c r="C67" s="13" t="s">
        <v>19</v>
      </c>
      <c r="D67" s="13" t="s">
        <v>59</v>
      </c>
      <c r="E67" s="13" t="s">
        <v>89</v>
      </c>
      <c r="F67" s="14">
        <v>1419</v>
      </c>
      <c r="G67" s="14">
        <f>F67*Kurallar!$B$2</f>
        <v>851.4</v>
      </c>
      <c r="H67" s="14">
        <f t="shared" si="4"/>
        <v>1702.8</v>
      </c>
      <c r="I67" s="22">
        <v>2</v>
      </c>
      <c r="J67" s="22" t="s">
        <v>14</v>
      </c>
      <c r="K67" s="22" t="s">
        <v>18</v>
      </c>
    </row>
    <row r="68" spans="1:11" x14ac:dyDescent="0.25">
      <c r="A68" s="13">
        <v>80</v>
      </c>
      <c r="B68" s="13"/>
      <c r="C68" s="13" t="s">
        <v>32</v>
      </c>
      <c r="D68" s="13" t="s">
        <v>181</v>
      </c>
      <c r="E68" s="19" t="s">
        <v>185</v>
      </c>
      <c r="F68" s="14">
        <v>5069</v>
      </c>
      <c r="G68" s="14">
        <f>F68*Kurallar!$B$2</f>
        <v>3041.4</v>
      </c>
      <c r="H68" s="14">
        <f t="shared" si="4"/>
        <v>27372.600000000002</v>
      </c>
      <c r="I68" s="22">
        <v>9</v>
      </c>
      <c r="J68" s="22" t="s">
        <v>14</v>
      </c>
      <c r="K68" s="22" t="s">
        <v>18</v>
      </c>
    </row>
    <row r="69" spans="1:11" x14ac:dyDescent="0.25">
      <c r="A69" s="13">
        <v>81</v>
      </c>
      <c r="B69" s="13"/>
      <c r="C69" s="13" t="s">
        <v>19</v>
      </c>
      <c r="D69" s="13" t="s">
        <v>63</v>
      </c>
      <c r="E69" s="13" t="s">
        <v>64</v>
      </c>
      <c r="F69" s="14">
        <v>1330</v>
      </c>
      <c r="G69" s="14">
        <f>F69*Kurallar!$B$2</f>
        <v>798</v>
      </c>
      <c r="H69" s="14">
        <f t="shared" si="4"/>
        <v>7182</v>
      </c>
      <c r="I69" s="22">
        <v>9</v>
      </c>
      <c r="J69" s="22" t="s">
        <v>14</v>
      </c>
      <c r="K69" s="22" t="s">
        <v>18</v>
      </c>
    </row>
    <row r="70" spans="1:11" x14ac:dyDescent="0.25">
      <c r="A70" s="13">
        <v>82</v>
      </c>
      <c r="B70" s="13"/>
      <c r="C70" s="13" t="s">
        <v>19</v>
      </c>
      <c r="D70" s="13" t="s">
        <v>80</v>
      </c>
      <c r="E70" s="13" t="s">
        <v>94</v>
      </c>
      <c r="F70" s="14">
        <v>1389</v>
      </c>
      <c r="G70" s="14">
        <f>F70*Kurallar!$B$2</f>
        <v>833.4</v>
      </c>
      <c r="H70" s="14">
        <f t="shared" si="4"/>
        <v>833.4</v>
      </c>
      <c r="I70" s="22">
        <v>1</v>
      </c>
      <c r="J70" s="22" t="s">
        <v>14</v>
      </c>
      <c r="K70" s="22" t="s">
        <v>18</v>
      </c>
    </row>
    <row r="71" spans="1:11" x14ac:dyDescent="0.25">
      <c r="A71" s="13">
        <v>83</v>
      </c>
      <c r="B71" s="13"/>
      <c r="C71" s="13" t="s">
        <v>19</v>
      </c>
      <c r="D71" s="13" t="s">
        <v>73</v>
      </c>
      <c r="E71" s="13" t="s">
        <v>91</v>
      </c>
      <c r="F71" s="14">
        <v>1419</v>
      </c>
      <c r="G71" s="14">
        <f>F71*Kurallar!$B$2</f>
        <v>851.4</v>
      </c>
      <c r="H71" s="14">
        <f t="shared" si="4"/>
        <v>851.4</v>
      </c>
      <c r="I71" s="22">
        <v>1</v>
      </c>
      <c r="J71" s="22" t="s">
        <v>14</v>
      </c>
      <c r="K71" s="22" t="s">
        <v>18</v>
      </c>
    </row>
    <row r="72" spans="1:11" x14ac:dyDescent="0.25">
      <c r="A72" s="13">
        <v>84</v>
      </c>
      <c r="B72" s="13"/>
      <c r="C72" s="13" t="s">
        <v>82</v>
      </c>
      <c r="D72" s="13" t="s">
        <v>83</v>
      </c>
      <c r="E72" s="13" t="s">
        <v>84</v>
      </c>
      <c r="F72" s="14">
        <v>5354</v>
      </c>
      <c r="G72" s="14">
        <f>F72*Kurallar!$B$2</f>
        <v>3212.4</v>
      </c>
      <c r="H72" s="14">
        <f t="shared" si="4"/>
        <v>3212.4</v>
      </c>
      <c r="I72" s="22">
        <v>1</v>
      </c>
      <c r="J72" s="22" t="s">
        <v>14</v>
      </c>
      <c r="K72" s="22" t="s">
        <v>18</v>
      </c>
    </row>
    <row r="73" spans="1:11" x14ac:dyDescent="0.25">
      <c r="A73" s="13">
        <v>85</v>
      </c>
      <c r="B73" s="13"/>
      <c r="C73" s="13" t="s">
        <v>45</v>
      </c>
      <c r="D73" s="13" t="s">
        <v>65</v>
      </c>
      <c r="E73" s="13" t="s">
        <v>66</v>
      </c>
      <c r="F73" s="14">
        <v>90</v>
      </c>
      <c r="G73" s="14">
        <f>F73*Kurallar!$B$3</f>
        <v>90</v>
      </c>
      <c r="H73" s="14">
        <f t="shared" si="4"/>
        <v>3510</v>
      </c>
      <c r="I73" s="22">
        <v>39</v>
      </c>
      <c r="J73" s="22" t="s">
        <v>14</v>
      </c>
      <c r="K73" s="22" t="s">
        <v>48</v>
      </c>
    </row>
    <row r="74" spans="1:11" x14ac:dyDescent="0.25">
      <c r="A74" s="13">
        <v>86</v>
      </c>
      <c r="B74" s="13"/>
      <c r="C74" s="13" t="s">
        <v>45</v>
      </c>
      <c r="D74" s="13" t="s">
        <v>67</v>
      </c>
      <c r="E74" s="13" t="s">
        <v>68</v>
      </c>
      <c r="F74" s="14">
        <v>494</v>
      </c>
      <c r="G74" s="14">
        <f>F74*Kurallar!$B$3</f>
        <v>494</v>
      </c>
      <c r="H74" s="14">
        <f t="shared" si="4"/>
        <v>988</v>
      </c>
      <c r="I74" s="22">
        <v>2</v>
      </c>
      <c r="J74" s="22" t="s">
        <v>14</v>
      </c>
      <c r="K74" s="22" t="s">
        <v>40</v>
      </c>
    </row>
    <row r="75" spans="1:11" x14ac:dyDescent="0.25">
      <c r="A75" s="13">
        <v>90</v>
      </c>
      <c r="B75" s="13"/>
      <c r="C75" s="13" t="s">
        <v>49</v>
      </c>
      <c r="D75" s="13"/>
      <c r="E75" s="13" t="s">
        <v>50</v>
      </c>
      <c r="F75" s="14"/>
      <c r="G75" s="14">
        <f>ROUND(Kurallar!$B$5*SUM(H65:H74),0)</f>
        <v>2228</v>
      </c>
      <c r="H75" s="14">
        <f t="shared" si="4"/>
        <v>2228</v>
      </c>
      <c r="I75" s="22">
        <v>1</v>
      </c>
      <c r="J75" s="22" t="s">
        <v>51</v>
      </c>
      <c r="K75" s="22" t="s">
        <v>52</v>
      </c>
    </row>
    <row r="76" spans="1:11" x14ac:dyDescent="0.25">
      <c r="A76" s="13">
        <v>91</v>
      </c>
      <c r="B76" s="13"/>
      <c r="C76" s="13" t="s">
        <v>53</v>
      </c>
      <c r="D76" s="13"/>
      <c r="E76" s="13" t="s">
        <v>54</v>
      </c>
      <c r="F76" s="15">
        <f>I76/60</f>
        <v>4.9833333333333334</v>
      </c>
      <c r="G76" s="14">
        <f>Kurallar!$B$6</f>
        <v>100</v>
      </c>
      <c r="H76" s="14">
        <f t="shared" si="4"/>
        <v>29900</v>
      </c>
      <c r="I76" s="22">
        <f>ROUND((36*Kurallar!$B$8+1*Kurallar!$B$13+39*Kurallar!$B$14+2*Kurallar!$B$15+1*Kurallar!$B$16+3*Kurallar!$B$17+6*Kurallar!$B$18+1*Kurallar!$B$19)*Kurallar!$B$21,0)</f>
        <v>299</v>
      </c>
      <c r="J76" s="22" t="s">
        <v>55</v>
      </c>
      <c r="K76" s="22" t="s">
        <v>52</v>
      </c>
    </row>
    <row r="77" spans="1:11" x14ac:dyDescent="0.25">
      <c r="A77" s="10">
        <v>92</v>
      </c>
      <c r="B77" s="9" t="s">
        <v>95</v>
      </c>
      <c r="C77" s="10"/>
      <c r="D77" s="10"/>
      <c r="E77" s="10"/>
      <c r="F77" s="12"/>
      <c r="G77" s="12"/>
      <c r="H77" s="16">
        <f>SUBTOTAL(9,H65:H76)</f>
        <v>106381.79999999999</v>
      </c>
      <c r="I77" s="21"/>
      <c r="J77" s="21"/>
      <c r="K77" s="21"/>
    </row>
    <row r="78" spans="1:11" x14ac:dyDescent="0.25">
      <c r="A78" s="10">
        <v>93</v>
      </c>
      <c r="B78" s="11" t="str">
        <f>E78</f>
        <v>ЩАО</v>
      </c>
      <c r="C78" s="10"/>
      <c r="D78" s="10"/>
      <c r="E78" s="9" t="s">
        <v>96</v>
      </c>
      <c r="F78" s="12"/>
      <c r="G78" s="12"/>
      <c r="H78" s="12"/>
      <c r="I78" s="21">
        <v>1</v>
      </c>
      <c r="J78" s="21" t="s">
        <v>12</v>
      </c>
      <c r="K78" s="21"/>
    </row>
    <row r="79" spans="1:11" x14ac:dyDescent="0.25">
      <c r="A79" s="13">
        <v>94</v>
      </c>
      <c r="B79" s="13"/>
      <c r="C79" s="13" t="s">
        <v>13</v>
      </c>
      <c r="D79" s="13" t="s">
        <v>188</v>
      </c>
      <c r="E79" s="13" t="s">
        <v>189</v>
      </c>
      <c r="F79" s="14">
        <v>15460</v>
      </c>
      <c r="G79" s="14">
        <f>F79*Kurallar!$B$3</f>
        <v>15460</v>
      </c>
      <c r="H79" s="14">
        <f t="shared" ref="H79:H87" si="5">G79*I79</f>
        <v>15460</v>
      </c>
      <c r="I79" s="22">
        <v>1</v>
      </c>
      <c r="J79" s="22" t="s">
        <v>14</v>
      </c>
      <c r="K79" s="22" t="s">
        <v>15</v>
      </c>
    </row>
    <row r="80" spans="1:11" x14ac:dyDescent="0.25">
      <c r="A80" s="13">
        <v>95</v>
      </c>
      <c r="B80" s="13"/>
      <c r="C80" s="13" t="s">
        <v>19</v>
      </c>
      <c r="D80" s="13" t="s">
        <v>28</v>
      </c>
      <c r="E80" s="13" t="s">
        <v>97</v>
      </c>
      <c r="F80" s="14">
        <v>10552</v>
      </c>
      <c r="G80" s="14">
        <f>F80*Kurallar!$B$2</f>
        <v>6331.2</v>
      </c>
      <c r="H80" s="14">
        <f t="shared" si="5"/>
        <v>6331.2</v>
      </c>
      <c r="I80" s="22">
        <v>1</v>
      </c>
      <c r="J80" s="22" t="s">
        <v>14</v>
      </c>
      <c r="K80" s="22" t="s">
        <v>18</v>
      </c>
    </row>
    <row r="81" spans="1:11" x14ac:dyDescent="0.25">
      <c r="A81" s="13">
        <v>96</v>
      </c>
      <c r="B81" s="13"/>
      <c r="C81" s="13" t="s">
        <v>19</v>
      </c>
      <c r="D81" s="13" t="s">
        <v>59</v>
      </c>
      <c r="E81" s="13" t="s">
        <v>98</v>
      </c>
      <c r="F81" s="14">
        <v>1419</v>
      </c>
      <c r="G81" s="14">
        <f>F81*Kurallar!$B$2</f>
        <v>851.4</v>
      </c>
      <c r="H81" s="14">
        <f t="shared" si="5"/>
        <v>3405.6</v>
      </c>
      <c r="I81" s="22">
        <v>4</v>
      </c>
      <c r="J81" s="22" t="s">
        <v>14</v>
      </c>
      <c r="K81" s="22" t="s">
        <v>18</v>
      </c>
    </row>
    <row r="82" spans="1:11" x14ac:dyDescent="0.25">
      <c r="A82" s="13">
        <v>97</v>
      </c>
      <c r="B82" s="13"/>
      <c r="C82" s="13" t="s">
        <v>19</v>
      </c>
      <c r="D82" s="13" t="s">
        <v>99</v>
      </c>
      <c r="E82" s="13" t="s">
        <v>100</v>
      </c>
      <c r="F82" s="14">
        <v>1436</v>
      </c>
      <c r="G82" s="14">
        <f>F82*Kurallar!$B$2</f>
        <v>861.6</v>
      </c>
      <c r="H82" s="14">
        <f t="shared" si="5"/>
        <v>861.6</v>
      </c>
      <c r="I82" s="22">
        <v>1</v>
      </c>
      <c r="J82" s="22" t="s">
        <v>14</v>
      </c>
      <c r="K82" s="22" t="s">
        <v>18</v>
      </c>
    </row>
    <row r="83" spans="1:11" x14ac:dyDescent="0.25">
      <c r="A83" s="13">
        <v>98</v>
      </c>
      <c r="B83" s="13"/>
      <c r="C83" s="13" t="s">
        <v>19</v>
      </c>
      <c r="D83" s="13" t="s">
        <v>73</v>
      </c>
      <c r="E83" s="13" t="s">
        <v>101</v>
      </c>
      <c r="F83" s="14">
        <v>1419</v>
      </c>
      <c r="G83" s="14">
        <f>F83*Kurallar!$B$2</f>
        <v>851.4</v>
      </c>
      <c r="H83" s="14">
        <f t="shared" si="5"/>
        <v>2554.1999999999998</v>
      </c>
      <c r="I83" s="22">
        <v>3</v>
      </c>
      <c r="J83" s="22" t="s">
        <v>14</v>
      </c>
      <c r="K83" s="22" t="s">
        <v>18</v>
      </c>
    </row>
    <row r="84" spans="1:11" x14ac:dyDescent="0.25">
      <c r="A84" s="13">
        <v>99</v>
      </c>
      <c r="B84" s="13"/>
      <c r="C84" s="13" t="s">
        <v>45</v>
      </c>
      <c r="D84" s="13" t="s">
        <v>65</v>
      </c>
      <c r="E84" s="13" t="s">
        <v>66</v>
      </c>
      <c r="F84" s="14">
        <v>90</v>
      </c>
      <c r="G84" s="14">
        <f>F84*Kurallar!$B$3</f>
        <v>90</v>
      </c>
      <c r="H84" s="14">
        <f t="shared" si="5"/>
        <v>2160</v>
      </c>
      <c r="I84" s="22">
        <v>24</v>
      </c>
      <c r="J84" s="22" t="s">
        <v>14</v>
      </c>
      <c r="K84" s="22" t="s">
        <v>48</v>
      </c>
    </row>
    <row r="85" spans="1:11" x14ac:dyDescent="0.25">
      <c r="A85" s="13">
        <v>100</v>
      </c>
      <c r="B85" s="13"/>
      <c r="C85" s="13" t="s">
        <v>45</v>
      </c>
      <c r="D85" s="13" t="s">
        <v>67</v>
      </c>
      <c r="E85" s="13" t="s">
        <v>68</v>
      </c>
      <c r="F85" s="14">
        <v>494</v>
      </c>
      <c r="G85" s="14">
        <f>F85*Kurallar!$B$3</f>
        <v>494</v>
      </c>
      <c r="H85" s="14">
        <f t="shared" si="5"/>
        <v>988</v>
      </c>
      <c r="I85" s="22">
        <v>2</v>
      </c>
      <c r="J85" s="22" t="s">
        <v>14</v>
      </c>
      <c r="K85" s="22" t="s">
        <v>40</v>
      </c>
    </row>
    <row r="86" spans="1:11" x14ac:dyDescent="0.25">
      <c r="A86" s="13">
        <v>104</v>
      </c>
      <c r="B86" s="13"/>
      <c r="C86" s="13" t="s">
        <v>49</v>
      </c>
      <c r="D86" s="13"/>
      <c r="E86" s="13" t="s">
        <v>50</v>
      </c>
      <c r="F86" s="14"/>
      <c r="G86" s="14">
        <f>ROUND(Kurallar!$B$5*SUM(H79:H85),0)</f>
        <v>953</v>
      </c>
      <c r="H86" s="14">
        <f t="shared" si="5"/>
        <v>953</v>
      </c>
      <c r="I86" s="22">
        <v>1</v>
      </c>
      <c r="J86" s="22" t="s">
        <v>51</v>
      </c>
      <c r="K86" s="22" t="s">
        <v>52</v>
      </c>
    </row>
    <row r="87" spans="1:11" x14ac:dyDescent="0.25">
      <c r="A87" s="13">
        <v>105</v>
      </c>
      <c r="B87" s="13"/>
      <c r="C87" s="13" t="s">
        <v>53</v>
      </c>
      <c r="D87" s="13"/>
      <c r="E87" s="13" t="s">
        <v>54</v>
      </c>
      <c r="F87" s="15">
        <f>I87/60</f>
        <v>3.0833333333333335</v>
      </c>
      <c r="G87" s="14">
        <f>Kurallar!$B$6</f>
        <v>100</v>
      </c>
      <c r="H87" s="14">
        <f t="shared" si="5"/>
        <v>18500</v>
      </c>
      <c r="I87" s="22">
        <f>ROUND((11*Kurallar!$B$8+24*Kurallar!$B$14+2*Kurallar!$B$15+1*Kurallar!$B$16+2*Kurallar!$B$17+4*Kurallar!$B$18+1*Kurallar!$B$19)*Kurallar!$B$21,0)</f>
        <v>185</v>
      </c>
      <c r="J87" s="22" t="s">
        <v>55</v>
      </c>
      <c r="K87" s="22" t="s">
        <v>52</v>
      </c>
    </row>
    <row r="88" spans="1:11" x14ac:dyDescent="0.25">
      <c r="A88" s="10">
        <v>106</v>
      </c>
      <c r="B88" s="9" t="s">
        <v>102</v>
      </c>
      <c r="C88" s="10"/>
      <c r="D88" s="10"/>
      <c r="E88" s="10"/>
      <c r="F88" s="12"/>
      <c r="G88" s="12"/>
      <c r="H88" s="16">
        <f>SUBTOTAL(9,H79:H87)</f>
        <v>51213.599999999999</v>
      </c>
      <c r="I88" s="21"/>
      <c r="J88" s="21"/>
      <c r="K88" s="21"/>
    </row>
    <row r="89" spans="1:11" x14ac:dyDescent="0.25">
      <c r="A89" s="10">
        <v>107</v>
      </c>
      <c r="B89" s="11" t="str">
        <f>E89</f>
        <v>ЩЛ</v>
      </c>
      <c r="C89" s="10"/>
      <c r="D89" s="10"/>
      <c r="E89" s="9" t="s">
        <v>103</v>
      </c>
      <c r="F89" s="12"/>
      <c r="G89" s="12"/>
      <c r="H89" s="12"/>
      <c r="I89" s="21">
        <v>1</v>
      </c>
      <c r="J89" s="21" t="s">
        <v>12</v>
      </c>
      <c r="K89" s="21"/>
    </row>
    <row r="90" spans="1:11" x14ac:dyDescent="0.25">
      <c r="A90" s="13">
        <v>108</v>
      </c>
      <c r="B90" s="13"/>
      <c r="C90" s="13" t="s">
        <v>13</v>
      </c>
      <c r="D90" s="13" t="s">
        <v>104</v>
      </c>
      <c r="E90" s="13" t="s">
        <v>105</v>
      </c>
      <c r="F90" s="14">
        <v>6720</v>
      </c>
      <c r="G90" s="14">
        <f>F90*Kurallar!$B$3</f>
        <v>6720</v>
      </c>
      <c r="H90" s="14">
        <f t="shared" ref="H90:H101" si="6">G90*I90</f>
        <v>6720</v>
      </c>
      <c r="I90" s="22">
        <v>1</v>
      </c>
      <c r="J90" s="22" t="s">
        <v>14</v>
      </c>
      <c r="K90" s="22" t="s">
        <v>15</v>
      </c>
    </row>
    <row r="91" spans="1:11" x14ac:dyDescent="0.25">
      <c r="A91" s="13">
        <v>109</v>
      </c>
      <c r="B91" s="13"/>
      <c r="C91" s="13" t="s">
        <v>19</v>
      </c>
      <c r="D91" s="13" t="s">
        <v>106</v>
      </c>
      <c r="E91" s="13" t="s">
        <v>107</v>
      </c>
      <c r="F91" s="14">
        <v>6271</v>
      </c>
      <c r="G91" s="14">
        <f>F91*Kurallar!$B$2</f>
        <v>3762.6</v>
      </c>
      <c r="H91" s="14">
        <f t="shared" si="6"/>
        <v>3762.6</v>
      </c>
      <c r="I91" s="22">
        <v>1</v>
      </c>
      <c r="J91" s="22" t="s">
        <v>14</v>
      </c>
      <c r="K91" s="22" t="s">
        <v>18</v>
      </c>
    </row>
    <row r="92" spans="1:11" x14ac:dyDescent="0.25">
      <c r="A92" s="13">
        <v>110</v>
      </c>
      <c r="B92" s="13"/>
      <c r="C92" s="13" t="s">
        <v>19</v>
      </c>
      <c r="D92" s="13" t="s">
        <v>108</v>
      </c>
      <c r="E92" s="13" t="s">
        <v>109</v>
      </c>
      <c r="F92" s="14">
        <v>5750</v>
      </c>
      <c r="G92" s="14">
        <f>F92*Kurallar!$B$2</f>
        <v>3450</v>
      </c>
      <c r="H92" s="14">
        <f t="shared" si="6"/>
        <v>3450</v>
      </c>
      <c r="I92" s="22">
        <v>1</v>
      </c>
      <c r="J92" s="22" t="s">
        <v>14</v>
      </c>
      <c r="K92" s="22" t="s">
        <v>18</v>
      </c>
    </row>
    <row r="93" spans="1:11" x14ac:dyDescent="0.25">
      <c r="A93" s="13">
        <v>111</v>
      </c>
      <c r="B93" s="13"/>
      <c r="C93" s="13" t="s">
        <v>19</v>
      </c>
      <c r="D93" s="13" t="s">
        <v>61</v>
      </c>
      <c r="E93" s="13" t="s">
        <v>110</v>
      </c>
      <c r="F93" s="14">
        <v>1419</v>
      </c>
      <c r="G93" s="14">
        <f>F93*Kurallar!$B$2</f>
        <v>851.4</v>
      </c>
      <c r="H93" s="14">
        <f t="shared" si="6"/>
        <v>1702.8</v>
      </c>
      <c r="I93" s="22">
        <v>2</v>
      </c>
      <c r="J93" s="22" t="s">
        <v>14</v>
      </c>
      <c r="K93" s="22" t="s">
        <v>18</v>
      </c>
    </row>
    <row r="94" spans="1:11" x14ac:dyDescent="0.25">
      <c r="A94" s="13">
        <v>112</v>
      </c>
      <c r="B94" s="13"/>
      <c r="C94" s="13" t="s">
        <v>19</v>
      </c>
      <c r="D94" s="13" t="s">
        <v>59</v>
      </c>
      <c r="E94" s="13" t="s">
        <v>111</v>
      </c>
      <c r="F94" s="14">
        <v>1419</v>
      </c>
      <c r="G94" s="14">
        <f>F94*Kurallar!$B$2</f>
        <v>851.4</v>
      </c>
      <c r="H94" s="14">
        <f t="shared" si="6"/>
        <v>851.4</v>
      </c>
      <c r="I94" s="22">
        <v>1</v>
      </c>
      <c r="J94" s="22" t="s">
        <v>14</v>
      </c>
      <c r="K94" s="22" t="s">
        <v>18</v>
      </c>
    </row>
    <row r="95" spans="1:11" x14ac:dyDescent="0.25">
      <c r="A95" s="13">
        <v>113</v>
      </c>
      <c r="B95" s="13"/>
      <c r="C95" s="13" t="s">
        <v>19</v>
      </c>
      <c r="D95" s="13" t="s">
        <v>73</v>
      </c>
      <c r="E95" s="13" t="s">
        <v>112</v>
      </c>
      <c r="F95" s="14">
        <v>1419</v>
      </c>
      <c r="G95" s="14">
        <f>F95*Kurallar!$B$2</f>
        <v>851.4</v>
      </c>
      <c r="H95" s="14">
        <f t="shared" si="6"/>
        <v>851.4</v>
      </c>
      <c r="I95" s="22">
        <v>1</v>
      </c>
      <c r="J95" s="22" t="s">
        <v>14</v>
      </c>
      <c r="K95" s="22" t="s">
        <v>18</v>
      </c>
    </row>
    <row r="96" spans="1:11" x14ac:dyDescent="0.25">
      <c r="A96" s="13">
        <v>114</v>
      </c>
      <c r="B96" s="13"/>
      <c r="C96" s="13" t="s">
        <v>19</v>
      </c>
      <c r="D96" s="13" t="s">
        <v>80</v>
      </c>
      <c r="E96" s="13" t="s">
        <v>113</v>
      </c>
      <c r="F96" s="14">
        <v>1389</v>
      </c>
      <c r="G96" s="14">
        <f>F96*Kurallar!$B$2</f>
        <v>833.4</v>
      </c>
      <c r="H96" s="14">
        <f t="shared" si="6"/>
        <v>833.4</v>
      </c>
      <c r="I96" s="22">
        <v>1</v>
      </c>
      <c r="J96" s="22" t="s">
        <v>14</v>
      </c>
      <c r="K96" s="22" t="s">
        <v>18</v>
      </c>
    </row>
    <row r="97" spans="1:11" x14ac:dyDescent="0.25">
      <c r="A97" s="13">
        <v>115</v>
      </c>
      <c r="B97" s="13"/>
      <c r="C97" s="13" t="s">
        <v>45</v>
      </c>
      <c r="D97" s="13" t="s">
        <v>65</v>
      </c>
      <c r="E97" s="13" t="s">
        <v>66</v>
      </c>
      <c r="F97" s="14">
        <v>90</v>
      </c>
      <c r="G97" s="14">
        <f>F97*Kurallar!$B$3</f>
        <v>90</v>
      </c>
      <c r="H97" s="14">
        <f t="shared" si="6"/>
        <v>1350</v>
      </c>
      <c r="I97" s="22">
        <v>15</v>
      </c>
      <c r="J97" s="22" t="s">
        <v>14</v>
      </c>
      <c r="K97" s="22" t="s">
        <v>48</v>
      </c>
    </row>
    <row r="98" spans="1:11" x14ac:dyDescent="0.25">
      <c r="A98" s="13">
        <v>116</v>
      </c>
      <c r="B98" s="13"/>
      <c r="C98" s="13" t="s">
        <v>45</v>
      </c>
      <c r="D98" s="13" t="s">
        <v>46</v>
      </c>
      <c r="E98" s="13" t="s">
        <v>85</v>
      </c>
      <c r="F98" s="14">
        <v>111</v>
      </c>
      <c r="G98" s="14">
        <f>F98*Kurallar!$B$3</f>
        <v>111</v>
      </c>
      <c r="H98" s="14">
        <f t="shared" si="6"/>
        <v>555</v>
      </c>
      <c r="I98" s="22">
        <v>5</v>
      </c>
      <c r="J98" s="22" t="s">
        <v>14</v>
      </c>
      <c r="K98" s="22" t="s">
        <v>48</v>
      </c>
    </row>
    <row r="99" spans="1:11" x14ac:dyDescent="0.25">
      <c r="A99" s="13">
        <v>117</v>
      </c>
      <c r="B99" s="13"/>
      <c r="C99" s="13" t="s">
        <v>45</v>
      </c>
      <c r="D99" s="13" t="s">
        <v>67</v>
      </c>
      <c r="E99" s="13" t="s">
        <v>68</v>
      </c>
      <c r="F99" s="14">
        <v>494</v>
      </c>
      <c r="G99" s="14">
        <f>F99*Kurallar!$B$3</f>
        <v>494</v>
      </c>
      <c r="H99" s="14">
        <f t="shared" si="6"/>
        <v>988</v>
      </c>
      <c r="I99" s="22">
        <v>2</v>
      </c>
      <c r="J99" s="22" t="s">
        <v>14</v>
      </c>
      <c r="K99" s="22" t="s">
        <v>40</v>
      </c>
    </row>
    <row r="100" spans="1:11" x14ac:dyDescent="0.25">
      <c r="A100" s="13">
        <v>120</v>
      </c>
      <c r="B100" s="13"/>
      <c r="C100" s="13" t="s">
        <v>49</v>
      </c>
      <c r="D100" s="13"/>
      <c r="E100" s="13" t="s">
        <v>50</v>
      </c>
      <c r="F100" s="14"/>
      <c r="G100" s="14">
        <f>ROUND(Kurallar!$B$5*SUM(H90:H99),0)</f>
        <v>632</v>
      </c>
      <c r="H100" s="14">
        <f t="shared" si="6"/>
        <v>632</v>
      </c>
      <c r="I100" s="22">
        <v>1</v>
      </c>
      <c r="J100" s="22" t="s">
        <v>51</v>
      </c>
      <c r="K100" s="22" t="s">
        <v>52</v>
      </c>
    </row>
    <row r="101" spans="1:11" x14ac:dyDescent="0.25">
      <c r="A101" s="13">
        <v>121</v>
      </c>
      <c r="B101" s="13"/>
      <c r="C101" s="13" t="s">
        <v>53</v>
      </c>
      <c r="D101" s="13"/>
      <c r="E101" s="13" t="s">
        <v>54</v>
      </c>
      <c r="F101" s="15">
        <f>I101/60</f>
        <v>2.8666666666666667</v>
      </c>
      <c r="G101" s="14">
        <f>Kurallar!$B$6</f>
        <v>100</v>
      </c>
      <c r="H101" s="14">
        <f t="shared" si="6"/>
        <v>17200</v>
      </c>
      <c r="I101" s="22">
        <f>ROUND((11*Kurallar!$B$8+20*Kurallar!$B$14+2*Kurallar!$B$15+2*Kurallar!$B$17+4*Kurallar!$B$18+1*Kurallar!$B$19)*Kurallar!$B$21,0)</f>
        <v>172</v>
      </c>
      <c r="J101" s="22" t="s">
        <v>55</v>
      </c>
      <c r="K101" s="22" t="s">
        <v>52</v>
      </c>
    </row>
    <row r="102" spans="1:11" x14ac:dyDescent="0.25">
      <c r="A102" s="10">
        <v>122</v>
      </c>
      <c r="B102" s="9" t="s">
        <v>114</v>
      </c>
      <c r="C102" s="10"/>
      <c r="D102" s="10"/>
      <c r="E102" s="10"/>
      <c r="F102" s="12"/>
      <c r="G102" s="12"/>
      <c r="H102" s="16">
        <f>SUBTOTAL(9,H90:H101)</f>
        <v>38896.600000000006</v>
      </c>
      <c r="I102" s="21"/>
      <c r="J102" s="21"/>
      <c r="K102" s="21"/>
    </row>
    <row r="103" spans="1:11" x14ac:dyDescent="0.25">
      <c r="A103" s="10">
        <v>123</v>
      </c>
      <c r="B103" s="11" t="str">
        <f>E103</f>
        <v>ЯТП-12/250</v>
      </c>
      <c r="C103" s="10"/>
      <c r="D103" s="10"/>
      <c r="E103" s="9" t="s">
        <v>115</v>
      </c>
      <c r="F103" s="12"/>
      <c r="G103" s="12"/>
      <c r="H103" s="12"/>
      <c r="I103" s="21">
        <v>2</v>
      </c>
      <c r="J103" s="21" t="s">
        <v>12</v>
      </c>
      <c r="K103" s="21"/>
    </row>
    <row r="104" spans="1:11" x14ac:dyDescent="0.25">
      <c r="A104" s="13">
        <v>124</v>
      </c>
      <c r="B104" s="13"/>
      <c r="C104" s="13" t="s">
        <v>13</v>
      </c>
      <c r="D104" s="13" t="s">
        <v>116</v>
      </c>
      <c r="E104" s="13" t="s">
        <v>117</v>
      </c>
      <c r="F104" s="14">
        <v>21863</v>
      </c>
      <c r="G104" s="14">
        <f>F104*Kurallar!$B$3</f>
        <v>21863</v>
      </c>
      <c r="H104" s="14">
        <f>G104*I104</f>
        <v>21863</v>
      </c>
      <c r="I104" s="22">
        <v>1</v>
      </c>
      <c r="J104" s="22" t="s">
        <v>14</v>
      </c>
      <c r="K104" s="22" t="s">
        <v>40</v>
      </c>
    </row>
    <row r="105" spans="1:11" x14ac:dyDescent="0.25">
      <c r="A105" s="10">
        <v>125</v>
      </c>
      <c r="B105" s="9" t="s">
        <v>118</v>
      </c>
      <c r="C105" s="10"/>
      <c r="D105" s="10"/>
      <c r="E105" s="10"/>
      <c r="F105" s="12"/>
      <c r="G105" s="12"/>
      <c r="H105" s="16">
        <f>SUBTOTAL(9,H104:H104)</f>
        <v>21863</v>
      </c>
      <c r="I105" s="21"/>
      <c r="J105" s="21"/>
      <c r="K105" s="21"/>
    </row>
    <row r="109" spans="1:11" x14ac:dyDescent="0.25">
      <c r="D109" s="24"/>
      <c r="E109" s="24"/>
      <c r="F109" s="25"/>
    </row>
  </sheetData>
  <autoFilter ref="A1:K104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zoomScaleNormal="100" workbookViewId="0">
      <selection activeCell="G14" sqref="G14"/>
    </sheetView>
  </sheetViews>
  <sheetFormatPr defaultColWidth="8.7109375" defaultRowHeight="15" x14ac:dyDescent="0.25"/>
  <cols>
    <col min="2" max="2" width="16" customWidth="1"/>
    <col min="4" max="4" width="22" customWidth="1"/>
    <col min="5" max="5" width="18" customWidth="1"/>
  </cols>
  <sheetData>
    <row r="1" spans="1:6" x14ac:dyDescent="0.25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>
        <v>2.2999999999999998</v>
      </c>
    </row>
    <row r="2" spans="1:6" x14ac:dyDescent="0.25">
      <c r="A2" s="3">
        <v>1</v>
      </c>
      <c r="B2" s="3" t="s">
        <v>11</v>
      </c>
      <c r="C2" s="3">
        <v>1</v>
      </c>
      <c r="D2" s="4">
        <f>BOM!H22</f>
        <v>512842</v>
      </c>
      <c r="E2" s="4">
        <f t="shared" ref="E2:E9" si="0">C2*D2</f>
        <v>512842</v>
      </c>
      <c r="F2">
        <f>2.3*D2</f>
        <v>1179536.5999999999</v>
      </c>
    </row>
    <row r="3" spans="1:6" x14ac:dyDescent="0.25">
      <c r="A3" s="3">
        <v>2</v>
      </c>
      <c r="B3" s="3" t="s">
        <v>57</v>
      </c>
      <c r="C3" s="3">
        <v>1</v>
      </c>
      <c r="D3" s="4">
        <f>BOM!H32</f>
        <v>62318.400000000001</v>
      </c>
      <c r="E3" s="4">
        <f t="shared" si="0"/>
        <v>62318.400000000001</v>
      </c>
      <c r="F3">
        <f t="shared" ref="F3:F9" si="1">2.3*D3</f>
        <v>143332.31999999998</v>
      </c>
    </row>
    <row r="4" spans="1:6" x14ac:dyDescent="0.25">
      <c r="A4" s="3">
        <v>3</v>
      </c>
      <c r="B4" s="3" t="s">
        <v>70</v>
      </c>
      <c r="C4" s="3">
        <v>1</v>
      </c>
      <c r="D4" s="4">
        <f>BOM!H50</f>
        <v>131280.40000000002</v>
      </c>
      <c r="E4" s="4">
        <f t="shared" si="0"/>
        <v>131280.40000000002</v>
      </c>
      <c r="F4">
        <f t="shared" si="1"/>
        <v>301944.92000000004</v>
      </c>
    </row>
    <row r="5" spans="1:6" x14ac:dyDescent="0.25">
      <c r="A5" s="3">
        <v>4</v>
      </c>
      <c r="B5" s="3" t="s">
        <v>87</v>
      </c>
      <c r="C5" s="3">
        <v>1</v>
      </c>
      <c r="D5" s="4">
        <f>BOM!H63</f>
        <v>102172.4</v>
      </c>
      <c r="E5" s="4">
        <f t="shared" si="0"/>
        <v>102172.4</v>
      </c>
      <c r="F5">
        <f t="shared" si="1"/>
        <v>234996.51999999996</v>
      </c>
    </row>
    <row r="6" spans="1:6" x14ac:dyDescent="0.25">
      <c r="A6" s="3">
        <v>5</v>
      </c>
      <c r="B6" s="3" t="s">
        <v>93</v>
      </c>
      <c r="C6" s="3">
        <v>1</v>
      </c>
      <c r="D6" s="4">
        <f>BOM!H77</f>
        <v>106381.79999999999</v>
      </c>
      <c r="E6" s="4">
        <f t="shared" si="0"/>
        <v>106381.79999999999</v>
      </c>
      <c r="F6">
        <f t="shared" si="1"/>
        <v>244678.13999999996</v>
      </c>
    </row>
    <row r="7" spans="1:6" x14ac:dyDescent="0.25">
      <c r="A7" s="3">
        <v>6</v>
      </c>
      <c r="B7" s="3" t="s">
        <v>96</v>
      </c>
      <c r="C7" s="3">
        <v>1</v>
      </c>
      <c r="D7" s="4">
        <f>BOM!H88</f>
        <v>51213.599999999999</v>
      </c>
      <c r="E7" s="4">
        <f t="shared" si="0"/>
        <v>51213.599999999999</v>
      </c>
      <c r="F7">
        <f t="shared" si="1"/>
        <v>117791.27999999998</v>
      </c>
    </row>
    <row r="8" spans="1:6" x14ac:dyDescent="0.25">
      <c r="A8" s="3">
        <v>7</v>
      </c>
      <c r="B8" s="3" t="s">
        <v>103</v>
      </c>
      <c r="C8" s="3">
        <v>1</v>
      </c>
      <c r="D8" s="4">
        <f>BOM!H102</f>
        <v>38896.600000000006</v>
      </c>
      <c r="E8" s="4">
        <f t="shared" si="0"/>
        <v>38896.600000000006</v>
      </c>
      <c r="F8">
        <f t="shared" si="1"/>
        <v>89462.180000000008</v>
      </c>
    </row>
    <row r="9" spans="1:6" x14ac:dyDescent="0.25">
      <c r="A9" s="3">
        <v>8</v>
      </c>
      <c r="B9" s="3" t="s">
        <v>115</v>
      </c>
      <c r="C9" s="3">
        <v>2</v>
      </c>
      <c r="D9" s="4">
        <f>BOM!H105</f>
        <v>21863</v>
      </c>
      <c r="E9" s="4">
        <f t="shared" si="0"/>
        <v>43726</v>
      </c>
      <c r="F9">
        <f t="shared" si="1"/>
        <v>50284.899999999994</v>
      </c>
    </row>
    <row r="10" spans="1:6" x14ac:dyDescent="0.25">
      <c r="A10" s="2"/>
      <c r="B10" s="1" t="s">
        <v>124</v>
      </c>
      <c r="C10" s="2"/>
      <c r="D10" s="2"/>
      <c r="E10" s="5">
        <f>SUM(E2:E9)</f>
        <v>1048831.2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zoomScaleNormal="100" workbookViewId="0">
      <selection activeCell="B20" sqref="B20"/>
    </sheetView>
  </sheetViews>
  <sheetFormatPr defaultColWidth="8.7109375" defaultRowHeight="15" x14ac:dyDescent="0.25"/>
  <cols>
    <col min="1" max="1" width="34" customWidth="1"/>
    <col min="2" max="2" width="10" customWidth="1"/>
    <col min="3" max="3" width="70" customWidth="1"/>
  </cols>
  <sheetData>
    <row r="1" spans="1:3" x14ac:dyDescent="0.25">
      <c r="A1" s="1" t="s">
        <v>125</v>
      </c>
      <c r="B1" s="1" t="s">
        <v>126</v>
      </c>
      <c r="C1" s="1" t="s">
        <v>127</v>
      </c>
    </row>
    <row r="2" spans="1:3" x14ac:dyDescent="0.25">
      <c r="A2" s="3" t="s">
        <v>128</v>
      </c>
      <c r="B2" s="6">
        <v>0.6</v>
      </c>
      <c r="C2" s="3" t="s">
        <v>129</v>
      </c>
    </row>
    <row r="3" spans="1:3" x14ac:dyDescent="0.25">
      <c r="A3" s="3" t="s">
        <v>130</v>
      </c>
      <c r="B3" s="6">
        <v>1</v>
      </c>
      <c r="C3" s="3" t="s">
        <v>131</v>
      </c>
    </row>
    <row r="4" spans="1:3" x14ac:dyDescent="0.25">
      <c r="A4" s="3" t="s">
        <v>132</v>
      </c>
      <c r="B4" s="6">
        <v>1</v>
      </c>
      <c r="C4" s="3" t="s">
        <v>133</v>
      </c>
    </row>
    <row r="5" spans="1:3" x14ac:dyDescent="0.25">
      <c r="A5" s="3" t="s">
        <v>134</v>
      </c>
      <c r="B5" s="6">
        <v>0.03</v>
      </c>
      <c r="C5" s="3" t="s">
        <v>135</v>
      </c>
    </row>
    <row r="6" spans="1:3" x14ac:dyDescent="0.25">
      <c r="A6" s="3" t="s">
        <v>136</v>
      </c>
      <c r="B6" s="6">
        <v>100</v>
      </c>
      <c r="C6" s="3" t="s">
        <v>137</v>
      </c>
    </row>
    <row r="7" spans="1:3" x14ac:dyDescent="0.25">
      <c r="A7" s="1" t="s">
        <v>138</v>
      </c>
      <c r="B7" s="1"/>
      <c r="C7" s="1" t="s">
        <v>139</v>
      </c>
    </row>
    <row r="8" spans="1:3" x14ac:dyDescent="0.25">
      <c r="A8" s="3" t="s">
        <v>140</v>
      </c>
      <c r="B8" s="6">
        <v>2.5</v>
      </c>
      <c r="C8" s="3" t="s">
        <v>141</v>
      </c>
    </row>
    <row r="9" spans="1:3" x14ac:dyDescent="0.25">
      <c r="A9" s="3" t="s">
        <v>142</v>
      </c>
      <c r="B9" s="6">
        <v>30</v>
      </c>
      <c r="C9" s="3" t="s">
        <v>143</v>
      </c>
    </row>
    <row r="10" spans="1:3" x14ac:dyDescent="0.25">
      <c r="A10" s="3" t="s">
        <v>144</v>
      </c>
      <c r="B10" s="6">
        <v>20</v>
      </c>
      <c r="C10" s="3"/>
    </row>
    <row r="11" spans="1:3" x14ac:dyDescent="0.25">
      <c r="A11" s="3" t="s">
        <v>145</v>
      </c>
      <c r="B11" s="6">
        <v>10</v>
      </c>
      <c r="C11" s="3"/>
    </row>
    <row r="12" spans="1:3" x14ac:dyDescent="0.25">
      <c r="A12" s="3" t="s">
        <v>146</v>
      </c>
      <c r="B12" s="6">
        <v>10</v>
      </c>
      <c r="C12" s="3"/>
    </row>
    <row r="13" spans="1:3" x14ac:dyDescent="0.25">
      <c r="A13" s="3" t="s">
        <v>147</v>
      </c>
      <c r="B13" s="6">
        <v>7</v>
      </c>
      <c r="C13" s="3" t="s">
        <v>148</v>
      </c>
    </row>
    <row r="14" spans="1:3" x14ac:dyDescent="0.25">
      <c r="A14" s="3" t="s">
        <v>149</v>
      </c>
      <c r="B14" s="6">
        <v>2</v>
      </c>
      <c r="C14" s="3"/>
    </row>
    <row r="15" spans="1:3" x14ac:dyDescent="0.25">
      <c r="A15" s="3" t="s">
        <v>150</v>
      </c>
      <c r="B15" s="6">
        <v>7</v>
      </c>
      <c r="C15" s="3"/>
    </row>
    <row r="16" spans="1:3" x14ac:dyDescent="0.25">
      <c r="A16" s="3" t="s">
        <v>151</v>
      </c>
      <c r="B16" s="6">
        <v>5</v>
      </c>
      <c r="C16" s="3" t="s">
        <v>152</v>
      </c>
    </row>
    <row r="17" spans="1:3" x14ac:dyDescent="0.25">
      <c r="A17" s="3" t="s">
        <v>153</v>
      </c>
      <c r="B17" s="6">
        <v>5</v>
      </c>
      <c r="C17" s="3"/>
    </row>
    <row r="18" spans="1:3" x14ac:dyDescent="0.25">
      <c r="A18" s="3" t="s">
        <v>154</v>
      </c>
      <c r="B18" s="6">
        <v>5</v>
      </c>
      <c r="C18" s="3"/>
    </row>
    <row r="19" spans="1:3" x14ac:dyDescent="0.25">
      <c r="A19" s="3" t="s">
        <v>155</v>
      </c>
      <c r="B19" s="6">
        <v>60</v>
      </c>
      <c r="C19" s="3" t="s">
        <v>156</v>
      </c>
    </row>
    <row r="20" spans="1:3" x14ac:dyDescent="0.25">
      <c r="A20" s="3" t="s">
        <v>157</v>
      </c>
      <c r="B20" s="6">
        <v>30</v>
      </c>
      <c r="C20" s="3"/>
    </row>
    <row r="21" spans="1:3" x14ac:dyDescent="0.25">
      <c r="A21" s="3" t="s">
        <v>158</v>
      </c>
      <c r="B21" s="6">
        <v>1</v>
      </c>
      <c r="C21" s="3"/>
    </row>
    <row r="23" spans="1:3" x14ac:dyDescent="0.25">
      <c r="A23" s="7"/>
    </row>
    <row r="24" spans="1:3" x14ac:dyDescent="0.25">
      <c r="A24" s="8" t="s">
        <v>159</v>
      </c>
    </row>
    <row r="25" spans="1:3" x14ac:dyDescent="0.25">
      <c r="A25" s="7" t="s">
        <v>160</v>
      </c>
    </row>
    <row r="26" spans="1:3" x14ac:dyDescent="0.25">
      <c r="A26" s="7" t="s">
        <v>161</v>
      </c>
    </row>
    <row r="27" spans="1:3" x14ac:dyDescent="0.25">
      <c r="A27" s="7" t="s">
        <v>162</v>
      </c>
    </row>
    <row r="28" spans="1:3" x14ac:dyDescent="0.25">
      <c r="A28" s="7" t="s">
        <v>163</v>
      </c>
    </row>
    <row r="29" spans="1:3" x14ac:dyDescent="0.25">
      <c r="A29" s="7"/>
    </row>
    <row r="30" spans="1:3" x14ac:dyDescent="0.25">
      <c r="A30" s="7" t="s">
        <v>164</v>
      </c>
    </row>
    <row r="31" spans="1:3" x14ac:dyDescent="0.25">
      <c r="A31" s="7" t="s">
        <v>165</v>
      </c>
    </row>
    <row r="32" spans="1:3" x14ac:dyDescent="0.25">
      <c r="A32" s="7" t="s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2026-07-16T08:07:11Z</dcterms:created>
  <dcterms:modified xsi:type="dcterms:W3CDTF">2026-07-17T09:30:22Z</dcterms:modified>
  <dc:language>en-US</dc:language>
</cp:coreProperties>
</file>