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02 atrau islam adliye binasi remont\"/>
    </mc:Choice>
  </mc:AlternateContent>
  <xr:revisionPtr revIDLastSave="0" documentId="13_ncr:1_{CBC61EDC-3ED2-4AC9-93F3-D8BB691E77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_Baslikli" sheetId="1" r:id="rId1"/>
    <sheet name="BOM_Yapistir" sheetId="2" r:id="rId2"/>
    <sheet name="Modul_Kontrol" sheetId="3" r:id="rId3"/>
    <sheet name="Kontrol_Risk" sheetId="4" r:id="rId4"/>
    <sheet name="Kaynak_Not" sheetId="5" r:id="rId5"/>
    <sheet name="Tekhat_Karsilastirma" sheetId="6" r:id="rId6"/>
  </sheets>
  <definedNames>
    <definedName name="_xlnm._FilterDatabase" localSheetId="0" hidden="1">BOM_Baslikli!$A$1:$O$91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87" i="1"/>
  <c r="G86" i="1"/>
  <c r="G85" i="1"/>
  <c r="G84" i="1"/>
  <c r="G83" i="1"/>
  <c r="G73" i="1"/>
  <c r="G72" i="1"/>
  <c r="G71" i="1"/>
  <c r="G70" i="1"/>
  <c r="G64" i="1"/>
  <c r="G63" i="1"/>
  <c r="G62" i="1"/>
  <c r="G61" i="1"/>
  <c r="G60" i="1"/>
  <c r="G59" i="1"/>
  <c r="G53" i="1"/>
  <c r="G52" i="1"/>
  <c r="G51" i="1"/>
  <c r="G50" i="1"/>
  <c r="G49" i="1"/>
  <c r="G43" i="1"/>
  <c r="G42" i="1"/>
  <c r="G41" i="1"/>
  <c r="G40" i="1"/>
  <c r="G39" i="1"/>
  <c r="G38" i="1"/>
  <c r="G37" i="1"/>
  <c r="G36" i="1"/>
  <c r="G35" i="1"/>
  <c r="G34" i="1"/>
  <c r="G33" i="1"/>
  <c r="G27" i="1"/>
  <c r="G26" i="1"/>
  <c r="G25" i="1"/>
  <c r="G24" i="1"/>
  <c r="G13" i="1"/>
  <c r="G12" i="1"/>
  <c r="G10" i="1"/>
  <c r="G9" i="1"/>
  <c r="G8" i="1"/>
  <c r="G7" i="1"/>
  <c r="G6" i="1"/>
  <c r="G5" i="1"/>
  <c r="G4" i="1"/>
  <c r="G18" i="1"/>
  <c r="O91" i="1" l="1"/>
  <c r="O80" i="1"/>
  <c r="O67" i="1"/>
  <c r="O56" i="1"/>
  <c r="O46" i="1"/>
  <c r="O30" i="1"/>
  <c r="O21" i="1"/>
</calcChain>
</file>

<file path=xl/sharedStrings.xml><?xml version="1.0" encoding="utf-8"?>
<sst xmlns="http://schemas.openxmlformats.org/spreadsheetml/2006/main" count="1966" uniqueCount="332">
  <si>
    <t>№</t>
  </si>
  <si>
    <t>Панель</t>
  </si>
  <si>
    <t>Категория</t>
  </si>
  <si>
    <t>Артикул</t>
  </si>
  <si>
    <t>Наименование / Açıklama</t>
  </si>
  <si>
    <t>Технические характеристики</t>
  </si>
  <si>
    <t>Кол-во</t>
  </si>
  <si>
    <t>Ед.</t>
  </si>
  <si>
    <t>Марка / Поставщик</t>
  </si>
  <si>
    <t>Источник</t>
  </si>
  <si>
    <t>Примечание</t>
  </si>
  <si>
    <t>Расч. модули</t>
  </si>
  <si>
    <t>ГРЩ</t>
  </si>
  <si>
    <t>Главный распределительный щит; однолинейная схема является основным источником.</t>
  </si>
  <si>
    <t>компл.</t>
  </si>
  <si>
    <t>TEKLED / TEKSAN</t>
  </si>
  <si>
    <t>ЭОМ +_compressed.pdf, стр. 2</t>
  </si>
  <si>
    <t>Внутренние позиции приведены для 1 панели. Шалт CHINT; корпус TEKSAN.</t>
  </si>
  <si>
    <t>Корпус</t>
  </si>
  <si>
    <t>TEKSAN — КОНТРОЛЬ</t>
  </si>
  <si>
    <t>Корпус металлический</t>
  </si>
  <si>
    <t>IP31 по проекту; габариты и артикул после монтажной раскладки</t>
  </si>
  <si>
    <t>шт</t>
  </si>
  <si>
    <t>TEKSAN</t>
  </si>
  <si>
    <t>ЭОМ +_compressed.pdf, стр. 22</t>
  </si>
  <si>
    <t>IP31 указан в спецификации; габариты и артикул не заданы. Не подменено предположением.</t>
  </si>
  <si>
    <t>ТМШ</t>
  </si>
  <si>
    <t>NXM-250S/3P 250A</t>
  </si>
  <si>
    <t>Автоматический выключатель литой корпус, вводной</t>
  </si>
  <si>
    <t>3P, 250A; отключающая способность и исполнение КОНТРОЛЬ</t>
  </si>
  <si>
    <t>CHINT</t>
  </si>
  <si>
    <t>QF0; по однолинейной схеме.</t>
  </si>
  <si>
    <t>ОТО</t>
  </si>
  <si>
    <t>NXB-63H 3P C40 10kA</t>
  </si>
  <si>
    <t>Автоматический выключатель</t>
  </si>
  <si>
    <t>3P, C40A, 10kA</t>
  </si>
  <si>
    <t>Отходящая линия ЩСО-0.</t>
  </si>
  <si>
    <t>NXM-125S/3P 125A</t>
  </si>
  <si>
    <t>Автоматический выключатель литой корпус</t>
  </si>
  <si>
    <t>3P, 125A; отключающая способность и исполнение КОНТРОЛЬ</t>
  </si>
  <si>
    <t>Отходящая линия ЩСО-1.</t>
  </si>
  <si>
    <t>NXB-63 3P C50 6kA</t>
  </si>
  <si>
    <t>3P, C50A; проектом 6kA/исполнение уточнить</t>
  </si>
  <si>
    <t>Физические отходящие линии: ЩСО-2, ЩСО-3, П1В1, ЩЛ, подъёмник МГН.</t>
  </si>
  <si>
    <t>NXB-63 3P C32 6kA</t>
  </si>
  <si>
    <t>3P, C32A; проектом 6kA/исполнение уточнить</t>
  </si>
  <si>
    <t>Питание серверной и ЩАО.</t>
  </si>
  <si>
    <t>NXB-63 3P C25 6kA</t>
  </si>
  <si>
    <t>3P, C25A; проектом 6kA/исполнение уточнить</t>
  </si>
  <si>
    <t>Питание ЩУН.</t>
  </si>
  <si>
    <t>Диф.</t>
  </si>
  <si>
    <t>NXBLE-32 1P+N C10 30mA 6kA</t>
  </si>
  <si>
    <t>Дифференциальный автомат</t>
  </si>
  <si>
    <t>1P+N, C10A, 30mA, 6kA</t>
  </si>
  <si>
    <t>Обогрев водосточных воронок.</t>
  </si>
  <si>
    <t>ТТ</t>
  </si>
  <si>
    <t>ТОП-0.66 400/5A</t>
  </si>
  <si>
    <t>Трансформатор тока</t>
  </si>
  <si>
    <t>400/5A; класс точности и мощность КОНТРОЛЬ</t>
  </si>
  <si>
    <t>SAIMAN / экв.</t>
  </si>
  <si>
    <t>На схеме указано 400/5.</t>
  </si>
  <si>
    <t>Измерение</t>
  </si>
  <si>
    <t>CHINT PA — КОНТРОЛЬ</t>
  </si>
  <si>
    <t>Амперметр щитовой</t>
  </si>
  <si>
    <t>Для вторичной цепи ТТ 5A; шкала/габарит КОНТРОЛЬ</t>
  </si>
  <si>
    <t>PA ×3 на двери.</t>
  </si>
  <si>
    <t>CHINT PV — КОНТРОЛЬ</t>
  </si>
  <si>
    <t>Вольтметр щитовой</t>
  </si>
  <si>
    <t>0–500V AC; точный тип/габарит КОНТРОЛЬ</t>
  </si>
  <si>
    <t>PV ×1 на двери.</t>
  </si>
  <si>
    <t>Счётчик</t>
  </si>
  <si>
    <t>SAIMAN — КОНТРОЛЬ</t>
  </si>
  <si>
    <t>Счётчик / анализатор трёхфазный</t>
  </si>
  <si>
    <t>Трансформаторное включение 5A; модель, интерфейс и класс КОНТРОЛЬ</t>
  </si>
  <si>
    <t>SAIMAN</t>
  </si>
  <si>
    <t>На схеме обозначен PJ; конкретная модель не указана.</t>
  </si>
  <si>
    <t>Клеммник</t>
  </si>
  <si>
    <t>КОНТРОЛЬ</t>
  </si>
  <si>
    <t>Клеммники силовые / N / PE</t>
  </si>
  <si>
    <t>Тип, сечение и количество по фактическим отходящим кабелям</t>
  </si>
  <si>
    <t>Klemsan / EKT</t>
  </si>
  <si>
    <t>ЭОМ +_compressed.pdf, стр. 2; монтажная раскладка</t>
  </si>
  <si>
    <t>Количество определяется по клеммной раскладке; значение не выдумано.</t>
  </si>
  <si>
    <t>DIN рейка</t>
  </si>
  <si>
    <t>DIN 35 — КОНТРОЛЬ</t>
  </si>
  <si>
    <t>DIN рейка 35 мм</t>
  </si>
  <si>
    <t>Длина по монтажной раскладке и 20% резерву</t>
  </si>
  <si>
    <t>м</t>
  </si>
  <si>
    <t>EKT</t>
  </si>
  <si>
    <t>Точная длина отсутствует в проекте.</t>
  </si>
  <si>
    <t>Кабельный канал</t>
  </si>
  <si>
    <t>Кабельный канал перфорированный</t>
  </si>
  <si>
    <t>Сечение и длина по заполнению канала</t>
  </si>
  <si>
    <t>EKT / Onka</t>
  </si>
  <si>
    <t>Шина</t>
  </si>
  <si>
    <t>Шины N / PE и фазные перемычки</t>
  </si>
  <si>
    <t>Материал, сечение и длина по току, КЗ и компоновке</t>
  </si>
  <si>
    <t>TEKLED / EKT</t>
  </si>
  <si>
    <t>Длина шин не задана; рассчитать после компоновки.</t>
  </si>
  <si>
    <t>Кабельный ввод</t>
  </si>
  <si>
    <t>Кабельные вводы / сальники</t>
  </si>
  <si>
    <t>Типоразмер и количество по фактическим наружным диаметрам кабелей</t>
  </si>
  <si>
    <t>Определить по кабельной ведомости и вводной плите.</t>
  </si>
  <si>
    <t>Монтажный материал</t>
  </si>
  <si>
    <t>Наконечники, маркировка, провод, крепёж и расходные материалы</t>
  </si>
  <si>
    <t>набор</t>
  </si>
  <si>
    <t>EKT / Klemsan / Harmony</t>
  </si>
  <si>
    <t>ЭОМ +_compressed.pdf, стр. 2; производственная раскладка</t>
  </si>
  <si>
    <t>Состав и стоимость определяются после монтажной раскладки.</t>
  </si>
  <si>
    <t>Монтажные работы</t>
  </si>
  <si>
    <t>Сборка, внутренний монтаж, маркировка и испытания</t>
  </si>
  <si>
    <t>работа</t>
  </si>
  <si>
    <t>TEKLED</t>
  </si>
  <si>
    <t>Производственная норма</t>
  </si>
  <si>
    <t>Трудоёмкость определяется после утверждения компоновки.</t>
  </si>
  <si>
    <t>ИТОГО</t>
  </si>
  <si>
    <t>ИТОГО ГРЩ</t>
  </si>
  <si>
    <t>Суммарная установленная DIN-модульность без учёта 20% резерва</t>
  </si>
  <si>
    <t>Итог по DIN-модулям; MCCB, приборы на двери и монтажная плита считаются отдельно.</t>
  </si>
  <si>
    <t>ЩСО-0</t>
  </si>
  <si>
    <t>Щит силовой и освещения цокольного этажа.</t>
  </si>
  <si>
    <t>ЭОМ +_compressed.pdf, стр. 3</t>
  </si>
  <si>
    <t>IP31 указан в спецификации; точные габариты отсутствуют. Не подменено предположением.</t>
  </si>
  <si>
    <t>NXB-63H 3P C32 10kA</t>
  </si>
  <si>
    <t>Автоматический выключатель вводной</t>
  </si>
  <si>
    <t>3P, C32A, 10kA</t>
  </si>
  <si>
    <t>QF0.</t>
  </si>
  <si>
    <t>NXB-63 1P B16 6kA</t>
  </si>
  <si>
    <t>1P, B16A, 6kA</t>
  </si>
  <si>
    <t>Рабочее освещение, 2 линии.</t>
  </si>
  <si>
    <t>NXBLE-32 1P+N C25 30mA 6kA</t>
  </si>
  <si>
    <t>1P+N, C25A, 30mA, 6kA</t>
  </si>
  <si>
    <t>Розеточные группы 0.1–0.4.</t>
  </si>
  <si>
    <t>NXB-63 1P B6 6kA</t>
  </si>
  <si>
    <t>1P, B6A, 6kA</t>
  </si>
  <si>
    <t>Питание ЯТП-12/250.</t>
  </si>
  <si>
    <t>ЭОМ +_compressed.pdf, стр. 3; монтажная раскладка</t>
  </si>
  <si>
    <t>ЭОМ +_compressed.pdf, стр. 3; производственная раскладка</t>
  </si>
  <si>
    <t>ИТОГО ЩСО-0</t>
  </si>
  <si>
    <t>ЩСО-1</t>
  </si>
  <si>
    <t>Щит силовой и освещения 1-го этажа.</t>
  </si>
  <si>
    <t>ЭОМ +_compressed.pdf, стр. 4</t>
  </si>
  <si>
    <t>QF0 по однолинейной схеме.</t>
  </si>
  <si>
    <t>Розеточные группы 1.1–1.4.</t>
  </si>
  <si>
    <t>NXB-63 3P C16 6kA</t>
  </si>
  <si>
    <t>3P, C16A, 6kA</t>
  </si>
  <si>
    <t>Трёхфазная отходящая линия; сигнал отключения от ПС.</t>
  </si>
  <si>
    <t>3P, C32A, 6kA</t>
  </si>
  <si>
    <t>Наружные блоки К1 и К2.</t>
  </si>
  <si>
    <t>NXB-63 3P B10 6kA</t>
  </si>
  <si>
    <t>3P, B10A, 6kA</t>
  </si>
  <si>
    <t>Наружный блок К3.</t>
  </si>
  <si>
    <t>NXBLE-63 3P+N C25 30mA 6kA</t>
  </si>
  <si>
    <t>3P+N, C25A, 30mA, 6kA</t>
  </si>
  <si>
    <t>Наружные блоки К4 и К5; кабель 5×4.</t>
  </si>
  <si>
    <t>NXB-63 1P C25 6kA</t>
  </si>
  <si>
    <t>1P, C25A, 6kA</t>
  </si>
  <si>
    <t>Группа внутренних блоков; сигнал отключения от ПС.</t>
  </si>
  <si>
    <t>NXB-63 1P C16 6kA</t>
  </si>
  <si>
    <t>1P, C16A, 6kA</t>
  </si>
  <si>
    <t>Группы внутренних блоков; сигнал отключения от ПС.</t>
  </si>
  <si>
    <t>Физическая линия QF16; назначение на схеме читается не полностью.</t>
  </si>
  <si>
    <t>Расцепитель</t>
  </si>
  <si>
    <t>CHINT SHT — КОНТРОЛЬ</t>
  </si>
  <si>
    <t>Независимый расцепитель / катушка отключения</t>
  </si>
  <si>
    <t>Для отключения по сигналу ПС; напряжение катушки и совместимость КОНТРОЛЬ</t>
  </si>
  <si>
    <t>На схеме обозначено РН47 у четырёх автоматов.</t>
  </si>
  <si>
    <t>ЭОМ +_compressed.pdf, стр. 4; монтажная раскладка</t>
  </si>
  <si>
    <t>ЭОМ +_compressed.pdf, стр. 4; производственная раскладка</t>
  </si>
  <si>
    <t>ИТОГО ЩСО-1</t>
  </si>
  <si>
    <t>ЩСО-2</t>
  </si>
  <si>
    <t>Щит силовой и освещения 2-го этажа.</t>
  </si>
  <si>
    <t>ЭОМ +_compressed.pdf, стр. 5</t>
  </si>
  <si>
    <t>7 рабочих розеточных групп + 2 резервных линии.</t>
  </si>
  <si>
    <t>Физическая отходящая линия QF10.</t>
  </si>
  <si>
    <t>NXB-63 1P B10 6kA</t>
  </si>
  <si>
    <t>Автоматический выключатель резервный</t>
  </si>
  <si>
    <t>1P, B10A, 6kA</t>
  </si>
  <si>
    <t>Резерв QF11.</t>
  </si>
  <si>
    <t>ЭОМ +_compressed.pdf, стр. 5; монтажная раскладка</t>
  </si>
  <si>
    <t>ЭОМ +_compressed.pdf, стр. 5; производственная раскладка</t>
  </si>
  <si>
    <t>ИТОГО ЩСО-2</t>
  </si>
  <si>
    <t>ЩСО-3</t>
  </si>
  <si>
    <t>Щит силовой и освещения 3-го этажа.</t>
  </si>
  <si>
    <t>ЭОМ +_compressed.pdf, стр. 6</t>
  </si>
  <si>
    <t>Питание внутренних блоков кондиционеров; сигнал от ПС.</t>
  </si>
  <si>
    <t>На схеме обозначено РН47.</t>
  </si>
  <si>
    <t>ЭОМ +_compressed.pdf, стр. 6; монтажная раскладка</t>
  </si>
  <si>
    <t>ЭОМ +_compressed.pdf, стр. 6; производственная раскладка</t>
  </si>
  <si>
    <t>ИТОГО ЩСО-3</t>
  </si>
  <si>
    <t>ЩАО</t>
  </si>
  <si>
    <t>Щит аварийного освещения.</t>
  </si>
  <si>
    <t>ЭОМ +_compressed.pdf, стр. 7</t>
  </si>
  <si>
    <t>NXB-63H 3P C25 10kA</t>
  </si>
  <si>
    <t>3P, C25A, 10kA</t>
  </si>
  <si>
    <t>Аварийное освещение этажей А0–А3.</t>
  </si>
  <si>
    <t>NXB-63 1P C6 6kA</t>
  </si>
  <si>
    <t>1P, C6A, 6kA</t>
  </si>
  <si>
    <t>Оборудование пожарной автоматики.</t>
  </si>
  <si>
    <t>Три резервных линии.</t>
  </si>
  <si>
    <t>ЭОМ +_compressed.pdf, стр. 7; монтажная раскладка</t>
  </si>
  <si>
    <t>ЭОМ +_compressed.pdf, стр. 7; производственная раскладка</t>
  </si>
  <si>
    <t>ИТОГО ЩАО</t>
  </si>
  <si>
    <t>ЩЛ</t>
  </si>
  <si>
    <t>Щит лифтового оборудования.</t>
  </si>
  <si>
    <t>ЭОМ +_compressed.pdf, стр. 8</t>
  </si>
  <si>
    <t>NXB-63H 3P D40 10kA</t>
  </si>
  <si>
    <t>3P, D40A, 10kA; точный артикул КОНТРОЛЬ</t>
  </si>
  <si>
    <t>NXB-63 3P D25 6kA</t>
  </si>
  <si>
    <t>3P, D25A, 6kA; точный артикул КОНТРОЛЬ</t>
  </si>
  <si>
    <t>Питание вводного устройства лифта.</t>
  </si>
  <si>
    <t>Ремонтное освещение и освещение шахты.</t>
  </si>
  <si>
    <t>Резерв.</t>
  </si>
  <si>
    <t>ЭОМ +_compressed.pdf, стр. 8; монтажная раскладка</t>
  </si>
  <si>
    <t>ЭОМ +_compressed.pdf, стр. 8; производственная раскладка</t>
  </si>
  <si>
    <t>ИТОГО ЩЛ</t>
  </si>
  <si>
    <t>DIN модули</t>
  </si>
  <si>
    <t>Резерв %</t>
  </si>
  <si>
    <t>Минимум с резервом</t>
  </si>
  <si>
    <t>Корпус / предложение</t>
  </si>
  <si>
    <t>Статус</t>
  </si>
  <si>
    <t>Основание</t>
  </si>
  <si>
    <t>Спец. шкаф / TEKSAN F, размер после раскладки</t>
  </si>
  <si>
    <t>29 DIN-модулей + 2 MCCB + шины + 3 ТТ + приборы на двери; типовой модульный расчёт недостаточен.</t>
  </si>
  <si>
    <t>TEKSAN TW-4050-20, 24M — инженерное предложение</t>
  </si>
  <si>
    <t>Требуется минимум 17M с 20% резервом; клеммы и кабельные вводы подтверждаются раскладкой.</t>
  </si>
  <si>
    <t>TEKSAN TF-6080-25, 72M — инженерное предложение</t>
  </si>
  <si>
    <t>Требуется минимум 46M с 20% резервом; 125A MCCB, клеммы и кабельные вводы требуют монтажной плиты.</t>
  </si>
  <si>
    <t>TEKSAN TW-5060-20, 36M — инженерное предложение</t>
  </si>
  <si>
    <t>Требуется минимум 30M с 20% резервом; окончательно после клеммной и кабельной раскладки.</t>
  </si>
  <si>
    <t>Требуется минимум 32M с 20% резервом; окончательно после клеммной и кабельной раскладки.</t>
  </si>
  <si>
    <t>Требуется минимум 14M с 20% резервом; 24M оставляет место для клемм и разводки.</t>
  </si>
  <si>
    <t>Требуется минимум 14M с 20% резервом; окончательно после клеммной раскладки.</t>
  </si>
  <si>
    <t>Панель / konu</t>
  </si>
  <si>
    <t>Риск / çelişki</t>
  </si>
  <si>
    <t>Karar / işlem</t>
  </si>
  <si>
    <t>Kaynak</t>
  </si>
  <si>
    <t>Durum</t>
  </si>
  <si>
    <t>Спецификация на стр. 22 указывает In=125A, однолинейная схема на стр. 2 — QF0 250A и расчётный ток 184,9A.</t>
  </si>
  <si>
    <t>BOM'da tek hat esas alınarak 250A kullanıldı; proje müellifinden yazılı doğrulama alınmalı.</t>
  </si>
  <si>
    <t>ЭОМ +_compressed.pdf, стр. 2 и 22</t>
  </si>
  <si>
    <t>YÜKSEK</t>
  </si>
  <si>
    <t>Спецификация на стр. 22 указывает In=63A, однолинейная схема на стр. 4 — QF0 125A.</t>
  </si>
  <si>
    <t>BOM'da tek hat esas alınarak 125A kullanıldı; kısa devre kapasitesi ve kablo kesiti doğrulanmalı.</t>
  </si>
  <si>
    <t>ЭОМ +_compressed.pdf, стр. 4 и 22</t>
  </si>
  <si>
    <t>На стр. 2 номер QF9 повторён, но показаны две отдельные физические отходящие линии.</t>
  </si>
  <si>
    <t>QF numarasına değil fiziksel cihaz sayısına göre iki ayrı 50A otomatik sayıldı.</t>
  </si>
  <si>
    <t>AÇIKLAMA</t>
  </si>
  <si>
    <t>На стр. 4 маркировка QF8/QF9 частично перекрыта и повторяется.</t>
  </si>
  <si>
    <t>Tek hat üzerindeki her fiziksel dal ayrı sayıldı; etiket numarası satın alma adedini etkilemedi.</t>
  </si>
  <si>
    <t>ЩСО-1 / ЩСО-3</t>
  </si>
  <si>
    <t>РН47 показан как отключение по сигналу ПС, но тип расцепителя и напряжение катушки не указаны.</t>
  </si>
  <si>
    <t>CHINT bağımsız açtırma bobini satırı KONTROL bırakıldı; otomatik uyumluluğu ve bobin gerilimi doğrulanmalı.</t>
  </si>
  <si>
    <t>ЭОМ +_compressed.pdf, стр. 4 и 6</t>
  </si>
  <si>
    <t>Все панели</t>
  </si>
  <si>
    <t>Габариты корпуса, клеммная раскладка, DIN/канал/шина длины и кабельные вводы в проекте отсутствуют.</t>
  </si>
  <si>
    <t>Değerler uydurulmadı; montaj yerleşiminden sonra doldurulacak KONTROL satırları eklendi.</t>
  </si>
  <si>
    <t>ЭОМ +_compressed.pdf, стр. 2–8 и 22</t>
  </si>
  <si>
    <t>KONTROL</t>
  </si>
  <si>
    <t>ГРЩ / ЩСО-1</t>
  </si>
  <si>
    <t>Отключающая способность MCCB 250A и 125A на схемах не указана.</t>
  </si>
  <si>
    <t>NXM kasa ailesi seçildi; kesin Icu ve sipariş artikülü kısa devre hesabıyla doğrulanmalı.</t>
  </si>
  <si>
    <t>ЭОМ +_compressed.pdf, стр. 2 и 4</t>
  </si>
  <si>
    <t>УЗИП/парафудр на однолинейных схемах не показан.</t>
  </si>
  <si>
    <t>BOM'a parafudr eklenmedi.</t>
  </si>
  <si>
    <t>ЭОМ +_compressed.pdf, стр. 2–8</t>
  </si>
  <si>
    <t>BİLGİ</t>
  </si>
  <si>
    <t>Kapsam</t>
  </si>
  <si>
    <t>Kullanım kuralı / açıklama</t>
  </si>
  <si>
    <t>Ana kaynak</t>
  </si>
  <si>
    <t>Pano cihaz adetleri tek hat şemalarından, fiziksel sembol sayımıyla çıkarıldı.</t>
  </si>
  <si>
    <t>Pano listesi / IP</t>
  </si>
  <si>
    <t>ГРЩ, ЩСО-0, ЩСО-1, ЩСО-2, ЩСО-3, ЩАО, ЩЛ ve IP31 bilgisi kontrol edildi.</t>
  </si>
  <si>
    <t>Marka dönüşümü</t>
  </si>
  <si>
    <t>TEKLED kuralı</t>
  </si>
  <si>
    <t>Şalt CHINT; korpus TEKSAN; klemens Klemsan/EKT; kanal ve DIN EKT/Onka; iç kablo Harmony.</t>
  </si>
  <si>
    <t>Yedek alan</t>
  </si>
  <si>
    <t>TEKLED R1 kuralı</t>
  </si>
  <si>
    <t>Modül kontrolünde %20 yedek alan kullanıldı.</t>
  </si>
  <si>
    <t>Belirsiz değerler</t>
  </si>
  <si>
    <t>Mühendislik kontrolü</t>
  </si>
  <si>
    <t>Korpus ölçüsü, klemens adedi, DIN/kanal/bara metreleri ve kablo girişleri proje verisi olmadığı için KONTROL bırakıldı.</t>
  </si>
  <si>
    <t>Hariç tutulanlar</t>
  </si>
  <si>
    <t>Harici yükler, saha kabloları, aydınlatma armatürleri ve YATP gibi pano dışı ekipmanlar pano iç BOM'una eklenmedi.</t>
  </si>
  <si>
    <t>Sayfa</t>
  </si>
  <si>
    <t>Ana giriş</t>
  </si>
  <si>
    <t>Çıkış cihazları</t>
  </si>
  <si>
    <t>Ölçüm/kumanda</t>
  </si>
  <si>
    <t>DIN modül toplamı</t>
  </si>
  <si>
    <t>Not</t>
  </si>
  <si>
    <t>1× MCCB 3P 250A</t>
  </si>
  <si>
    <t>1×3P40A; 1×MCCB125A; 5×3P50A; 2×3P32A; 1×3P25A; 1×RCBO 1P+N C10 30mA</t>
  </si>
  <si>
    <t>3×TT 400/5; 3×PA; 1×PV; 1×PJ</t>
  </si>
  <si>
    <t>QF9 etiketi iki fiziksel hatta tekrar ediyor.</t>
  </si>
  <si>
    <t>1×3P C32 10kA</t>
  </si>
  <si>
    <t>2×1P B16; 4×RCBO 1P+N C25 30mA; 1×1P B6</t>
  </si>
  <si>
    <t>-</t>
  </si>
  <si>
    <t>Fiziksel cihaz sayımı.</t>
  </si>
  <si>
    <t>1×MCCB 3P 125A</t>
  </si>
  <si>
    <t>2×1P B16; 4×RCBO 1P+N C25; 1×3P C16; 2×3P C32; 1×3P B10; 2×RCBO 3P+N C25; 1×1P C25; 2×1P C16; 1×1P B16</t>
  </si>
  <si>
    <t>4×РН47 açtırma aksesuarı</t>
  </si>
  <si>
    <t>QF etiket çakışmalarında fiziksel semboller sayıldı.</t>
  </si>
  <si>
    <t>1×3P C40 10kA</t>
  </si>
  <si>
    <t>2×1P B16; 9×RCBO 1P+N C25; 1×1P C16; 1×1P B10</t>
  </si>
  <si>
    <t>2 RCBO ve B10 rezervdir.</t>
  </si>
  <si>
    <t>1×РН47 açtırma aksesuarı</t>
  </si>
  <si>
    <t>QF10 yangın sinyaliyle açtırılır.</t>
  </si>
  <si>
    <t>1×3P C25 10kA</t>
  </si>
  <si>
    <t>4×1P B16; 1×1P C6; 3×1P B10</t>
  </si>
  <si>
    <t>Üç B10 rezerv.</t>
  </si>
  <si>
    <t>1×3P D40 10kA</t>
  </si>
  <si>
    <t>1×3P D25; 2×1P B6; 1×1P C16; 1×1P B16; 1×1P B10</t>
  </si>
  <si>
    <t>YATP harici yük olduğundan pano içine eklenmedi.</t>
  </si>
  <si>
    <t>цена</t>
  </si>
  <si>
    <t>цена1</t>
  </si>
  <si>
    <t>сумм.</t>
  </si>
  <si>
    <t>ТОП-0.66 250/5A</t>
  </si>
  <si>
    <t>5-7,5 pls</t>
  </si>
  <si>
    <t>3*20</t>
  </si>
  <si>
    <t>40*60</t>
  </si>
  <si>
    <t>lamp</t>
  </si>
  <si>
    <t>sinyal lamb</t>
  </si>
  <si>
    <t>sinyal lm yesil</t>
  </si>
  <si>
    <t>Независимый расцепитель / катушка отключения3*32 nxb 6ka</t>
  </si>
  <si>
    <t>shrv 24</t>
  </si>
  <si>
    <t>shrv 48</t>
  </si>
  <si>
    <t>oto</t>
  </si>
  <si>
    <t>shrv 36</t>
  </si>
  <si>
    <t>shrv 18</t>
  </si>
  <si>
    <t>pys</t>
  </si>
  <si>
    <t>816143</t>
  </si>
  <si>
    <t>Авт. выкл. NXB-125 3P 125A 10кА х-ка C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</si>
</sst>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11827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17365D"/>
      <name val="Arial"/>
      <family val="2"/>
      <charset val="204"/>
    </font>
    <font>
      <b/>
      <sz val="10"/>
      <color rgb="FF111827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pane xSplit="11" ySplit="1" topLeftCell="N2" activePane="bottomRight" state="frozen"/>
      <selection pane="topRight" activeCell="L1" sqref="L1"/>
      <selection pane="bottomLeft" activeCell="A2" sqref="A2"/>
      <selection pane="bottomRight" activeCell="G4" sqref="G4:G88"/>
    </sheetView>
  </sheetViews>
  <sheetFormatPr defaultRowHeight="14.25"/>
  <cols>
    <col min="1" max="1" width="6" customWidth="1"/>
    <col min="2" max="2" width="15" customWidth="1"/>
    <col min="3" max="3" width="18" customWidth="1"/>
    <col min="4" max="4" width="31" customWidth="1"/>
    <col min="5" max="5" width="42" customWidth="1"/>
    <col min="6" max="8" width="17.75" customWidth="1"/>
    <col min="9" max="10" width="10" customWidth="1"/>
    <col min="11" max="11" width="19" customWidth="1"/>
    <col min="12" max="12" width="42" customWidth="1"/>
    <col min="13" max="13" width="24" customWidth="1"/>
    <col min="14" max="14" width="52" customWidth="1"/>
    <col min="15" max="15" width="13" customWidth="1"/>
  </cols>
  <sheetData>
    <row r="1" spans="1:15" ht="33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314</v>
      </c>
      <c r="G1" s="3" t="s">
        <v>313</v>
      </c>
      <c r="H1" s="3" t="s">
        <v>315</v>
      </c>
      <c r="I1" s="3" t="s">
        <v>6</v>
      </c>
      <c r="J1" s="3" t="s">
        <v>7</v>
      </c>
      <c r="K1" s="3" t="s">
        <v>8</v>
      </c>
      <c r="L1" s="3" t="s">
        <v>5</v>
      </c>
      <c r="M1" s="3" t="s">
        <v>9</v>
      </c>
      <c r="N1" s="3" t="s">
        <v>10</v>
      </c>
      <c r="O1" s="3" t="s">
        <v>11</v>
      </c>
    </row>
    <row r="2" spans="1:15" ht="38.25">
      <c r="A2" s="4">
        <v>1</v>
      </c>
      <c r="B2" s="5" t="s">
        <v>12</v>
      </c>
      <c r="C2" s="5" t="s">
        <v>1</v>
      </c>
      <c r="D2" s="5"/>
      <c r="E2" s="5" t="s">
        <v>12</v>
      </c>
      <c r="F2" s="5"/>
      <c r="G2" s="5"/>
      <c r="H2" s="5"/>
      <c r="I2" s="4">
        <v>1</v>
      </c>
      <c r="J2" s="4" t="s">
        <v>14</v>
      </c>
      <c r="K2" s="5" t="s">
        <v>15</v>
      </c>
      <c r="L2" s="5" t="s">
        <v>13</v>
      </c>
      <c r="M2" s="5" t="s">
        <v>16</v>
      </c>
      <c r="N2" s="5" t="s">
        <v>17</v>
      </c>
      <c r="O2" s="4">
        <v>0</v>
      </c>
    </row>
    <row r="3" spans="1:15" ht="25.5">
      <c r="A3" s="6">
        <v>2</v>
      </c>
      <c r="B3" s="7" t="s">
        <v>12</v>
      </c>
      <c r="C3" s="7" t="s">
        <v>18</v>
      </c>
      <c r="D3" s="7" t="s">
        <v>19</v>
      </c>
      <c r="E3" s="7" t="s">
        <v>20</v>
      </c>
      <c r="F3" s="7"/>
      <c r="G3" s="7"/>
      <c r="H3" s="7"/>
      <c r="I3" s="6">
        <v>1</v>
      </c>
      <c r="J3" s="6" t="s">
        <v>22</v>
      </c>
      <c r="K3" s="7" t="s">
        <v>23</v>
      </c>
      <c r="L3" s="7" t="s">
        <v>21</v>
      </c>
      <c r="M3" s="7" t="s">
        <v>24</v>
      </c>
      <c r="N3" s="7" t="s">
        <v>25</v>
      </c>
      <c r="O3" s="6">
        <v>0</v>
      </c>
    </row>
    <row r="4" spans="1:15" ht="25.5">
      <c r="A4" s="6">
        <v>3</v>
      </c>
      <c r="B4" s="7" t="s">
        <v>12</v>
      </c>
      <c r="C4" s="7" t="s">
        <v>26</v>
      </c>
      <c r="D4" s="7" t="s">
        <v>27</v>
      </c>
      <c r="E4" s="7" t="s">
        <v>28</v>
      </c>
      <c r="F4" s="7"/>
      <c r="G4" s="7">
        <f>0.6*F4</f>
        <v>0</v>
      </c>
      <c r="H4" s="7"/>
      <c r="I4" s="6">
        <v>1</v>
      </c>
      <c r="J4" s="6" t="s">
        <v>22</v>
      </c>
      <c r="K4" s="7" t="s">
        <v>30</v>
      </c>
      <c r="L4" s="7" t="s">
        <v>29</v>
      </c>
      <c r="M4" s="7" t="s">
        <v>16</v>
      </c>
      <c r="N4" s="7" t="s">
        <v>31</v>
      </c>
      <c r="O4" s="6">
        <v>0</v>
      </c>
    </row>
    <row r="5" spans="1:15" ht="25.5">
      <c r="A5" s="6">
        <v>4</v>
      </c>
      <c r="B5" s="7" t="s">
        <v>12</v>
      </c>
      <c r="C5" s="7" t="s">
        <v>32</v>
      </c>
      <c r="D5" s="7" t="s">
        <v>33</v>
      </c>
      <c r="E5" s="7" t="s">
        <v>34</v>
      </c>
      <c r="F5" s="7"/>
      <c r="G5" s="7">
        <f t="shared" ref="G5:G10" si="0">0.6*F5</f>
        <v>0</v>
      </c>
      <c r="H5" s="7"/>
      <c r="I5" s="6">
        <v>1</v>
      </c>
      <c r="J5" s="6" t="s">
        <v>22</v>
      </c>
      <c r="K5" s="7" t="s">
        <v>30</v>
      </c>
      <c r="L5" s="7" t="s">
        <v>35</v>
      </c>
      <c r="M5" s="7" t="s">
        <v>16</v>
      </c>
      <c r="N5" s="7" t="s">
        <v>36</v>
      </c>
      <c r="O5" s="6">
        <v>3</v>
      </c>
    </row>
    <row r="6" spans="1:15" ht="25.5">
      <c r="A6" s="6">
        <v>5</v>
      </c>
      <c r="B6" s="7" t="s">
        <v>12</v>
      </c>
      <c r="C6" s="7" t="s">
        <v>26</v>
      </c>
      <c r="D6" s="7" t="s">
        <v>37</v>
      </c>
      <c r="E6" s="7" t="s">
        <v>38</v>
      </c>
      <c r="F6" s="7"/>
      <c r="G6" s="7">
        <f t="shared" si="0"/>
        <v>0</v>
      </c>
      <c r="H6" s="7"/>
      <c r="I6" s="6">
        <v>1</v>
      </c>
      <c r="J6" s="6" t="s">
        <v>22</v>
      </c>
      <c r="K6" s="7" t="s">
        <v>30</v>
      </c>
      <c r="L6" s="7" t="s">
        <v>39</v>
      </c>
      <c r="M6" s="7" t="s">
        <v>16</v>
      </c>
      <c r="N6" s="7" t="s">
        <v>40</v>
      </c>
      <c r="O6" s="6">
        <v>0</v>
      </c>
    </row>
    <row r="7" spans="1:15" ht="25.5">
      <c r="A7" s="6">
        <v>6</v>
      </c>
      <c r="B7" s="7" t="s">
        <v>12</v>
      </c>
      <c r="C7" s="7" t="s">
        <v>32</v>
      </c>
      <c r="D7" s="7" t="s">
        <v>41</v>
      </c>
      <c r="E7" s="7" t="s">
        <v>34</v>
      </c>
      <c r="F7" s="7"/>
      <c r="G7" s="7">
        <f t="shared" si="0"/>
        <v>0</v>
      </c>
      <c r="H7" s="7"/>
      <c r="I7" s="6">
        <v>5</v>
      </c>
      <c r="J7" s="6" t="s">
        <v>22</v>
      </c>
      <c r="K7" s="7" t="s">
        <v>30</v>
      </c>
      <c r="L7" s="7" t="s">
        <v>42</v>
      </c>
      <c r="M7" s="7" t="s">
        <v>16</v>
      </c>
      <c r="N7" s="7" t="s">
        <v>43</v>
      </c>
      <c r="O7" s="6">
        <v>15</v>
      </c>
    </row>
    <row r="8" spans="1:15" ht="25.5">
      <c r="A8" s="6">
        <v>7</v>
      </c>
      <c r="B8" s="7" t="s">
        <v>12</v>
      </c>
      <c r="C8" s="7" t="s">
        <v>32</v>
      </c>
      <c r="D8" s="7" t="s">
        <v>44</v>
      </c>
      <c r="E8" s="7" t="s">
        <v>34</v>
      </c>
      <c r="F8" s="7"/>
      <c r="G8" s="7">
        <f t="shared" si="0"/>
        <v>0</v>
      </c>
      <c r="H8" s="7"/>
      <c r="I8" s="6">
        <v>2</v>
      </c>
      <c r="J8" s="6" t="s">
        <v>22</v>
      </c>
      <c r="K8" s="7" t="s">
        <v>30</v>
      </c>
      <c r="L8" s="7" t="s">
        <v>45</v>
      </c>
      <c r="M8" s="7" t="s">
        <v>16</v>
      </c>
      <c r="N8" s="7" t="s">
        <v>46</v>
      </c>
      <c r="O8" s="6">
        <v>6</v>
      </c>
    </row>
    <row r="9" spans="1:15" ht="25.5">
      <c r="A9" s="6">
        <v>8</v>
      </c>
      <c r="B9" s="7" t="s">
        <v>12</v>
      </c>
      <c r="C9" s="7" t="s">
        <v>32</v>
      </c>
      <c r="D9" s="7" t="s">
        <v>47</v>
      </c>
      <c r="E9" s="7" t="s">
        <v>34</v>
      </c>
      <c r="F9" s="7"/>
      <c r="G9" s="7">
        <f t="shared" si="0"/>
        <v>0</v>
      </c>
      <c r="H9" s="7"/>
      <c r="I9" s="6">
        <v>1</v>
      </c>
      <c r="J9" s="6" t="s">
        <v>22</v>
      </c>
      <c r="K9" s="7" t="s">
        <v>30</v>
      </c>
      <c r="L9" s="7" t="s">
        <v>48</v>
      </c>
      <c r="M9" s="7" t="s">
        <v>16</v>
      </c>
      <c r="N9" s="7" t="s">
        <v>49</v>
      </c>
      <c r="O9" s="6">
        <v>3</v>
      </c>
    </row>
    <row r="10" spans="1:15" ht="25.5">
      <c r="A10" s="6">
        <v>9</v>
      </c>
      <c r="B10" s="7" t="s">
        <v>12</v>
      </c>
      <c r="C10" s="7" t="s">
        <v>50</v>
      </c>
      <c r="D10" s="7" t="s">
        <v>51</v>
      </c>
      <c r="E10" s="7" t="s">
        <v>52</v>
      </c>
      <c r="F10" s="7"/>
      <c r="G10" s="7">
        <f t="shared" si="0"/>
        <v>0</v>
      </c>
      <c r="H10" s="7"/>
      <c r="I10" s="6">
        <v>1</v>
      </c>
      <c r="J10" s="6" t="s">
        <v>22</v>
      </c>
      <c r="K10" s="7" t="s">
        <v>30</v>
      </c>
      <c r="L10" s="7" t="s">
        <v>53</v>
      </c>
      <c r="M10" s="7" t="s">
        <v>16</v>
      </c>
      <c r="N10" s="7" t="s">
        <v>54</v>
      </c>
      <c r="O10" s="6">
        <v>2</v>
      </c>
    </row>
    <row r="11" spans="1:15" ht="25.5">
      <c r="A11" s="6">
        <v>10</v>
      </c>
      <c r="B11" s="7" t="s">
        <v>12</v>
      </c>
      <c r="C11" s="7" t="s">
        <v>55</v>
      </c>
      <c r="D11" s="7" t="s">
        <v>316</v>
      </c>
      <c r="E11" s="7" t="s">
        <v>57</v>
      </c>
      <c r="F11" s="7"/>
      <c r="G11" s="7"/>
      <c r="H11" s="7"/>
      <c r="I11" s="6">
        <v>3</v>
      </c>
      <c r="J11" s="6" t="s">
        <v>22</v>
      </c>
      <c r="K11" s="7" t="s">
        <v>59</v>
      </c>
      <c r="L11" s="7" t="s">
        <v>58</v>
      </c>
      <c r="M11" s="7" t="s">
        <v>16</v>
      </c>
      <c r="N11" s="7" t="s">
        <v>60</v>
      </c>
      <c r="O11" s="6">
        <v>0</v>
      </c>
    </row>
    <row r="12" spans="1:15" ht="25.5">
      <c r="A12" s="6">
        <v>11</v>
      </c>
      <c r="B12" s="7" t="s">
        <v>12</v>
      </c>
      <c r="C12" s="7" t="s">
        <v>61</v>
      </c>
      <c r="D12" s="7" t="s">
        <v>62</v>
      </c>
      <c r="E12" s="7" t="s">
        <v>63</v>
      </c>
      <c r="F12" s="7"/>
      <c r="G12" s="7">
        <f t="shared" ref="G12:G13" si="1">0.6*F12</f>
        <v>0</v>
      </c>
      <c r="H12" s="7"/>
      <c r="I12" s="6">
        <v>3</v>
      </c>
      <c r="J12" s="6" t="s">
        <v>22</v>
      </c>
      <c r="K12" s="7" t="s">
        <v>30</v>
      </c>
      <c r="L12" s="7" t="s">
        <v>64</v>
      </c>
      <c r="M12" s="7" t="s">
        <v>16</v>
      </c>
      <c r="N12" s="7" t="s">
        <v>65</v>
      </c>
      <c r="O12" s="6">
        <v>0</v>
      </c>
    </row>
    <row r="13" spans="1:15" ht="25.5">
      <c r="A13" s="6">
        <v>12</v>
      </c>
      <c r="B13" s="7" t="s">
        <v>12</v>
      </c>
      <c r="C13" s="7" t="s">
        <v>61</v>
      </c>
      <c r="D13" s="7" t="s">
        <v>66</v>
      </c>
      <c r="E13" s="7" t="s">
        <v>67</v>
      </c>
      <c r="F13" s="7"/>
      <c r="G13" s="7">
        <f t="shared" si="1"/>
        <v>0</v>
      </c>
      <c r="H13" s="7"/>
      <c r="I13" s="6">
        <v>1</v>
      </c>
      <c r="J13" s="6" t="s">
        <v>22</v>
      </c>
      <c r="K13" s="7" t="s">
        <v>30</v>
      </c>
      <c r="L13" s="7" t="s">
        <v>68</v>
      </c>
      <c r="M13" s="7" t="s">
        <v>16</v>
      </c>
      <c r="N13" s="7" t="s">
        <v>69</v>
      </c>
      <c r="O13" s="6">
        <v>0</v>
      </c>
    </row>
    <row r="14" spans="1:15" ht="25.5">
      <c r="A14" s="6">
        <v>13</v>
      </c>
      <c r="B14" s="7" t="s">
        <v>12</v>
      </c>
      <c r="C14" s="7" t="s">
        <v>70</v>
      </c>
      <c r="D14" s="7" t="s">
        <v>71</v>
      </c>
      <c r="E14" s="7" t="s">
        <v>317</v>
      </c>
      <c r="F14" s="7"/>
      <c r="G14" s="7"/>
      <c r="H14" s="7"/>
      <c r="I14" s="6">
        <v>1</v>
      </c>
      <c r="J14" s="6" t="s">
        <v>22</v>
      </c>
      <c r="K14" s="7" t="s">
        <v>74</v>
      </c>
      <c r="L14" s="7" t="s">
        <v>73</v>
      </c>
      <c r="M14" s="7" t="s">
        <v>16</v>
      </c>
      <c r="N14" s="7" t="s">
        <v>75</v>
      </c>
      <c r="O14" s="6">
        <v>0</v>
      </c>
    </row>
    <row r="15" spans="1:15" ht="25.5">
      <c r="A15" s="6">
        <v>14</v>
      </c>
      <c r="B15" s="7" t="s">
        <v>12</v>
      </c>
      <c r="C15" s="7" t="s">
        <v>321</v>
      </c>
      <c r="D15" s="7" t="s">
        <v>77</v>
      </c>
      <c r="E15" s="7" t="s">
        <v>322</v>
      </c>
      <c r="F15" s="7"/>
      <c r="G15" s="7"/>
      <c r="H15" s="7"/>
      <c r="I15" s="6">
        <v>3</v>
      </c>
      <c r="J15" s="6" t="s">
        <v>22</v>
      </c>
      <c r="K15" s="7" t="s">
        <v>80</v>
      </c>
      <c r="L15" s="7" t="s">
        <v>79</v>
      </c>
      <c r="M15" s="7" t="s">
        <v>81</v>
      </c>
      <c r="N15" s="7" t="s">
        <v>82</v>
      </c>
      <c r="O15" s="6">
        <v>0</v>
      </c>
    </row>
    <row r="16" spans="1:15" ht="25.5">
      <c r="A16" s="6">
        <v>16</v>
      </c>
      <c r="B16" s="7" t="s">
        <v>12</v>
      </c>
      <c r="C16" s="7" t="s">
        <v>90</v>
      </c>
      <c r="D16" s="7" t="s">
        <v>319</v>
      </c>
      <c r="E16" s="7" t="s">
        <v>91</v>
      </c>
      <c r="F16" s="7"/>
      <c r="G16" s="7"/>
      <c r="H16" s="7"/>
      <c r="I16" s="6">
        <v>8</v>
      </c>
      <c r="J16" s="6" t="s">
        <v>87</v>
      </c>
      <c r="K16" s="7" t="s">
        <v>93</v>
      </c>
      <c r="L16" s="7" t="s">
        <v>92</v>
      </c>
      <c r="M16" s="7" t="s">
        <v>81</v>
      </c>
      <c r="N16" s="7" t="s">
        <v>89</v>
      </c>
      <c r="O16" s="6">
        <v>0</v>
      </c>
    </row>
    <row r="17" spans="1:15" ht="25.5">
      <c r="A17" s="6">
        <v>17</v>
      </c>
      <c r="B17" s="7" t="s">
        <v>12</v>
      </c>
      <c r="C17" s="7" t="s">
        <v>94</v>
      </c>
      <c r="D17" s="7" t="s">
        <v>77</v>
      </c>
      <c r="E17" s="7" t="s">
        <v>318</v>
      </c>
      <c r="F17" s="7"/>
      <c r="G17" s="7"/>
      <c r="H17" s="7"/>
      <c r="I17" s="6">
        <v>4</v>
      </c>
      <c r="J17" s="6" t="s">
        <v>87</v>
      </c>
      <c r="K17" s="7" t="s">
        <v>97</v>
      </c>
      <c r="L17" s="7" t="s">
        <v>96</v>
      </c>
      <c r="M17" s="7" t="s">
        <v>81</v>
      </c>
      <c r="N17" s="7" t="s">
        <v>98</v>
      </c>
      <c r="O17" s="6">
        <v>0</v>
      </c>
    </row>
    <row r="18" spans="1:15" ht="25.5">
      <c r="A18" s="6">
        <v>18</v>
      </c>
      <c r="B18" s="7" t="s">
        <v>12</v>
      </c>
      <c r="C18" s="7" t="s">
        <v>320</v>
      </c>
      <c r="D18" s="7" t="s">
        <v>77</v>
      </c>
      <c r="E18" s="7" t="s">
        <v>320</v>
      </c>
      <c r="F18" s="7">
        <v>1000</v>
      </c>
      <c r="G18" s="7">
        <f>F18</f>
        <v>1000</v>
      </c>
      <c r="H18" s="7"/>
      <c r="I18" s="6">
        <v>1</v>
      </c>
      <c r="J18" s="6" t="s">
        <v>22</v>
      </c>
      <c r="K18" s="7" t="s">
        <v>329</v>
      </c>
      <c r="L18" s="7" t="s">
        <v>101</v>
      </c>
      <c r="M18" s="7" t="s">
        <v>81</v>
      </c>
      <c r="N18" s="7" t="s">
        <v>102</v>
      </c>
      <c r="O18" s="6">
        <v>0</v>
      </c>
    </row>
    <row r="19" spans="1:15" ht="38.25">
      <c r="A19" s="6">
        <v>19</v>
      </c>
      <c r="B19" s="7" t="s">
        <v>12</v>
      </c>
      <c r="C19" s="7" t="s">
        <v>103</v>
      </c>
      <c r="D19" s="7" t="s">
        <v>103</v>
      </c>
      <c r="E19" s="7" t="s">
        <v>103</v>
      </c>
      <c r="F19" s="7"/>
      <c r="G19" s="7"/>
      <c r="H19" s="7"/>
      <c r="I19" s="6">
        <v>1</v>
      </c>
      <c r="J19" s="6" t="s">
        <v>105</v>
      </c>
      <c r="K19" s="7" t="s">
        <v>106</v>
      </c>
      <c r="L19" s="7" t="s">
        <v>104</v>
      </c>
      <c r="M19" s="7" t="s">
        <v>107</v>
      </c>
      <c r="N19" s="7" t="s">
        <v>108</v>
      </c>
      <c r="O19" s="6">
        <v>0</v>
      </c>
    </row>
    <row r="20" spans="1:15" ht="25.5">
      <c r="A20" s="6">
        <v>20</v>
      </c>
      <c r="B20" s="7" t="s">
        <v>12</v>
      </c>
      <c r="C20" s="7" t="s">
        <v>109</v>
      </c>
      <c r="D20" s="7" t="s">
        <v>109</v>
      </c>
      <c r="E20" s="7" t="s">
        <v>109</v>
      </c>
      <c r="F20" s="7"/>
      <c r="G20" s="7"/>
      <c r="H20" s="7"/>
      <c r="I20" s="6">
        <v>1</v>
      </c>
      <c r="J20" s="6" t="s">
        <v>111</v>
      </c>
      <c r="K20" s="7" t="s">
        <v>112</v>
      </c>
      <c r="L20" s="7" t="s">
        <v>110</v>
      </c>
      <c r="M20" s="7" t="s">
        <v>113</v>
      </c>
      <c r="N20" s="7" t="s">
        <v>114</v>
      </c>
      <c r="O20" s="6">
        <v>0</v>
      </c>
    </row>
    <row r="21" spans="1:15" ht="25.5">
      <c r="A21" s="8">
        <v>21</v>
      </c>
      <c r="B21" s="9" t="s">
        <v>12</v>
      </c>
      <c r="C21" s="9" t="s">
        <v>115</v>
      </c>
      <c r="D21" s="9"/>
      <c r="E21" s="9" t="s">
        <v>116</v>
      </c>
      <c r="F21" s="9"/>
      <c r="G21" s="9"/>
      <c r="H21" s="9"/>
      <c r="I21" s="8"/>
      <c r="J21" s="8"/>
      <c r="K21" s="9" t="s">
        <v>112</v>
      </c>
      <c r="L21" s="9" t="s">
        <v>117</v>
      </c>
      <c r="M21" s="9" t="s">
        <v>16</v>
      </c>
      <c r="N21" s="9" t="s">
        <v>118</v>
      </c>
      <c r="O21" s="8">
        <f>SUM(O2:O20)</f>
        <v>29</v>
      </c>
    </row>
    <row r="22" spans="1:15" ht="25.5">
      <c r="A22" s="4">
        <v>22</v>
      </c>
      <c r="B22" s="5" t="s">
        <v>119</v>
      </c>
      <c r="C22" s="5" t="s">
        <v>1</v>
      </c>
      <c r="D22" s="5"/>
      <c r="E22" s="5" t="s">
        <v>119</v>
      </c>
      <c r="F22" s="5"/>
      <c r="G22" s="5"/>
      <c r="H22" s="5"/>
      <c r="I22" s="4">
        <v>1</v>
      </c>
      <c r="J22" s="4" t="s">
        <v>14</v>
      </c>
      <c r="K22" s="5" t="s">
        <v>15</v>
      </c>
      <c r="L22" s="5" t="s">
        <v>120</v>
      </c>
      <c r="M22" s="5" t="s">
        <v>121</v>
      </c>
      <c r="N22" s="5" t="s">
        <v>17</v>
      </c>
      <c r="O22" s="4">
        <v>0</v>
      </c>
    </row>
    <row r="23" spans="1:15" ht="25.5">
      <c r="A23" s="6">
        <v>23</v>
      </c>
      <c r="B23" s="7" t="s">
        <v>119</v>
      </c>
      <c r="C23" s="7" t="s">
        <v>18</v>
      </c>
      <c r="D23" s="7" t="s">
        <v>19</v>
      </c>
      <c r="E23" s="7" t="s">
        <v>324</v>
      </c>
      <c r="F23" s="7"/>
      <c r="G23" s="7"/>
      <c r="H23" s="7"/>
      <c r="I23" s="6">
        <v>1</v>
      </c>
      <c r="J23" s="6" t="s">
        <v>22</v>
      </c>
      <c r="K23" s="7" t="s">
        <v>23</v>
      </c>
      <c r="L23" s="7" t="s">
        <v>21</v>
      </c>
      <c r="M23" s="7" t="s">
        <v>24</v>
      </c>
      <c r="N23" s="7" t="s">
        <v>122</v>
      </c>
      <c r="O23" s="6">
        <v>0</v>
      </c>
    </row>
    <row r="24" spans="1:15" ht="25.5">
      <c r="A24" s="6">
        <v>24</v>
      </c>
      <c r="B24" s="7" t="s">
        <v>119</v>
      </c>
      <c r="C24" s="7" t="s">
        <v>32</v>
      </c>
      <c r="D24" s="7" t="s">
        <v>123</v>
      </c>
      <c r="E24" s="7" t="s">
        <v>124</v>
      </c>
      <c r="F24" s="7"/>
      <c r="G24" s="7">
        <f t="shared" ref="G24:G27" si="2">0.6*F24</f>
        <v>0</v>
      </c>
      <c r="H24" s="7"/>
      <c r="I24" s="6">
        <v>1</v>
      </c>
      <c r="J24" s="6" t="s">
        <v>22</v>
      </c>
      <c r="K24" s="7" t="s">
        <v>30</v>
      </c>
      <c r="L24" s="7" t="s">
        <v>125</v>
      </c>
      <c r="M24" s="7" t="s">
        <v>121</v>
      </c>
      <c r="N24" s="7" t="s">
        <v>126</v>
      </c>
      <c r="O24" s="6">
        <v>3</v>
      </c>
    </row>
    <row r="25" spans="1:15" ht="25.5">
      <c r="A25" s="6">
        <v>25</v>
      </c>
      <c r="B25" s="7" t="s">
        <v>119</v>
      </c>
      <c r="C25" s="7" t="s">
        <v>32</v>
      </c>
      <c r="D25" s="7" t="s">
        <v>127</v>
      </c>
      <c r="E25" s="7" t="s">
        <v>34</v>
      </c>
      <c r="F25" s="7"/>
      <c r="G25" s="7">
        <f t="shared" si="2"/>
        <v>0</v>
      </c>
      <c r="H25" s="7"/>
      <c r="I25" s="6">
        <v>2</v>
      </c>
      <c r="J25" s="6" t="s">
        <v>22</v>
      </c>
      <c r="K25" s="7" t="s">
        <v>30</v>
      </c>
      <c r="L25" s="7" t="s">
        <v>128</v>
      </c>
      <c r="M25" s="7" t="s">
        <v>121</v>
      </c>
      <c r="N25" s="7" t="s">
        <v>129</v>
      </c>
      <c r="O25" s="6">
        <v>2</v>
      </c>
    </row>
    <row r="26" spans="1:15" ht="25.5">
      <c r="A26" s="6">
        <v>26</v>
      </c>
      <c r="B26" s="7" t="s">
        <v>119</v>
      </c>
      <c r="C26" s="7" t="s">
        <v>50</v>
      </c>
      <c r="D26" s="7" t="s">
        <v>130</v>
      </c>
      <c r="E26" s="7" t="s">
        <v>52</v>
      </c>
      <c r="F26" s="7"/>
      <c r="G26" s="7">
        <f t="shared" si="2"/>
        <v>0</v>
      </c>
      <c r="H26" s="7"/>
      <c r="I26" s="6">
        <v>4</v>
      </c>
      <c r="J26" s="6" t="s">
        <v>22</v>
      </c>
      <c r="K26" s="7" t="s">
        <v>30</v>
      </c>
      <c r="L26" s="7" t="s">
        <v>131</v>
      </c>
      <c r="M26" s="7" t="s">
        <v>121</v>
      </c>
      <c r="N26" s="7" t="s">
        <v>132</v>
      </c>
      <c r="O26" s="6">
        <v>8</v>
      </c>
    </row>
    <row r="27" spans="1:15" ht="25.5">
      <c r="A27" s="6">
        <v>27</v>
      </c>
      <c r="B27" s="7" t="s">
        <v>119</v>
      </c>
      <c r="C27" s="7" t="s">
        <v>32</v>
      </c>
      <c r="D27" s="7" t="s">
        <v>133</v>
      </c>
      <c r="E27" s="7" t="s">
        <v>34</v>
      </c>
      <c r="F27" s="7"/>
      <c r="G27" s="7">
        <f t="shared" si="2"/>
        <v>0</v>
      </c>
      <c r="H27" s="7"/>
      <c r="I27" s="6">
        <v>1</v>
      </c>
      <c r="J27" s="6" t="s">
        <v>22</v>
      </c>
      <c r="K27" s="7" t="s">
        <v>30</v>
      </c>
      <c r="L27" s="7" t="s">
        <v>134</v>
      </c>
      <c r="M27" s="7" t="s">
        <v>121</v>
      </c>
      <c r="N27" s="7" t="s">
        <v>135</v>
      </c>
      <c r="O27" s="6">
        <v>1</v>
      </c>
    </row>
    <row r="28" spans="1:15" ht="38.25">
      <c r="A28" s="6">
        <v>33</v>
      </c>
      <c r="B28" s="7" t="s">
        <v>119</v>
      </c>
      <c r="C28" s="7" t="s">
        <v>103</v>
      </c>
      <c r="D28" s="7" t="s">
        <v>103</v>
      </c>
      <c r="E28" s="7" t="s">
        <v>103</v>
      </c>
      <c r="F28" s="7"/>
      <c r="G28" s="7"/>
      <c r="H28" s="7"/>
      <c r="I28" s="6">
        <v>1</v>
      </c>
      <c r="J28" s="6" t="s">
        <v>105</v>
      </c>
      <c r="K28" s="7" t="s">
        <v>106</v>
      </c>
      <c r="L28" s="7" t="s">
        <v>104</v>
      </c>
      <c r="M28" s="7" t="s">
        <v>137</v>
      </c>
      <c r="N28" s="7" t="s">
        <v>108</v>
      </c>
      <c r="O28" s="6">
        <v>0</v>
      </c>
    </row>
    <row r="29" spans="1:15" ht="25.5">
      <c r="A29" s="6">
        <v>34</v>
      </c>
      <c r="B29" s="7" t="s">
        <v>119</v>
      </c>
      <c r="C29" s="7" t="s">
        <v>109</v>
      </c>
      <c r="D29" s="7" t="s">
        <v>109</v>
      </c>
      <c r="E29" s="7" t="s">
        <v>109</v>
      </c>
      <c r="F29" s="7"/>
      <c r="G29" s="7"/>
      <c r="H29" s="7"/>
      <c r="I29" s="6">
        <v>1</v>
      </c>
      <c r="J29" s="6" t="s">
        <v>111</v>
      </c>
      <c r="K29" s="7" t="s">
        <v>112</v>
      </c>
      <c r="L29" s="7" t="s">
        <v>110</v>
      </c>
      <c r="M29" s="7" t="s">
        <v>113</v>
      </c>
      <c r="N29" s="7" t="s">
        <v>114</v>
      </c>
      <c r="O29" s="6">
        <v>0</v>
      </c>
    </row>
    <row r="30" spans="1:15" ht="25.5">
      <c r="A30" s="8">
        <v>35</v>
      </c>
      <c r="B30" s="9" t="s">
        <v>119</v>
      </c>
      <c r="C30" s="9" t="s">
        <v>115</v>
      </c>
      <c r="D30" s="9"/>
      <c r="E30" s="9" t="s">
        <v>138</v>
      </c>
      <c r="F30" s="9"/>
      <c r="G30" s="9"/>
      <c r="H30" s="9"/>
      <c r="I30" s="8"/>
      <c r="J30" s="8"/>
      <c r="K30" s="9" t="s">
        <v>112</v>
      </c>
      <c r="L30" s="9" t="s">
        <v>117</v>
      </c>
      <c r="M30" s="9" t="s">
        <v>121</v>
      </c>
      <c r="N30" s="9" t="s">
        <v>118</v>
      </c>
      <c r="O30" s="8">
        <f>SUM(O22:O29)</f>
        <v>14</v>
      </c>
    </row>
    <row r="31" spans="1:15" ht="25.5">
      <c r="A31" s="4">
        <v>36</v>
      </c>
      <c r="B31" s="5" t="s">
        <v>139</v>
      </c>
      <c r="C31" s="5" t="s">
        <v>1</v>
      </c>
      <c r="D31" s="5"/>
      <c r="E31" s="5" t="s">
        <v>139</v>
      </c>
      <c r="F31" s="5"/>
      <c r="G31" s="5"/>
      <c r="H31" s="5"/>
      <c r="I31" s="4">
        <v>1</v>
      </c>
      <c r="J31" s="4" t="s">
        <v>14</v>
      </c>
      <c r="K31" s="5" t="s">
        <v>15</v>
      </c>
      <c r="L31" s="5" t="s">
        <v>140</v>
      </c>
      <c r="M31" s="5" t="s">
        <v>141</v>
      </c>
      <c r="N31" s="5" t="s">
        <v>17</v>
      </c>
      <c r="O31" s="4">
        <v>0</v>
      </c>
    </row>
    <row r="32" spans="1:15" ht="25.5">
      <c r="A32" s="6">
        <v>37</v>
      </c>
      <c r="B32" s="7" t="s">
        <v>139</v>
      </c>
      <c r="C32" s="7" t="s">
        <v>18</v>
      </c>
      <c r="D32" s="7" t="s">
        <v>19</v>
      </c>
      <c r="E32" s="7" t="s">
        <v>325</v>
      </c>
      <c r="F32" s="7"/>
      <c r="G32" s="7"/>
      <c r="H32" s="7"/>
      <c r="I32" s="6">
        <v>1</v>
      </c>
      <c r="J32" s="6" t="s">
        <v>22</v>
      </c>
      <c r="K32" s="7" t="s">
        <v>23</v>
      </c>
      <c r="L32" s="7" t="s">
        <v>21</v>
      </c>
      <c r="M32" s="7" t="s">
        <v>24</v>
      </c>
      <c r="N32" s="7" t="s">
        <v>122</v>
      </c>
      <c r="O32" s="6">
        <v>0</v>
      </c>
    </row>
    <row r="33" spans="1:15" ht="25.5">
      <c r="A33" s="6">
        <v>38</v>
      </c>
      <c r="B33" s="7" t="s">
        <v>139</v>
      </c>
      <c r="C33" s="7" t="s">
        <v>326</v>
      </c>
      <c r="D33" s="7" t="s">
        <v>330</v>
      </c>
      <c r="E33" s="7" t="s">
        <v>331</v>
      </c>
      <c r="F33" s="7">
        <v>11788</v>
      </c>
      <c r="G33" s="7">
        <f t="shared" ref="G33:G43" si="3">0.6*F33</f>
        <v>7072.8</v>
      </c>
      <c r="H33" s="7"/>
      <c r="I33" s="6">
        <v>1</v>
      </c>
      <c r="J33" s="6" t="s">
        <v>22</v>
      </c>
      <c r="K33" s="7" t="s">
        <v>30</v>
      </c>
      <c r="L33" s="7" t="s">
        <v>39</v>
      </c>
      <c r="M33" s="7" t="s">
        <v>141</v>
      </c>
      <c r="N33" s="7" t="s">
        <v>142</v>
      </c>
      <c r="O33" s="6">
        <v>0</v>
      </c>
    </row>
    <row r="34" spans="1:15" ht="25.5">
      <c r="A34" s="6">
        <v>39</v>
      </c>
      <c r="B34" s="7" t="s">
        <v>139</v>
      </c>
      <c r="C34" s="7" t="s">
        <v>32</v>
      </c>
      <c r="D34" s="7" t="s">
        <v>127</v>
      </c>
      <c r="E34" s="7" t="s">
        <v>34</v>
      </c>
      <c r="F34" s="7"/>
      <c r="G34" s="7">
        <f t="shared" si="3"/>
        <v>0</v>
      </c>
      <c r="H34" s="7"/>
      <c r="I34" s="6">
        <v>2</v>
      </c>
      <c r="J34" s="6" t="s">
        <v>22</v>
      </c>
      <c r="K34" s="7" t="s">
        <v>30</v>
      </c>
      <c r="L34" s="7" t="s">
        <v>128</v>
      </c>
      <c r="M34" s="7" t="s">
        <v>141</v>
      </c>
      <c r="N34" s="7" t="s">
        <v>129</v>
      </c>
      <c r="O34" s="6">
        <v>2</v>
      </c>
    </row>
    <row r="35" spans="1:15" ht="25.5">
      <c r="A35" s="6">
        <v>40</v>
      </c>
      <c r="B35" s="7" t="s">
        <v>139</v>
      </c>
      <c r="C35" s="7" t="s">
        <v>50</v>
      </c>
      <c r="D35" s="7" t="s">
        <v>130</v>
      </c>
      <c r="E35" s="7" t="s">
        <v>52</v>
      </c>
      <c r="F35" s="7"/>
      <c r="G35" s="7">
        <f t="shared" si="3"/>
        <v>0</v>
      </c>
      <c r="H35" s="7"/>
      <c r="I35" s="6">
        <v>4</v>
      </c>
      <c r="J35" s="6" t="s">
        <v>22</v>
      </c>
      <c r="K35" s="7" t="s">
        <v>30</v>
      </c>
      <c r="L35" s="7" t="s">
        <v>131</v>
      </c>
      <c r="M35" s="7" t="s">
        <v>141</v>
      </c>
      <c r="N35" s="7" t="s">
        <v>143</v>
      </c>
      <c r="O35" s="6">
        <v>8</v>
      </c>
    </row>
    <row r="36" spans="1:15" ht="25.5">
      <c r="A36" s="6">
        <v>41</v>
      </c>
      <c r="B36" s="7" t="s">
        <v>139</v>
      </c>
      <c r="C36" s="7" t="s">
        <v>32</v>
      </c>
      <c r="D36" s="7" t="s">
        <v>144</v>
      </c>
      <c r="E36" s="7" t="s">
        <v>34</v>
      </c>
      <c r="F36" s="7"/>
      <c r="G36" s="7">
        <f t="shared" si="3"/>
        <v>0</v>
      </c>
      <c r="H36" s="7"/>
      <c r="I36" s="6">
        <v>1</v>
      </c>
      <c r="J36" s="6" t="s">
        <v>22</v>
      </c>
      <c r="K36" s="7" t="s">
        <v>30</v>
      </c>
      <c r="L36" s="7" t="s">
        <v>145</v>
      </c>
      <c r="M36" s="7" t="s">
        <v>141</v>
      </c>
      <c r="N36" s="7" t="s">
        <v>146</v>
      </c>
      <c r="O36" s="6">
        <v>3</v>
      </c>
    </row>
    <row r="37" spans="1:15" ht="25.5">
      <c r="A37" s="6">
        <v>42</v>
      </c>
      <c r="B37" s="7" t="s">
        <v>139</v>
      </c>
      <c r="C37" s="7" t="s">
        <v>32</v>
      </c>
      <c r="D37" s="7" t="s">
        <v>44</v>
      </c>
      <c r="E37" s="7" t="s">
        <v>34</v>
      </c>
      <c r="F37" s="7"/>
      <c r="G37" s="7">
        <f t="shared" si="3"/>
        <v>0</v>
      </c>
      <c r="H37" s="7"/>
      <c r="I37" s="6">
        <v>2</v>
      </c>
      <c r="J37" s="6" t="s">
        <v>22</v>
      </c>
      <c r="K37" s="7" t="s">
        <v>30</v>
      </c>
      <c r="L37" s="7" t="s">
        <v>147</v>
      </c>
      <c r="M37" s="7" t="s">
        <v>141</v>
      </c>
      <c r="N37" s="7" t="s">
        <v>148</v>
      </c>
      <c r="O37" s="6">
        <v>6</v>
      </c>
    </row>
    <row r="38" spans="1:15" ht="25.5">
      <c r="A38" s="6">
        <v>43</v>
      </c>
      <c r="B38" s="7" t="s">
        <v>139</v>
      </c>
      <c r="C38" s="7" t="s">
        <v>32</v>
      </c>
      <c r="D38" s="7" t="s">
        <v>149</v>
      </c>
      <c r="E38" s="7" t="s">
        <v>34</v>
      </c>
      <c r="F38" s="7"/>
      <c r="G38" s="7">
        <f t="shared" si="3"/>
        <v>0</v>
      </c>
      <c r="H38" s="7"/>
      <c r="I38" s="6">
        <v>1</v>
      </c>
      <c r="J38" s="6" t="s">
        <v>22</v>
      </c>
      <c r="K38" s="7" t="s">
        <v>30</v>
      </c>
      <c r="L38" s="7" t="s">
        <v>150</v>
      </c>
      <c r="M38" s="7" t="s">
        <v>141</v>
      </c>
      <c r="N38" s="7" t="s">
        <v>151</v>
      </c>
      <c r="O38" s="6">
        <v>3</v>
      </c>
    </row>
    <row r="39" spans="1:15" ht="25.5">
      <c r="A39" s="6">
        <v>44</v>
      </c>
      <c r="B39" s="7" t="s">
        <v>139</v>
      </c>
      <c r="C39" s="7" t="s">
        <v>50</v>
      </c>
      <c r="D39" s="7" t="s">
        <v>152</v>
      </c>
      <c r="E39" s="7" t="s">
        <v>52</v>
      </c>
      <c r="F39" s="7"/>
      <c r="G39" s="7">
        <f t="shared" si="3"/>
        <v>0</v>
      </c>
      <c r="H39" s="7"/>
      <c r="I39" s="6">
        <v>2</v>
      </c>
      <c r="J39" s="6" t="s">
        <v>22</v>
      </c>
      <c r="K39" s="7" t="s">
        <v>30</v>
      </c>
      <c r="L39" s="7" t="s">
        <v>153</v>
      </c>
      <c r="M39" s="7" t="s">
        <v>141</v>
      </c>
      <c r="N39" s="7" t="s">
        <v>154</v>
      </c>
      <c r="O39" s="6">
        <v>8</v>
      </c>
    </row>
    <row r="40" spans="1:15" ht="25.5">
      <c r="A40" s="6">
        <v>45</v>
      </c>
      <c r="B40" s="7" t="s">
        <v>139</v>
      </c>
      <c r="C40" s="7" t="s">
        <v>32</v>
      </c>
      <c r="D40" s="7" t="s">
        <v>155</v>
      </c>
      <c r="E40" s="7" t="s">
        <v>34</v>
      </c>
      <c r="F40" s="7"/>
      <c r="G40" s="7">
        <f t="shared" si="3"/>
        <v>0</v>
      </c>
      <c r="H40" s="7"/>
      <c r="I40" s="6">
        <v>1</v>
      </c>
      <c r="J40" s="6" t="s">
        <v>22</v>
      </c>
      <c r="K40" s="7" t="s">
        <v>30</v>
      </c>
      <c r="L40" s="7" t="s">
        <v>156</v>
      </c>
      <c r="M40" s="7" t="s">
        <v>141</v>
      </c>
      <c r="N40" s="7" t="s">
        <v>157</v>
      </c>
      <c r="O40" s="6">
        <v>1</v>
      </c>
    </row>
    <row r="41" spans="1:15" ht="25.5">
      <c r="A41" s="6">
        <v>46</v>
      </c>
      <c r="B41" s="7" t="s">
        <v>139</v>
      </c>
      <c r="C41" s="7" t="s">
        <v>32</v>
      </c>
      <c r="D41" s="7" t="s">
        <v>158</v>
      </c>
      <c r="E41" s="7" t="s">
        <v>34</v>
      </c>
      <c r="F41" s="7"/>
      <c r="G41" s="7">
        <f t="shared" si="3"/>
        <v>0</v>
      </c>
      <c r="H41" s="7"/>
      <c r="I41" s="6">
        <v>2</v>
      </c>
      <c r="J41" s="6" t="s">
        <v>22</v>
      </c>
      <c r="K41" s="7" t="s">
        <v>30</v>
      </c>
      <c r="L41" s="7" t="s">
        <v>159</v>
      </c>
      <c r="M41" s="7" t="s">
        <v>141</v>
      </c>
      <c r="N41" s="7" t="s">
        <v>160</v>
      </c>
      <c r="O41" s="6">
        <v>2</v>
      </c>
    </row>
    <row r="42" spans="1:15" ht="25.5">
      <c r="A42" s="6">
        <v>47</v>
      </c>
      <c r="B42" s="7" t="s">
        <v>139</v>
      </c>
      <c r="C42" s="7" t="s">
        <v>32</v>
      </c>
      <c r="D42" s="7" t="s">
        <v>127</v>
      </c>
      <c r="E42" s="7" t="s">
        <v>34</v>
      </c>
      <c r="F42" s="7"/>
      <c r="G42" s="7">
        <f t="shared" si="3"/>
        <v>0</v>
      </c>
      <c r="H42" s="7"/>
      <c r="I42" s="6">
        <v>1</v>
      </c>
      <c r="J42" s="6" t="s">
        <v>22</v>
      </c>
      <c r="K42" s="7" t="s">
        <v>30</v>
      </c>
      <c r="L42" s="7" t="s">
        <v>128</v>
      </c>
      <c r="M42" s="7" t="s">
        <v>141</v>
      </c>
      <c r="N42" s="7" t="s">
        <v>161</v>
      </c>
      <c r="O42" s="6">
        <v>1</v>
      </c>
    </row>
    <row r="43" spans="1:15" ht="25.5">
      <c r="A43" s="6">
        <v>48</v>
      </c>
      <c r="B43" s="7" t="s">
        <v>139</v>
      </c>
      <c r="C43" s="7" t="s">
        <v>162</v>
      </c>
      <c r="D43" s="7" t="s">
        <v>163</v>
      </c>
      <c r="E43" s="7" t="s">
        <v>323</v>
      </c>
      <c r="F43" s="7"/>
      <c r="G43" s="7">
        <f t="shared" si="3"/>
        <v>0</v>
      </c>
      <c r="H43" s="7"/>
      <c r="I43" s="6">
        <v>5</v>
      </c>
      <c r="J43" s="6" t="s">
        <v>22</v>
      </c>
      <c r="K43" s="7" t="s">
        <v>30</v>
      </c>
      <c r="L43" s="7" t="s">
        <v>165</v>
      </c>
      <c r="M43" s="7" t="s">
        <v>141</v>
      </c>
      <c r="N43" s="7" t="s">
        <v>166</v>
      </c>
      <c r="O43" s="6">
        <v>4</v>
      </c>
    </row>
    <row r="44" spans="1:15" ht="38.25">
      <c r="A44" s="6">
        <v>54</v>
      </c>
      <c r="B44" s="7" t="s">
        <v>139</v>
      </c>
      <c r="C44" s="7" t="s">
        <v>103</v>
      </c>
      <c r="D44" s="7" t="s">
        <v>103</v>
      </c>
      <c r="E44" s="7" t="s">
        <v>103</v>
      </c>
      <c r="F44" s="7"/>
      <c r="G44" s="7"/>
      <c r="H44" s="7"/>
      <c r="I44" s="6">
        <v>1</v>
      </c>
      <c r="J44" s="6" t="s">
        <v>105</v>
      </c>
      <c r="K44" s="7" t="s">
        <v>106</v>
      </c>
      <c r="L44" s="7" t="s">
        <v>104</v>
      </c>
      <c r="M44" s="7" t="s">
        <v>168</v>
      </c>
      <c r="N44" s="7" t="s">
        <v>108</v>
      </c>
      <c r="O44" s="6">
        <v>0</v>
      </c>
    </row>
    <row r="45" spans="1:15" ht="25.5">
      <c r="A45" s="6">
        <v>55</v>
      </c>
      <c r="B45" s="7" t="s">
        <v>139</v>
      </c>
      <c r="C45" s="7" t="s">
        <v>109</v>
      </c>
      <c r="D45" s="7" t="s">
        <v>109</v>
      </c>
      <c r="E45" s="7" t="s">
        <v>109</v>
      </c>
      <c r="F45" s="7"/>
      <c r="G45" s="7"/>
      <c r="H45" s="7"/>
      <c r="I45" s="6">
        <v>1</v>
      </c>
      <c r="J45" s="6" t="s">
        <v>111</v>
      </c>
      <c r="K45" s="7" t="s">
        <v>112</v>
      </c>
      <c r="L45" s="7" t="s">
        <v>110</v>
      </c>
      <c r="M45" s="7" t="s">
        <v>113</v>
      </c>
      <c r="N45" s="7" t="s">
        <v>114</v>
      </c>
      <c r="O45" s="6">
        <v>0</v>
      </c>
    </row>
    <row r="46" spans="1:15" ht="25.5">
      <c r="A46" s="8">
        <v>56</v>
      </c>
      <c r="B46" s="9" t="s">
        <v>139</v>
      </c>
      <c r="C46" s="9" t="s">
        <v>115</v>
      </c>
      <c r="D46" s="9"/>
      <c r="E46" s="9" t="s">
        <v>169</v>
      </c>
      <c r="F46" s="9"/>
      <c r="G46" s="9"/>
      <c r="H46" s="9"/>
      <c r="I46" s="8"/>
      <c r="J46" s="8"/>
      <c r="K46" s="9" t="s">
        <v>112</v>
      </c>
      <c r="L46" s="9" t="s">
        <v>117</v>
      </c>
      <c r="M46" s="9" t="s">
        <v>141</v>
      </c>
      <c r="N46" s="9" t="s">
        <v>118</v>
      </c>
      <c r="O46" s="8">
        <f>SUM(O31:O45)</f>
        <v>38</v>
      </c>
    </row>
    <row r="47" spans="1:15" ht="25.5">
      <c r="A47" s="4">
        <v>57</v>
      </c>
      <c r="B47" s="5" t="s">
        <v>170</v>
      </c>
      <c r="C47" s="5" t="s">
        <v>1</v>
      </c>
      <c r="D47" s="5"/>
      <c r="E47" s="5" t="s">
        <v>170</v>
      </c>
      <c r="F47" s="5"/>
      <c r="G47" s="5"/>
      <c r="H47" s="5"/>
      <c r="I47" s="4">
        <v>1</v>
      </c>
      <c r="J47" s="4" t="s">
        <v>14</v>
      </c>
      <c r="K47" s="5" t="s">
        <v>15</v>
      </c>
      <c r="L47" s="5" t="s">
        <v>171</v>
      </c>
      <c r="M47" s="5" t="s">
        <v>172</v>
      </c>
      <c r="N47" s="5" t="s">
        <v>17</v>
      </c>
      <c r="O47" s="4">
        <v>0</v>
      </c>
    </row>
    <row r="48" spans="1:15" ht="25.5">
      <c r="A48" s="6">
        <v>58</v>
      </c>
      <c r="B48" s="7" t="s">
        <v>170</v>
      </c>
      <c r="C48" s="7" t="s">
        <v>18</v>
      </c>
      <c r="D48" s="7" t="s">
        <v>19</v>
      </c>
      <c r="E48" s="7" t="s">
        <v>327</v>
      </c>
      <c r="F48" s="7"/>
      <c r="G48" s="7"/>
      <c r="H48" s="7"/>
      <c r="I48" s="6">
        <v>1</v>
      </c>
      <c r="J48" s="6" t="s">
        <v>22</v>
      </c>
      <c r="K48" s="7" t="s">
        <v>23</v>
      </c>
      <c r="L48" s="7" t="s">
        <v>21</v>
      </c>
      <c r="M48" s="7" t="s">
        <v>24</v>
      </c>
      <c r="N48" s="7" t="s">
        <v>122</v>
      </c>
      <c r="O48" s="6">
        <v>0</v>
      </c>
    </row>
    <row r="49" spans="1:15" ht="25.5">
      <c r="A49" s="6">
        <v>59</v>
      </c>
      <c r="B49" s="7" t="s">
        <v>170</v>
      </c>
      <c r="C49" s="7" t="s">
        <v>32</v>
      </c>
      <c r="D49" s="7" t="s">
        <v>33</v>
      </c>
      <c r="E49" s="7" t="s">
        <v>124</v>
      </c>
      <c r="F49" s="7"/>
      <c r="G49" s="7">
        <f t="shared" ref="G49:G53" si="4">0.6*F49</f>
        <v>0</v>
      </c>
      <c r="H49" s="7"/>
      <c r="I49" s="6">
        <v>1</v>
      </c>
      <c r="J49" s="6" t="s">
        <v>22</v>
      </c>
      <c r="K49" s="7" t="s">
        <v>30</v>
      </c>
      <c r="L49" s="7" t="s">
        <v>35</v>
      </c>
      <c r="M49" s="7" t="s">
        <v>172</v>
      </c>
      <c r="N49" s="7" t="s">
        <v>126</v>
      </c>
      <c r="O49" s="6">
        <v>3</v>
      </c>
    </row>
    <row r="50" spans="1:15" ht="25.5">
      <c r="A50" s="6">
        <v>60</v>
      </c>
      <c r="B50" s="7" t="s">
        <v>170</v>
      </c>
      <c r="C50" s="7" t="s">
        <v>32</v>
      </c>
      <c r="D50" s="7" t="s">
        <v>127</v>
      </c>
      <c r="E50" s="7" t="s">
        <v>34</v>
      </c>
      <c r="F50" s="7"/>
      <c r="G50" s="7">
        <f t="shared" si="4"/>
        <v>0</v>
      </c>
      <c r="H50" s="7"/>
      <c r="I50" s="6">
        <v>2</v>
      </c>
      <c r="J50" s="6" t="s">
        <v>22</v>
      </c>
      <c r="K50" s="7" t="s">
        <v>30</v>
      </c>
      <c r="L50" s="7" t="s">
        <v>128</v>
      </c>
      <c r="M50" s="7" t="s">
        <v>172</v>
      </c>
      <c r="N50" s="7" t="s">
        <v>129</v>
      </c>
      <c r="O50" s="6">
        <v>2</v>
      </c>
    </row>
    <row r="51" spans="1:15" ht="25.5">
      <c r="A51" s="6">
        <v>61</v>
      </c>
      <c r="B51" s="7" t="s">
        <v>170</v>
      </c>
      <c r="C51" s="7" t="s">
        <v>50</v>
      </c>
      <c r="D51" s="7" t="s">
        <v>130</v>
      </c>
      <c r="E51" s="7" t="s">
        <v>52</v>
      </c>
      <c r="F51" s="7"/>
      <c r="G51" s="7">
        <f t="shared" si="4"/>
        <v>0</v>
      </c>
      <c r="H51" s="7"/>
      <c r="I51" s="6">
        <v>9</v>
      </c>
      <c r="J51" s="6" t="s">
        <v>22</v>
      </c>
      <c r="K51" s="7" t="s">
        <v>30</v>
      </c>
      <c r="L51" s="7" t="s">
        <v>131</v>
      </c>
      <c r="M51" s="7" t="s">
        <v>172</v>
      </c>
      <c r="N51" s="7" t="s">
        <v>173</v>
      </c>
      <c r="O51" s="6">
        <v>18</v>
      </c>
    </row>
    <row r="52" spans="1:15" ht="25.5">
      <c r="A52" s="6">
        <v>62</v>
      </c>
      <c r="B52" s="7" t="s">
        <v>170</v>
      </c>
      <c r="C52" s="7" t="s">
        <v>32</v>
      </c>
      <c r="D52" s="7" t="s">
        <v>158</v>
      </c>
      <c r="E52" s="7" t="s">
        <v>34</v>
      </c>
      <c r="F52" s="7"/>
      <c r="G52" s="7">
        <f t="shared" si="4"/>
        <v>0</v>
      </c>
      <c r="H52" s="7"/>
      <c r="I52" s="6">
        <v>1</v>
      </c>
      <c r="J52" s="6" t="s">
        <v>22</v>
      </c>
      <c r="K52" s="7" t="s">
        <v>30</v>
      </c>
      <c r="L52" s="7" t="s">
        <v>159</v>
      </c>
      <c r="M52" s="7" t="s">
        <v>172</v>
      </c>
      <c r="N52" s="7" t="s">
        <v>174</v>
      </c>
      <c r="O52" s="6">
        <v>1</v>
      </c>
    </row>
    <row r="53" spans="1:15" ht="25.5">
      <c r="A53" s="6">
        <v>63</v>
      </c>
      <c r="B53" s="7" t="s">
        <v>170</v>
      </c>
      <c r="C53" s="7" t="s">
        <v>32</v>
      </c>
      <c r="D53" s="7" t="s">
        <v>175</v>
      </c>
      <c r="E53" s="7" t="s">
        <v>176</v>
      </c>
      <c r="F53" s="7"/>
      <c r="G53" s="7">
        <f t="shared" si="4"/>
        <v>0</v>
      </c>
      <c r="H53" s="7"/>
      <c r="I53" s="6">
        <v>1</v>
      </c>
      <c r="J53" s="6" t="s">
        <v>22</v>
      </c>
      <c r="K53" s="7" t="s">
        <v>30</v>
      </c>
      <c r="L53" s="7" t="s">
        <v>177</v>
      </c>
      <c r="M53" s="7" t="s">
        <v>172</v>
      </c>
      <c r="N53" s="7" t="s">
        <v>178</v>
      </c>
      <c r="O53" s="6">
        <v>1</v>
      </c>
    </row>
    <row r="54" spans="1:15" ht="38.25">
      <c r="A54" s="6">
        <v>69</v>
      </c>
      <c r="B54" s="7" t="s">
        <v>170</v>
      </c>
      <c r="C54" s="7" t="s">
        <v>103</v>
      </c>
      <c r="D54" s="7" t="s">
        <v>103</v>
      </c>
      <c r="E54" s="7" t="s">
        <v>103</v>
      </c>
      <c r="F54" s="7"/>
      <c r="G54" s="7"/>
      <c r="H54" s="7"/>
      <c r="I54" s="6">
        <v>1</v>
      </c>
      <c r="J54" s="6" t="s">
        <v>105</v>
      </c>
      <c r="K54" s="7" t="s">
        <v>106</v>
      </c>
      <c r="L54" s="7" t="s">
        <v>104</v>
      </c>
      <c r="M54" s="7" t="s">
        <v>180</v>
      </c>
      <c r="N54" s="7" t="s">
        <v>108</v>
      </c>
      <c r="O54" s="6">
        <v>0</v>
      </c>
    </row>
    <row r="55" spans="1:15" ht="25.5">
      <c r="A55" s="6">
        <v>70</v>
      </c>
      <c r="B55" s="7" t="s">
        <v>170</v>
      </c>
      <c r="C55" s="7" t="s">
        <v>109</v>
      </c>
      <c r="D55" s="7" t="s">
        <v>109</v>
      </c>
      <c r="E55" s="7" t="s">
        <v>109</v>
      </c>
      <c r="F55" s="7"/>
      <c r="G55" s="7"/>
      <c r="H55" s="7"/>
      <c r="I55" s="6">
        <v>1</v>
      </c>
      <c r="J55" s="6" t="s">
        <v>111</v>
      </c>
      <c r="K55" s="7" t="s">
        <v>112</v>
      </c>
      <c r="L55" s="7" t="s">
        <v>110</v>
      </c>
      <c r="M55" s="7" t="s">
        <v>113</v>
      </c>
      <c r="N55" s="7" t="s">
        <v>114</v>
      </c>
      <c r="O55" s="6">
        <v>0</v>
      </c>
    </row>
    <row r="56" spans="1:15" ht="25.5">
      <c r="A56" s="8">
        <v>71</v>
      </c>
      <c r="B56" s="9" t="s">
        <v>170</v>
      </c>
      <c r="C56" s="9" t="s">
        <v>115</v>
      </c>
      <c r="D56" s="9"/>
      <c r="E56" s="9" t="s">
        <v>181</v>
      </c>
      <c r="F56" s="9"/>
      <c r="G56" s="9"/>
      <c r="H56" s="9"/>
      <c r="I56" s="8"/>
      <c r="J56" s="8"/>
      <c r="K56" s="9" t="s">
        <v>112</v>
      </c>
      <c r="L56" s="9" t="s">
        <v>117</v>
      </c>
      <c r="M56" s="9" t="s">
        <v>172</v>
      </c>
      <c r="N56" s="9" t="s">
        <v>118</v>
      </c>
      <c r="O56" s="8">
        <f>SUM(O47:O55)</f>
        <v>25</v>
      </c>
    </row>
    <row r="57" spans="1:15" ht="25.5">
      <c r="A57" s="4">
        <v>72</v>
      </c>
      <c r="B57" s="5" t="s">
        <v>182</v>
      </c>
      <c r="C57" s="5" t="s">
        <v>1</v>
      </c>
      <c r="D57" s="5"/>
      <c r="E57" s="5" t="s">
        <v>182</v>
      </c>
      <c r="F57" s="5"/>
      <c r="G57" s="5"/>
      <c r="H57" s="5"/>
      <c r="I57" s="4">
        <v>1</v>
      </c>
      <c r="J57" s="4" t="s">
        <v>14</v>
      </c>
      <c r="K57" s="5" t="s">
        <v>15</v>
      </c>
      <c r="L57" s="5" t="s">
        <v>183</v>
      </c>
      <c r="M57" s="5" t="s">
        <v>184</v>
      </c>
      <c r="N57" s="5" t="s">
        <v>17</v>
      </c>
      <c r="O57" s="4">
        <v>0</v>
      </c>
    </row>
    <row r="58" spans="1:15" ht="25.5">
      <c r="A58" s="6">
        <v>73</v>
      </c>
      <c r="B58" s="7" t="s">
        <v>182</v>
      </c>
      <c r="C58" s="7" t="s">
        <v>18</v>
      </c>
      <c r="D58" s="7" t="s">
        <v>19</v>
      </c>
      <c r="E58" s="7" t="s">
        <v>327</v>
      </c>
      <c r="F58" s="7"/>
      <c r="G58" s="7"/>
      <c r="H58" s="7"/>
      <c r="I58" s="6">
        <v>1</v>
      </c>
      <c r="J58" s="6" t="s">
        <v>22</v>
      </c>
      <c r="K58" s="7" t="s">
        <v>23</v>
      </c>
      <c r="L58" s="7" t="s">
        <v>21</v>
      </c>
      <c r="M58" s="7" t="s">
        <v>24</v>
      </c>
      <c r="N58" s="7" t="s">
        <v>122</v>
      </c>
      <c r="O58" s="6">
        <v>0</v>
      </c>
    </row>
    <row r="59" spans="1:15" ht="25.5">
      <c r="A59" s="6">
        <v>74</v>
      </c>
      <c r="B59" s="7" t="s">
        <v>182</v>
      </c>
      <c r="C59" s="7" t="s">
        <v>32</v>
      </c>
      <c r="D59" s="7" t="s">
        <v>33</v>
      </c>
      <c r="E59" s="7" t="s">
        <v>124</v>
      </c>
      <c r="F59" s="7"/>
      <c r="G59" s="7">
        <f t="shared" ref="G59:G64" si="5">0.6*F59</f>
        <v>0</v>
      </c>
      <c r="H59" s="7"/>
      <c r="I59" s="6">
        <v>1</v>
      </c>
      <c r="J59" s="6" t="s">
        <v>22</v>
      </c>
      <c r="K59" s="7" t="s">
        <v>30</v>
      </c>
      <c r="L59" s="7" t="s">
        <v>35</v>
      </c>
      <c r="M59" s="7" t="s">
        <v>184</v>
      </c>
      <c r="N59" s="7" t="s">
        <v>126</v>
      </c>
      <c r="O59" s="6">
        <v>3</v>
      </c>
    </row>
    <row r="60" spans="1:15" ht="25.5">
      <c r="A60" s="6">
        <v>75</v>
      </c>
      <c r="B60" s="7" t="s">
        <v>182</v>
      </c>
      <c r="C60" s="7" t="s">
        <v>32</v>
      </c>
      <c r="D60" s="7" t="s">
        <v>127</v>
      </c>
      <c r="E60" s="7" t="s">
        <v>34</v>
      </c>
      <c r="F60" s="7"/>
      <c r="G60" s="7">
        <f t="shared" si="5"/>
        <v>0</v>
      </c>
      <c r="H60" s="7"/>
      <c r="I60" s="6">
        <v>2</v>
      </c>
      <c r="J60" s="6" t="s">
        <v>22</v>
      </c>
      <c r="K60" s="7" t="s">
        <v>30</v>
      </c>
      <c r="L60" s="7" t="s">
        <v>128</v>
      </c>
      <c r="M60" s="7" t="s">
        <v>184</v>
      </c>
      <c r="N60" s="7" t="s">
        <v>129</v>
      </c>
      <c r="O60" s="6">
        <v>2</v>
      </c>
    </row>
    <row r="61" spans="1:15" ht="25.5">
      <c r="A61" s="6">
        <v>76</v>
      </c>
      <c r="B61" s="7" t="s">
        <v>182</v>
      </c>
      <c r="C61" s="7" t="s">
        <v>50</v>
      </c>
      <c r="D61" s="7" t="s">
        <v>130</v>
      </c>
      <c r="E61" s="7" t="s">
        <v>52</v>
      </c>
      <c r="F61" s="7"/>
      <c r="G61" s="7">
        <f t="shared" si="5"/>
        <v>0</v>
      </c>
      <c r="H61" s="7"/>
      <c r="I61" s="6">
        <v>9</v>
      </c>
      <c r="J61" s="6" t="s">
        <v>22</v>
      </c>
      <c r="K61" s="7" t="s">
        <v>30</v>
      </c>
      <c r="L61" s="7" t="s">
        <v>131</v>
      </c>
      <c r="M61" s="7" t="s">
        <v>184</v>
      </c>
      <c r="N61" s="7" t="s">
        <v>173</v>
      </c>
      <c r="O61" s="6">
        <v>18</v>
      </c>
    </row>
    <row r="62" spans="1:15" ht="25.5">
      <c r="A62" s="6">
        <v>77</v>
      </c>
      <c r="B62" s="7" t="s">
        <v>182</v>
      </c>
      <c r="C62" s="7" t="s">
        <v>32</v>
      </c>
      <c r="D62" s="7" t="s">
        <v>158</v>
      </c>
      <c r="E62" s="7" t="s">
        <v>34</v>
      </c>
      <c r="F62" s="7"/>
      <c r="G62" s="7">
        <f t="shared" si="5"/>
        <v>0</v>
      </c>
      <c r="H62" s="7"/>
      <c r="I62" s="6">
        <v>1</v>
      </c>
      <c r="J62" s="6" t="s">
        <v>22</v>
      </c>
      <c r="K62" s="7" t="s">
        <v>30</v>
      </c>
      <c r="L62" s="7" t="s">
        <v>159</v>
      </c>
      <c r="M62" s="7" t="s">
        <v>184</v>
      </c>
      <c r="N62" s="7" t="s">
        <v>185</v>
      </c>
      <c r="O62" s="6">
        <v>1</v>
      </c>
    </row>
    <row r="63" spans="1:15" ht="25.5">
      <c r="A63" s="6">
        <v>78</v>
      </c>
      <c r="B63" s="7" t="s">
        <v>182</v>
      </c>
      <c r="C63" s="7" t="s">
        <v>162</v>
      </c>
      <c r="D63" s="7" t="s">
        <v>163</v>
      </c>
      <c r="E63" s="7" t="s">
        <v>164</v>
      </c>
      <c r="F63" s="7"/>
      <c r="G63" s="7">
        <f t="shared" si="5"/>
        <v>0</v>
      </c>
      <c r="H63" s="7"/>
      <c r="I63" s="6">
        <v>1</v>
      </c>
      <c r="J63" s="6" t="s">
        <v>22</v>
      </c>
      <c r="K63" s="7" t="s">
        <v>30</v>
      </c>
      <c r="L63" s="7" t="s">
        <v>165</v>
      </c>
      <c r="M63" s="7" t="s">
        <v>184</v>
      </c>
      <c r="N63" s="7" t="s">
        <v>186</v>
      </c>
      <c r="O63" s="6">
        <v>1</v>
      </c>
    </row>
    <row r="64" spans="1:15" ht="25.5">
      <c r="A64" s="6">
        <v>79</v>
      </c>
      <c r="B64" s="7" t="s">
        <v>182</v>
      </c>
      <c r="C64" s="7" t="s">
        <v>32</v>
      </c>
      <c r="D64" s="7" t="s">
        <v>175</v>
      </c>
      <c r="E64" s="7" t="s">
        <v>176</v>
      </c>
      <c r="F64" s="7"/>
      <c r="G64" s="7">
        <f t="shared" si="5"/>
        <v>0</v>
      </c>
      <c r="H64" s="7"/>
      <c r="I64" s="6">
        <v>1</v>
      </c>
      <c r="J64" s="6" t="s">
        <v>22</v>
      </c>
      <c r="K64" s="7" t="s">
        <v>30</v>
      </c>
      <c r="L64" s="7" t="s">
        <v>177</v>
      </c>
      <c r="M64" s="7" t="s">
        <v>184</v>
      </c>
      <c r="N64" s="7" t="s">
        <v>178</v>
      </c>
      <c r="O64" s="6">
        <v>1</v>
      </c>
    </row>
    <row r="65" spans="1:15" ht="38.25">
      <c r="A65" s="6">
        <v>85</v>
      </c>
      <c r="B65" s="7" t="s">
        <v>182</v>
      </c>
      <c r="C65" s="7" t="s">
        <v>103</v>
      </c>
      <c r="D65" s="7" t="s">
        <v>103</v>
      </c>
      <c r="E65" s="7" t="s">
        <v>103</v>
      </c>
      <c r="F65" s="7"/>
      <c r="G65" s="7"/>
      <c r="H65" s="7"/>
      <c r="I65" s="6">
        <v>1</v>
      </c>
      <c r="J65" s="6" t="s">
        <v>105</v>
      </c>
      <c r="K65" s="7" t="s">
        <v>106</v>
      </c>
      <c r="L65" s="7" t="s">
        <v>104</v>
      </c>
      <c r="M65" s="7" t="s">
        <v>188</v>
      </c>
      <c r="N65" s="7" t="s">
        <v>108</v>
      </c>
      <c r="O65" s="6">
        <v>0</v>
      </c>
    </row>
    <row r="66" spans="1:15" ht="25.5">
      <c r="A66" s="6">
        <v>86</v>
      </c>
      <c r="B66" s="7" t="s">
        <v>182</v>
      </c>
      <c r="C66" s="7" t="s">
        <v>109</v>
      </c>
      <c r="D66" s="7" t="s">
        <v>109</v>
      </c>
      <c r="E66" s="7" t="s">
        <v>109</v>
      </c>
      <c r="F66" s="7"/>
      <c r="G66" s="7"/>
      <c r="H66" s="7"/>
      <c r="I66" s="6">
        <v>1</v>
      </c>
      <c r="J66" s="6" t="s">
        <v>111</v>
      </c>
      <c r="K66" s="7" t="s">
        <v>112</v>
      </c>
      <c r="L66" s="7" t="s">
        <v>110</v>
      </c>
      <c r="M66" s="7" t="s">
        <v>113</v>
      </c>
      <c r="N66" s="7" t="s">
        <v>114</v>
      </c>
      <c r="O66" s="6">
        <v>0</v>
      </c>
    </row>
    <row r="67" spans="1:15" ht="25.5">
      <c r="A67" s="8">
        <v>87</v>
      </c>
      <c r="B67" s="9" t="s">
        <v>182</v>
      </c>
      <c r="C67" s="9" t="s">
        <v>115</v>
      </c>
      <c r="D67" s="9"/>
      <c r="E67" s="9" t="s">
        <v>189</v>
      </c>
      <c r="F67" s="9"/>
      <c r="G67" s="9"/>
      <c r="H67" s="9"/>
      <c r="I67" s="8"/>
      <c r="J67" s="8"/>
      <c r="K67" s="9" t="s">
        <v>112</v>
      </c>
      <c r="L67" s="9" t="s">
        <v>117</v>
      </c>
      <c r="M67" s="9" t="s">
        <v>184</v>
      </c>
      <c r="N67" s="9" t="s">
        <v>118</v>
      </c>
      <c r="O67" s="8">
        <f>SUM(O57:O66)</f>
        <v>26</v>
      </c>
    </row>
    <row r="68" spans="1:15" ht="25.5">
      <c r="A68" s="4">
        <v>88</v>
      </c>
      <c r="B68" s="5" t="s">
        <v>190</v>
      </c>
      <c r="C68" s="5" t="s">
        <v>1</v>
      </c>
      <c r="D68" s="5"/>
      <c r="E68" s="5" t="s">
        <v>190</v>
      </c>
      <c r="F68" s="5"/>
      <c r="G68" s="5"/>
      <c r="H68" s="5"/>
      <c r="I68" s="4">
        <v>1</v>
      </c>
      <c r="J68" s="4" t="s">
        <v>14</v>
      </c>
      <c r="K68" s="5" t="s">
        <v>15</v>
      </c>
      <c r="L68" s="5" t="s">
        <v>191</v>
      </c>
      <c r="M68" s="5" t="s">
        <v>192</v>
      </c>
      <c r="N68" s="5" t="s">
        <v>17</v>
      </c>
      <c r="O68" s="4">
        <v>0</v>
      </c>
    </row>
    <row r="69" spans="1:15" ht="25.5">
      <c r="A69" s="6">
        <v>89</v>
      </c>
      <c r="B69" s="7" t="s">
        <v>190</v>
      </c>
      <c r="C69" s="7" t="s">
        <v>18</v>
      </c>
      <c r="D69" s="7" t="s">
        <v>19</v>
      </c>
      <c r="E69" s="7" t="s">
        <v>328</v>
      </c>
      <c r="F69" s="7"/>
      <c r="G69" s="7"/>
      <c r="H69" s="7"/>
      <c r="I69" s="6">
        <v>1</v>
      </c>
      <c r="J69" s="6" t="s">
        <v>22</v>
      </c>
      <c r="K69" s="7" t="s">
        <v>23</v>
      </c>
      <c r="L69" s="7" t="s">
        <v>21</v>
      </c>
      <c r="M69" s="7" t="s">
        <v>24</v>
      </c>
      <c r="N69" s="7" t="s">
        <v>122</v>
      </c>
      <c r="O69" s="6">
        <v>0</v>
      </c>
    </row>
    <row r="70" spans="1:15" ht="25.5">
      <c r="A70" s="6">
        <v>90</v>
      </c>
      <c r="B70" s="7" t="s">
        <v>190</v>
      </c>
      <c r="C70" s="7" t="s">
        <v>32</v>
      </c>
      <c r="D70" s="7" t="s">
        <v>193</v>
      </c>
      <c r="E70" s="7" t="s">
        <v>124</v>
      </c>
      <c r="F70" s="7"/>
      <c r="G70" s="7">
        <f t="shared" ref="G70:G73" si="6">0.6*F70</f>
        <v>0</v>
      </c>
      <c r="H70" s="7"/>
      <c r="I70" s="6">
        <v>1</v>
      </c>
      <c r="J70" s="6" t="s">
        <v>22</v>
      </c>
      <c r="K70" s="7" t="s">
        <v>30</v>
      </c>
      <c r="L70" s="7" t="s">
        <v>194</v>
      </c>
      <c r="M70" s="7" t="s">
        <v>192</v>
      </c>
      <c r="N70" s="7" t="s">
        <v>126</v>
      </c>
      <c r="O70" s="6">
        <v>3</v>
      </c>
    </row>
    <row r="71" spans="1:15" ht="25.5">
      <c r="A71" s="6">
        <v>91</v>
      </c>
      <c r="B71" s="7" t="s">
        <v>190</v>
      </c>
      <c r="C71" s="7" t="s">
        <v>32</v>
      </c>
      <c r="D71" s="7" t="s">
        <v>127</v>
      </c>
      <c r="E71" s="7" t="s">
        <v>34</v>
      </c>
      <c r="F71" s="7"/>
      <c r="G71" s="7">
        <f t="shared" si="6"/>
        <v>0</v>
      </c>
      <c r="H71" s="7"/>
      <c r="I71" s="6">
        <v>4</v>
      </c>
      <c r="J71" s="6" t="s">
        <v>22</v>
      </c>
      <c r="K71" s="7" t="s">
        <v>30</v>
      </c>
      <c r="L71" s="7" t="s">
        <v>128</v>
      </c>
      <c r="M71" s="7" t="s">
        <v>192</v>
      </c>
      <c r="N71" s="7" t="s">
        <v>195</v>
      </c>
      <c r="O71" s="6">
        <v>4</v>
      </c>
    </row>
    <row r="72" spans="1:15" ht="25.5">
      <c r="A72" s="6">
        <v>92</v>
      </c>
      <c r="B72" s="7" t="s">
        <v>190</v>
      </c>
      <c r="C72" s="7" t="s">
        <v>32</v>
      </c>
      <c r="D72" s="7" t="s">
        <v>196</v>
      </c>
      <c r="E72" s="7" t="s">
        <v>34</v>
      </c>
      <c r="F72" s="7"/>
      <c r="G72" s="7">
        <f t="shared" si="6"/>
        <v>0</v>
      </c>
      <c r="H72" s="7"/>
      <c r="I72" s="6">
        <v>1</v>
      </c>
      <c r="J72" s="6" t="s">
        <v>22</v>
      </c>
      <c r="K72" s="7" t="s">
        <v>30</v>
      </c>
      <c r="L72" s="7" t="s">
        <v>197</v>
      </c>
      <c r="M72" s="7" t="s">
        <v>192</v>
      </c>
      <c r="N72" s="7" t="s">
        <v>198</v>
      </c>
      <c r="O72" s="6">
        <v>1</v>
      </c>
    </row>
    <row r="73" spans="1:15" ht="25.5">
      <c r="A73" s="6">
        <v>93</v>
      </c>
      <c r="B73" s="7" t="s">
        <v>190</v>
      </c>
      <c r="C73" s="7" t="s">
        <v>32</v>
      </c>
      <c r="D73" s="7" t="s">
        <v>175</v>
      </c>
      <c r="E73" s="7" t="s">
        <v>176</v>
      </c>
      <c r="F73" s="7"/>
      <c r="G73" s="7">
        <f t="shared" si="6"/>
        <v>0</v>
      </c>
      <c r="H73" s="7"/>
      <c r="I73" s="6">
        <v>3</v>
      </c>
      <c r="J73" s="6" t="s">
        <v>22</v>
      </c>
      <c r="K73" s="7" t="s">
        <v>30</v>
      </c>
      <c r="L73" s="7" t="s">
        <v>177</v>
      </c>
      <c r="M73" s="7" t="s">
        <v>192</v>
      </c>
      <c r="N73" s="7" t="s">
        <v>199</v>
      </c>
      <c r="O73" s="6">
        <v>3</v>
      </c>
    </row>
    <row r="74" spans="1:15" ht="25.5">
      <c r="A74" s="6">
        <v>94</v>
      </c>
      <c r="B74" s="7" t="s">
        <v>190</v>
      </c>
      <c r="C74" s="7" t="s">
        <v>76</v>
      </c>
      <c r="D74" s="7" t="s">
        <v>77</v>
      </c>
      <c r="E74" s="7" t="s">
        <v>78</v>
      </c>
      <c r="F74" s="7"/>
      <c r="G74" s="7"/>
      <c r="H74" s="7"/>
      <c r="I74" s="6"/>
      <c r="J74" s="6" t="s">
        <v>22</v>
      </c>
      <c r="K74" s="7" t="s">
        <v>80</v>
      </c>
      <c r="L74" s="7" t="s">
        <v>79</v>
      </c>
      <c r="M74" s="7" t="s">
        <v>200</v>
      </c>
      <c r="N74" s="7" t="s">
        <v>82</v>
      </c>
      <c r="O74" s="6">
        <v>0</v>
      </c>
    </row>
    <row r="75" spans="1:15" ht="25.5">
      <c r="A75" s="6">
        <v>96</v>
      </c>
      <c r="B75" s="7" t="s">
        <v>190</v>
      </c>
      <c r="C75" s="7" t="s">
        <v>90</v>
      </c>
      <c r="D75" s="7" t="s">
        <v>77</v>
      </c>
      <c r="E75" s="7" t="s">
        <v>91</v>
      </c>
      <c r="F75" s="7"/>
      <c r="G75" s="7"/>
      <c r="H75" s="7"/>
      <c r="I75" s="6"/>
      <c r="J75" s="6" t="s">
        <v>87</v>
      </c>
      <c r="K75" s="7" t="s">
        <v>93</v>
      </c>
      <c r="L75" s="7" t="s">
        <v>92</v>
      </c>
      <c r="M75" s="7" t="s">
        <v>200</v>
      </c>
      <c r="N75" s="7" t="s">
        <v>89</v>
      </c>
      <c r="O75" s="6">
        <v>0</v>
      </c>
    </row>
    <row r="76" spans="1:15" ht="25.5">
      <c r="A76" s="6">
        <v>97</v>
      </c>
      <c r="B76" s="7" t="s">
        <v>190</v>
      </c>
      <c r="C76" s="7" t="s">
        <v>94</v>
      </c>
      <c r="D76" s="7" t="s">
        <v>77</v>
      </c>
      <c r="E76" s="7" t="s">
        <v>95</v>
      </c>
      <c r="F76" s="7"/>
      <c r="G76" s="7"/>
      <c r="H76" s="7"/>
      <c r="I76" s="6"/>
      <c r="J76" s="6" t="s">
        <v>87</v>
      </c>
      <c r="K76" s="7" t="s">
        <v>97</v>
      </c>
      <c r="L76" s="7" t="s">
        <v>96</v>
      </c>
      <c r="M76" s="7" t="s">
        <v>200</v>
      </c>
      <c r="N76" s="7" t="s">
        <v>98</v>
      </c>
      <c r="O76" s="6">
        <v>0</v>
      </c>
    </row>
    <row r="77" spans="1:15" ht="25.5">
      <c r="A77" s="6">
        <v>98</v>
      </c>
      <c r="B77" s="7" t="s">
        <v>190</v>
      </c>
      <c r="C77" s="7" t="s">
        <v>99</v>
      </c>
      <c r="D77" s="7" t="s">
        <v>77</v>
      </c>
      <c r="E77" s="7" t="s">
        <v>100</v>
      </c>
      <c r="F77" s="7"/>
      <c r="G77" s="7"/>
      <c r="H77" s="7"/>
      <c r="I77" s="6"/>
      <c r="J77" s="6" t="s">
        <v>22</v>
      </c>
      <c r="K77" s="7" t="s">
        <v>93</v>
      </c>
      <c r="L77" s="7" t="s">
        <v>101</v>
      </c>
      <c r="M77" s="7" t="s">
        <v>200</v>
      </c>
      <c r="N77" s="7" t="s">
        <v>102</v>
      </c>
      <c r="O77" s="6">
        <v>0</v>
      </c>
    </row>
    <row r="78" spans="1:15" ht="38.25">
      <c r="A78" s="6">
        <v>99</v>
      </c>
      <c r="B78" s="7" t="s">
        <v>190</v>
      </c>
      <c r="C78" s="7" t="s">
        <v>103</v>
      </c>
      <c r="D78" s="7" t="s">
        <v>103</v>
      </c>
      <c r="E78" s="7" t="s">
        <v>103</v>
      </c>
      <c r="F78" s="7"/>
      <c r="G78" s="7"/>
      <c r="H78" s="7"/>
      <c r="I78" s="6">
        <v>1</v>
      </c>
      <c r="J78" s="6" t="s">
        <v>105</v>
      </c>
      <c r="K78" s="7" t="s">
        <v>106</v>
      </c>
      <c r="L78" s="7" t="s">
        <v>104</v>
      </c>
      <c r="M78" s="7" t="s">
        <v>201</v>
      </c>
      <c r="N78" s="7" t="s">
        <v>108</v>
      </c>
      <c r="O78" s="6">
        <v>0</v>
      </c>
    </row>
    <row r="79" spans="1:15" ht="25.5">
      <c r="A79" s="6">
        <v>100</v>
      </c>
      <c r="B79" s="7" t="s">
        <v>190</v>
      </c>
      <c r="C79" s="7" t="s">
        <v>109</v>
      </c>
      <c r="D79" s="7" t="s">
        <v>109</v>
      </c>
      <c r="E79" s="7" t="s">
        <v>109</v>
      </c>
      <c r="F79" s="7"/>
      <c r="G79" s="7"/>
      <c r="H79" s="7"/>
      <c r="I79" s="6">
        <v>1</v>
      </c>
      <c r="J79" s="6" t="s">
        <v>111</v>
      </c>
      <c r="K79" s="7" t="s">
        <v>112</v>
      </c>
      <c r="L79" s="7" t="s">
        <v>110</v>
      </c>
      <c r="M79" s="7" t="s">
        <v>113</v>
      </c>
      <c r="N79" s="7" t="s">
        <v>114</v>
      </c>
      <c r="O79" s="6">
        <v>0</v>
      </c>
    </row>
    <row r="80" spans="1:15" ht="25.5">
      <c r="A80" s="8">
        <v>101</v>
      </c>
      <c r="B80" s="9" t="s">
        <v>190</v>
      </c>
      <c r="C80" s="9" t="s">
        <v>115</v>
      </c>
      <c r="D80" s="9"/>
      <c r="E80" s="9" t="s">
        <v>202</v>
      </c>
      <c r="F80" s="9"/>
      <c r="G80" s="9"/>
      <c r="H80" s="9"/>
      <c r="I80" s="8"/>
      <c r="J80" s="8"/>
      <c r="K80" s="9" t="s">
        <v>112</v>
      </c>
      <c r="L80" s="9" t="s">
        <v>117</v>
      </c>
      <c r="M80" s="9" t="s">
        <v>192</v>
      </c>
      <c r="N80" s="9" t="s">
        <v>118</v>
      </c>
      <c r="O80" s="8">
        <f>SUM(O68:O79)</f>
        <v>11</v>
      </c>
    </row>
    <row r="81" spans="1:15" ht="25.5">
      <c r="A81" s="4">
        <v>102</v>
      </c>
      <c r="B81" s="5" t="s">
        <v>203</v>
      </c>
      <c r="C81" s="5" t="s">
        <v>1</v>
      </c>
      <c r="D81" s="5"/>
      <c r="E81" s="5" t="s">
        <v>203</v>
      </c>
      <c r="F81" s="5"/>
      <c r="G81" s="5"/>
      <c r="H81" s="5"/>
      <c r="I81" s="4">
        <v>1</v>
      </c>
      <c r="J81" s="4" t="s">
        <v>14</v>
      </c>
      <c r="K81" s="5" t="s">
        <v>15</v>
      </c>
      <c r="L81" s="5" t="s">
        <v>204</v>
      </c>
      <c r="M81" s="5" t="s">
        <v>205</v>
      </c>
      <c r="N81" s="5" t="s">
        <v>17</v>
      </c>
      <c r="O81" s="4">
        <v>0</v>
      </c>
    </row>
    <row r="82" spans="1:15" ht="25.5">
      <c r="A82" s="6">
        <v>103</v>
      </c>
      <c r="B82" s="7" t="s">
        <v>203</v>
      </c>
      <c r="C82" s="7" t="s">
        <v>18</v>
      </c>
      <c r="D82" s="7" t="s">
        <v>19</v>
      </c>
      <c r="E82" s="7" t="s">
        <v>20</v>
      </c>
      <c r="F82" s="7"/>
      <c r="G82" s="7"/>
      <c r="H82" s="7"/>
      <c r="I82" s="6">
        <v>1</v>
      </c>
      <c r="J82" s="6" t="s">
        <v>22</v>
      </c>
      <c r="K82" s="7" t="s">
        <v>23</v>
      </c>
      <c r="L82" s="7" t="s">
        <v>21</v>
      </c>
      <c r="M82" s="7" t="s">
        <v>24</v>
      </c>
      <c r="N82" s="7" t="s">
        <v>122</v>
      </c>
      <c r="O82" s="6">
        <v>0</v>
      </c>
    </row>
    <row r="83" spans="1:15" ht="25.5">
      <c r="A83" s="6">
        <v>104</v>
      </c>
      <c r="B83" s="7" t="s">
        <v>203</v>
      </c>
      <c r="C83" s="7" t="s">
        <v>32</v>
      </c>
      <c r="D83" s="7" t="s">
        <v>206</v>
      </c>
      <c r="E83" s="7" t="s">
        <v>124</v>
      </c>
      <c r="F83" s="7"/>
      <c r="G83" s="7">
        <f t="shared" ref="G83:G88" si="7">0.6*F83</f>
        <v>0</v>
      </c>
      <c r="H83" s="7"/>
      <c r="I83" s="6">
        <v>1</v>
      </c>
      <c r="J83" s="6" t="s">
        <v>22</v>
      </c>
      <c r="K83" s="7" t="s">
        <v>30</v>
      </c>
      <c r="L83" s="7" t="s">
        <v>207</v>
      </c>
      <c r="M83" s="7" t="s">
        <v>205</v>
      </c>
      <c r="N83" s="7" t="s">
        <v>126</v>
      </c>
      <c r="O83" s="6">
        <v>3</v>
      </c>
    </row>
    <row r="84" spans="1:15" ht="25.5">
      <c r="A84" s="6">
        <v>105</v>
      </c>
      <c r="B84" s="7" t="s">
        <v>203</v>
      </c>
      <c r="C84" s="7" t="s">
        <v>32</v>
      </c>
      <c r="D84" s="7" t="s">
        <v>208</v>
      </c>
      <c r="E84" s="7" t="s">
        <v>34</v>
      </c>
      <c r="F84" s="7"/>
      <c r="G84" s="7">
        <f t="shared" si="7"/>
        <v>0</v>
      </c>
      <c r="H84" s="7"/>
      <c r="I84" s="6">
        <v>1</v>
      </c>
      <c r="J84" s="6" t="s">
        <v>22</v>
      </c>
      <c r="K84" s="7" t="s">
        <v>30</v>
      </c>
      <c r="L84" s="7" t="s">
        <v>209</v>
      </c>
      <c r="M84" s="7" t="s">
        <v>205</v>
      </c>
      <c r="N84" s="7" t="s">
        <v>210</v>
      </c>
      <c r="O84" s="6">
        <v>3</v>
      </c>
    </row>
    <row r="85" spans="1:15" ht="25.5">
      <c r="A85" s="6">
        <v>106</v>
      </c>
      <c r="B85" s="7" t="s">
        <v>203</v>
      </c>
      <c r="C85" s="7" t="s">
        <v>32</v>
      </c>
      <c r="D85" s="7" t="s">
        <v>133</v>
      </c>
      <c r="E85" s="7" t="s">
        <v>34</v>
      </c>
      <c r="F85" s="7"/>
      <c r="G85" s="7">
        <f t="shared" si="7"/>
        <v>0</v>
      </c>
      <c r="H85" s="7"/>
      <c r="I85" s="6">
        <v>2</v>
      </c>
      <c r="J85" s="6" t="s">
        <v>22</v>
      </c>
      <c r="K85" s="7" t="s">
        <v>30</v>
      </c>
      <c r="L85" s="7" t="s">
        <v>134</v>
      </c>
      <c r="M85" s="7" t="s">
        <v>205</v>
      </c>
      <c r="N85" s="7" t="s">
        <v>211</v>
      </c>
      <c r="O85" s="6">
        <v>2</v>
      </c>
    </row>
    <row r="86" spans="1:15" ht="25.5">
      <c r="A86" s="6">
        <v>107</v>
      </c>
      <c r="B86" s="7" t="s">
        <v>203</v>
      </c>
      <c r="C86" s="7" t="s">
        <v>32</v>
      </c>
      <c r="D86" s="7" t="s">
        <v>158</v>
      </c>
      <c r="E86" s="7" t="s">
        <v>176</v>
      </c>
      <c r="F86" s="7"/>
      <c r="G86" s="7">
        <f t="shared" si="7"/>
        <v>0</v>
      </c>
      <c r="H86" s="7"/>
      <c r="I86" s="6">
        <v>1</v>
      </c>
      <c r="J86" s="6" t="s">
        <v>22</v>
      </c>
      <c r="K86" s="7" t="s">
        <v>30</v>
      </c>
      <c r="L86" s="7" t="s">
        <v>159</v>
      </c>
      <c r="M86" s="7" t="s">
        <v>205</v>
      </c>
      <c r="N86" s="7" t="s">
        <v>212</v>
      </c>
      <c r="O86" s="6">
        <v>1</v>
      </c>
    </row>
    <row r="87" spans="1:15" ht="25.5">
      <c r="A87" s="6">
        <v>108</v>
      </c>
      <c r="B87" s="7" t="s">
        <v>203</v>
      </c>
      <c r="C87" s="7" t="s">
        <v>32</v>
      </c>
      <c r="D87" s="7" t="s">
        <v>127</v>
      </c>
      <c r="E87" s="7" t="s">
        <v>176</v>
      </c>
      <c r="F87" s="7"/>
      <c r="G87" s="7">
        <f t="shared" si="7"/>
        <v>0</v>
      </c>
      <c r="H87" s="7"/>
      <c r="I87" s="6">
        <v>1</v>
      </c>
      <c r="J87" s="6" t="s">
        <v>22</v>
      </c>
      <c r="K87" s="7" t="s">
        <v>30</v>
      </c>
      <c r="L87" s="7" t="s">
        <v>128</v>
      </c>
      <c r="M87" s="7" t="s">
        <v>205</v>
      </c>
      <c r="N87" s="7" t="s">
        <v>212</v>
      </c>
      <c r="O87" s="6">
        <v>1</v>
      </c>
    </row>
    <row r="88" spans="1:15" ht="25.5">
      <c r="A88" s="6">
        <v>109</v>
      </c>
      <c r="B88" s="7" t="s">
        <v>203</v>
      </c>
      <c r="C88" s="7" t="s">
        <v>32</v>
      </c>
      <c r="D88" s="7" t="s">
        <v>175</v>
      </c>
      <c r="E88" s="7" t="s">
        <v>176</v>
      </c>
      <c r="F88" s="7"/>
      <c r="G88" s="7">
        <f t="shared" si="7"/>
        <v>0</v>
      </c>
      <c r="H88" s="7"/>
      <c r="I88" s="6">
        <v>1</v>
      </c>
      <c r="J88" s="6" t="s">
        <v>22</v>
      </c>
      <c r="K88" s="7" t="s">
        <v>30</v>
      </c>
      <c r="L88" s="7" t="s">
        <v>177</v>
      </c>
      <c r="M88" s="7" t="s">
        <v>205</v>
      </c>
      <c r="N88" s="7" t="s">
        <v>212</v>
      </c>
      <c r="O88" s="6">
        <v>1</v>
      </c>
    </row>
    <row r="89" spans="1:15" ht="38.25">
      <c r="A89" s="6">
        <v>115</v>
      </c>
      <c r="B89" s="7" t="s">
        <v>203</v>
      </c>
      <c r="C89" s="7" t="s">
        <v>103</v>
      </c>
      <c r="D89" s="7" t="s">
        <v>103</v>
      </c>
      <c r="E89" s="7" t="s">
        <v>103</v>
      </c>
      <c r="F89" s="7"/>
      <c r="G89" s="7"/>
      <c r="H89" s="7"/>
      <c r="I89" s="6">
        <v>1</v>
      </c>
      <c r="J89" s="6" t="s">
        <v>105</v>
      </c>
      <c r="K89" s="7" t="s">
        <v>106</v>
      </c>
      <c r="L89" s="7" t="s">
        <v>104</v>
      </c>
      <c r="M89" s="7" t="s">
        <v>214</v>
      </c>
      <c r="N89" s="7" t="s">
        <v>108</v>
      </c>
      <c r="O89" s="6">
        <v>0</v>
      </c>
    </row>
    <row r="90" spans="1:15" ht="25.5">
      <c r="A90" s="6">
        <v>116</v>
      </c>
      <c r="B90" s="7" t="s">
        <v>203</v>
      </c>
      <c r="C90" s="7" t="s">
        <v>109</v>
      </c>
      <c r="D90" s="7" t="s">
        <v>109</v>
      </c>
      <c r="E90" s="7" t="s">
        <v>109</v>
      </c>
      <c r="F90" s="7"/>
      <c r="G90" s="7"/>
      <c r="H90" s="7"/>
      <c r="I90" s="6">
        <v>1</v>
      </c>
      <c r="J90" s="6" t="s">
        <v>111</v>
      </c>
      <c r="K90" s="7" t="s">
        <v>112</v>
      </c>
      <c r="L90" s="7" t="s">
        <v>110</v>
      </c>
      <c r="M90" s="7" t="s">
        <v>113</v>
      </c>
      <c r="N90" s="7" t="s">
        <v>114</v>
      </c>
      <c r="O90" s="6">
        <v>0</v>
      </c>
    </row>
    <row r="91" spans="1:15" ht="25.5">
      <c r="A91" s="8">
        <v>117</v>
      </c>
      <c r="B91" s="9" t="s">
        <v>203</v>
      </c>
      <c r="C91" s="9" t="s">
        <v>115</v>
      </c>
      <c r="D91" s="9"/>
      <c r="E91" s="9" t="s">
        <v>215</v>
      </c>
      <c r="F91" s="9"/>
      <c r="G91" s="9"/>
      <c r="H91" s="9"/>
      <c r="I91" s="8"/>
      <c r="J91" s="8"/>
      <c r="K91" s="9" t="s">
        <v>112</v>
      </c>
      <c r="L91" s="9" t="s">
        <v>117</v>
      </c>
      <c r="M91" s="9" t="s">
        <v>205</v>
      </c>
      <c r="N91" s="9" t="s">
        <v>118</v>
      </c>
      <c r="O91" s="8">
        <f>SUM(O81:O90)</f>
        <v>11</v>
      </c>
    </row>
  </sheetData>
  <autoFilter ref="A1:O91" xr:uid="{00000000-0001-0000-0000-000000000000}"/>
  <conditionalFormatting sqref="A2:O91">
    <cfRule type="expression" dxfId="3" priority="3">
      <formula>OR(ISNUMBER(SEARCH("КОНТРОЛЬ",$D2)),ISNUMBER(SEARCH("КОНТРОЛЬ",$N2)))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7"/>
  <sheetViews>
    <sheetView topLeftCell="D1" workbookViewId="0"/>
  </sheetViews>
  <sheetFormatPr defaultRowHeight="14.25"/>
  <cols>
    <col min="1" max="1" width="6" customWidth="1"/>
    <col min="2" max="2" width="15" customWidth="1"/>
    <col min="3" max="3" width="18" customWidth="1"/>
    <col min="4" max="4" width="31" customWidth="1"/>
    <col min="5" max="6" width="42" customWidth="1"/>
    <col min="7" max="8" width="10" customWidth="1"/>
    <col min="9" max="9" width="19" customWidth="1"/>
    <col min="10" max="10" width="24" customWidth="1"/>
    <col min="11" max="11" width="52" customWidth="1"/>
    <col min="12" max="12" width="13" customWidth="1"/>
  </cols>
  <sheetData>
    <row r="1" spans="1:12" ht="36" customHeight="1">
      <c r="A1" s="2">
        <v>1</v>
      </c>
      <c r="B1" s="2" t="s">
        <v>12</v>
      </c>
      <c r="C1" s="2" t="s">
        <v>1</v>
      </c>
      <c r="D1" s="2"/>
      <c r="E1" s="2" t="s">
        <v>12</v>
      </c>
      <c r="F1" s="2" t="s">
        <v>13</v>
      </c>
      <c r="G1" s="2">
        <v>1</v>
      </c>
      <c r="H1" s="2" t="s">
        <v>14</v>
      </c>
      <c r="I1" s="2" t="s">
        <v>15</v>
      </c>
      <c r="J1" s="2" t="s">
        <v>16</v>
      </c>
      <c r="K1" s="2" t="s">
        <v>17</v>
      </c>
      <c r="L1" s="2">
        <v>0</v>
      </c>
    </row>
    <row r="2" spans="1:12" ht="36" customHeight="1">
      <c r="A2" s="2">
        <v>2</v>
      </c>
      <c r="B2" s="2" t="s">
        <v>12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0</v>
      </c>
    </row>
    <row r="3" spans="1:12" ht="36" customHeight="1">
      <c r="A3" s="2">
        <v>3</v>
      </c>
      <c r="B3" s="2" t="s">
        <v>12</v>
      </c>
      <c r="C3" s="2" t="s">
        <v>26</v>
      </c>
      <c r="D3" s="2" t="s">
        <v>27</v>
      </c>
      <c r="E3" s="2" t="s">
        <v>28</v>
      </c>
      <c r="F3" s="2" t="s">
        <v>29</v>
      </c>
      <c r="G3" s="2">
        <v>1</v>
      </c>
      <c r="H3" s="2" t="s">
        <v>22</v>
      </c>
      <c r="I3" s="2" t="s">
        <v>30</v>
      </c>
      <c r="J3" s="2" t="s">
        <v>16</v>
      </c>
      <c r="K3" s="2" t="s">
        <v>31</v>
      </c>
      <c r="L3" s="2">
        <v>0</v>
      </c>
    </row>
    <row r="4" spans="1:12" ht="36" customHeight="1">
      <c r="A4" s="2">
        <v>4</v>
      </c>
      <c r="B4" s="2" t="s">
        <v>12</v>
      </c>
      <c r="C4" s="2" t="s">
        <v>32</v>
      </c>
      <c r="D4" s="2" t="s">
        <v>33</v>
      </c>
      <c r="E4" s="2" t="s">
        <v>34</v>
      </c>
      <c r="F4" s="2" t="s">
        <v>35</v>
      </c>
      <c r="G4" s="2">
        <v>1</v>
      </c>
      <c r="H4" s="2" t="s">
        <v>22</v>
      </c>
      <c r="I4" s="2" t="s">
        <v>30</v>
      </c>
      <c r="J4" s="2" t="s">
        <v>16</v>
      </c>
      <c r="K4" s="2" t="s">
        <v>36</v>
      </c>
      <c r="L4" s="2">
        <v>3</v>
      </c>
    </row>
    <row r="5" spans="1:12" ht="36" customHeight="1">
      <c r="A5" s="2">
        <v>5</v>
      </c>
      <c r="B5" s="2" t="s">
        <v>12</v>
      </c>
      <c r="C5" s="2" t="s">
        <v>26</v>
      </c>
      <c r="D5" s="2" t="s">
        <v>37</v>
      </c>
      <c r="E5" s="2" t="s">
        <v>38</v>
      </c>
      <c r="F5" s="2" t="s">
        <v>39</v>
      </c>
      <c r="G5" s="2">
        <v>1</v>
      </c>
      <c r="H5" s="2" t="s">
        <v>22</v>
      </c>
      <c r="I5" s="2" t="s">
        <v>30</v>
      </c>
      <c r="J5" s="2" t="s">
        <v>16</v>
      </c>
      <c r="K5" s="2" t="s">
        <v>40</v>
      </c>
      <c r="L5" s="2">
        <v>0</v>
      </c>
    </row>
    <row r="6" spans="1:12" ht="36" customHeight="1">
      <c r="A6" s="2">
        <v>6</v>
      </c>
      <c r="B6" s="2" t="s">
        <v>12</v>
      </c>
      <c r="C6" s="2" t="s">
        <v>32</v>
      </c>
      <c r="D6" s="2" t="s">
        <v>41</v>
      </c>
      <c r="E6" s="2" t="s">
        <v>34</v>
      </c>
      <c r="F6" s="2" t="s">
        <v>42</v>
      </c>
      <c r="G6" s="2">
        <v>5</v>
      </c>
      <c r="H6" s="2" t="s">
        <v>22</v>
      </c>
      <c r="I6" s="2" t="s">
        <v>30</v>
      </c>
      <c r="J6" s="2" t="s">
        <v>16</v>
      </c>
      <c r="K6" s="2" t="s">
        <v>43</v>
      </c>
      <c r="L6" s="2">
        <v>15</v>
      </c>
    </row>
    <row r="7" spans="1:12" ht="36" customHeight="1">
      <c r="A7" s="2">
        <v>7</v>
      </c>
      <c r="B7" s="2" t="s">
        <v>12</v>
      </c>
      <c r="C7" s="2" t="s">
        <v>32</v>
      </c>
      <c r="D7" s="2" t="s">
        <v>44</v>
      </c>
      <c r="E7" s="2" t="s">
        <v>34</v>
      </c>
      <c r="F7" s="2" t="s">
        <v>45</v>
      </c>
      <c r="G7" s="2">
        <v>2</v>
      </c>
      <c r="H7" s="2" t="s">
        <v>22</v>
      </c>
      <c r="I7" s="2" t="s">
        <v>30</v>
      </c>
      <c r="J7" s="2" t="s">
        <v>16</v>
      </c>
      <c r="K7" s="2" t="s">
        <v>46</v>
      </c>
      <c r="L7" s="2">
        <v>6</v>
      </c>
    </row>
    <row r="8" spans="1:12" ht="36" customHeight="1">
      <c r="A8" s="2">
        <v>8</v>
      </c>
      <c r="B8" s="2" t="s">
        <v>12</v>
      </c>
      <c r="C8" s="2" t="s">
        <v>32</v>
      </c>
      <c r="D8" s="2" t="s">
        <v>47</v>
      </c>
      <c r="E8" s="2" t="s">
        <v>34</v>
      </c>
      <c r="F8" s="2" t="s">
        <v>48</v>
      </c>
      <c r="G8" s="2">
        <v>1</v>
      </c>
      <c r="H8" s="2" t="s">
        <v>22</v>
      </c>
      <c r="I8" s="2" t="s">
        <v>30</v>
      </c>
      <c r="J8" s="2" t="s">
        <v>16</v>
      </c>
      <c r="K8" s="2" t="s">
        <v>49</v>
      </c>
      <c r="L8" s="2">
        <v>3</v>
      </c>
    </row>
    <row r="9" spans="1:12" ht="36" customHeight="1">
      <c r="A9" s="2">
        <v>9</v>
      </c>
      <c r="B9" s="2" t="s">
        <v>12</v>
      </c>
      <c r="C9" s="2" t="s">
        <v>50</v>
      </c>
      <c r="D9" s="2" t="s">
        <v>51</v>
      </c>
      <c r="E9" s="2" t="s">
        <v>52</v>
      </c>
      <c r="F9" s="2" t="s">
        <v>53</v>
      </c>
      <c r="G9" s="2">
        <v>1</v>
      </c>
      <c r="H9" s="2" t="s">
        <v>22</v>
      </c>
      <c r="I9" s="2" t="s">
        <v>30</v>
      </c>
      <c r="J9" s="2" t="s">
        <v>16</v>
      </c>
      <c r="K9" s="2" t="s">
        <v>54</v>
      </c>
      <c r="L9" s="2">
        <v>2</v>
      </c>
    </row>
    <row r="10" spans="1:12" ht="36" customHeight="1">
      <c r="A10" s="2">
        <v>10</v>
      </c>
      <c r="B10" s="2" t="s">
        <v>12</v>
      </c>
      <c r="C10" s="2" t="s">
        <v>55</v>
      </c>
      <c r="D10" s="2" t="s">
        <v>56</v>
      </c>
      <c r="E10" s="2" t="s">
        <v>57</v>
      </c>
      <c r="F10" s="2" t="s">
        <v>58</v>
      </c>
      <c r="G10" s="2">
        <v>3</v>
      </c>
      <c r="H10" s="2" t="s">
        <v>22</v>
      </c>
      <c r="I10" s="2" t="s">
        <v>59</v>
      </c>
      <c r="J10" s="2" t="s">
        <v>16</v>
      </c>
      <c r="K10" s="2" t="s">
        <v>60</v>
      </c>
      <c r="L10" s="2">
        <v>0</v>
      </c>
    </row>
    <row r="11" spans="1:12" ht="36" customHeight="1">
      <c r="A11" s="2">
        <v>11</v>
      </c>
      <c r="B11" s="2" t="s">
        <v>12</v>
      </c>
      <c r="C11" s="2" t="s">
        <v>61</v>
      </c>
      <c r="D11" s="2" t="s">
        <v>62</v>
      </c>
      <c r="E11" s="2" t="s">
        <v>63</v>
      </c>
      <c r="F11" s="2" t="s">
        <v>64</v>
      </c>
      <c r="G11" s="2">
        <v>3</v>
      </c>
      <c r="H11" s="2" t="s">
        <v>22</v>
      </c>
      <c r="I11" s="2" t="s">
        <v>30</v>
      </c>
      <c r="J11" s="2" t="s">
        <v>16</v>
      </c>
      <c r="K11" s="2" t="s">
        <v>65</v>
      </c>
      <c r="L11" s="2">
        <v>0</v>
      </c>
    </row>
    <row r="12" spans="1:12" ht="36" customHeight="1">
      <c r="A12" s="2">
        <v>12</v>
      </c>
      <c r="B12" s="2" t="s">
        <v>12</v>
      </c>
      <c r="C12" s="2" t="s">
        <v>61</v>
      </c>
      <c r="D12" s="2" t="s">
        <v>66</v>
      </c>
      <c r="E12" s="2" t="s">
        <v>67</v>
      </c>
      <c r="F12" s="2" t="s">
        <v>68</v>
      </c>
      <c r="G12" s="2">
        <v>1</v>
      </c>
      <c r="H12" s="2" t="s">
        <v>22</v>
      </c>
      <c r="I12" s="2" t="s">
        <v>30</v>
      </c>
      <c r="J12" s="2" t="s">
        <v>16</v>
      </c>
      <c r="K12" s="2" t="s">
        <v>69</v>
      </c>
      <c r="L12" s="2">
        <v>0</v>
      </c>
    </row>
    <row r="13" spans="1:12" ht="36" customHeight="1">
      <c r="A13" s="2">
        <v>13</v>
      </c>
      <c r="B13" s="2" t="s">
        <v>12</v>
      </c>
      <c r="C13" s="2" t="s">
        <v>70</v>
      </c>
      <c r="D13" s="2" t="s">
        <v>71</v>
      </c>
      <c r="E13" s="2" t="s">
        <v>72</v>
      </c>
      <c r="F13" s="2" t="s">
        <v>73</v>
      </c>
      <c r="G13" s="2">
        <v>1</v>
      </c>
      <c r="H13" s="2" t="s">
        <v>22</v>
      </c>
      <c r="I13" s="2" t="s">
        <v>74</v>
      </c>
      <c r="J13" s="2" t="s">
        <v>16</v>
      </c>
      <c r="K13" s="2" t="s">
        <v>75</v>
      </c>
      <c r="L13" s="2">
        <v>0</v>
      </c>
    </row>
    <row r="14" spans="1:12" ht="36" customHeight="1">
      <c r="A14" s="2">
        <v>14</v>
      </c>
      <c r="B14" s="2" t="s">
        <v>12</v>
      </c>
      <c r="C14" s="2" t="s">
        <v>76</v>
      </c>
      <c r="D14" s="2" t="s">
        <v>77</v>
      </c>
      <c r="E14" s="2" t="s">
        <v>78</v>
      </c>
      <c r="F14" s="2" t="s">
        <v>79</v>
      </c>
      <c r="G14" s="2"/>
      <c r="H14" s="2" t="s">
        <v>22</v>
      </c>
      <c r="I14" s="2" t="s">
        <v>80</v>
      </c>
      <c r="J14" s="2" t="s">
        <v>81</v>
      </c>
      <c r="K14" s="2" t="s">
        <v>82</v>
      </c>
      <c r="L14" s="2">
        <v>0</v>
      </c>
    </row>
    <row r="15" spans="1:12" ht="36" customHeight="1">
      <c r="A15" s="2">
        <v>15</v>
      </c>
      <c r="B15" s="2" t="s">
        <v>12</v>
      </c>
      <c r="C15" s="2" t="s">
        <v>83</v>
      </c>
      <c r="D15" s="2" t="s">
        <v>84</v>
      </c>
      <c r="E15" s="2" t="s">
        <v>85</v>
      </c>
      <c r="F15" s="2" t="s">
        <v>86</v>
      </c>
      <c r="G15" s="2"/>
      <c r="H15" s="2" t="s">
        <v>87</v>
      </c>
      <c r="I15" s="2" t="s">
        <v>88</v>
      </c>
      <c r="J15" s="2" t="s">
        <v>81</v>
      </c>
      <c r="K15" s="2" t="s">
        <v>89</v>
      </c>
      <c r="L15" s="2">
        <v>0</v>
      </c>
    </row>
    <row r="16" spans="1:12" ht="36" customHeight="1">
      <c r="A16" s="2">
        <v>16</v>
      </c>
      <c r="B16" s="2" t="s">
        <v>12</v>
      </c>
      <c r="C16" s="2" t="s">
        <v>90</v>
      </c>
      <c r="D16" s="2" t="s">
        <v>77</v>
      </c>
      <c r="E16" s="2" t="s">
        <v>91</v>
      </c>
      <c r="F16" s="2" t="s">
        <v>92</v>
      </c>
      <c r="G16" s="2"/>
      <c r="H16" s="2" t="s">
        <v>87</v>
      </c>
      <c r="I16" s="2" t="s">
        <v>93</v>
      </c>
      <c r="J16" s="2" t="s">
        <v>81</v>
      </c>
      <c r="K16" s="2" t="s">
        <v>89</v>
      </c>
      <c r="L16" s="2">
        <v>0</v>
      </c>
    </row>
    <row r="17" spans="1:12" ht="36" customHeight="1">
      <c r="A17" s="2">
        <v>17</v>
      </c>
      <c r="B17" s="2" t="s">
        <v>12</v>
      </c>
      <c r="C17" s="2" t="s">
        <v>94</v>
      </c>
      <c r="D17" s="2" t="s">
        <v>77</v>
      </c>
      <c r="E17" s="2" t="s">
        <v>95</v>
      </c>
      <c r="F17" s="2" t="s">
        <v>96</v>
      </c>
      <c r="G17" s="2"/>
      <c r="H17" s="2" t="s">
        <v>87</v>
      </c>
      <c r="I17" s="2" t="s">
        <v>97</v>
      </c>
      <c r="J17" s="2" t="s">
        <v>81</v>
      </c>
      <c r="K17" s="2" t="s">
        <v>98</v>
      </c>
      <c r="L17" s="2">
        <v>0</v>
      </c>
    </row>
    <row r="18" spans="1:12" ht="36" customHeight="1">
      <c r="A18" s="2">
        <v>18</v>
      </c>
      <c r="B18" s="2" t="s">
        <v>12</v>
      </c>
      <c r="C18" s="2" t="s">
        <v>99</v>
      </c>
      <c r="D18" s="2" t="s">
        <v>77</v>
      </c>
      <c r="E18" s="2" t="s">
        <v>100</v>
      </c>
      <c r="F18" s="2" t="s">
        <v>101</v>
      </c>
      <c r="G18" s="2"/>
      <c r="H18" s="2" t="s">
        <v>22</v>
      </c>
      <c r="I18" s="2" t="s">
        <v>93</v>
      </c>
      <c r="J18" s="2" t="s">
        <v>81</v>
      </c>
      <c r="K18" s="2" t="s">
        <v>102</v>
      </c>
      <c r="L18" s="2">
        <v>0</v>
      </c>
    </row>
    <row r="19" spans="1:12" ht="36" customHeight="1">
      <c r="A19" s="2">
        <v>19</v>
      </c>
      <c r="B19" s="2" t="s">
        <v>12</v>
      </c>
      <c r="C19" s="2" t="s">
        <v>103</v>
      </c>
      <c r="D19" s="2"/>
      <c r="E19" s="2" t="s">
        <v>103</v>
      </c>
      <c r="F19" s="2" t="s">
        <v>104</v>
      </c>
      <c r="G19" s="2">
        <v>1</v>
      </c>
      <c r="H19" s="2" t="s">
        <v>105</v>
      </c>
      <c r="I19" s="2" t="s">
        <v>106</v>
      </c>
      <c r="J19" s="2" t="s">
        <v>107</v>
      </c>
      <c r="K19" s="2" t="s">
        <v>108</v>
      </c>
      <c r="L19" s="2">
        <v>0</v>
      </c>
    </row>
    <row r="20" spans="1:12" ht="36" customHeight="1">
      <c r="A20" s="2">
        <v>20</v>
      </c>
      <c r="B20" s="2" t="s">
        <v>12</v>
      </c>
      <c r="C20" s="2" t="s">
        <v>109</v>
      </c>
      <c r="D20" s="2"/>
      <c r="E20" s="2" t="s">
        <v>109</v>
      </c>
      <c r="F20" s="2" t="s">
        <v>110</v>
      </c>
      <c r="G20" s="2">
        <v>1</v>
      </c>
      <c r="H20" s="2" t="s">
        <v>111</v>
      </c>
      <c r="I20" s="2" t="s">
        <v>112</v>
      </c>
      <c r="J20" s="2" t="s">
        <v>113</v>
      </c>
      <c r="K20" s="2" t="s">
        <v>114</v>
      </c>
      <c r="L20" s="2">
        <v>0</v>
      </c>
    </row>
    <row r="21" spans="1:12" ht="36" customHeight="1">
      <c r="A21" s="2">
        <v>21</v>
      </c>
      <c r="B21" s="2" t="s">
        <v>12</v>
      </c>
      <c r="C21" s="2" t="s">
        <v>115</v>
      </c>
      <c r="D21" s="2"/>
      <c r="E21" s="2" t="s">
        <v>116</v>
      </c>
      <c r="F21" s="2" t="s">
        <v>117</v>
      </c>
      <c r="G21" s="2"/>
      <c r="H21" s="2"/>
      <c r="I21" s="2" t="s">
        <v>112</v>
      </c>
      <c r="J21" s="2" t="s">
        <v>16</v>
      </c>
      <c r="K21" s="2" t="s">
        <v>118</v>
      </c>
      <c r="L21" s="2">
        <v>29</v>
      </c>
    </row>
    <row r="22" spans="1:12" ht="36" customHeight="1">
      <c r="A22" s="2">
        <v>22</v>
      </c>
      <c r="B22" s="2" t="s">
        <v>119</v>
      </c>
      <c r="C22" s="2" t="s">
        <v>1</v>
      </c>
      <c r="D22" s="2"/>
      <c r="E22" s="2" t="s">
        <v>119</v>
      </c>
      <c r="F22" s="2" t="s">
        <v>120</v>
      </c>
      <c r="G22" s="2">
        <v>1</v>
      </c>
      <c r="H22" s="2" t="s">
        <v>14</v>
      </c>
      <c r="I22" s="2" t="s">
        <v>15</v>
      </c>
      <c r="J22" s="2" t="s">
        <v>121</v>
      </c>
      <c r="K22" s="2" t="s">
        <v>17</v>
      </c>
      <c r="L22" s="2">
        <v>0</v>
      </c>
    </row>
    <row r="23" spans="1:12" ht="36" customHeight="1">
      <c r="A23" s="2">
        <v>23</v>
      </c>
      <c r="B23" s="2" t="s">
        <v>119</v>
      </c>
      <c r="C23" s="2" t="s">
        <v>18</v>
      </c>
      <c r="D23" s="2" t="s">
        <v>19</v>
      </c>
      <c r="E23" s="2" t="s">
        <v>20</v>
      </c>
      <c r="F23" s="2" t="s">
        <v>21</v>
      </c>
      <c r="G23" s="2">
        <v>1</v>
      </c>
      <c r="H23" s="2" t="s">
        <v>22</v>
      </c>
      <c r="I23" s="2" t="s">
        <v>23</v>
      </c>
      <c r="J23" s="2" t="s">
        <v>24</v>
      </c>
      <c r="K23" s="2" t="s">
        <v>122</v>
      </c>
      <c r="L23" s="2">
        <v>0</v>
      </c>
    </row>
    <row r="24" spans="1:12" ht="36" customHeight="1">
      <c r="A24" s="2">
        <v>24</v>
      </c>
      <c r="B24" s="2" t="s">
        <v>119</v>
      </c>
      <c r="C24" s="2" t="s">
        <v>32</v>
      </c>
      <c r="D24" s="2" t="s">
        <v>123</v>
      </c>
      <c r="E24" s="2" t="s">
        <v>124</v>
      </c>
      <c r="F24" s="2" t="s">
        <v>125</v>
      </c>
      <c r="G24" s="2">
        <v>1</v>
      </c>
      <c r="H24" s="2" t="s">
        <v>22</v>
      </c>
      <c r="I24" s="2" t="s">
        <v>30</v>
      </c>
      <c r="J24" s="2" t="s">
        <v>121</v>
      </c>
      <c r="K24" s="2" t="s">
        <v>126</v>
      </c>
      <c r="L24" s="2">
        <v>3</v>
      </c>
    </row>
    <row r="25" spans="1:12" ht="36" customHeight="1">
      <c r="A25" s="2">
        <v>25</v>
      </c>
      <c r="B25" s="2" t="s">
        <v>119</v>
      </c>
      <c r="C25" s="2" t="s">
        <v>32</v>
      </c>
      <c r="D25" s="2" t="s">
        <v>127</v>
      </c>
      <c r="E25" s="2" t="s">
        <v>34</v>
      </c>
      <c r="F25" s="2" t="s">
        <v>128</v>
      </c>
      <c r="G25" s="2">
        <v>2</v>
      </c>
      <c r="H25" s="2" t="s">
        <v>22</v>
      </c>
      <c r="I25" s="2" t="s">
        <v>30</v>
      </c>
      <c r="J25" s="2" t="s">
        <v>121</v>
      </c>
      <c r="K25" s="2" t="s">
        <v>129</v>
      </c>
      <c r="L25" s="2">
        <v>2</v>
      </c>
    </row>
    <row r="26" spans="1:12" ht="36" customHeight="1">
      <c r="A26" s="2">
        <v>26</v>
      </c>
      <c r="B26" s="2" t="s">
        <v>119</v>
      </c>
      <c r="C26" s="2" t="s">
        <v>50</v>
      </c>
      <c r="D26" s="2" t="s">
        <v>130</v>
      </c>
      <c r="E26" s="2" t="s">
        <v>52</v>
      </c>
      <c r="F26" s="2" t="s">
        <v>131</v>
      </c>
      <c r="G26" s="2">
        <v>4</v>
      </c>
      <c r="H26" s="2" t="s">
        <v>22</v>
      </c>
      <c r="I26" s="2" t="s">
        <v>30</v>
      </c>
      <c r="J26" s="2" t="s">
        <v>121</v>
      </c>
      <c r="K26" s="2" t="s">
        <v>132</v>
      </c>
      <c r="L26" s="2">
        <v>8</v>
      </c>
    </row>
    <row r="27" spans="1:12" ht="36" customHeight="1">
      <c r="A27" s="2">
        <v>27</v>
      </c>
      <c r="B27" s="2" t="s">
        <v>119</v>
      </c>
      <c r="C27" s="2" t="s">
        <v>32</v>
      </c>
      <c r="D27" s="2" t="s">
        <v>133</v>
      </c>
      <c r="E27" s="2" t="s">
        <v>34</v>
      </c>
      <c r="F27" s="2" t="s">
        <v>134</v>
      </c>
      <c r="G27" s="2">
        <v>1</v>
      </c>
      <c r="H27" s="2" t="s">
        <v>22</v>
      </c>
      <c r="I27" s="2" t="s">
        <v>30</v>
      </c>
      <c r="J27" s="2" t="s">
        <v>121</v>
      </c>
      <c r="K27" s="2" t="s">
        <v>135</v>
      </c>
      <c r="L27" s="2">
        <v>1</v>
      </c>
    </row>
    <row r="28" spans="1:12" ht="36" customHeight="1">
      <c r="A28" s="2">
        <v>28</v>
      </c>
      <c r="B28" s="2" t="s">
        <v>119</v>
      </c>
      <c r="C28" s="2" t="s">
        <v>76</v>
      </c>
      <c r="D28" s="2" t="s">
        <v>77</v>
      </c>
      <c r="E28" s="2" t="s">
        <v>78</v>
      </c>
      <c r="F28" s="2" t="s">
        <v>79</v>
      </c>
      <c r="G28" s="2"/>
      <c r="H28" s="2" t="s">
        <v>22</v>
      </c>
      <c r="I28" s="2" t="s">
        <v>80</v>
      </c>
      <c r="J28" s="2" t="s">
        <v>136</v>
      </c>
      <c r="K28" s="2" t="s">
        <v>82</v>
      </c>
      <c r="L28" s="2">
        <v>0</v>
      </c>
    </row>
    <row r="29" spans="1:12" ht="36" customHeight="1">
      <c r="A29" s="2">
        <v>29</v>
      </c>
      <c r="B29" s="2" t="s">
        <v>119</v>
      </c>
      <c r="C29" s="2" t="s">
        <v>83</v>
      </c>
      <c r="D29" s="2" t="s">
        <v>84</v>
      </c>
      <c r="E29" s="2" t="s">
        <v>85</v>
      </c>
      <c r="F29" s="2" t="s">
        <v>86</v>
      </c>
      <c r="G29" s="2"/>
      <c r="H29" s="2" t="s">
        <v>87</v>
      </c>
      <c r="I29" s="2" t="s">
        <v>88</v>
      </c>
      <c r="J29" s="2" t="s">
        <v>136</v>
      </c>
      <c r="K29" s="2" t="s">
        <v>89</v>
      </c>
      <c r="L29" s="2">
        <v>0</v>
      </c>
    </row>
    <row r="30" spans="1:12" ht="36" customHeight="1">
      <c r="A30" s="2">
        <v>30</v>
      </c>
      <c r="B30" s="2" t="s">
        <v>119</v>
      </c>
      <c r="C30" s="2" t="s">
        <v>90</v>
      </c>
      <c r="D30" s="2" t="s">
        <v>77</v>
      </c>
      <c r="E30" s="2" t="s">
        <v>91</v>
      </c>
      <c r="F30" s="2" t="s">
        <v>92</v>
      </c>
      <c r="G30" s="2"/>
      <c r="H30" s="2" t="s">
        <v>87</v>
      </c>
      <c r="I30" s="2" t="s">
        <v>93</v>
      </c>
      <c r="J30" s="2" t="s">
        <v>136</v>
      </c>
      <c r="K30" s="2" t="s">
        <v>89</v>
      </c>
      <c r="L30" s="2">
        <v>0</v>
      </c>
    </row>
    <row r="31" spans="1:12" ht="36" customHeight="1">
      <c r="A31" s="2">
        <v>31</v>
      </c>
      <c r="B31" s="2" t="s">
        <v>119</v>
      </c>
      <c r="C31" s="2" t="s">
        <v>94</v>
      </c>
      <c r="D31" s="2" t="s">
        <v>77</v>
      </c>
      <c r="E31" s="2" t="s">
        <v>95</v>
      </c>
      <c r="F31" s="2" t="s">
        <v>96</v>
      </c>
      <c r="G31" s="2"/>
      <c r="H31" s="2" t="s">
        <v>87</v>
      </c>
      <c r="I31" s="2" t="s">
        <v>97</v>
      </c>
      <c r="J31" s="2" t="s">
        <v>136</v>
      </c>
      <c r="K31" s="2" t="s">
        <v>98</v>
      </c>
      <c r="L31" s="2">
        <v>0</v>
      </c>
    </row>
    <row r="32" spans="1:12" ht="36" customHeight="1">
      <c r="A32" s="2">
        <v>32</v>
      </c>
      <c r="B32" s="2" t="s">
        <v>119</v>
      </c>
      <c r="C32" s="2" t="s">
        <v>99</v>
      </c>
      <c r="D32" s="2" t="s">
        <v>77</v>
      </c>
      <c r="E32" s="2" t="s">
        <v>100</v>
      </c>
      <c r="F32" s="2" t="s">
        <v>101</v>
      </c>
      <c r="G32" s="2"/>
      <c r="H32" s="2" t="s">
        <v>22</v>
      </c>
      <c r="I32" s="2" t="s">
        <v>93</v>
      </c>
      <c r="J32" s="2" t="s">
        <v>136</v>
      </c>
      <c r="K32" s="2" t="s">
        <v>102</v>
      </c>
      <c r="L32" s="2">
        <v>0</v>
      </c>
    </row>
    <row r="33" spans="1:12" ht="36" customHeight="1">
      <c r="A33" s="2">
        <v>33</v>
      </c>
      <c r="B33" s="2" t="s">
        <v>119</v>
      </c>
      <c r="C33" s="2" t="s">
        <v>103</v>
      </c>
      <c r="D33" s="2"/>
      <c r="E33" s="2" t="s">
        <v>103</v>
      </c>
      <c r="F33" s="2" t="s">
        <v>104</v>
      </c>
      <c r="G33" s="2">
        <v>1</v>
      </c>
      <c r="H33" s="2" t="s">
        <v>105</v>
      </c>
      <c r="I33" s="2" t="s">
        <v>106</v>
      </c>
      <c r="J33" s="2" t="s">
        <v>137</v>
      </c>
      <c r="K33" s="2" t="s">
        <v>108</v>
      </c>
      <c r="L33" s="2">
        <v>0</v>
      </c>
    </row>
    <row r="34" spans="1:12" ht="36" customHeight="1">
      <c r="A34" s="2">
        <v>34</v>
      </c>
      <c r="B34" s="2" t="s">
        <v>119</v>
      </c>
      <c r="C34" s="2" t="s">
        <v>109</v>
      </c>
      <c r="D34" s="2"/>
      <c r="E34" s="2" t="s">
        <v>109</v>
      </c>
      <c r="F34" s="2" t="s">
        <v>110</v>
      </c>
      <c r="G34" s="2">
        <v>1</v>
      </c>
      <c r="H34" s="2" t="s">
        <v>111</v>
      </c>
      <c r="I34" s="2" t="s">
        <v>112</v>
      </c>
      <c r="J34" s="2" t="s">
        <v>113</v>
      </c>
      <c r="K34" s="2" t="s">
        <v>114</v>
      </c>
      <c r="L34" s="2">
        <v>0</v>
      </c>
    </row>
    <row r="35" spans="1:12" ht="36" customHeight="1">
      <c r="A35" s="2">
        <v>35</v>
      </c>
      <c r="B35" s="2" t="s">
        <v>119</v>
      </c>
      <c r="C35" s="2" t="s">
        <v>115</v>
      </c>
      <c r="D35" s="2"/>
      <c r="E35" s="2" t="s">
        <v>138</v>
      </c>
      <c r="F35" s="2" t="s">
        <v>117</v>
      </c>
      <c r="G35" s="2"/>
      <c r="H35" s="2"/>
      <c r="I35" s="2" t="s">
        <v>112</v>
      </c>
      <c r="J35" s="2" t="s">
        <v>121</v>
      </c>
      <c r="K35" s="2" t="s">
        <v>118</v>
      </c>
      <c r="L35" s="2">
        <v>14</v>
      </c>
    </row>
    <row r="36" spans="1:12" ht="36" customHeight="1">
      <c r="A36" s="2">
        <v>36</v>
      </c>
      <c r="B36" s="2" t="s">
        <v>139</v>
      </c>
      <c r="C36" s="2" t="s">
        <v>1</v>
      </c>
      <c r="D36" s="2"/>
      <c r="E36" s="2" t="s">
        <v>139</v>
      </c>
      <c r="F36" s="2" t="s">
        <v>140</v>
      </c>
      <c r="G36" s="2">
        <v>1</v>
      </c>
      <c r="H36" s="2" t="s">
        <v>14</v>
      </c>
      <c r="I36" s="2" t="s">
        <v>15</v>
      </c>
      <c r="J36" s="2" t="s">
        <v>141</v>
      </c>
      <c r="K36" s="2" t="s">
        <v>17</v>
      </c>
      <c r="L36" s="2">
        <v>0</v>
      </c>
    </row>
    <row r="37" spans="1:12" ht="36" customHeight="1">
      <c r="A37" s="2">
        <v>37</v>
      </c>
      <c r="B37" s="2" t="s">
        <v>139</v>
      </c>
      <c r="C37" s="2" t="s">
        <v>18</v>
      </c>
      <c r="D37" s="2" t="s">
        <v>19</v>
      </c>
      <c r="E37" s="2" t="s">
        <v>20</v>
      </c>
      <c r="F37" s="2" t="s">
        <v>21</v>
      </c>
      <c r="G37" s="2">
        <v>1</v>
      </c>
      <c r="H37" s="2" t="s">
        <v>22</v>
      </c>
      <c r="I37" s="2" t="s">
        <v>23</v>
      </c>
      <c r="J37" s="2" t="s">
        <v>24</v>
      </c>
      <c r="K37" s="2" t="s">
        <v>122</v>
      </c>
      <c r="L37" s="2">
        <v>0</v>
      </c>
    </row>
    <row r="38" spans="1:12" ht="36" customHeight="1">
      <c r="A38" s="2">
        <v>38</v>
      </c>
      <c r="B38" s="2" t="s">
        <v>139</v>
      </c>
      <c r="C38" s="2" t="s">
        <v>26</v>
      </c>
      <c r="D38" s="2" t="s">
        <v>37</v>
      </c>
      <c r="E38" s="2" t="s">
        <v>124</v>
      </c>
      <c r="F38" s="2" t="s">
        <v>39</v>
      </c>
      <c r="G38" s="2">
        <v>1</v>
      </c>
      <c r="H38" s="2" t="s">
        <v>22</v>
      </c>
      <c r="I38" s="2" t="s">
        <v>30</v>
      </c>
      <c r="J38" s="2" t="s">
        <v>141</v>
      </c>
      <c r="K38" s="2" t="s">
        <v>142</v>
      </c>
      <c r="L38" s="2">
        <v>0</v>
      </c>
    </row>
    <row r="39" spans="1:12" ht="36" customHeight="1">
      <c r="A39" s="2">
        <v>39</v>
      </c>
      <c r="B39" s="2" t="s">
        <v>139</v>
      </c>
      <c r="C39" s="2" t="s">
        <v>32</v>
      </c>
      <c r="D39" s="2" t="s">
        <v>127</v>
      </c>
      <c r="E39" s="2" t="s">
        <v>34</v>
      </c>
      <c r="F39" s="2" t="s">
        <v>128</v>
      </c>
      <c r="G39" s="2">
        <v>2</v>
      </c>
      <c r="H39" s="2" t="s">
        <v>22</v>
      </c>
      <c r="I39" s="2" t="s">
        <v>30</v>
      </c>
      <c r="J39" s="2" t="s">
        <v>141</v>
      </c>
      <c r="K39" s="2" t="s">
        <v>129</v>
      </c>
      <c r="L39" s="2">
        <v>2</v>
      </c>
    </row>
    <row r="40" spans="1:12" ht="36" customHeight="1">
      <c r="A40" s="2">
        <v>40</v>
      </c>
      <c r="B40" s="2" t="s">
        <v>139</v>
      </c>
      <c r="C40" s="2" t="s">
        <v>50</v>
      </c>
      <c r="D40" s="2" t="s">
        <v>130</v>
      </c>
      <c r="E40" s="2" t="s">
        <v>52</v>
      </c>
      <c r="F40" s="2" t="s">
        <v>131</v>
      </c>
      <c r="G40" s="2">
        <v>4</v>
      </c>
      <c r="H40" s="2" t="s">
        <v>22</v>
      </c>
      <c r="I40" s="2" t="s">
        <v>30</v>
      </c>
      <c r="J40" s="2" t="s">
        <v>141</v>
      </c>
      <c r="K40" s="2" t="s">
        <v>143</v>
      </c>
      <c r="L40" s="2">
        <v>8</v>
      </c>
    </row>
    <row r="41" spans="1:12" ht="36" customHeight="1">
      <c r="A41" s="2">
        <v>41</v>
      </c>
      <c r="B41" s="2" t="s">
        <v>139</v>
      </c>
      <c r="C41" s="2" t="s">
        <v>32</v>
      </c>
      <c r="D41" s="2" t="s">
        <v>144</v>
      </c>
      <c r="E41" s="2" t="s">
        <v>34</v>
      </c>
      <c r="F41" s="2" t="s">
        <v>145</v>
      </c>
      <c r="G41" s="2">
        <v>1</v>
      </c>
      <c r="H41" s="2" t="s">
        <v>22</v>
      </c>
      <c r="I41" s="2" t="s">
        <v>30</v>
      </c>
      <c r="J41" s="2" t="s">
        <v>141</v>
      </c>
      <c r="K41" s="2" t="s">
        <v>146</v>
      </c>
      <c r="L41" s="2">
        <v>3</v>
      </c>
    </row>
    <row r="42" spans="1:12" ht="36" customHeight="1">
      <c r="A42" s="2">
        <v>42</v>
      </c>
      <c r="B42" s="2" t="s">
        <v>139</v>
      </c>
      <c r="C42" s="2" t="s">
        <v>32</v>
      </c>
      <c r="D42" s="2" t="s">
        <v>44</v>
      </c>
      <c r="E42" s="2" t="s">
        <v>34</v>
      </c>
      <c r="F42" s="2" t="s">
        <v>147</v>
      </c>
      <c r="G42" s="2">
        <v>2</v>
      </c>
      <c r="H42" s="2" t="s">
        <v>22</v>
      </c>
      <c r="I42" s="2" t="s">
        <v>30</v>
      </c>
      <c r="J42" s="2" t="s">
        <v>141</v>
      </c>
      <c r="K42" s="2" t="s">
        <v>148</v>
      </c>
      <c r="L42" s="2">
        <v>6</v>
      </c>
    </row>
    <row r="43" spans="1:12" ht="36" customHeight="1">
      <c r="A43" s="2">
        <v>43</v>
      </c>
      <c r="B43" s="2" t="s">
        <v>139</v>
      </c>
      <c r="C43" s="2" t="s">
        <v>32</v>
      </c>
      <c r="D43" s="2" t="s">
        <v>149</v>
      </c>
      <c r="E43" s="2" t="s">
        <v>34</v>
      </c>
      <c r="F43" s="2" t="s">
        <v>150</v>
      </c>
      <c r="G43" s="2">
        <v>1</v>
      </c>
      <c r="H43" s="2" t="s">
        <v>22</v>
      </c>
      <c r="I43" s="2" t="s">
        <v>30</v>
      </c>
      <c r="J43" s="2" t="s">
        <v>141</v>
      </c>
      <c r="K43" s="2" t="s">
        <v>151</v>
      </c>
      <c r="L43" s="2">
        <v>3</v>
      </c>
    </row>
    <row r="44" spans="1:12" ht="36" customHeight="1">
      <c r="A44" s="2">
        <v>44</v>
      </c>
      <c r="B44" s="2" t="s">
        <v>139</v>
      </c>
      <c r="C44" s="2" t="s">
        <v>50</v>
      </c>
      <c r="D44" s="2" t="s">
        <v>152</v>
      </c>
      <c r="E44" s="2" t="s">
        <v>52</v>
      </c>
      <c r="F44" s="2" t="s">
        <v>153</v>
      </c>
      <c r="G44" s="2">
        <v>2</v>
      </c>
      <c r="H44" s="2" t="s">
        <v>22</v>
      </c>
      <c r="I44" s="2" t="s">
        <v>30</v>
      </c>
      <c r="J44" s="2" t="s">
        <v>141</v>
      </c>
      <c r="K44" s="2" t="s">
        <v>154</v>
      </c>
      <c r="L44" s="2">
        <v>8</v>
      </c>
    </row>
    <row r="45" spans="1:12" ht="36" customHeight="1">
      <c r="A45" s="2">
        <v>45</v>
      </c>
      <c r="B45" s="2" t="s">
        <v>139</v>
      </c>
      <c r="C45" s="2" t="s">
        <v>32</v>
      </c>
      <c r="D45" s="2" t="s">
        <v>155</v>
      </c>
      <c r="E45" s="2" t="s">
        <v>34</v>
      </c>
      <c r="F45" s="2" t="s">
        <v>156</v>
      </c>
      <c r="G45" s="2">
        <v>1</v>
      </c>
      <c r="H45" s="2" t="s">
        <v>22</v>
      </c>
      <c r="I45" s="2" t="s">
        <v>30</v>
      </c>
      <c r="J45" s="2" t="s">
        <v>141</v>
      </c>
      <c r="K45" s="2" t="s">
        <v>157</v>
      </c>
      <c r="L45" s="2">
        <v>1</v>
      </c>
    </row>
    <row r="46" spans="1:12" ht="36" customHeight="1">
      <c r="A46" s="2">
        <v>46</v>
      </c>
      <c r="B46" s="2" t="s">
        <v>139</v>
      </c>
      <c r="C46" s="2" t="s">
        <v>32</v>
      </c>
      <c r="D46" s="2" t="s">
        <v>158</v>
      </c>
      <c r="E46" s="2" t="s">
        <v>34</v>
      </c>
      <c r="F46" s="2" t="s">
        <v>159</v>
      </c>
      <c r="G46" s="2">
        <v>2</v>
      </c>
      <c r="H46" s="2" t="s">
        <v>22</v>
      </c>
      <c r="I46" s="2" t="s">
        <v>30</v>
      </c>
      <c r="J46" s="2" t="s">
        <v>141</v>
      </c>
      <c r="K46" s="2" t="s">
        <v>160</v>
      </c>
      <c r="L46" s="2">
        <v>2</v>
      </c>
    </row>
    <row r="47" spans="1:12" ht="36" customHeight="1">
      <c r="A47" s="2">
        <v>47</v>
      </c>
      <c r="B47" s="2" t="s">
        <v>139</v>
      </c>
      <c r="C47" s="2" t="s">
        <v>32</v>
      </c>
      <c r="D47" s="2" t="s">
        <v>127</v>
      </c>
      <c r="E47" s="2" t="s">
        <v>34</v>
      </c>
      <c r="F47" s="2" t="s">
        <v>128</v>
      </c>
      <c r="G47" s="2">
        <v>1</v>
      </c>
      <c r="H47" s="2" t="s">
        <v>22</v>
      </c>
      <c r="I47" s="2" t="s">
        <v>30</v>
      </c>
      <c r="J47" s="2" t="s">
        <v>141</v>
      </c>
      <c r="K47" s="2" t="s">
        <v>161</v>
      </c>
      <c r="L47" s="2">
        <v>1</v>
      </c>
    </row>
    <row r="48" spans="1:12" ht="36" customHeight="1">
      <c r="A48" s="2">
        <v>48</v>
      </c>
      <c r="B48" s="2" t="s">
        <v>139</v>
      </c>
      <c r="C48" s="2" t="s">
        <v>162</v>
      </c>
      <c r="D48" s="2" t="s">
        <v>163</v>
      </c>
      <c r="E48" s="2" t="s">
        <v>164</v>
      </c>
      <c r="F48" s="2" t="s">
        <v>165</v>
      </c>
      <c r="G48" s="2">
        <v>4</v>
      </c>
      <c r="H48" s="2" t="s">
        <v>22</v>
      </c>
      <c r="I48" s="2" t="s">
        <v>30</v>
      </c>
      <c r="J48" s="2" t="s">
        <v>141</v>
      </c>
      <c r="K48" s="2" t="s">
        <v>166</v>
      </c>
      <c r="L48" s="2">
        <v>4</v>
      </c>
    </row>
    <row r="49" spans="1:12" ht="36" customHeight="1">
      <c r="A49" s="2">
        <v>49</v>
      </c>
      <c r="B49" s="2" t="s">
        <v>139</v>
      </c>
      <c r="C49" s="2" t="s">
        <v>76</v>
      </c>
      <c r="D49" s="2" t="s">
        <v>77</v>
      </c>
      <c r="E49" s="2" t="s">
        <v>78</v>
      </c>
      <c r="F49" s="2" t="s">
        <v>79</v>
      </c>
      <c r="G49" s="2"/>
      <c r="H49" s="2" t="s">
        <v>22</v>
      </c>
      <c r="I49" s="2" t="s">
        <v>80</v>
      </c>
      <c r="J49" s="2" t="s">
        <v>167</v>
      </c>
      <c r="K49" s="2" t="s">
        <v>82</v>
      </c>
      <c r="L49" s="2">
        <v>0</v>
      </c>
    </row>
    <row r="50" spans="1:12" ht="36" customHeight="1">
      <c r="A50" s="2">
        <v>50</v>
      </c>
      <c r="B50" s="2" t="s">
        <v>139</v>
      </c>
      <c r="C50" s="2" t="s">
        <v>83</v>
      </c>
      <c r="D50" s="2" t="s">
        <v>84</v>
      </c>
      <c r="E50" s="2" t="s">
        <v>85</v>
      </c>
      <c r="F50" s="2" t="s">
        <v>86</v>
      </c>
      <c r="G50" s="2"/>
      <c r="H50" s="2" t="s">
        <v>87</v>
      </c>
      <c r="I50" s="2" t="s">
        <v>88</v>
      </c>
      <c r="J50" s="2" t="s">
        <v>167</v>
      </c>
      <c r="K50" s="2" t="s">
        <v>89</v>
      </c>
      <c r="L50" s="2">
        <v>0</v>
      </c>
    </row>
    <row r="51" spans="1:12" ht="36" customHeight="1">
      <c r="A51" s="2">
        <v>51</v>
      </c>
      <c r="B51" s="2" t="s">
        <v>139</v>
      </c>
      <c r="C51" s="2" t="s">
        <v>90</v>
      </c>
      <c r="D51" s="2" t="s">
        <v>77</v>
      </c>
      <c r="E51" s="2" t="s">
        <v>91</v>
      </c>
      <c r="F51" s="2" t="s">
        <v>92</v>
      </c>
      <c r="G51" s="2"/>
      <c r="H51" s="2" t="s">
        <v>87</v>
      </c>
      <c r="I51" s="2" t="s">
        <v>93</v>
      </c>
      <c r="J51" s="2" t="s">
        <v>167</v>
      </c>
      <c r="K51" s="2" t="s">
        <v>89</v>
      </c>
      <c r="L51" s="2">
        <v>0</v>
      </c>
    </row>
    <row r="52" spans="1:12" ht="36" customHeight="1">
      <c r="A52" s="2">
        <v>52</v>
      </c>
      <c r="B52" s="2" t="s">
        <v>139</v>
      </c>
      <c r="C52" s="2" t="s">
        <v>94</v>
      </c>
      <c r="D52" s="2" t="s">
        <v>77</v>
      </c>
      <c r="E52" s="2" t="s">
        <v>95</v>
      </c>
      <c r="F52" s="2" t="s">
        <v>96</v>
      </c>
      <c r="G52" s="2"/>
      <c r="H52" s="2" t="s">
        <v>87</v>
      </c>
      <c r="I52" s="2" t="s">
        <v>97</v>
      </c>
      <c r="J52" s="2" t="s">
        <v>167</v>
      </c>
      <c r="K52" s="2" t="s">
        <v>98</v>
      </c>
      <c r="L52" s="2">
        <v>0</v>
      </c>
    </row>
    <row r="53" spans="1:12" ht="36" customHeight="1">
      <c r="A53" s="2">
        <v>53</v>
      </c>
      <c r="B53" s="2" t="s">
        <v>139</v>
      </c>
      <c r="C53" s="2" t="s">
        <v>99</v>
      </c>
      <c r="D53" s="2" t="s">
        <v>77</v>
      </c>
      <c r="E53" s="2" t="s">
        <v>100</v>
      </c>
      <c r="F53" s="2" t="s">
        <v>101</v>
      </c>
      <c r="G53" s="2"/>
      <c r="H53" s="2" t="s">
        <v>22</v>
      </c>
      <c r="I53" s="2" t="s">
        <v>93</v>
      </c>
      <c r="J53" s="2" t="s">
        <v>167</v>
      </c>
      <c r="K53" s="2" t="s">
        <v>102</v>
      </c>
      <c r="L53" s="2">
        <v>0</v>
      </c>
    </row>
    <row r="54" spans="1:12" ht="36" customHeight="1">
      <c r="A54" s="2">
        <v>54</v>
      </c>
      <c r="B54" s="2" t="s">
        <v>139</v>
      </c>
      <c r="C54" s="2" t="s">
        <v>103</v>
      </c>
      <c r="D54" s="2"/>
      <c r="E54" s="2" t="s">
        <v>103</v>
      </c>
      <c r="F54" s="2" t="s">
        <v>104</v>
      </c>
      <c r="G54" s="2">
        <v>1</v>
      </c>
      <c r="H54" s="2" t="s">
        <v>105</v>
      </c>
      <c r="I54" s="2" t="s">
        <v>106</v>
      </c>
      <c r="J54" s="2" t="s">
        <v>168</v>
      </c>
      <c r="K54" s="2" t="s">
        <v>108</v>
      </c>
      <c r="L54" s="2">
        <v>0</v>
      </c>
    </row>
    <row r="55" spans="1:12" ht="36" customHeight="1">
      <c r="A55" s="2">
        <v>55</v>
      </c>
      <c r="B55" s="2" t="s">
        <v>139</v>
      </c>
      <c r="C55" s="2" t="s">
        <v>109</v>
      </c>
      <c r="D55" s="2"/>
      <c r="E55" s="2" t="s">
        <v>109</v>
      </c>
      <c r="F55" s="2" t="s">
        <v>110</v>
      </c>
      <c r="G55" s="2">
        <v>1</v>
      </c>
      <c r="H55" s="2" t="s">
        <v>111</v>
      </c>
      <c r="I55" s="2" t="s">
        <v>112</v>
      </c>
      <c r="J55" s="2" t="s">
        <v>113</v>
      </c>
      <c r="K55" s="2" t="s">
        <v>114</v>
      </c>
      <c r="L55" s="2">
        <v>0</v>
      </c>
    </row>
    <row r="56" spans="1:12" ht="36" customHeight="1">
      <c r="A56" s="2">
        <v>56</v>
      </c>
      <c r="B56" s="2" t="s">
        <v>139</v>
      </c>
      <c r="C56" s="2" t="s">
        <v>115</v>
      </c>
      <c r="D56" s="2"/>
      <c r="E56" s="2" t="s">
        <v>169</v>
      </c>
      <c r="F56" s="2" t="s">
        <v>117</v>
      </c>
      <c r="G56" s="2"/>
      <c r="H56" s="2"/>
      <c r="I56" s="2" t="s">
        <v>112</v>
      </c>
      <c r="J56" s="2" t="s">
        <v>141</v>
      </c>
      <c r="K56" s="2" t="s">
        <v>118</v>
      </c>
      <c r="L56" s="2">
        <v>38</v>
      </c>
    </row>
    <row r="57" spans="1:12" ht="36" customHeight="1">
      <c r="A57" s="2">
        <v>57</v>
      </c>
      <c r="B57" s="2" t="s">
        <v>170</v>
      </c>
      <c r="C57" s="2" t="s">
        <v>1</v>
      </c>
      <c r="D57" s="2"/>
      <c r="E57" s="2" t="s">
        <v>170</v>
      </c>
      <c r="F57" s="2" t="s">
        <v>171</v>
      </c>
      <c r="G57" s="2">
        <v>1</v>
      </c>
      <c r="H57" s="2" t="s">
        <v>14</v>
      </c>
      <c r="I57" s="2" t="s">
        <v>15</v>
      </c>
      <c r="J57" s="2" t="s">
        <v>172</v>
      </c>
      <c r="K57" s="2" t="s">
        <v>17</v>
      </c>
      <c r="L57" s="2">
        <v>0</v>
      </c>
    </row>
    <row r="58" spans="1:12" ht="36" customHeight="1">
      <c r="A58" s="2">
        <v>58</v>
      </c>
      <c r="B58" s="2" t="s">
        <v>170</v>
      </c>
      <c r="C58" s="2" t="s">
        <v>18</v>
      </c>
      <c r="D58" s="2" t="s">
        <v>19</v>
      </c>
      <c r="E58" s="2" t="s">
        <v>20</v>
      </c>
      <c r="F58" s="2" t="s">
        <v>21</v>
      </c>
      <c r="G58" s="2">
        <v>1</v>
      </c>
      <c r="H58" s="2" t="s">
        <v>22</v>
      </c>
      <c r="I58" s="2" t="s">
        <v>23</v>
      </c>
      <c r="J58" s="2" t="s">
        <v>24</v>
      </c>
      <c r="K58" s="2" t="s">
        <v>122</v>
      </c>
      <c r="L58" s="2">
        <v>0</v>
      </c>
    </row>
    <row r="59" spans="1:12" ht="36" customHeight="1">
      <c r="A59" s="2">
        <v>59</v>
      </c>
      <c r="B59" s="2" t="s">
        <v>170</v>
      </c>
      <c r="C59" s="2" t="s">
        <v>32</v>
      </c>
      <c r="D59" s="2" t="s">
        <v>33</v>
      </c>
      <c r="E59" s="2" t="s">
        <v>124</v>
      </c>
      <c r="F59" s="2" t="s">
        <v>35</v>
      </c>
      <c r="G59" s="2">
        <v>1</v>
      </c>
      <c r="H59" s="2" t="s">
        <v>22</v>
      </c>
      <c r="I59" s="2" t="s">
        <v>30</v>
      </c>
      <c r="J59" s="2" t="s">
        <v>172</v>
      </c>
      <c r="K59" s="2" t="s">
        <v>126</v>
      </c>
      <c r="L59" s="2">
        <v>3</v>
      </c>
    </row>
    <row r="60" spans="1:12" ht="36" customHeight="1">
      <c r="A60" s="2">
        <v>60</v>
      </c>
      <c r="B60" s="2" t="s">
        <v>170</v>
      </c>
      <c r="C60" s="2" t="s">
        <v>32</v>
      </c>
      <c r="D60" s="2" t="s">
        <v>127</v>
      </c>
      <c r="E60" s="2" t="s">
        <v>34</v>
      </c>
      <c r="F60" s="2" t="s">
        <v>128</v>
      </c>
      <c r="G60" s="2">
        <v>2</v>
      </c>
      <c r="H60" s="2" t="s">
        <v>22</v>
      </c>
      <c r="I60" s="2" t="s">
        <v>30</v>
      </c>
      <c r="J60" s="2" t="s">
        <v>172</v>
      </c>
      <c r="K60" s="2" t="s">
        <v>129</v>
      </c>
      <c r="L60" s="2">
        <v>2</v>
      </c>
    </row>
    <row r="61" spans="1:12" ht="36" customHeight="1">
      <c r="A61" s="2">
        <v>61</v>
      </c>
      <c r="B61" s="2" t="s">
        <v>170</v>
      </c>
      <c r="C61" s="2" t="s">
        <v>50</v>
      </c>
      <c r="D61" s="2" t="s">
        <v>130</v>
      </c>
      <c r="E61" s="2" t="s">
        <v>52</v>
      </c>
      <c r="F61" s="2" t="s">
        <v>131</v>
      </c>
      <c r="G61" s="2">
        <v>9</v>
      </c>
      <c r="H61" s="2" t="s">
        <v>22</v>
      </c>
      <c r="I61" s="2" t="s">
        <v>30</v>
      </c>
      <c r="J61" s="2" t="s">
        <v>172</v>
      </c>
      <c r="K61" s="2" t="s">
        <v>173</v>
      </c>
      <c r="L61" s="2">
        <v>18</v>
      </c>
    </row>
    <row r="62" spans="1:12" ht="36" customHeight="1">
      <c r="A62" s="2">
        <v>62</v>
      </c>
      <c r="B62" s="2" t="s">
        <v>170</v>
      </c>
      <c r="C62" s="2" t="s">
        <v>32</v>
      </c>
      <c r="D62" s="2" t="s">
        <v>158</v>
      </c>
      <c r="E62" s="2" t="s">
        <v>34</v>
      </c>
      <c r="F62" s="2" t="s">
        <v>159</v>
      </c>
      <c r="G62" s="2">
        <v>1</v>
      </c>
      <c r="H62" s="2" t="s">
        <v>22</v>
      </c>
      <c r="I62" s="2" t="s">
        <v>30</v>
      </c>
      <c r="J62" s="2" t="s">
        <v>172</v>
      </c>
      <c r="K62" s="2" t="s">
        <v>174</v>
      </c>
      <c r="L62" s="2">
        <v>1</v>
      </c>
    </row>
    <row r="63" spans="1:12" ht="36" customHeight="1">
      <c r="A63" s="2">
        <v>63</v>
      </c>
      <c r="B63" s="2" t="s">
        <v>170</v>
      </c>
      <c r="C63" s="2" t="s">
        <v>32</v>
      </c>
      <c r="D63" s="2" t="s">
        <v>175</v>
      </c>
      <c r="E63" s="2" t="s">
        <v>176</v>
      </c>
      <c r="F63" s="2" t="s">
        <v>177</v>
      </c>
      <c r="G63" s="2">
        <v>1</v>
      </c>
      <c r="H63" s="2" t="s">
        <v>22</v>
      </c>
      <c r="I63" s="2" t="s">
        <v>30</v>
      </c>
      <c r="J63" s="2" t="s">
        <v>172</v>
      </c>
      <c r="K63" s="2" t="s">
        <v>178</v>
      </c>
      <c r="L63" s="2">
        <v>1</v>
      </c>
    </row>
    <row r="64" spans="1:12" ht="36" customHeight="1">
      <c r="A64" s="2">
        <v>64</v>
      </c>
      <c r="B64" s="2" t="s">
        <v>170</v>
      </c>
      <c r="C64" s="2" t="s">
        <v>76</v>
      </c>
      <c r="D64" s="2" t="s">
        <v>77</v>
      </c>
      <c r="E64" s="2" t="s">
        <v>78</v>
      </c>
      <c r="F64" s="2" t="s">
        <v>79</v>
      </c>
      <c r="G64" s="2"/>
      <c r="H64" s="2" t="s">
        <v>22</v>
      </c>
      <c r="I64" s="2" t="s">
        <v>80</v>
      </c>
      <c r="J64" s="2" t="s">
        <v>179</v>
      </c>
      <c r="K64" s="2" t="s">
        <v>82</v>
      </c>
      <c r="L64" s="2">
        <v>0</v>
      </c>
    </row>
    <row r="65" spans="1:12" ht="36" customHeight="1">
      <c r="A65" s="2">
        <v>65</v>
      </c>
      <c r="B65" s="2" t="s">
        <v>170</v>
      </c>
      <c r="C65" s="2" t="s">
        <v>83</v>
      </c>
      <c r="D65" s="2" t="s">
        <v>84</v>
      </c>
      <c r="E65" s="2" t="s">
        <v>85</v>
      </c>
      <c r="F65" s="2" t="s">
        <v>86</v>
      </c>
      <c r="G65" s="2"/>
      <c r="H65" s="2" t="s">
        <v>87</v>
      </c>
      <c r="I65" s="2" t="s">
        <v>88</v>
      </c>
      <c r="J65" s="2" t="s">
        <v>179</v>
      </c>
      <c r="K65" s="2" t="s">
        <v>89</v>
      </c>
      <c r="L65" s="2">
        <v>0</v>
      </c>
    </row>
    <row r="66" spans="1:12" ht="36" customHeight="1">
      <c r="A66" s="2">
        <v>66</v>
      </c>
      <c r="B66" s="2" t="s">
        <v>170</v>
      </c>
      <c r="C66" s="2" t="s">
        <v>90</v>
      </c>
      <c r="D66" s="2" t="s">
        <v>77</v>
      </c>
      <c r="E66" s="2" t="s">
        <v>91</v>
      </c>
      <c r="F66" s="2" t="s">
        <v>92</v>
      </c>
      <c r="G66" s="2"/>
      <c r="H66" s="2" t="s">
        <v>87</v>
      </c>
      <c r="I66" s="2" t="s">
        <v>93</v>
      </c>
      <c r="J66" s="2" t="s">
        <v>179</v>
      </c>
      <c r="K66" s="2" t="s">
        <v>89</v>
      </c>
      <c r="L66" s="2">
        <v>0</v>
      </c>
    </row>
    <row r="67" spans="1:12" ht="36" customHeight="1">
      <c r="A67" s="2">
        <v>67</v>
      </c>
      <c r="B67" s="2" t="s">
        <v>170</v>
      </c>
      <c r="C67" s="2" t="s">
        <v>94</v>
      </c>
      <c r="D67" s="2" t="s">
        <v>77</v>
      </c>
      <c r="E67" s="2" t="s">
        <v>95</v>
      </c>
      <c r="F67" s="2" t="s">
        <v>96</v>
      </c>
      <c r="G67" s="2"/>
      <c r="H67" s="2" t="s">
        <v>87</v>
      </c>
      <c r="I67" s="2" t="s">
        <v>97</v>
      </c>
      <c r="J67" s="2" t="s">
        <v>179</v>
      </c>
      <c r="K67" s="2" t="s">
        <v>98</v>
      </c>
      <c r="L67" s="2">
        <v>0</v>
      </c>
    </row>
    <row r="68" spans="1:12" ht="36" customHeight="1">
      <c r="A68" s="2">
        <v>68</v>
      </c>
      <c r="B68" s="2" t="s">
        <v>170</v>
      </c>
      <c r="C68" s="2" t="s">
        <v>99</v>
      </c>
      <c r="D68" s="2" t="s">
        <v>77</v>
      </c>
      <c r="E68" s="2" t="s">
        <v>100</v>
      </c>
      <c r="F68" s="2" t="s">
        <v>101</v>
      </c>
      <c r="G68" s="2"/>
      <c r="H68" s="2" t="s">
        <v>22</v>
      </c>
      <c r="I68" s="2" t="s">
        <v>93</v>
      </c>
      <c r="J68" s="2" t="s">
        <v>179</v>
      </c>
      <c r="K68" s="2" t="s">
        <v>102</v>
      </c>
      <c r="L68" s="2">
        <v>0</v>
      </c>
    </row>
    <row r="69" spans="1:12" ht="36" customHeight="1">
      <c r="A69" s="2">
        <v>69</v>
      </c>
      <c r="B69" s="2" t="s">
        <v>170</v>
      </c>
      <c r="C69" s="2" t="s">
        <v>103</v>
      </c>
      <c r="D69" s="2"/>
      <c r="E69" s="2" t="s">
        <v>103</v>
      </c>
      <c r="F69" s="2" t="s">
        <v>104</v>
      </c>
      <c r="G69" s="2">
        <v>1</v>
      </c>
      <c r="H69" s="2" t="s">
        <v>105</v>
      </c>
      <c r="I69" s="2" t="s">
        <v>106</v>
      </c>
      <c r="J69" s="2" t="s">
        <v>180</v>
      </c>
      <c r="K69" s="2" t="s">
        <v>108</v>
      </c>
      <c r="L69" s="2">
        <v>0</v>
      </c>
    </row>
    <row r="70" spans="1:12" ht="36" customHeight="1">
      <c r="A70" s="2">
        <v>70</v>
      </c>
      <c r="B70" s="2" t="s">
        <v>170</v>
      </c>
      <c r="C70" s="2" t="s">
        <v>109</v>
      </c>
      <c r="D70" s="2"/>
      <c r="E70" s="2" t="s">
        <v>109</v>
      </c>
      <c r="F70" s="2" t="s">
        <v>110</v>
      </c>
      <c r="G70" s="2">
        <v>1</v>
      </c>
      <c r="H70" s="2" t="s">
        <v>111</v>
      </c>
      <c r="I70" s="2" t="s">
        <v>112</v>
      </c>
      <c r="J70" s="2" t="s">
        <v>113</v>
      </c>
      <c r="K70" s="2" t="s">
        <v>114</v>
      </c>
      <c r="L70" s="2">
        <v>0</v>
      </c>
    </row>
    <row r="71" spans="1:12" ht="36" customHeight="1">
      <c r="A71" s="2">
        <v>71</v>
      </c>
      <c r="B71" s="2" t="s">
        <v>170</v>
      </c>
      <c r="C71" s="2" t="s">
        <v>115</v>
      </c>
      <c r="D71" s="2"/>
      <c r="E71" s="2" t="s">
        <v>181</v>
      </c>
      <c r="F71" s="2" t="s">
        <v>117</v>
      </c>
      <c r="G71" s="2"/>
      <c r="H71" s="2"/>
      <c r="I71" s="2" t="s">
        <v>112</v>
      </c>
      <c r="J71" s="2" t="s">
        <v>172</v>
      </c>
      <c r="K71" s="2" t="s">
        <v>118</v>
      </c>
      <c r="L71" s="2">
        <v>25</v>
      </c>
    </row>
    <row r="72" spans="1:12" ht="36" customHeight="1">
      <c r="A72" s="2">
        <v>72</v>
      </c>
      <c r="B72" s="2" t="s">
        <v>182</v>
      </c>
      <c r="C72" s="2" t="s">
        <v>1</v>
      </c>
      <c r="D72" s="2"/>
      <c r="E72" s="2" t="s">
        <v>182</v>
      </c>
      <c r="F72" s="2" t="s">
        <v>183</v>
      </c>
      <c r="G72" s="2">
        <v>1</v>
      </c>
      <c r="H72" s="2" t="s">
        <v>14</v>
      </c>
      <c r="I72" s="2" t="s">
        <v>15</v>
      </c>
      <c r="J72" s="2" t="s">
        <v>184</v>
      </c>
      <c r="K72" s="2" t="s">
        <v>17</v>
      </c>
      <c r="L72" s="2">
        <v>0</v>
      </c>
    </row>
    <row r="73" spans="1:12" ht="36" customHeight="1">
      <c r="A73" s="2">
        <v>73</v>
      </c>
      <c r="B73" s="2" t="s">
        <v>182</v>
      </c>
      <c r="C73" s="2" t="s">
        <v>18</v>
      </c>
      <c r="D73" s="2" t="s">
        <v>19</v>
      </c>
      <c r="E73" s="2" t="s">
        <v>20</v>
      </c>
      <c r="F73" s="2" t="s">
        <v>21</v>
      </c>
      <c r="G73" s="2">
        <v>1</v>
      </c>
      <c r="H73" s="2" t="s">
        <v>22</v>
      </c>
      <c r="I73" s="2" t="s">
        <v>23</v>
      </c>
      <c r="J73" s="2" t="s">
        <v>24</v>
      </c>
      <c r="K73" s="2" t="s">
        <v>122</v>
      </c>
      <c r="L73" s="2">
        <v>0</v>
      </c>
    </row>
    <row r="74" spans="1:12" ht="36" customHeight="1">
      <c r="A74" s="2">
        <v>74</v>
      </c>
      <c r="B74" s="2" t="s">
        <v>182</v>
      </c>
      <c r="C74" s="2" t="s">
        <v>32</v>
      </c>
      <c r="D74" s="2" t="s">
        <v>33</v>
      </c>
      <c r="E74" s="2" t="s">
        <v>124</v>
      </c>
      <c r="F74" s="2" t="s">
        <v>35</v>
      </c>
      <c r="G74" s="2">
        <v>1</v>
      </c>
      <c r="H74" s="2" t="s">
        <v>22</v>
      </c>
      <c r="I74" s="2" t="s">
        <v>30</v>
      </c>
      <c r="J74" s="2" t="s">
        <v>184</v>
      </c>
      <c r="K74" s="2" t="s">
        <v>126</v>
      </c>
      <c r="L74" s="2">
        <v>3</v>
      </c>
    </row>
    <row r="75" spans="1:12" ht="36" customHeight="1">
      <c r="A75" s="2">
        <v>75</v>
      </c>
      <c r="B75" s="2" t="s">
        <v>182</v>
      </c>
      <c r="C75" s="2" t="s">
        <v>32</v>
      </c>
      <c r="D75" s="2" t="s">
        <v>127</v>
      </c>
      <c r="E75" s="2" t="s">
        <v>34</v>
      </c>
      <c r="F75" s="2" t="s">
        <v>128</v>
      </c>
      <c r="G75" s="2">
        <v>2</v>
      </c>
      <c r="H75" s="2" t="s">
        <v>22</v>
      </c>
      <c r="I75" s="2" t="s">
        <v>30</v>
      </c>
      <c r="J75" s="2" t="s">
        <v>184</v>
      </c>
      <c r="K75" s="2" t="s">
        <v>129</v>
      </c>
      <c r="L75" s="2">
        <v>2</v>
      </c>
    </row>
    <row r="76" spans="1:12" ht="36" customHeight="1">
      <c r="A76" s="2">
        <v>76</v>
      </c>
      <c r="B76" s="2" t="s">
        <v>182</v>
      </c>
      <c r="C76" s="2" t="s">
        <v>50</v>
      </c>
      <c r="D76" s="2" t="s">
        <v>130</v>
      </c>
      <c r="E76" s="2" t="s">
        <v>52</v>
      </c>
      <c r="F76" s="2" t="s">
        <v>131</v>
      </c>
      <c r="G76" s="2">
        <v>9</v>
      </c>
      <c r="H76" s="2" t="s">
        <v>22</v>
      </c>
      <c r="I76" s="2" t="s">
        <v>30</v>
      </c>
      <c r="J76" s="2" t="s">
        <v>184</v>
      </c>
      <c r="K76" s="2" t="s">
        <v>173</v>
      </c>
      <c r="L76" s="2">
        <v>18</v>
      </c>
    </row>
    <row r="77" spans="1:12" ht="36" customHeight="1">
      <c r="A77" s="2">
        <v>77</v>
      </c>
      <c r="B77" s="2" t="s">
        <v>182</v>
      </c>
      <c r="C77" s="2" t="s">
        <v>32</v>
      </c>
      <c r="D77" s="2" t="s">
        <v>158</v>
      </c>
      <c r="E77" s="2" t="s">
        <v>34</v>
      </c>
      <c r="F77" s="2" t="s">
        <v>159</v>
      </c>
      <c r="G77" s="2">
        <v>1</v>
      </c>
      <c r="H77" s="2" t="s">
        <v>22</v>
      </c>
      <c r="I77" s="2" t="s">
        <v>30</v>
      </c>
      <c r="J77" s="2" t="s">
        <v>184</v>
      </c>
      <c r="K77" s="2" t="s">
        <v>185</v>
      </c>
      <c r="L77" s="2">
        <v>1</v>
      </c>
    </row>
    <row r="78" spans="1:12" ht="36" customHeight="1">
      <c r="A78" s="2">
        <v>78</v>
      </c>
      <c r="B78" s="2" t="s">
        <v>182</v>
      </c>
      <c r="C78" s="2" t="s">
        <v>162</v>
      </c>
      <c r="D78" s="2" t="s">
        <v>163</v>
      </c>
      <c r="E78" s="2" t="s">
        <v>164</v>
      </c>
      <c r="F78" s="2" t="s">
        <v>165</v>
      </c>
      <c r="G78" s="2">
        <v>1</v>
      </c>
      <c r="H78" s="2" t="s">
        <v>22</v>
      </c>
      <c r="I78" s="2" t="s">
        <v>30</v>
      </c>
      <c r="J78" s="2" t="s">
        <v>184</v>
      </c>
      <c r="K78" s="2" t="s">
        <v>186</v>
      </c>
      <c r="L78" s="2">
        <v>1</v>
      </c>
    </row>
    <row r="79" spans="1:12" ht="36" customHeight="1">
      <c r="A79" s="2">
        <v>79</v>
      </c>
      <c r="B79" s="2" t="s">
        <v>182</v>
      </c>
      <c r="C79" s="2" t="s">
        <v>32</v>
      </c>
      <c r="D79" s="2" t="s">
        <v>175</v>
      </c>
      <c r="E79" s="2" t="s">
        <v>176</v>
      </c>
      <c r="F79" s="2" t="s">
        <v>177</v>
      </c>
      <c r="G79" s="2">
        <v>1</v>
      </c>
      <c r="H79" s="2" t="s">
        <v>22</v>
      </c>
      <c r="I79" s="2" t="s">
        <v>30</v>
      </c>
      <c r="J79" s="2" t="s">
        <v>184</v>
      </c>
      <c r="K79" s="2" t="s">
        <v>178</v>
      </c>
      <c r="L79" s="2">
        <v>1</v>
      </c>
    </row>
    <row r="80" spans="1:12" ht="36" customHeight="1">
      <c r="A80" s="2">
        <v>80</v>
      </c>
      <c r="B80" s="2" t="s">
        <v>182</v>
      </c>
      <c r="C80" s="2" t="s">
        <v>76</v>
      </c>
      <c r="D80" s="2" t="s">
        <v>77</v>
      </c>
      <c r="E80" s="2" t="s">
        <v>78</v>
      </c>
      <c r="F80" s="2" t="s">
        <v>79</v>
      </c>
      <c r="G80" s="2"/>
      <c r="H80" s="2" t="s">
        <v>22</v>
      </c>
      <c r="I80" s="2" t="s">
        <v>80</v>
      </c>
      <c r="J80" s="2" t="s">
        <v>187</v>
      </c>
      <c r="K80" s="2" t="s">
        <v>82</v>
      </c>
      <c r="L80" s="2">
        <v>0</v>
      </c>
    </row>
    <row r="81" spans="1:12" ht="36" customHeight="1">
      <c r="A81" s="2">
        <v>81</v>
      </c>
      <c r="B81" s="2" t="s">
        <v>182</v>
      </c>
      <c r="C81" s="2" t="s">
        <v>83</v>
      </c>
      <c r="D81" s="2" t="s">
        <v>84</v>
      </c>
      <c r="E81" s="2" t="s">
        <v>85</v>
      </c>
      <c r="F81" s="2" t="s">
        <v>86</v>
      </c>
      <c r="G81" s="2"/>
      <c r="H81" s="2" t="s">
        <v>87</v>
      </c>
      <c r="I81" s="2" t="s">
        <v>88</v>
      </c>
      <c r="J81" s="2" t="s">
        <v>187</v>
      </c>
      <c r="K81" s="2" t="s">
        <v>89</v>
      </c>
      <c r="L81" s="2">
        <v>0</v>
      </c>
    </row>
    <row r="82" spans="1:12" ht="36" customHeight="1">
      <c r="A82" s="2">
        <v>82</v>
      </c>
      <c r="B82" s="2" t="s">
        <v>182</v>
      </c>
      <c r="C82" s="2" t="s">
        <v>90</v>
      </c>
      <c r="D82" s="2" t="s">
        <v>77</v>
      </c>
      <c r="E82" s="2" t="s">
        <v>91</v>
      </c>
      <c r="F82" s="2" t="s">
        <v>92</v>
      </c>
      <c r="G82" s="2"/>
      <c r="H82" s="2" t="s">
        <v>87</v>
      </c>
      <c r="I82" s="2" t="s">
        <v>93</v>
      </c>
      <c r="J82" s="2" t="s">
        <v>187</v>
      </c>
      <c r="K82" s="2" t="s">
        <v>89</v>
      </c>
      <c r="L82" s="2">
        <v>0</v>
      </c>
    </row>
    <row r="83" spans="1:12" ht="36" customHeight="1">
      <c r="A83" s="2">
        <v>83</v>
      </c>
      <c r="B83" s="2" t="s">
        <v>182</v>
      </c>
      <c r="C83" s="2" t="s">
        <v>94</v>
      </c>
      <c r="D83" s="2" t="s">
        <v>77</v>
      </c>
      <c r="E83" s="2" t="s">
        <v>95</v>
      </c>
      <c r="F83" s="2" t="s">
        <v>96</v>
      </c>
      <c r="G83" s="2"/>
      <c r="H83" s="2" t="s">
        <v>87</v>
      </c>
      <c r="I83" s="2" t="s">
        <v>97</v>
      </c>
      <c r="J83" s="2" t="s">
        <v>187</v>
      </c>
      <c r="K83" s="2" t="s">
        <v>98</v>
      </c>
      <c r="L83" s="2">
        <v>0</v>
      </c>
    </row>
    <row r="84" spans="1:12" ht="36" customHeight="1">
      <c r="A84" s="2">
        <v>84</v>
      </c>
      <c r="B84" s="2" t="s">
        <v>182</v>
      </c>
      <c r="C84" s="2" t="s">
        <v>99</v>
      </c>
      <c r="D84" s="2" t="s">
        <v>77</v>
      </c>
      <c r="E84" s="2" t="s">
        <v>100</v>
      </c>
      <c r="F84" s="2" t="s">
        <v>101</v>
      </c>
      <c r="G84" s="2"/>
      <c r="H84" s="2" t="s">
        <v>22</v>
      </c>
      <c r="I84" s="2" t="s">
        <v>93</v>
      </c>
      <c r="J84" s="2" t="s">
        <v>187</v>
      </c>
      <c r="K84" s="2" t="s">
        <v>102</v>
      </c>
      <c r="L84" s="2">
        <v>0</v>
      </c>
    </row>
    <row r="85" spans="1:12" ht="36" customHeight="1">
      <c r="A85" s="2">
        <v>85</v>
      </c>
      <c r="B85" s="2" t="s">
        <v>182</v>
      </c>
      <c r="C85" s="2" t="s">
        <v>103</v>
      </c>
      <c r="D85" s="2"/>
      <c r="E85" s="2" t="s">
        <v>103</v>
      </c>
      <c r="F85" s="2" t="s">
        <v>104</v>
      </c>
      <c r="G85" s="2">
        <v>1</v>
      </c>
      <c r="H85" s="2" t="s">
        <v>105</v>
      </c>
      <c r="I85" s="2" t="s">
        <v>106</v>
      </c>
      <c r="J85" s="2" t="s">
        <v>188</v>
      </c>
      <c r="K85" s="2" t="s">
        <v>108</v>
      </c>
      <c r="L85" s="2">
        <v>0</v>
      </c>
    </row>
    <row r="86" spans="1:12" ht="36" customHeight="1">
      <c r="A86" s="2">
        <v>86</v>
      </c>
      <c r="B86" s="2" t="s">
        <v>182</v>
      </c>
      <c r="C86" s="2" t="s">
        <v>109</v>
      </c>
      <c r="D86" s="2"/>
      <c r="E86" s="2" t="s">
        <v>109</v>
      </c>
      <c r="F86" s="2" t="s">
        <v>110</v>
      </c>
      <c r="G86" s="2">
        <v>1</v>
      </c>
      <c r="H86" s="2" t="s">
        <v>111</v>
      </c>
      <c r="I86" s="2" t="s">
        <v>112</v>
      </c>
      <c r="J86" s="2" t="s">
        <v>113</v>
      </c>
      <c r="K86" s="2" t="s">
        <v>114</v>
      </c>
      <c r="L86" s="2">
        <v>0</v>
      </c>
    </row>
    <row r="87" spans="1:12" ht="36" customHeight="1">
      <c r="A87" s="2">
        <v>87</v>
      </c>
      <c r="B87" s="2" t="s">
        <v>182</v>
      </c>
      <c r="C87" s="2" t="s">
        <v>115</v>
      </c>
      <c r="D87" s="2"/>
      <c r="E87" s="2" t="s">
        <v>189</v>
      </c>
      <c r="F87" s="2" t="s">
        <v>117</v>
      </c>
      <c r="G87" s="2"/>
      <c r="H87" s="2"/>
      <c r="I87" s="2" t="s">
        <v>112</v>
      </c>
      <c r="J87" s="2" t="s">
        <v>184</v>
      </c>
      <c r="K87" s="2" t="s">
        <v>118</v>
      </c>
      <c r="L87" s="2">
        <v>26</v>
      </c>
    </row>
    <row r="88" spans="1:12" ht="36" customHeight="1">
      <c r="A88" s="2">
        <v>88</v>
      </c>
      <c r="B88" s="2" t="s">
        <v>190</v>
      </c>
      <c r="C88" s="2" t="s">
        <v>1</v>
      </c>
      <c r="D88" s="2"/>
      <c r="E88" s="2" t="s">
        <v>190</v>
      </c>
      <c r="F88" s="2" t="s">
        <v>191</v>
      </c>
      <c r="G88" s="2">
        <v>1</v>
      </c>
      <c r="H88" s="2" t="s">
        <v>14</v>
      </c>
      <c r="I88" s="2" t="s">
        <v>15</v>
      </c>
      <c r="J88" s="2" t="s">
        <v>192</v>
      </c>
      <c r="K88" s="2" t="s">
        <v>17</v>
      </c>
      <c r="L88" s="2">
        <v>0</v>
      </c>
    </row>
    <row r="89" spans="1:12" ht="36" customHeight="1">
      <c r="A89" s="2">
        <v>89</v>
      </c>
      <c r="B89" s="2" t="s">
        <v>190</v>
      </c>
      <c r="C89" s="2" t="s">
        <v>18</v>
      </c>
      <c r="D89" s="2" t="s">
        <v>19</v>
      </c>
      <c r="E89" s="2" t="s">
        <v>20</v>
      </c>
      <c r="F89" s="2" t="s">
        <v>21</v>
      </c>
      <c r="G89" s="2">
        <v>1</v>
      </c>
      <c r="H89" s="2" t="s">
        <v>22</v>
      </c>
      <c r="I89" s="2" t="s">
        <v>23</v>
      </c>
      <c r="J89" s="2" t="s">
        <v>24</v>
      </c>
      <c r="K89" s="2" t="s">
        <v>122</v>
      </c>
      <c r="L89" s="2">
        <v>0</v>
      </c>
    </row>
    <row r="90" spans="1:12" ht="36" customHeight="1">
      <c r="A90" s="2">
        <v>90</v>
      </c>
      <c r="B90" s="2" t="s">
        <v>190</v>
      </c>
      <c r="C90" s="2" t="s">
        <v>32</v>
      </c>
      <c r="D90" s="2" t="s">
        <v>193</v>
      </c>
      <c r="E90" s="2" t="s">
        <v>124</v>
      </c>
      <c r="F90" s="2" t="s">
        <v>194</v>
      </c>
      <c r="G90" s="2">
        <v>1</v>
      </c>
      <c r="H90" s="2" t="s">
        <v>22</v>
      </c>
      <c r="I90" s="2" t="s">
        <v>30</v>
      </c>
      <c r="J90" s="2" t="s">
        <v>192</v>
      </c>
      <c r="K90" s="2" t="s">
        <v>126</v>
      </c>
      <c r="L90" s="2">
        <v>3</v>
      </c>
    </row>
    <row r="91" spans="1:12" ht="36" customHeight="1">
      <c r="A91" s="2">
        <v>91</v>
      </c>
      <c r="B91" s="2" t="s">
        <v>190</v>
      </c>
      <c r="C91" s="2" t="s">
        <v>32</v>
      </c>
      <c r="D91" s="2" t="s">
        <v>127</v>
      </c>
      <c r="E91" s="2" t="s">
        <v>34</v>
      </c>
      <c r="F91" s="2" t="s">
        <v>128</v>
      </c>
      <c r="G91" s="2">
        <v>4</v>
      </c>
      <c r="H91" s="2" t="s">
        <v>22</v>
      </c>
      <c r="I91" s="2" t="s">
        <v>30</v>
      </c>
      <c r="J91" s="2" t="s">
        <v>192</v>
      </c>
      <c r="K91" s="2" t="s">
        <v>195</v>
      </c>
      <c r="L91" s="2">
        <v>4</v>
      </c>
    </row>
    <row r="92" spans="1:12" ht="36" customHeight="1">
      <c r="A92" s="2">
        <v>92</v>
      </c>
      <c r="B92" s="2" t="s">
        <v>190</v>
      </c>
      <c r="C92" s="2" t="s">
        <v>32</v>
      </c>
      <c r="D92" s="2" t="s">
        <v>196</v>
      </c>
      <c r="E92" s="2" t="s">
        <v>34</v>
      </c>
      <c r="F92" s="2" t="s">
        <v>197</v>
      </c>
      <c r="G92" s="2">
        <v>1</v>
      </c>
      <c r="H92" s="2" t="s">
        <v>22</v>
      </c>
      <c r="I92" s="2" t="s">
        <v>30</v>
      </c>
      <c r="J92" s="2" t="s">
        <v>192</v>
      </c>
      <c r="K92" s="2" t="s">
        <v>198</v>
      </c>
      <c r="L92" s="2">
        <v>1</v>
      </c>
    </row>
    <row r="93" spans="1:12" ht="36" customHeight="1">
      <c r="A93" s="2">
        <v>93</v>
      </c>
      <c r="B93" s="2" t="s">
        <v>190</v>
      </c>
      <c r="C93" s="2" t="s">
        <v>32</v>
      </c>
      <c r="D93" s="2" t="s">
        <v>175</v>
      </c>
      <c r="E93" s="2" t="s">
        <v>176</v>
      </c>
      <c r="F93" s="2" t="s">
        <v>177</v>
      </c>
      <c r="G93" s="2">
        <v>3</v>
      </c>
      <c r="H93" s="2" t="s">
        <v>22</v>
      </c>
      <c r="I93" s="2" t="s">
        <v>30</v>
      </c>
      <c r="J93" s="2" t="s">
        <v>192</v>
      </c>
      <c r="K93" s="2" t="s">
        <v>199</v>
      </c>
      <c r="L93" s="2">
        <v>3</v>
      </c>
    </row>
    <row r="94" spans="1:12" ht="36" customHeight="1">
      <c r="A94" s="2">
        <v>94</v>
      </c>
      <c r="B94" s="2" t="s">
        <v>190</v>
      </c>
      <c r="C94" s="2" t="s">
        <v>76</v>
      </c>
      <c r="D94" s="2" t="s">
        <v>77</v>
      </c>
      <c r="E94" s="2" t="s">
        <v>78</v>
      </c>
      <c r="F94" s="2" t="s">
        <v>79</v>
      </c>
      <c r="G94" s="2"/>
      <c r="H94" s="2" t="s">
        <v>22</v>
      </c>
      <c r="I94" s="2" t="s">
        <v>80</v>
      </c>
      <c r="J94" s="2" t="s">
        <v>200</v>
      </c>
      <c r="K94" s="2" t="s">
        <v>82</v>
      </c>
      <c r="L94" s="2">
        <v>0</v>
      </c>
    </row>
    <row r="95" spans="1:12" ht="36" customHeight="1">
      <c r="A95" s="2">
        <v>95</v>
      </c>
      <c r="B95" s="2" t="s">
        <v>190</v>
      </c>
      <c r="C95" s="2" t="s">
        <v>83</v>
      </c>
      <c r="D95" s="2" t="s">
        <v>84</v>
      </c>
      <c r="E95" s="2" t="s">
        <v>85</v>
      </c>
      <c r="F95" s="2" t="s">
        <v>86</v>
      </c>
      <c r="G95" s="2"/>
      <c r="H95" s="2" t="s">
        <v>87</v>
      </c>
      <c r="I95" s="2" t="s">
        <v>88</v>
      </c>
      <c r="J95" s="2" t="s">
        <v>200</v>
      </c>
      <c r="K95" s="2" t="s">
        <v>89</v>
      </c>
      <c r="L95" s="2">
        <v>0</v>
      </c>
    </row>
    <row r="96" spans="1:12" ht="36" customHeight="1">
      <c r="A96" s="2">
        <v>96</v>
      </c>
      <c r="B96" s="2" t="s">
        <v>190</v>
      </c>
      <c r="C96" s="2" t="s">
        <v>90</v>
      </c>
      <c r="D96" s="2" t="s">
        <v>77</v>
      </c>
      <c r="E96" s="2" t="s">
        <v>91</v>
      </c>
      <c r="F96" s="2" t="s">
        <v>92</v>
      </c>
      <c r="G96" s="2"/>
      <c r="H96" s="2" t="s">
        <v>87</v>
      </c>
      <c r="I96" s="2" t="s">
        <v>93</v>
      </c>
      <c r="J96" s="2" t="s">
        <v>200</v>
      </c>
      <c r="K96" s="2" t="s">
        <v>89</v>
      </c>
      <c r="L96" s="2">
        <v>0</v>
      </c>
    </row>
    <row r="97" spans="1:12" ht="36" customHeight="1">
      <c r="A97" s="2">
        <v>97</v>
      </c>
      <c r="B97" s="2" t="s">
        <v>190</v>
      </c>
      <c r="C97" s="2" t="s">
        <v>94</v>
      </c>
      <c r="D97" s="2" t="s">
        <v>77</v>
      </c>
      <c r="E97" s="2" t="s">
        <v>95</v>
      </c>
      <c r="F97" s="2" t="s">
        <v>96</v>
      </c>
      <c r="G97" s="2"/>
      <c r="H97" s="2" t="s">
        <v>87</v>
      </c>
      <c r="I97" s="2" t="s">
        <v>97</v>
      </c>
      <c r="J97" s="2" t="s">
        <v>200</v>
      </c>
      <c r="K97" s="2" t="s">
        <v>98</v>
      </c>
      <c r="L97" s="2">
        <v>0</v>
      </c>
    </row>
    <row r="98" spans="1:12" ht="36" customHeight="1">
      <c r="A98" s="2">
        <v>98</v>
      </c>
      <c r="B98" s="2" t="s">
        <v>190</v>
      </c>
      <c r="C98" s="2" t="s">
        <v>99</v>
      </c>
      <c r="D98" s="2" t="s">
        <v>77</v>
      </c>
      <c r="E98" s="2" t="s">
        <v>100</v>
      </c>
      <c r="F98" s="2" t="s">
        <v>101</v>
      </c>
      <c r="G98" s="2"/>
      <c r="H98" s="2" t="s">
        <v>22</v>
      </c>
      <c r="I98" s="2" t="s">
        <v>93</v>
      </c>
      <c r="J98" s="2" t="s">
        <v>200</v>
      </c>
      <c r="K98" s="2" t="s">
        <v>102</v>
      </c>
      <c r="L98" s="2">
        <v>0</v>
      </c>
    </row>
    <row r="99" spans="1:12" ht="36" customHeight="1">
      <c r="A99" s="2">
        <v>99</v>
      </c>
      <c r="B99" s="2" t="s">
        <v>190</v>
      </c>
      <c r="C99" s="2" t="s">
        <v>103</v>
      </c>
      <c r="D99" s="2"/>
      <c r="E99" s="2" t="s">
        <v>103</v>
      </c>
      <c r="F99" s="2" t="s">
        <v>104</v>
      </c>
      <c r="G99" s="2">
        <v>1</v>
      </c>
      <c r="H99" s="2" t="s">
        <v>105</v>
      </c>
      <c r="I99" s="2" t="s">
        <v>106</v>
      </c>
      <c r="J99" s="2" t="s">
        <v>201</v>
      </c>
      <c r="K99" s="2" t="s">
        <v>108</v>
      </c>
      <c r="L99" s="2">
        <v>0</v>
      </c>
    </row>
    <row r="100" spans="1:12" ht="36" customHeight="1">
      <c r="A100" s="2">
        <v>100</v>
      </c>
      <c r="B100" s="2" t="s">
        <v>190</v>
      </c>
      <c r="C100" s="2" t="s">
        <v>109</v>
      </c>
      <c r="D100" s="2"/>
      <c r="E100" s="2" t="s">
        <v>109</v>
      </c>
      <c r="F100" s="2" t="s">
        <v>110</v>
      </c>
      <c r="G100" s="2">
        <v>1</v>
      </c>
      <c r="H100" s="2" t="s">
        <v>111</v>
      </c>
      <c r="I100" s="2" t="s">
        <v>112</v>
      </c>
      <c r="J100" s="2" t="s">
        <v>113</v>
      </c>
      <c r="K100" s="2" t="s">
        <v>114</v>
      </c>
      <c r="L100" s="2">
        <v>0</v>
      </c>
    </row>
    <row r="101" spans="1:12" ht="36" customHeight="1">
      <c r="A101" s="2">
        <v>101</v>
      </c>
      <c r="B101" s="2" t="s">
        <v>190</v>
      </c>
      <c r="C101" s="2" t="s">
        <v>115</v>
      </c>
      <c r="D101" s="2"/>
      <c r="E101" s="2" t="s">
        <v>202</v>
      </c>
      <c r="F101" s="2" t="s">
        <v>117</v>
      </c>
      <c r="G101" s="2"/>
      <c r="H101" s="2"/>
      <c r="I101" s="2" t="s">
        <v>112</v>
      </c>
      <c r="J101" s="2" t="s">
        <v>192</v>
      </c>
      <c r="K101" s="2" t="s">
        <v>118</v>
      </c>
      <c r="L101" s="2">
        <v>11</v>
      </c>
    </row>
    <row r="102" spans="1:12" ht="36" customHeight="1">
      <c r="A102" s="2">
        <v>102</v>
      </c>
      <c r="B102" s="2" t="s">
        <v>203</v>
      </c>
      <c r="C102" s="2" t="s">
        <v>1</v>
      </c>
      <c r="D102" s="2"/>
      <c r="E102" s="2" t="s">
        <v>203</v>
      </c>
      <c r="F102" s="2" t="s">
        <v>204</v>
      </c>
      <c r="G102" s="2">
        <v>1</v>
      </c>
      <c r="H102" s="2" t="s">
        <v>14</v>
      </c>
      <c r="I102" s="2" t="s">
        <v>15</v>
      </c>
      <c r="J102" s="2" t="s">
        <v>205</v>
      </c>
      <c r="K102" s="2" t="s">
        <v>17</v>
      </c>
      <c r="L102" s="2">
        <v>0</v>
      </c>
    </row>
    <row r="103" spans="1:12" ht="36" customHeight="1">
      <c r="A103" s="2">
        <v>103</v>
      </c>
      <c r="B103" s="2" t="s">
        <v>203</v>
      </c>
      <c r="C103" s="2" t="s">
        <v>18</v>
      </c>
      <c r="D103" s="2" t="s">
        <v>19</v>
      </c>
      <c r="E103" s="2" t="s">
        <v>20</v>
      </c>
      <c r="F103" s="2" t="s">
        <v>21</v>
      </c>
      <c r="G103" s="2">
        <v>1</v>
      </c>
      <c r="H103" s="2" t="s">
        <v>22</v>
      </c>
      <c r="I103" s="2" t="s">
        <v>23</v>
      </c>
      <c r="J103" s="2" t="s">
        <v>24</v>
      </c>
      <c r="K103" s="2" t="s">
        <v>122</v>
      </c>
      <c r="L103" s="2">
        <v>0</v>
      </c>
    </row>
    <row r="104" spans="1:12" ht="36" customHeight="1">
      <c r="A104" s="2">
        <v>104</v>
      </c>
      <c r="B104" s="2" t="s">
        <v>203</v>
      </c>
      <c r="C104" s="2" t="s">
        <v>32</v>
      </c>
      <c r="D104" s="2" t="s">
        <v>206</v>
      </c>
      <c r="E104" s="2" t="s">
        <v>124</v>
      </c>
      <c r="F104" s="2" t="s">
        <v>207</v>
      </c>
      <c r="G104" s="2">
        <v>1</v>
      </c>
      <c r="H104" s="2" t="s">
        <v>22</v>
      </c>
      <c r="I104" s="2" t="s">
        <v>30</v>
      </c>
      <c r="J104" s="2" t="s">
        <v>205</v>
      </c>
      <c r="K104" s="2" t="s">
        <v>126</v>
      </c>
      <c r="L104" s="2">
        <v>3</v>
      </c>
    </row>
    <row r="105" spans="1:12" ht="36" customHeight="1">
      <c r="A105" s="2">
        <v>105</v>
      </c>
      <c r="B105" s="2" t="s">
        <v>203</v>
      </c>
      <c r="C105" s="2" t="s">
        <v>32</v>
      </c>
      <c r="D105" s="2" t="s">
        <v>208</v>
      </c>
      <c r="E105" s="2" t="s">
        <v>34</v>
      </c>
      <c r="F105" s="2" t="s">
        <v>209</v>
      </c>
      <c r="G105" s="2">
        <v>1</v>
      </c>
      <c r="H105" s="2" t="s">
        <v>22</v>
      </c>
      <c r="I105" s="2" t="s">
        <v>30</v>
      </c>
      <c r="J105" s="2" t="s">
        <v>205</v>
      </c>
      <c r="K105" s="2" t="s">
        <v>210</v>
      </c>
      <c r="L105" s="2">
        <v>3</v>
      </c>
    </row>
    <row r="106" spans="1:12" ht="36" customHeight="1">
      <c r="A106" s="2">
        <v>106</v>
      </c>
      <c r="B106" s="2" t="s">
        <v>203</v>
      </c>
      <c r="C106" s="2" t="s">
        <v>32</v>
      </c>
      <c r="D106" s="2" t="s">
        <v>133</v>
      </c>
      <c r="E106" s="2" t="s">
        <v>34</v>
      </c>
      <c r="F106" s="2" t="s">
        <v>134</v>
      </c>
      <c r="G106" s="2">
        <v>2</v>
      </c>
      <c r="H106" s="2" t="s">
        <v>22</v>
      </c>
      <c r="I106" s="2" t="s">
        <v>30</v>
      </c>
      <c r="J106" s="2" t="s">
        <v>205</v>
      </c>
      <c r="K106" s="2" t="s">
        <v>211</v>
      </c>
      <c r="L106" s="2">
        <v>2</v>
      </c>
    </row>
    <row r="107" spans="1:12" ht="36" customHeight="1">
      <c r="A107" s="2">
        <v>107</v>
      </c>
      <c r="B107" s="2" t="s">
        <v>203</v>
      </c>
      <c r="C107" s="2" t="s">
        <v>32</v>
      </c>
      <c r="D107" s="2" t="s">
        <v>158</v>
      </c>
      <c r="E107" s="2" t="s">
        <v>176</v>
      </c>
      <c r="F107" s="2" t="s">
        <v>159</v>
      </c>
      <c r="G107" s="2">
        <v>1</v>
      </c>
      <c r="H107" s="2" t="s">
        <v>22</v>
      </c>
      <c r="I107" s="2" t="s">
        <v>30</v>
      </c>
      <c r="J107" s="2" t="s">
        <v>205</v>
      </c>
      <c r="K107" s="2" t="s">
        <v>212</v>
      </c>
      <c r="L107" s="2">
        <v>1</v>
      </c>
    </row>
    <row r="108" spans="1:12" ht="36" customHeight="1">
      <c r="A108" s="2">
        <v>108</v>
      </c>
      <c r="B108" s="2" t="s">
        <v>203</v>
      </c>
      <c r="C108" s="2" t="s">
        <v>32</v>
      </c>
      <c r="D108" s="2" t="s">
        <v>127</v>
      </c>
      <c r="E108" s="2" t="s">
        <v>176</v>
      </c>
      <c r="F108" s="2" t="s">
        <v>128</v>
      </c>
      <c r="G108" s="2">
        <v>1</v>
      </c>
      <c r="H108" s="2" t="s">
        <v>22</v>
      </c>
      <c r="I108" s="2" t="s">
        <v>30</v>
      </c>
      <c r="J108" s="2" t="s">
        <v>205</v>
      </c>
      <c r="K108" s="2" t="s">
        <v>212</v>
      </c>
      <c r="L108" s="2">
        <v>1</v>
      </c>
    </row>
    <row r="109" spans="1:12" ht="36" customHeight="1">
      <c r="A109" s="2">
        <v>109</v>
      </c>
      <c r="B109" s="2" t="s">
        <v>203</v>
      </c>
      <c r="C109" s="2" t="s">
        <v>32</v>
      </c>
      <c r="D109" s="2" t="s">
        <v>175</v>
      </c>
      <c r="E109" s="2" t="s">
        <v>176</v>
      </c>
      <c r="F109" s="2" t="s">
        <v>177</v>
      </c>
      <c r="G109" s="2">
        <v>1</v>
      </c>
      <c r="H109" s="2" t="s">
        <v>22</v>
      </c>
      <c r="I109" s="2" t="s">
        <v>30</v>
      </c>
      <c r="J109" s="2" t="s">
        <v>205</v>
      </c>
      <c r="K109" s="2" t="s">
        <v>212</v>
      </c>
      <c r="L109" s="2">
        <v>1</v>
      </c>
    </row>
    <row r="110" spans="1:12" ht="36" customHeight="1">
      <c r="A110" s="2">
        <v>110</v>
      </c>
      <c r="B110" s="2" t="s">
        <v>203</v>
      </c>
      <c r="C110" s="2" t="s">
        <v>76</v>
      </c>
      <c r="D110" s="2" t="s">
        <v>77</v>
      </c>
      <c r="E110" s="2" t="s">
        <v>78</v>
      </c>
      <c r="F110" s="2" t="s">
        <v>79</v>
      </c>
      <c r="G110" s="2"/>
      <c r="H110" s="2" t="s">
        <v>22</v>
      </c>
      <c r="I110" s="2" t="s">
        <v>80</v>
      </c>
      <c r="J110" s="2" t="s">
        <v>213</v>
      </c>
      <c r="K110" s="2" t="s">
        <v>82</v>
      </c>
      <c r="L110" s="2">
        <v>0</v>
      </c>
    </row>
    <row r="111" spans="1:12" ht="36" customHeight="1">
      <c r="A111" s="2">
        <v>111</v>
      </c>
      <c r="B111" s="2" t="s">
        <v>203</v>
      </c>
      <c r="C111" s="2" t="s">
        <v>83</v>
      </c>
      <c r="D111" s="2" t="s">
        <v>84</v>
      </c>
      <c r="E111" s="2" t="s">
        <v>85</v>
      </c>
      <c r="F111" s="2" t="s">
        <v>86</v>
      </c>
      <c r="G111" s="2"/>
      <c r="H111" s="2" t="s">
        <v>87</v>
      </c>
      <c r="I111" s="2" t="s">
        <v>88</v>
      </c>
      <c r="J111" s="2" t="s">
        <v>213</v>
      </c>
      <c r="K111" s="2" t="s">
        <v>89</v>
      </c>
      <c r="L111" s="2">
        <v>0</v>
      </c>
    </row>
    <row r="112" spans="1:12" ht="36" customHeight="1">
      <c r="A112" s="2">
        <v>112</v>
      </c>
      <c r="B112" s="2" t="s">
        <v>203</v>
      </c>
      <c r="C112" s="2" t="s">
        <v>90</v>
      </c>
      <c r="D112" s="2" t="s">
        <v>77</v>
      </c>
      <c r="E112" s="2" t="s">
        <v>91</v>
      </c>
      <c r="F112" s="2" t="s">
        <v>92</v>
      </c>
      <c r="G112" s="2"/>
      <c r="H112" s="2" t="s">
        <v>87</v>
      </c>
      <c r="I112" s="2" t="s">
        <v>93</v>
      </c>
      <c r="J112" s="2" t="s">
        <v>213</v>
      </c>
      <c r="K112" s="2" t="s">
        <v>89</v>
      </c>
      <c r="L112" s="2">
        <v>0</v>
      </c>
    </row>
    <row r="113" spans="1:12" ht="36" customHeight="1">
      <c r="A113" s="2">
        <v>113</v>
      </c>
      <c r="B113" s="2" t="s">
        <v>203</v>
      </c>
      <c r="C113" s="2" t="s">
        <v>94</v>
      </c>
      <c r="D113" s="2" t="s">
        <v>77</v>
      </c>
      <c r="E113" s="2" t="s">
        <v>95</v>
      </c>
      <c r="F113" s="2" t="s">
        <v>96</v>
      </c>
      <c r="G113" s="2"/>
      <c r="H113" s="2" t="s">
        <v>87</v>
      </c>
      <c r="I113" s="2" t="s">
        <v>97</v>
      </c>
      <c r="J113" s="2" t="s">
        <v>213</v>
      </c>
      <c r="K113" s="2" t="s">
        <v>98</v>
      </c>
      <c r="L113" s="2">
        <v>0</v>
      </c>
    </row>
    <row r="114" spans="1:12" ht="36" customHeight="1">
      <c r="A114" s="2">
        <v>114</v>
      </c>
      <c r="B114" s="2" t="s">
        <v>203</v>
      </c>
      <c r="C114" s="2" t="s">
        <v>99</v>
      </c>
      <c r="D114" s="2" t="s">
        <v>77</v>
      </c>
      <c r="E114" s="2" t="s">
        <v>100</v>
      </c>
      <c r="F114" s="2" t="s">
        <v>101</v>
      </c>
      <c r="G114" s="2"/>
      <c r="H114" s="2" t="s">
        <v>22</v>
      </c>
      <c r="I114" s="2" t="s">
        <v>93</v>
      </c>
      <c r="J114" s="2" t="s">
        <v>213</v>
      </c>
      <c r="K114" s="2" t="s">
        <v>102</v>
      </c>
      <c r="L114" s="2">
        <v>0</v>
      </c>
    </row>
    <row r="115" spans="1:12" ht="36" customHeight="1">
      <c r="A115" s="2">
        <v>115</v>
      </c>
      <c r="B115" s="2" t="s">
        <v>203</v>
      </c>
      <c r="C115" s="2" t="s">
        <v>103</v>
      </c>
      <c r="D115" s="2"/>
      <c r="E115" s="2" t="s">
        <v>103</v>
      </c>
      <c r="F115" s="2" t="s">
        <v>104</v>
      </c>
      <c r="G115" s="2">
        <v>1</v>
      </c>
      <c r="H115" s="2" t="s">
        <v>105</v>
      </c>
      <c r="I115" s="2" t="s">
        <v>106</v>
      </c>
      <c r="J115" s="2" t="s">
        <v>214</v>
      </c>
      <c r="K115" s="2" t="s">
        <v>108</v>
      </c>
      <c r="L115" s="2">
        <v>0</v>
      </c>
    </row>
    <row r="116" spans="1:12" ht="36" customHeight="1">
      <c r="A116" s="2">
        <v>116</v>
      </c>
      <c r="B116" s="2" t="s">
        <v>203</v>
      </c>
      <c r="C116" s="2" t="s">
        <v>109</v>
      </c>
      <c r="D116" s="2"/>
      <c r="E116" s="2" t="s">
        <v>109</v>
      </c>
      <c r="F116" s="2" t="s">
        <v>110</v>
      </c>
      <c r="G116" s="2">
        <v>1</v>
      </c>
      <c r="H116" s="2" t="s">
        <v>111</v>
      </c>
      <c r="I116" s="2" t="s">
        <v>112</v>
      </c>
      <c r="J116" s="2" t="s">
        <v>113</v>
      </c>
      <c r="K116" s="2" t="s">
        <v>114</v>
      </c>
      <c r="L116" s="2">
        <v>0</v>
      </c>
    </row>
    <row r="117" spans="1:12" ht="36" customHeight="1">
      <c r="A117" s="2">
        <v>117</v>
      </c>
      <c r="B117" s="2" t="s">
        <v>203</v>
      </c>
      <c r="C117" s="2" t="s">
        <v>115</v>
      </c>
      <c r="D117" s="2"/>
      <c r="E117" s="2" t="s">
        <v>215</v>
      </c>
      <c r="F117" s="2" t="s">
        <v>117</v>
      </c>
      <c r="G117" s="2"/>
      <c r="H117" s="2"/>
      <c r="I117" s="2" t="s">
        <v>112</v>
      </c>
      <c r="J117" s="2" t="s">
        <v>205</v>
      </c>
      <c r="K117" s="2" t="s">
        <v>118</v>
      </c>
      <c r="L117" s="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25"/>
  <cols>
    <col min="1" max="1" width="15" customWidth="1"/>
    <col min="2" max="2" width="12" customWidth="1"/>
    <col min="3" max="3" width="10" customWidth="1"/>
    <col min="4" max="4" width="20" customWidth="1"/>
    <col min="5" max="5" width="44" customWidth="1"/>
    <col min="6" max="6" width="13" customWidth="1"/>
    <col min="7" max="7" width="60" customWidth="1"/>
  </cols>
  <sheetData>
    <row r="1" spans="1:7" ht="33.950000000000003" customHeight="1">
      <c r="A1" s="1" t="s">
        <v>1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</row>
    <row r="2" spans="1:7" ht="25.5">
      <c r="A2" s="2" t="s">
        <v>12</v>
      </c>
      <c r="B2" s="2">
        <v>29</v>
      </c>
      <c r="C2" s="2">
        <v>20</v>
      </c>
      <c r="D2" s="2">
        <v>37</v>
      </c>
      <c r="E2" s="2" t="s">
        <v>222</v>
      </c>
      <c r="F2" s="2" t="s">
        <v>77</v>
      </c>
      <c r="G2" s="2" t="s">
        <v>223</v>
      </c>
    </row>
    <row r="3" spans="1:7" ht="25.5">
      <c r="A3" s="2" t="s">
        <v>119</v>
      </c>
      <c r="B3" s="2">
        <v>14</v>
      </c>
      <c r="C3" s="2">
        <v>20</v>
      </c>
      <c r="D3" s="2">
        <v>18</v>
      </c>
      <c r="E3" s="2" t="s">
        <v>224</v>
      </c>
      <c r="F3" s="2" t="s">
        <v>77</v>
      </c>
      <c r="G3" s="2" t="s">
        <v>225</v>
      </c>
    </row>
    <row r="4" spans="1:7" ht="25.5">
      <c r="A4" s="2" t="s">
        <v>139</v>
      </c>
      <c r="B4" s="2">
        <v>38</v>
      </c>
      <c r="C4" s="2">
        <v>20</v>
      </c>
      <c r="D4" s="2">
        <v>48</v>
      </c>
      <c r="E4" s="2" t="s">
        <v>226</v>
      </c>
      <c r="F4" s="2" t="s">
        <v>77</v>
      </c>
      <c r="G4" s="2" t="s">
        <v>227</v>
      </c>
    </row>
    <row r="5" spans="1:7" ht="25.5">
      <c r="A5" s="2" t="s">
        <v>170</v>
      </c>
      <c r="B5" s="2">
        <v>25</v>
      </c>
      <c r="C5" s="2">
        <v>20</v>
      </c>
      <c r="D5" s="2">
        <v>32</v>
      </c>
      <c r="E5" s="2" t="s">
        <v>228</v>
      </c>
      <c r="F5" s="2" t="s">
        <v>77</v>
      </c>
      <c r="G5" s="2" t="s">
        <v>229</v>
      </c>
    </row>
    <row r="6" spans="1:7" ht="25.5">
      <c r="A6" s="2" t="s">
        <v>182</v>
      </c>
      <c r="B6" s="2">
        <v>26</v>
      </c>
      <c r="C6" s="2">
        <v>20</v>
      </c>
      <c r="D6" s="2">
        <v>33</v>
      </c>
      <c r="E6" s="2" t="s">
        <v>228</v>
      </c>
      <c r="F6" s="2" t="s">
        <v>77</v>
      </c>
      <c r="G6" s="2" t="s">
        <v>230</v>
      </c>
    </row>
    <row r="7" spans="1:7" ht="25.5">
      <c r="A7" s="2" t="s">
        <v>190</v>
      </c>
      <c r="B7" s="2">
        <v>11</v>
      </c>
      <c r="C7" s="2">
        <v>20</v>
      </c>
      <c r="D7" s="2">
        <v>14</v>
      </c>
      <c r="E7" s="2" t="s">
        <v>224</v>
      </c>
      <c r="F7" s="2" t="s">
        <v>77</v>
      </c>
      <c r="G7" s="2" t="s">
        <v>231</v>
      </c>
    </row>
    <row r="8" spans="1:7" ht="25.5">
      <c r="A8" s="2" t="s">
        <v>203</v>
      </c>
      <c r="B8" s="2">
        <v>11</v>
      </c>
      <c r="C8" s="2">
        <v>20</v>
      </c>
      <c r="D8" s="2">
        <v>14</v>
      </c>
      <c r="E8" s="2" t="s">
        <v>224</v>
      </c>
      <c r="F8" s="2" t="s">
        <v>77</v>
      </c>
      <c r="G8" s="2" t="s">
        <v>232</v>
      </c>
    </row>
  </sheetData>
  <conditionalFormatting sqref="A2:G8">
    <cfRule type="expression" dxfId="2" priority="1">
      <formula>$F2="КОНТРОЛЬ"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.25"/>
  <cols>
    <col min="1" max="1" width="6" customWidth="1"/>
    <col min="2" max="2" width="20" customWidth="1"/>
    <col min="3" max="4" width="58" customWidth="1"/>
    <col min="5" max="5" width="26" customWidth="1"/>
    <col min="6" max="6" width="12" customWidth="1"/>
  </cols>
  <sheetData>
    <row r="1" spans="1:6" ht="33.950000000000003" customHeight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</row>
    <row r="2" spans="1:6" ht="25.5">
      <c r="A2" s="2">
        <v>1</v>
      </c>
      <c r="B2" s="2" t="s">
        <v>12</v>
      </c>
      <c r="C2" s="2" t="s">
        <v>238</v>
      </c>
      <c r="D2" s="2" t="s">
        <v>239</v>
      </c>
      <c r="E2" s="2" t="s">
        <v>240</v>
      </c>
      <c r="F2" s="2" t="s">
        <v>241</v>
      </c>
    </row>
    <row r="3" spans="1:6" ht="25.5">
      <c r="A3" s="2">
        <v>2</v>
      </c>
      <c r="B3" s="2" t="s">
        <v>139</v>
      </c>
      <c r="C3" s="2" t="s">
        <v>242</v>
      </c>
      <c r="D3" s="2" t="s">
        <v>243</v>
      </c>
      <c r="E3" s="2" t="s">
        <v>244</v>
      </c>
      <c r="F3" s="2" t="s">
        <v>241</v>
      </c>
    </row>
    <row r="4" spans="1:6" ht="25.5">
      <c r="A4" s="2">
        <v>3</v>
      </c>
      <c r="B4" s="2" t="s">
        <v>12</v>
      </c>
      <c r="C4" s="2" t="s">
        <v>245</v>
      </c>
      <c r="D4" s="2" t="s">
        <v>246</v>
      </c>
      <c r="E4" s="2" t="s">
        <v>16</v>
      </c>
      <c r="F4" s="2" t="s">
        <v>247</v>
      </c>
    </row>
    <row r="5" spans="1:6" ht="25.5">
      <c r="A5" s="2">
        <v>4</v>
      </c>
      <c r="B5" s="2" t="s">
        <v>139</v>
      </c>
      <c r="C5" s="2" t="s">
        <v>248</v>
      </c>
      <c r="D5" s="2" t="s">
        <v>249</v>
      </c>
      <c r="E5" s="2" t="s">
        <v>141</v>
      </c>
      <c r="F5" s="2" t="s">
        <v>247</v>
      </c>
    </row>
    <row r="6" spans="1:6" ht="25.5">
      <c r="A6" s="2">
        <v>5</v>
      </c>
      <c r="B6" s="2" t="s">
        <v>250</v>
      </c>
      <c r="C6" s="2" t="s">
        <v>251</v>
      </c>
      <c r="D6" s="2" t="s">
        <v>252</v>
      </c>
      <c r="E6" s="2" t="s">
        <v>253</v>
      </c>
      <c r="F6" s="2" t="s">
        <v>241</v>
      </c>
    </row>
    <row r="7" spans="1:6" ht="25.5">
      <c r="A7" s="2">
        <v>6</v>
      </c>
      <c r="B7" s="2" t="s">
        <v>254</v>
      </c>
      <c r="C7" s="2" t="s">
        <v>255</v>
      </c>
      <c r="D7" s="2" t="s">
        <v>256</v>
      </c>
      <c r="E7" s="2" t="s">
        <v>257</v>
      </c>
      <c r="F7" s="2" t="s">
        <v>258</v>
      </c>
    </row>
    <row r="8" spans="1:6" ht="25.5">
      <c r="A8" s="2">
        <v>7</v>
      </c>
      <c r="B8" s="2" t="s">
        <v>259</v>
      </c>
      <c r="C8" s="2" t="s">
        <v>260</v>
      </c>
      <c r="D8" s="2" t="s">
        <v>261</v>
      </c>
      <c r="E8" s="2" t="s">
        <v>262</v>
      </c>
      <c r="F8" s="2" t="s">
        <v>241</v>
      </c>
    </row>
    <row r="9" spans="1:6">
      <c r="A9" s="2">
        <v>8</v>
      </c>
      <c r="B9" s="2" t="s">
        <v>254</v>
      </c>
      <c r="C9" s="2" t="s">
        <v>263</v>
      </c>
      <c r="D9" s="2" t="s">
        <v>264</v>
      </c>
      <c r="E9" s="2" t="s">
        <v>265</v>
      </c>
      <c r="F9" s="2" t="s">
        <v>266</v>
      </c>
    </row>
  </sheetData>
  <conditionalFormatting sqref="A2:F9">
    <cfRule type="expression" dxfId="1" priority="1">
      <formula>$F2="YÜKSEK"</formula>
    </cfRule>
    <cfRule type="expression" dxfId="0" priority="2">
      <formula>$F2="KONTROL"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4.25"/>
  <cols>
    <col min="1" max="1" width="24" customWidth="1"/>
    <col min="2" max="2" width="32" customWidth="1"/>
    <col min="3" max="3" width="85" customWidth="1"/>
  </cols>
  <sheetData>
    <row r="1" spans="1:3" ht="33.950000000000003" customHeight="1">
      <c r="A1" s="1" t="s">
        <v>267</v>
      </c>
      <c r="B1" s="1" t="s">
        <v>236</v>
      </c>
      <c r="C1" s="1" t="s">
        <v>268</v>
      </c>
    </row>
    <row r="2" spans="1:3">
      <c r="A2" s="2" t="s">
        <v>269</v>
      </c>
      <c r="B2" s="2" t="s">
        <v>265</v>
      </c>
      <c r="C2" s="2" t="s">
        <v>270</v>
      </c>
    </row>
    <row r="3" spans="1:3">
      <c r="A3" s="2" t="s">
        <v>271</v>
      </c>
      <c r="B3" s="2" t="s">
        <v>24</v>
      </c>
      <c r="C3" s="2" t="s">
        <v>272</v>
      </c>
    </row>
    <row r="4" spans="1:3">
      <c r="A4" s="2" t="s">
        <v>273</v>
      </c>
      <c r="B4" s="2" t="s">
        <v>274</v>
      </c>
      <c r="C4" s="2" t="s">
        <v>275</v>
      </c>
    </row>
    <row r="5" spans="1:3">
      <c r="A5" s="2" t="s">
        <v>276</v>
      </c>
      <c r="B5" s="2" t="s">
        <v>277</v>
      </c>
      <c r="C5" s="2" t="s">
        <v>278</v>
      </c>
    </row>
    <row r="6" spans="1:3" ht="25.5">
      <c r="A6" s="2" t="s">
        <v>279</v>
      </c>
      <c r="B6" s="2" t="s">
        <v>280</v>
      </c>
      <c r="C6" s="2" t="s">
        <v>281</v>
      </c>
    </row>
    <row r="7" spans="1:3" ht="25.5">
      <c r="A7" s="2" t="s">
        <v>282</v>
      </c>
      <c r="B7" s="2" t="s">
        <v>265</v>
      </c>
      <c r="C7" s="2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4.25"/>
  <cols>
    <col min="1" max="1" width="15" customWidth="1"/>
    <col min="2" max="2" width="8" customWidth="1"/>
    <col min="3" max="3" width="24" customWidth="1"/>
    <col min="4" max="4" width="72" customWidth="1"/>
    <col min="5" max="5" width="34" customWidth="1"/>
    <col min="6" max="6" width="16" customWidth="1"/>
    <col min="7" max="7" width="54" customWidth="1"/>
  </cols>
  <sheetData>
    <row r="1" spans="1:7" ht="33.950000000000003" customHeight="1">
      <c r="A1" s="1" t="s">
        <v>1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</row>
    <row r="2" spans="1:7">
      <c r="A2" s="2" t="s">
        <v>12</v>
      </c>
      <c r="B2" s="2">
        <v>2</v>
      </c>
      <c r="C2" s="2" t="s">
        <v>290</v>
      </c>
      <c r="D2" s="2" t="s">
        <v>291</v>
      </c>
      <c r="E2" s="2" t="s">
        <v>292</v>
      </c>
      <c r="F2" s="2">
        <v>29</v>
      </c>
      <c r="G2" s="2" t="s">
        <v>293</v>
      </c>
    </row>
    <row r="3" spans="1:7">
      <c r="A3" s="2" t="s">
        <v>119</v>
      </c>
      <c r="B3" s="2">
        <v>3</v>
      </c>
      <c r="C3" s="2" t="s">
        <v>294</v>
      </c>
      <c r="D3" s="2" t="s">
        <v>295</v>
      </c>
      <c r="E3" s="2" t="s">
        <v>296</v>
      </c>
      <c r="F3" s="2">
        <v>14</v>
      </c>
      <c r="G3" s="2" t="s">
        <v>297</v>
      </c>
    </row>
    <row r="4" spans="1:7" ht="25.5">
      <c r="A4" s="2" t="s">
        <v>139</v>
      </c>
      <c r="B4" s="2">
        <v>4</v>
      </c>
      <c r="C4" s="2" t="s">
        <v>298</v>
      </c>
      <c r="D4" s="2" t="s">
        <v>299</v>
      </c>
      <c r="E4" s="2" t="s">
        <v>300</v>
      </c>
      <c r="F4" s="2">
        <v>38</v>
      </c>
      <c r="G4" s="2" t="s">
        <v>301</v>
      </c>
    </row>
    <row r="5" spans="1:7">
      <c r="A5" s="2" t="s">
        <v>170</v>
      </c>
      <c r="B5" s="2">
        <v>5</v>
      </c>
      <c r="C5" s="2" t="s">
        <v>302</v>
      </c>
      <c r="D5" s="2" t="s">
        <v>303</v>
      </c>
      <c r="E5" s="2" t="s">
        <v>296</v>
      </c>
      <c r="F5" s="2">
        <v>25</v>
      </c>
      <c r="G5" s="2" t="s">
        <v>304</v>
      </c>
    </row>
    <row r="6" spans="1:7">
      <c r="A6" s="2" t="s">
        <v>182</v>
      </c>
      <c r="B6" s="2">
        <v>6</v>
      </c>
      <c r="C6" s="2" t="s">
        <v>302</v>
      </c>
      <c r="D6" s="2" t="s">
        <v>303</v>
      </c>
      <c r="E6" s="2" t="s">
        <v>305</v>
      </c>
      <c r="F6" s="2">
        <v>26</v>
      </c>
      <c r="G6" s="2" t="s">
        <v>306</v>
      </c>
    </row>
    <row r="7" spans="1:7">
      <c r="A7" s="2" t="s">
        <v>190</v>
      </c>
      <c r="B7" s="2">
        <v>7</v>
      </c>
      <c r="C7" s="2" t="s">
        <v>307</v>
      </c>
      <c r="D7" s="2" t="s">
        <v>308</v>
      </c>
      <c r="E7" s="2" t="s">
        <v>296</v>
      </c>
      <c r="F7" s="2">
        <v>11</v>
      </c>
      <c r="G7" s="2" t="s">
        <v>309</v>
      </c>
    </row>
    <row r="8" spans="1:7">
      <c r="A8" s="2" t="s">
        <v>203</v>
      </c>
      <c r="B8" s="2">
        <v>8</v>
      </c>
      <c r="C8" s="2" t="s">
        <v>310</v>
      </c>
      <c r="D8" s="2" t="s">
        <v>311</v>
      </c>
      <c r="E8" s="2" t="s">
        <v>296</v>
      </c>
      <c r="F8" s="2">
        <v>11</v>
      </c>
      <c r="G8" s="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BOM_Baslikli</vt:lpstr>
      <vt:lpstr>BOM_Yapistir</vt:lpstr>
      <vt:lpstr>Modul_Kontrol</vt:lpstr>
      <vt:lpstr>Kontrol_Risk</vt:lpstr>
      <vt:lpstr>Kaynak_Not</vt:lpstr>
      <vt:lpstr>Tekhat_Karsilastirma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2026-07-16T11:28:28Z</dcterms:modified>
</cp:coreProperties>
</file>