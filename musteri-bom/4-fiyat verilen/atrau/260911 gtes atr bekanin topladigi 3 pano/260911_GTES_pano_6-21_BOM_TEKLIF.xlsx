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6A505C-6817-4E85-ADA9-4375083948B8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Kurallar" sheetId="1" r:id="rId1"/>
    <sheet name="BOM" sheetId="2" r:id="rId2"/>
    <sheet name="СВОД" sheetId="3" r:id="rId3"/>
    <sheet name="KP-TEKLIF" sheetId="4" r:id="rId4"/>
  </sheets>
  <definedNames>
    <definedName name="_xlnm._FilterDatabase" localSheetId="1" hidden="1">BOM!$A$4:$M$46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2" l="1"/>
  <c r="H45" i="2" s="1"/>
  <c r="L45" i="2" s="1"/>
  <c r="F45" i="2"/>
  <c r="H43" i="2"/>
  <c r="L43" i="2" s="1"/>
  <c r="H42" i="2"/>
  <c r="L42" i="2" s="1"/>
  <c r="H41" i="2"/>
  <c r="L41" i="2" s="1"/>
  <c r="H40" i="2"/>
  <c r="L40" i="2" s="1"/>
  <c r="H39" i="2"/>
  <c r="L39" i="2" s="1"/>
  <c r="H38" i="2"/>
  <c r="G35" i="2"/>
  <c r="H35" i="2" s="1"/>
  <c r="L35" i="2" s="1"/>
  <c r="F35" i="2"/>
  <c r="H33" i="2"/>
  <c r="L33" i="2" s="1"/>
  <c r="H32" i="2"/>
  <c r="L32" i="2" s="1"/>
  <c r="H31" i="2"/>
  <c r="L31" i="2" s="1"/>
  <c r="H30" i="2"/>
  <c r="L30" i="2" s="1"/>
  <c r="H29" i="2"/>
  <c r="G26" i="2"/>
  <c r="H26" i="2" s="1"/>
  <c r="L26" i="2" s="1"/>
  <c r="F26" i="2"/>
  <c r="H24" i="2"/>
  <c r="L24" i="2" s="1"/>
  <c r="H23" i="2"/>
  <c r="L23" i="2" s="1"/>
  <c r="H22" i="2"/>
  <c r="L22" i="2" s="1"/>
  <c r="H21" i="2"/>
  <c r="L21" i="2" s="1"/>
  <c r="H20" i="2"/>
  <c r="L20" i="2" s="1"/>
  <c r="H19" i="2"/>
  <c r="L19" i="2" s="1"/>
  <c r="H18" i="2"/>
  <c r="L18" i="2" s="1"/>
  <c r="H17" i="2"/>
  <c r="L17" i="2" s="1"/>
  <c r="H16" i="2"/>
  <c r="L16" i="2" s="1"/>
  <c r="H15" i="2"/>
  <c r="L15" i="2" s="1"/>
  <c r="H14" i="2"/>
  <c r="L14" i="2" s="1"/>
  <c r="H13" i="2"/>
  <c r="L13" i="2" s="1"/>
  <c r="H12" i="2"/>
  <c r="L12" i="2" s="1"/>
  <c r="H11" i="2"/>
  <c r="L11" i="2" s="1"/>
  <c r="H10" i="2"/>
  <c r="L10" i="2" s="1"/>
  <c r="H9" i="2"/>
  <c r="L9" i="2" s="1"/>
  <c r="H8" i="2"/>
  <c r="L8" i="2" s="1"/>
  <c r="H7" i="2"/>
  <c r="L7" i="2" s="1"/>
  <c r="H6" i="2"/>
  <c r="G34" i="2" l="1"/>
  <c r="H34" i="2" s="1"/>
  <c r="L34" i="2" s="1"/>
  <c r="G25" i="2"/>
  <c r="H25" i="2" s="1"/>
  <c r="L25" i="2" s="1"/>
  <c r="G44" i="2"/>
  <c r="H44" i="2" s="1"/>
  <c r="L44" i="2" s="1"/>
  <c r="L6" i="2"/>
  <c r="L27" i="2" s="1"/>
  <c r="E4" i="3" s="1"/>
  <c r="H36" i="2"/>
  <c r="H27" i="2"/>
  <c r="H46" i="2"/>
  <c r="L29" i="2"/>
  <c r="L36" i="2" s="1"/>
  <c r="E5" i="3" s="1"/>
  <c r="L38" i="2"/>
  <c r="L46" i="2" s="1"/>
  <c r="E6" i="3" s="1"/>
  <c r="D9" i="4" l="1"/>
  <c r="E9" i="4" s="1"/>
  <c r="D6" i="3"/>
  <c r="D4" i="3"/>
  <c r="D7" i="4"/>
  <c r="E7" i="4" s="1"/>
  <c r="D5" i="3"/>
  <c r="D8" i="4"/>
  <c r="E8" i="4" s="1"/>
  <c r="E8" i="3"/>
  <c r="E11" i="4" l="1"/>
  <c r="E12" i="4" s="1"/>
  <c r="E13" i="4" s="1"/>
</calcChain>
</file>

<file path=xl/sharedStrings.xml><?xml version="1.0" encoding="utf-8"?>
<sst xmlns="http://schemas.openxmlformats.org/spreadsheetml/2006/main" count="310" uniqueCount="162">
  <si>
    <t>KURALLAR / KATSAYILAR — sari hucreler duzenlenebilir</t>
  </si>
  <si>
    <t>CHINT net katsayi (liste x)</t>
  </si>
  <si>
    <t>KAZTEK / TEKSAN / pys net katsayi</t>
  </si>
  <si>
    <t>CNC net katsayi (liste x) — DIKKAT: liste tarihi 2025-02-04, &gt;18 ay, YASAK/GUNCELLE — bu BOM'daki fiyatlar dogrudan teklif</t>
  </si>
  <si>
    <t>EKT net katsayi</t>
  </si>
  <si>
    <t>Montaj malzemesi (malzeme x)</t>
  </si>
  <si>
    <t>Iscilik birim, KZT/dk</t>
  </si>
  <si>
    <t>Iscilik test/etiket carpani</t>
  </si>
  <si>
    <t>Genel gider %</t>
  </si>
  <si>
    <t>Kar %</t>
  </si>
  <si>
    <t>KDV %</t>
  </si>
  <si>
    <t>RISK LISTESI</t>
  </si>
  <si>
    <t>1) FIYAT YOK</t>
  </si>
  <si>
    <t>yok</t>
  </si>
  <si>
    <t>2) MUADIL KULLANILDI</t>
  </si>
  <si>
    <t>yok — bu BOM'da muadil kullanilmadi, tum kalemler Bekanin'in dogrudan aldigi teklif fiyatlari veya EKT/pys katalog fiyatidir.</t>
  </si>
  <si>
    <t>3) CIHAZ BELIRSIZ</t>
  </si>
  <si>
    <t>ВРУ ana giris kesicisi (619-03008, "Автом. выкл. в литом корпусе стационарного типа"): akim degeri kaynak dosyada belirtilmemis. Iscilik normu MCCB&lt;=250A (60dk) varsayildi. GERCEK AKIM DEGERI SAHADAN/SEMADAN TEYIT EDILMELI — sayac icin secilen 100/5 akim trafosu ana kesici &lt;=100A bandini isaret ediyor, ancak kesin degil.</t>
  </si>
  <si>
    <t>OPN (parafudr) tip/sinifi: EKT 18013DEK "ОП-101" 1P 20kA D-sinifi (Tip 3 benzeri) urun kullanildi; ВРУ giris seviyesinde tipik olarak Tip 1/2 (B/C sinifi) beklenir. Urun sinifi katalogda acik degil — MUHENDIS ONAYI GEREKLI.</t>
  </si>
  <si>
    <t>4) VARSAYIM — otomatik tamamlanan eksik kalemler</t>
  </si>
  <si>
    <t>ВРУ: "N" notr barasi (718-84026, 1 adet, 1 471 KZT) eksikti — RЩ ve ЩО'da bu kalem vardi, ВРУ'da yoktu, panonun kendi notr barasi olarak eklendi.</t>
  </si>
  <si>
    <t>ВРУ + РЩ + ЩО (3 pano): ГЗШ / topraklama barasi (EKT ER-12-325-M1, 12 baglanti noktali bakir, panoda 1 adet, 12 251 KZT/adet) hicbir panoda yoktu — proje talimatinin "her panoda ГЗШ + izolatör zorunlu" kurali geregi 3 panoya da eklendi.</t>
  </si>
  <si>
    <t>ВРУ: OPN/parafudr (EKT 18013DEK, 3 adet — her faz icin 1, 6 439 KZT/adet = 19 317 KZT) eksikti — ВРУ tipinde sayac bulunan giris panosunda parafudr standarttir, eklendi.</t>
  </si>
  <si>
    <t>РЩ: klemens (ЗНИ-4мм² 989-150-1279) eksikti — 22 adet dif. sigortali devre icin (2 klemens + 1 PE)x22 = 66, +%10 yedek = 75 adet olarak formulle hesaplanip eklendi (147 KZT/adet = 11 025 KZT). PE klemensi ayni tip/renk kullanildi, gercek PE (sari-yesil) renkli klemens sahada ayrica teyit edilmeli.</t>
  </si>
  <si>
    <t>ЩО: klemens (ЗНИ-4мм² 989-150-1279) eksikti — 12 adet 1P aydinlatma devresi icin (2+1PE)x12 = 36, +%10 yedek = 40 adet (147 KZT/adet = 5 880 KZT).</t>
  </si>
  <si>
    <t>Her 3 panoda montaj malzemesi (%3 lump sum) ve montaj isciligi (dakika bazli, norm tablosuna gore) kaynak dosyada 0 birakilmisti — hesaplanip eklendi: ВРУ 1060 dk, РЩ 852 dk, ЩО 429 dk (x1.15 test/etiket carpani dahil, Kurallar!B7 birim fiyatla carpiliyor).</t>
  </si>
  <si>
    <t>Iscilik normlari: MCB 1P=10dk 3P=18dk, DIF=14dk, MCCB&lt;=250A=60dk, izolator~5dk/ad, klemens=4dk/ad, bakir bara=45dk/m, sayac+AT=90dk (toplu), parafudr=15dk/ad, korpus kucuk=30 orta=45 ayakli/buyuk=90dk, kablo/DIN/kanal/profil~5dk/m — kesin atolye olcumu degil, tahmini normlar (proje ince talimatindan).</t>
  </si>
  <si>
    <t>5) KAPSAM DISI</t>
  </si>
  <si>
    <t>OG hucre, trafo, jenerator, harici kablo tesisati ve aydinlatma direkleri kapsam disi.</t>
  </si>
  <si>
    <t>Sema/PDF verilmedi — sadece Bekanin'in derledigi Excel malzeme listesi kaynak alindi; cihaz sayimlari sema ile CAPRAZ KONTROL EDILMEDI, kaynak dosyadaki adetler oldugu gibi kullanildi.</t>
  </si>
  <si>
    <t>6) VERI NOTU</t>
  </si>
  <si>
    <t>pys/TEKSAN kalemleri — 260911 tarihinde Bekanin tarafindan derlenen guncel teklif fiyatlari, GECERLI.</t>
  </si>
  <si>
    <t>CNC kalemleri (oto, mccb, dif) — CNC fiyat listesi 2025-02-04 tarihli, ~19 ay eski (&gt;18 ay bandi) — proje kurali geregi YASAK/artik referans alinmamali; ancak bu satirlardaki fiyatlar dogrudan CNC'den alinan GUNCEL BIRIM TEKLIFLERI oldugu icin (genel katalogdan degil) kullanildi. Iskonto/gecerlilik CNC ile TEYIT EDILMELI.</t>
  </si>
  <si>
    <t>EKT kalemleri (GZS, OPN, klemens) — EKT liste tarihi 2025-06-12, ~14.9 ay eski (12-18 ay bandi) — FIYAT LISTESI GUNCELLE uyarisi, kullanilabilir.</t>
  </si>
  <si>
    <t>TEKLED ELECTRIC (ana kesici) — kendi urun hatti, tarih belirtilmemis.</t>
  </si>
  <si>
    <t>YSF HICH — 260911 GTES pano 6-21 (Bekanin) — BOM v1</t>
  </si>
  <si>
    <t>Fiyat kaynagi: pys/TEKSAN (net, katsayi 1.00) | CNC (katsayi 0.55, teklif fiyati dogrudan) | TEKLED ELECTRIC (kendi urunu) | EKT (katsayi 1.00, eksik kalemler icin) — katsayilar Kurallar sayfasinda</t>
  </si>
  <si>
    <t>ROW</t>
  </si>
  <si>
    <t>Наименование1</t>
  </si>
  <si>
    <t>Тип</t>
  </si>
  <si>
    <t>Артикул</t>
  </si>
  <si>
    <t>Номенклатура</t>
  </si>
  <si>
    <t>Цена</t>
  </si>
  <si>
    <t>Нетто KZT</t>
  </si>
  <si>
    <t>Сумма KZT (1 щит)</t>
  </si>
  <si>
    <t>Кол-во</t>
  </si>
  <si>
    <t>Ед.изм.</t>
  </si>
  <si>
    <t>Завод</t>
  </si>
  <si>
    <t>Сумма KZT (проект)</t>
  </si>
  <si>
    <t>Группа</t>
  </si>
  <si>
    <t>ВРУ</t>
  </si>
  <si>
    <t>щит</t>
  </si>
  <si>
    <t>компл.</t>
  </si>
  <si>
    <t>korpus</t>
  </si>
  <si>
    <t>989-101-98755</t>
  </si>
  <si>
    <t>Корпус ЩМП-16-0 36 IP31 (1600x600x350)</t>
  </si>
  <si>
    <t>шт.</t>
  </si>
  <si>
    <t>pys</t>
  </si>
  <si>
    <t>mccb</t>
  </si>
  <si>
    <t>619-03008</t>
  </si>
  <si>
    <t>Автом. выкл. в литом корпусе стац. типа (ana giris, amper semada belirtilmemis)</t>
  </si>
  <si>
    <t>TEKLED ELECTRIC</t>
  </si>
  <si>
    <t>oto</t>
  </si>
  <si>
    <t>989-106-0026</t>
  </si>
  <si>
    <t>Модульные автоматы YCB6-63H 3P 63A C 4.5kA</t>
  </si>
  <si>
    <t>CNC</t>
  </si>
  <si>
    <t>989-106-0037</t>
  </si>
  <si>
    <t>Авт. выкл. в литом корпусе YCM1-63L 3P 25A</t>
  </si>
  <si>
    <t>dif</t>
  </si>
  <si>
    <t>989-106-0053</t>
  </si>
  <si>
    <t>Автоматы дифф. YCB7LE-63Y 1P+N С20A 30mA</t>
  </si>
  <si>
    <t>989-106-0001</t>
  </si>
  <si>
    <t>Модульные автоматы YCB6-63H 1P 6A C 4.5kA (kumanda)</t>
  </si>
  <si>
    <t>isolator</t>
  </si>
  <si>
    <t>989-100-04707</t>
  </si>
  <si>
    <t>Изолятор SM 30 с болтами (10/500)</t>
  </si>
  <si>
    <t>travers</t>
  </si>
  <si>
    <t>989-100-0288</t>
  </si>
  <si>
    <t>Траверса монтажная 20х30х0.9мм (3м)</t>
  </si>
  <si>
    <t>shin</t>
  </si>
  <si>
    <t>718-84304</t>
  </si>
  <si>
    <t>Шина медн.3х20х4000 (faz barasi)</t>
  </si>
  <si>
    <t>МТ.</t>
  </si>
  <si>
    <t>zajim</t>
  </si>
  <si>
    <t>989-150-1275</t>
  </si>
  <si>
    <t>Зажим наборный изолированный ЗНИ 6мм² серый UNIT NEW (20)</t>
  </si>
  <si>
    <t>718-03404</t>
  </si>
  <si>
    <t>Изолятор SM-35 (TEKLED ELECTRIC) 500/10</t>
  </si>
  <si>
    <t>989-150-1279</t>
  </si>
  <si>
    <t>ЗНИ-4мм² (Зажим наборн. 35А) ИЭК синий</t>
  </si>
  <si>
    <t>sayac</t>
  </si>
  <si>
    <t>989-150-1273</t>
  </si>
  <si>
    <t>Счетчик эл. энергии трехфазный ЦЭ 6803В</t>
  </si>
  <si>
    <t>tt</t>
  </si>
  <si>
    <t>989-101-0126</t>
  </si>
  <si>
    <t>Трансформатор Т-0,66 100/5 (9)</t>
  </si>
  <si>
    <t>nakonechnik</t>
  </si>
  <si>
    <t>702-84035</t>
  </si>
  <si>
    <t>Наконечник медный луженый ТМЛ 35-10-9 IEK</t>
  </si>
  <si>
    <t>kabel</t>
  </si>
  <si>
    <t>402-150240</t>
  </si>
  <si>
    <t>Кабель TTR 5x6 (ПВС) (TEKSAN) 100м, бара</t>
  </si>
  <si>
    <t>(TEKSAN)</t>
  </si>
  <si>
    <t>din ray</t>
  </si>
  <si>
    <t>718-84318</t>
  </si>
  <si>
    <t>DIN-рейка (60см) IEK (20)</t>
  </si>
  <si>
    <t>kablo kanal</t>
  </si>
  <si>
    <t>989-100-0125</t>
  </si>
  <si>
    <t>Перфорированный кабельный канал 40х40</t>
  </si>
  <si>
    <t>profil</t>
  </si>
  <si>
    <t>989-101-10511</t>
  </si>
  <si>
    <t>Профиль L-образный 30*30*2*2500мм</t>
  </si>
  <si>
    <t>718-84026</t>
  </si>
  <si>
    <t>монтажный материал</t>
  </si>
  <si>
    <t>Монтажный материал / montaj sarf malzemesi (%3)</t>
  </si>
  <si>
    <t>TEKLED</t>
  </si>
  <si>
    <t>монтажная работа</t>
  </si>
  <si>
    <t>Монтажные работы / pano montaj-kablaj iscilligi (1060 dk)</t>
  </si>
  <si>
    <t>мин</t>
  </si>
  <si>
    <t>Toplam ВРУ</t>
  </si>
  <si>
    <t>Toplam ВРУ — 1 щит / проект 1 шт</t>
  </si>
  <si>
    <t>РЩ</t>
  </si>
  <si>
    <t>714-15105</t>
  </si>
  <si>
    <t>Щит ЩРн-54 (540x440x120) S/U IP31</t>
  </si>
  <si>
    <t>989-106-0025</t>
  </si>
  <si>
    <t>Модульные автоматы YCB6-63H 3P 50A C 4.5kA</t>
  </si>
  <si>
    <t>Шина "N" нулевая 8х12мм комб. с изол.</t>
  </si>
  <si>
    <t>Монтажные работы / pano montaj-kablaj iscilligi (852 dk)</t>
  </si>
  <si>
    <t>Toplam РЩ</t>
  </si>
  <si>
    <t>Toplam РЩ — 1 щит / проект 1 шт</t>
  </si>
  <si>
    <t>ЩО</t>
  </si>
  <si>
    <t>989-100-1336</t>
  </si>
  <si>
    <t>Щит ЩРН-24 (395х310х120) (ЕКТ)</t>
  </si>
  <si>
    <t>989-106-0002</t>
  </si>
  <si>
    <t>Модульные автоматы YCB6-63H 3P 16A C 4.5kA</t>
  </si>
  <si>
    <t>989-106-0021</t>
  </si>
  <si>
    <t>Модульные автоматы YCB6-63H 1P 10A C 4.5kA</t>
  </si>
  <si>
    <t>718-84014</t>
  </si>
  <si>
    <t>Шина соединительная PIN (штырь) 3ф 63А (tarak bara)</t>
  </si>
  <si>
    <t>Монтажные работы / pano montaj-kablaj iscilligi (429 dk)</t>
  </si>
  <si>
    <t>Toplam ЩО</t>
  </si>
  <si>
    <t>Toplam ЩО — 1 щит / проект 1 шт</t>
  </si>
  <si>
    <t>СВОД — 260911 GTES pano 6-21 (Bekanin)</t>
  </si>
  <si>
    <t>№</t>
  </si>
  <si>
    <t>Щит</t>
  </si>
  <si>
    <t>Кол-во, шт</t>
  </si>
  <si>
    <t>Цена за 1 щит, ₸</t>
  </si>
  <si>
    <t>Сумма, ₸</t>
  </si>
  <si>
    <t>Монтаж, мин</t>
  </si>
  <si>
    <t>GENEL TOPLAM (malzeme+iscilik, KDV haric)</t>
  </si>
  <si>
    <t>КОММЕРЧЕСКОЕ ПРЕДЛОЖЕНИЕ</t>
  </si>
  <si>
    <t>Объект: GTES pano 6-21</t>
  </si>
  <si>
    <t>Поставщик: YSF HICH   |   Дата: 11.09.2026   |   Срок действия: 30 дней</t>
  </si>
  <si>
    <t>Комплектация: CNC/TEKLED (aппараты), pys/TEKSAN (корпуса), EKT (eksik tamamlama kalemleri). Валюта: KZT.</t>
  </si>
  <si>
    <t>Наименование щита</t>
  </si>
  <si>
    <t>Цена за ед., ₸</t>
  </si>
  <si>
    <t>Итого</t>
  </si>
  <si>
    <t>НДС (Kurallar!B11)</t>
  </si>
  <si>
    <t>Всего с НДС</t>
  </si>
  <si>
    <t>Срок изготовления: __ рабочих дней</t>
  </si>
  <si>
    <t>Условия оплаты: __</t>
  </si>
  <si>
    <t>Гарантия: 12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</si>
</sst>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  <charset val="204"/>
    </font>
    <font>
      <b/>
      <sz val="13"/>
      <name val="Cambria"/>
      <family val="1"/>
      <charset val="204"/>
    </font>
    <font>
      <i/>
      <sz val="9"/>
      <name val="Cambria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/>
    <xf numFmtId="0" fontId="2" fillId="0" borderId="0" xfId="0" applyFont="1"/>
    <xf numFmtId="0" fontId="3" fillId="0" borderId="0" xfId="0" applyFont="1"/>
    <xf numFmtId="0" fontId="1" fillId="3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4" fontId="0" fillId="4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/>
    <xf numFmtId="4" fontId="1" fillId="0" borderId="1" xfId="0" applyNumberFormat="1" applyFont="1" applyBorder="1"/>
    <xf numFmtId="3" fontId="0" fillId="0" borderId="1" xfId="0" applyNumberFormat="1" applyBorder="1"/>
    <xf numFmtId="0" fontId="1" fillId="0" borderId="0" xfId="0" applyFont="1"/>
    <xf numFmtId="3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showGridLines="0" topLeftCell="A22" zoomScaleNormal="100" workbookViewId="0">
      <selection activeCell="B4" sqref="B4"/>
    </sheetView>
  </sheetViews>
  <sheetFormatPr defaultColWidth="8.7109375" defaultRowHeight="15" x14ac:dyDescent="0.25"/>
  <cols>
    <col min="1" max="1" width="140" customWidth="1"/>
    <col min="2" max="2" width="12" customWidth="1"/>
  </cols>
  <sheetData>
    <row r="1" spans="1:2" x14ac:dyDescent="0.25">
      <c r="A1" s="1" t="s">
        <v>0</v>
      </c>
    </row>
    <row r="2" spans="1:2" x14ac:dyDescent="0.25">
      <c r="A2" s="2" t="s">
        <v>1</v>
      </c>
      <c r="B2" s="3">
        <v>0.6</v>
      </c>
    </row>
    <row r="3" spans="1:2" x14ac:dyDescent="0.25">
      <c r="A3" s="2" t="s">
        <v>2</v>
      </c>
      <c r="B3" s="3">
        <v>0.6</v>
      </c>
    </row>
    <row r="4" spans="1:2" x14ac:dyDescent="0.25">
      <c r="A4" s="2" t="s">
        <v>3</v>
      </c>
      <c r="B4" s="3">
        <v>0.55000000000000004</v>
      </c>
    </row>
    <row r="5" spans="1:2" x14ac:dyDescent="0.25">
      <c r="A5" s="2" t="s">
        <v>4</v>
      </c>
      <c r="B5" s="3">
        <v>1</v>
      </c>
    </row>
    <row r="6" spans="1:2" x14ac:dyDescent="0.25">
      <c r="A6" s="2" t="s">
        <v>5</v>
      </c>
      <c r="B6" s="3">
        <v>0.03</v>
      </c>
    </row>
    <row r="7" spans="1:2" x14ac:dyDescent="0.25">
      <c r="A7" s="2" t="s">
        <v>6</v>
      </c>
      <c r="B7" s="3">
        <v>100</v>
      </c>
    </row>
    <row r="8" spans="1:2" x14ac:dyDescent="0.25">
      <c r="A8" s="2" t="s">
        <v>7</v>
      </c>
      <c r="B8" s="3">
        <v>1.1499999999999999</v>
      </c>
    </row>
    <row r="9" spans="1:2" x14ac:dyDescent="0.25">
      <c r="A9" s="2" t="s">
        <v>8</v>
      </c>
      <c r="B9" s="3">
        <v>0.08</v>
      </c>
    </row>
    <row r="10" spans="1:2" x14ac:dyDescent="0.25">
      <c r="A10" s="2" t="s">
        <v>9</v>
      </c>
      <c r="B10" s="3">
        <v>0.3</v>
      </c>
    </row>
    <row r="11" spans="1:2" x14ac:dyDescent="0.25">
      <c r="A11" s="2" t="s">
        <v>10</v>
      </c>
      <c r="B11" s="3">
        <v>0.16</v>
      </c>
    </row>
    <row r="12" spans="1:2" x14ac:dyDescent="0.25">
      <c r="A12" s="2"/>
    </row>
    <row r="13" spans="1:2" x14ac:dyDescent="0.25">
      <c r="A13" s="1" t="s">
        <v>11</v>
      </c>
    </row>
    <row r="14" spans="1:2" x14ac:dyDescent="0.25">
      <c r="A14" s="2"/>
    </row>
    <row r="15" spans="1:2" x14ac:dyDescent="0.25">
      <c r="A15" s="1" t="s">
        <v>12</v>
      </c>
    </row>
    <row r="16" spans="1:2" x14ac:dyDescent="0.25">
      <c r="A16" s="2" t="s">
        <v>13</v>
      </c>
    </row>
    <row r="17" spans="1:1" x14ac:dyDescent="0.25">
      <c r="A17" s="2"/>
    </row>
    <row r="18" spans="1:1" x14ac:dyDescent="0.25">
      <c r="A18" s="1" t="s">
        <v>14</v>
      </c>
    </row>
    <row r="19" spans="1:1" x14ac:dyDescent="0.25">
      <c r="A19" s="2" t="s">
        <v>15</v>
      </c>
    </row>
    <row r="20" spans="1:1" x14ac:dyDescent="0.25">
      <c r="A20" s="2"/>
    </row>
    <row r="21" spans="1:1" x14ac:dyDescent="0.25">
      <c r="A21" s="1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/>
    </row>
    <row r="25" spans="1:1" x14ac:dyDescent="0.25">
      <c r="A25" s="1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  <row r="32" spans="1:1" x14ac:dyDescent="0.25">
      <c r="A32" s="2" t="s">
        <v>26</v>
      </c>
    </row>
    <row r="33" spans="1:1" x14ac:dyDescent="0.25">
      <c r="A33" s="2"/>
    </row>
    <row r="34" spans="1:1" x14ac:dyDescent="0.25">
      <c r="A34" s="1" t="s">
        <v>27</v>
      </c>
    </row>
    <row r="35" spans="1:1" x14ac:dyDescent="0.25">
      <c r="A35" s="2" t="s">
        <v>28</v>
      </c>
    </row>
    <row r="36" spans="1:1" x14ac:dyDescent="0.25">
      <c r="A36" s="2" t="s">
        <v>29</v>
      </c>
    </row>
    <row r="37" spans="1:1" x14ac:dyDescent="0.25">
      <c r="A37" s="2"/>
    </row>
    <row r="38" spans="1:1" x14ac:dyDescent="0.25">
      <c r="A38" s="1" t="s">
        <v>30</v>
      </c>
    </row>
    <row r="39" spans="1:1" x14ac:dyDescent="0.25">
      <c r="A39" s="2" t="s">
        <v>31</v>
      </c>
    </row>
    <row r="40" spans="1:1" x14ac:dyDescent="0.25">
      <c r="A40" s="2" t="s">
        <v>32</v>
      </c>
    </row>
    <row r="41" spans="1:1" x14ac:dyDescent="0.25">
      <c r="A41" s="2" t="s">
        <v>33</v>
      </c>
    </row>
    <row r="42" spans="1:1" x14ac:dyDescent="0.25">
      <c r="A42" s="2" t="s">
        <v>34</v>
      </c>
    </row>
    <row r="43" spans="1:1" x14ac:dyDescent="0.25">
      <c r="A43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showGridLines="0" zoomScaleNormal="100" workbookViewId="0">
      <pane ySplit="4" topLeftCell="A26" activePane="bottomLeft" state="frozen"/>
      <selection pane="bottomLeft" activeCell="A44" sqref="A44:XFD45"/>
    </sheetView>
  </sheetViews>
  <sheetFormatPr defaultColWidth="8.7109375" defaultRowHeight="15" x14ac:dyDescent="0.25"/>
  <cols>
    <col min="1" max="1" width="5" customWidth="1"/>
    <col min="2" max="2" width="14" customWidth="1"/>
    <col min="3" max="4" width="16" customWidth="1"/>
    <col min="5" max="5" width="55" customWidth="1"/>
    <col min="6" max="6" width="10" customWidth="1"/>
    <col min="7" max="7" width="11" customWidth="1"/>
    <col min="8" max="8" width="14" customWidth="1"/>
    <col min="9" max="9" width="8" customWidth="1"/>
    <col min="10" max="10" width="9" customWidth="1"/>
    <col min="11" max="11" width="14" customWidth="1"/>
    <col min="12" max="12" width="15" customWidth="1"/>
    <col min="13" max="13" width="16" customWidth="1"/>
  </cols>
  <sheetData>
    <row r="1" spans="1:13" ht="16.5" x14ac:dyDescent="0.25">
      <c r="A1" s="4" t="s">
        <v>35</v>
      </c>
    </row>
    <row r="2" spans="1:13" x14ac:dyDescent="0.25">
      <c r="A2" s="5" t="s">
        <v>36</v>
      </c>
    </row>
    <row r="4" spans="1:13" x14ac:dyDescent="0.25">
      <c r="A4" s="6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6" t="s">
        <v>43</v>
      </c>
      <c r="H4" s="6" t="s">
        <v>44</v>
      </c>
      <c r="I4" s="6" t="s">
        <v>45</v>
      </c>
      <c r="J4" s="6" t="s">
        <v>46</v>
      </c>
      <c r="K4" s="6" t="s">
        <v>47</v>
      </c>
      <c r="L4" s="6" t="s">
        <v>48</v>
      </c>
      <c r="M4" s="6" t="s">
        <v>49</v>
      </c>
    </row>
    <row r="5" spans="1:13" x14ac:dyDescent="0.25">
      <c r="A5" s="7">
        <v>1</v>
      </c>
      <c r="B5" s="8" t="s">
        <v>50</v>
      </c>
      <c r="C5" s="7" t="s">
        <v>51</v>
      </c>
      <c r="D5" s="7"/>
      <c r="E5" s="8" t="s">
        <v>50</v>
      </c>
      <c r="F5" s="7"/>
      <c r="G5" s="7"/>
      <c r="H5" s="9"/>
      <c r="I5" s="7">
        <v>1</v>
      </c>
      <c r="J5" s="7" t="s">
        <v>52</v>
      </c>
      <c r="K5" s="7"/>
      <c r="L5" s="9"/>
      <c r="M5" s="7"/>
    </row>
    <row r="6" spans="1:13" x14ac:dyDescent="0.25">
      <c r="A6" s="10"/>
      <c r="B6" s="10"/>
      <c r="C6" s="10" t="s">
        <v>53</v>
      </c>
      <c r="D6" s="10" t="s">
        <v>54</v>
      </c>
      <c r="E6" s="10" t="s">
        <v>55</v>
      </c>
      <c r="F6" s="11">
        <v>125200</v>
      </c>
      <c r="G6" s="11">
        <v>125200</v>
      </c>
      <c r="H6" s="11">
        <f t="shared" ref="H6:H26" si="0">G6*I6</f>
        <v>125200</v>
      </c>
      <c r="I6" s="10">
        <v>1</v>
      </c>
      <c r="J6" s="10" t="s">
        <v>56</v>
      </c>
      <c r="K6" s="10" t="s">
        <v>57</v>
      </c>
      <c r="L6" s="11">
        <f t="shared" ref="L6:L26" si="1">H6*$I$5</f>
        <v>125200</v>
      </c>
      <c r="M6" s="10" t="s">
        <v>53</v>
      </c>
    </row>
    <row r="7" spans="1:13" x14ac:dyDescent="0.25">
      <c r="A7" s="10"/>
      <c r="B7" s="10"/>
      <c r="C7" s="10" t="s">
        <v>58</v>
      </c>
      <c r="D7" s="10" t="s">
        <v>59</v>
      </c>
      <c r="E7" s="10" t="s">
        <v>60</v>
      </c>
      <c r="F7" s="11">
        <v>24900</v>
      </c>
      <c r="G7" s="11">
        <v>14940</v>
      </c>
      <c r="H7" s="11">
        <f t="shared" si="0"/>
        <v>14940</v>
      </c>
      <c r="I7" s="10">
        <v>1</v>
      </c>
      <c r="J7" s="10" t="s">
        <v>56</v>
      </c>
      <c r="K7" s="10" t="s">
        <v>61</v>
      </c>
      <c r="L7" s="11">
        <f t="shared" si="1"/>
        <v>14940</v>
      </c>
      <c r="M7" s="10" t="s">
        <v>58</v>
      </c>
    </row>
    <row r="8" spans="1:13" x14ac:dyDescent="0.25">
      <c r="A8" s="10"/>
      <c r="B8" s="10"/>
      <c r="C8" s="10" t="s">
        <v>62</v>
      </c>
      <c r="D8" s="10" t="s">
        <v>63</v>
      </c>
      <c r="E8" s="10" t="s">
        <v>64</v>
      </c>
      <c r="F8" s="11">
        <v>3094</v>
      </c>
      <c r="G8" s="11">
        <v>1701.7</v>
      </c>
      <c r="H8" s="11">
        <f t="shared" si="0"/>
        <v>1701.7</v>
      </c>
      <c r="I8" s="10">
        <v>1</v>
      </c>
      <c r="J8" s="10" t="s">
        <v>56</v>
      </c>
      <c r="K8" s="10" t="s">
        <v>65</v>
      </c>
      <c r="L8" s="11">
        <f t="shared" si="1"/>
        <v>1701.7</v>
      </c>
      <c r="M8" s="10" t="s">
        <v>62</v>
      </c>
    </row>
    <row r="9" spans="1:13" x14ac:dyDescent="0.25">
      <c r="A9" s="10"/>
      <c r="B9" s="10"/>
      <c r="C9" s="10" t="s">
        <v>58</v>
      </c>
      <c r="D9" s="10" t="s">
        <v>66</v>
      </c>
      <c r="E9" s="10" t="s">
        <v>67</v>
      </c>
      <c r="F9" s="11">
        <v>14742</v>
      </c>
      <c r="G9" s="11">
        <v>8108.1</v>
      </c>
      <c r="H9" s="11">
        <f t="shared" si="0"/>
        <v>16216.2</v>
      </c>
      <c r="I9" s="10">
        <v>2</v>
      </c>
      <c r="J9" s="10" t="s">
        <v>56</v>
      </c>
      <c r="K9" s="10" t="s">
        <v>65</v>
      </c>
      <c r="L9" s="11">
        <f t="shared" si="1"/>
        <v>16216.2</v>
      </c>
      <c r="M9" s="10" t="s">
        <v>58</v>
      </c>
    </row>
    <row r="10" spans="1:13" x14ac:dyDescent="0.25">
      <c r="A10" s="10"/>
      <c r="B10" s="10"/>
      <c r="C10" s="10" t="s">
        <v>68</v>
      </c>
      <c r="D10" s="10" t="s">
        <v>69</v>
      </c>
      <c r="E10" s="10" t="s">
        <v>70</v>
      </c>
      <c r="F10" s="11">
        <v>3731</v>
      </c>
      <c r="G10" s="11">
        <v>2052.0500000000002</v>
      </c>
      <c r="H10" s="11">
        <f t="shared" si="0"/>
        <v>2052.0500000000002</v>
      </c>
      <c r="I10" s="10">
        <v>1</v>
      </c>
      <c r="J10" s="10" t="s">
        <v>56</v>
      </c>
      <c r="K10" s="10" t="s">
        <v>65</v>
      </c>
      <c r="L10" s="11">
        <f t="shared" si="1"/>
        <v>2052.0500000000002</v>
      </c>
      <c r="M10" s="10" t="s">
        <v>68</v>
      </c>
    </row>
    <row r="11" spans="1:13" x14ac:dyDescent="0.25">
      <c r="A11" s="10"/>
      <c r="B11" s="10"/>
      <c r="C11" s="10" t="s">
        <v>62</v>
      </c>
      <c r="D11" s="10" t="s">
        <v>71</v>
      </c>
      <c r="E11" s="10" t="s">
        <v>72</v>
      </c>
      <c r="F11" s="11">
        <v>828</v>
      </c>
      <c r="G11" s="11">
        <v>455.4</v>
      </c>
      <c r="H11" s="11">
        <f t="shared" si="0"/>
        <v>455.4</v>
      </c>
      <c r="I11" s="10">
        <v>1</v>
      </c>
      <c r="J11" s="10" t="s">
        <v>56</v>
      </c>
      <c r="K11" s="10" t="s">
        <v>65</v>
      </c>
      <c r="L11" s="11">
        <f t="shared" si="1"/>
        <v>455.4</v>
      </c>
      <c r="M11" s="10" t="s">
        <v>62</v>
      </c>
    </row>
    <row r="12" spans="1:13" x14ac:dyDescent="0.25">
      <c r="A12" s="10"/>
      <c r="B12" s="10"/>
      <c r="C12" s="10" t="s">
        <v>73</v>
      </c>
      <c r="D12" s="10" t="s">
        <v>74</v>
      </c>
      <c r="E12" s="10" t="s">
        <v>75</v>
      </c>
      <c r="F12" s="11">
        <v>258</v>
      </c>
      <c r="G12" s="11">
        <v>258</v>
      </c>
      <c r="H12" s="11">
        <f t="shared" si="0"/>
        <v>1548</v>
      </c>
      <c r="I12" s="10">
        <v>6</v>
      </c>
      <c r="J12" s="10" t="s">
        <v>56</v>
      </c>
      <c r="K12" s="10" t="s">
        <v>57</v>
      </c>
      <c r="L12" s="11">
        <f t="shared" si="1"/>
        <v>1548</v>
      </c>
      <c r="M12" s="10" t="s">
        <v>73</v>
      </c>
    </row>
    <row r="13" spans="1:13" x14ac:dyDescent="0.25">
      <c r="A13" s="10"/>
      <c r="B13" s="10"/>
      <c r="C13" s="10" t="s">
        <v>76</v>
      </c>
      <c r="D13" s="10" t="s">
        <v>77</v>
      </c>
      <c r="E13" s="10" t="s">
        <v>78</v>
      </c>
      <c r="F13" s="11">
        <v>2000</v>
      </c>
      <c r="G13" s="11">
        <v>2000</v>
      </c>
      <c r="H13" s="11">
        <f t="shared" si="0"/>
        <v>2000</v>
      </c>
      <c r="I13" s="10">
        <v>1</v>
      </c>
      <c r="J13" s="10" t="s">
        <v>56</v>
      </c>
      <c r="K13" s="10" t="s">
        <v>57</v>
      </c>
      <c r="L13" s="11">
        <f t="shared" si="1"/>
        <v>2000</v>
      </c>
      <c r="M13" s="10" t="s">
        <v>76</v>
      </c>
    </row>
    <row r="14" spans="1:13" x14ac:dyDescent="0.25">
      <c r="A14" s="10"/>
      <c r="B14" s="10"/>
      <c r="C14" s="10" t="s">
        <v>79</v>
      </c>
      <c r="D14" s="10" t="s">
        <v>80</v>
      </c>
      <c r="E14" s="10" t="s">
        <v>81</v>
      </c>
      <c r="F14" s="11">
        <v>5590</v>
      </c>
      <c r="G14" s="11">
        <v>5590</v>
      </c>
      <c r="H14" s="11">
        <f t="shared" si="0"/>
        <v>22360</v>
      </c>
      <c r="I14" s="10">
        <v>4</v>
      </c>
      <c r="J14" s="10" t="s">
        <v>82</v>
      </c>
      <c r="K14" s="10" t="s">
        <v>57</v>
      </c>
      <c r="L14" s="11">
        <f t="shared" si="1"/>
        <v>22360</v>
      </c>
      <c r="M14" s="10" t="s">
        <v>79</v>
      </c>
    </row>
    <row r="15" spans="1:13" x14ac:dyDescent="0.25">
      <c r="A15" s="10"/>
      <c r="B15" s="10"/>
      <c r="C15" s="10" t="s">
        <v>83</v>
      </c>
      <c r="D15" s="10" t="s">
        <v>84</v>
      </c>
      <c r="E15" s="10" t="s">
        <v>85</v>
      </c>
      <c r="F15" s="11">
        <v>200</v>
      </c>
      <c r="G15" s="11">
        <v>200</v>
      </c>
      <c r="H15" s="11">
        <f t="shared" si="0"/>
        <v>3000</v>
      </c>
      <c r="I15" s="10">
        <v>15</v>
      </c>
      <c r="J15" s="10" t="s">
        <v>56</v>
      </c>
      <c r="K15" s="10" t="s">
        <v>57</v>
      </c>
      <c r="L15" s="11">
        <f t="shared" si="1"/>
        <v>3000</v>
      </c>
      <c r="M15" s="10" t="s">
        <v>83</v>
      </c>
    </row>
    <row r="16" spans="1:13" x14ac:dyDescent="0.25">
      <c r="A16" s="10"/>
      <c r="B16" s="10"/>
      <c r="C16" s="10" t="s">
        <v>73</v>
      </c>
      <c r="D16" s="10" t="s">
        <v>86</v>
      </c>
      <c r="E16" s="10" t="s">
        <v>87</v>
      </c>
      <c r="F16" s="11">
        <v>334</v>
      </c>
      <c r="G16" s="11">
        <v>334</v>
      </c>
      <c r="H16" s="11">
        <f t="shared" si="0"/>
        <v>668</v>
      </c>
      <c r="I16" s="10">
        <v>2</v>
      </c>
      <c r="J16" s="10" t="s">
        <v>56</v>
      </c>
      <c r="K16" s="10" t="s">
        <v>61</v>
      </c>
      <c r="L16" s="11">
        <f t="shared" si="1"/>
        <v>668</v>
      </c>
      <c r="M16" s="10" t="s">
        <v>73</v>
      </c>
    </row>
    <row r="17" spans="1:13" x14ac:dyDescent="0.25">
      <c r="A17" s="10"/>
      <c r="B17" s="10"/>
      <c r="C17" s="10" t="s">
        <v>83</v>
      </c>
      <c r="D17" s="10" t="s">
        <v>88</v>
      </c>
      <c r="E17" s="10" t="s">
        <v>89</v>
      </c>
      <c r="F17" s="11">
        <v>147</v>
      </c>
      <c r="G17" s="11">
        <v>147</v>
      </c>
      <c r="H17" s="11">
        <f t="shared" si="0"/>
        <v>1911</v>
      </c>
      <c r="I17" s="10">
        <v>13</v>
      </c>
      <c r="J17" s="10" t="s">
        <v>56</v>
      </c>
      <c r="K17" s="10" t="s">
        <v>57</v>
      </c>
      <c r="L17" s="11">
        <f t="shared" si="1"/>
        <v>1911</v>
      </c>
      <c r="M17" s="10" t="s">
        <v>83</v>
      </c>
    </row>
    <row r="18" spans="1:13" x14ac:dyDescent="0.25">
      <c r="A18" s="10"/>
      <c r="B18" s="10"/>
      <c r="C18" s="10" t="s">
        <v>90</v>
      </c>
      <c r="D18" s="10" t="s">
        <v>91</v>
      </c>
      <c r="E18" s="10" t="s">
        <v>92</v>
      </c>
      <c r="F18" s="11">
        <v>24000</v>
      </c>
      <c r="G18" s="11">
        <v>24000</v>
      </c>
      <c r="H18" s="11">
        <f t="shared" si="0"/>
        <v>24000</v>
      </c>
      <c r="I18" s="10">
        <v>1</v>
      </c>
      <c r="J18" s="10" t="s">
        <v>56</v>
      </c>
      <c r="K18" s="10" t="s">
        <v>57</v>
      </c>
      <c r="L18" s="11">
        <f t="shared" si="1"/>
        <v>24000</v>
      </c>
      <c r="M18" s="10" t="s">
        <v>90</v>
      </c>
    </row>
    <row r="19" spans="1:13" x14ac:dyDescent="0.25">
      <c r="A19" s="10"/>
      <c r="B19" s="10"/>
      <c r="C19" s="10" t="s">
        <v>93</v>
      </c>
      <c r="D19" s="10" t="s">
        <v>94</v>
      </c>
      <c r="E19" s="10" t="s">
        <v>95</v>
      </c>
      <c r="F19" s="11">
        <v>6018</v>
      </c>
      <c r="G19" s="11">
        <v>6018</v>
      </c>
      <c r="H19" s="11">
        <f t="shared" si="0"/>
        <v>18054</v>
      </c>
      <c r="I19" s="10">
        <v>3</v>
      </c>
      <c r="J19" s="10" t="s">
        <v>56</v>
      </c>
      <c r="K19" s="10" t="s">
        <v>57</v>
      </c>
      <c r="L19" s="11">
        <f t="shared" si="1"/>
        <v>18054</v>
      </c>
      <c r="M19" s="10" t="s">
        <v>93</v>
      </c>
    </row>
    <row r="20" spans="1:13" x14ac:dyDescent="0.25">
      <c r="A20" s="10"/>
      <c r="B20" s="10"/>
      <c r="C20" s="10" t="s">
        <v>96</v>
      </c>
      <c r="D20" s="10" t="s">
        <v>97</v>
      </c>
      <c r="E20" s="10" t="s">
        <v>98</v>
      </c>
      <c r="F20" s="11">
        <v>700</v>
      </c>
      <c r="G20" s="11">
        <v>700</v>
      </c>
      <c r="H20" s="11">
        <f t="shared" si="0"/>
        <v>10500</v>
      </c>
      <c r="I20" s="10">
        <v>15</v>
      </c>
      <c r="J20" s="10" t="s">
        <v>56</v>
      </c>
      <c r="K20" s="10" t="s">
        <v>57</v>
      </c>
      <c r="L20" s="11">
        <f t="shared" si="1"/>
        <v>10500</v>
      </c>
      <c r="M20" s="10" t="s">
        <v>96</v>
      </c>
    </row>
    <row r="21" spans="1:13" x14ac:dyDescent="0.25">
      <c r="A21" s="10"/>
      <c r="B21" s="10"/>
      <c r="C21" s="10" t="s">
        <v>99</v>
      </c>
      <c r="D21" s="10" t="s">
        <v>100</v>
      </c>
      <c r="E21" s="10" t="s">
        <v>101</v>
      </c>
      <c r="F21" s="11">
        <v>3133</v>
      </c>
      <c r="G21" s="11">
        <v>1879.8</v>
      </c>
      <c r="H21" s="11">
        <f t="shared" si="0"/>
        <v>9399</v>
      </c>
      <c r="I21" s="10">
        <v>5</v>
      </c>
      <c r="J21" s="10" t="s">
        <v>56</v>
      </c>
      <c r="K21" s="10" t="s">
        <v>102</v>
      </c>
      <c r="L21" s="11">
        <f t="shared" si="1"/>
        <v>9399</v>
      </c>
      <c r="M21" s="10" t="s">
        <v>99</v>
      </c>
    </row>
    <row r="22" spans="1:13" x14ac:dyDescent="0.25">
      <c r="A22" s="10"/>
      <c r="B22" s="10"/>
      <c r="C22" s="10" t="s">
        <v>103</v>
      </c>
      <c r="D22" s="10" t="s">
        <v>104</v>
      </c>
      <c r="E22" s="10" t="s">
        <v>105</v>
      </c>
      <c r="F22" s="11">
        <v>540</v>
      </c>
      <c r="G22" s="11">
        <v>540</v>
      </c>
      <c r="H22" s="11">
        <f t="shared" si="0"/>
        <v>1080</v>
      </c>
      <c r="I22" s="10">
        <v>2</v>
      </c>
      <c r="J22" s="10" t="s">
        <v>56</v>
      </c>
      <c r="K22" s="10" t="s">
        <v>57</v>
      </c>
      <c r="L22" s="11">
        <f t="shared" si="1"/>
        <v>1080</v>
      </c>
      <c r="M22" s="10" t="s">
        <v>103</v>
      </c>
    </row>
    <row r="23" spans="1:13" x14ac:dyDescent="0.25">
      <c r="A23" s="10"/>
      <c r="B23" s="10"/>
      <c r="C23" s="10" t="s">
        <v>106</v>
      </c>
      <c r="D23" s="10" t="s">
        <v>107</v>
      </c>
      <c r="E23" s="10" t="s">
        <v>108</v>
      </c>
      <c r="F23" s="11">
        <v>2020</v>
      </c>
      <c r="G23" s="11">
        <v>2020</v>
      </c>
      <c r="H23" s="11">
        <f t="shared" si="0"/>
        <v>4040</v>
      </c>
      <c r="I23" s="10">
        <v>2</v>
      </c>
      <c r="J23" s="10" t="s">
        <v>82</v>
      </c>
      <c r="K23" s="10" t="s">
        <v>57</v>
      </c>
      <c r="L23" s="11">
        <f t="shared" si="1"/>
        <v>4040</v>
      </c>
      <c r="M23" s="10" t="s">
        <v>106</v>
      </c>
    </row>
    <row r="24" spans="1:13" x14ac:dyDescent="0.25">
      <c r="A24" s="10"/>
      <c r="B24" s="10"/>
      <c r="C24" s="10" t="s">
        <v>109</v>
      </c>
      <c r="D24" s="10" t="s">
        <v>110</v>
      </c>
      <c r="E24" s="10" t="s">
        <v>111</v>
      </c>
      <c r="F24" s="11">
        <v>2000</v>
      </c>
      <c r="G24" s="11">
        <v>2000</v>
      </c>
      <c r="H24" s="11">
        <f t="shared" si="0"/>
        <v>5000</v>
      </c>
      <c r="I24" s="10">
        <v>2.5</v>
      </c>
      <c r="J24" s="10" t="s">
        <v>82</v>
      </c>
      <c r="K24" s="10" t="s">
        <v>57</v>
      </c>
      <c r="L24" s="11">
        <f t="shared" si="1"/>
        <v>5000</v>
      </c>
      <c r="M24" s="10" t="s">
        <v>109</v>
      </c>
    </row>
    <row r="25" spans="1:13" x14ac:dyDescent="0.25">
      <c r="A25" s="10"/>
      <c r="B25" s="10"/>
      <c r="C25" s="10" t="s">
        <v>113</v>
      </c>
      <c r="D25" s="10"/>
      <c r="E25" s="10" t="s">
        <v>114</v>
      </c>
      <c r="F25" s="10"/>
      <c r="G25" s="11">
        <f>SUM(H6:H24)*Kurallar!$B$6</f>
        <v>7923.7604999999994</v>
      </c>
      <c r="H25" s="11">
        <f t="shared" si="0"/>
        <v>7923.7604999999994</v>
      </c>
      <c r="I25" s="10">
        <v>1</v>
      </c>
      <c r="J25" s="10" t="s">
        <v>52</v>
      </c>
      <c r="K25" s="10" t="s">
        <v>115</v>
      </c>
      <c r="L25" s="11">
        <f t="shared" si="1"/>
        <v>7923.7604999999994</v>
      </c>
      <c r="M25" s="10" t="s">
        <v>113</v>
      </c>
    </row>
    <row r="26" spans="1:13" x14ac:dyDescent="0.25">
      <c r="A26" s="10"/>
      <c r="B26" s="10"/>
      <c r="C26" s="10" t="s">
        <v>116</v>
      </c>
      <c r="D26" s="10"/>
      <c r="E26" s="10" t="s">
        <v>117</v>
      </c>
      <c r="F26" s="11">
        <f>I26/60</f>
        <v>1</v>
      </c>
      <c r="G26" s="11">
        <f>Kurallar!$B$7</f>
        <v>100</v>
      </c>
      <c r="H26" s="11">
        <f t="shared" si="0"/>
        <v>6000</v>
      </c>
      <c r="I26" s="10">
        <v>60</v>
      </c>
      <c r="J26" s="10" t="s">
        <v>118</v>
      </c>
      <c r="K26" s="10" t="s">
        <v>115</v>
      </c>
      <c r="L26" s="11">
        <f t="shared" si="1"/>
        <v>6000</v>
      </c>
      <c r="M26" s="10" t="s">
        <v>116</v>
      </c>
    </row>
    <row r="27" spans="1:13" x14ac:dyDescent="0.25">
      <c r="A27" s="12"/>
      <c r="B27" s="12" t="s">
        <v>119</v>
      </c>
      <c r="C27" s="12"/>
      <c r="D27" s="12"/>
      <c r="E27" s="12" t="s">
        <v>120</v>
      </c>
      <c r="F27" s="12"/>
      <c r="G27" s="12"/>
      <c r="H27" s="13">
        <f>SUBTOTAL(9,H6:H26)</f>
        <v>278049.11049999995</v>
      </c>
      <c r="I27" s="12">
        <v>1</v>
      </c>
      <c r="J27" s="12" t="s">
        <v>52</v>
      </c>
      <c r="K27" s="12"/>
      <c r="L27" s="13">
        <f>SUBTOTAL(9,L6:L26)</f>
        <v>278049.11049999995</v>
      </c>
      <c r="M27" s="12"/>
    </row>
    <row r="28" spans="1:13" x14ac:dyDescent="0.25">
      <c r="A28" s="7">
        <v>2</v>
      </c>
      <c r="B28" s="8" t="s">
        <v>121</v>
      </c>
      <c r="C28" s="7" t="s">
        <v>51</v>
      </c>
      <c r="D28" s="7"/>
      <c r="E28" s="8" t="s">
        <v>121</v>
      </c>
      <c r="F28" s="7"/>
      <c r="G28" s="7"/>
      <c r="H28" s="9"/>
      <c r="I28" s="7">
        <v>1</v>
      </c>
      <c r="J28" s="7" t="s">
        <v>52</v>
      </c>
      <c r="K28" s="7"/>
      <c r="L28" s="9"/>
      <c r="M28" s="7"/>
    </row>
    <row r="29" spans="1:13" x14ac:dyDescent="0.25">
      <c r="A29" s="10"/>
      <c r="B29" s="10"/>
      <c r="C29" s="10" t="s">
        <v>53</v>
      </c>
      <c r="D29" s="10" t="s">
        <v>122</v>
      </c>
      <c r="E29" s="10" t="s">
        <v>123</v>
      </c>
      <c r="F29" s="11">
        <v>49000</v>
      </c>
      <c r="G29" s="11">
        <v>49000</v>
      </c>
      <c r="H29" s="11">
        <f t="shared" ref="H29:H35" si="2">G29*I29</f>
        <v>49000</v>
      </c>
      <c r="I29" s="10">
        <v>1</v>
      </c>
      <c r="J29" s="10" t="s">
        <v>56</v>
      </c>
      <c r="K29" s="10" t="s">
        <v>57</v>
      </c>
      <c r="L29" s="11">
        <f t="shared" ref="L29:L35" si="3">H29*$I$28</f>
        <v>49000</v>
      </c>
      <c r="M29" s="10" t="s">
        <v>53</v>
      </c>
    </row>
    <row r="30" spans="1:13" x14ac:dyDescent="0.25">
      <c r="A30" s="10"/>
      <c r="B30" s="10"/>
      <c r="C30" s="10" t="s">
        <v>62</v>
      </c>
      <c r="D30" s="10" t="s">
        <v>124</v>
      </c>
      <c r="E30" s="10" t="s">
        <v>125</v>
      </c>
      <c r="F30" s="11">
        <v>2694</v>
      </c>
      <c r="G30" s="11">
        <v>1481.7</v>
      </c>
      <c r="H30" s="11">
        <f t="shared" si="2"/>
        <v>1481.7</v>
      </c>
      <c r="I30" s="10">
        <v>1</v>
      </c>
      <c r="J30" s="10" t="s">
        <v>56</v>
      </c>
      <c r="K30" s="10" t="s">
        <v>65</v>
      </c>
      <c r="L30" s="11">
        <f t="shared" si="3"/>
        <v>1481.7</v>
      </c>
      <c r="M30" s="10" t="s">
        <v>62</v>
      </c>
    </row>
    <row r="31" spans="1:13" x14ac:dyDescent="0.25">
      <c r="A31" s="10"/>
      <c r="B31" s="10"/>
      <c r="C31" s="10" t="s">
        <v>68</v>
      </c>
      <c r="D31" s="10" t="s">
        <v>69</v>
      </c>
      <c r="E31" s="10" t="s">
        <v>70</v>
      </c>
      <c r="F31" s="11">
        <v>3731</v>
      </c>
      <c r="G31" s="11">
        <v>2052.0500000000002</v>
      </c>
      <c r="H31" s="11">
        <f t="shared" si="2"/>
        <v>45145.100000000006</v>
      </c>
      <c r="I31" s="10">
        <v>22</v>
      </c>
      <c r="J31" s="10" t="s">
        <v>56</v>
      </c>
      <c r="K31" s="10" t="s">
        <v>65</v>
      </c>
      <c r="L31" s="11">
        <f t="shared" si="3"/>
        <v>45145.100000000006</v>
      </c>
      <c r="M31" s="10" t="s">
        <v>68</v>
      </c>
    </row>
    <row r="32" spans="1:13" x14ac:dyDescent="0.25">
      <c r="A32" s="10"/>
      <c r="B32" s="10"/>
      <c r="C32" s="10" t="s">
        <v>79</v>
      </c>
      <c r="D32" s="10" t="s">
        <v>112</v>
      </c>
      <c r="E32" s="10" t="s">
        <v>126</v>
      </c>
      <c r="F32" s="11">
        <v>1471</v>
      </c>
      <c r="G32" s="11">
        <v>1471</v>
      </c>
      <c r="H32" s="11">
        <f t="shared" si="2"/>
        <v>4413</v>
      </c>
      <c r="I32" s="10">
        <v>3</v>
      </c>
      <c r="J32" s="10" t="s">
        <v>56</v>
      </c>
      <c r="K32" s="10" t="s">
        <v>57</v>
      </c>
      <c r="L32" s="11">
        <f t="shared" si="3"/>
        <v>4413</v>
      </c>
      <c r="M32" s="10" t="s">
        <v>79</v>
      </c>
    </row>
    <row r="33" spans="1:13" x14ac:dyDescent="0.25">
      <c r="A33" s="10"/>
      <c r="B33" s="10"/>
      <c r="C33" s="10" t="s">
        <v>99</v>
      </c>
      <c r="D33" s="10" t="s">
        <v>100</v>
      </c>
      <c r="E33" s="10" t="s">
        <v>101</v>
      </c>
      <c r="F33" s="11">
        <v>3133</v>
      </c>
      <c r="G33" s="11">
        <v>3133</v>
      </c>
      <c r="H33" s="11">
        <f t="shared" si="2"/>
        <v>6266</v>
      </c>
      <c r="I33" s="10">
        <v>2</v>
      </c>
      <c r="J33" s="10" t="s">
        <v>82</v>
      </c>
      <c r="K33" s="10" t="s">
        <v>102</v>
      </c>
      <c r="L33" s="11">
        <f t="shared" si="3"/>
        <v>6266</v>
      </c>
      <c r="M33" s="10" t="s">
        <v>99</v>
      </c>
    </row>
    <row r="34" spans="1:13" x14ac:dyDescent="0.25">
      <c r="A34" s="10"/>
      <c r="B34" s="10"/>
      <c r="C34" s="10" t="s">
        <v>113</v>
      </c>
      <c r="D34" s="10"/>
      <c r="E34" s="10" t="s">
        <v>114</v>
      </c>
      <c r="F34" s="10"/>
      <c r="G34" s="11">
        <f>SUM(H29:H33)*Kurallar!$B$6</f>
        <v>3189.174</v>
      </c>
      <c r="H34" s="11">
        <f t="shared" si="2"/>
        <v>3189.174</v>
      </c>
      <c r="I34" s="10">
        <v>1</v>
      </c>
      <c r="J34" s="10" t="s">
        <v>52</v>
      </c>
      <c r="K34" s="10" t="s">
        <v>115</v>
      </c>
      <c r="L34" s="11">
        <f t="shared" si="3"/>
        <v>3189.174</v>
      </c>
      <c r="M34" s="10" t="s">
        <v>113</v>
      </c>
    </row>
    <row r="35" spans="1:13" x14ac:dyDescent="0.25">
      <c r="A35" s="10"/>
      <c r="B35" s="10"/>
      <c r="C35" s="10" t="s">
        <v>116</v>
      </c>
      <c r="D35" s="10"/>
      <c r="E35" s="10" t="s">
        <v>127</v>
      </c>
      <c r="F35" s="11">
        <f>I35/60</f>
        <v>2.1666666666666665</v>
      </c>
      <c r="G35" s="11">
        <f>Kurallar!$B$7</f>
        <v>100</v>
      </c>
      <c r="H35" s="11">
        <f t="shared" si="2"/>
        <v>13000</v>
      </c>
      <c r="I35" s="10">
        <v>130</v>
      </c>
      <c r="J35" s="10" t="s">
        <v>118</v>
      </c>
      <c r="K35" s="10" t="s">
        <v>115</v>
      </c>
      <c r="L35" s="11">
        <f t="shared" si="3"/>
        <v>13000</v>
      </c>
      <c r="M35" s="10" t="s">
        <v>116</v>
      </c>
    </row>
    <row r="36" spans="1:13" x14ac:dyDescent="0.25">
      <c r="A36" s="12"/>
      <c r="B36" s="12" t="s">
        <v>128</v>
      </c>
      <c r="C36" s="12"/>
      <c r="D36" s="12"/>
      <c r="E36" s="12" t="s">
        <v>129</v>
      </c>
      <c r="F36" s="12"/>
      <c r="G36" s="12"/>
      <c r="H36" s="13">
        <f>SUBTOTAL(9,H29:H35)</f>
        <v>122494.974</v>
      </c>
      <c r="I36" s="12">
        <v>1</v>
      </c>
      <c r="J36" s="12" t="s">
        <v>52</v>
      </c>
      <c r="K36" s="12"/>
      <c r="L36" s="13">
        <f>SUBTOTAL(9,L29:L35)</f>
        <v>122494.974</v>
      </c>
      <c r="M36" s="12"/>
    </row>
    <row r="37" spans="1:13" x14ac:dyDescent="0.25">
      <c r="A37" s="7">
        <v>3</v>
      </c>
      <c r="B37" s="8" t="s">
        <v>130</v>
      </c>
      <c r="C37" s="7" t="s">
        <v>51</v>
      </c>
      <c r="D37" s="7"/>
      <c r="E37" s="8" t="s">
        <v>130</v>
      </c>
      <c r="F37" s="7"/>
      <c r="G37" s="7"/>
      <c r="H37" s="9"/>
      <c r="I37" s="7">
        <v>1</v>
      </c>
      <c r="J37" s="7" t="s">
        <v>52</v>
      </c>
      <c r="K37" s="7"/>
      <c r="L37" s="9"/>
      <c r="M37" s="7"/>
    </row>
    <row r="38" spans="1:13" x14ac:dyDescent="0.25">
      <c r="A38" s="10"/>
      <c r="B38" s="10"/>
      <c r="C38" s="10" t="s">
        <v>53</v>
      </c>
      <c r="D38" s="10" t="s">
        <v>131</v>
      </c>
      <c r="E38" s="10" t="s">
        <v>132</v>
      </c>
      <c r="F38" s="11">
        <v>12500</v>
      </c>
      <c r="G38" s="11">
        <v>12500</v>
      </c>
      <c r="H38" s="11">
        <f t="shared" ref="H38:H45" si="4">G38*I38</f>
        <v>12500</v>
      </c>
      <c r="I38" s="10">
        <v>1</v>
      </c>
      <c r="J38" s="10" t="s">
        <v>56</v>
      </c>
      <c r="K38" s="10" t="s">
        <v>57</v>
      </c>
      <c r="L38" s="11">
        <f t="shared" ref="L38:L45" si="5">H38*$I$37</f>
        <v>12500</v>
      </c>
      <c r="M38" s="10" t="s">
        <v>53</v>
      </c>
    </row>
    <row r="39" spans="1:13" x14ac:dyDescent="0.25">
      <c r="A39" s="10"/>
      <c r="B39" s="10"/>
      <c r="C39" s="10" t="s">
        <v>62</v>
      </c>
      <c r="D39" s="10" t="s">
        <v>133</v>
      </c>
      <c r="E39" s="10" t="s">
        <v>134</v>
      </c>
      <c r="F39" s="11">
        <v>2129</v>
      </c>
      <c r="G39" s="11">
        <v>1170.95</v>
      </c>
      <c r="H39" s="11">
        <f t="shared" si="4"/>
        <v>1170.95</v>
      </c>
      <c r="I39" s="10">
        <v>1</v>
      </c>
      <c r="J39" s="10" t="s">
        <v>56</v>
      </c>
      <c r="K39" s="10" t="s">
        <v>65</v>
      </c>
      <c r="L39" s="11">
        <f t="shared" si="5"/>
        <v>1170.95</v>
      </c>
      <c r="M39" s="10" t="s">
        <v>62</v>
      </c>
    </row>
    <row r="40" spans="1:13" x14ac:dyDescent="0.25">
      <c r="A40" s="10"/>
      <c r="B40" s="10"/>
      <c r="C40" s="10" t="s">
        <v>62</v>
      </c>
      <c r="D40" s="10" t="s">
        <v>135</v>
      </c>
      <c r="E40" s="10" t="s">
        <v>136</v>
      </c>
      <c r="F40" s="11">
        <v>701</v>
      </c>
      <c r="G40" s="11">
        <v>385.55</v>
      </c>
      <c r="H40" s="11">
        <f t="shared" si="4"/>
        <v>4626.6000000000004</v>
      </c>
      <c r="I40" s="10">
        <v>12</v>
      </c>
      <c r="J40" s="10" t="s">
        <v>56</v>
      </c>
      <c r="K40" s="10" t="s">
        <v>65</v>
      </c>
      <c r="L40" s="11">
        <f t="shared" si="5"/>
        <v>4626.6000000000004</v>
      </c>
      <c r="M40" s="10" t="s">
        <v>62</v>
      </c>
    </row>
    <row r="41" spans="1:13" x14ac:dyDescent="0.25">
      <c r="A41" s="10"/>
      <c r="B41" s="10"/>
      <c r="C41" s="10" t="s">
        <v>79</v>
      </c>
      <c r="D41" s="10" t="s">
        <v>112</v>
      </c>
      <c r="E41" s="10" t="s">
        <v>126</v>
      </c>
      <c r="F41" s="11">
        <v>1471</v>
      </c>
      <c r="G41" s="11">
        <v>1471</v>
      </c>
      <c r="H41" s="11">
        <f t="shared" si="4"/>
        <v>1471</v>
      </c>
      <c r="I41" s="10">
        <v>1</v>
      </c>
      <c r="J41" s="10" t="s">
        <v>56</v>
      </c>
      <c r="K41" s="10" t="s">
        <v>57</v>
      </c>
      <c r="L41" s="11">
        <f t="shared" si="5"/>
        <v>1471</v>
      </c>
      <c r="M41" s="10" t="s">
        <v>79</v>
      </c>
    </row>
    <row r="42" spans="1:13" x14ac:dyDescent="0.25">
      <c r="A42" s="10"/>
      <c r="B42" s="10"/>
      <c r="C42" s="10" t="s">
        <v>99</v>
      </c>
      <c r="D42" s="10" t="s">
        <v>100</v>
      </c>
      <c r="E42" s="10" t="s">
        <v>101</v>
      </c>
      <c r="F42" s="11">
        <v>3133</v>
      </c>
      <c r="G42" s="11">
        <v>3133</v>
      </c>
      <c r="H42" s="11">
        <f t="shared" si="4"/>
        <v>3133</v>
      </c>
      <c r="I42" s="10">
        <v>1</v>
      </c>
      <c r="J42" s="10" t="s">
        <v>82</v>
      </c>
      <c r="K42" s="10" t="s">
        <v>102</v>
      </c>
      <c r="L42" s="11">
        <f t="shared" si="5"/>
        <v>3133</v>
      </c>
      <c r="M42" s="10" t="s">
        <v>99</v>
      </c>
    </row>
    <row r="43" spans="1:13" x14ac:dyDescent="0.25">
      <c r="A43" s="10"/>
      <c r="B43" s="10"/>
      <c r="C43" s="10" t="s">
        <v>79</v>
      </c>
      <c r="D43" s="10" t="s">
        <v>137</v>
      </c>
      <c r="E43" s="10" t="s">
        <v>138</v>
      </c>
      <c r="F43" s="11">
        <v>5771</v>
      </c>
      <c r="G43" s="11">
        <v>5771</v>
      </c>
      <c r="H43" s="11">
        <f t="shared" si="4"/>
        <v>5771</v>
      </c>
      <c r="I43" s="10">
        <v>1</v>
      </c>
      <c r="J43" s="10" t="s">
        <v>56</v>
      </c>
      <c r="K43" s="10" t="s">
        <v>57</v>
      </c>
      <c r="L43" s="11">
        <f t="shared" si="5"/>
        <v>5771</v>
      </c>
      <c r="M43" s="10" t="s">
        <v>79</v>
      </c>
    </row>
    <row r="44" spans="1:13" x14ac:dyDescent="0.25">
      <c r="A44" s="10"/>
      <c r="B44" s="10"/>
      <c r="C44" s="10" t="s">
        <v>113</v>
      </c>
      <c r="D44" s="10"/>
      <c r="E44" s="10" t="s">
        <v>114</v>
      </c>
      <c r="F44" s="10"/>
      <c r="G44" s="11">
        <f>SUM(H38:H43)*Kurallar!$B$6</f>
        <v>860.17650000000003</v>
      </c>
      <c r="H44" s="11">
        <f t="shared" si="4"/>
        <v>860.17650000000003</v>
      </c>
      <c r="I44" s="10">
        <v>1</v>
      </c>
      <c r="J44" s="10" t="s">
        <v>52</v>
      </c>
      <c r="K44" s="10" t="s">
        <v>115</v>
      </c>
      <c r="L44" s="11">
        <f t="shared" si="5"/>
        <v>860.17650000000003</v>
      </c>
      <c r="M44" s="10" t="s">
        <v>113</v>
      </c>
    </row>
    <row r="45" spans="1:13" x14ac:dyDescent="0.25">
      <c r="A45" s="10"/>
      <c r="B45" s="10"/>
      <c r="C45" s="10" t="s">
        <v>116</v>
      </c>
      <c r="D45" s="10"/>
      <c r="E45" s="10" t="s">
        <v>139</v>
      </c>
      <c r="F45" s="11">
        <f>I45/60</f>
        <v>1.3333333333333333</v>
      </c>
      <c r="G45" s="11">
        <f>Kurallar!$B$7</f>
        <v>100</v>
      </c>
      <c r="H45" s="11">
        <f t="shared" si="4"/>
        <v>8000</v>
      </c>
      <c r="I45" s="10">
        <v>80</v>
      </c>
      <c r="J45" s="10" t="s">
        <v>118</v>
      </c>
      <c r="K45" s="10" t="s">
        <v>115</v>
      </c>
      <c r="L45" s="11">
        <f t="shared" si="5"/>
        <v>8000</v>
      </c>
      <c r="M45" s="10" t="s">
        <v>116</v>
      </c>
    </row>
    <row r="46" spans="1:13" x14ac:dyDescent="0.25">
      <c r="A46" s="12"/>
      <c r="B46" s="12" t="s">
        <v>140</v>
      </c>
      <c r="C46" s="12"/>
      <c r="D46" s="12"/>
      <c r="E46" s="12" t="s">
        <v>141</v>
      </c>
      <c r="F46" s="12"/>
      <c r="G46" s="12"/>
      <c r="H46" s="13">
        <f>SUBTOTAL(9,H38:H45)</f>
        <v>37532.726500000004</v>
      </c>
      <c r="I46" s="12">
        <v>1</v>
      </c>
      <c r="J46" s="12" t="s">
        <v>52</v>
      </c>
      <c r="K46" s="12"/>
      <c r="L46" s="13">
        <f>SUBTOTAL(9,L38:L45)</f>
        <v>37532.726500000004</v>
      </c>
      <c r="M46" s="12"/>
    </row>
  </sheetData>
  <autoFilter ref="A4:M4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showGridLines="0" zoomScaleNormal="100" workbookViewId="0"/>
  </sheetViews>
  <sheetFormatPr defaultColWidth="8.7109375" defaultRowHeight="15" x14ac:dyDescent="0.25"/>
  <cols>
    <col min="2" max="2" width="10" customWidth="1"/>
    <col min="4" max="5" width="16" customWidth="1"/>
  </cols>
  <sheetData>
    <row r="1" spans="1:6" ht="16.5" x14ac:dyDescent="0.25">
      <c r="A1" s="4" t="s">
        <v>142</v>
      </c>
    </row>
    <row r="3" spans="1:6" x14ac:dyDescent="0.25">
      <c r="A3" s="6" t="s">
        <v>143</v>
      </c>
      <c r="B3" s="6" t="s">
        <v>144</v>
      </c>
      <c r="C3" s="6" t="s">
        <v>145</v>
      </c>
      <c r="D3" s="6" t="s">
        <v>146</v>
      </c>
      <c r="E3" s="6" t="s">
        <v>147</v>
      </c>
      <c r="F3" s="6" t="s">
        <v>148</v>
      </c>
    </row>
    <row r="4" spans="1:6" x14ac:dyDescent="0.25">
      <c r="A4" s="10">
        <v>1</v>
      </c>
      <c r="B4" s="10" t="s">
        <v>50</v>
      </c>
      <c r="C4" s="10">
        <v>1</v>
      </c>
      <c r="D4" s="14">
        <f>BOM!H27</f>
        <v>278049.11049999995</v>
      </c>
      <c r="E4" s="14">
        <f>BOM!L27</f>
        <v>278049.11049999995</v>
      </c>
      <c r="F4" s="10">
        <v>1060</v>
      </c>
    </row>
    <row r="5" spans="1:6" x14ac:dyDescent="0.25">
      <c r="A5" s="10">
        <v>2</v>
      </c>
      <c r="B5" s="10" t="s">
        <v>121</v>
      </c>
      <c r="C5" s="10">
        <v>1</v>
      </c>
      <c r="D5" s="14">
        <f>BOM!H36</f>
        <v>122494.974</v>
      </c>
      <c r="E5" s="14">
        <f>BOM!L36</f>
        <v>122494.974</v>
      </c>
      <c r="F5" s="10">
        <v>852</v>
      </c>
    </row>
    <row r="6" spans="1:6" x14ac:dyDescent="0.25">
      <c r="A6" s="10">
        <v>3</v>
      </c>
      <c r="B6" s="10" t="s">
        <v>130</v>
      </c>
      <c r="C6" s="10">
        <v>1</v>
      </c>
      <c r="D6" s="14">
        <f>BOM!H46</f>
        <v>37532.726500000004</v>
      </c>
      <c r="E6" s="14">
        <f>BOM!L46</f>
        <v>37532.726500000004</v>
      </c>
      <c r="F6" s="10">
        <v>429</v>
      </c>
    </row>
    <row r="8" spans="1:6" x14ac:dyDescent="0.25">
      <c r="B8" s="15" t="s">
        <v>149</v>
      </c>
      <c r="E8" s="16">
        <f>SUM(E4:E6)</f>
        <v>438076.81099999993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showGridLines="0" tabSelected="1" zoomScaleNormal="100" workbookViewId="0"/>
  </sheetViews>
  <sheetFormatPr defaultColWidth="8.7109375" defaultRowHeight="15" x14ac:dyDescent="0.25"/>
  <cols>
    <col min="2" max="2" width="14" customWidth="1"/>
    <col min="4" max="5" width="16" customWidth="1"/>
  </cols>
  <sheetData>
    <row r="1" spans="1:5" ht="16.5" x14ac:dyDescent="0.25">
      <c r="A1" s="4" t="s">
        <v>150</v>
      </c>
    </row>
    <row r="2" spans="1:5" x14ac:dyDescent="0.25">
      <c r="A2" t="s">
        <v>151</v>
      </c>
    </row>
    <row r="3" spans="1:5" x14ac:dyDescent="0.25">
      <c r="A3" t="s">
        <v>152</v>
      </c>
    </row>
    <row r="4" spans="1:5" x14ac:dyDescent="0.25">
      <c r="A4" t="s">
        <v>153</v>
      </c>
    </row>
    <row r="6" spans="1:5" x14ac:dyDescent="0.25">
      <c r="A6" s="6" t="s">
        <v>143</v>
      </c>
      <c r="B6" s="6" t="s">
        <v>154</v>
      </c>
      <c r="C6" s="6" t="s">
        <v>145</v>
      </c>
      <c r="D6" s="6" t="s">
        <v>155</v>
      </c>
      <c r="E6" s="6" t="s">
        <v>147</v>
      </c>
    </row>
    <row r="7" spans="1:5" x14ac:dyDescent="0.25">
      <c r="A7" s="10">
        <v>1</v>
      </c>
      <c r="B7" s="10" t="s">
        <v>50</v>
      </c>
      <c r="C7" s="10">
        <v>1</v>
      </c>
      <c r="D7" s="14">
        <f>ROUND(BOM!H27*(1+Kurallar!$B$9)*(1+Kurallar!$B$10),0)</f>
        <v>390381</v>
      </c>
      <c r="E7" s="14">
        <f>C7*D7</f>
        <v>390381</v>
      </c>
    </row>
    <row r="8" spans="1:5" x14ac:dyDescent="0.25">
      <c r="A8" s="10">
        <v>2</v>
      </c>
      <c r="B8" s="10" t="s">
        <v>121</v>
      </c>
      <c r="C8" s="10">
        <v>1</v>
      </c>
      <c r="D8" s="14">
        <f>ROUND(BOM!H36*(1+Kurallar!$B$9)*(1+Kurallar!$B$10),0)</f>
        <v>171983</v>
      </c>
      <c r="E8" s="14">
        <f>C8*D8</f>
        <v>171983</v>
      </c>
    </row>
    <row r="9" spans="1:5" x14ac:dyDescent="0.25">
      <c r="A9" s="10">
        <v>3</v>
      </c>
      <c r="B9" s="10" t="s">
        <v>130</v>
      </c>
      <c r="C9" s="10">
        <v>1</v>
      </c>
      <c r="D9" s="14">
        <f>ROUND(BOM!H46*(1+Kurallar!$B$9)*(1+Kurallar!$B$10),0)</f>
        <v>52696</v>
      </c>
      <c r="E9" s="14">
        <f>C9*D9</f>
        <v>52696</v>
      </c>
    </row>
    <row r="11" spans="1:5" x14ac:dyDescent="0.25">
      <c r="B11" s="15" t="s">
        <v>156</v>
      </c>
      <c r="E11" s="16">
        <f>SUM(E7:E9)</f>
        <v>615060</v>
      </c>
    </row>
    <row r="12" spans="1:5" x14ac:dyDescent="0.25">
      <c r="B12" t="s">
        <v>157</v>
      </c>
      <c r="E12" s="17">
        <f>E11*Kurallar!$B$11</f>
        <v>98409.600000000006</v>
      </c>
    </row>
    <row r="13" spans="1:5" x14ac:dyDescent="0.25">
      <c r="B13" s="15" t="s">
        <v>158</v>
      </c>
      <c r="E13" s="16">
        <f>E11+E12</f>
        <v>713469.6</v>
      </c>
    </row>
    <row r="15" spans="1:5" x14ac:dyDescent="0.25">
      <c r="B15" t="s">
        <v>159</v>
      </c>
    </row>
    <row r="16" spans="1:5" x14ac:dyDescent="0.25">
      <c r="B16" t="s">
        <v>160</v>
      </c>
    </row>
    <row r="17" spans="2:2" x14ac:dyDescent="0.25">
      <c r="B17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Kurallar</vt:lpstr>
      <vt:lpstr>BOM</vt:lpstr>
      <vt:lpstr>СВОД</vt:lpstr>
      <vt:lpstr>KP-TEKLIF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2026-09-11T06:21:21Z</dcterms:created>
  <dcterms:modified xsi:type="dcterms:W3CDTF">2026-09-11T12:04:21Z</dcterms:modified>
  <dc:language>en-US</dc:language>
</cp:coreProperties>
</file>