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4-fiyat verilen\atrau\260828 atrau bi jk samgar\"/>
    </mc:Choice>
  </mc:AlternateContent>
  <xr:revisionPtr revIDLastSave="0" documentId="13_ncr:1_{27A422EC-3AEF-43C1-98A1-E3920230F633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bom" sheetId="2" r:id="rId1"/>
    <sheet name="Sayfa2" sheetId="6" r:id="rId2"/>
  </sheets>
  <definedNames>
    <definedName name="_xlnm._FilterDatabase" localSheetId="0" hidden="1">bom!$A$1:$J$1268</definedName>
    <definedName name="_xlnm._FilterDatabase" localSheetId="1" hidden="1">Sayfa2!$A$1:$J$145</definedName>
    <definedName name="sayac">bom!#REF!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11" i="2" l="1"/>
  <c r="G911" i="2" s="1"/>
  <c r="L1142" i="2"/>
  <c r="L854" i="2"/>
  <c r="L451" i="2"/>
  <c r="L168" i="2"/>
  <c r="L157" i="2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2" i="6"/>
  <c r="D59" i="6"/>
  <c r="E59" i="6" s="1"/>
  <c r="D63" i="6"/>
  <c r="E63" i="6" s="1"/>
  <c r="D64" i="6"/>
  <c r="E64" i="6" s="1"/>
  <c r="D71" i="6"/>
  <c r="E71" i="6" s="1"/>
  <c r="D75" i="6"/>
  <c r="E75" i="6" s="1"/>
  <c r="D76" i="6"/>
  <c r="E76" i="6" s="1"/>
  <c r="D83" i="6"/>
  <c r="E83" i="6" s="1"/>
  <c r="D107" i="6"/>
  <c r="E107" i="6" s="1"/>
  <c r="D111" i="6"/>
  <c r="E111" i="6" s="1"/>
  <c r="D112" i="6"/>
  <c r="E112" i="6" s="1"/>
  <c r="D119" i="6"/>
  <c r="E119" i="6" s="1"/>
  <c r="D123" i="6"/>
  <c r="E123" i="6" s="1"/>
  <c r="D124" i="6"/>
  <c r="E124" i="6" s="1"/>
  <c r="D15" i="6"/>
  <c r="E15" i="6" s="1"/>
  <c r="D16" i="6"/>
  <c r="E16" i="6" s="1"/>
  <c r="D17" i="6"/>
  <c r="E17" i="6" s="1"/>
  <c r="D28" i="6"/>
  <c r="E28" i="6" s="1"/>
  <c r="K49" i="6"/>
  <c r="C49" i="6" s="1"/>
  <c r="D49" i="6" s="1"/>
  <c r="E49" i="6" s="1"/>
  <c r="K3" i="6"/>
  <c r="C3" i="6" s="1"/>
  <c r="D3" i="6" s="1"/>
  <c r="E3" i="6" s="1"/>
  <c r="K4" i="6"/>
  <c r="C4" i="6" s="1"/>
  <c r="D4" i="6" s="1"/>
  <c r="E4" i="6" s="1"/>
  <c r="K5" i="6"/>
  <c r="C5" i="6" s="1"/>
  <c r="D5" i="6" s="1"/>
  <c r="E5" i="6" s="1"/>
  <c r="K6" i="6"/>
  <c r="C6" i="6" s="1"/>
  <c r="D6" i="6" s="1"/>
  <c r="E6" i="6" s="1"/>
  <c r="K7" i="6"/>
  <c r="C7" i="6" s="1"/>
  <c r="D7" i="6" s="1"/>
  <c r="E7" i="6" s="1"/>
  <c r="K8" i="6"/>
  <c r="C8" i="6" s="1"/>
  <c r="D8" i="6" s="1"/>
  <c r="E8" i="6" s="1"/>
  <c r="K9" i="6"/>
  <c r="C9" i="6" s="1"/>
  <c r="D9" i="6" s="1"/>
  <c r="E9" i="6" s="1"/>
  <c r="K10" i="6"/>
  <c r="C10" i="6" s="1"/>
  <c r="D10" i="6" s="1"/>
  <c r="E10" i="6" s="1"/>
  <c r="K11" i="6"/>
  <c r="C11" i="6" s="1"/>
  <c r="D11" i="6" s="1"/>
  <c r="E11" i="6" s="1"/>
  <c r="K12" i="6"/>
  <c r="C12" i="6" s="1"/>
  <c r="D12" i="6" s="1"/>
  <c r="E12" i="6" s="1"/>
  <c r="K13" i="6"/>
  <c r="C13" i="6" s="1"/>
  <c r="D13" i="6" s="1"/>
  <c r="E13" i="6" s="1"/>
  <c r="K14" i="6"/>
  <c r="C14" i="6" s="1"/>
  <c r="D14" i="6" s="1"/>
  <c r="E14" i="6" s="1"/>
  <c r="K15" i="6"/>
  <c r="C15" i="6" s="1"/>
  <c r="K16" i="6"/>
  <c r="C16" i="6" s="1"/>
  <c r="K17" i="6"/>
  <c r="C17" i="6" s="1"/>
  <c r="K18" i="6"/>
  <c r="C18" i="6" s="1"/>
  <c r="D18" i="6" s="1"/>
  <c r="E18" i="6" s="1"/>
  <c r="K19" i="6"/>
  <c r="C19" i="6" s="1"/>
  <c r="D19" i="6" s="1"/>
  <c r="E19" i="6" s="1"/>
  <c r="K20" i="6"/>
  <c r="C20" i="6" s="1"/>
  <c r="D20" i="6" s="1"/>
  <c r="E20" i="6" s="1"/>
  <c r="K21" i="6"/>
  <c r="C21" i="6" s="1"/>
  <c r="D21" i="6" s="1"/>
  <c r="E21" i="6" s="1"/>
  <c r="K22" i="6"/>
  <c r="C22" i="6" s="1"/>
  <c r="D22" i="6" s="1"/>
  <c r="E22" i="6" s="1"/>
  <c r="K23" i="6"/>
  <c r="C23" i="6" s="1"/>
  <c r="D23" i="6" s="1"/>
  <c r="E23" i="6" s="1"/>
  <c r="K24" i="6"/>
  <c r="C24" i="6" s="1"/>
  <c r="D24" i="6" s="1"/>
  <c r="E24" i="6" s="1"/>
  <c r="K25" i="6"/>
  <c r="C25" i="6" s="1"/>
  <c r="D25" i="6" s="1"/>
  <c r="E25" i="6" s="1"/>
  <c r="K26" i="6"/>
  <c r="C26" i="6" s="1"/>
  <c r="D26" i="6" s="1"/>
  <c r="E26" i="6" s="1"/>
  <c r="K27" i="6"/>
  <c r="C27" i="6" s="1"/>
  <c r="D27" i="6" s="1"/>
  <c r="E27" i="6" s="1"/>
  <c r="K28" i="6"/>
  <c r="C28" i="6" s="1"/>
  <c r="K29" i="6"/>
  <c r="C29" i="6" s="1"/>
  <c r="D29" i="6" s="1"/>
  <c r="E29" i="6" s="1"/>
  <c r="K30" i="6"/>
  <c r="C30" i="6" s="1"/>
  <c r="D30" i="6" s="1"/>
  <c r="E30" i="6" s="1"/>
  <c r="K31" i="6"/>
  <c r="C31" i="6" s="1"/>
  <c r="D31" i="6" s="1"/>
  <c r="E31" i="6" s="1"/>
  <c r="K32" i="6"/>
  <c r="C32" i="6" s="1"/>
  <c r="D32" i="6" s="1"/>
  <c r="E32" i="6" s="1"/>
  <c r="K33" i="6"/>
  <c r="C33" i="6" s="1"/>
  <c r="D33" i="6" s="1"/>
  <c r="E33" i="6" s="1"/>
  <c r="K34" i="6"/>
  <c r="C34" i="6" s="1"/>
  <c r="D34" i="6" s="1"/>
  <c r="E34" i="6" s="1"/>
  <c r="K35" i="6"/>
  <c r="C35" i="6" s="1"/>
  <c r="D35" i="6" s="1"/>
  <c r="E35" i="6" s="1"/>
  <c r="K36" i="6"/>
  <c r="C36" i="6" s="1"/>
  <c r="D36" i="6" s="1"/>
  <c r="E36" i="6" s="1"/>
  <c r="K37" i="6"/>
  <c r="C37" i="6" s="1"/>
  <c r="D37" i="6" s="1"/>
  <c r="E37" i="6" s="1"/>
  <c r="K38" i="6"/>
  <c r="C38" i="6" s="1"/>
  <c r="D38" i="6" s="1"/>
  <c r="E38" i="6" s="1"/>
  <c r="K39" i="6"/>
  <c r="C39" i="6" s="1"/>
  <c r="D39" i="6" s="1"/>
  <c r="E39" i="6" s="1"/>
  <c r="K40" i="6"/>
  <c r="C40" i="6" s="1"/>
  <c r="D40" i="6" s="1"/>
  <c r="E40" i="6" s="1"/>
  <c r="K41" i="6"/>
  <c r="C41" i="6" s="1"/>
  <c r="D41" i="6" s="1"/>
  <c r="E41" i="6" s="1"/>
  <c r="K42" i="6"/>
  <c r="C42" i="6" s="1"/>
  <c r="D42" i="6" s="1"/>
  <c r="E42" i="6" s="1"/>
  <c r="K43" i="6"/>
  <c r="C43" i="6" s="1"/>
  <c r="D43" i="6" s="1"/>
  <c r="E43" i="6" s="1"/>
  <c r="K44" i="6"/>
  <c r="C44" i="6" s="1"/>
  <c r="D44" i="6" s="1"/>
  <c r="E44" i="6" s="1"/>
  <c r="K45" i="6"/>
  <c r="C45" i="6" s="1"/>
  <c r="D45" i="6" s="1"/>
  <c r="E45" i="6" s="1"/>
  <c r="K46" i="6"/>
  <c r="C46" i="6" s="1"/>
  <c r="D46" i="6" s="1"/>
  <c r="E46" i="6" s="1"/>
  <c r="K47" i="6"/>
  <c r="C47" i="6" s="1"/>
  <c r="D47" i="6" s="1"/>
  <c r="E47" i="6" s="1"/>
  <c r="K48" i="6"/>
  <c r="C48" i="6" s="1"/>
  <c r="D48" i="6" s="1"/>
  <c r="E48" i="6" s="1"/>
  <c r="K50" i="6"/>
  <c r="C50" i="6" s="1"/>
  <c r="D50" i="6" s="1"/>
  <c r="E50" i="6" s="1"/>
  <c r="K51" i="6"/>
  <c r="C51" i="6" s="1"/>
  <c r="D51" i="6" s="1"/>
  <c r="E51" i="6" s="1"/>
  <c r="K52" i="6"/>
  <c r="C52" i="6" s="1"/>
  <c r="D52" i="6" s="1"/>
  <c r="E52" i="6" s="1"/>
  <c r="K53" i="6"/>
  <c r="C53" i="6" s="1"/>
  <c r="D53" i="6" s="1"/>
  <c r="E53" i="6" s="1"/>
  <c r="K54" i="6"/>
  <c r="C54" i="6" s="1"/>
  <c r="D54" i="6" s="1"/>
  <c r="E54" i="6" s="1"/>
  <c r="K55" i="6"/>
  <c r="C55" i="6" s="1"/>
  <c r="D55" i="6" s="1"/>
  <c r="E55" i="6" s="1"/>
  <c r="K56" i="6"/>
  <c r="C56" i="6" s="1"/>
  <c r="D56" i="6" s="1"/>
  <c r="E56" i="6" s="1"/>
  <c r="K57" i="6"/>
  <c r="C57" i="6" s="1"/>
  <c r="D57" i="6" s="1"/>
  <c r="E57" i="6" s="1"/>
  <c r="K58" i="6"/>
  <c r="C58" i="6" s="1"/>
  <c r="D58" i="6" s="1"/>
  <c r="E58" i="6" s="1"/>
  <c r="K59" i="6"/>
  <c r="C59" i="6" s="1"/>
  <c r="K60" i="6"/>
  <c r="C60" i="6" s="1"/>
  <c r="D60" i="6" s="1"/>
  <c r="E60" i="6" s="1"/>
  <c r="K61" i="6"/>
  <c r="C61" i="6" s="1"/>
  <c r="D61" i="6" s="1"/>
  <c r="E61" i="6" s="1"/>
  <c r="K62" i="6"/>
  <c r="C62" i="6" s="1"/>
  <c r="D62" i="6" s="1"/>
  <c r="E62" i="6" s="1"/>
  <c r="K63" i="6"/>
  <c r="C63" i="6" s="1"/>
  <c r="K64" i="6"/>
  <c r="C64" i="6" s="1"/>
  <c r="K65" i="6"/>
  <c r="C65" i="6" s="1"/>
  <c r="D65" i="6" s="1"/>
  <c r="E65" i="6" s="1"/>
  <c r="K66" i="6"/>
  <c r="C66" i="6" s="1"/>
  <c r="D66" i="6" s="1"/>
  <c r="E66" i="6" s="1"/>
  <c r="K67" i="6"/>
  <c r="C67" i="6" s="1"/>
  <c r="D67" i="6" s="1"/>
  <c r="E67" i="6" s="1"/>
  <c r="K68" i="6"/>
  <c r="C68" i="6" s="1"/>
  <c r="D68" i="6" s="1"/>
  <c r="E68" i="6" s="1"/>
  <c r="K69" i="6"/>
  <c r="C69" i="6" s="1"/>
  <c r="D69" i="6" s="1"/>
  <c r="E69" i="6" s="1"/>
  <c r="K70" i="6"/>
  <c r="C70" i="6" s="1"/>
  <c r="D70" i="6" s="1"/>
  <c r="E70" i="6" s="1"/>
  <c r="K71" i="6"/>
  <c r="C71" i="6" s="1"/>
  <c r="K72" i="6"/>
  <c r="C72" i="6" s="1"/>
  <c r="D72" i="6" s="1"/>
  <c r="E72" i="6" s="1"/>
  <c r="K73" i="6"/>
  <c r="C73" i="6" s="1"/>
  <c r="D73" i="6" s="1"/>
  <c r="E73" i="6" s="1"/>
  <c r="K74" i="6"/>
  <c r="C74" i="6" s="1"/>
  <c r="D74" i="6" s="1"/>
  <c r="E74" i="6" s="1"/>
  <c r="K75" i="6"/>
  <c r="C75" i="6" s="1"/>
  <c r="K76" i="6"/>
  <c r="C76" i="6" s="1"/>
  <c r="K77" i="6"/>
  <c r="C77" i="6" s="1"/>
  <c r="D77" i="6" s="1"/>
  <c r="E77" i="6" s="1"/>
  <c r="K78" i="6"/>
  <c r="C78" i="6" s="1"/>
  <c r="D78" i="6" s="1"/>
  <c r="E78" i="6" s="1"/>
  <c r="K79" i="6"/>
  <c r="C79" i="6" s="1"/>
  <c r="D79" i="6" s="1"/>
  <c r="E79" i="6" s="1"/>
  <c r="K80" i="6"/>
  <c r="C80" i="6" s="1"/>
  <c r="D80" i="6" s="1"/>
  <c r="E80" i="6" s="1"/>
  <c r="K81" i="6"/>
  <c r="C81" i="6" s="1"/>
  <c r="D81" i="6" s="1"/>
  <c r="E81" i="6" s="1"/>
  <c r="K82" i="6"/>
  <c r="C82" i="6" s="1"/>
  <c r="D82" i="6" s="1"/>
  <c r="E82" i="6" s="1"/>
  <c r="K83" i="6"/>
  <c r="C83" i="6" s="1"/>
  <c r="K84" i="6"/>
  <c r="C84" i="6" s="1"/>
  <c r="D84" i="6" s="1"/>
  <c r="E84" i="6" s="1"/>
  <c r="K85" i="6"/>
  <c r="C85" i="6" s="1"/>
  <c r="D85" i="6" s="1"/>
  <c r="E85" i="6" s="1"/>
  <c r="K86" i="6"/>
  <c r="C86" i="6" s="1"/>
  <c r="D86" i="6" s="1"/>
  <c r="E86" i="6" s="1"/>
  <c r="K87" i="6"/>
  <c r="C87" i="6" s="1"/>
  <c r="D87" i="6" s="1"/>
  <c r="E87" i="6" s="1"/>
  <c r="K88" i="6"/>
  <c r="C88" i="6" s="1"/>
  <c r="D88" i="6" s="1"/>
  <c r="E88" i="6" s="1"/>
  <c r="K89" i="6"/>
  <c r="C89" i="6" s="1"/>
  <c r="D89" i="6" s="1"/>
  <c r="E89" i="6" s="1"/>
  <c r="K90" i="6"/>
  <c r="C90" i="6" s="1"/>
  <c r="D90" i="6" s="1"/>
  <c r="E90" i="6" s="1"/>
  <c r="K91" i="6"/>
  <c r="C91" i="6" s="1"/>
  <c r="D91" i="6" s="1"/>
  <c r="E91" i="6" s="1"/>
  <c r="K92" i="6"/>
  <c r="C92" i="6" s="1"/>
  <c r="D92" i="6" s="1"/>
  <c r="E92" i="6" s="1"/>
  <c r="K93" i="6"/>
  <c r="C93" i="6" s="1"/>
  <c r="D93" i="6" s="1"/>
  <c r="E93" i="6" s="1"/>
  <c r="K94" i="6"/>
  <c r="C94" i="6" s="1"/>
  <c r="D94" i="6" s="1"/>
  <c r="E94" i="6" s="1"/>
  <c r="K95" i="6"/>
  <c r="C95" i="6" s="1"/>
  <c r="D95" i="6" s="1"/>
  <c r="E95" i="6" s="1"/>
  <c r="K96" i="6"/>
  <c r="C96" i="6" s="1"/>
  <c r="D96" i="6" s="1"/>
  <c r="E96" i="6" s="1"/>
  <c r="K97" i="6"/>
  <c r="C97" i="6" s="1"/>
  <c r="D97" i="6" s="1"/>
  <c r="E97" i="6" s="1"/>
  <c r="K98" i="6"/>
  <c r="C98" i="6" s="1"/>
  <c r="D98" i="6" s="1"/>
  <c r="E98" i="6" s="1"/>
  <c r="K99" i="6"/>
  <c r="C99" i="6" s="1"/>
  <c r="D99" i="6" s="1"/>
  <c r="E99" i="6" s="1"/>
  <c r="K100" i="6"/>
  <c r="C100" i="6" s="1"/>
  <c r="D100" i="6" s="1"/>
  <c r="E100" i="6" s="1"/>
  <c r="K101" i="6"/>
  <c r="C101" i="6" s="1"/>
  <c r="D101" i="6" s="1"/>
  <c r="E101" i="6" s="1"/>
  <c r="K102" i="6"/>
  <c r="C102" i="6" s="1"/>
  <c r="D102" i="6" s="1"/>
  <c r="E102" i="6" s="1"/>
  <c r="K103" i="6"/>
  <c r="C103" i="6" s="1"/>
  <c r="D103" i="6" s="1"/>
  <c r="E103" i="6" s="1"/>
  <c r="K104" i="6"/>
  <c r="C104" i="6" s="1"/>
  <c r="D104" i="6" s="1"/>
  <c r="E104" i="6" s="1"/>
  <c r="K105" i="6"/>
  <c r="C105" i="6" s="1"/>
  <c r="D105" i="6" s="1"/>
  <c r="E105" i="6" s="1"/>
  <c r="K106" i="6"/>
  <c r="C106" i="6" s="1"/>
  <c r="D106" i="6" s="1"/>
  <c r="E106" i="6" s="1"/>
  <c r="K107" i="6"/>
  <c r="C107" i="6" s="1"/>
  <c r="K108" i="6"/>
  <c r="C108" i="6" s="1"/>
  <c r="D108" i="6" s="1"/>
  <c r="E108" i="6" s="1"/>
  <c r="K109" i="6"/>
  <c r="C109" i="6" s="1"/>
  <c r="D109" i="6" s="1"/>
  <c r="E109" i="6" s="1"/>
  <c r="K110" i="6"/>
  <c r="C110" i="6" s="1"/>
  <c r="D110" i="6" s="1"/>
  <c r="E110" i="6" s="1"/>
  <c r="K111" i="6"/>
  <c r="C111" i="6" s="1"/>
  <c r="K112" i="6"/>
  <c r="C112" i="6" s="1"/>
  <c r="K113" i="6"/>
  <c r="C113" i="6" s="1"/>
  <c r="D113" i="6" s="1"/>
  <c r="E113" i="6" s="1"/>
  <c r="K114" i="6"/>
  <c r="C114" i="6" s="1"/>
  <c r="D114" i="6" s="1"/>
  <c r="E114" i="6" s="1"/>
  <c r="K115" i="6"/>
  <c r="C115" i="6" s="1"/>
  <c r="D115" i="6" s="1"/>
  <c r="E115" i="6" s="1"/>
  <c r="K116" i="6"/>
  <c r="C116" i="6" s="1"/>
  <c r="D116" i="6" s="1"/>
  <c r="E116" i="6" s="1"/>
  <c r="K117" i="6"/>
  <c r="C117" i="6" s="1"/>
  <c r="D117" i="6" s="1"/>
  <c r="E117" i="6" s="1"/>
  <c r="K118" i="6"/>
  <c r="C118" i="6" s="1"/>
  <c r="D118" i="6" s="1"/>
  <c r="E118" i="6" s="1"/>
  <c r="K119" i="6"/>
  <c r="C119" i="6" s="1"/>
  <c r="K120" i="6"/>
  <c r="C120" i="6" s="1"/>
  <c r="D120" i="6" s="1"/>
  <c r="E120" i="6" s="1"/>
  <c r="K121" i="6"/>
  <c r="C121" i="6" s="1"/>
  <c r="D121" i="6" s="1"/>
  <c r="E121" i="6" s="1"/>
  <c r="K122" i="6"/>
  <c r="C122" i="6" s="1"/>
  <c r="D122" i="6" s="1"/>
  <c r="E122" i="6" s="1"/>
  <c r="K123" i="6"/>
  <c r="C123" i="6" s="1"/>
  <c r="K124" i="6"/>
  <c r="C124" i="6" s="1"/>
  <c r="K125" i="6"/>
  <c r="C125" i="6" s="1"/>
  <c r="D125" i="6" s="1"/>
  <c r="E125" i="6" s="1"/>
  <c r="K126" i="6"/>
  <c r="C126" i="6" s="1"/>
  <c r="D126" i="6" s="1"/>
  <c r="E126" i="6" s="1"/>
  <c r="K127" i="6"/>
  <c r="C127" i="6" s="1"/>
  <c r="D127" i="6" s="1"/>
  <c r="E127" i="6" s="1"/>
  <c r="K128" i="6"/>
  <c r="C128" i="6" s="1"/>
  <c r="D128" i="6" s="1"/>
  <c r="E128" i="6" s="1"/>
  <c r="K129" i="6"/>
  <c r="C129" i="6" s="1"/>
  <c r="D129" i="6" s="1"/>
  <c r="E129" i="6" s="1"/>
  <c r="K130" i="6"/>
  <c r="C130" i="6" s="1"/>
  <c r="D130" i="6" s="1"/>
  <c r="E130" i="6" s="1"/>
  <c r="K131" i="6"/>
  <c r="C131" i="6" s="1"/>
  <c r="D131" i="6" s="1"/>
  <c r="E131" i="6" s="1"/>
  <c r="K132" i="6"/>
  <c r="C132" i="6" s="1"/>
  <c r="D132" i="6" s="1"/>
  <c r="E132" i="6" s="1"/>
  <c r="K133" i="6"/>
  <c r="C133" i="6" s="1"/>
  <c r="D133" i="6" s="1"/>
  <c r="E133" i="6" s="1"/>
  <c r="K134" i="6"/>
  <c r="C134" i="6" s="1"/>
  <c r="D134" i="6" s="1"/>
  <c r="E134" i="6" s="1"/>
  <c r="K135" i="6"/>
  <c r="C135" i="6" s="1"/>
  <c r="D135" i="6" s="1"/>
  <c r="E135" i="6" s="1"/>
  <c r="K136" i="6"/>
  <c r="C136" i="6" s="1"/>
  <c r="D136" i="6" s="1"/>
  <c r="E136" i="6" s="1"/>
  <c r="K137" i="6"/>
  <c r="C137" i="6" s="1"/>
  <c r="D137" i="6" s="1"/>
  <c r="E137" i="6" s="1"/>
  <c r="K138" i="6"/>
  <c r="C138" i="6" s="1"/>
  <c r="D138" i="6" s="1"/>
  <c r="E138" i="6" s="1"/>
  <c r="K139" i="6"/>
  <c r="C139" i="6" s="1"/>
  <c r="D139" i="6" s="1"/>
  <c r="E139" i="6" s="1"/>
  <c r="K140" i="6"/>
  <c r="C140" i="6" s="1"/>
  <c r="D140" i="6" s="1"/>
  <c r="E140" i="6" s="1"/>
  <c r="K141" i="6"/>
  <c r="C141" i="6" s="1"/>
  <c r="D141" i="6" s="1"/>
  <c r="E141" i="6" s="1"/>
  <c r="K142" i="6"/>
  <c r="C142" i="6" s="1"/>
  <c r="D142" i="6" s="1"/>
  <c r="E142" i="6" s="1"/>
  <c r="K143" i="6"/>
  <c r="C143" i="6" s="1"/>
  <c r="D143" i="6" s="1"/>
  <c r="E143" i="6" s="1"/>
  <c r="K2" i="6"/>
  <c r="C2" i="6" s="1"/>
  <c r="D2" i="6" s="1"/>
  <c r="E2" i="6" s="1"/>
  <c r="L144" i="6" l="1"/>
  <c r="L145" i="6" s="1"/>
  <c r="E144" i="6"/>
  <c r="F860" i="2"/>
  <c r="G860" i="2" s="1"/>
  <c r="L860" i="2" s="1"/>
  <c r="F859" i="2"/>
  <c r="G859" i="2" s="1"/>
  <c r="L859" i="2" s="1"/>
  <c r="F858" i="2"/>
  <c r="G858" i="2" s="1"/>
  <c r="L858" i="2" s="1"/>
  <c r="F857" i="2"/>
  <c r="G857" i="2" s="1"/>
  <c r="L857" i="2" s="1"/>
  <c r="F457" i="2"/>
  <c r="G457" i="2" s="1"/>
  <c r="L457" i="2" s="1"/>
  <c r="F456" i="2"/>
  <c r="G456" i="2" s="1"/>
  <c r="L456" i="2" s="1"/>
  <c r="F455" i="2"/>
  <c r="G455" i="2" s="1"/>
  <c r="L455" i="2" s="1"/>
  <c r="H1096" i="2"/>
  <c r="G1096" i="2" s="1"/>
  <c r="E1095" i="2" s="1"/>
  <c r="F1095" i="2" s="1"/>
  <c r="G1095" i="2" s="1"/>
  <c r="F932" i="2"/>
  <c r="G932" i="2" s="1"/>
  <c r="F924" i="2"/>
  <c r="G924" i="2" s="1"/>
  <c r="F1265" i="2"/>
  <c r="G1265" i="2" s="1"/>
  <c r="F1264" i="2"/>
  <c r="G1264" i="2" s="1"/>
  <c r="F1263" i="2"/>
  <c r="G1263" i="2" s="1"/>
  <c r="F1262" i="2"/>
  <c r="G1262" i="2" s="1"/>
  <c r="F1261" i="2"/>
  <c r="G1261" i="2" s="1"/>
  <c r="F1260" i="2"/>
  <c r="G1260" i="2" s="1"/>
  <c r="F1259" i="2"/>
  <c r="G1259" i="2" s="1"/>
  <c r="F1258" i="2"/>
  <c r="G1258" i="2" s="1"/>
  <c r="F1257" i="2"/>
  <c r="G1257" i="2" s="1"/>
  <c r="F1256" i="2"/>
  <c r="G1256" i="2" s="1"/>
  <c r="F1251" i="2"/>
  <c r="G1251" i="2" s="1"/>
  <c r="F1250" i="2"/>
  <c r="G1250" i="2" s="1"/>
  <c r="F1249" i="2"/>
  <c r="G1249" i="2" s="1"/>
  <c r="F1248" i="2"/>
  <c r="G1248" i="2" s="1"/>
  <c r="F1247" i="2"/>
  <c r="G1247" i="2" s="1"/>
  <c r="F1246" i="2"/>
  <c r="G1246" i="2" s="1"/>
  <c r="F1245" i="2"/>
  <c r="G1245" i="2" s="1"/>
  <c r="F1244" i="2"/>
  <c r="G1244" i="2" s="1"/>
  <c r="F1243" i="2"/>
  <c r="G1243" i="2" s="1"/>
  <c r="F1242" i="2"/>
  <c r="G1242" i="2" s="1"/>
  <c r="F1236" i="2"/>
  <c r="G1236" i="2" s="1"/>
  <c r="F1235" i="2"/>
  <c r="G1235" i="2" s="1"/>
  <c r="F1234" i="2"/>
  <c r="G1234" i="2" s="1"/>
  <c r="F1233" i="2"/>
  <c r="G1233" i="2" s="1"/>
  <c r="F1227" i="2"/>
  <c r="G1227" i="2" s="1"/>
  <c r="F1226" i="2"/>
  <c r="G1226" i="2" s="1"/>
  <c r="F1220" i="2"/>
  <c r="G1220" i="2" s="1"/>
  <c r="F1219" i="2"/>
  <c r="G1219" i="2" s="1"/>
  <c r="F1218" i="2"/>
  <c r="G1218" i="2" s="1"/>
  <c r="F1217" i="2"/>
  <c r="G1217" i="2" s="1"/>
  <c r="F1211" i="2"/>
  <c r="G1211" i="2" s="1"/>
  <c r="F1205" i="2"/>
  <c r="G1205" i="2" s="1"/>
  <c r="F1204" i="2"/>
  <c r="G1204" i="2" s="1"/>
  <c r="F1198" i="2"/>
  <c r="G1198" i="2" s="1"/>
  <c r="F1197" i="2"/>
  <c r="G1197" i="2" s="1"/>
  <c r="F1196" i="2"/>
  <c r="G1196" i="2" s="1"/>
  <c r="F1195" i="2"/>
  <c r="G1195" i="2" s="1"/>
  <c r="F1189" i="2"/>
  <c r="G1189" i="2" s="1"/>
  <c r="F1188" i="2"/>
  <c r="G1188" i="2" s="1"/>
  <c r="F1187" i="2"/>
  <c r="G1187" i="2" s="1"/>
  <c r="F1181" i="2"/>
  <c r="G1181" i="2" s="1"/>
  <c r="F1180" i="2"/>
  <c r="G1180" i="2" s="1"/>
  <c r="F1179" i="2"/>
  <c r="G1179" i="2" s="1"/>
  <c r="F1178" i="2"/>
  <c r="G1178" i="2" s="1"/>
  <c r="F1172" i="2"/>
  <c r="G1172" i="2" s="1"/>
  <c r="F1171" i="2"/>
  <c r="G1171" i="2" s="1"/>
  <c r="F1164" i="2"/>
  <c r="G1164" i="2" s="1"/>
  <c r="F1163" i="2"/>
  <c r="G1163" i="2" s="1"/>
  <c r="F1157" i="2"/>
  <c r="G1157" i="2" s="1"/>
  <c r="F1156" i="2"/>
  <c r="G1156" i="2" s="1"/>
  <c r="F1155" i="2"/>
  <c r="G1155" i="2" s="1"/>
  <c r="F1154" i="2"/>
  <c r="G1154" i="2" s="1"/>
  <c r="F1152" i="2"/>
  <c r="G1152" i="2" s="1"/>
  <c r="F1145" i="2"/>
  <c r="G1145" i="2" s="1"/>
  <c r="L1145" i="2" s="1"/>
  <c r="F1143" i="2"/>
  <c r="G1143" i="2" s="1"/>
  <c r="L1143" i="2" s="1"/>
  <c r="F1136" i="2"/>
  <c r="G1136" i="2" s="1"/>
  <c r="F1135" i="2"/>
  <c r="G1135" i="2" s="1"/>
  <c r="F1134" i="2"/>
  <c r="G1134" i="2" s="1"/>
  <c r="F1133" i="2"/>
  <c r="G1133" i="2" s="1"/>
  <c r="F1132" i="2"/>
  <c r="G1132" i="2" s="1"/>
  <c r="F1125" i="2"/>
  <c r="G1125" i="2" s="1"/>
  <c r="F1124" i="2"/>
  <c r="G1124" i="2" s="1"/>
  <c r="F1123" i="2"/>
  <c r="G1123" i="2" s="1"/>
  <c r="F1122" i="2"/>
  <c r="G1122" i="2" s="1"/>
  <c r="F1121" i="2"/>
  <c r="G1121" i="2" s="1"/>
  <c r="F1120" i="2"/>
  <c r="G1120" i="2" s="1"/>
  <c r="F1119" i="2"/>
  <c r="G1119" i="2" s="1"/>
  <c r="F1118" i="2"/>
  <c r="G1118" i="2" s="1"/>
  <c r="F1117" i="2"/>
  <c r="G1117" i="2" s="1"/>
  <c r="F1116" i="2"/>
  <c r="G1116" i="2" s="1"/>
  <c r="F1113" i="2"/>
  <c r="G1113" i="2" s="1"/>
  <c r="F1108" i="2"/>
  <c r="G1108" i="2" s="1"/>
  <c r="F1107" i="2"/>
  <c r="G1107" i="2" s="1"/>
  <c r="F1106" i="2"/>
  <c r="G1106" i="2" s="1"/>
  <c r="F1101" i="2"/>
  <c r="G1101" i="2" s="1"/>
  <c r="F1100" i="2"/>
  <c r="G1100" i="2" s="1"/>
  <c r="F1099" i="2"/>
  <c r="G1099" i="2" s="1"/>
  <c r="F1092" i="2"/>
  <c r="G1092" i="2" s="1"/>
  <c r="F1091" i="2"/>
  <c r="G1091" i="2" s="1"/>
  <c r="F1090" i="2"/>
  <c r="G1090" i="2" s="1"/>
  <c r="F1089" i="2"/>
  <c r="G1089" i="2" s="1"/>
  <c r="F1088" i="2"/>
  <c r="G1088" i="2" s="1"/>
  <c r="F1087" i="2"/>
  <c r="G1087" i="2" s="1"/>
  <c r="F1086" i="2"/>
  <c r="G1086" i="2" s="1"/>
  <c r="F1085" i="2"/>
  <c r="G1085" i="2" s="1"/>
  <c r="F1084" i="2"/>
  <c r="G1084" i="2" s="1"/>
  <c r="F1083" i="2"/>
  <c r="G1083" i="2" s="1"/>
  <c r="F1082" i="2"/>
  <c r="G1082" i="2" s="1"/>
  <c r="F1081" i="2"/>
  <c r="G1081" i="2" s="1"/>
  <c r="F1075" i="2"/>
  <c r="G1075" i="2" s="1"/>
  <c r="F1074" i="2"/>
  <c r="G1074" i="2" s="1"/>
  <c r="F1069" i="2"/>
  <c r="G1069" i="2" s="1"/>
  <c r="F1068" i="2"/>
  <c r="G1068" i="2" s="1"/>
  <c r="F1067" i="2"/>
  <c r="G1067" i="2" s="1"/>
  <c r="F1066" i="2"/>
  <c r="G1066" i="2" s="1"/>
  <c r="F1065" i="2"/>
  <c r="G1065" i="2" s="1"/>
  <c r="F1064" i="2"/>
  <c r="G1064" i="2" s="1"/>
  <c r="F1058" i="2"/>
  <c r="G1058" i="2" s="1"/>
  <c r="F1057" i="2"/>
  <c r="G1057" i="2" s="1"/>
  <c r="F1056" i="2"/>
  <c r="G1056" i="2" s="1"/>
  <c r="F1055" i="2"/>
  <c r="G1055" i="2" s="1"/>
  <c r="F1050" i="2"/>
  <c r="G1050" i="2" s="1"/>
  <c r="F1049" i="2"/>
  <c r="G1049" i="2" s="1"/>
  <c r="F1048" i="2"/>
  <c r="G1048" i="2" s="1"/>
  <c r="F1042" i="2"/>
  <c r="G1042" i="2" s="1"/>
  <c r="F1041" i="2"/>
  <c r="G1041" i="2" s="1"/>
  <c r="F1040" i="2"/>
  <c r="G1040" i="2" s="1"/>
  <c r="F1039" i="2"/>
  <c r="G1039" i="2" s="1"/>
  <c r="F1033" i="2"/>
  <c r="G1033" i="2" s="1"/>
  <c r="F1032" i="2"/>
  <c r="G1032" i="2" s="1"/>
  <c r="F1031" i="2"/>
  <c r="G1031" i="2" s="1"/>
  <c r="F1024" i="2"/>
  <c r="G1024" i="2" s="1"/>
  <c r="F1023" i="2"/>
  <c r="G1023" i="2" s="1"/>
  <c r="F1016" i="2"/>
  <c r="G1016" i="2" s="1"/>
  <c r="F1015" i="2"/>
  <c r="G1015" i="2" s="1"/>
  <c r="F1008" i="2"/>
  <c r="G1008" i="2" s="1"/>
  <c r="F1007" i="2"/>
  <c r="G1007" i="2" s="1"/>
  <c r="F1002" i="2"/>
  <c r="G1002" i="2" s="1"/>
  <c r="F1001" i="2"/>
  <c r="G1001" i="2" s="1"/>
  <c r="F996" i="2"/>
  <c r="G996" i="2" s="1"/>
  <c r="F995" i="2"/>
  <c r="G995" i="2" s="1"/>
  <c r="F994" i="2"/>
  <c r="G994" i="2" s="1"/>
  <c r="F993" i="2"/>
  <c r="G993" i="2" s="1"/>
  <c r="F992" i="2"/>
  <c r="G992" i="2" s="1"/>
  <c r="F986" i="2"/>
  <c r="G986" i="2" s="1"/>
  <c r="F985" i="2"/>
  <c r="G985" i="2" s="1"/>
  <c r="F984" i="2"/>
  <c r="G984" i="2" s="1"/>
  <c r="F983" i="2"/>
  <c r="G983" i="2" s="1"/>
  <c r="F977" i="2"/>
  <c r="G977" i="2" s="1"/>
  <c r="F976" i="2"/>
  <c r="G976" i="2" s="1"/>
  <c r="F975" i="2"/>
  <c r="G975" i="2" s="1"/>
  <c r="F974" i="2"/>
  <c r="G974" i="2" s="1"/>
  <c r="F969" i="2"/>
  <c r="G969" i="2" s="1"/>
  <c r="F968" i="2"/>
  <c r="G968" i="2" s="1"/>
  <c r="F967" i="2"/>
  <c r="G967" i="2" s="1"/>
  <c r="F966" i="2"/>
  <c r="G966" i="2" s="1"/>
  <c r="F965" i="2"/>
  <c r="G965" i="2" s="1"/>
  <c r="F964" i="2"/>
  <c r="G964" i="2" s="1"/>
  <c r="F963" i="2"/>
  <c r="G963" i="2" s="1"/>
  <c r="F962" i="2"/>
  <c r="G962" i="2" s="1"/>
  <c r="F957" i="2"/>
  <c r="G957" i="2" s="1"/>
  <c r="F956" i="2"/>
  <c r="G956" i="2" s="1"/>
  <c r="F955" i="2"/>
  <c r="G955" i="2" s="1"/>
  <c r="F949" i="2"/>
  <c r="G949" i="2" s="1"/>
  <c r="F948" i="2"/>
  <c r="G948" i="2" s="1"/>
  <c r="F947" i="2"/>
  <c r="G947" i="2" s="1"/>
  <c r="F946" i="2"/>
  <c r="G946" i="2" s="1"/>
  <c r="F940" i="2"/>
  <c r="G940" i="2" s="1"/>
  <c r="F939" i="2"/>
  <c r="G939" i="2" s="1"/>
  <c r="F938" i="2"/>
  <c r="G938" i="2" s="1"/>
  <c r="F931" i="2"/>
  <c r="G931" i="2" s="1"/>
  <c r="F930" i="2"/>
  <c r="G930" i="2" s="1"/>
  <c r="F923" i="2"/>
  <c r="G923" i="2" s="1"/>
  <c r="F922" i="2"/>
  <c r="G922" i="2" s="1"/>
  <c r="F914" i="2"/>
  <c r="G914" i="2" s="1"/>
  <c r="F913" i="2"/>
  <c r="G913" i="2" s="1"/>
  <c r="F912" i="2"/>
  <c r="G912" i="2" s="1"/>
  <c r="F910" i="2"/>
  <c r="G910" i="2" s="1"/>
  <c r="F903" i="2"/>
  <c r="G903" i="2" s="1"/>
  <c r="F902" i="2"/>
  <c r="G902" i="2" s="1"/>
  <c r="F901" i="2"/>
  <c r="G901" i="2" s="1"/>
  <c r="F900" i="2"/>
  <c r="G900" i="2" s="1"/>
  <c r="F898" i="2"/>
  <c r="G898" i="2" s="1"/>
  <c r="F893" i="2"/>
  <c r="G893" i="2" s="1"/>
  <c r="F892" i="2"/>
  <c r="G892" i="2" s="1"/>
  <c r="F891" i="2"/>
  <c r="G891" i="2" s="1"/>
  <c r="F890" i="2"/>
  <c r="G890" i="2" s="1"/>
  <c r="F889" i="2"/>
  <c r="G889" i="2" s="1"/>
  <c r="F882" i="2"/>
  <c r="G882" i="2" s="1"/>
  <c r="F881" i="2"/>
  <c r="G881" i="2" s="1"/>
  <c r="F880" i="2"/>
  <c r="G880" i="2" s="1"/>
  <c r="F879" i="2"/>
  <c r="G879" i="2" s="1"/>
  <c r="F877" i="2"/>
  <c r="G877" i="2" s="1"/>
  <c r="F868" i="2"/>
  <c r="G868" i="2" s="1"/>
  <c r="L868" i="2" s="1"/>
  <c r="F867" i="2"/>
  <c r="G867" i="2" s="1"/>
  <c r="L867" i="2" s="1"/>
  <c r="F866" i="2"/>
  <c r="G866" i="2" s="1"/>
  <c r="L866" i="2" s="1"/>
  <c r="F865" i="2"/>
  <c r="G865" i="2" s="1"/>
  <c r="L865" i="2" s="1"/>
  <c r="F864" i="2"/>
  <c r="G864" i="2" s="1"/>
  <c r="L864" i="2" s="1"/>
  <c r="F863" i="2"/>
  <c r="G863" i="2" s="1"/>
  <c r="L863" i="2" s="1"/>
  <c r="F862" i="2"/>
  <c r="G862" i="2" s="1"/>
  <c r="L862" i="2" s="1"/>
  <c r="F861" i="2"/>
  <c r="G861" i="2" s="1"/>
  <c r="L861" i="2" s="1"/>
  <c r="F855" i="2"/>
  <c r="G855" i="2" s="1"/>
  <c r="L855" i="2" s="1"/>
  <c r="F849" i="2"/>
  <c r="G849" i="2" s="1"/>
  <c r="F848" i="2"/>
  <c r="G848" i="2" s="1"/>
  <c r="F847" i="2"/>
  <c r="G847" i="2" s="1"/>
  <c r="F846" i="2"/>
  <c r="G846" i="2" s="1"/>
  <c r="F845" i="2"/>
  <c r="G845" i="2" s="1"/>
  <c r="F844" i="2"/>
  <c r="G844" i="2" s="1"/>
  <c r="F843" i="2"/>
  <c r="G843" i="2" s="1"/>
  <c r="F842" i="2"/>
  <c r="G842" i="2" s="1"/>
  <c r="F841" i="2"/>
  <c r="G841" i="2" s="1"/>
  <c r="F834" i="2"/>
  <c r="G834" i="2" s="1"/>
  <c r="F833" i="2"/>
  <c r="G833" i="2" s="1"/>
  <c r="F832" i="2"/>
  <c r="G832" i="2" s="1"/>
  <c r="F831" i="2"/>
  <c r="G831" i="2" s="1"/>
  <c r="F830" i="2"/>
  <c r="G830" i="2" s="1"/>
  <c r="F826" i="2"/>
  <c r="G826" i="2" s="1"/>
  <c r="F819" i="2"/>
  <c r="G819" i="2" s="1"/>
  <c r="F818" i="2"/>
  <c r="G818" i="2" s="1"/>
  <c r="F813" i="2"/>
  <c r="G813" i="2" s="1"/>
  <c r="F812" i="2"/>
  <c r="G812" i="2" s="1"/>
  <c r="F807" i="2"/>
  <c r="G807" i="2" s="1"/>
  <c r="F806" i="2"/>
  <c r="G806" i="2" s="1"/>
  <c r="F805" i="2"/>
  <c r="G805" i="2" s="1"/>
  <c r="F804" i="2"/>
  <c r="G804" i="2" s="1"/>
  <c r="F803" i="2"/>
  <c r="G803" i="2" s="1"/>
  <c r="F802" i="2"/>
  <c r="G802" i="2" s="1"/>
  <c r="F801" i="2"/>
  <c r="G801" i="2" s="1"/>
  <c r="F796" i="2"/>
  <c r="G796" i="2" s="1"/>
  <c r="F795" i="2"/>
  <c r="G795" i="2" s="1"/>
  <c r="F794" i="2"/>
  <c r="G794" i="2" s="1"/>
  <c r="F793" i="2"/>
  <c r="G793" i="2" s="1"/>
  <c r="F792" i="2"/>
  <c r="G792" i="2" s="1"/>
  <c r="F791" i="2"/>
  <c r="G791" i="2" s="1"/>
  <c r="F784" i="2"/>
  <c r="G784" i="2" s="1"/>
  <c r="F783" i="2"/>
  <c r="G783" i="2" s="1"/>
  <c r="F782" i="2"/>
  <c r="G782" i="2" s="1"/>
  <c r="F781" i="2"/>
  <c r="G781" i="2" s="1"/>
  <c r="F780" i="2"/>
  <c r="G780" i="2" s="1"/>
  <c r="F779" i="2"/>
  <c r="G779" i="2" s="1"/>
  <c r="F774" i="2"/>
  <c r="G774" i="2" s="1"/>
  <c r="F773" i="2"/>
  <c r="G773" i="2" s="1"/>
  <c r="F772" i="2"/>
  <c r="G772" i="2" s="1"/>
  <c r="F771" i="2"/>
  <c r="G771" i="2" s="1"/>
  <c r="F770" i="2"/>
  <c r="G770" i="2" s="1"/>
  <c r="F769" i="2"/>
  <c r="G769" i="2" s="1"/>
  <c r="F768" i="2"/>
  <c r="G768" i="2" s="1"/>
  <c r="F767" i="2"/>
  <c r="G767" i="2" s="1"/>
  <c r="F762" i="2"/>
  <c r="G762" i="2" s="1"/>
  <c r="F761" i="2"/>
  <c r="G761" i="2" s="1"/>
  <c r="F760" i="2"/>
  <c r="G760" i="2" s="1"/>
  <c r="F759" i="2"/>
  <c r="G759" i="2" s="1"/>
  <c r="F758" i="2"/>
  <c r="G758" i="2" s="1"/>
  <c r="F757" i="2"/>
  <c r="G757" i="2" s="1"/>
  <c r="F751" i="2"/>
  <c r="G751" i="2" s="1"/>
  <c r="F750" i="2"/>
  <c r="G750" i="2" s="1"/>
  <c r="F749" i="2"/>
  <c r="G749" i="2" s="1"/>
  <c r="F742" i="2"/>
  <c r="G742" i="2" s="1"/>
  <c r="F741" i="2"/>
  <c r="G741" i="2" s="1"/>
  <c r="F734" i="2"/>
  <c r="G734" i="2" s="1"/>
  <c r="F733" i="2"/>
  <c r="G733" i="2" s="1"/>
  <c r="F726" i="2"/>
  <c r="G726" i="2" s="1"/>
  <c r="F725" i="2"/>
  <c r="G725" i="2" s="1"/>
  <c r="F724" i="2"/>
  <c r="G724" i="2" s="1"/>
  <c r="F723" i="2"/>
  <c r="G723" i="2" s="1"/>
  <c r="F722" i="2"/>
  <c r="G722" i="2" s="1"/>
  <c r="F721" i="2"/>
  <c r="G721" i="2" s="1"/>
  <c r="F720" i="2"/>
  <c r="G720" i="2" s="1"/>
  <c r="F715" i="2"/>
  <c r="G715" i="2" s="1"/>
  <c r="F714" i="2"/>
  <c r="G714" i="2" s="1"/>
  <c r="F713" i="2"/>
  <c r="G713" i="2" s="1"/>
  <c r="F712" i="2"/>
  <c r="G712" i="2" s="1"/>
  <c r="F711" i="2"/>
  <c r="G711" i="2" s="1"/>
  <c r="F710" i="2"/>
  <c r="G710" i="2" s="1"/>
  <c r="F703" i="2"/>
  <c r="G703" i="2" s="1"/>
  <c r="F702" i="2"/>
  <c r="G702" i="2" s="1"/>
  <c r="F701" i="2"/>
  <c r="G701" i="2" s="1"/>
  <c r="F700" i="2"/>
  <c r="G700" i="2" s="1"/>
  <c r="F699" i="2"/>
  <c r="G699" i="2" s="1"/>
  <c r="F698" i="2"/>
  <c r="G698" i="2" s="1"/>
  <c r="F693" i="2"/>
  <c r="G693" i="2" s="1"/>
  <c r="F692" i="2"/>
  <c r="G692" i="2" s="1"/>
  <c r="F687" i="2"/>
  <c r="G687" i="2" s="1"/>
  <c r="F686" i="2"/>
  <c r="G686" i="2" s="1"/>
  <c r="F681" i="2"/>
  <c r="G681" i="2" s="1"/>
  <c r="F680" i="2"/>
  <c r="G680" i="2" s="1"/>
  <c r="F675" i="2"/>
  <c r="G675" i="2" s="1"/>
  <c r="F674" i="2"/>
  <c r="G674" i="2" s="1"/>
  <c r="F673" i="2"/>
  <c r="G673" i="2" s="1"/>
  <c r="F672" i="2"/>
  <c r="G672" i="2" s="1"/>
  <c r="F671" i="2"/>
  <c r="G671" i="2" s="1"/>
  <c r="F670" i="2"/>
  <c r="G670" i="2" s="1"/>
  <c r="F664" i="2"/>
  <c r="G664" i="2" s="1"/>
  <c r="F663" i="2"/>
  <c r="G663" i="2" s="1"/>
  <c r="F662" i="2"/>
  <c r="G662" i="2" s="1"/>
  <c r="F655" i="2"/>
  <c r="G655" i="2" s="1"/>
  <c r="F654" i="2"/>
  <c r="G654" i="2" s="1"/>
  <c r="F647" i="2"/>
  <c r="G647" i="2" s="1"/>
  <c r="F646" i="2"/>
  <c r="G646" i="2" s="1"/>
  <c r="F639" i="2"/>
  <c r="G639" i="2" s="1"/>
  <c r="F638" i="2"/>
  <c r="G638" i="2" s="1"/>
  <c r="F637" i="2"/>
  <c r="G637" i="2" s="1"/>
  <c r="F636" i="2"/>
  <c r="G636" i="2" s="1"/>
  <c r="F635" i="2"/>
  <c r="G635" i="2" s="1"/>
  <c r="F634" i="2"/>
  <c r="G634" i="2" s="1"/>
  <c r="F633" i="2"/>
  <c r="G633" i="2" s="1"/>
  <c r="F628" i="2"/>
  <c r="G628" i="2" s="1"/>
  <c r="F627" i="2"/>
  <c r="G627" i="2" s="1"/>
  <c r="F626" i="2"/>
  <c r="G626" i="2" s="1"/>
  <c r="F625" i="2"/>
  <c r="G625" i="2" s="1"/>
  <c r="F624" i="2"/>
  <c r="G624" i="2" s="1"/>
  <c r="F623" i="2"/>
  <c r="G623" i="2" s="1"/>
  <c r="F618" i="2"/>
  <c r="G618" i="2" s="1"/>
  <c r="F615" i="2"/>
  <c r="G615" i="2" s="1"/>
  <c r="F614" i="2"/>
  <c r="G614" i="2" s="1"/>
  <c r="F613" i="2"/>
  <c r="G613" i="2" s="1"/>
  <c r="F612" i="2"/>
  <c r="G612" i="2" s="1"/>
  <c r="F606" i="2"/>
  <c r="G606" i="2" s="1"/>
  <c r="F605" i="2"/>
  <c r="G605" i="2" s="1"/>
  <c r="F600" i="2"/>
  <c r="G600" i="2" s="1"/>
  <c r="F599" i="2"/>
  <c r="G599" i="2" s="1"/>
  <c r="F594" i="2"/>
  <c r="G594" i="2" s="1"/>
  <c r="F593" i="2"/>
  <c r="G593" i="2" s="1"/>
  <c r="F588" i="2"/>
  <c r="G588" i="2" s="1"/>
  <c r="F587" i="2"/>
  <c r="G587" i="2" s="1"/>
  <c r="F582" i="2"/>
  <c r="G582" i="2" s="1"/>
  <c r="F581" i="2"/>
  <c r="G581" i="2" s="1"/>
  <c r="F580" i="2"/>
  <c r="G580" i="2" s="1"/>
  <c r="F579" i="2"/>
  <c r="G579" i="2" s="1"/>
  <c r="F573" i="2"/>
  <c r="G573" i="2" s="1"/>
  <c r="F572" i="2"/>
  <c r="G572" i="2" s="1"/>
  <c r="F571" i="2"/>
  <c r="G571" i="2" s="1"/>
  <c r="F565" i="2"/>
  <c r="G565" i="2" s="1"/>
  <c r="F564" i="2"/>
  <c r="G564" i="2" s="1"/>
  <c r="F563" i="2"/>
  <c r="G563" i="2" s="1"/>
  <c r="F562" i="2"/>
  <c r="G562" i="2" s="1"/>
  <c r="F561" i="2"/>
  <c r="G561" i="2" s="1"/>
  <c r="F560" i="2"/>
  <c r="G560" i="2" s="1"/>
  <c r="F554" i="2"/>
  <c r="G554" i="2" s="1"/>
  <c r="F553" i="2"/>
  <c r="G553" i="2" s="1"/>
  <c r="F552" i="2"/>
  <c r="G552" i="2" s="1"/>
  <c r="F545" i="2"/>
  <c r="G545" i="2" s="1"/>
  <c r="F544" i="2"/>
  <c r="G544" i="2" s="1"/>
  <c r="F537" i="2"/>
  <c r="G537" i="2" s="1"/>
  <c r="F536" i="2"/>
  <c r="G536" i="2" s="1"/>
  <c r="F530" i="2"/>
  <c r="G530" i="2" s="1"/>
  <c r="F529" i="2"/>
  <c r="G529" i="2" s="1"/>
  <c r="F522" i="2"/>
  <c r="G522" i="2" s="1"/>
  <c r="F521" i="2"/>
  <c r="G521" i="2" s="1"/>
  <c r="F520" i="2"/>
  <c r="G520" i="2" s="1"/>
  <c r="F519" i="2"/>
  <c r="G519" i="2" s="1"/>
  <c r="F517" i="2"/>
  <c r="G517" i="2" s="1"/>
  <c r="F511" i="2"/>
  <c r="G511" i="2" s="1"/>
  <c r="F510" i="2"/>
  <c r="G510" i="2" s="1"/>
  <c r="F509" i="2"/>
  <c r="G509" i="2" s="1"/>
  <c r="F508" i="2"/>
  <c r="G508" i="2" s="1"/>
  <c r="F507" i="2"/>
  <c r="G507" i="2" s="1"/>
  <c r="F506" i="2"/>
  <c r="G506" i="2" s="1"/>
  <c r="F499" i="2"/>
  <c r="G499" i="2" s="1"/>
  <c r="F498" i="2"/>
  <c r="G498" i="2" s="1"/>
  <c r="F497" i="2"/>
  <c r="G497" i="2" s="1"/>
  <c r="F496" i="2"/>
  <c r="G496" i="2" s="1"/>
  <c r="F495" i="2"/>
  <c r="G495" i="2" s="1"/>
  <c r="F494" i="2"/>
  <c r="G494" i="2" s="1"/>
  <c r="F492" i="2"/>
  <c r="G492" i="2" s="1"/>
  <c r="F487" i="2"/>
  <c r="G487" i="2" s="1"/>
  <c r="F486" i="2"/>
  <c r="G486" i="2" s="1"/>
  <c r="F485" i="2"/>
  <c r="G485" i="2" s="1"/>
  <c r="F484" i="2"/>
  <c r="G484" i="2" s="1"/>
  <c r="F483" i="2"/>
  <c r="G483" i="2" s="1"/>
  <c r="F482" i="2"/>
  <c r="G482" i="2" s="1"/>
  <c r="F475" i="2"/>
  <c r="G475" i="2" s="1"/>
  <c r="F474" i="2"/>
  <c r="G474" i="2" s="1"/>
  <c r="F473" i="2"/>
  <c r="G473" i="2" s="1"/>
  <c r="F472" i="2"/>
  <c r="G472" i="2" s="1"/>
  <c r="F470" i="2"/>
  <c r="G470" i="2" s="1"/>
  <c r="F462" i="2"/>
  <c r="G462" i="2" s="1"/>
  <c r="L462" i="2" s="1"/>
  <c r="F461" i="2"/>
  <c r="G461" i="2" s="1"/>
  <c r="L461" i="2" s="1"/>
  <c r="F460" i="2"/>
  <c r="G460" i="2" s="1"/>
  <c r="L460" i="2" s="1"/>
  <c r="F459" i="2"/>
  <c r="G459" i="2" s="1"/>
  <c r="L459" i="2" s="1"/>
  <c r="F458" i="2"/>
  <c r="G458" i="2" s="1"/>
  <c r="L458" i="2" s="1"/>
  <c r="F454" i="2"/>
  <c r="G454" i="2" s="1"/>
  <c r="L454" i="2" s="1"/>
  <c r="F452" i="2"/>
  <c r="G452" i="2" s="1"/>
  <c r="L452" i="2" s="1"/>
  <c r="F445" i="2"/>
  <c r="G445" i="2" s="1"/>
  <c r="F444" i="2"/>
  <c r="G444" i="2" s="1"/>
  <c r="F443" i="2"/>
  <c r="G443" i="2" s="1"/>
  <c r="F442" i="2"/>
  <c r="G442" i="2" s="1"/>
  <c r="F441" i="2"/>
  <c r="G441" i="2" s="1"/>
  <c r="F440" i="2"/>
  <c r="G440" i="2" s="1"/>
  <c r="F439" i="2"/>
  <c r="G439" i="2" s="1"/>
  <c r="F438" i="2"/>
  <c r="G438" i="2" s="1"/>
  <c r="F437" i="2"/>
  <c r="G437" i="2" s="1"/>
  <c r="F429" i="2"/>
  <c r="G429" i="2" s="1"/>
  <c r="F428" i="2"/>
  <c r="G428" i="2" s="1"/>
  <c r="F427" i="2"/>
  <c r="G427" i="2" s="1"/>
  <c r="F426" i="2"/>
  <c r="G426" i="2" s="1"/>
  <c r="F422" i="2"/>
  <c r="G422" i="2" s="1"/>
  <c r="F416" i="2"/>
  <c r="G416" i="2" s="1"/>
  <c r="F415" i="2"/>
  <c r="G415" i="2" s="1"/>
  <c r="F414" i="2"/>
  <c r="G414" i="2" s="1"/>
  <c r="F413" i="2"/>
  <c r="G413" i="2" s="1"/>
  <c r="F412" i="2"/>
  <c r="G412" i="2" s="1"/>
  <c r="F411" i="2"/>
  <c r="G411" i="2" s="1"/>
  <c r="F410" i="2"/>
  <c r="G410" i="2" s="1"/>
  <c r="F409" i="2"/>
  <c r="G409" i="2" s="1"/>
  <c r="F408" i="2"/>
  <c r="G408" i="2" s="1"/>
  <c r="F403" i="2"/>
  <c r="G403" i="2" s="1"/>
  <c r="F402" i="2"/>
  <c r="G402" i="2" s="1"/>
  <c r="F401" i="2"/>
  <c r="G401" i="2" s="1"/>
  <c r="F400" i="2"/>
  <c r="G400" i="2" s="1"/>
  <c r="F395" i="2"/>
  <c r="G395" i="2" s="1"/>
  <c r="F394" i="2"/>
  <c r="G394" i="2" s="1"/>
  <c r="F393" i="2"/>
  <c r="G393" i="2" s="1"/>
  <c r="F392" i="2"/>
  <c r="G392" i="2" s="1"/>
  <c r="F387" i="2"/>
  <c r="G387" i="2" s="1"/>
  <c r="F386" i="2"/>
  <c r="G386" i="2" s="1"/>
  <c r="F385" i="2"/>
  <c r="G385" i="2" s="1"/>
  <c r="F384" i="2"/>
  <c r="G384" i="2" s="1"/>
  <c r="F379" i="2"/>
  <c r="G379" i="2" s="1"/>
  <c r="F378" i="2"/>
  <c r="G378" i="2" s="1"/>
  <c r="F377" i="2"/>
  <c r="G377" i="2" s="1"/>
  <c r="F372" i="2"/>
  <c r="G372" i="2" s="1"/>
  <c r="F371" i="2"/>
  <c r="G371" i="2" s="1"/>
  <c r="F370" i="2"/>
  <c r="G370" i="2" s="1"/>
  <c r="F365" i="2"/>
  <c r="G365" i="2" s="1"/>
  <c r="F364" i="2"/>
  <c r="G364" i="2" s="1"/>
  <c r="F363" i="2"/>
  <c r="G363" i="2" s="1"/>
  <c r="F358" i="2"/>
  <c r="G358" i="2" s="1"/>
  <c r="F357" i="2"/>
  <c r="G357" i="2" s="1"/>
  <c r="F356" i="2"/>
  <c r="G356" i="2" s="1"/>
  <c r="F351" i="2"/>
  <c r="G351" i="2" s="1"/>
  <c r="F350" i="2"/>
  <c r="G350" i="2" s="1"/>
  <c r="F349" i="2"/>
  <c r="G349" i="2" s="1"/>
  <c r="F344" i="2"/>
  <c r="G344" i="2" s="1"/>
  <c r="F343" i="2"/>
  <c r="G343" i="2" s="1"/>
  <c r="F342" i="2"/>
  <c r="G342" i="2" s="1"/>
  <c r="F341" i="2"/>
  <c r="G341" i="2" s="1"/>
  <c r="F336" i="2"/>
  <c r="G336" i="2" s="1"/>
  <c r="F335" i="2"/>
  <c r="G335" i="2" s="1"/>
  <c r="F334" i="2"/>
  <c r="G334" i="2" s="1"/>
  <c r="F329" i="2"/>
  <c r="G329" i="2" s="1"/>
  <c r="F328" i="2"/>
  <c r="G328" i="2" s="1"/>
  <c r="F323" i="2"/>
  <c r="G323" i="2" s="1"/>
  <c r="F322" i="2"/>
  <c r="G322" i="2" s="1"/>
  <c r="F317" i="2"/>
  <c r="G317" i="2" s="1"/>
  <c r="F316" i="2"/>
  <c r="G316" i="2" s="1"/>
  <c r="F311" i="2"/>
  <c r="G311" i="2" s="1"/>
  <c r="F310" i="2"/>
  <c r="G310" i="2" s="1"/>
  <c r="F305" i="2"/>
  <c r="G305" i="2" s="1"/>
  <c r="F304" i="2"/>
  <c r="G304" i="2" s="1"/>
  <c r="F299" i="2"/>
  <c r="G299" i="2" s="1"/>
  <c r="F298" i="2"/>
  <c r="G298" i="2" s="1"/>
  <c r="F297" i="2"/>
  <c r="G297" i="2" s="1"/>
  <c r="F292" i="2"/>
  <c r="G292" i="2" s="1"/>
  <c r="F291" i="2"/>
  <c r="G291" i="2" s="1"/>
  <c r="F290" i="2"/>
  <c r="G290" i="2" s="1"/>
  <c r="F285" i="2"/>
  <c r="G285" i="2" s="1"/>
  <c r="F284" i="2"/>
  <c r="G284" i="2" s="1"/>
  <c r="F283" i="2"/>
  <c r="G283" i="2" s="1"/>
  <c r="F278" i="2"/>
  <c r="G278" i="2" s="1"/>
  <c r="F277" i="2"/>
  <c r="G277" i="2" s="1"/>
  <c r="F276" i="2"/>
  <c r="G276" i="2" s="1"/>
  <c r="F271" i="2"/>
  <c r="G271" i="2" s="1"/>
  <c r="F270" i="2"/>
  <c r="G270" i="2" s="1"/>
  <c r="F269" i="2"/>
  <c r="G269" i="2" s="1"/>
  <c r="F264" i="2"/>
  <c r="G264" i="2" s="1"/>
  <c r="F263" i="2"/>
  <c r="G263" i="2" s="1"/>
  <c r="F262" i="2"/>
  <c r="G262" i="2" s="1"/>
  <c r="F261" i="2"/>
  <c r="G261" i="2" s="1"/>
  <c r="F256" i="2"/>
  <c r="G256" i="2" s="1"/>
  <c r="F255" i="2"/>
  <c r="G255" i="2" s="1"/>
  <c r="F254" i="2"/>
  <c r="G254" i="2" s="1"/>
  <c r="F253" i="2"/>
  <c r="G253" i="2" s="1"/>
  <c r="F247" i="2"/>
  <c r="G247" i="2" s="1"/>
  <c r="F246" i="2"/>
  <c r="G246" i="2" s="1"/>
  <c r="F245" i="2"/>
  <c r="G245" i="2" s="1"/>
  <c r="F244" i="2"/>
  <c r="G244" i="2" s="1"/>
  <c r="F239" i="2"/>
  <c r="G239" i="2" s="1"/>
  <c r="F238" i="2"/>
  <c r="G238" i="2" s="1"/>
  <c r="F237" i="2"/>
  <c r="G237" i="2" s="1"/>
  <c r="F236" i="2"/>
  <c r="G236" i="2" s="1"/>
  <c r="F231" i="2"/>
  <c r="G231" i="2" s="1"/>
  <c r="F230" i="2"/>
  <c r="G230" i="2" s="1"/>
  <c r="F225" i="2"/>
  <c r="G225" i="2" s="1"/>
  <c r="F224" i="2"/>
  <c r="G224" i="2" s="1"/>
  <c r="F223" i="2"/>
  <c r="G223" i="2" s="1"/>
  <c r="F218" i="2"/>
  <c r="G218" i="2" s="1"/>
  <c r="F217" i="2"/>
  <c r="G217" i="2" s="1"/>
  <c r="F216" i="2"/>
  <c r="G216" i="2" s="1"/>
  <c r="F211" i="2"/>
  <c r="G211" i="2" s="1"/>
  <c r="F210" i="2"/>
  <c r="G210" i="2" s="1"/>
  <c r="F209" i="2"/>
  <c r="G209" i="2" s="1"/>
  <c r="F204" i="2"/>
  <c r="G204" i="2" s="1"/>
  <c r="F203" i="2"/>
  <c r="G203" i="2" s="1"/>
  <c r="F202" i="2"/>
  <c r="G202" i="2" s="1"/>
  <c r="F197" i="2"/>
  <c r="G197" i="2" s="1"/>
  <c r="F196" i="2"/>
  <c r="G196" i="2" s="1"/>
  <c r="F195" i="2"/>
  <c r="G195" i="2" s="1"/>
  <c r="F190" i="2"/>
  <c r="G190" i="2" s="1"/>
  <c r="F189" i="2"/>
  <c r="G189" i="2" s="1"/>
  <c r="F188" i="2"/>
  <c r="G188" i="2" s="1"/>
  <c r="F186" i="2"/>
  <c r="G186" i="2" s="1"/>
  <c r="F185" i="2"/>
  <c r="G185" i="2" s="1"/>
  <c r="F184" i="2"/>
  <c r="G184" i="2" s="1"/>
  <c r="F183" i="2"/>
  <c r="G183" i="2" s="1"/>
  <c r="F177" i="2"/>
  <c r="G177" i="2" s="1"/>
  <c r="L177" i="2" s="1"/>
  <c r="F176" i="2"/>
  <c r="G176" i="2" s="1"/>
  <c r="L176" i="2" s="1"/>
  <c r="F175" i="2"/>
  <c r="G175" i="2" s="1"/>
  <c r="L175" i="2" s="1"/>
  <c r="F174" i="2"/>
  <c r="G174" i="2" s="1"/>
  <c r="L174" i="2" s="1"/>
  <c r="F173" i="2"/>
  <c r="G173" i="2" s="1"/>
  <c r="L173" i="2" s="1"/>
  <c r="F172" i="2"/>
  <c r="G172" i="2" s="1"/>
  <c r="L172" i="2" s="1"/>
  <c r="F171" i="2"/>
  <c r="G171" i="2" s="1"/>
  <c r="L171" i="2" s="1"/>
  <c r="F170" i="2"/>
  <c r="G170" i="2" s="1"/>
  <c r="L170" i="2" s="1"/>
  <c r="F169" i="2"/>
  <c r="G169" i="2" s="1"/>
  <c r="L169" i="2" s="1"/>
  <c r="F161" i="2"/>
  <c r="G161" i="2" s="1"/>
  <c r="L161" i="2" s="1"/>
  <c r="F160" i="2"/>
  <c r="G160" i="2" s="1"/>
  <c r="L160" i="2" s="1"/>
  <c r="F158" i="2"/>
  <c r="G158" i="2" s="1"/>
  <c r="L158" i="2" s="1"/>
  <c r="F153" i="2"/>
  <c r="G153" i="2" s="1"/>
  <c r="F151" i="2"/>
  <c r="G151" i="2" s="1"/>
  <c r="F150" i="2"/>
  <c r="G150" i="2" s="1"/>
  <c r="F144" i="2"/>
  <c r="G144" i="2" s="1"/>
  <c r="F143" i="2"/>
  <c r="G143" i="2" s="1"/>
  <c r="F142" i="2"/>
  <c r="G142" i="2" s="1"/>
  <c r="F139" i="2"/>
  <c r="G139" i="2" s="1"/>
  <c r="F138" i="2"/>
  <c r="G138" i="2" s="1"/>
  <c r="F137" i="2"/>
  <c r="G137" i="2" s="1"/>
  <c r="F134" i="2"/>
  <c r="G134" i="2" s="1"/>
  <c r="F129" i="2"/>
  <c r="G129" i="2" s="1"/>
  <c r="F127" i="2"/>
  <c r="G127" i="2" s="1"/>
  <c r="F126" i="2"/>
  <c r="G126" i="2" s="1"/>
  <c r="F120" i="2"/>
  <c r="G120" i="2" s="1"/>
  <c r="F119" i="2"/>
  <c r="G119" i="2" s="1"/>
  <c r="F118" i="2"/>
  <c r="G118" i="2" s="1"/>
  <c r="F117" i="2"/>
  <c r="G117" i="2" s="1"/>
  <c r="F114" i="2"/>
  <c r="G114" i="2" s="1"/>
  <c r="F113" i="2"/>
  <c r="G113" i="2" s="1"/>
  <c r="F112" i="2"/>
  <c r="G112" i="2" s="1"/>
  <c r="F109" i="2"/>
  <c r="G109" i="2" s="1"/>
  <c r="F103" i="2"/>
  <c r="G103" i="2" s="1"/>
  <c r="L103" i="2" s="1"/>
  <c r="F102" i="2"/>
  <c r="G102" i="2" s="1"/>
  <c r="L102" i="2" s="1"/>
  <c r="F101" i="2"/>
  <c r="G101" i="2" s="1"/>
  <c r="L101" i="2" s="1"/>
  <c r="F100" i="2"/>
  <c r="G100" i="2" s="1"/>
  <c r="L100" i="2" s="1"/>
  <c r="F99" i="2"/>
  <c r="G99" i="2" s="1"/>
  <c r="L99" i="2" s="1"/>
  <c r="F98" i="2"/>
  <c r="G98" i="2" s="1"/>
  <c r="L98" i="2" s="1"/>
  <c r="F95" i="2"/>
  <c r="G95" i="2" s="1"/>
  <c r="L95" i="2" s="1"/>
  <c r="F94" i="2"/>
  <c r="G94" i="2" s="1"/>
  <c r="L94" i="2" s="1"/>
  <c r="F92" i="2"/>
  <c r="G92" i="2" s="1"/>
  <c r="L92" i="2" s="1"/>
  <c r="F85" i="2"/>
  <c r="G85" i="2" s="1"/>
  <c r="F84" i="2"/>
  <c r="G84" i="2" s="1"/>
  <c r="F83" i="2"/>
  <c r="G83" i="2" s="1"/>
  <c r="F75" i="2"/>
  <c r="G75" i="2" s="1"/>
  <c r="F74" i="2"/>
  <c r="G74" i="2" s="1"/>
  <c r="F73" i="2"/>
  <c r="G73" i="2" s="1"/>
  <c r="F70" i="2"/>
  <c r="G70" i="2" s="1"/>
  <c r="F65" i="2"/>
  <c r="G65" i="2" s="1"/>
  <c r="F64" i="2"/>
  <c r="G64" i="2" s="1"/>
  <c r="F56" i="2"/>
  <c r="G56" i="2" s="1"/>
  <c r="F55" i="2"/>
  <c r="G55" i="2" s="1"/>
  <c r="F54" i="2"/>
  <c r="G54" i="2" s="1"/>
  <c r="F51" i="2"/>
  <c r="G51" i="2" s="1"/>
  <c r="F46" i="2"/>
  <c r="G46" i="2" s="1"/>
  <c r="F45" i="2"/>
  <c r="G45" i="2" s="1"/>
  <c r="F44" i="2"/>
  <c r="G44" i="2" s="1"/>
  <c r="F43" i="2"/>
  <c r="G43" i="2" s="1"/>
  <c r="F42" i="2"/>
  <c r="G42" i="2" s="1"/>
  <c r="F41" i="2"/>
  <c r="G41" i="2" s="1"/>
  <c r="F34" i="2"/>
  <c r="G34" i="2" s="1"/>
  <c r="F33" i="2"/>
  <c r="G33" i="2" s="1"/>
  <c r="F32" i="2"/>
  <c r="G32" i="2" s="1"/>
  <c r="F31" i="2"/>
  <c r="G31" i="2" s="1"/>
  <c r="F30" i="2"/>
  <c r="G30" i="2" s="1"/>
  <c r="F29" i="2"/>
  <c r="G29" i="2" s="1"/>
  <c r="F28" i="2"/>
  <c r="G28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8" i="2"/>
  <c r="G8" i="2" s="1"/>
  <c r="F7" i="2"/>
  <c r="G7" i="2" s="1"/>
  <c r="F6" i="2"/>
  <c r="G6" i="2" s="1"/>
  <c r="F954" i="2"/>
  <c r="G954" i="2" s="1"/>
  <c r="F1059" i="2"/>
  <c r="G1059" i="2" s="1"/>
  <c r="F786" i="2"/>
  <c r="G786" i="2" s="1"/>
  <c r="F785" i="2"/>
  <c r="G785" i="2" s="1"/>
  <c r="F705" i="2"/>
  <c r="G705" i="2" s="1"/>
  <c r="F704" i="2"/>
  <c r="G704" i="2" s="1"/>
  <c r="F616" i="2"/>
  <c r="G616" i="2" s="1"/>
  <c r="F617" i="2"/>
  <c r="G617" i="2" s="1"/>
  <c r="F446" i="2"/>
  <c r="G446" i="2" s="1"/>
  <c r="F187" i="2"/>
  <c r="G187" i="2" s="1"/>
  <c r="F152" i="2"/>
  <c r="G152" i="2" s="1"/>
  <c r="F128" i="2"/>
  <c r="G128" i="2" s="1"/>
  <c r="F35" i="2"/>
  <c r="G35" i="2" s="1"/>
  <c r="F1165" i="2"/>
  <c r="G1165" i="2" s="1"/>
  <c r="F1093" i="2"/>
  <c r="G1093" i="2" s="1"/>
  <c r="F1025" i="2"/>
  <c r="G1025" i="2" s="1"/>
  <c r="F1017" i="2"/>
  <c r="G1017" i="2" s="1"/>
  <c r="F743" i="2"/>
  <c r="G743" i="2" s="1"/>
  <c r="F735" i="2"/>
  <c r="G735" i="2" s="1"/>
  <c r="F656" i="2"/>
  <c r="G656" i="2" s="1"/>
  <c r="F648" i="2"/>
  <c r="G648" i="2" s="1"/>
  <c r="F546" i="2"/>
  <c r="G546" i="2" s="1"/>
  <c r="H1267" i="2"/>
  <c r="G1267" i="2" s="1"/>
  <c r="E1266" i="2" s="1"/>
  <c r="F1266" i="2" s="1"/>
  <c r="G1266" i="2" s="1"/>
  <c r="K1256" i="2"/>
  <c r="K1257" i="2" s="1"/>
  <c r="K1258" i="2" s="1"/>
  <c r="K1259" i="2" s="1"/>
  <c r="K1260" i="2" s="1"/>
  <c r="A1255" i="2"/>
  <c r="A1256" i="2" s="1"/>
  <c r="A1257" i="2" s="1"/>
  <c r="A1258" i="2" s="1"/>
  <c r="A1259" i="2" s="1"/>
  <c r="A1260" i="2" s="1"/>
  <c r="H1253" i="2"/>
  <c r="G1253" i="2" s="1"/>
  <c r="E1252" i="2" s="1"/>
  <c r="F1252" i="2" s="1"/>
  <c r="G1252" i="2" s="1"/>
  <c r="K1242" i="2"/>
  <c r="K1243" i="2" s="1"/>
  <c r="K1244" i="2" s="1"/>
  <c r="K1245" i="2" s="1"/>
  <c r="K1246" i="2" s="1"/>
  <c r="A1241" i="2"/>
  <c r="A1242" i="2" s="1"/>
  <c r="A1243" i="2" s="1"/>
  <c r="A1244" i="2" s="1"/>
  <c r="A1245" i="2" s="1"/>
  <c r="A1246" i="2" s="1"/>
  <c r="A1240" i="2"/>
  <c r="H1183" i="2"/>
  <c r="G1183" i="2" s="1"/>
  <c r="E1182" i="2" s="1"/>
  <c r="F1182" i="2" s="1"/>
  <c r="G1182" i="2" s="1"/>
  <c r="K1177" i="2"/>
  <c r="F1177" i="2"/>
  <c r="G1177" i="2" s="1"/>
  <c r="A1176" i="2"/>
  <c r="A1177" i="2" s="1"/>
  <c r="A1079" i="2"/>
  <c r="H1077" i="2"/>
  <c r="G1077" i="2" s="1"/>
  <c r="E1076" i="2" s="1"/>
  <c r="F1076" i="2" s="1"/>
  <c r="G1076" i="2" s="1"/>
  <c r="K1074" i="2"/>
  <c r="K1075" i="2" s="1"/>
  <c r="K1076" i="2" s="1"/>
  <c r="K1077" i="2" s="1"/>
  <c r="K1078" i="2" s="1"/>
  <c r="A1073" i="2"/>
  <c r="A1074" i="2" s="1"/>
  <c r="A1075" i="2" s="1"/>
  <c r="A1076" i="2" s="1"/>
  <c r="A1077" i="2" s="1"/>
  <c r="A1078" i="2" s="1"/>
  <c r="H1010" i="2"/>
  <c r="G1010" i="2" s="1"/>
  <c r="E1009" i="2" s="1"/>
  <c r="F1009" i="2" s="1"/>
  <c r="G1009" i="2" s="1"/>
  <c r="K1008" i="2"/>
  <c r="K1009" i="2" s="1"/>
  <c r="K1010" i="2" s="1"/>
  <c r="K1011" i="2" s="1"/>
  <c r="K1007" i="2"/>
  <c r="A1006" i="2"/>
  <c r="H1004" i="2"/>
  <c r="G1004" i="2" s="1"/>
  <c r="E1003" i="2" s="1"/>
  <c r="F1003" i="2" s="1"/>
  <c r="G1003" i="2" s="1"/>
  <c r="K1001" i="2"/>
  <c r="K1002" i="2" s="1"/>
  <c r="K1003" i="2" s="1"/>
  <c r="K1004" i="2" s="1"/>
  <c r="K1005" i="2" s="1"/>
  <c r="A1000" i="2"/>
  <c r="A1001" i="2" s="1"/>
  <c r="A1002" i="2" s="1"/>
  <c r="A1003" i="2" s="1"/>
  <c r="A1004" i="2" s="1"/>
  <c r="A1005" i="2" s="1"/>
  <c r="A1012" i="2"/>
  <c r="H989" i="2"/>
  <c r="G989" i="2" s="1"/>
  <c r="E988" i="2" s="1"/>
  <c r="F988" i="2" s="1"/>
  <c r="G988" i="2" s="1"/>
  <c r="F987" i="2"/>
  <c r="G987" i="2" s="1"/>
  <c r="K983" i="2"/>
  <c r="K984" i="2" s="1"/>
  <c r="K985" i="2" s="1"/>
  <c r="K986" i="2" s="1"/>
  <c r="K987" i="2" s="1"/>
  <c r="K988" i="2" s="1"/>
  <c r="K989" i="2" s="1"/>
  <c r="K990" i="2" s="1"/>
  <c r="A982" i="2"/>
  <c r="A983" i="2" s="1"/>
  <c r="A984" i="2" s="1"/>
  <c r="A985" i="2" s="1"/>
  <c r="A986" i="2" s="1"/>
  <c r="A987" i="2" s="1"/>
  <c r="A988" i="2" s="1"/>
  <c r="A989" i="2" s="1"/>
  <c r="A990" i="2" s="1"/>
  <c r="H821" i="2"/>
  <c r="G821" i="2" s="1"/>
  <c r="E820" i="2" s="1"/>
  <c r="F820" i="2" s="1"/>
  <c r="G820" i="2" s="1"/>
  <c r="K819" i="2"/>
  <c r="K820" i="2" s="1"/>
  <c r="K821" i="2" s="1"/>
  <c r="K822" i="2" s="1"/>
  <c r="K818" i="2"/>
  <c r="A817" i="2"/>
  <c r="H815" i="2"/>
  <c r="G815" i="2" s="1"/>
  <c r="E814" i="2" s="1"/>
  <c r="F814" i="2" s="1"/>
  <c r="G814" i="2" s="1"/>
  <c r="K812" i="2"/>
  <c r="K813" i="2" s="1"/>
  <c r="K814" i="2" s="1"/>
  <c r="K815" i="2" s="1"/>
  <c r="K816" i="2" s="1"/>
  <c r="A811" i="2"/>
  <c r="A812" i="2" s="1"/>
  <c r="A813" i="2" s="1"/>
  <c r="A814" i="2" s="1"/>
  <c r="A815" i="2" s="1"/>
  <c r="A816" i="2" s="1"/>
  <c r="A824" i="2"/>
  <c r="A823" i="2"/>
  <c r="K687" i="2"/>
  <c r="H695" i="2"/>
  <c r="G695" i="2" s="1"/>
  <c r="E694" i="2" s="1"/>
  <c r="F694" i="2" s="1"/>
  <c r="G694" i="2" s="1"/>
  <c r="K692" i="2"/>
  <c r="K693" i="2" s="1"/>
  <c r="K694" i="2" s="1"/>
  <c r="K695" i="2" s="1"/>
  <c r="K696" i="2" s="1"/>
  <c r="A691" i="2"/>
  <c r="A692" i="2" s="1"/>
  <c r="A693" i="2" s="1"/>
  <c r="A694" i="2" s="1"/>
  <c r="A695" i="2" s="1"/>
  <c r="A696" i="2" s="1"/>
  <c r="H689" i="2"/>
  <c r="G689" i="2" s="1"/>
  <c r="E688" i="2" s="1"/>
  <c r="F688" i="2" s="1"/>
  <c r="G688" i="2" s="1"/>
  <c r="K686" i="2"/>
  <c r="A685" i="2"/>
  <c r="H683" i="2"/>
  <c r="G683" i="2" s="1"/>
  <c r="E682" i="2" s="1"/>
  <c r="F682" i="2" s="1"/>
  <c r="G682" i="2" s="1"/>
  <c r="K680" i="2"/>
  <c r="K681" i="2" s="1"/>
  <c r="K682" i="2" s="1"/>
  <c r="K683" i="2" s="1"/>
  <c r="K684" i="2" s="1"/>
  <c r="A679" i="2"/>
  <c r="H602" i="2"/>
  <c r="G602" i="2" s="1"/>
  <c r="E601" i="2" s="1"/>
  <c r="F601" i="2" s="1"/>
  <c r="G601" i="2" s="1"/>
  <c r="K599" i="2"/>
  <c r="K600" i="2" s="1"/>
  <c r="K601" i="2" s="1"/>
  <c r="K602" i="2" s="1"/>
  <c r="K603" i="2" s="1"/>
  <c r="A598" i="2"/>
  <c r="A599" i="2" s="1"/>
  <c r="A600" i="2" s="1"/>
  <c r="A601" i="2" s="1"/>
  <c r="A602" i="2" s="1"/>
  <c r="A603" i="2" s="1"/>
  <c r="H608" i="2"/>
  <c r="G608" i="2" s="1"/>
  <c r="E607" i="2" s="1"/>
  <c r="F607" i="2" s="1"/>
  <c r="G607" i="2" s="1"/>
  <c r="K605" i="2"/>
  <c r="K606" i="2" s="1"/>
  <c r="K607" i="2" s="1"/>
  <c r="K608" i="2" s="1"/>
  <c r="K609" i="2" s="1"/>
  <c r="A604" i="2"/>
  <c r="A605" i="2" s="1"/>
  <c r="A606" i="2" s="1"/>
  <c r="A607" i="2" s="1"/>
  <c r="A608" i="2" s="1"/>
  <c r="A609" i="2" s="1"/>
  <c r="H596" i="2"/>
  <c r="G596" i="2" s="1"/>
  <c r="E595" i="2" s="1"/>
  <c r="F595" i="2" s="1"/>
  <c r="G595" i="2" s="1"/>
  <c r="K593" i="2"/>
  <c r="K594" i="2" s="1"/>
  <c r="K595" i="2" s="1"/>
  <c r="K596" i="2" s="1"/>
  <c r="K597" i="2" s="1"/>
  <c r="A592" i="2"/>
  <c r="A593" i="2" s="1"/>
  <c r="A594" i="2" s="1"/>
  <c r="A595" i="2" s="1"/>
  <c r="A596" i="2" s="1"/>
  <c r="A597" i="2" s="1"/>
  <c r="H590" i="2"/>
  <c r="G590" i="2" s="1"/>
  <c r="E589" i="2" s="1"/>
  <c r="F589" i="2" s="1"/>
  <c r="G589" i="2" s="1"/>
  <c r="K587" i="2"/>
  <c r="A586" i="2"/>
  <c r="A587" i="2" s="1"/>
  <c r="A588" i="2" s="1"/>
  <c r="A589" i="2" s="1"/>
  <c r="A590" i="2" s="1"/>
  <c r="A591" i="2" s="1"/>
  <c r="A730" i="2"/>
  <c r="F538" i="2"/>
  <c r="G538" i="2" s="1"/>
  <c r="A643" i="2"/>
  <c r="K612" i="2"/>
  <c r="K614" i="2" s="1"/>
  <c r="F424" i="2"/>
  <c r="G424" i="2" s="1"/>
  <c r="A420" i="2"/>
  <c r="H418" i="2"/>
  <c r="G418" i="2" s="1"/>
  <c r="E417" i="2" s="1"/>
  <c r="F417" i="2" s="1"/>
  <c r="G417" i="2" s="1"/>
  <c r="K408" i="2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A407" i="2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H287" i="2"/>
  <c r="G287" i="2" s="1"/>
  <c r="E286" i="2" s="1"/>
  <c r="F286" i="2" s="1"/>
  <c r="G286" i="2" s="1"/>
  <c r="K284" i="2"/>
  <c r="K285" i="2" s="1"/>
  <c r="K286" i="2" s="1"/>
  <c r="K287" i="2" s="1"/>
  <c r="K288" i="2" s="1"/>
  <c r="K283" i="2"/>
  <c r="A282" i="2"/>
  <c r="F248" i="2"/>
  <c r="G248" i="2" s="1"/>
  <c r="H227" i="2"/>
  <c r="G227" i="2" s="1"/>
  <c r="E226" i="2" s="1"/>
  <c r="F226" i="2" s="1"/>
  <c r="G226" i="2" s="1"/>
  <c r="K223" i="2"/>
  <c r="K224" i="2" s="1"/>
  <c r="K225" i="2" s="1"/>
  <c r="K226" i="2" s="1"/>
  <c r="K227" i="2" s="1"/>
  <c r="K228" i="2" s="1"/>
  <c r="A222" i="2"/>
  <c r="A223" i="2" s="1"/>
  <c r="A224" i="2" s="1"/>
  <c r="A225" i="2" s="1"/>
  <c r="A226" i="2" s="1"/>
  <c r="A227" i="2" s="1"/>
  <c r="A228" i="2" s="1"/>
  <c r="F36" i="2"/>
  <c r="G36" i="2" s="1"/>
  <c r="H38" i="2"/>
  <c r="G38" i="2" s="1"/>
  <c r="E37" i="2" s="1"/>
  <c r="F37" i="2" s="1"/>
  <c r="G37" i="2" s="1"/>
  <c r="K28" i="2"/>
  <c r="K29" i="2" s="1"/>
  <c r="K30" i="2" s="1"/>
  <c r="K31" i="2" s="1"/>
  <c r="A27" i="2"/>
  <c r="A28" i="2" s="1"/>
  <c r="A29" i="2" s="1"/>
  <c r="A30" i="2" s="1"/>
  <c r="A31" i="2" s="1"/>
  <c r="H25" i="2"/>
  <c r="G25" i="2" s="1"/>
  <c r="E24" i="2" s="1"/>
  <c r="F24" i="2" s="1"/>
  <c r="G24" i="2" s="1"/>
  <c r="F23" i="2"/>
  <c r="G23" i="2" s="1"/>
  <c r="K16" i="2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A15" i="2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H1238" i="2"/>
  <c r="G1238" i="2" s="1"/>
  <c r="E1237" i="2" s="1"/>
  <c r="F1237" i="2" s="1"/>
  <c r="G1237" i="2" s="1"/>
  <c r="K1232" i="2"/>
  <c r="K1233" i="2" s="1"/>
  <c r="F1232" i="2"/>
  <c r="G1232" i="2" s="1"/>
  <c r="A1231" i="2"/>
  <c r="A1232" i="2" s="1"/>
  <c r="A1233" i="2" s="1"/>
  <c r="H1222" i="2"/>
  <c r="G1222" i="2" s="1"/>
  <c r="E1221" i="2" s="1"/>
  <c r="F1221" i="2" s="1"/>
  <c r="G1221" i="2" s="1"/>
  <c r="K1216" i="2"/>
  <c r="K1217" i="2" s="1"/>
  <c r="F1216" i="2"/>
  <c r="G1216" i="2" s="1"/>
  <c r="A1215" i="2"/>
  <c r="A1216" i="2" s="1"/>
  <c r="A1217" i="2" s="1"/>
  <c r="H1213" i="2"/>
  <c r="G1213" i="2" s="1"/>
  <c r="E1212" i="2" s="1"/>
  <c r="F1212" i="2" s="1"/>
  <c r="G1212" i="2" s="1"/>
  <c r="K1210" i="2"/>
  <c r="K1211" i="2" s="1"/>
  <c r="K1212" i="2" s="1"/>
  <c r="K1213" i="2" s="1"/>
  <c r="K1214" i="2" s="1"/>
  <c r="F1210" i="2"/>
  <c r="G1210" i="2" s="1"/>
  <c r="A1209" i="2"/>
  <c r="A1210" i="2" s="1"/>
  <c r="A1211" i="2" s="1"/>
  <c r="A1212" i="2" s="1"/>
  <c r="A1213" i="2" s="1"/>
  <c r="A1214" i="2" s="1"/>
  <c r="H1200" i="2"/>
  <c r="G1200" i="2" s="1"/>
  <c r="E1199" i="2" s="1"/>
  <c r="F1199" i="2" s="1"/>
  <c r="G1199" i="2" s="1"/>
  <c r="K1194" i="2"/>
  <c r="F1194" i="2"/>
  <c r="G1194" i="2" s="1"/>
  <c r="A1193" i="2"/>
  <c r="A1194" i="2" s="1"/>
  <c r="H1207" i="2"/>
  <c r="G1207" i="2" s="1"/>
  <c r="E1206" i="2" s="1"/>
  <c r="F1206" i="2" s="1"/>
  <c r="G1206" i="2" s="1"/>
  <c r="K1203" i="2"/>
  <c r="K1204" i="2" s="1"/>
  <c r="K1205" i="2" s="1"/>
  <c r="K1206" i="2" s="1"/>
  <c r="K1207" i="2" s="1"/>
  <c r="K1208" i="2" s="1"/>
  <c r="F1203" i="2"/>
  <c r="G1203" i="2" s="1"/>
  <c r="A1202" i="2"/>
  <c r="A1203" i="2" s="1"/>
  <c r="A1204" i="2" s="1"/>
  <c r="A1205" i="2" s="1"/>
  <c r="A1206" i="2" s="1"/>
  <c r="A1207" i="2" s="1"/>
  <c r="A1208" i="2" s="1"/>
  <c r="H1229" i="2"/>
  <c r="G1229" i="2" s="1"/>
  <c r="E1228" i="2" s="1"/>
  <c r="F1228" i="2" s="1"/>
  <c r="G1228" i="2" s="1"/>
  <c r="K1225" i="2"/>
  <c r="F1225" i="2"/>
  <c r="G1225" i="2" s="1"/>
  <c r="A1224" i="2"/>
  <c r="A1225" i="2" s="1"/>
  <c r="H1191" i="2"/>
  <c r="G1191" i="2" s="1"/>
  <c r="E1190" i="2" s="1"/>
  <c r="F1190" i="2" s="1"/>
  <c r="G1190" i="2" s="1"/>
  <c r="K1186" i="2"/>
  <c r="F1186" i="2"/>
  <c r="G1186" i="2" s="1"/>
  <c r="A1185" i="2"/>
  <c r="A1186" i="2" s="1"/>
  <c r="H1174" i="2"/>
  <c r="G1174" i="2" s="1"/>
  <c r="E1173" i="2" s="1"/>
  <c r="F1173" i="2" s="1"/>
  <c r="G1173" i="2" s="1"/>
  <c r="K1170" i="2"/>
  <c r="K1171" i="2" s="1"/>
  <c r="K1172" i="2" s="1"/>
  <c r="F1170" i="2"/>
  <c r="G1170" i="2" s="1"/>
  <c r="A1169" i="2"/>
  <c r="A1170" i="2" s="1"/>
  <c r="A1171" i="2" s="1"/>
  <c r="A1172" i="2" s="1"/>
  <c r="H1167" i="2"/>
  <c r="G1167" i="2" s="1"/>
  <c r="E1166" i="2" s="1"/>
  <c r="F1166" i="2" s="1"/>
  <c r="G1166" i="2" s="1"/>
  <c r="K1162" i="2"/>
  <c r="K1163" i="2" s="1"/>
  <c r="K1164" i="2" s="1"/>
  <c r="F1162" i="2"/>
  <c r="G1162" i="2" s="1"/>
  <c r="A1161" i="2"/>
  <c r="A1162" i="2" s="1"/>
  <c r="A1163" i="2" s="1"/>
  <c r="A1164" i="2" s="1"/>
  <c r="F1153" i="2"/>
  <c r="G1153" i="2" s="1"/>
  <c r="H1159" i="2"/>
  <c r="G1159" i="2" s="1"/>
  <c r="E1158" i="2" s="1"/>
  <c r="F1158" i="2" s="1"/>
  <c r="G1158" i="2" s="1"/>
  <c r="K1152" i="2"/>
  <c r="K1153" i="2" s="1"/>
  <c r="K1154" i="2" s="1"/>
  <c r="K1155" i="2" s="1"/>
  <c r="K1156" i="2" s="1"/>
  <c r="K1157" i="2" s="1"/>
  <c r="K1158" i="2" s="1"/>
  <c r="K1159" i="2" s="1"/>
  <c r="K1160" i="2" s="1"/>
  <c r="A1151" i="2"/>
  <c r="F1144" i="2"/>
  <c r="G1144" i="2" s="1"/>
  <c r="L1144" i="2" s="1"/>
  <c r="F1137" i="2"/>
  <c r="G1137" i="2" s="1"/>
  <c r="F1114" i="2"/>
  <c r="G1114" i="2" s="1"/>
  <c r="H1149" i="2"/>
  <c r="G1149" i="2" s="1"/>
  <c r="F1147" i="2"/>
  <c r="G1147" i="2" s="1"/>
  <c r="L1147" i="2" s="1"/>
  <c r="F1146" i="2"/>
  <c r="G1146" i="2" s="1"/>
  <c r="L1146" i="2" s="1"/>
  <c r="K1143" i="2"/>
  <c r="K1144" i="2" s="1"/>
  <c r="K1145" i="2" s="1"/>
  <c r="K1146" i="2" s="1"/>
  <c r="K1147" i="2" s="1"/>
  <c r="K1148" i="2" s="1"/>
  <c r="K1149" i="2" s="1"/>
  <c r="K1150" i="2" s="1"/>
  <c r="A1142" i="2"/>
  <c r="A1143" i="2" s="1"/>
  <c r="A1144" i="2" s="1"/>
  <c r="A1145" i="2" s="1"/>
  <c r="A1146" i="2" s="1"/>
  <c r="A1147" i="2" s="1"/>
  <c r="A1148" i="2" s="1"/>
  <c r="A1149" i="2" s="1"/>
  <c r="A1150" i="2" s="1"/>
  <c r="H1140" i="2"/>
  <c r="G1140" i="2" s="1"/>
  <c r="E1139" i="2" s="1"/>
  <c r="F1139" i="2" s="1"/>
  <c r="G1139" i="2" s="1"/>
  <c r="F1138" i="2"/>
  <c r="G1138" i="2" s="1"/>
  <c r="K1132" i="2"/>
  <c r="K1133" i="2" s="1"/>
  <c r="K1134" i="2" s="1"/>
  <c r="K1135" i="2" s="1"/>
  <c r="K1136" i="2" s="1"/>
  <c r="A1131" i="2"/>
  <c r="A1132" i="2" s="1"/>
  <c r="A1133" i="2" s="1"/>
  <c r="A1134" i="2" s="1"/>
  <c r="A1135" i="2" s="1"/>
  <c r="A1136" i="2" s="1"/>
  <c r="H1129" i="2"/>
  <c r="G1129" i="2" s="1"/>
  <c r="E1128" i="2" s="1"/>
  <c r="F1128" i="2" s="1"/>
  <c r="G1128" i="2" s="1"/>
  <c r="F1127" i="2"/>
  <c r="G1127" i="2" s="1"/>
  <c r="F1126" i="2"/>
  <c r="G1126" i="2" s="1"/>
  <c r="F1115" i="2"/>
  <c r="G1115" i="2" s="1"/>
  <c r="K1113" i="2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A1112" i="2"/>
  <c r="H1110" i="2"/>
  <c r="G1110" i="2" s="1"/>
  <c r="E1109" i="2" s="1"/>
  <c r="F1109" i="2" s="1"/>
  <c r="G1109" i="2" s="1"/>
  <c r="K1106" i="2"/>
  <c r="K1107" i="2" s="1"/>
  <c r="K1108" i="2" s="1"/>
  <c r="K1109" i="2" s="1"/>
  <c r="K1110" i="2" s="1"/>
  <c r="K1111" i="2" s="1"/>
  <c r="A1105" i="2"/>
  <c r="A1106" i="2" s="1"/>
  <c r="A1107" i="2" s="1"/>
  <c r="A1108" i="2" s="1"/>
  <c r="A1109" i="2" s="1"/>
  <c r="A1110" i="2" s="1"/>
  <c r="A1111" i="2" s="1"/>
  <c r="H1103" i="2"/>
  <c r="G1103" i="2" s="1"/>
  <c r="E1102" i="2" s="1"/>
  <c r="F1102" i="2" s="1"/>
  <c r="G1102" i="2" s="1"/>
  <c r="K1099" i="2"/>
  <c r="K1100" i="2" s="1"/>
  <c r="K1101" i="2" s="1"/>
  <c r="K1102" i="2" s="1"/>
  <c r="K1103" i="2" s="1"/>
  <c r="K1104" i="2" s="1"/>
  <c r="A1098" i="2"/>
  <c r="A1099" i="2" s="1"/>
  <c r="A1100" i="2" s="1"/>
  <c r="A1101" i="2" s="1"/>
  <c r="A1102" i="2" s="1"/>
  <c r="A1103" i="2" s="1"/>
  <c r="A1104" i="2" s="1"/>
  <c r="F1094" i="2"/>
  <c r="G1094" i="2" s="1"/>
  <c r="A1094" i="2"/>
  <c r="A1091" i="2"/>
  <c r="A1082" i="2"/>
  <c r="K1081" i="2"/>
  <c r="K1082" i="2" s="1"/>
  <c r="K1083" i="2" s="1"/>
  <c r="K1084" i="2" s="1"/>
  <c r="K1085" i="2" s="1"/>
  <c r="K1086" i="2" s="1"/>
  <c r="K1087" i="2" s="1"/>
  <c r="K1088" i="2" s="1"/>
  <c r="K1089" i="2" s="1"/>
  <c r="H1052" i="2"/>
  <c r="G1052" i="2" s="1"/>
  <c r="E1051" i="2" s="1"/>
  <c r="F1051" i="2" s="1"/>
  <c r="G1051" i="2" s="1"/>
  <c r="K1047" i="2"/>
  <c r="F1047" i="2"/>
  <c r="G1047" i="2" s="1"/>
  <c r="A1046" i="2"/>
  <c r="A1047" i="2" s="1"/>
  <c r="A1013" i="2"/>
  <c r="A1014" i="2" s="1"/>
  <c r="A1015" i="2" s="1"/>
  <c r="A1016" i="2" s="1"/>
  <c r="F1014" i="2"/>
  <c r="G1014" i="2" s="1"/>
  <c r="K1014" i="2"/>
  <c r="K1015" i="2" s="1"/>
  <c r="K1016" i="2" s="1"/>
  <c r="H1019" i="2"/>
  <c r="G1019" i="2" s="1"/>
  <c r="E1018" i="2" s="1"/>
  <c r="F1018" i="2" s="1"/>
  <c r="G1018" i="2" s="1"/>
  <c r="A1021" i="2"/>
  <c r="A1022" i="2" s="1"/>
  <c r="A1023" i="2" s="1"/>
  <c r="A1024" i="2" s="1"/>
  <c r="F1022" i="2"/>
  <c r="G1022" i="2" s="1"/>
  <c r="K1022" i="2"/>
  <c r="K1023" i="2" s="1"/>
  <c r="K1024" i="2" s="1"/>
  <c r="H1027" i="2"/>
  <c r="G1027" i="2" s="1"/>
  <c r="E1026" i="2" s="1"/>
  <c r="F1026" i="2" s="1"/>
  <c r="G1026" i="2" s="1"/>
  <c r="A1029" i="2"/>
  <c r="A1030" i="2" s="1"/>
  <c r="A1031" i="2" s="1"/>
  <c r="F1030" i="2"/>
  <c r="G1030" i="2" s="1"/>
  <c r="K1030" i="2"/>
  <c r="K1031" i="2" s="1"/>
  <c r="H1035" i="2"/>
  <c r="G1035" i="2" s="1"/>
  <c r="E1034" i="2" s="1"/>
  <c r="F1034" i="2" s="1"/>
  <c r="G1034" i="2" s="1"/>
  <c r="A1037" i="2"/>
  <c r="A1038" i="2" s="1"/>
  <c r="F1038" i="2"/>
  <c r="G1038" i="2" s="1"/>
  <c r="K1038" i="2"/>
  <c r="H1044" i="2"/>
  <c r="G1044" i="2" s="1"/>
  <c r="E1043" i="2" s="1"/>
  <c r="F1043" i="2" s="1"/>
  <c r="G1043" i="2" s="1"/>
  <c r="A1054" i="2"/>
  <c r="A1055" i="2" s="1"/>
  <c r="A1056" i="2" s="1"/>
  <c r="A1057" i="2" s="1"/>
  <c r="A1058" i="2" s="1"/>
  <c r="A1059" i="2" s="1"/>
  <c r="A1060" i="2" s="1"/>
  <c r="A1061" i="2" s="1"/>
  <c r="A1062" i="2" s="1"/>
  <c r="K1055" i="2"/>
  <c r="K1056" i="2" s="1"/>
  <c r="K1057" i="2" s="1"/>
  <c r="K1058" i="2" s="1"/>
  <c r="K1059" i="2" s="1"/>
  <c r="K1060" i="2" s="1"/>
  <c r="K1061" i="2" s="1"/>
  <c r="K1062" i="2" s="1"/>
  <c r="H1061" i="2"/>
  <c r="G1061" i="2" s="1"/>
  <c r="E1060" i="2" s="1"/>
  <c r="F1060" i="2" s="1"/>
  <c r="G1060" i="2" s="1"/>
  <c r="A1063" i="2"/>
  <c r="K1064" i="2"/>
  <c r="K1068" i="2"/>
  <c r="H1071" i="2"/>
  <c r="G1071" i="2" s="1"/>
  <c r="E1070" i="2" s="1"/>
  <c r="F1070" i="2" s="1"/>
  <c r="G1070" i="2" s="1"/>
  <c r="H959" i="2"/>
  <c r="G959" i="2" s="1"/>
  <c r="E958" i="2" s="1"/>
  <c r="F958" i="2" s="1"/>
  <c r="G958" i="2" s="1"/>
  <c r="K954" i="2"/>
  <c r="A953" i="2"/>
  <c r="A954" i="2" s="1"/>
  <c r="A955" i="2" s="1"/>
  <c r="A956" i="2" s="1"/>
  <c r="A957" i="2" s="1"/>
  <c r="A958" i="2" s="1"/>
  <c r="A959" i="2" s="1"/>
  <c r="A960" i="2" s="1"/>
  <c r="H998" i="2"/>
  <c r="G998" i="2" s="1"/>
  <c r="E997" i="2" s="1"/>
  <c r="F997" i="2" s="1"/>
  <c r="G997" i="2" s="1"/>
  <c r="K992" i="2"/>
  <c r="K993" i="2" s="1"/>
  <c r="K994" i="2" s="1"/>
  <c r="K995" i="2" s="1"/>
  <c r="K996" i="2" s="1"/>
  <c r="K997" i="2" s="1"/>
  <c r="K998" i="2" s="1"/>
  <c r="K999" i="2" s="1"/>
  <c r="A991" i="2"/>
  <c r="H980" i="2"/>
  <c r="G980" i="2" s="1"/>
  <c r="E979" i="2" s="1"/>
  <c r="F979" i="2" s="1"/>
  <c r="G979" i="2" s="1"/>
  <c r="F978" i="2"/>
  <c r="G978" i="2" s="1"/>
  <c r="K974" i="2"/>
  <c r="K975" i="2" s="1"/>
  <c r="K976" i="2" s="1"/>
  <c r="K977" i="2" s="1"/>
  <c r="K978" i="2" s="1"/>
  <c r="K979" i="2" s="1"/>
  <c r="K980" i="2" s="1"/>
  <c r="K981" i="2" s="1"/>
  <c r="A973" i="2"/>
  <c r="A974" i="2" s="1"/>
  <c r="A975" i="2" s="1"/>
  <c r="A976" i="2" s="1"/>
  <c r="A977" i="2" s="1"/>
  <c r="A978" i="2" s="1"/>
  <c r="A979" i="2" s="1"/>
  <c r="A980" i="2" s="1"/>
  <c r="A981" i="2" s="1"/>
  <c r="H971" i="2"/>
  <c r="G971" i="2" s="1"/>
  <c r="E970" i="2" s="1"/>
  <c r="F970" i="2" s="1"/>
  <c r="G970" i="2" s="1"/>
  <c r="K962" i="2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A961" i="2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H951" i="2"/>
  <c r="G951" i="2" s="1"/>
  <c r="E950" i="2" s="1"/>
  <c r="F950" i="2" s="1"/>
  <c r="G950" i="2" s="1"/>
  <c r="K945" i="2"/>
  <c r="F945" i="2"/>
  <c r="G945" i="2" s="1"/>
  <c r="A944" i="2"/>
  <c r="A945" i="2" s="1"/>
  <c r="H942" i="2"/>
  <c r="G942" i="2" s="1"/>
  <c r="E941" i="2" s="1"/>
  <c r="F941" i="2" s="1"/>
  <c r="G941" i="2" s="1"/>
  <c r="K937" i="2"/>
  <c r="F937" i="2"/>
  <c r="G937" i="2" s="1"/>
  <c r="A936" i="2"/>
  <c r="A937" i="2" s="1"/>
  <c r="H934" i="2"/>
  <c r="G934" i="2" s="1"/>
  <c r="E933" i="2" s="1"/>
  <c r="F933" i="2" s="1"/>
  <c r="G933" i="2" s="1"/>
  <c r="K929" i="2"/>
  <c r="K930" i="2" s="1"/>
  <c r="K931" i="2" s="1"/>
  <c r="F929" i="2"/>
  <c r="G929" i="2" s="1"/>
  <c r="A928" i="2"/>
  <c r="A929" i="2" s="1"/>
  <c r="A930" i="2" s="1"/>
  <c r="A931" i="2" s="1"/>
  <c r="H926" i="2"/>
  <c r="G926" i="2" s="1"/>
  <c r="E925" i="2" s="1"/>
  <c r="F925" i="2" s="1"/>
  <c r="G925" i="2" s="1"/>
  <c r="K921" i="2"/>
  <c r="K922" i="2" s="1"/>
  <c r="K923" i="2" s="1"/>
  <c r="F921" i="2"/>
  <c r="G921" i="2" s="1"/>
  <c r="A920" i="2"/>
  <c r="A921" i="2" s="1"/>
  <c r="A922" i="2" s="1"/>
  <c r="A923" i="2" s="1"/>
  <c r="F915" i="2"/>
  <c r="G915" i="2" s="1"/>
  <c r="H918" i="2"/>
  <c r="G918" i="2" s="1"/>
  <c r="E917" i="2" s="1"/>
  <c r="F917" i="2" s="1"/>
  <c r="G917" i="2" s="1"/>
  <c r="F916" i="2"/>
  <c r="G916" i="2" s="1"/>
  <c r="K910" i="2"/>
  <c r="A909" i="2"/>
  <c r="A910" i="2" s="1"/>
  <c r="H907" i="2"/>
  <c r="G907" i="2" s="1"/>
  <c r="E906" i="2" s="1"/>
  <c r="F906" i="2" s="1"/>
  <c r="G906" i="2" s="1"/>
  <c r="F905" i="2"/>
  <c r="G905" i="2" s="1"/>
  <c r="F904" i="2"/>
  <c r="G904" i="2" s="1"/>
  <c r="F899" i="2"/>
  <c r="G899" i="2" s="1"/>
  <c r="K898" i="2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A897" i="2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H895" i="2"/>
  <c r="G895" i="2" s="1"/>
  <c r="E894" i="2" s="1"/>
  <c r="F894" i="2" s="1"/>
  <c r="G894" i="2" s="1"/>
  <c r="K889" i="2"/>
  <c r="K890" i="2" s="1"/>
  <c r="K891" i="2" s="1"/>
  <c r="K892" i="2" s="1"/>
  <c r="K893" i="2" s="1"/>
  <c r="K894" i="2" s="1"/>
  <c r="K895" i="2" s="1"/>
  <c r="K896" i="2" s="1"/>
  <c r="A888" i="2"/>
  <c r="A889" i="2" s="1"/>
  <c r="A890" i="2" s="1"/>
  <c r="A891" i="2" s="1"/>
  <c r="A892" i="2" s="1"/>
  <c r="A893" i="2" s="1"/>
  <c r="A894" i="2" s="1"/>
  <c r="A895" i="2" s="1"/>
  <c r="A896" i="2" s="1"/>
  <c r="F869" i="2"/>
  <c r="G869" i="2" s="1"/>
  <c r="L869" i="2" s="1"/>
  <c r="F850" i="2"/>
  <c r="G850" i="2" s="1"/>
  <c r="K827" i="2"/>
  <c r="F827" i="2"/>
  <c r="G827" i="2" s="1"/>
  <c r="H852" i="2"/>
  <c r="G852" i="2" s="1"/>
  <c r="E851" i="2" s="1"/>
  <c r="F851" i="2" s="1"/>
  <c r="G851" i="2" s="1"/>
  <c r="K841" i="2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A840" i="2"/>
  <c r="H886" i="2"/>
  <c r="G886" i="2" s="1"/>
  <c r="E885" i="2" s="1"/>
  <c r="F885" i="2" s="1"/>
  <c r="G885" i="2" s="1"/>
  <c r="F884" i="2"/>
  <c r="G884" i="2" s="1"/>
  <c r="F883" i="2"/>
  <c r="G883" i="2" s="1"/>
  <c r="F878" i="2"/>
  <c r="G878" i="2" s="1"/>
  <c r="K877" i="2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A876" i="2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H874" i="2"/>
  <c r="G874" i="2" s="1"/>
  <c r="F872" i="2"/>
  <c r="G872" i="2" s="1"/>
  <c r="L872" i="2" s="1"/>
  <c r="F871" i="2"/>
  <c r="G871" i="2" s="1"/>
  <c r="L871" i="2" s="1"/>
  <c r="F870" i="2"/>
  <c r="G870" i="2" s="1"/>
  <c r="L870" i="2" s="1"/>
  <c r="F856" i="2"/>
  <c r="G856" i="2" s="1"/>
  <c r="L856" i="2" s="1"/>
  <c r="K855" i="2"/>
  <c r="K857" i="2" s="1"/>
  <c r="K859" i="2" s="1"/>
  <c r="K861" i="2" s="1"/>
  <c r="K863" i="2" s="1"/>
  <c r="K865" i="2" s="1"/>
  <c r="K867" i="2" s="1"/>
  <c r="K869" i="2" s="1"/>
  <c r="K871" i="2" s="1"/>
  <c r="K873" i="2" s="1"/>
  <c r="K875" i="2" s="1"/>
  <c r="A854" i="2"/>
  <c r="A855" i="2" s="1"/>
  <c r="A857" i="2" s="1"/>
  <c r="A859" i="2" s="1"/>
  <c r="A861" i="2" s="1"/>
  <c r="A863" i="2" s="1"/>
  <c r="A865" i="2" s="1"/>
  <c r="A867" i="2" s="1"/>
  <c r="A869" i="2" s="1"/>
  <c r="A871" i="2" s="1"/>
  <c r="A873" i="2" s="1"/>
  <c r="A875" i="2" s="1"/>
  <c r="H838" i="2"/>
  <c r="G838" i="2" s="1"/>
  <c r="E837" i="2" s="1"/>
  <c r="F837" i="2" s="1"/>
  <c r="G837" i="2" s="1"/>
  <c r="F836" i="2"/>
  <c r="G836" i="2" s="1"/>
  <c r="F835" i="2"/>
  <c r="G835" i="2" s="1"/>
  <c r="F829" i="2"/>
  <c r="G829" i="2" s="1"/>
  <c r="F828" i="2"/>
  <c r="G828" i="2" s="1"/>
  <c r="K826" i="2"/>
  <c r="K828" i="2" s="1"/>
  <c r="K829" i="2" s="1"/>
  <c r="K830" i="2" s="1"/>
  <c r="K831" i="2" s="1"/>
  <c r="A825" i="2"/>
  <c r="H776" i="2"/>
  <c r="G776" i="2" s="1"/>
  <c r="E775" i="2" s="1"/>
  <c r="F775" i="2" s="1"/>
  <c r="G775" i="2" s="1"/>
  <c r="K767" i="2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A766" i="2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H809" i="2"/>
  <c r="G809" i="2" s="1"/>
  <c r="E808" i="2" s="1"/>
  <c r="F808" i="2" s="1"/>
  <c r="G808" i="2" s="1"/>
  <c r="K806" i="2"/>
  <c r="K801" i="2"/>
  <c r="A800" i="2"/>
  <c r="H798" i="2"/>
  <c r="G798" i="2" s="1"/>
  <c r="E797" i="2" s="1"/>
  <c r="F797" i="2" s="1"/>
  <c r="G797" i="2" s="1"/>
  <c r="K795" i="2"/>
  <c r="K791" i="2"/>
  <c r="A790" i="2"/>
  <c r="H788" i="2"/>
  <c r="G788" i="2" s="1"/>
  <c r="E787" i="2" s="1"/>
  <c r="F787" i="2" s="1"/>
  <c r="G787" i="2" s="1"/>
  <c r="K779" i="2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A778" i="2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H764" i="2"/>
  <c r="G764" i="2" s="1"/>
  <c r="E763" i="2" s="1"/>
  <c r="F763" i="2" s="1"/>
  <c r="G763" i="2" s="1"/>
  <c r="K756" i="2"/>
  <c r="F756" i="2"/>
  <c r="G756" i="2" s="1"/>
  <c r="A755" i="2"/>
  <c r="A756" i="2" s="1"/>
  <c r="H753" i="2"/>
  <c r="G753" i="2" s="1"/>
  <c r="E752" i="2" s="1"/>
  <c r="F752" i="2" s="1"/>
  <c r="G752" i="2" s="1"/>
  <c r="K748" i="2"/>
  <c r="F748" i="2"/>
  <c r="G748" i="2" s="1"/>
  <c r="A747" i="2"/>
  <c r="A748" i="2" s="1"/>
  <c r="H745" i="2"/>
  <c r="G745" i="2" s="1"/>
  <c r="E744" i="2" s="1"/>
  <c r="F744" i="2" s="1"/>
  <c r="G744" i="2" s="1"/>
  <c r="K740" i="2"/>
  <c r="F740" i="2"/>
  <c r="G740" i="2" s="1"/>
  <c r="A739" i="2"/>
  <c r="A740" i="2" s="1"/>
  <c r="H737" i="2"/>
  <c r="G737" i="2" s="1"/>
  <c r="E736" i="2" s="1"/>
  <c r="F736" i="2" s="1"/>
  <c r="G736" i="2" s="1"/>
  <c r="K732" i="2"/>
  <c r="F732" i="2"/>
  <c r="G732" i="2" s="1"/>
  <c r="A731" i="2"/>
  <c r="A732" i="2" s="1"/>
  <c r="H728" i="2"/>
  <c r="G728" i="2" s="1"/>
  <c r="E727" i="2" s="1"/>
  <c r="F727" i="2" s="1"/>
  <c r="G727" i="2" s="1"/>
  <c r="K725" i="2"/>
  <c r="K720" i="2"/>
  <c r="A719" i="2"/>
  <c r="H717" i="2"/>
  <c r="G717" i="2" s="1"/>
  <c r="E716" i="2" s="1"/>
  <c r="F716" i="2" s="1"/>
  <c r="G716" i="2" s="1"/>
  <c r="K714" i="2"/>
  <c r="K710" i="2"/>
  <c r="A709" i="2"/>
  <c r="H707" i="2"/>
  <c r="G707" i="2" s="1"/>
  <c r="E706" i="2" s="1"/>
  <c r="F706" i="2" s="1"/>
  <c r="G706" i="2" s="1"/>
  <c r="K698" i="2"/>
  <c r="K699" i="2" s="1"/>
  <c r="K700" i="2" s="1"/>
  <c r="K701" i="2" s="1"/>
  <c r="K702" i="2" s="1"/>
  <c r="K703" i="2" s="1"/>
  <c r="A697" i="2"/>
  <c r="A698" i="2" s="1"/>
  <c r="A699" i="2" s="1"/>
  <c r="A700" i="2" s="1"/>
  <c r="A701" i="2" s="1"/>
  <c r="A702" i="2" s="1"/>
  <c r="A703" i="2" s="1"/>
  <c r="H677" i="2"/>
  <c r="G677" i="2" s="1"/>
  <c r="E676" i="2" s="1"/>
  <c r="F676" i="2" s="1"/>
  <c r="G676" i="2" s="1"/>
  <c r="K669" i="2"/>
  <c r="F669" i="2"/>
  <c r="G669" i="2" s="1"/>
  <c r="A668" i="2"/>
  <c r="A669" i="2" s="1"/>
  <c r="H666" i="2"/>
  <c r="G666" i="2" s="1"/>
  <c r="E665" i="2" s="1"/>
  <c r="F665" i="2" s="1"/>
  <c r="G665" i="2" s="1"/>
  <c r="K661" i="2"/>
  <c r="F661" i="2"/>
  <c r="G661" i="2" s="1"/>
  <c r="A660" i="2"/>
  <c r="A661" i="2" s="1"/>
  <c r="H658" i="2"/>
  <c r="G658" i="2" s="1"/>
  <c r="E657" i="2" s="1"/>
  <c r="F657" i="2" s="1"/>
  <c r="G657" i="2" s="1"/>
  <c r="K653" i="2"/>
  <c r="K654" i="2" s="1"/>
  <c r="F653" i="2"/>
  <c r="G653" i="2" s="1"/>
  <c r="A652" i="2"/>
  <c r="A653" i="2" s="1"/>
  <c r="A654" i="2" s="1"/>
  <c r="H650" i="2"/>
  <c r="G650" i="2" s="1"/>
  <c r="E649" i="2" s="1"/>
  <c r="F649" i="2" s="1"/>
  <c r="G649" i="2" s="1"/>
  <c r="K645" i="2"/>
  <c r="K646" i="2" s="1"/>
  <c r="F645" i="2"/>
  <c r="G645" i="2" s="1"/>
  <c r="A644" i="2"/>
  <c r="A645" i="2" s="1"/>
  <c r="A646" i="2" s="1"/>
  <c r="H641" i="2"/>
  <c r="G641" i="2" s="1"/>
  <c r="E640" i="2" s="1"/>
  <c r="F640" i="2" s="1"/>
  <c r="G640" i="2" s="1"/>
  <c r="K638" i="2"/>
  <c r="K633" i="2"/>
  <c r="A632" i="2"/>
  <c r="K627" i="2"/>
  <c r="H630" i="2"/>
  <c r="G630" i="2" s="1"/>
  <c r="E629" i="2" s="1"/>
  <c r="F629" i="2" s="1"/>
  <c r="G629" i="2" s="1"/>
  <c r="K623" i="2"/>
  <c r="A622" i="2"/>
  <c r="H620" i="2"/>
  <c r="G620" i="2" s="1"/>
  <c r="E619" i="2" s="1"/>
  <c r="F619" i="2" s="1"/>
  <c r="G619" i="2" s="1"/>
  <c r="K611" i="2"/>
  <c r="K613" i="2" s="1"/>
  <c r="K615" i="2" s="1"/>
  <c r="K616" i="2" s="1"/>
  <c r="F611" i="2"/>
  <c r="G611" i="2" s="1"/>
  <c r="A610" i="2"/>
  <c r="H567" i="2"/>
  <c r="G567" i="2" s="1"/>
  <c r="E566" i="2" s="1"/>
  <c r="F566" i="2" s="1"/>
  <c r="G566" i="2" s="1"/>
  <c r="K559" i="2"/>
  <c r="K563" i="2" s="1"/>
  <c r="F559" i="2"/>
  <c r="G559" i="2" s="1"/>
  <c r="A558" i="2"/>
  <c r="A559" i="2" s="1"/>
  <c r="H584" i="2"/>
  <c r="G584" i="2" s="1"/>
  <c r="E583" i="2" s="1"/>
  <c r="F583" i="2" s="1"/>
  <c r="G583" i="2" s="1"/>
  <c r="K578" i="2"/>
  <c r="K580" i="2" s="1"/>
  <c r="F578" i="2"/>
  <c r="G578" i="2" s="1"/>
  <c r="A577" i="2"/>
  <c r="A578" i="2" s="1"/>
  <c r="A580" i="2" s="1"/>
  <c r="H575" i="2"/>
  <c r="G575" i="2" s="1"/>
  <c r="E574" i="2" s="1"/>
  <c r="F574" i="2" s="1"/>
  <c r="G574" i="2" s="1"/>
  <c r="K570" i="2"/>
  <c r="F570" i="2"/>
  <c r="G570" i="2" s="1"/>
  <c r="A569" i="2"/>
  <c r="H556" i="2"/>
  <c r="G556" i="2" s="1"/>
  <c r="E555" i="2" s="1"/>
  <c r="F555" i="2" s="1"/>
  <c r="G555" i="2" s="1"/>
  <c r="K551" i="2"/>
  <c r="F551" i="2"/>
  <c r="G551" i="2" s="1"/>
  <c r="A550" i="2"/>
  <c r="A551" i="2" s="1"/>
  <c r="H548" i="2"/>
  <c r="G548" i="2" s="1"/>
  <c r="E547" i="2" s="1"/>
  <c r="F547" i="2" s="1"/>
  <c r="G547" i="2" s="1"/>
  <c r="K543" i="2"/>
  <c r="K544" i="2" s="1"/>
  <c r="K546" i="2" s="1"/>
  <c r="F543" i="2"/>
  <c r="G543" i="2" s="1"/>
  <c r="A542" i="2"/>
  <c r="A543" i="2" s="1"/>
  <c r="A544" i="2" s="1"/>
  <c r="A546" i="2" s="1"/>
  <c r="H540" i="2"/>
  <c r="G540" i="2" s="1"/>
  <c r="E539" i="2" s="1"/>
  <c r="F539" i="2" s="1"/>
  <c r="G539" i="2" s="1"/>
  <c r="K535" i="2"/>
  <c r="K536" i="2" s="1"/>
  <c r="F535" i="2"/>
  <c r="G535" i="2" s="1"/>
  <c r="A534" i="2"/>
  <c r="A535" i="2" s="1"/>
  <c r="A536" i="2" s="1"/>
  <c r="F500" i="2"/>
  <c r="G500" i="2" s="1"/>
  <c r="H532" i="2"/>
  <c r="G532" i="2" s="1"/>
  <c r="E531" i="2" s="1"/>
  <c r="F531" i="2" s="1"/>
  <c r="G531" i="2" s="1"/>
  <c r="K529" i="2"/>
  <c r="K530" i="2" s="1"/>
  <c r="K531" i="2" s="1"/>
  <c r="K532" i="2" s="1"/>
  <c r="K533" i="2" s="1"/>
  <c r="A528" i="2"/>
  <c r="A529" i="2" s="1"/>
  <c r="A530" i="2" s="1"/>
  <c r="A531" i="2" s="1"/>
  <c r="A532" i="2" s="1"/>
  <c r="A533" i="2" s="1"/>
  <c r="H526" i="2"/>
  <c r="G526" i="2" s="1"/>
  <c r="E525" i="2" s="1"/>
  <c r="F525" i="2" s="1"/>
  <c r="G525" i="2" s="1"/>
  <c r="F524" i="2"/>
  <c r="G524" i="2" s="1"/>
  <c r="F523" i="2"/>
  <c r="G523" i="2" s="1"/>
  <c r="F518" i="2"/>
  <c r="G518" i="2" s="1"/>
  <c r="K517" i="2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A516" i="2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F493" i="2"/>
  <c r="G493" i="2" s="1"/>
  <c r="H514" i="2"/>
  <c r="G514" i="2" s="1"/>
  <c r="E513" i="2" s="1"/>
  <c r="F513" i="2" s="1"/>
  <c r="G513" i="2" s="1"/>
  <c r="F512" i="2"/>
  <c r="G512" i="2" s="1"/>
  <c r="K506" i="2"/>
  <c r="K507" i="2" s="1"/>
  <c r="K508" i="2" s="1"/>
  <c r="K509" i="2" s="1"/>
  <c r="K510" i="2" s="1"/>
  <c r="K511" i="2" s="1"/>
  <c r="K512" i="2" s="1"/>
  <c r="K513" i="2" s="1"/>
  <c r="K514" i="2" s="1"/>
  <c r="K515" i="2" s="1"/>
  <c r="A505" i="2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F501" i="2"/>
  <c r="G501" i="2" s="1"/>
  <c r="H503" i="2"/>
  <c r="G503" i="2" s="1"/>
  <c r="E502" i="2" s="1"/>
  <c r="F502" i="2" s="1"/>
  <c r="G502" i="2" s="1"/>
  <c r="K492" i="2"/>
  <c r="A491" i="2"/>
  <c r="A492" i="2" s="1"/>
  <c r="H489" i="2"/>
  <c r="G489" i="2" s="1"/>
  <c r="E488" i="2" s="1"/>
  <c r="F488" i="2" s="1"/>
  <c r="G488" i="2" s="1"/>
  <c r="K482" i="2"/>
  <c r="K483" i="2" s="1"/>
  <c r="K484" i="2" s="1"/>
  <c r="K485" i="2" s="1"/>
  <c r="K486" i="2" s="1"/>
  <c r="K487" i="2" s="1"/>
  <c r="K488" i="2" s="1"/>
  <c r="K489" i="2" s="1"/>
  <c r="K490" i="2" s="1"/>
  <c r="A481" i="2"/>
  <c r="A482" i="2" s="1"/>
  <c r="A483" i="2" s="1"/>
  <c r="A484" i="2" s="1"/>
  <c r="A485" i="2" s="1"/>
  <c r="A486" i="2" s="1"/>
  <c r="A487" i="2" s="1"/>
  <c r="A488" i="2" s="1"/>
  <c r="A489" i="2" s="1"/>
  <c r="A490" i="2" s="1"/>
  <c r="H479" i="2"/>
  <c r="G479" i="2" s="1"/>
  <c r="E478" i="2" s="1"/>
  <c r="F478" i="2" s="1"/>
  <c r="G478" i="2" s="1"/>
  <c r="F477" i="2"/>
  <c r="G477" i="2" s="1"/>
  <c r="F476" i="2"/>
  <c r="G476" i="2" s="1"/>
  <c r="F471" i="2"/>
  <c r="G471" i="2" s="1"/>
  <c r="K470" i="2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A469" i="2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F453" i="2"/>
  <c r="G453" i="2" s="1"/>
  <c r="L453" i="2" s="1"/>
  <c r="F464" i="2"/>
  <c r="G464" i="2" s="1"/>
  <c r="L464" i="2" s="1"/>
  <c r="H467" i="2"/>
  <c r="G467" i="2" s="1"/>
  <c r="F465" i="2"/>
  <c r="G465" i="2" s="1"/>
  <c r="L465" i="2" s="1"/>
  <c r="F463" i="2"/>
  <c r="G463" i="2" s="1"/>
  <c r="L463" i="2" s="1"/>
  <c r="K452" i="2"/>
  <c r="A451" i="2"/>
  <c r="A452" i="2" s="1"/>
  <c r="H449" i="2"/>
  <c r="G449" i="2" s="1"/>
  <c r="E448" i="2" s="1"/>
  <c r="F448" i="2" s="1"/>
  <c r="G448" i="2" s="1"/>
  <c r="F447" i="2"/>
  <c r="G447" i="2" s="1"/>
  <c r="K437" i="2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A436" i="2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H434" i="2"/>
  <c r="G434" i="2" s="1"/>
  <c r="F433" i="2" s="1"/>
  <c r="G433" i="2" s="1"/>
  <c r="F432" i="2"/>
  <c r="G432" i="2" s="1"/>
  <c r="F431" i="2"/>
  <c r="G431" i="2" s="1"/>
  <c r="F430" i="2"/>
  <c r="G430" i="2" s="1"/>
  <c r="F425" i="2"/>
  <c r="G425" i="2" s="1"/>
  <c r="F423" i="2"/>
  <c r="G423" i="2" s="1"/>
  <c r="K422" i="2"/>
  <c r="K423" i="2" s="1"/>
  <c r="A421" i="2"/>
  <c r="A422" i="2" s="1"/>
  <c r="A423" i="2" s="1"/>
  <c r="K400" i="2"/>
  <c r="K401" i="2" s="1"/>
  <c r="K402" i="2" s="1"/>
  <c r="K392" i="2"/>
  <c r="K393" i="2" s="1"/>
  <c r="K394" i="2" s="1"/>
  <c r="K384" i="2"/>
  <c r="K385" i="2" s="1"/>
  <c r="K386" i="2" s="1"/>
  <c r="K377" i="2"/>
  <c r="K378" i="2" s="1"/>
  <c r="K379" i="2" s="1"/>
  <c r="K380" i="2" s="1"/>
  <c r="K381" i="2" s="1"/>
  <c r="K382" i="2" s="1"/>
  <c r="K370" i="2"/>
  <c r="K371" i="2" s="1"/>
  <c r="K372" i="2" s="1"/>
  <c r="K373" i="2" s="1"/>
  <c r="K374" i="2" s="1"/>
  <c r="K375" i="2" s="1"/>
  <c r="K363" i="2"/>
  <c r="K364" i="2" s="1"/>
  <c r="K365" i="2" s="1"/>
  <c r="K366" i="2" s="1"/>
  <c r="K367" i="2" s="1"/>
  <c r="K368" i="2" s="1"/>
  <c r="K356" i="2"/>
  <c r="K357" i="2" s="1"/>
  <c r="K358" i="2" s="1"/>
  <c r="K359" i="2" s="1"/>
  <c r="K360" i="2" s="1"/>
  <c r="K361" i="2" s="1"/>
  <c r="K349" i="2"/>
  <c r="K350" i="2" s="1"/>
  <c r="K351" i="2" s="1"/>
  <c r="K352" i="2" s="1"/>
  <c r="K353" i="2" s="1"/>
  <c r="K354" i="2" s="1"/>
  <c r="K341" i="2"/>
  <c r="K334" i="2"/>
  <c r="K335" i="2" s="1"/>
  <c r="K336" i="2" s="1"/>
  <c r="K337" i="2" s="1"/>
  <c r="K338" i="2" s="1"/>
  <c r="K339" i="2" s="1"/>
  <c r="K328" i="2"/>
  <c r="K329" i="2" s="1"/>
  <c r="K330" i="2" s="1"/>
  <c r="K331" i="2" s="1"/>
  <c r="K332" i="2" s="1"/>
  <c r="K322" i="2"/>
  <c r="K323" i="2" s="1"/>
  <c r="K324" i="2" s="1"/>
  <c r="K325" i="2" s="1"/>
  <c r="K326" i="2" s="1"/>
  <c r="K316" i="2"/>
  <c r="K317" i="2" s="1"/>
  <c r="K318" i="2" s="1"/>
  <c r="K319" i="2" s="1"/>
  <c r="K320" i="2" s="1"/>
  <c r="K310" i="2"/>
  <c r="K311" i="2" s="1"/>
  <c r="K312" i="2" s="1"/>
  <c r="K313" i="2" s="1"/>
  <c r="K314" i="2" s="1"/>
  <c r="K304" i="2"/>
  <c r="K305" i="2" s="1"/>
  <c r="K306" i="2" s="1"/>
  <c r="K307" i="2" s="1"/>
  <c r="K308" i="2" s="1"/>
  <c r="K297" i="2"/>
  <c r="K298" i="2" s="1"/>
  <c r="K299" i="2" s="1"/>
  <c r="K300" i="2" s="1"/>
  <c r="K301" i="2" s="1"/>
  <c r="K302" i="2" s="1"/>
  <c r="K290" i="2"/>
  <c r="K291" i="2" s="1"/>
  <c r="K292" i="2" s="1"/>
  <c r="K293" i="2" s="1"/>
  <c r="K294" i="2" s="1"/>
  <c r="K295" i="2" s="1"/>
  <c r="K261" i="2"/>
  <c r="K262" i="2" s="1"/>
  <c r="K253" i="2"/>
  <c r="K254" i="2" s="1"/>
  <c r="K255" i="2" s="1"/>
  <c r="K230" i="2"/>
  <c r="K231" i="2" s="1"/>
  <c r="K232" i="2" s="1"/>
  <c r="K233" i="2" s="1"/>
  <c r="K234" i="2" s="1"/>
  <c r="K216" i="2"/>
  <c r="K217" i="2" s="1"/>
  <c r="K218" i="2" s="1"/>
  <c r="K219" i="2" s="1"/>
  <c r="K220" i="2" s="1"/>
  <c r="K221" i="2" s="1"/>
  <c r="K209" i="2"/>
  <c r="K210" i="2" s="1"/>
  <c r="K211" i="2" s="1"/>
  <c r="K212" i="2" s="1"/>
  <c r="K213" i="2" s="1"/>
  <c r="K214" i="2" s="1"/>
  <c r="K202" i="2"/>
  <c r="K203" i="2" s="1"/>
  <c r="K204" i="2" s="1"/>
  <c r="K205" i="2" s="1"/>
  <c r="K206" i="2" s="1"/>
  <c r="K207" i="2" s="1"/>
  <c r="K195" i="2"/>
  <c r="K196" i="2" s="1"/>
  <c r="K197" i="2" s="1"/>
  <c r="K198" i="2" s="1"/>
  <c r="K199" i="2" s="1"/>
  <c r="K200" i="2" s="1"/>
  <c r="K169" i="2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58" i="2"/>
  <c r="K159" i="2" s="1"/>
  <c r="K160" i="2" s="1"/>
  <c r="K161" i="2" s="1"/>
  <c r="K162" i="2" s="1"/>
  <c r="K163" i="2" s="1"/>
  <c r="K164" i="2" s="1"/>
  <c r="K165" i="2" s="1"/>
  <c r="K166" i="2" s="1"/>
  <c r="K167" i="2" s="1"/>
  <c r="K150" i="2"/>
  <c r="K151" i="2" s="1"/>
  <c r="K152" i="2" s="1"/>
  <c r="K153" i="2" s="1"/>
  <c r="K154" i="2" s="1"/>
  <c r="K155" i="2" s="1"/>
  <c r="K156" i="2" s="1"/>
  <c r="K134" i="2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26" i="2"/>
  <c r="K127" i="2" s="1"/>
  <c r="K128" i="2" s="1"/>
  <c r="K129" i="2" s="1"/>
  <c r="K130" i="2" s="1"/>
  <c r="K131" i="2" s="1"/>
  <c r="K132" i="2" s="1"/>
  <c r="K109" i="2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92" i="2"/>
  <c r="K93" i="2" s="1"/>
  <c r="K94" i="2" s="1"/>
  <c r="K95" i="2" s="1"/>
  <c r="K96" i="2" s="1"/>
  <c r="K83" i="2"/>
  <c r="K84" i="2" s="1"/>
  <c r="K85" i="2" s="1"/>
  <c r="K86" i="2" s="1"/>
  <c r="K87" i="2" s="1"/>
  <c r="K88" i="2" s="1"/>
  <c r="K89" i="2" s="1"/>
  <c r="K90" i="2" s="1"/>
  <c r="K70" i="2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64" i="2"/>
  <c r="K65" i="2" s="1"/>
  <c r="K66" i="2" s="1"/>
  <c r="K67" i="2" s="1"/>
  <c r="K68" i="2" s="1"/>
  <c r="K51" i="2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41" i="2"/>
  <c r="K42" i="2" s="1"/>
  <c r="K43" i="2" s="1"/>
  <c r="K44" i="2" s="1"/>
  <c r="K45" i="2" s="1"/>
  <c r="K46" i="2" s="1"/>
  <c r="K47" i="2" s="1"/>
  <c r="K48" i="2" s="1"/>
  <c r="K49" i="2" s="1"/>
  <c r="K3" i="2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H405" i="2"/>
  <c r="G405" i="2" s="1"/>
  <c r="E404" i="2" s="1"/>
  <c r="F404" i="2" s="1"/>
  <c r="G404" i="2" s="1"/>
  <c r="A399" i="2"/>
  <c r="A400" i="2" s="1"/>
  <c r="A401" i="2" s="1"/>
  <c r="A402" i="2" s="1"/>
  <c r="H397" i="2"/>
  <c r="G397" i="2" s="1"/>
  <c r="E396" i="2" s="1"/>
  <c r="F396" i="2" s="1"/>
  <c r="G396" i="2" s="1"/>
  <c r="A391" i="2"/>
  <c r="A392" i="2" s="1"/>
  <c r="A393" i="2" s="1"/>
  <c r="A394" i="2" s="1"/>
  <c r="H389" i="2"/>
  <c r="G389" i="2" s="1"/>
  <c r="E388" i="2" s="1"/>
  <c r="F388" i="2" s="1"/>
  <c r="G388" i="2" s="1"/>
  <c r="A383" i="2"/>
  <c r="A384" i="2" s="1"/>
  <c r="H381" i="2"/>
  <c r="G381" i="2" s="1"/>
  <c r="E380" i="2" s="1"/>
  <c r="F380" i="2" s="1"/>
  <c r="G380" i="2" s="1"/>
  <c r="A376" i="2"/>
  <c r="A377" i="2" s="1"/>
  <c r="A378" i="2" s="1"/>
  <c r="A379" i="2" s="1"/>
  <c r="A380" i="2" s="1"/>
  <c r="A381" i="2" s="1"/>
  <c r="A382" i="2" s="1"/>
  <c r="H374" i="2"/>
  <c r="G374" i="2" s="1"/>
  <c r="E373" i="2" s="1"/>
  <c r="F373" i="2" s="1"/>
  <c r="G373" i="2" s="1"/>
  <c r="A369" i="2"/>
  <c r="A370" i="2" s="1"/>
  <c r="A371" i="2" s="1"/>
  <c r="A372" i="2" s="1"/>
  <c r="A373" i="2" s="1"/>
  <c r="A374" i="2" s="1"/>
  <c r="A375" i="2" s="1"/>
  <c r="H367" i="2"/>
  <c r="G367" i="2" s="1"/>
  <c r="E366" i="2" s="1"/>
  <c r="F366" i="2" s="1"/>
  <c r="G366" i="2" s="1"/>
  <c r="A362" i="2"/>
  <c r="A363" i="2" s="1"/>
  <c r="A364" i="2" s="1"/>
  <c r="A365" i="2" s="1"/>
  <c r="A366" i="2" s="1"/>
  <c r="A367" i="2" s="1"/>
  <c r="A368" i="2" s="1"/>
  <c r="H360" i="2"/>
  <c r="G360" i="2" s="1"/>
  <c r="E359" i="2" s="1"/>
  <c r="F359" i="2" s="1"/>
  <c r="G359" i="2" s="1"/>
  <c r="A355" i="2"/>
  <c r="A356" i="2" s="1"/>
  <c r="A357" i="2" s="1"/>
  <c r="A358" i="2" s="1"/>
  <c r="H353" i="2"/>
  <c r="G353" i="2" s="1"/>
  <c r="E352" i="2" s="1"/>
  <c r="F352" i="2" s="1"/>
  <c r="G352" i="2" s="1"/>
  <c r="A348" i="2"/>
  <c r="A349" i="2" s="1"/>
  <c r="A350" i="2" s="1"/>
  <c r="A351" i="2" s="1"/>
  <c r="A352" i="2" s="1"/>
  <c r="A353" i="2" s="1"/>
  <c r="A354" i="2" s="1"/>
  <c r="H346" i="2"/>
  <c r="G346" i="2" s="1"/>
  <c r="E345" i="2" s="1"/>
  <c r="F345" i="2" s="1"/>
  <c r="G345" i="2" s="1"/>
  <c r="A340" i="2"/>
  <c r="A341" i="2" s="1"/>
  <c r="H338" i="2"/>
  <c r="G338" i="2" s="1"/>
  <c r="E337" i="2" s="1"/>
  <c r="F337" i="2" s="1"/>
  <c r="G337" i="2" s="1"/>
  <c r="A333" i="2"/>
  <c r="A334" i="2" s="1"/>
  <c r="A335" i="2" s="1"/>
  <c r="A336" i="2" s="1"/>
  <c r="A337" i="2" s="1"/>
  <c r="A338" i="2" s="1"/>
  <c r="A339" i="2" s="1"/>
  <c r="H331" i="2"/>
  <c r="G331" i="2" s="1"/>
  <c r="E330" i="2" s="1"/>
  <c r="F330" i="2" s="1"/>
  <c r="G330" i="2" s="1"/>
  <c r="A327" i="2"/>
  <c r="A328" i="2" s="1"/>
  <c r="A329" i="2" s="1"/>
  <c r="A330" i="2" s="1"/>
  <c r="A331" i="2" s="1"/>
  <c r="A332" i="2" s="1"/>
  <c r="H325" i="2"/>
  <c r="G325" i="2" s="1"/>
  <c r="E324" i="2" s="1"/>
  <c r="F324" i="2" s="1"/>
  <c r="G324" i="2" s="1"/>
  <c r="A321" i="2"/>
  <c r="A322" i="2" s="1"/>
  <c r="A323" i="2" s="1"/>
  <c r="A324" i="2" s="1"/>
  <c r="A325" i="2" s="1"/>
  <c r="A326" i="2" s="1"/>
  <c r="H319" i="2"/>
  <c r="G319" i="2" s="1"/>
  <c r="E318" i="2" s="1"/>
  <c r="F318" i="2" s="1"/>
  <c r="G318" i="2" s="1"/>
  <c r="A315" i="2"/>
  <c r="A316" i="2" s="1"/>
  <c r="A317" i="2" s="1"/>
  <c r="A318" i="2" s="1"/>
  <c r="A319" i="2" s="1"/>
  <c r="A320" i="2" s="1"/>
  <c r="H313" i="2"/>
  <c r="G313" i="2" s="1"/>
  <c r="E312" i="2" s="1"/>
  <c r="F312" i="2" s="1"/>
  <c r="G312" i="2" s="1"/>
  <c r="A309" i="2"/>
  <c r="A310" i="2" s="1"/>
  <c r="A311" i="2" s="1"/>
  <c r="A312" i="2" s="1"/>
  <c r="A313" i="2" s="1"/>
  <c r="A314" i="2" s="1"/>
  <c r="H307" i="2"/>
  <c r="G307" i="2" s="1"/>
  <c r="E306" i="2" s="1"/>
  <c r="F306" i="2" s="1"/>
  <c r="G306" i="2" s="1"/>
  <c r="A303" i="2"/>
  <c r="A304" i="2" s="1"/>
  <c r="A305" i="2" s="1"/>
  <c r="A306" i="2" s="1"/>
  <c r="A307" i="2" s="1"/>
  <c r="A308" i="2" s="1"/>
  <c r="H301" i="2"/>
  <c r="G301" i="2" s="1"/>
  <c r="E300" i="2" s="1"/>
  <c r="F300" i="2" s="1"/>
  <c r="G300" i="2" s="1"/>
  <c r="A296" i="2"/>
  <c r="A297" i="2" s="1"/>
  <c r="A298" i="2" s="1"/>
  <c r="A299" i="2" s="1"/>
  <c r="A300" i="2" s="1"/>
  <c r="A301" i="2" s="1"/>
  <c r="A302" i="2" s="1"/>
  <c r="H294" i="2"/>
  <c r="G294" i="2" s="1"/>
  <c r="E293" i="2" s="1"/>
  <c r="F293" i="2" s="1"/>
  <c r="G293" i="2" s="1"/>
  <c r="A289" i="2"/>
  <c r="H280" i="2"/>
  <c r="G280" i="2" s="1"/>
  <c r="E279" i="2" s="1"/>
  <c r="F279" i="2" s="1"/>
  <c r="G279" i="2" s="1"/>
  <c r="A275" i="2"/>
  <c r="H273" i="2"/>
  <c r="G273" i="2" s="1"/>
  <c r="E272" i="2" s="1"/>
  <c r="F272" i="2" s="1"/>
  <c r="G272" i="2" s="1"/>
  <c r="A268" i="2"/>
  <c r="H266" i="2"/>
  <c r="G266" i="2" s="1"/>
  <c r="E265" i="2" s="1"/>
  <c r="F265" i="2" s="1"/>
  <c r="G265" i="2" s="1"/>
  <c r="A260" i="2"/>
  <c r="A261" i="2" s="1"/>
  <c r="A262" i="2" s="1"/>
  <c r="H258" i="2"/>
  <c r="G258" i="2" s="1"/>
  <c r="E257" i="2" s="1"/>
  <c r="F257" i="2" s="1"/>
  <c r="G257" i="2" s="1"/>
  <c r="A252" i="2"/>
  <c r="H250" i="2"/>
  <c r="G250" i="2" s="1"/>
  <c r="E249" i="2" s="1"/>
  <c r="F249" i="2" s="1"/>
  <c r="G249" i="2" s="1"/>
  <c r="A243" i="2"/>
  <c r="H241" i="2"/>
  <c r="G241" i="2" s="1"/>
  <c r="E240" i="2" s="1"/>
  <c r="F240" i="2" s="1"/>
  <c r="G240" i="2" s="1"/>
  <c r="A235" i="2"/>
  <c r="H233" i="2"/>
  <c r="G233" i="2" s="1"/>
  <c r="E232" i="2" s="1"/>
  <c r="F232" i="2" s="1"/>
  <c r="G232" i="2" s="1"/>
  <c r="A229" i="2"/>
  <c r="A230" i="2" s="1"/>
  <c r="A231" i="2" s="1"/>
  <c r="A232" i="2" s="1"/>
  <c r="A233" i="2" s="1"/>
  <c r="A234" i="2" s="1"/>
  <c r="H220" i="2"/>
  <c r="G220" i="2" s="1"/>
  <c r="E219" i="2" s="1"/>
  <c r="F219" i="2" s="1"/>
  <c r="G219" i="2" s="1"/>
  <c r="A215" i="2"/>
  <c r="A216" i="2" s="1"/>
  <c r="A217" i="2" s="1"/>
  <c r="A218" i="2" s="1"/>
  <c r="A219" i="2" s="1"/>
  <c r="A220" i="2" s="1"/>
  <c r="A221" i="2" s="1"/>
  <c r="H213" i="2"/>
  <c r="G213" i="2" s="1"/>
  <c r="E212" i="2" s="1"/>
  <c r="F212" i="2" s="1"/>
  <c r="G212" i="2" s="1"/>
  <c r="A208" i="2"/>
  <c r="A209" i="2" s="1"/>
  <c r="A210" i="2" s="1"/>
  <c r="A211" i="2" s="1"/>
  <c r="A212" i="2" s="1"/>
  <c r="A213" i="2" s="1"/>
  <c r="A214" i="2" s="1"/>
  <c r="H206" i="2"/>
  <c r="G206" i="2" s="1"/>
  <c r="E205" i="2" s="1"/>
  <c r="F205" i="2" s="1"/>
  <c r="G205" i="2" s="1"/>
  <c r="A201" i="2"/>
  <c r="A202" i="2" s="1"/>
  <c r="A203" i="2" s="1"/>
  <c r="A204" i="2" s="1"/>
  <c r="A205" i="2" s="1"/>
  <c r="A206" i="2" s="1"/>
  <c r="A207" i="2" s="1"/>
  <c r="H199" i="2"/>
  <c r="G199" i="2" s="1"/>
  <c r="E198" i="2" s="1"/>
  <c r="F198" i="2" s="1"/>
  <c r="G198" i="2" s="1"/>
  <c r="A194" i="2"/>
  <c r="H192" i="2"/>
  <c r="G192" i="2" s="1"/>
  <c r="E191" i="2" s="1"/>
  <c r="F191" i="2" s="1"/>
  <c r="G191" i="2" s="1"/>
  <c r="A182" i="2"/>
  <c r="H180" i="2"/>
  <c r="G180" i="2" s="1"/>
  <c r="F178" i="2"/>
  <c r="G178" i="2" s="1"/>
  <c r="L178" i="2" s="1"/>
  <c r="A168" i="2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H166" i="2"/>
  <c r="G166" i="2" s="1"/>
  <c r="F164" i="2"/>
  <c r="G164" i="2" s="1"/>
  <c r="L164" i="2" s="1"/>
  <c r="F163" i="2"/>
  <c r="G163" i="2" s="1"/>
  <c r="L163" i="2" s="1"/>
  <c r="F162" i="2"/>
  <c r="G162" i="2" s="1"/>
  <c r="L162" i="2" s="1"/>
  <c r="F159" i="2"/>
  <c r="G159" i="2" s="1"/>
  <c r="L159" i="2" s="1"/>
  <c r="A157" i="2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H155" i="2"/>
  <c r="G155" i="2" s="1"/>
  <c r="E154" i="2" s="1"/>
  <c r="F154" i="2" s="1"/>
  <c r="G154" i="2" s="1"/>
  <c r="A149" i="2"/>
  <c r="A150" i="2" s="1"/>
  <c r="A151" i="2" s="1"/>
  <c r="A152" i="2" s="1"/>
  <c r="A153" i="2" s="1"/>
  <c r="A154" i="2" s="1"/>
  <c r="A155" i="2" s="1"/>
  <c r="A156" i="2" s="1"/>
  <c r="H147" i="2"/>
  <c r="G147" i="2" s="1"/>
  <c r="E146" i="2" s="1"/>
  <c r="F146" i="2" s="1"/>
  <c r="G146" i="2" s="1"/>
  <c r="F145" i="2"/>
  <c r="G145" i="2" s="1"/>
  <c r="F141" i="2"/>
  <c r="G141" i="2" s="1"/>
  <c r="F140" i="2"/>
  <c r="G140" i="2" s="1"/>
  <c r="F136" i="2"/>
  <c r="G136" i="2" s="1"/>
  <c r="F135" i="2"/>
  <c r="G135" i="2" s="1"/>
  <c r="A133" i="2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H131" i="2"/>
  <c r="G131" i="2" s="1"/>
  <c r="E130" i="2" s="1"/>
  <c r="F130" i="2" s="1"/>
  <c r="G130" i="2" s="1"/>
  <c r="A125" i="2"/>
  <c r="A126" i="2" s="1"/>
  <c r="A127" i="2" s="1"/>
  <c r="A128" i="2" s="1"/>
  <c r="A129" i="2" s="1"/>
  <c r="A130" i="2" s="1"/>
  <c r="A131" i="2" s="1"/>
  <c r="A132" i="2" s="1"/>
  <c r="F111" i="2"/>
  <c r="G111" i="2" s="1"/>
  <c r="H123" i="2"/>
  <c r="G123" i="2" s="1"/>
  <c r="E122" i="2" s="1"/>
  <c r="F122" i="2" s="1"/>
  <c r="G122" i="2" s="1"/>
  <c r="F121" i="2"/>
  <c r="G121" i="2" s="1"/>
  <c r="F116" i="2"/>
  <c r="G116" i="2" s="1"/>
  <c r="F115" i="2"/>
  <c r="G115" i="2" s="1"/>
  <c r="F110" i="2"/>
  <c r="G110" i="2" s="1"/>
  <c r="A108" i="2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H106" i="2"/>
  <c r="G106" i="2" s="1"/>
  <c r="F104" i="2"/>
  <c r="G104" i="2" s="1"/>
  <c r="L104" i="2" s="1"/>
  <c r="F97" i="2"/>
  <c r="G97" i="2" s="1"/>
  <c r="L97" i="2" s="1"/>
  <c r="F96" i="2"/>
  <c r="G96" i="2" s="1"/>
  <c r="L96" i="2" s="1"/>
  <c r="F93" i="2"/>
  <c r="G93" i="2" s="1"/>
  <c r="L93" i="2" s="1"/>
  <c r="A91" i="2"/>
  <c r="A92" i="2" s="1"/>
  <c r="A93" i="2" s="1"/>
  <c r="A94" i="2" s="1"/>
  <c r="A95" i="2" s="1"/>
  <c r="A96" i="2" s="1"/>
  <c r="F87" i="2"/>
  <c r="G87" i="2" s="1"/>
  <c r="F86" i="2"/>
  <c r="G86" i="2" s="1"/>
  <c r="H89" i="2"/>
  <c r="G89" i="2" s="1"/>
  <c r="E88" i="2" s="1"/>
  <c r="F88" i="2" s="1"/>
  <c r="G88" i="2" s="1"/>
  <c r="A82" i="2"/>
  <c r="A83" i="2" s="1"/>
  <c r="A84" i="2" s="1"/>
  <c r="A85" i="2" s="1"/>
  <c r="A86" i="2" s="1"/>
  <c r="A87" i="2" s="1"/>
  <c r="A88" i="2" s="1"/>
  <c r="A89" i="2" s="1"/>
  <c r="A90" i="2" s="1"/>
  <c r="H80" i="2"/>
  <c r="G80" i="2" s="1"/>
  <c r="F79" i="2" s="1"/>
  <c r="G79" i="2" s="1"/>
  <c r="F78" i="2"/>
  <c r="G78" i="2" s="1"/>
  <c r="F77" i="2"/>
  <c r="G77" i="2" s="1"/>
  <c r="F76" i="2"/>
  <c r="G76" i="2" s="1"/>
  <c r="F72" i="2"/>
  <c r="G72" i="2" s="1"/>
  <c r="F71" i="2"/>
  <c r="G71" i="2" s="1"/>
  <c r="A69" i="2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H67" i="2"/>
  <c r="G67" i="2" s="1"/>
  <c r="E66" i="2" s="1"/>
  <c r="F66" i="2" s="1"/>
  <c r="G66" i="2" s="1"/>
  <c r="A63" i="2"/>
  <c r="A64" i="2" s="1"/>
  <c r="A65" i="2" s="1"/>
  <c r="A66" i="2" s="1"/>
  <c r="A67" i="2" s="1"/>
  <c r="A68" i="2" s="1"/>
  <c r="H61" i="2"/>
  <c r="G61" i="2" s="1"/>
  <c r="F60" i="2" s="1"/>
  <c r="G60" i="2" s="1"/>
  <c r="F59" i="2"/>
  <c r="G59" i="2" s="1"/>
  <c r="F58" i="2"/>
  <c r="G58" i="2" s="1"/>
  <c r="F57" i="2"/>
  <c r="G57" i="2" s="1"/>
  <c r="F53" i="2"/>
  <c r="G53" i="2" s="1"/>
  <c r="F52" i="2"/>
  <c r="G52" i="2" s="1"/>
  <c r="A50" i="2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F10" i="2"/>
  <c r="G10" i="2" s="1"/>
  <c r="F11" i="2"/>
  <c r="G11" i="2" s="1"/>
  <c r="F9" i="2"/>
  <c r="G9" i="2" s="1"/>
  <c r="F5" i="2"/>
  <c r="G5" i="2" s="1"/>
  <c r="H48" i="2"/>
  <c r="G48" i="2" s="1"/>
  <c r="E47" i="2" s="1"/>
  <c r="F47" i="2" s="1"/>
  <c r="G47" i="2" s="1"/>
  <c r="A40" i="2"/>
  <c r="A41" i="2" s="1"/>
  <c r="A42" i="2" s="1"/>
  <c r="A43" i="2" s="1"/>
  <c r="A44" i="2" s="1"/>
  <c r="A45" i="2" s="1"/>
  <c r="A46" i="2" s="1"/>
  <c r="A47" i="2" s="1"/>
  <c r="A48" i="2" s="1"/>
  <c r="A49" i="2" s="1"/>
  <c r="H13" i="2"/>
  <c r="G13" i="2" s="1"/>
  <c r="F4" i="2"/>
  <c r="G4" i="2" s="1"/>
  <c r="F3" i="2"/>
  <c r="A2" i="2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912" i="2" l="1"/>
  <c r="A913" i="2" s="1"/>
  <c r="A914" i="2" s="1"/>
  <c r="A915" i="2" s="1"/>
  <c r="A916" i="2" s="1"/>
  <c r="A917" i="2" s="1"/>
  <c r="A918" i="2" s="1"/>
  <c r="A919" i="2" s="1"/>
  <c r="A911" i="2"/>
  <c r="K912" i="2"/>
  <c r="K913" i="2" s="1"/>
  <c r="K914" i="2" s="1"/>
  <c r="K915" i="2" s="1"/>
  <c r="K916" i="2" s="1"/>
  <c r="K917" i="2" s="1"/>
  <c r="K918" i="2" s="1"/>
  <c r="K919" i="2" s="1"/>
  <c r="K911" i="2"/>
  <c r="F466" i="2"/>
  <c r="G466" i="2" s="1"/>
  <c r="L466" i="2" s="1"/>
  <c r="L467" i="2"/>
  <c r="F873" i="2"/>
  <c r="G873" i="2" s="1"/>
  <c r="L873" i="2" s="1"/>
  <c r="L874" i="2"/>
  <c r="F1148" i="2"/>
  <c r="G1148" i="2" s="1"/>
  <c r="L1148" i="2" s="1"/>
  <c r="L1149" i="2"/>
  <c r="F105" i="2"/>
  <c r="G105" i="2" s="1"/>
  <c r="L105" i="2" s="1"/>
  <c r="L106" i="2"/>
  <c r="F179" i="2"/>
  <c r="G179" i="2" s="1"/>
  <c r="L179" i="2" s="1"/>
  <c r="L180" i="2"/>
  <c r="F165" i="2"/>
  <c r="G165" i="2" s="1"/>
  <c r="L165" i="2" s="1"/>
  <c r="L166" i="2"/>
  <c r="A385" i="2"/>
  <c r="A386" i="2" s="1"/>
  <c r="G1268" i="2"/>
  <c r="G1011" i="2"/>
  <c r="K704" i="2"/>
  <c r="K705" i="2"/>
  <c r="K706" i="2" s="1"/>
  <c r="K707" i="2" s="1"/>
  <c r="K708" i="2" s="1"/>
  <c r="A704" i="2"/>
  <c r="A705" i="2"/>
  <c r="A706" i="2" s="1"/>
  <c r="A707" i="2" s="1"/>
  <c r="A708" i="2" s="1"/>
  <c r="K617" i="2"/>
  <c r="K1261" i="2"/>
  <c r="K1262" i="2"/>
  <c r="K1263" i="2" s="1"/>
  <c r="K1264" i="2" s="1"/>
  <c r="K1265" i="2" s="1"/>
  <c r="K1266" i="2" s="1"/>
  <c r="K1267" i="2" s="1"/>
  <c r="K1268" i="2" s="1"/>
  <c r="A1261" i="2"/>
  <c r="A1262" i="2"/>
  <c r="A1263" i="2" s="1"/>
  <c r="A1264" i="2" s="1"/>
  <c r="A1265" i="2" s="1"/>
  <c r="A1266" i="2" s="1"/>
  <c r="A1267" i="2" s="1"/>
  <c r="A1268" i="2" s="1"/>
  <c r="G1254" i="2"/>
  <c r="K1248" i="2"/>
  <c r="K1249" i="2" s="1"/>
  <c r="K1250" i="2" s="1"/>
  <c r="K1251" i="2" s="1"/>
  <c r="K1252" i="2" s="1"/>
  <c r="K1253" i="2" s="1"/>
  <c r="K1254" i="2" s="1"/>
  <c r="K1247" i="2"/>
  <c r="A1248" i="2"/>
  <c r="A1249" i="2" s="1"/>
  <c r="A1250" i="2" s="1"/>
  <c r="A1251" i="2" s="1"/>
  <c r="A1252" i="2" s="1"/>
  <c r="A1253" i="2" s="1"/>
  <c r="A1254" i="2" s="1"/>
  <c r="A1247" i="2"/>
  <c r="G1078" i="2"/>
  <c r="G1184" i="2"/>
  <c r="K1180" i="2"/>
  <c r="K1179" i="2"/>
  <c r="K1178" i="2"/>
  <c r="A1178" i="2"/>
  <c r="A1179" i="2"/>
  <c r="A1180" i="2"/>
  <c r="K1166" i="2"/>
  <c r="K1167" i="2" s="1"/>
  <c r="K1168" i="2" s="1"/>
  <c r="K1165" i="2"/>
  <c r="A1166" i="2"/>
  <c r="A1167" i="2" s="1"/>
  <c r="A1168" i="2" s="1"/>
  <c r="A1165" i="2"/>
  <c r="G816" i="2"/>
  <c r="G822" i="2"/>
  <c r="A1018" i="2"/>
  <c r="A1019" i="2" s="1"/>
  <c r="A1020" i="2" s="1"/>
  <c r="A1017" i="2"/>
  <c r="G990" i="2"/>
  <c r="K1018" i="2"/>
  <c r="K1019" i="2" s="1"/>
  <c r="K1020" i="2" s="1"/>
  <c r="K1017" i="2"/>
  <c r="G1005" i="2"/>
  <c r="A1008" i="2"/>
  <c r="A1009" i="2" s="1"/>
  <c r="A1010" i="2" s="1"/>
  <c r="A1011" i="2" s="1"/>
  <c r="A1007" i="2"/>
  <c r="K925" i="2"/>
  <c r="K926" i="2" s="1"/>
  <c r="K927" i="2" s="1"/>
  <c r="K924" i="2"/>
  <c r="A925" i="2"/>
  <c r="A926" i="2" s="1"/>
  <c r="A927" i="2" s="1"/>
  <c r="A924" i="2"/>
  <c r="K933" i="2"/>
  <c r="K934" i="2" s="1"/>
  <c r="K935" i="2" s="1"/>
  <c r="K932" i="2"/>
  <c r="A933" i="2"/>
  <c r="A934" i="2" s="1"/>
  <c r="A935" i="2" s="1"/>
  <c r="A932" i="2"/>
  <c r="G603" i="2"/>
  <c r="G597" i="2"/>
  <c r="G609" i="2"/>
  <c r="G591" i="2"/>
  <c r="A819" i="2"/>
  <c r="A820" i="2" s="1"/>
  <c r="A821" i="2" s="1"/>
  <c r="A822" i="2" s="1"/>
  <c r="A818" i="2"/>
  <c r="A1064" i="2"/>
  <c r="A1068" i="2"/>
  <c r="G419" i="2"/>
  <c r="K688" i="2"/>
  <c r="K689" i="2" s="1"/>
  <c r="K690" i="2" s="1"/>
  <c r="A741" i="2"/>
  <c r="A742" i="2" s="1"/>
  <c r="A744" i="2" s="1"/>
  <c r="A745" i="2" s="1"/>
  <c r="A746" i="2" s="1"/>
  <c r="A743" i="2"/>
  <c r="K733" i="2"/>
  <c r="K734" i="2" s="1"/>
  <c r="K736" i="2" s="1"/>
  <c r="K737" i="2" s="1"/>
  <c r="K738" i="2" s="1"/>
  <c r="K735" i="2"/>
  <c r="A733" i="2"/>
  <c r="A734" i="2" s="1"/>
  <c r="A736" i="2" s="1"/>
  <c r="A737" i="2" s="1"/>
  <c r="A738" i="2" s="1"/>
  <c r="A735" i="2"/>
  <c r="K741" i="2"/>
  <c r="K742" i="2" s="1"/>
  <c r="K744" i="2" s="1"/>
  <c r="K745" i="2" s="1"/>
  <c r="K746" i="2" s="1"/>
  <c r="K743" i="2"/>
  <c r="G690" i="2"/>
  <c r="A686" i="2"/>
  <c r="A687" i="2"/>
  <c r="A688" i="2" s="1"/>
  <c r="A689" i="2" s="1"/>
  <c r="A690" i="2" s="1"/>
  <c r="G684" i="2"/>
  <c r="G696" i="2"/>
  <c r="A680" i="2"/>
  <c r="A681" i="2" s="1"/>
  <c r="A682" i="2" s="1"/>
  <c r="A683" i="2" s="1"/>
  <c r="A684" i="2" s="1"/>
  <c r="K588" i="2"/>
  <c r="K537" i="2"/>
  <c r="K538" i="2"/>
  <c r="A537" i="2"/>
  <c r="A538" i="2"/>
  <c r="K655" i="2"/>
  <c r="K657" i="2" s="1"/>
  <c r="K658" i="2" s="1"/>
  <c r="K659" i="2" s="1"/>
  <c r="K656" i="2"/>
  <c r="A655" i="2"/>
  <c r="A657" i="2" s="1"/>
  <c r="A658" i="2" s="1"/>
  <c r="A659" i="2" s="1"/>
  <c r="A656" i="2"/>
  <c r="K647" i="2"/>
  <c r="K649" i="2" s="1"/>
  <c r="K650" i="2" s="1"/>
  <c r="K651" i="2" s="1"/>
  <c r="K648" i="2"/>
  <c r="A647" i="2"/>
  <c r="A649" i="2" s="1"/>
  <c r="A650" i="2" s="1"/>
  <c r="A651" i="2" s="1"/>
  <c r="A648" i="2"/>
  <c r="A611" i="2"/>
  <c r="A613" i="2" s="1"/>
  <c r="A615" i="2" s="1"/>
  <c r="A616" i="2" s="1"/>
  <c r="A612" i="2"/>
  <c r="A614" i="2" s="1"/>
  <c r="G228" i="2"/>
  <c r="K425" i="2"/>
  <c r="K426" i="2" s="1"/>
  <c r="K427" i="2" s="1"/>
  <c r="K424" i="2"/>
  <c r="A425" i="2"/>
  <c r="A426" i="2" s="1"/>
  <c r="A427" i="2" s="1"/>
  <c r="A424" i="2"/>
  <c r="G26" i="2"/>
  <c r="G288" i="2"/>
  <c r="A284" i="2"/>
  <c r="A285" i="2" s="1"/>
  <c r="A286" i="2" s="1"/>
  <c r="A287" i="2" s="1"/>
  <c r="A288" i="2" s="1"/>
  <c r="A283" i="2"/>
  <c r="K264" i="2"/>
  <c r="K265" i="2" s="1"/>
  <c r="K266" i="2" s="1"/>
  <c r="K267" i="2" s="1"/>
  <c r="K263" i="2"/>
  <c r="A264" i="2"/>
  <c r="A265" i="2" s="1"/>
  <c r="A266" i="2" s="1"/>
  <c r="A267" i="2" s="1"/>
  <c r="A263" i="2"/>
  <c r="K33" i="2"/>
  <c r="K32" i="2" s="1"/>
  <c r="K34" i="2" s="1"/>
  <c r="A33" i="2"/>
  <c r="A32" i="2" s="1"/>
  <c r="A34" i="2" s="1"/>
  <c r="G39" i="2"/>
  <c r="G1168" i="2"/>
  <c r="K1040" i="2"/>
  <c r="K1042" i="2" s="1"/>
  <c r="K1039" i="2"/>
  <c r="G1239" i="2"/>
  <c r="K1234" i="2"/>
  <c r="K1237" i="2"/>
  <c r="K1238" i="2" s="1"/>
  <c r="K1239" i="2" s="1"/>
  <c r="A1234" i="2"/>
  <c r="A1237" i="2"/>
  <c r="A1238" i="2" s="1"/>
  <c r="A1239" i="2" s="1"/>
  <c r="G1223" i="2"/>
  <c r="K1221" i="2"/>
  <c r="K1222" i="2" s="1"/>
  <c r="K1223" i="2" s="1"/>
  <c r="K1218" i="2"/>
  <c r="K1219" i="2" s="1"/>
  <c r="K1220" i="2" s="1"/>
  <c r="A1221" i="2"/>
  <c r="A1222" i="2" s="1"/>
  <c r="A1223" i="2" s="1"/>
  <c r="A1218" i="2"/>
  <c r="A1219" i="2" s="1"/>
  <c r="A1220" i="2" s="1"/>
  <c r="G1214" i="2"/>
  <c r="G1208" i="2"/>
  <c r="G1201" i="2"/>
  <c r="K1197" i="2"/>
  <c r="K1199" i="2" s="1"/>
  <c r="K1200" i="2" s="1"/>
  <c r="K1201" i="2" s="1"/>
  <c r="K1196" i="2"/>
  <c r="K1198" i="2" s="1"/>
  <c r="K1195" i="2"/>
  <c r="A1195" i="2"/>
  <c r="A1196" i="2"/>
  <c r="A1198" i="2" s="1"/>
  <c r="A1197" i="2"/>
  <c r="A1199" i="2" s="1"/>
  <c r="A1200" i="2" s="1"/>
  <c r="A1201" i="2" s="1"/>
  <c r="K1187" i="2"/>
  <c r="K1188" i="2"/>
  <c r="A1188" i="2"/>
  <c r="A1187" i="2"/>
  <c r="G1192" i="2"/>
  <c r="G1230" i="2"/>
  <c r="G1175" i="2"/>
  <c r="K1226" i="2"/>
  <c r="A1226" i="2"/>
  <c r="K1189" i="2"/>
  <c r="A1189" i="2"/>
  <c r="K1173" i="2"/>
  <c r="K1174" i="2" s="1"/>
  <c r="K1175" i="2" s="1"/>
  <c r="A1173" i="2"/>
  <c r="A1174" i="2" s="1"/>
  <c r="A1175" i="2" s="1"/>
  <c r="K1137" i="2"/>
  <c r="K1138" i="2" s="1"/>
  <c r="K1139" i="2" s="1"/>
  <c r="K1140" i="2" s="1"/>
  <c r="K1141" i="2" s="1"/>
  <c r="A1137" i="2"/>
  <c r="A1138" i="2" s="1"/>
  <c r="A1139" i="2" s="1"/>
  <c r="A1140" i="2" s="1"/>
  <c r="A1141" i="2" s="1"/>
  <c r="G1111" i="2"/>
  <c r="A1026" i="2"/>
  <c r="A1027" i="2" s="1"/>
  <c r="A1028" i="2" s="1"/>
  <c r="A1025" i="2"/>
  <c r="G1020" i="2"/>
  <c r="A1152" i="2"/>
  <c r="A1153" i="2" s="1"/>
  <c r="A1154" i="2" s="1"/>
  <c r="A1155" i="2" s="1"/>
  <c r="A1156" i="2" s="1"/>
  <c r="A1157" i="2" s="1"/>
  <c r="A1158" i="2" s="1"/>
  <c r="A1159" i="2" s="1"/>
  <c r="A1160" i="2" s="1"/>
  <c r="A1040" i="2"/>
  <c r="A1042" i="2" s="1"/>
  <c r="A1039" i="2"/>
  <c r="K1065" i="2"/>
  <c r="K1066" i="2" s="1"/>
  <c r="K1067" i="2" s="1"/>
  <c r="K1069" i="2"/>
  <c r="K1070" i="2" s="1"/>
  <c r="K1071" i="2" s="1"/>
  <c r="K1072" i="2" s="1"/>
  <c r="G1160" i="2"/>
  <c r="G1045" i="2"/>
  <c r="G1141" i="2"/>
  <c r="K1025" i="2"/>
  <c r="K1026" i="2"/>
  <c r="K1027" i="2" s="1"/>
  <c r="K1028" i="2" s="1"/>
  <c r="A1033" i="2"/>
  <c r="A1034" i="2" s="1"/>
  <c r="A1035" i="2" s="1"/>
  <c r="A1036" i="2" s="1"/>
  <c r="A1032" i="2"/>
  <c r="G1130" i="2"/>
  <c r="G1036" i="2"/>
  <c r="K1032" i="2"/>
  <c r="K1033" i="2"/>
  <c r="K1034" i="2" s="1"/>
  <c r="K1035" i="2" s="1"/>
  <c r="K1036" i="2" s="1"/>
  <c r="A1113" i="2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G1104" i="2"/>
  <c r="K1091" i="2"/>
  <c r="K1090" i="2"/>
  <c r="K1092" i="2" s="1"/>
  <c r="G1053" i="2"/>
  <c r="K1049" i="2"/>
  <c r="K1050" i="2" s="1"/>
  <c r="K1051" i="2" s="1"/>
  <c r="K1052" i="2" s="1"/>
  <c r="K1053" i="2" s="1"/>
  <c r="K1048" i="2"/>
  <c r="A1048" i="2"/>
  <c r="A1049" i="2"/>
  <c r="A1050" i="2" s="1"/>
  <c r="A1051" i="2" s="1"/>
  <c r="A1052" i="2" s="1"/>
  <c r="A1053" i="2" s="1"/>
  <c r="G1028" i="2"/>
  <c r="G927" i="2"/>
  <c r="G935" i="2"/>
  <c r="G960" i="2"/>
  <c r="G972" i="2"/>
  <c r="G952" i="2"/>
  <c r="G943" i="2"/>
  <c r="G999" i="2"/>
  <c r="G981" i="2"/>
  <c r="G1062" i="2"/>
  <c r="G1072" i="2"/>
  <c r="K957" i="2"/>
  <c r="K955" i="2"/>
  <c r="K958" i="2" s="1"/>
  <c r="K959" i="2" s="1"/>
  <c r="K960" i="2" s="1"/>
  <c r="A992" i="2"/>
  <c r="A993" i="2" s="1"/>
  <c r="A994" i="2" s="1"/>
  <c r="A995" i="2" s="1"/>
  <c r="A996" i="2" s="1"/>
  <c r="A997" i="2" s="1"/>
  <c r="A998" i="2" s="1"/>
  <c r="A999" i="2" s="1"/>
  <c r="K947" i="2"/>
  <c r="K949" i="2" s="1"/>
  <c r="K946" i="2"/>
  <c r="A946" i="2"/>
  <c r="A947" i="2"/>
  <c r="A949" i="2" s="1"/>
  <c r="K940" i="2"/>
  <c r="K941" i="2" s="1"/>
  <c r="K939" i="2"/>
  <c r="K938" i="2"/>
  <c r="A938" i="2"/>
  <c r="A939" i="2"/>
  <c r="A940" i="2"/>
  <c r="A941" i="2" s="1"/>
  <c r="A942" i="2" s="1"/>
  <c r="A943" i="2" s="1"/>
  <c r="G919" i="2"/>
  <c r="G896" i="2"/>
  <c r="G887" i="2"/>
  <c r="G908" i="2"/>
  <c r="G875" i="2"/>
  <c r="L875" i="2" s="1"/>
  <c r="G810" i="2"/>
  <c r="G799" i="2"/>
  <c r="G853" i="2"/>
  <c r="A841" i="2"/>
  <c r="A842" i="2" s="1"/>
  <c r="A843" i="2" s="1"/>
  <c r="A844" i="2" s="1"/>
  <c r="A845" i="2" s="1"/>
  <c r="A846" i="2" s="1"/>
  <c r="A847" i="2" s="1"/>
  <c r="A848" i="2" s="1"/>
  <c r="K833" i="2"/>
  <c r="K834" i="2" s="1"/>
  <c r="K835" i="2" s="1"/>
  <c r="K836" i="2" s="1"/>
  <c r="K837" i="2" s="1"/>
  <c r="K838" i="2" s="1"/>
  <c r="K839" i="2" s="1"/>
  <c r="K832" i="2"/>
  <c r="G839" i="2"/>
  <c r="A826" i="2"/>
  <c r="A828" i="2" s="1"/>
  <c r="A829" i="2" s="1"/>
  <c r="A830" i="2" s="1"/>
  <c r="A831" i="2" s="1"/>
  <c r="A827" i="2"/>
  <c r="K856" i="2"/>
  <c r="K858" i="2" s="1"/>
  <c r="K860" i="2" s="1"/>
  <c r="K862" i="2" s="1"/>
  <c r="K864" i="2" s="1"/>
  <c r="K866" i="2" s="1"/>
  <c r="K868" i="2" s="1"/>
  <c r="K870" i="2" s="1"/>
  <c r="K872" i="2" s="1"/>
  <c r="K874" i="2" s="1"/>
  <c r="A856" i="2"/>
  <c r="A858" i="2" s="1"/>
  <c r="A860" i="2" s="1"/>
  <c r="A862" i="2" s="1"/>
  <c r="A864" i="2" s="1"/>
  <c r="A866" i="2" s="1"/>
  <c r="A868" i="2" s="1"/>
  <c r="A870" i="2" s="1"/>
  <c r="A872" i="2" s="1"/>
  <c r="A874" i="2" s="1"/>
  <c r="G746" i="2"/>
  <c r="G789" i="2"/>
  <c r="G777" i="2"/>
  <c r="G754" i="2"/>
  <c r="G765" i="2"/>
  <c r="G738" i="2"/>
  <c r="K803" i="2"/>
  <c r="K802" i="2"/>
  <c r="K804" i="2" s="1"/>
  <c r="K805" i="2" s="1"/>
  <c r="K807" i="2"/>
  <c r="K808" i="2" s="1"/>
  <c r="K809" i="2" s="1"/>
  <c r="K810" i="2" s="1"/>
  <c r="A806" i="2"/>
  <c r="A801" i="2"/>
  <c r="K796" i="2"/>
  <c r="K797" i="2" s="1"/>
  <c r="K798" i="2" s="1"/>
  <c r="K799" i="2" s="1"/>
  <c r="K792" i="2"/>
  <c r="K793" i="2" s="1"/>
  <c r="K794" i="2" s="1"/>
  <c r="A795" i="2"/>
  <c r="A791" i="2"/>
  <c r="K760" i="2"/>
  <c r="K758" i="2"/>
  <c r="K757" i="2"/>
  <c r="K759" i="2" s="1"/>
  <c r="A757" i="2"/>
  <c r="A759" i="2" s="1"/>
  <c r="A758" i="2"/>
  <c r="A760" i="2"/>
  <c r="K749" i="2"/>
  <c r="K750" i="2"/>
  <c r="K751" i="2"/>
  <c r="K752" i="2" s="1"/>
  <c r="K753" i="2" s="1"/>
  <c r="K754" i="2" s="1"/>
  <c r="A751" i="2"/>
  <c r="A752" i="2" s="1"/>
  <c r="A753" i="2" s="1"/>
  <c r="A754" i="2" s="1"/>
  <c r="A749" i="2"/>
  <c r="A750" i="2"/>
  <c r="G729" i="2"/>
  <c r="G718" i="2"/>
  <c r="G708" i="2"/>
  <c r="K726" i="2"/>
  <c r="K727" i="2" s="1"/>
  <c r="K728" i="2" s="1"/>
  <c r="K729" i="2" s="1"/>
  <c r="K722" i="2"/>
  <c r="K721" i="2"/>
  <c r="K723" i="2" s="1"/>
  <c r="K724" i="2" s="1"/>
  <c r="A725" i="2"/>
  <c r="A720" i="2"/>
  <c r="K715" i="2"/>
  <c r="K716" i="2" s="1"/>
  <c r="K717" i="2" s="1"/>
  <c r="K718" i="2" s="1"/>
  <c r="K711" i="2"/>
  <c r="K712" i="2" s="1"/>
  <c r="K713" i="2" s="1"/>
  <c r="A714" i="2"/>
  <c r="A710" i="2"/>
  <c r="G678" i="2"/>
  <c r="G659" i="2"/>
  <c r="K673" i="2"/>
  <c r="K672" i="2"/>
  <c r="K671" i="2"/>
  <c r="K675" i="2" s="1"/>
  <c r="K670" i="2"/>
  <c r="A670" i="2"/>
  <c r="A671" i="2"/>
  <c r="A673" i="2"/>
  <c r="G667" i="2"/>
  <c r="K662" i="2"/>
  <c r="K663" i="2"/>
  <c r="K664" i="2"/>
  <c r="K665" i="2" s="1"/>
  <c r="K666" i="2" s="1"/>
  <c r="K667" i="2" s="1"/>
  <c r="A662" i="2"/>
  <c r="A663" i="2"/>
  <c r="A664" i="2"/>
  <c r="A665" i="2" s="1"/>
  <c r="A666" i="2" s="1"/>
  <c r="A667" i="2" s="1"/>
  <c r="G651" i="2"/>
  <c r="K635" i="2"/>
  <c r="K634" i="2"/>
  <c r="K636" i="2" s="1"/>
  <c r="K637" i="2" s="1"/>
  <c r="G642" i="2"/>
  <c r="K639" i="2"/>
  <c r="K640" i="2" s="1"/>
  <c r="K641" i="2" s="1"/>
  <c r="K642" i="2" s="1"/>
  <c r="A638" i="2"/>
  <c r="A633" i="2"/>
  <c r="K624" i="2"/>
  <c r="K625" i="2" s="1"/>
  <c r="K626" i="2" s="1"/>
  <c r="K628" i="2"/>
  <c r="K629" i="2" s="1"/>
  <c r="K630" i="2" s="1"/>
  <c r="K631" i="2" s="1"/>
  <c r="A623" i="2"/>
  <c r="A627" i="2"/>
  <c r="G631" i="2"/>
  <c r="G621" i="2"/>
  <c r="G549" i="2"/>
  <c r="K579" i="2"/>
  <c r="K582" i="2"/>
  <c r="A579" i="2"/>
  <c r="A581" i="2" s="1"/>
  <c r="A583" i="2" s="1"/>
  <c r="A584" i="2" s="1"/>
  <c r="A585" i="2" s="1"/>
  <c r="A582" i="2"/>
  <c r="A560" i="2"/>
  <c r="A563" i="2"/>
  <c r="G568" i="2"/>
  <c r="K562" i="2"/>
  <c r="K560" i="2"/>
  <c r="G490" i="2"/>
  <c r="K561" i="2"/>
  <c r="K565" i="2" s="1"/>
  <c r="A561" i="2"/>
  <c r="G585" i="2"/>
  <c r="A570" i="2"/>
  <c r="A571" i="2" s="1"/>
  <c r="A572" i="2" s="1"/>
  <c r="A573" i="2" s="1"/>
  <c r="A574" i="2" s="1"/>
  <c r="A575" i="2" s="1"/>
  <c r="A576" i="2" s="1"/>
  <c r="K573" i="2"/>
  <c r="K571" i="2"/>
  <c r="G576" i="2"/>
  <c r="G557" i="2"/>
  <c r="K552" i="2"/>
  <c r="K553" i="2"/>
  <c r="A552" i="2"/>
  <c r="A553" i="2"/>
  <c r="K545" i="2"/>
  <c r="K547" i="2"/>
  <c r="K548" i="2" s="1"/>
  <c r="K549" i="2" s="1"/>
  <c r="A545" i="2"/>
  <c r="A547" i="2"/>
  <c r="A548" i="2" s="1"/>
  <c r="A549" i="2" s="1"/>
  <c r="G541" i="2"/>
  <c r="K539" i="2"/>
  <c r="K540" i="2" s="1"/>
  <c r="K541" i="2" s="1"/>
  <c r="A539" i="2"/>
  <c r="A540" i="2" s="1"/>
  <c r="A541" i="2" s="1"/>
  <c r="G527" i="2"/>
  <c r="G533" i="2"/>
  <c r="G515" i="2"/>
  <c r="K494" i="2"/>
  <c r="K495" i="2" s="1"/>
  <c r="K493" i="2"/>
  <c r="A494" i="2"/>
  <c r="A495" i="2" s="1"/>
  <c r="A493" i="2"/>
  <c r="G504" i="2"/>
  <c r="G480" i="2"/>
  <c r="K453" i="2"/>
  <c r="K455" i="2" s="1"/>
  <c r="K457" i="2" s="1"/>
  <c r="K454" i="2"/>
  <c r="A453" i="2"/>
  <c r="A455" i="2" s="1"/>
  <c r="A457" i="2" s="1"/>
  <c r="A454" i="2"/>
  <c r="G450" i="2"/>
  <c r="G435" i="2"/>
  <c r="G406" i="2"/>
  <c r="K403" i="2"/>
  <c r="K404" i="2"/>
  <c r="K405" i="2" s="1"/>
  <c r="K406" i="2" s="1"/>
  <c r="K395" i="2"/>
  <c r="K396" i="2"/>
  <c r="K397" i="2" s="1"/>
  <c r="K398" i="2" s="1"/>
  <c r="K387" i="2"/>
  <c r="K388" i="2"/>
  <c r="K389" i="2" s="1"/>
  <c r="K390" i="2" s="1"/>
  <c r="K342" i="2"/>
  <c r="K343" i="2"/>
  <c r="K344" i="2" s="1"/>
  <c r="K345" i="2" s="1"/>
  <c r="K346" i="2" s="1"/>
  <c r="K347" i="2" s="1"/>
  <c r="K277" i="2"/>
  <c r="K278" i="2" s="1"/>
  <c r="K279" i="2" s="1"/>
  <c r="K280" i="2" s="1"/>
  <c r="K281" i="2" s="1"/>
  <c r="K276" i="2"/>
  <c r="K270" i="2"/>
  <c r="K271" i="2" s="1"/>
  <c r="K272" i="2" s="1"/>
  <c r="K273" i="2" s="1"/>
  <c r="K274" i="2" s="1"/>
  <c r="K269" i="2"/>
  <c r="K256" i="2"/>
  <c r="K257" i="2"/>
  <c r="K258" i="2" s="1"/>
  <c r="K259" i="2" s="1"/>
  <c r="K245" i="2"/>
  <c r="K247" i="2" s="1"/>
  <c r="K249" i="2" s="1"/>
  <c r="K250" i="2" s="1"/>
  <c r="K251" i="2" s="1"/>
  <c r="K244" i="2"/>
  <c r="K246" i="2" s="1"/>
  <c r="K248" i="2" s="1"/>
  <c r="K237" i="2"/>
  <c r="K239" i="2" s="1"/>
  <c r="K240" i="2" s="1"/>
  <c r="K241" i="2" s="1"/>
  <c r="K242" i="2" s="1"/>
  <c r="K236" i="2"/>
  <c r="K238" i="2" s="1"/>
  <c r="K183" i="2"/>
  <c r="K185" i="2" s="1"/>
  <c r="K184" i="2"/>
  <c r="K97" i="2"/>
  <c r="K98" i="2"/>
  <c r="A403" i="2"/>
  <c r="A404" i="2"/>
  <c r="A405" i="2" s="1"/>
  <c r="A406" i="2" s="1"/>
  <c r="A396" i="2"/>
  <c r="A397" i="2" s="1"/>
  <c r="A398" i="2" s="1"/>
  <c r="A395" i="2"/>
  <c r="G390" i="2"/>
  <c r="G398" i="2"/>
  <c r="G382" i="2"/>
  <c r="G375" i="2"/>
  <c r="G368" i="2"/>
  <c r="G361" i="2"/>
  <c r="A359" i="2"/>
  <c r="A360" i="2" s="1"/>
  <c r="A361" i="2" s="1"/>
  <c r="G354" i="2"/>
  <c r="A343" i="2"/>
  <c r="A344" i="2" s="1"/>
  <c r="A345" i="2" s="1"/>
  <c r="A346" i="2" s="1"/>
  <c r="A347" i="2" s="1"/>
  <c r="A342" i="2"/>
  <c r="G347" i="2"/>
  <c r="G339" i="2"/>
  <c r="A269" i="2"/>
  <c r="A270" i="2"/>
  <c r="A271" i="2" s="1"/>
  <c r="A272" i="2" s="1"/>
  <c r="A273" i="2" s="1"/>
  <c r="A274" i="2" s="1"/>
  <c r="G320" i="2"/>
  <c r="G332" i="2"/>
  <c r="G326" i="2"/>
  <c r="G314" i="2"/>
  <c r="G308" i="2"/>
  <c r="G302" i="2"/>
  <c r="G295" i="2"/>
  <c r="A290" i="2"/>
  <c r="A291" i="2" s="1"/>
  <c r="A292" i="2" s="1"/>
  <c r="A293" i="2" s="1"/>
  <c r="A294" i="2" s="1"/>
  <c r="A295" i="2" s="1"/>
  <c r="G281" i="2"/>
  <c r="A277" i="2"/>
  <c r="A278" i="2" s="1"/>
  <c r="A279" i="2" s="1"/>
  <c r="A280" i="2" s="1"/>
  <c r="A281" i="2" s="1"/>
  <c r="A276" i="2"/>
  <c r="G274" i="2"/>
  <c r="G267" i="2"/>
  <c r="G259" i="2"/>
  <c r="A253" i="2"/>
  <c r="A254" i="2" s="1"/>
  <c r="A255" i="2" s="1"/>
  <c r="G251" i="2"/>
  <c r="A245" i="2"/>
  <c r="A247" i="2" s="1"/>
  <c r="A249" i="2" s="1"/>
  <c r="A250" i="2" s="1"/>
  <c r="A251" i="2" s="1"/>
  <c r="A244" i="2"/>
  <c r="A246" i="2" s="1"/>
  <c r="A248" i="2" s="1"/>
  <c r="G242" i="2"/>
  <c r="A236" i="2"/>
  <c r="A238" i="2" s="1"/>
  <c r="A237" i="2"/>
  <c r="A239" i="2" s="1"/>
  <c r="A240" i="2" s="1"/>
  <c r="A241" i="2" s="1"/>
  <c r="A242" i="2" s="1"/>
  <c r="G221" i="2"/>
  <c r="G234" i="2"/>
  <c r="G207" i="2"/>
  <c r="G214" i="2"/>
  <c r="G200" i="2"/>
  <c r="A195" i="2"/>
  <c r="A196" i="2" s="1"/>
  <c r="A197" i="2" s="1"/>
  <c r="A198" i="2" s="1"/>
  <c r="A199" i="2" s="1"/>
  <c r="A200" i="2" s="1"/>
  <c r="A183" i="2"/>
  <c r="A185" i="2" s="1"/>
  <c r="A184" i="2"/>
  <c r="G193" i="2"/>
  <c r="G132" i="2"/>
  <c r="G156" i="2"/>
  <c r="G148" i="2"/>
  <c r="G68" i="2"/>
  <c r="G81" i="2"/>
  <c r="G124" i="2"/>
  <c r="A97" i="2"/>
  <c r="A98" i="2"/>
  <c r="G62" i="2"/>
  <c r="G90" i="2"/>
  <c r="G49" i="2"/>
  <c r="E12" i="2"/>
  <c r="F12" i="2" s="1"/>
  <c r="G12" i="2" s="1"/>
  <c r="G3" i="2"/>
  <c r="G1150" i="2" l="1"/>
  <c r="L1150" i="2" s="1"/>
  <c r="G107" i="2"/>
  <c r="L107" i="2" s="1"/>
  <c r="G468" i="2"/>
  <c r="L468" i="2" s="1"/>
  <c r="G181" i="2"/>
  <c r="L181" i="2" s="1"/>
  <c r="G167" i="2"/>
  <c r="L167" i="2" s="1"/>
  <c r="K458" i="2"/>
  <c r="K459" i="2" s="1"/>
  <c r="K456" i="2"/>
  <c r="A458" i="2"/>
  <c r="A459" i="2" s="1"/>
  <c r="A456" i="2"/>
  <c r="A388" i="2"/>
  <c r="A389" i="2" s="1"/>
  <c r="A390" i="2" s="1"/>
  <c r="A387" i="2"/>
  <c r="K619" i="2"/>
  <c r="K620" i="2" s="1"/>
  <c r="K621" i="2" s="1"/>
  <c r="K618" i="2"/>
  <c r="A617" i="2"/>
  <c r="K36" i="2"/>
  <c r="K37" i="2" s="1"/>
  <c r="K38" i="2" s="1"/>
  <c r="K39" i="2" s="1"/>
  <c r="K35" i="2"/>
  <c r="A36" i="2"/>
  <c r="A37" i="2" s="1"/>
  <c r="A38" i="2" s="1"/>
  <c r="A39" i="2" s="1"/>
  <c r="A35" i="2"/>
  <c r="K1182" i="2"/>
  <c r="K1183" i="2" s="1"/>
  <c r="K1184" i="2" s="1"/>
  <c r="K1181" i="2"/>
  <c r="A1182" i="2"/>
  <c r="A1183" i="2" s="1"/>
  <c r="A1184" i="2" s="1"/>
  <c r="A1181" i="2"/>
  <c r="A1065" i="2"/>
  <c r="A1066" i="2" s="1"/>
  <c r="A1067" i="2" s="1"/>
  <c r="A1069" i="2"/>
  <c r="A1070" i="2" s="1"/>
  <c r="A1071" i="2" s="1"/>
  <c r="A1072" i="2" s="1"/>
  <c r="K589" i="2"/>
  <c r="K590" i="2" s="1"/>
  <c r="K591" i="2" s="1"/>
  <c r="K429" i="2"/>
  <c r="K430" i="2" s="1"/>
  <c r="K431" i="2" s="1"/>
  <c r="K432" i="2" s="1"/>
  <c r="K433" i="2" s="1"/>
  <c r="K434" i="2" s="1"/>
  <c r="K435" i="2" s="1"/>
  <c r="K428" i="2"/>
  <c r="A429" i="2"/>
  <c r="A430" i="2" s="1"/>
  <c r="A431" i="2" s="1"/>
  <c r="A432" i="2" s="1"/>
  <c r="A433" i="2" s="1"/>
  <c r="A434" i="2" s="1"/>
  <c r="A435" i="2" s="1"/>
  <c r="A428" i="2"/>
  <c r="K1041" i="2"/>
  <c r="K1043" i="2"/>
  <c r="K1044" i="2" s="1"/>
  <c r="K1045" i="2" s="1"/>
  <c r="K1235" i="2"/>
  <c r="K1236" i="2"/>
  <c r="A1235" i="2"/>
  <c r="A1236" i="2"/>
  <c r="K1190" i="2"/>
  <c r="K1191" i="2" s="1"/>
  <c r="K1192" i="2" s="1"/>
  <c r="A1190" i="2"/>
  <c r="A1191" i="2" s="1"/>
  <c r="A1192" i="2" s="1"/>
  <c r="K1227" i="2"/>
  <c r="K1228" i="2"/>
  <c r="K1229" i="2" s="1"/>
  <c r="K1230" i="2" s="1"/>
  <c r="A1227" i="2"/>
  <c r="A1228" i="2"/>
  <c r="A1229" i="2" s="1"/>
  <c r="A1230" i="2" s="1"/>
  <c r="A1041" i="2"/>
  <c r="A1043" i="2"/>
  <c r="A1044" i="2" s="1"/>
  <c r="A1045" i="2" s="1"/>
  <c r="K1093" i="2"/>
  <c r="K1095" i="2" s="1"/>
  <c r="K1096" i="2" s="1"/>
  <c r="K1097" i="2" s="1"/>
  <c r="K1094" i="2"/>
  <c r="K942" i="2"/>
  <c r="K943" i="2" s="1"/>
  <c r="K956" i="2"/>
  <c r="K948" i="2"/>
  <c r="K950" i="2"/>
  <c r="K951" i="2" s="1"/>
  <c r="K952" i="2" s="1"/>
  <c r="A948" i="2"/>
  <c r="A950" i="2"/>
  <c r="A951" i="2" s="1"/>
  <c r="A952" i="2" s="1"/>
  <c r="A849" i="2"/>
  <c r="A850" i="2"/>
  <c r="A851" i="2" s="1"/>
  <c r="A852" i="2" s="1"/>
  <c r="A853" i="2" s="1"/>
  <c r="A833" i="2"/>
  <c r="A834" i="2" s="1"/>
  <c r="A835" i="2" s="1"/>
  <c r="A836" i="2" s="1"/>
  <c r="A837" i="2" s="1"/>
  <c r="A838" i="2" s="1"/>
  <c r="A839" i="2" s="1"/>
  <c r="A832" i="2"/>
  <c r="K762" i="2"/>
  <c r="A807" i="2"/>
  <c r="A808" i="2" s="1"/>
  <c r="A809" i="2" s="1"/>
  <c r="A810" i="2" s="1"/>
  <c r="A802" i="2"/>
  <c r="A804" i="2" s="1"/>
  <c r="A805" i="2" s="1"/>
  <c r="A803" i="2"/>
  <c r="A792" i="2"/>
  <c r="A793" i="2" s="1"/>
  <c r="A794" i="2" s="1"/>
  <c r="A796" i="2"/>
  <c r="A797" i="2" s="1"/>
  <c r="A798" i="2" s="1"/>
  <c r="A799" i="2" s="1"/>
  <c r="K763" i="2"/>
  <c r="K764" i="2" s="1"/>
  <c r="K765" i="2" s="1"/>
  <c r="K761" i="2"/>
  <c r="A761" i="2"/>
  <c r="A763" i="2"/>
  <c r="A764" i="2" s="1"/>
  <c r="A765" i="2" s="1"/>
  <c r="A762" i="2"/>
  <c r="A721" i="2"/>
  <c r="A723" i="2" s="1"/>
  <c r="A724" i="2" s="1"/>
  <c r="A722" i="2"/>
  <c r="A726" i="2"/>
  <c r="A727" i="2" s="1"/>
  <c r="A728" i="2" s="1"/>
  <c r="A729" i="2" s="1"/>
  <c r="A711" i="2"/>
  <c r="A712" i="2" s="1"/>
  <c r="A713" i="2" s="1"/>
  <c r="A715" i="2"/>
  <c r="A716" i="2" s="1"/>
  <c r="A717" i="2" s="1"/>
  <c r="A718" i="2" s="1"/>
  <c r="K674" i="2"/>
  <c r="K676" i="2"/>
  <c r="K677" i="2" s="1"/>
  <c r="K678" i="2" s="1"/>
  <c r="A674" i="2"/>
  <c r="A676" i="2"/>
  <c r="A677" i="2" s="1"/>
  <c r="A678" i="2" s="1"/>
  <c r="A672" i="2"/>
  <c r="A675" i="2"/>
  <c r="A635" i="2"/>
  <c r="A634" i="2"/>
  <c r="A636" i="2" s="1"/>
  <c r="A637" i="2" s="1"/>
  <c r="A639" i="2"/>
  <c r="A640" i="2" s="1"/>
  <c r="A641" i="2" s="1"/>
  <c r="A642" i="2" s="1"/>
  <c r="A628" i="2"/>
  <c r="A629" i="2" s="1"/>
  <c r="A630" i="2" s="1"/>
  <c r="A631" i="2" s="1"/>
  <c r="A624" i="2"/>
  <c r="A625" i="2" s="1"/>
  <c r="A626" i="2" s="1"/>
  <c r="K581" i="2"/>
  <c r="K583" i="2"/>
  <c r="K584" i="2" s="1"/>
  <c r="K585" i="2" s="1"/>
  <c r="K554" i="2"/>
  <c r="K555" i="2"/>
  <c r="K556" i="2" s="1"/>
  <c r="K557" i="2" s="1"/>
  <c r="K572" i="2" s="1"/>
  <c r="A562" i="2"/>
  <c r="A565" i="2"/>
  <c r="A555" i="2"/>
  <c r="A556" i="2" s="1"/>
  <c r="A557" i="2" s="1"/>
  <c r="A554" i="2"/>
  <c r="K564" i="2"/>
  <c r="K566" i="2"/>
  <c r="K567" i="2" s="1"/>
  <c r="K568" i="2" s="1"/>
  <c r="A564" i="2"/>
  <c r="A566" i="2"/>
  <c r="A567" i="2" s="1"/>
  <c r="A568" i="2" s="1"/>
  <c r="K497" i="2"/>
  <c r="K496" i="2"/>
  <c r="K498" i="2" s="1"/>
  <c r="K499" i="2" s="1"/>
  <c r="K574" i="2"/>
  <c r="K575" i="2" s="1"/>
  <c r="K576" i="2" s="1"/>
  <c r="A497" i="2"/>
  <c r="A496" i="2"/>
  <c r="A498" i="2" s="1"/>
  <c r="A499" i="2" s="1"/>
  <c r="K186" i="2"/>
  <c r="K187" i="2" s="1"/>
  <c r="K99" i="2"/>
  <c r="K100" i="2" s="1"/>
  <c r="K101" i="2" s="1"/>
  <c r="K102" i="2" s="1"/>
  <c r="K103" i="2" s="1"/>
  <c r="K104" i="2"/>
  <c r="K105" i="2" s="1"/>
  <c r="K106" i="2" s="1"/>
  <c r="K107" i="2" s="1"/>
  <c r="A257" i="2"/>
  <c r="A258" i="2" s="1"/>
  <c r="A259" i="2" s="1"/>
  <c r="A256" i="2"/>
  <c r="A186" i="2"/>
  <c r="A187" i="2" s="1"/>
  <c r="A104" i="2"/>
  <c r="A105" i="2" s="1"/>
  <c r="A106" i="2" s="1"/>
  <c r="A107" i="2" s="1"/>
  <c r="A99" i="2"/>
  <c r="A100" i="2" s="1"/>
  <c r="A101" i="2" s="1"/>
  <c r="A102" i="2" s="1"/>
  <c r="A103" i="2" s="1"/>
  <c r="K461" i="2" l="1"/>
  <c r="K460" i="2"/>
  <c r="K462" i="2" s="1"/>
  <c r="K463" i="2" s="1"/>
  <c r="K464" i="2" s="1"/>
  <c r="K465" i="2" s="1"/>
  <c r="K466" i="2" s="1"/>
  <c r="K467" i="2" s="1"/>
  <c r="K468" i="2" s="1"/>
  <c r="A461" i="2"/>
  <c r="A460" i="2"/>
  <c r="A462" i="2" s="1"/>
  <c r="A463" i="2" s="1"/>
  <c r="A464" i="2" s="1"/>
  <c r="A465" i="2" s="1"/>
  <c r="A466" i="2" s="1"/>
  <c r="A467" i="2" s="1"/>
  <c r="A468" i="2" s="1"/>
  <c r="A618" i="2"/>
  <c r="A619" i="2"/>
  <c r="A620" i="2" s="1"/>
  <c r="A621" i="2" s="1"/>
  <c r="K500" i="2"/>
  <c r="K501" i="2" s="1"/>
  <c r="K502" i="2"/>
  <c r="K503" i="2" s="1"/>
  <c r="K504" i="2" s="1"/>
  <c r="A500" i="2"/>
  <c r="A501" i="2" s="1"/>
  <c r="A502" i="2"/>
  <c r="A503" i="2" s="1"/>
  <c r="A504" i="2" s="1"/>
  <c r="K189" i="2"/>
  <c r="K188" i="2"/>
  <c r="A189" i="2"/>
  <c r="A188" i="2"/>
  <c r="A190" i="2" l="1"/>
  <c r="A191" i="2"/>
  <c r="A192" i="2" s="1"/>
  <c r="A193" i="2" s="1"/>
  <c r="K190" i="2"/>
  <c r="K191" i="2"/>
  <c r="K192" i="2" s="1"/>
  <c r="K193" i="2" s="1"/>
  <c r="G14" i="2"/>
</calcChain>
</file>

<file path=xl/sharedStrings.xml><?xml version="1.0" encoding="utf-8"?>
<sst xmlns="http://schemas.openxmlformats.org/spreadsheetml/2006/main" count="6225" uniqueCount="503">
  <si>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</si>
  <si>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</si>
  <si>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</si>
  <si>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</si>
  <si>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</si>
  <si>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</si>
  <si>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</si>
  <si>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</si>
  <si>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</si>
  <si>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</si>
  <si>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</si>
  <si>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</si>
  <si>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</si>
  <si>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</si>
  <si>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</si>
  <si>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</si>
  <si>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</si>
  <si>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chint</t>
  </si>
  <si>
    <t>sayac</t>
  </si>
  <si>
    <t>296708</t>
  </si>
  <si>
    <t>Авт. выкл. NXB-63S 1P 6А 4.5kA х-ка C (R)</t>
  </si>
  <si>
    <t>dif</t>
  </si>
  <si>
    <t>131362</t>
  </si>
  <si>
    <t>Авт. выкл. NXM-125S/3Р 100A 25кА (R)</t>
  </si>
  <si>
    <t>pys</t>
  </si>
  <si>
    <t>tt</t>
  </si>
  <si>
    <t>Авт. выкл. NXB-63S 3P 32А 4.5kA х-ка C (R)</t>
  </si>
  <si>
    <t>296830</t>
  </si>
  <si>
    <t>lamb</t>
  </si>
  <si>
    <t>rubilnik</t>
  </si>
  <si>
    <t>ppn</t>
  </si>
  <si>
    <t>131361</t>
  </si>
  <si>
    <t>Авт. выкл. NXM-125S/3Р 80A 25кА (R)</t>
  </si>
  <si>
    <t>mccb</t>
  </si>
  <si>
    <t>296827</t>
  </si>
  <si>
    <t>Авт. выкл. NXB-63S 3P 16А 4.5kA х-ка C (R)</t>
  </si>
  <si>
    <t>296710</t>
  </si>
  <si>
    <t>Авт. выкл. NXB-63S 1P 16А 4.5kA х-ка C (R)</t>
  </si>
  <si>
    <t>719-15043</t>
  </si>
  <si>
    <t>Мет. Щит ВРУ 1700х800х450+10CM База</t>
  </si>
  <si>
    <t xml:space="preserve"> </t>
  </si>
  <si>
    <t>131364</t>
  </si>
  <si>
    <t>Авт. выкл. NXM-160S/3Р 160A 36кА (R)</t>
  </si>
  <si>
    <t>ats</t>
  </si>
  <si>
    <t>515380</t>
  </si>
  <si>
    <t>Диф. авт. выкл. NXBLE-63YH 1P+N C16 30mA тип AC, 6kA (R)</t>
  </si>
  <si>
    <t>270300099_</t>
  </si>
  <si>
    <t xml:space="preserve">  Трансформатор тока ТТИ-А  100/5А  5ВА  класс 0,5  IEK</t>
  </si>
  <si>
    <t>296828</t>
  </si>
  <si>
    <t>Авт. выкл. NXB-63S 3P 20А 4.5kA х-ка C (R)</t>
  </si>
  <si>
    <t>296709</t>
  </si>
  <si>
    <t>Авт. выкл. NXB-63S 1P 10А 4.5kA х-ка C (R)</t>
  </si>
  <si>
    <t>521260</t>
  </si>
  <si>
    <t>Держатель плавкой вставки RT36-00-160, габарит 00, 160А</t>
  </si>
  <si>
    <t>bh</t>
  </si>
  <si>
    <t>193180</t>
  </si>
  <si>
    <t>Выключатель нагрузки NXHB-125 3P 20A (R)</t>
  </si>
  <si>
    <t>193181</t>
  </si>
  <si>
    <t>Выключатель нагрузки NXHB-125 3P 32A (R)</t>
  </si>
  <si>
    <t>ст-9951729</t>
  </si>
  <si>
    <t>Трансформатор тока ТТИ-А  125\5А 5ВА кл.т.0,5 IEK (36) !!!</t>
  </si>
  <si>
    <t>521200</t>
  </si>
  <si>
    <t>Плавкая вставка предохранителя RT36-3-630, габарит 3, 500А</t>
  </si>
  <si>
    <t>521369</t>
  </si>
  <si>
    <t>Держатель плавкой вставки RT36-3-630, габарит 3, 630А</t>
  </si>
  <si>
    <t xml:space="preserve">condencator </t>
  </si>
  <si>
    <t>270300234_</t>
  </si>
  <si>
    <t xml:space="preserve"> Трансформатор тока ТТИ-40 500/5А 5ВА 0,5 IEK</t>
  </si>
  <si>
    <t>270100173_</t>
  </si>
  <si>
    <t>Рубильник ВР-32-39  В71250-630А на 2 направления (+6 камер) UNIT (1/2)</t>
  </si>
  <si>
    <t>816143</t>
  </si>
  <si>
    <t>Авт. выкл. NXB-125 3P 125A 10кА х-ка C (R)</t>
  </si>
  <si>
    <t>816142</t>
  </si>
  <si>
    <t>Авт. выкл. NXB-125 3P 100A 10кА х-ка D (R)</t>
  </si>
  <si>
    <t>813877</t>
  </si>
  <si>
    <t>Авт. выкл. NXB-63H 3P 63A 10кА х-ка C (R)</t>
  </si>
  <si>
    <t>813876</t>
  </si>
  <si>
    <t>Авт. выкл. NXB-63H 3P 50A 10кА х-ка C (R)</t>
  </si>
  <si>
    <t>813874</t>
  </si>
  <si>
    <t>Авт. выкл. NXB-63H 3P 32A 10кА х-ка C (R)</t>
  </si>
  <si>
    <t>SRK31-211-400</t>
  </si>
  <si>
    <t>Рубильник  ВР32И-37В71250 400А IEK E-PRO</t>
  </si>
  <si>
    <t>ITT20-2-05-0200</t>
  </si>
  <si>
    <t xml:space="preserve"> Трансформатор тока ТТИ-30  200/5А 5ВА 0,5 IEK E-PRO</t>
  </si>
  <si>
    <t>521215</t>
  </si>
  <si>
    <t>Плавкая вставка предохранителя RT36-2-400, габарит 2, 315А</t>
  </si>
  <si>
    <t>521368</t>
  </si>
  <si>
    <t>Держатель плавкой вставки RT36-2-400, габарит 2, 400А</t>
  </si>
  <si>
    <t>270300025_</t>
  </si>
  <si>
    <t xml:space="preserve"> Трансформатор тока ТТИ-40  400/5А  5ВА  класс 0,5  IEK</t>
  </si>
  <si>
    <t>256811</t>
  </si>
  <si>
    <t>Устройство автоматического ввода резерва NXZM-400S/3B 400A (R)</t>
  </si>
  <si>
    <t>condencator</t>
  </si>
  <si>
    <t>813871</t>
  </si>
  <si>
    <t>Авт. выкл. NXB-63H 3P 16A 10кА х-ка C (R)</t>
  </si>
  <si>
    <t>813873</t>
  </si>
  <si>
    <t>Авт. выкл. NXB-63H 3P 25A 10кА х-ка C (R)</t>
  </si>
  <si>
    <t>814171</t>
  </si>
  <si>
    <t>Авт. выкл. NXB-63 3P 20A 6кА х-ка C (R)</t>
  </si>
  <si>
    <t>ярп40129</t>
  </si>
  <si>
    <t>Рубильник  ВР32И-35В31250 250А IEK !!!</t>
  </si>
  <si>
    <t>521232</t>
  </si>
  <si>
    <t>Плавкая вставка предохранителя RT36-0-160, габарит 0, 100А</t>
  </si>
  <si>
    <t>521366</t>
  </si>
  <si>
    <t>Держатель плавкой вставки RT36-0-160, габарит 0, 160А</t>
  </si>
  <si>
    <t>813875</t>
  </si>
  <si>
    <t>Авт. выкл. NXB-63H 3P 40A 10кА х-ка C (R)</t>
  </si>
  <si>
    <t>SRK01-111-100</t>
  </si>
  <si>
    <t>Рубильник  ВР32И-31В31250 100А IEK E-PRO</t>
  </si>
  <si>
    <t>521348</t>
  </si>
  <si>
    <t>Плавкая вставка предохранителя RT36-00-160, габарит 00, 80А</t>
  </si>
  <si>
    <t>256824</t>
  </si>
  <si>
    <t>Устройство автоматического ввода резерва NXZM-630S/3B 500A (R)</t>
  </si>
  <si>
    <t>816141</t>
  </si>
  <si>
    <t>Авт. выкл. NXB-125 3P 100A 10кА х-ка C (R)</t>
  </si>
  <si>
    <t>816139</t>
  </si>
  <si>
    <t>Авт. выкл. NXB-125 3P 80A 10кА х-ка C (R)</t>
  </si>
  <si>
    <t>131367</t>
  </si>
  <si>
    <t>Авт. выкл. NXM-250S/3Р 200A 36кА (R)</t>
  </si>
  <si>
    <t>193183</t>
  </si>
  <si>
    <t>Выключатель нагрузки NXHB-125 3P 63A (R)</t>
  </si>
  <si>
    <t>296832</t>
  </si>
  <si>
    <t>Авт. выкл. NXB-63S 3P 50А 4.5kA х-ка C (R)</t>
  </si>
  <si>
    <t>296825</t>
  </si>
  <si>
    <t>Авт. выкл. NXB-63S 3P 6А 4.5kA х-ка C (R)</t>
  </si>
  <si>
    <t>296711</t>
  </si>
  <si>
    <t>Авт. выкл. NXB-63S 1P 20А 4.5kA х-ка C (R)</t>
  </si>
  <si>
    <t>193182</t>
  </si>
  <si>
    <t>Выключатель нагрузки NXHB-125 3P 40A (R)</t>
  </si>
  <si>
    <t>193184</t>
  </si>
  <si>
    <t>Выключатель нагрузки NXHB-125 3P 80A (R)</t>
  </si>
  <si>
    <t>193185</t>
  </si>
  <si>
    <t>Выключатель нагрузки NXHB-125 3P 100A (R)</t>
  </si>
  <si>
    <t>193186</t>
  </si>
  <si>
    <t>Выключатель нагрузки NXHB-125 3P 125A (R)</t>
  </si>
  <si>
    <t>539842</t>
  </si>
  <si>
    <t>Диф. авт. выкл. NXBLE-63YH 3P+N C10 30mA тип A, 6kA (R)</t>
  </si>
  <si>
    <t>844302</t>
  </si>
  <si>
    <t>Авт. выкл. NXM-125S/3Р 50A 25кА (R)</t>
  </si>
  <si>
    <t>296833</t>
  </si>
  <si>
    <t>Авт. выкл. NXB-63S 3P 63А 4.5kA х-ка C (R)</t>
  </si>
  <si>
    <t>Источник</t>
  </si>
  <si>
    <t>ATY-MFO-25_EM_RP_HOST_AL</t>
  </si>
  <si>
    <t>270300100_</t>
  </si>
  <si>
    <t>Трансформатор тока ТТИ-А  150/5А  5ВА  класс 0,5  IEK</t>
  </si>
  <si>
    <t>270100161_</t>
  </si>
  <si>
    <t>Рубильник ВР-32-37  В71250-400А на 2 направления (+6камер) UNIT (1/6)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</si>
  <si>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</si>
  <si>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</si>
  <si>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</si>
  <si>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</si>
  <si>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521367</t>
  </si>
  <si>
    <t>Держатель плавкой вставки RT36-1-250, габарит 1, 250А</t>
  </si>
  <si>
    <t>131365</t>
  </si>
  <si>
    <t>Авт. выкл. NXM-250S/3Р 160A 36кА (R)</t>
  </si>
  <si>
    <t>844299</t>
  </si>
  <si>
    <t>Авт. выкл. NXM-125S/3Р 25A 25кА (R)</t>
  </si>
  <si>
    <t>844300</t>
  </si>
  <si>
    <t>Авт. выкл. NXM-125S/3Р 32A 25кА (R)</t>
  </si>
  <si>
    <t>296829</t>
  </si>
  <si>
    <t>Авт. выкл. NXB-63S 3P 25А 4.5kA х-ка C (R)</t>
  </si>
  <si>
    <t>296842</t>
  </si>
  <si>
    <t>Авт. выкл. NXB-63S 3P 25А 4.5kA х-ка D (R)</t>
  </si>
  <si>
    <t>SRK21-211-250</t>
  </si>
  <si>
    <t>Рубильник  ВР32И-35В71250 250А IEK E-PRO</t>
  </si>
  <si>
    <t>521189</t>
  </si>
  <si>
    <t>Плавкая вставка предохранителя RT36-1-250, габарит 1, 250А</t>
  </si>
  <si>
    <t>131360</t>
  </si>
  <si>
    <t>Авт. выкл. NXM-125S/3Р 63A 25кА (R)</t>
  </si>
  <si>
    <t>844301</t>
  </si>
  <si>
    <t>Авт. выкл. NXM-125S/3Р 40A 25кА (R)</t>
  </si>
  <si>
    <t>Авт. выкл. NXB-63S 3P 40А 4.5kA х-ка C (R)</t>
  </si>
  <si>
    <t>270300021_</t>
  </si>
  <si>
    <t xml:space="preserve"> Трансформатор тока ТТИ-40  300/5А  5ВА  класс 0,5  IEK</t>
  </si>
  <si>
    <t>515373</t>
  </si>
  <si>
    <t>Диф. авт. выкл. NXBLE-63YH 1P+N C10 30mA тип AC, 6kA (R)</t>
  </si>
  <si>
    <t>296722</t>
  </si>
  <si>
    <t>Авт. выкл. NXB-63S 1P 10А 4.5kA х-ка D (R)</t>
  </si>
  <si>
    <t>814989</t>
  </si>
  <si>
    <t>Независимый расцепитель SHT-X1 AC230V/400V для NXB-63 (R)</t>
  </si>
  <si>
    <t>296839</t>
  </si>
  <si>
    <t>Авт. выкл. NXB-63S 3P 10А 4.5kA х-ка D (R)</t>
  </si>
  <si>
    <t>rn</t>
  </si>
  <si>
    <t>193175</t>
  </si>
  <si>
    <t>Выключатель нагрузки NXHB-125 2P 40A (R)</t>
  </si>
  <si>
    <t>539864</t>
  </si>
  <si>
    <t>Диф. авт. выкл. NXBLE-63YH 3P+N C32 300mA тип AC, 6kA (R)</t>
  </si>
  <si>
    <t>515387</t>
  </si>
  <si>
    <t>Диф. авт. выкл. NXBLE-63YH 1P+N C20 30mA тип AC, 6kA (R)</t>
  </si>
  <si>
    <t>280722</t>
  </si>
  <si>
    <t>УЗО NXL-63 6kA 1P+N 32A 30mA AC (R)</t>
  </si>
  <si>
    <t>uzo</t>
  </si>
  <si>
    <t>193176</t>
  </si>
  <si>
    <t>Выключатель нагрузки NXHB-125 2P 63A (R)</t>
  </si>
  <si>
    <t>515408</t>
  </si>
  <si>
    <t>Диф. авт. выкл. NXBLE-63YH 1P+N C40 30mA тип AC, 6kA (R)</t>
  </si>
  <si>
    <t>2853_01_01_S1_EM01_01_M3</t>
  </si>
  <si>
    <t>2853_01_01_S2_EM01_01_M3</t>
  </si>
  <si>
    <t>515414</t>
  </si>
  <si>
    <t>Диф. авт. выкл. NXBLE-63YH 1P+N C50 300mA тип AC, 6kA (R)</t>
  </si>
  <si>
    <t>2853_01_01_S3_EM01_01_M3</t>
  </si>
  <si>
    <t>296826</t>
  </si>
  <si>
    <t>Авт. выкл. NXB-63S 3P 10А 4.5kA х-ка C (R)</t>
  </si>
  <si>
    <t>rele</t>
  </si>
  <si>
    <t>rozetka</t>
  </si>
  <si>
    <t>contactor</t>
  </si>
  <si>
    <t>fotorele</t>
  </si>
  <si>
    <t>719-15430</t>
  </si>
  <si>
    <t>indicator</t>
  </si>
  <si>
    <t>593077</t>
  </si>
  <si>
    <t>Индикатор ND16-22D/2 зеленый AC/DC230В (R)</t>
  </si>
  <si>
    <t>837119</t>
  </si>
  <si>
    <t>Тепловое реле NXR-25 17-25A (R)</t>
  </si>
  <si>
    <t>perekluchatel</t>
  </si>
  <si>
    <t>296840</t>
  </si>
  <si>
    <t>Авт. выкл. NXB-63S 3P 16А 4.5kA х-ка D (R)</t>
  </si>
  <si>
    <t>296723</t>
  </si>
  <si>
    <t>Авт. выкл. NXB-63S 1P 16А 4.5kA х-ка D (R)</t>
  </si>
  <si>
    <t>2853_01_01_S4_EM01_01_M3</t>
  </si>
  <si>
    <t>296841</t>
  </si>
  <si>
    <t>Авт. выкл. NXB-63S 3P 20А 4.5kA х-ка D (R)</t>
  </si>
  <si>
    <t>2853_01_01_S5_EM01_01_M3</t>
  </si>
  <si>
    <t>ШНО (ЯУО9601-3474УХЛ4)</t>
  </si>
  <si>
    <t>574855</t>
  </si>
  <si>
    <t>Переключатель NP2-BG33, 3 положения с фиксацией, 2НО IP40</t>
  </si>
  <si>
    <t>button</t>
  </si>
  <si>
    <t>574816</t>
  </si>
  <si>
    <t>Кнопка управления NP2-EA31 без подсветки зеленая 1НО IP40</t>
  </si>
  <si>
    <t>574817</t>
  </si>
  <si>
    <t>Кнопка управления NP2-EA42 без подсветки красная 1НЗ IP40</t>
  </si>
  <si>
    <t>timer</t>
  </si>
  <si>
    <t>310024</t>
  </si>
  <si>
    <t>Таймер электронный NKG3 AC230В (R)</t>
  </si>
  <si>
    <t>fr-din-1-25</t>
  </si>
  <si>
    <t>2853_02_01_FO01_01_M3</t>
  </si>
  <si>
    <t>256099</t>
  </si>
  <si>
    <t>Контактор модульный NCH8-40/40 40A 4НО AC220/230В 50Гц (R)</t>
  </si>
  <si>
    <t>515423</t>
  </si>
  <si>
    <t>Диф. авт. выкл. NXBLE-63YH 1P+N C6 30mA тип A, 6kA (R)</t>
  </si>
  <si>
    <t>521234</t>
  </si>
  <si>
    <t>Плавкая вставка предохранителя RT36-0-160, габарит 0, 125А</t>
  </si>
  <si>
    <t>205883</t>
  </si>
  <si>
    <t>Авт. выкл. NXM-63S/3P 25кА 16A (R)</t>
  </si>
  <si>
    <t>2853_02_01_P1_EM01_01_M3</t>
  </si>
  <si>
    <t>256813</t>
  </si>
  <si>
    <t>Устройство автоматического ввода резерва NXZM-400S/3B 315A (R)</t>
  </si>
  <si>
    <t>193166</t>
  </si>
  <si>
    <t>Выключатель нагрузки NXHB-125 1P 20A (R)</t>
  </si>
  <si>
    <t>131363</t>
  </si>
  <si>
    <t>Авт. выкл. NXM-125S/3Р 125A 25кА (R)</t>
  </si>
  <si>
    <t>SVC WL-2000</t>
  </si>
  <si>
    <t>stable</t>
  </si>
  <si>
    <t>719-15440</t>
  </si>
  <si>
    <t>Мет.Корпус ЩМП-4 (800x650x250) IP31</t>
  </si>
  <si>
    <t>243885</t>
  </si>
  <si>
    <t>Контактор для компенсации реактивной мощности CJ19-3211, 18кВАр, 1НО+1НЗ, 230В (R)</t>
  </si>
  <si>
    <t>799032</t>
  </si>
  <si>
    <t>Трехфазный конденсатор NWC6-0.45-5-3, АС450В, 5кВАр</t>
  </si>
  <si>
    <t>593075</t>
  </si>
  <si>
    <t>Индикатор ND16-22D/2 красный AC/DC230В (R)</t>
  </si>
  <si>
    <t>296705</t>
  </si>
  <si>
    <t>Авт. выкл. NXB-63S 1P 2А 4.5kA х-ка C (R)</t>
  </si>
  <si>
    <t>krm</t>
  </si>
  <si>
    <t>507002</t>
  </si>
  <si>
    <t>Регулятор реактивной мощности JKF8-12 с 12-тью контурами</t>
  </si>
  <si>
    <t>574849</t>
  </si>
  <si>
    <t>Переключатель NP2-BD33, 3 положения с фиксацией, 2НО IP40</t>
  </si>
  <si>
    <t>193168</t>
  </si>
  <si>
    <t>Выключатель нагрузки NXHB-125 1P 40A (R)</t>
  </si>
  <si>
    <t>515415</t>
  </si>
  <si>
    <t>Диф. авт. выкл. NXBLE-63YH 1P+N C50 30mA тип AC, 6kA (R)</t>
  </si>
  <si>
    <t>193169</t>
  </si>
  <si>
    <t>Выключатель нагрузки NXHB-125 1P 63A (R)</t>
  </si>
  <si>
    <t>280723</t>
  </si>
  <si>
    <t>УЗО NXL-63 6kA 1P+N 40A 30mA AC (R)</t>
  </si>
  <si>
    <t>ЩР-1 (FO01)</t>
  </si>
  <si>
    <t>ЩР-2 (FO01)</t>
  </si>
  <si>
    <t>ЯУО (FO01)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</si>
  <si>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</si>
  <si>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</si>
  <si>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</si>
  <si>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</si>
  <si>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799033</t>
  </si>
  <si>
    <t>Трехфазный конденсатор NWC6-0.45-7.5-3, АС450В, 7.5кВАр</t>
  </si>
  <si>
    <t>775001</t>
  </si>
  <si>
    <t>Розетка AC30-111 с заземляющим контактом на DIN-рейку (R)</t>
  </si>
  <si>
    <t>270300098_</t>
  </si>
  <si>
    <t>Трансформатор тока ТТИ-А   75/5А  5ВА  класс 0,5  IEK</t>
  </si>
  <si>
    <t>270300112_</t>
  </si>
  <si>
    <t xml:space="preserve">  Трансформатор тока ТТИ-А   50/5А  5ВА  класс 0,5  IEK</t>
  </si>
  <si>
    <t>IA</t>
  </si>
  <si>
    <t>ДАЛА СА4У-Э720 R TX OP П RS1 Д W 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</si>
  <si>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</si>
  <si>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</si>
  <si>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</si>
  <si>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</si>
  <si>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BQ</t>
  </si>
  <si>
    <t>Орман СО-Э711 R TX OP P П RS Z Д  (5-60А 220В)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</si>
  <si>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</si>
  <si>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</si>
  <si>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</si>
  <si>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</si>
  <si>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</si>
  <si>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</si>
  <si>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714-15015</t>
  </si>
  <si>
    <t>Pano met.ShRn-36 b/o (312х540х120)S/U 36 IP31 (TS)</t>
  </si>
  <si>
    <t>714-15080</t>
  </si>
  <si>
    <t>Мет. Корпус ЩРН-9 (265x310x120mm) IP31 (TS)</t>
  </si>
  <si>
    <t>711-03038</t>
  </si>
  <si>
    <t>Щит расп. x18, пластик., c/у, крышка бел., IP40, к</t>
  </si>
  <si>
    <t>719-15562</t>
  </si>
  <si>
    <t>Мет. Корпус ЩМП- 6 (1200х750х300) IP54</t>
  </si>
  <si>
    <t>712-03058</t>
  </si>
  <si>
    <t>FS1-M18S FS1 Щит пластиковый о/у Х18 (крышка черная) IP65 NEXUS (TEKLED ELECTR)</t>
  </si>
  <si>
    <t>712-03056</t>
  </si>
  <si>
    <t>FS1-M12S FS1 Щит пластиковый о/у Х12 (крышка черная) IP65 NEXUS (TEKLED ELECTR)</t>
  </si>
  <si>
    <t>712-03060</t>
  </si>
  <si>
    <t>FS1-M24S FS1 Щит пластиковый о/у Х24 (крышка черная) IP65 NEXUS (TEKLED ELECTR)</t>
  </si>
  <si>
    <t>Мет.Корпус ЩМП-2 (500x400x220)  IP31</t>
  </si>
  <si>
    <t>tekled</t>
  </si>
  <si>
    <t>ВУ-1 (ВРУ1-13-20 ухл4) (S1)</t>
  </si>
  <si>
    <t>ВРУ-1 (ВРУ1-ИНД тип5-00 ухл4) (S1)</t>
  </si>
  <si>
    <t>АВР-1 (S1)</t>
  </si>
  <si>
    <t>ВЩоф (ВРУ1-ИНД тип3-00 ухл4) (S1)</t>
  </si>
  <si>
    <t>РЩоф-1 (ВРУ1-50-00-ухл4) (S1)</t>
  </si>
  <si>
    <t>ЩМПоф.-2.1 (ЩМП-120.80.40 УХЛ1 IP66) (S1)</t>
  </si>
  <si>
    <t>ЩМПоф.-1.1 (ЩМП-120.80.40 УХЛ1 IP66) (S1)</t>
  </si>
  <si>
    <t>ВЩоф2 (ВРУ1-ИНД тип3-00 ухл4) (S1)</t>
  </si>
  <si>
    <t>ЩР-6.1 (ВРУ1-ИНД тип3-00 ухл4) (S1)</t>
  </si>
  <si>
    <t>ЩО-1бл.  (S1)</t>
  </si>
  <si>
    <t>ЩАО-1бл. (S1)</t>
  </si>
  <si>
    <t>ЩСС-1бл. (S1)</t>
  </si>
  <si>
    <t>ЩС-1бл. (S1)</t>
  </si>
  <si>
    <t>ЩСд (S1)</t>
  </si>
  <si>
    <t>ЩР-М (S1)</t>
  </si>
  <si>
    <t>ЩР-1.1 (S1)</t>
  </si>
  <si>
    <t>ЩР-1.2 (S1)</t>
  </si>
  <si>
    <t>ЩР-6.2 (S1)</t>
  </si>
  <si>
    <t>ЩЭ-5 (S1)</t>
  </si>
  <si>
    <t>ЩК1 (S1)</t>
  </si>
  <si>
    <t>ЩК2 (S1)</t>
  </si>
  <si>
    <t>ЩО-2бл. (S2)</t>
  </si>
  <si>
    <t>ЩАО-2бл. (S2)</t>
  </si>
  <si>
    <t>ЩСС-2бл. (S2)</t>
  </si>
  <si>
    <t>ЩС-2бл.  (S2)</t>
  </si>
  <si>
    <t>ЩР-2.1 (S2)</t>
  </si>
  <si>
    <t>ЩР-2.2 (S2)</t>
  </si>
  <si>
    <t>ЩР-2.3 (S2)</t>
  </si>
  <si>
    <t>ЩЭ-6 (S2)</t>
  </si>
  <si>
    <t>ЩК1 (S2)</t>
  </si>
  <si>
    <t>ЩК2 (S2)</t>
  </si>
  <si>
    <t>ЩО-3бл. (S3)</t>
  </si>
  <si>
    <t>ЩСС-3бл. (S3)</t>
  </si>
  <si>
    <t>ЩС-3бл.  (S3)</t>
  </si>
  <si>
    <t>ЩУкот (S3)</t>
  </si>
  <si>
    <t>ЩЭ-4 (S3)</t>
  </si>
  <si>
    <t>ЩК1 (S3)</t>
  </si>
  <si>
    <t>ЩК2 (S3)</t>
  </si>
  <si>
    <t>ЩР-3.1, ЩР-3.2 (S3)</t>
  </si>
  <si>
    <t>ЩР-3.3 (S3)</t>
  </si>
  <si>
    <t>ВЩ-2 (ВРУ1-11-10) (S4)</t>
  </si>
  <si>
    <t>РЩ-2 (ВРУ1-инд-5-00-ухл4) (S4)</t>
  </si>
  <si>
    <t>АВР-2 (S4)</t>
  </si>
  <si>
    <t>ВЩоф-3 (ВРУ1-ИНД тип2-00 ухл4) (S4)</t>
  </si>
  <si>
    <t>РЩоф-3 (ВРУ1-50-00-ухл4) (S4)</t>
  </si>
  <si>
    <t>ЩМПоф.-3.2 (ЩМП-120.80.40 УХЛ1 IP66) (S4)</t>
  </si>
  <si>
    <t>ЩМПоф.-3.3 (ЩМП-120.80.40 УХЛ1 IP66) (S4)</t>
  </si>
  <si>
    <t>ЩО-4бл. (S4)</t>
  </si>
  <si>
    <t>ЩАО-4бл. (S4)</t>
  </si>
  <si>
    <t>ЩСС-4бл. (S4)</t>
  </si>
  <si>
    <t>ЩС-4бл.  (S4)</t>
  </si>
  <si>
    <t>ЩСд (S4)</t>
  </si>
  <si>
    <t>ЩУкот (S4)</t>
  </si>
  <si>
    <t>ЩЭ-4 (S4)</t>
  </si>
  <si>
    <t>ЩЭ-5 (S4)</t>
  </si>
  <si>
    <t>ЩК1 (S4)</t>
  </si>
  <si>
    <t>ЩР-4.1 (S4)</t>
  </si>
  <si>
    <t>ЩР-4.2 (S4)</t>
  </si>
  <si>
    <t>ЩО-5бл. (S5)</t>
  </si>
  <si>
    <t>ЩАО-5бл. (S5)</t>
  </si>
  <si>
    <t>ЩСС-5бл. (S5)</t>
  </si>
  <si>
    <t>ЩС-5бл.  (S5)</t>
  </si>
  <si>
    <t>ЩСН-5бл. (S5)</t>
  </si>
  <si>
    <t>ЩЭ-4 (5бл)  (S5)</t>
  </si>
  <si>
    <t>ЩК1 (S5)</t>
  </si>
  <si>
    <t>ЩР-5.1, ЩР-5.2 (S5)</t>
  </si>
  <si>
    <t>ВРЩ-п (ВРУ1-21-10) (P1)</t>
  </si>
  <si>
    <t>ЩМП-п2(ЩМП-80.80.40) (P1)</t>
  </si>
  <si>
    <t>АВР-п (P1)</t>
  </si>
  <si>
    <t>ЩМП-п1 (ЩМП-80.80.40) (P1)</t>
  </si>
  <si>
    <t>ЩО-P1 (P1)</t>
  </si>
  <si>
    <t>ЩАО-P1 (P1)</t>
  </si>
  <si>
    <t>ЩСС-P1 (P1)</t>
  </si>
  <si>
    <t>ЩРохр-P1 (P1)</t>
  </si>
  <si>
    <t>ЩР-п (P1)</t>
  </si>
  <si>
    <t>ЩСН-P1 (P1)</t>
  </si>
  <si>
    <t>ЩС-JET (P1)</t>
  </si>
  <si>
    <t>ЩС-АПТ (P1)</t>
  </si>
  <si>
    <t>ЩС-1 (P1)  (P1)</t>
  </si>
  <si>
    <t>ЩРсерв (P1)  (P1)</t>
  </si>
  <si>
    <t>ЯТП-0,25-23УЗ (P1)</t>
  </si>
  <si>
    <t>КРМ-1 (УКМ-58 0,4-12,5-УЗ)  (P1)</t>
  </si>
  <si>
    <t>КРМ-2 (УКМ-58 0,4-33-УЗ)  (P1)</t>
  </si>
  <si>
    <t>ЯТП-0,25-23УЗ  (S5)</t>
  </si>
  <si>
    <t>ЯТП-0,25-23УЗ (ЯТП 220/36В) (S5)</t>
  </si>
  <si>
    <t>ЯТП-0,25-23УЗ (ЯТП 220/12В)  (S3)</t>
  </si>
  <si>
    <t>ЯТП-0,25-23УЗ (ЯТП 220/36В)  (S3)</t>
  </si>
  <si>
    <t>ЯТП-0,25-23УЗ (S1)</t>
  </si>
  <si>
    <t>ЯТП-0,25-23УЗ (S2)</t>
  </si>
  <si>
    <t>ВУ-1 (ВРУ1-ИНД тип1-00 ухл4) (RP)</t>
  </si>
  <si>
    <t>1ШУ-ВП(1) (RP)</t>
  </si>
  <si>
    <t>2ШУ-ВП(1) (RP)</t>
  </si>
  <si>
    <t>РУ-1 (ВРУ1-ИНД тип4-00 ухл4) (RP)</t>
  </si>
  <si>
    <t>ВУ-2 (ВРУ1-13-20 ухл4) (RP)</t>
  </si>
  <si>
    <t>РУ-2 (ВРУ1-50-00 ухл4) (RP)</t>
  </si>
  <si>
    <t>ВУ-3 (ВРУ1-ИНД тип1-00 ухл4) (RP)</t>
  </si>
  <si>
    <t>РУ-3 (RP)</t>
  </si>
  <si>
    <t>АВРп (АВР-ИНД Тип 4) (RP)</t>
  </si>
  <si>
    <t>ВРУп (ВРУ1-21-10 УХЛ 4) (RP)</t>
  </si>
  <si>
    <t>ЩУ-ЩОк (RP)</t>
  </si>
  <si>
    <t>ВРУ-Одн (ВРУ1-26-10 УХЛ 4) (RP)</t>
  </si>
  <si>
    <t>ЩУ-ОДН1 (RP)</t>
  </si>
  <si>
    <t>АВР-ОДН (RP)</t>
  </si>
  <si>
    <t>ЩАВР-ОДН (ПР11-7123-21УЗ) (RP)</t>
  </si>
  <si>
    <t>ЩУ-ОДН2 (RP)</t>
  </si>
  <si>
    <t>ЩО-2 (RP)</t>
  </si>
  <si>
    <t>ЩОп-2 (RP)</t>
  </si>
  <si>
    <t>ЩОк (RP)</t>
  </si>
  <si>
    <t>ЩАО-2 (RP)</t>
  </si>
  <si>
    <t>ЩАОп-2 (RP)</t>
  </si>
  <si>
    <t>ЩУ-АПТ (RP)</t>
  </si>
  <si>
    <t>1ЩС-СС (RP)</t>
  </si>
  <si>
    <t>ЩС-ССп (RP)</t>
  </si>
  <si>
    <t>ЩС-СС4 (RP)</t>
  </si>
  <si>
    <t>ЩСР-1 (RP)</t>
  </si>
  <si>
    <t>ЩСРп-2 (RP)</t>
  </si>
  <si>
    <t>ЩСРп-3 (RP)</t>
  </si>
  <si>
    <t>ЩСо (RP)</t>
  </si>
  <si>
    <t>ЩСпа (RP)</t>
  </si>
  <si>
    <t>1ЩС-ВП (1) (RP)</t>
  </si>
  <si>
    <t>2ЩС-ВП(1), 6ЩС-ВП(1), 7ЩС-ВП(1) (RP)</t>
  </si>
  <si>
    <t>3ЩС-ВП(1), 4ЩС-ВП(1), 5ЩС-ВП(1), 8ЩС-ВП(1)  (RP)</t>
  </si>
  <si>
    <t>9ЩС-ВП(1) (RP)</t>
  </si>
  <si>
    <t>1ЩС-ВП(5)-4ЩС-ВП(5) (RP)</t>
  </si>
  <si>
    <t>ЩСВп-(2) (RP)</t>
  </si>
  <si>
    <t>ЩС-К(1) (RP)</t>
  </si>
  <si>
    <t>ЩОВ-(3) (RP)</t>
  </si>
  <si>
    <t>ЩСП-ПД(2) (RP)</t>
  </si>
  <si>
    <t>1ЩС-ДУ(1) (RP)</t>
  </si>
  <si>
    <t>2ЩС-ДУ(1) (RP)</t>
  </si>
  <si>
    <t>3ЩС-ДУ(1) (RP)</t>
  </si>
  <si>
    <t>1ЩС-ДУп(2) (RP)</t>
  </si>
  <si>
    <t>2ЩС-ДУп(2) (RP)</t>
  </si>
  <si>
    <t>3ЩС-ДУп(2) (RP)</t>
  </si>
  <si>
    <t>КРМ (УКМ-58 0,4-30-УЗ)  (RP)</t>
  </si>
  <si>
    <t>ЯТП 220/36 (RP) (RP)</t>
  </si>
  <si>
    <t>2ЩС-СС-без SVC WL-2000 (RP)</t>
  </si>
  <si>
    <t>КМПн-36 IP55 36 modul</t>
  </si>
  <si>
    <t>shmp 1200*800*400</t>
  </si>
  <si>
    <t>shmp 1000*800*400</t>
  </si>
  <si>
    <t>indudualniy 1980*800*160</t>
  </si>
  <si>
    <t>719-15614</t>
  </si>
  <si>
    <t>Мет. Корпус (Пустой) (1700x600x450)+10CM База IP31</t>
  </si>
  <si>
    <t>719-15625</t>
  </si>
  <si>
    <t>Мет. Щит Пустой (1600x800x400)+10см база IP54</t>
  </si>
  <si>
    <t>719-15696</t>
  </si>
  <si>
    <t>Shit 2000x800x450+100mm</t>
  </si>
  <si>
    <t>710-10</t>
  </si>
  <si>
    <t>Мет. Щит ЩМП-5 (1000x650x300) IP54</t>
  </si>
  <si>
    <t>719-15450</t>
  </si>
  <si>
    <t>719-15</t>
  </si>
  <si>
    <t>719-15410</t>
  </si>
  <si>
    <t>Мет.Корпус ЩМП-1 (395х310х150) УХЛ3 IP54</t>
  </si>
  <si>
    <t>716-15005</t>
  </si>
  <si>
    <t>Щит ЩУРн-1/12 окошко(300х400х160)S/U 36 IP31 (TS)</t>
  </si>
  <si>
    <t>714-15114</t>
  </si>
  <si>
    <t>Щит мет. ЩРн-6-2 PR (1200x750x300) IP54 (TS)</t>
  </si>
  <si>
    <t>131369</t>
  </si>
  <si>
    <t>Авт. выкл. NXM-250S/3Р 250A 36кА (R)</t>
  </si>
  <si>
    <t>844374</t>
  </si>
  <si>
    <t>Авт. выкл. NXM-630S/3Р 400A 50кА (R)</t>
  </si>
  <si>
    <t>Фотореле на DIN-рейку с выносным датчиком (ФР) 2-100Лк 25А 3000Вт EKF PROxima</t>
  </si>
  <si>
    <t>NPL(MDL) 2000x700x500+100 мм IP31</t>
  </si>
  <si>
    <t>719-156</t>
  </si>
  <si>
    <t>kont</t>
  </si>
  <si>
    <t>dob kont</t>
  </si>
  <si>
    <t>avr rolesi</t>
  </si>
  <si>
    <t>311100861_</t>
  </si>
  <si>
    <t>Устройство управления резервным питанием F&amp;F AVR-02 NEW</t>
  </si>
  <si>
    <t>f&amp;f</t>
  </si>
  <si>
    <t>Мет. Щит ВРУ 1700х700х450+10CM База</t>
  </si>
  <si>
    <t>mcb</t>
  </si>
  <si>
    <t>836788</t>
  </si>
  <si>
    <t>Контактор NXC-50 50A 220В/АС3 1НО+1НЗ 50Гц (R)</t>
  </si>
  <si>
    <t>836816</t>
  </si>
  <si>
    <t>Контактор NXC-85 85A 220В/АС3 1НО+1НЗ 50Гц (R)</t>
  </si>
  <si>
    <t>938251</t>
  </si>
  <si>
    <t>Приставка доп.контакты AX-3X/22 к контактору NXC-06~630 (R)</t>
  </si>
  <si>
    <t>ЩАО-3бл.с Фотореле  (S3)</t>
  </si>
  <si>
    <t>ЩАО-3бл. с Фотореле (S3)</t>
  </si>
  <si>
    <t>ЩО-5бл.с Фотореле (S5)</t>
  </si>
  <si>
    <t>714-15116</t>
  </si>
  <si>
    <t>Щит мет. ЩРн-5-2 PR (1000x650x300) IP54 (TS)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</si>
</sst>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4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00"/>
        <bgColor rgb="FF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11">
    <xf numFmtId="0" fontId="0" fillId="0" borderId="0"/>
    <xf numFmtId="164" fontId="5" fillId="0" borderId="0" applyBorder="0" applyProtection="0"/>
    <xf numFmtId="0" fontId="4" fillId="0" borderId="0"/>
    <xf numFmtId="0" fontId="3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165" fontId="7" fillId="2" borderId="1" xfId="1" applyNumberFormat="1" applyFont="1" applyFill="1" applyBorder="1" applyAlignment="1" applyProtection="1">
      <alignment horizontal="center" vertical="center" wrapText="1"/>
    </xf>
    <xf numFmtId="0" fontId="7" fillId="2" borderId="1" xfId="1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3" fontId="7" fillId="6" borderId="1" xfId="1" applyNumberFormat="1" applyFont="1" applyFill="1" applyBorder="1" applyAlignment="1" applyProtection="1">
      <alignment horizontal="center" vertical="center" wrapText="1"/>
    </xf>
    <xf numFmtId="165" fontId="7" fillId="6" borderId="1" xfId="1" applyNumberFormat="1" applyFont="1" applyFill="1" applyBorder="1" applyAlignment="1" applyProtection="1">
      <alignment horizontal="center" vertical="center"/>
    </xf>
    <xf numFmtId="166" fontId="7" fillId="6" borderId="1" xfId="1" applyNumberFormat="1" applyFont="1" applyFill="1" applyBorder="1" applyAlignment="1" applyProtection="1">
      <alignment horizontal="center" vertical="center" wrapText="1"/>
    </xf>
    <xf numFmtId="0" fontId="7" fillId="6" borderId="1" xfId="1" applyNumberFormat="1" applyFont="1" applyFill="1" applyBorder="1" applyAlignment="1" applyProtection="1">
      <alignment horizontal="center" vertical="center"/>
    </xf>
    <xf numFmtId="165" fontId="7" fillId="6" borderId="1" xfId="1" applyNumberFormat="1" applyFont="1" applyFill="1" applyBorder="1" applyAlignment="1" applyProtection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3" fontId="7" fillId="4" borderId="1" xfId="1" applyNumberFormat="1" applyFont="1" applyFill="1" applyBorder="1" applyAlignment="1" applyProtection="1">
      <alignment horizontal="center" vertical="center" wrapText="1"/>
    </xf>
    <xf numFmtId="165" fontId="7" fillId="4" borderId="1" xfId="1" applyNumberFormat="1" applyFont="1" applyFill="1" applyBorder="1" applyAlignment="1" applyProtection="1">
      <alignment horizontal="center" vertical="center"/>
    </xf>
    <xf numFmtId="0" fontId="7" fillId="4" borderId="1" xfId="1" applyNumberFormat="1" applyFont="1" applyFill="1" applyBorder="1" applyAlignment="1" applyProtection="1">
      <alignment horizontal="center" vertical="center"/>
    </xf>
    <xf numFmtId="165" fontId="7" fillId="4" borderId="1" xfId="1" applyNumberFormat="1" applyFont="1" applyFill="1" applyBorder="1" applyAlignment="1" applyProtection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" fontId="11" fillId="0" borderId="1" xfId="0" quotePrefix="1" applyNumberFormat="1" applyFont="1" applyBorder="1" applyAlignment="1">
      <alignment horizontal="center" vertical="center"/>
    </xf>
    <xf numFmtId="165" fontId="13" fillId="4" borderId="1" xfId="1" applyNumberFormat="1" applyFont="1" applyFill="1" applyBorder="1" applyAlignment="1" applyProtection="1">
      <alignment horizontal="center" vertical="center" wrapText="1"/>
    </xf>
    <xf numFmtId="3" fontId="12" fillId="0" borderId="2" xfId="0" applyNumberFormat="1" applyFont="1" applyBorder="1" applyAlignment="1">
      <alignment horizontal="center" vertical="center" wrapText="1"/>
    </xf>
    <xf numFmtId="3" fontId="12" fillId="0" borderId="3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0" fontId="7" fillId="4" borderId="1" xfId="1" applyNumberFormat="1" applyFont="1" applyFill="1" applyBorder="1" applyAlignment="1" applyProtection="1">
      <alignment horizontal="center" vertical="center" wrapText="1"/>
    </xf>
    <xf numFmtId="3" fontId="8" fillId="5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165" fontId="0" fillId="0" borderId="0" xfId="0" applyNumberFormat="1"/>
    <xf numFmtId="166" fontId="7" fillId="7" borderId="1" xfId="1" applyNumberFormat="1" applyFont="1" applyFill="1" applyBorder="1" applyAlignment="1" applyProtection="1">
      <alignment horizontal="center" vertical="center" wrapText="1"/>
    </xf>
  </cellXfs>
  <cellStyles count="11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2 2 2" xfId="10" xr:uid="{643AA2EF-3311-435C-8648-633139E44879}"/>
    <cellStyle name="Обычный 2 2 3" xfId="8" xr:uid="{A34CDC89-9DCA-4EC0-9B23-2CDD5A6BC744}"/>
    <cellStyle name="Обычный 2 3" xfId="5" xr:uid="{CD09FCFD-EFD6-4824-A0CB-AF049C27D85C}"/>
    <cellStyle name="Обычный 2 3 2" xfId="9" xr:uid="{87A69162-C9EE-4684-A426-86BDB590A8DC}"/>
    <cellStyle name="Обычный 2 4" xfId="7" xr:uid="{E36AB3D1-959F-4339-8453-3B68B0DF979D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342901</xdr:colOff>
      <xdr:row>609</xdr:row>
      <xdr:rowOff>168933</xdr:rowOff>
    </xdr:from>
    <xdr:to>
      <xdr:col>22</xdr:col>
      <xdr:colOff>266701</xdr:colOff>
      <xdr:row>621</xdr:row>
      <xdr:rowOff>200886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26B1ECC3-0CAB-3279-FC68-561E50663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87726" y="673758"/>
          <a:ext cx="6019800" cy="36800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B537A7-8745-4D8F-BA0A-BAEACAFDB9A7}">
  <we:reference id="wa200005271" version="2.5.5.0" store="tr-T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L1268"/>
  <sheetViews>
    <sheetView zoomScaleNormal="100"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A38" sqref="A38"/>
    </sheetView>
  </sheetViews>
  <sheetFormatPr defaultRowHeight="21" customHeight="1" x14ac:dyDescent="0.25"/>
  <cols>
    <col min="1" max="1" width="17.5703125" customWidth="1"/>
    <col min="2" max="2" width="9.28515625" customWidth="1"/>
    <col min="3" max="3" width="19" bestFit="1" customWidth="1"/>
    <col min="4" max="4" width="72.42578125" customWidth="1"/>
    <col min="5" max="5" width="7.85546875" bestFit="1" customWidth="1"/>
    <col min="6" max="6" width="11.5703125" bestFit="1" customWidth="1"/>
    <col min="7" max="7" width="10.28515625" customWidth="1"/>
    <col min="8" max="8" width="9.28515625" bestFit="1" customWidth="1"/>
    <col min="11" max="11" width="36.42578125" customWidth="1"/>
    <col min="12" max="12" width="12.42578125" customWidth="1"/>
  </cols>
  <sheetData>
    <row r="1" spans="1:12" ht="39.75" customHeight="1" x14ac:dyDescent="0.25">
      <c r="A1" s="1" t="s">
        <v>2</v>
      </c>
      <c r="B1" s="1" t="s">
        <v>0</v>
      </c>
      <c r="C1" s="2" t="s">
        <v>1</v>
      </c>
      <c r="D1" s="1" t="s">
        <v>14</v>
      </c>
      <c r="E1" s="1" t="s">
        <v>3</v>
      </c>
      <c r="F1" s="1" t="s">
        <v>3</v>
      </c>
      <c r="G1" s="3" t="s">
        <v>6</v>
      </c>
      <c r="H1" s="4" t="s">
        <v>15</v>
      </c>
      <c r="I1" s="4" t="s">
        <v>4</v>
      </c>
      <c r="J1" s="4" t="s">
        <v>5</v>
      </c>
      <c r="K1" s="1" t="s">
        <v>141</v>
      </c>
      <c r="L1" t="s">
        <v>6</v>
      </c>
    </row>
    <row r="2" spans="1:12" ht="39.75" customHeight="1" x14ac:dyDescent="0.25">
      <c r="A2" s="5" t="str">
        <f>D2</f>
        <v>ВУ-1 (ВРУ1-ИНД тип1-00 ухл4) (RP)</v>
      </c>
      <c r="B2" s="6"/>
      <c r="C2" s="7"/>
      <c r="D2" s="6" t="s">
        <v>409</v>
      </c>
      <c r="E2" s="8"/>
      <c r="F2" s="8" t="s">
        <v>40</v>
      </c>
      <c r="G2" s="9"/>
      <c r="H2" s="10">
        <v>1</v>
      </c>
      <c r="I2" s="11" t="s">
        <v>7</v>
      </c>
      <c r="J2" s="6" t="s">
        <v>9</v>
      </c>
      <c r="K2" s="5" t="s">
        <v>142</v>
      </c>
    </row>
    <row r="3" spans="1:12" ht="21" customHeight="1" x14ac:dyDescent="0.25">
      <c r="A3" s="12" t="str">
        <f>A2</f>
        <v>ВУ-1 (ВРУ1-ИНД тип1-00 ухл4) (RP)</v>
      </c>
      <c r="B3" s="13" t="s">
        <v>8</v>
      </c>
      <c r="C3" s="14" t="s">
        <v>461</v>
      </c>
      <c r="D3" s="12" t="s">
        <v>462</v>
      </c>
      <c r="E3" s="13">
        <v>140000</v>
      </c>
      <c r="F3" s="15">
        <f>E3*0.6</f>
        <v>84000</v>
      </c>
      <c r="G3" s="15">
        <f>H3*F3</f>
        <v>84000</v>
      </c>
      <c r="H3" s="16">
        <v>1</v>
      </c>
      <c r="I3" s="17" t="s">
        <v>13</v>
      </c>
      <c r="J3" s="13" t="s">
        <v>16</v>
      </c>
      <c r="K3" s="12" t="str">
        <f>K2</f>
        <v>ATY-MFO-25_EM_RP_HOST_AL</v>
      </c>
      <c r="L3">
        <v>84000</v>
      </c>
    </row>
    <row r="4" spans="1:12" ht="21" customHeight="1" x14ac:dyDescent="0.25">
      <c r="A4" s="12" t="str">
        <f t="shared" ref="A4:A14" si="0">A3</f>
        <v>ВУ-1 (ВРУ1-ИНД тип1-00 ухл4) (RP)</v>
      </c>
      <c r="B4" s="13" t="s">
        <v>25</v>
      </c>
      <c r="C4" s="14" t="s">
        <v>66</v>
      </c>
      <c r="D4" s="12" t="s">
        <v>67</v>
      </c>
      <c r="E4" s="13">
        <v>5523</v>
      </c>
      <c r="F4" s="15">
        <f>E4</f>
        <v>5523</v>
      </c>
      <c r="G4" s="15">
        <f t="shared" ref="G4:G13" si="1">H4*F4</f>
        <v>16569</v>
      </c>
      <c r="H4" s="16">
        <v>3</v>
      </c>
      <c r="I4" s="17" t="s">
        <v>13</v>
      </c>
      <c r="J4" s="13" t="s">
        <v>24</v>
      </c>
      <c r="K4" s="12" t="str">
        <f t="shared" ref="K4:K14" si="2">K3</f>
        <v>ATY-MFO-25_EM_RP_HOST_AL</v>
      </c>
      <c r="L4">
        <v>16569</v>
      </c>
    </row>
    <row r="5" spans="1:12" ht="21" customHeight="1" x14ac:dyDescent="0.25">
      <c r="A5" s="12" t="str">
        <f t="shared" si="0"/>
        <v>ВУ-1 (ВРУ1-ИНД тип1-00 ухл4) (RP)</v>
      </c>
      <c r="B5" s="13" t="s">
        <v>29</v>
      </c>
      <c r="C5" s="14" t="s">
        <v>68</v>
      </c>
      <c r="D5" s="12" t="s">
        <v>69</v>
      </c>
      <c r="E5" s="13">
        <v>48003</v>
      </c>
      <c r="F5" s="15">
        <f>E5</f>
        <v>48003</v>
      </c>
      <c r="G5" s="15">
        <f t="shared" si="1"/>
        <v>48003</v>
      </c>
      <c r="H5" s="16">
        <v>1</v>
      </c>
      <c r="I5" s="17" t="s">
        <v>13</v>
      </c>
      <c r="J5" s="13" t="s">
        <v>24</v>
      </c>
      <c r="K5" s="12" t="str">
        <f t="shared" si="2"/>
        <v>ATY-MFO-25_EM_RP_HOST_AL</v>
      </c>
      <c r="L5">
        <v>48003</v>
      </c>
    </row>
    <row r="6" spans="1:12" ht="21" customHeight="1" x14ac:dyDescent="0.25">
      <c r="A6" s="12" t="str">
        <f t="shared" si="0"/>
        <v>ВУ-1 (ВРУ1-ИНД тип1-00 ухл4) (RP)</v>
      </c>
      <c r="B6" s="13" t="s">
        <v>30</v>
      </c>
      <c r="C6" s="14" t="s">
        <v>61</v>
      </c>
      <c r="D6" s="12" t="s">
        <v>62</v>
      </c>
      <c r="E6" s="13">
        <v>12721</v>
      </c>
      <c r="F6" s="15">
        <f t="shared" ref="F6:F8" si="3">E6*0.6</f>
        <v>7632.5999999999995</v>
      </c>
      <c r="G6" s="15">
        <f t="shared" si="1"/>
        <v>22897.8</v>
      </c>
      <c r="H6" s="16">
        <v>3</v>
      </c>
      <c r="I6" s="17" t="s">
        <v>13</v>
      </c>
      <c r="J6" s="13" t="s">
        <v>17</v>
      </c>
      <c r="K6" s="12" t="str">
        <f t="shared" si="2"/>
        <v>ATY-MFO-25_EM_RP_HOST_AL</v>
      </c>
      <c r="L6">
        <v>22897.8</v>
      </c>
    </row>
    <row r="7" spans="1:12" ht="21" customHeight="1" x14ac:dyDescent="0.25">
      <c r="A7" s="12" t="str">
        <f t="shared" si="0"/>
        <v>ВУ-1 (ВРУ1-ИНД тип1-00 ухл4) (RP)</v>
      </c>
      <c r="B7" s="13" t="s">
        <v>30</v>
      </c>
      <c r="C7" s="14" t="s">
        <v>63</v>
      </c>
      <c r="D7" s="12" t="s">
        <v>64</v>
      </c>
      <c r="E7" s="13">
        <v>11728</v>
      </c>
      <c r="F7" s="15">
        <f t="shared" si="3"/>
        <v>7036.8</v>
      </c>
      <c r="G7" s="15">
        <f t="shared" si="1"/>
        <v>21110.400000000001</v>
      </c>
      <c r="H7" s="16">
        <v>3</v>
      </c>
      <c r="I7" s="17" t="s">
        <v>13</v>
      </c>
      <c r="J7" s="13" t="s">
        <v>17</v>
      </c>
      <c r="K7" s="12" t="str">
        <f t="shared" si="2"/>
        <v>ATY-MFO-25_EM_RP_HOST_AL</v>
      </c>
      <c r="L7">
        <v>21110.400000000001</v>
      </c>
    </row>
    <row r="8" spans="1:12" ht="21" customHeight="1" x14ac:dyDescent="0.25">
      <c r="A8" s="12" t="str">
        <f t="shared" si="0"/>
        <v>ВУ-1 (ВРУ1-ИНД тип1-00 ухл4) (RP)</v>
      </c>
      <c r="B8" s="13" t="s">
        <v>12</v>
      </c>
      <c r="C8" s="14" t="s">
        <v>19</v>
      </c>
      <c r="D8" s="12" t="s">
        <v>20</v>
      </c>
      <c r="E8" s="13">
        <v>975</v>
      </c>
      <c r="F8" s="15">
        <f t="shared" si="3"/>
        <v>585</v>
      </c>
      <c r="G8" s="15">
        <f t="shared" si="1"/>
        <v>585</v>
      </c>
      <c r="H8" s="16">
        <v>1</v>
      </c>
      <c r="I8" s="17" t="s">
        <v>13</v>
      </c>
      <c r="J8" s="13" t="s">
        <v>17</v>
      </c>
      <c r="K8" s="12" t="str">
        <f t="shared" si="2"/>
        <v>ATY-MFO-25_EM_RP_HOST_AL</v>
      </c>
      <c r="L8">
        <v>585</v>
      </c>
    </row>
    <row r="9" spans="1:12" ht="22.5" customHeight="1" x14ac:dyDescent="0.25">
      <c r="A9" s="12" t="str">
        <f t="shared" si="0"/>
        <v>ВУ-1 (ВРУ1-ИНД тип1-00 ухл4) (RP)</v>
      </c>
      <c r="B9" s="13" t="s">
        <v>18</v>
      </c>
      <c r="C9" s="14" t="s">
        <v>290</v>
      </c>
      <c r="D9" s="12" t="s">
        <v>291</v>
      </c>
      <c r="E9" s="13">
        <v>90000</v>
      </c>
      <c r="F9" s="15">
        <f t="shared" ref="F9:F11" si="4">E9</f>
        <v>90000</v>
      </c>
      <c r="G9" s="15">
        <f t="shared" si="1"/>
        <v>0</v>
      </c>
      <c r="H9" s="16">
        <v>0</v>
      </c>
      <c r="I9" s="17" t="s">
        <v>13</v>
      </c>
      <c r="J9" s="13" t="s">
        <v>24</v>
      </c>
      <c r="K9" s="12" t="str">
        <f t="shared" si="2"/>
        <v>ATY-MFO-25_EM_RP_HOST_AL</v>
      </c>
      <c r="L9">
        <v>0</v>
      </c>
    </row>
    <row r="10" spans="1:12" ht="21" customHeight="1" x14ac:dyDescent="0.25">
      <c r="A10" s="12" t="str">
        <f t="shared" si="0"/>
        <v>ВУ-1 (ВРУ1-ИНД тип1-00 ухл4) (RP)</v>
      </c>
      <c r="B10" s="13" t="s">
        <v>92</v>
      </c>
      <c r="C10" s="14"/>
      <c r="D10" s="12" t="s">
        <v>65</v>
      </c>
      <c r="E10" s="13">
        <v>4500</v>
      </c>
      <c r="F10" s="15">
        <f t="shared" ref="F10" si="5">E10</f>
        <v>4500</v>
      </c>
      <c r="G10" s="15">
        <f t="shared" si="1"/>
        <v>13500</v>
      </c>
      <c r="H10" s="16">
        <v>3</v>
      </c>
      <c r="I10" s="17" t="s">
        <v>13</v>
      </c>
      <c r="J10" s="13" t="s">
        <v>24</v>
      </c>
      <c r="K10" s="12" t="str">
        <f t="shared" si="2"/>
        <v>ATY-MFO-25_EM_RP_HOST_AL</v>
      </c>
      <c r="L10">
        <v>13500</v>
      </c>
    </row>
    <row r="11" spans="1:12" ht="21" customHeight="1" x14ac:dyDescent="0.25">
      <c r="A11" s="12" t="str">
        <f t="shared" si="0"/>
        <v>ВУ-1 (ВРУ1-ИНД тип1-00 ухл4) (RP)</v>
      </c>
      <c r="B11" s="13" t="s">
        <v>28</v>
      </c>
      <c r="C11" s="14"/>
      <c r="D11" s="12" t="s">
        <v>28</v>
      </c>
      <c r="E11" s="13">
        <v>1000</v>
      </c>
      <c r="F11" s="15">
        <f t="shared" si="4"/>
        <v>1000</v>
      </c>
      <c r="G11" s="15">
        <f t="shared" si="1"/>
        <v>1000</v>
      </c>
      <c r="H11" s="16">
        <v>1</v>
      </c>
      <c r="I11" s="17" t="s">
        <v>13</v>
      </c>
      <c r="J11" s="13" t="s">
        <v>24</v>
      </c>
      <c r="K11" s="12" t="str">
        <f t="shared" si="2"/>
        <v>ATY-MFO-25_EM_RP_HOST_AL</v>
      </c>
      <c r="L11">
        <v>1000</v>
      </c>
    </row>
    <row r="12" spans="1:12" ht="24" customHeight="1" x14ac:dyDescent="0.25">
      <c r="A12" s="12" t="str">
        <f t="shared" si="0"/>
        <v>ВУ-1 (ВРУ1-ИНД тип1-00 ухл4) (RP)</v>
      </c>
      <c r="B12" s="12" t="s">
        <v>10</v>
      </c>
      <c r="C12" s="18" t="s">
        <v>10</v>
      </c>
      <c r="D12" s="12" t="s">
        <v>10</v>
      </c>
      <c r="E12" s="12">
        <f ca="1">OFFSET(E12,1,2)</f>
        <v>48000</v>
      </c>
      <c r="F12" s="15">
        <f ca="1">E12</f>
        <v>48000</v>
      </c>
      <c r="G12" s="15">
        <f t="shared" ca="1" si="1"/>
        <v>48000</v>
      </c>
      <c r="H12" s="12">
        <v>1</v>
      </c>
      <c r="I12" s="12" t="s">
        <v>13</v>
      </c>
      <c r="J12" s="12" t="s">
        <v>10</v>
      </c>
      <c r="K12" s="12" t="str">
        <f t="shared" si="2"/>
        <v>ATY-MFO-25_EM_RP_HOST_AL</v>
      </c>
      <c r="L12">
        <v>48000</v>
      </c>
    </row>
    <row r="13" spans="1:12" ht="21" customHeight="1" x14ac:dyDescent="0.25">
      <c r="A13" s="12" t="str">
        <f t="shared" si="0"/>
        <v>ВУ-1 (ВРУ1-ИНД тип1-00 ухл4) (RP)</v>
      </c>
      <c r="B13" s="12" t="s">
        <v>11</v>
      </c>
      <c r="C13" s="18" t="s">
        <v>11</v>
      </c>
      <c r="D13" s="12" t="s">
        <v>11</v>
      </c>
      <c r="E13" s="12">
        <v>8</v>
      </c>
      <c r="F13" s="15">
        <v>100</v>
      </c>
      <c r="G13" s="15">
        <f t="shared" si="1"/>
        <v>48000</v>
      </c>
      <c r="H13" s="12">
        <f>60*E13</f>
        <v>480</v>
      </c>
      <c r="I13" s="12" t="s">
        <v>13</v>
      </c>
      <c r="J13" s="12" t="s">
        <v>11</v>
      </c>
      <c r="K13" s="12" t="str">
        <f t="shared" si="2"/>
        <v>ATY-MFO-25_EM_RP_HOST_AL</v>
      </c>
      <c r="L13">
        <v>48000</v>
      </c>
    </row>
    <row r="14" spans="1:12" ht="30" customHeight="1" x14ac:dyDescent="0.25">
      <c r="A14" s="12" t="str">
        <f t="shared" si="0"/>
        <v>ВУ-1 (ВРУ1-ИНД тип1-00 ухл4) (RP)</v>
      </c>
      <c r="B14" s="19"/>
      <c r="C14" s="20"/>
      <c r="D14" s="21"/>
      <c r="E14" s="23"/>
      <c r="F14" s="25"/>
      <c r="G14" s="24">
        <f ca="1">SUM(G3:G13)</f>
        <v>303665.19999999995</v>
      </c>
      <c r="H14" s="20"/>
      <c r="I14" s="22"/>
      <c r="J14" s="20"/>
      <c r="K14" s="12" t="str">
        <f t="shared" si="2"/>
        <v>ATY-MFO-25_EM_RP_HOST_AL</v>
      </c>
      <c r="L14">
        <v>303665.19999999995</v>
      </c>
    </row>
    <row r="15" spans="1:12" ht="39.75" customHeight="1" x14ac:dyDescent="0.25">
      <c r="A15" s="5" t="str">
        <f>D15</f>
        <v>1ШУ-ВП(1) (RP)</v>
      </c>
      <c r="B15" s="6"/>
      <c r="C15" s="7"/>
      <c r="D15" s="6" t="s">
        <v>410</v>
      </c>
      <c r="E15" s="8"/>
      <c r="F15" s="8" t="s">
        <v>40</v>
      </c>
      <c r="G15" s="9"/>
      <c r="H15" s="10">
        <v>1</v>
      </c>
      <c r="I15" s="11" t="s">
        <v>7</v>
      </c>
      <c r="J15" s="6" t="s">
        <v>9</v>
      </c>
      <c r="K15" s="5" t="s">
        <v>142</v>
      </c>
    </row>
    <row r="16" spans="1:12" ht="21" customHeight="1" x14ac:dyDescent="0.25">
      <c r="A16" s="12" t="str">
        <f>A15</f>
        <v>1ШУ-ВП(1) (RP)</v>
      </c>
      <c r="B16" s="13" t="s">
        <v>8</v>
      </c>
      <c r="C16" s="14" t="s">
        <v>463</v>
      </c>
      <c r="D16" s="12" t="s">
        <v>464</v>
      </c>
      <c r="E16" s="13">
        <v>154000</v>
      </c>
      <c r="F16" s="15">
        <f t="shared" ref="F16:F22" si="6">E16*0.6</f>
        <v>92400</v>
      </c>
      <c r="G16" s="15">
        <f t="shared" ref="G16:G25" si="7">H16*F16</f>
        <v>92400</v>
      </c>
      <c r="H16" s="16">
        <v>1</v>
      </c>
      <c r="I16" s="17" t="s">
        <v>13</v>
      </c>
      <c r="J16" s="13" t="s">
        <v>16</v>
      </c>
      <c r="K16" s="12" t="str">
        <f>K15</f>
        <v>ATY-MFO-25_EM_RP_HOST_AL</v>
      </c>
      <c r="L16">
        <v>92400</v>
      </c>
    </row>
    <row r="17" spans="1:12" ht="21" customHeight="1" x14ac:dyDescent="0.25">
      <c r="A17" s="12" t="str">
        <f t="shared" ref="A17:A26" si="8">A16</f>
        <v>1ШУ-ВП(1) (RP)</v>
      </c>
      <c r="B17" s="13" t="s">
        <v>12</v>
      </c>
      <c r="C17" s="14" t="s">
        <v>115</v>
      </c>
      <c r="D17" s="12" t="s">
        <v>116</v>
      </c>
      <c r="E17" s="13">
        <v>10949</v>
      </c>
      <c r="F17" s="15">
        <f t="shared" si="6"/>
        <v>6569.4</v>
      </c>
      <c r="G17" s="15">
        <f t="shared" si="7"/>
        <v>19708.199999999997</v>
      </c>
      <c r="H17" s="16">
        <v>3</v>
      </c>
      <c r="I17" s="17" t="s">
        <v>13</v>
      </c>
      <c r="J17" s="13" t="s">
        <v>17</v>
      </c>
      <c r="K17" s="12" t="str">
        <f t="shared" ref="K17:K26" si="9">K16</f>
        <v>ATY-MFO-25_EM_RP_HOST_AL</v>
      </c>
      <c r="L17">
        <v>19708.199999999997</v>
      </c>
    </row>
    <row r="18" spans="1:12" ht="21" customHeight="1" x14ac:dyDescent="0.25">
      <c r="A18" s="12" t="str">
        <f t="shared" si="8"/>
        <v>1ШУ-ВП(1) (RP)</v>
      </c>
      <c r="B18" s="13" t="s">
        <v>12</v>
      </c>
      <c r="C18" s="14" t="s">
        <v>121</v>
      </c>
      <c r="D18" s="12" t="s">
        <v>122</v>
      </c>
      <c r="E18" s="13">
        <v>3172</v>
      </c>
      <c r="F18" s="15">
        <f t="shared" si="6"/>
        <v>1903.1999999999998</v>
      </c>
      <c r="G18" s="15">
        <f t="shared" si="7"/>
        <v>1903.1999999999998</v>
      </c>
      <c r="H18" s="16">
        <v>1</v>
      </c>
      <c r="I18" s="17" t="s">
        <v>13</v>
      </c>
      <c r="J18" s="13" t="s">
        <v>17</v>
      </c>
      <c r="K18" s="12" t="str">
        <f t="shared" si="9"/>
        <v>ATY-MFO-25_EM_RP_HOST_AL</v>
      </c>
      <c r="L18">
        <v>1903.1999999999998</v>
      </c>
    </row>
    <row r="19" spans="1:12" ht="21" customHeight="1" x14ac:dyDescent="0.25">
      <c r="A19" s="12" t="str">
        <f t="shared" si="8"/>
        <v>1ШУ-ВП(1) (RP)</v>
      </c>
      <c r="B19" s="13" t="s">
        <v>12</v>
      </c>
      <c r="C19" s="14">
        <v>296831</v>
      </c>
      <c r="D19" s="12" t="s">
        <v>171</v>
      </c>
      <c r="E19" s="13">
        <v>2807</v>
      </c>
      <c r="F19" s="15">
        <f t="shared" si="6"/>
        <v>1684.2</v>
      </c>
      <c r="G19" s="15">
        <f t="shared" si="7"/>
        <v>1684.2</v>
      </c>
      <c r="H19" s="16">
        <v>1</v>
      </c>
      <c r="I19" s="17" t="s">
        <v>13</v>
      </c>
      <c r="J19" s="13" t="s">
        <v>17</v>
      </c>
      <c r="K19" s="12" t="str">
        <f t="shared" si="9"/>
        <v>ATY-MFO-25_EM_RP_HOST_AL</v>
      </c>
      <c r="L19">
        <v>1684.2</v>
      </c>
    </row>
    <row r="20" spans="1:12" ht="21" customHeight="1" x14ac:dyDescent="0.25">
      <c r="A20" s="12" t="str">
        <f t="shared" si="8"/>
        <v>1ШУ-ВП(1) (RP)</v>
      </c>
      <c r="B20" s="13" t="s">
        <v>54</v>
      </c>
      <c r="C20" s="14" t="s">
        <v>129</v>
      </c>
      <c r="D20" s="12" t="s">
        <v>130</v>
      </c>
      <c r="E20" s="13">
        <v>4439</v>
      </c>
      <c r="F20" s="15">
        <f t="shared" si="6"/>
        <v>2663.4</v>
      </c>
      <c r="G20" s="15">
        <f t="shared" si="7"/>
        <v>7990.2000000000007</v>
      </c>
      <c r="H20" s="16">
        <v>3</v>
      </c>
      <c r="I20" s="17" t="s">
        <v>13</v>
      </c>
      <c r="J20" s="13" t="s">
        <v>17</v>
      </c>
      <c r="K20" s="12" t="str">
        <f t="shared" si="9"/>
        <v>ATY-MFO-25_EM_RP_HOST_AL</v>
      </c>
      <c r="L20">
        <v>7990.2000000000007</v>
      </c>
    </row>
    <row r="21" spans="1:12" ht="21" customHeight="1" x14ac:dyDescent="0.25">
      <c r="A21" s="12" t="str">
        <f t="shared" si="8"/>
        <v>1ШУ-ВП(1) (RP)</v>
      </c>
      <c r="B21" s="13" t="s">
        <v>54</v>
      </c>
      <c r="C21" s="14" t="s">
        <v>119</v>
      </c>
      <c r="D21" s="12" t="s">
        <v>120</v>
      </c>
      <c r="E21" s="13">
        <v>4217</v>
      </c>
      <c r="F21" s="15">
        <f t="shared" si="6"/>
        <v>2530.1999999999998</v>
      </c>
      <c r="G21" s="15">
        <f t="shared" si="7"/>
        <v>2530.1999999999998</v>
      </c>
      <c r="H21" s="16">
        <v>1</v>
      </c>
      <c r="I21" s="17" t="s">
        <v>13</v>
      </c>
      <c r="J21" s="13" t="s">
        <v>17</v>
      </c>
      <c r="K21" s="12" t="str">
        <f t="shared" si="9"/>
        <v>ATY-MFO-25_EM_RP_HOST_AL</v>
      </c>
      <c r="L21">
        <v>2530.1999999999998</v>
      </c>
    </row>
    <row r="22" spans="1:12" ht="21" customHeight="1" x14ac:dyDescent="0.25">
      <c r="A22" s="12" t="str">
        <f t="shared" si="8"/>
        <v>1ШУ-ВП(1) (RP)</v>
      </c>
      <c r="B22" s="13" t="s">
        <v>54</v>
      </c>
      <c r="C22" s="14" t="s">
        <v>127</v>
      </c>
      <c r="D22" s="12" t="s">
        <v>128</v>
      </c>
      <c r="E22" s="13">
        <v>3372</v>
      </c>
      <c r="F22" s="15">
        <f t="shared" si="6"/>
        <v>2023.1999999999998</v>
      </c>
      <c r="G22" s="15">
        <f t="shared" si="7"/>
        <v>2023.1999999999998</v>
      </c>
      <c r="H22" s="16">
        <v>1</v>
      </c>
      <c r="I22" s="17" t="s">
        <v>13</v>
      </c>
      <c r="J22" s="13" t="s">
        <v>17</v>
      </c>
      <c r="K22" s="12" t="str">
        <f t="shared" si="9"/>
        <v>ATY-MFO-25_EM_RP_HOST_AL</v>
      </c>
      <c r="L22">
        <v>2023.1999999999998</v>
      </c>
    </row>
    <row r="23" spans="1:12" ht="22.5" customHeight="1" x14ac:dyDescent="0.25">
      <c r="A23" s="12" t="str">
        <f t="shared" si="8"/>
        <v>1ШУ-ВП(1) (RP)</v>
      </c>
      <c r="B23" s="13" t="s">
        <v>18</v>
      </c>
      <c r="C23" s="14" t="s">
        <v>294</v>
      </c>
      <c r="D23" s="12" t="s">
        <v>295</v>
      </c>
      <c r="E23" s="13">
        <v>90000</v>
      </c>
      <c r="F23" s="15">
        <f t="shared" ref="F23" si="10">E23</f>
        <v>90000</v>
      </c>
      <c r="G23" s="15">
        <f t="shared" si="7"/>
        <v>0</v>
      </c>
      <c r="H23" s="16">
        <v>0</v>
      </c>
      <c r="I23" s="17" t="s">
        <v>13</v>
      </c>
      <c r="J23" s="13" t="s">
        <v>24</v>
      </c>
      <c r="K23" s="12" t="str">
        <f t="shared" si="9"/>
        <v>ATY-MFO-25_EM_RP_HOST_AL</v>
      </c>
      <c r="L23">
        <v>0</v>
      </c>
    </row>
    <row r="24" spans="1:12" ht="24" customHeight="1" x14ac:dyDescent="0.25">
      <c r="A24" s="12" t="str">
        <f t="shared" si="8"/>
        <v>1ШУ-ВП(1) (RP)</v>
      </c>
      <c r="B24" s="12" t="s">
        <v>10</v>
      </c>
      <c r="C24" s="18" t="s">
        <v>10</v>
      </c>
      <c r="D24" s="12" t="s">
        <v>10</v>
      </c>
      <c r="E24" s="12">
        <f ca="1">OFFSET(E24,1,2)</f>
        <v>48000</v>
      </c>
      <c r="F24" s="15">
        <f ca="1">E24</f>
        <v>48000</v>
      </c>
      <c r="G24" s="15">
        <f t="shared" ca="1" si="7"/>
        <v>48000</v>
      </c>
      <c r="H24" s="12">
        <v>1</v>
      </c>
      <c r="I24" s="12" t="s">
        <v>13</v>
      </c>
      <c r="J24" s="12" t="s">
        <v>10</v>
      </c>
      <c r="K24" s="12" t="str">
        <f t="shared" si="9"/>
        <v>ATY-MFO-25_EM_RP_HOST_AL</v>
      </c>
      <c r="L24">
        <v>48000</v>
      </c>
    </row>
    <row r="25" spans="1:12" ht="21" customHeight="1" x14ac:dyDescent="0.25">
      <c r="A25" s="12" t="str">
        <f t="shared" si="8"/>
        <v>1ШУ-ВП(1) (RP)</v>
      </c>
      <c r="B25" s="12" t="s">
        <v>11</v>
      </c>
      <c r="C25" s="18" t="s">
        <v>11</v>
      </c>
      <c r="D25" s="12" t="s">
        <v>11</v>
      </c>
      <c r="E25" s="12">
        <v>8</v>
      </c>
      <c r="F25" s="15">
        <v>100</v>
      </c>
      <c r="G25" s="15">
        <f t="shared" si="7"/>
        <v>48000</v>
      </c>
      <c r="H25" s="12">
        <f>60*E25</f>
        <v>480</v>
      </c>
      <c r="I25" s="12" t="s">
        <v>13</v>
      </c>
      <c r="J25" s="12" t="s">
        <v>11</v>
      </c>
      <c r="K25" s="12" t="str">
        <f t="shared" si="9"/>
        <v>ATY-MFO-25_EM_RP_HOST_AL</v>
      </c>
      <c r="L25">
        <v>48000</v>
      </c>
    </row>
    <row r="26" spans="1:12" ht="30" customHeight="1" x14ac:dyDescent="0.25">
      <c r="A26" s="12" t="str">
        <f t="shared" si="8"/>
        <v>1ШУ-ВП(1) (RP)</v>
      </c>
      <c r="B26" s="19"/>
      <c r="C26" s="20"/>
      <c r="D26" s="21"/>
      <c r="E26" s="23"/>
      <c r="F26" s="25"/>
      <c r="G26" s="24">
        <f ca="1">SUM(G16:G25)</f>
        <v>224239.19999999998</v>
      </c>
      <c r="H26" s="20"/>
      <c r="I26" s="22"/>
      <c r="J26" s="20"/>
      <c r="K26" s="12" t="str">
        <f t="shared" si="9"/>
        <v>ATY-MFO-25_EM_RP_HOST_AL</v>
      </c>
      <c r="L26">
        <v>224239.19999999998</v>
      </c>
    </row>
    <row r="27" spans="1:12" ht="39.75" customHeight="1" x14ac:dyDescent="0.25">
      <c r="A27" s="5" t="str">
        <f>D27</f>
        <v>2ШУ-ВП(1) (RP)</v>
      </c>
      <c r="B27" s="6"/>
      <c r="C27" s="7"/>
      <c r="D27" s="6" t="s">
        <v>411</v>
      </c>
      <c r="E27" s="8"/>
      <c r="F27" s="8" t="s">
        <v>40</v>
      </c>
      <c r="G27" s="9"/>
      <c r="H27" s="10">
        <v>1</v>
      </c>
      <c r="I27" s="11" t="s">
        <v>7</v>
      </c>
      <c r="J27" s="6" t="s">
        <v>9</v>
      </c>
      <c r="K27" s="5" t="s">
        <v>142</v>
      </c>
    </row>
    <row r="28" spans="1:12" ht="21" customHeight="1" x14ac:dyDescent="0.25">
      <c r="A28" s="12" t="str">
        <f>A27</f>
        <v>2ШУ-ВП(1) (RP)</v>
      </c>
      <c r="B28" s="13" t="s">
        <v>8</v>
      </c>
      <c r="C28" s="14" t="s">
        <v>475</v>
      </c>
      <c r="D28" s="12" t="s">
        <v>476</v>
      </c>
      <c r="E28" s="13">
        <v>70490</v>
      </c>
      <c r="F28" s="15">
        <f t="shared" ref="F28:F34" si="11">E28*0.6</f>
        <v>42294</v>
      </c>
      <c r="G28" s="15">
        <f t="shared" ref="G28:G38" si="12">H28*F28</f>
        <v>42294</v>
      </c>
      <c r="H28" s="16">
        <v>1</v>
      </c>
      <c r="I28" s="17" t="s">
        <v>13</v>
      </c>
      <c r="J28" s="13" t="s">
        <v>16</v>
      </c>
      <c r="K28" s="12" t="str">
        <f>K27</f>
        <v>ATY-MFO-25_EM_RP_HOST_AL</v>
      </c>
      <c r="L28">
        <v>42294</v>
      </c>
    </row>
    <row r="29" spans="1:12" ht="21" customHeight="1" x14ac:dyDescent="0.25">
      <c r="A29" s="12" t="str">
        <f t="shared" ref="A29:A39" si="13">A28</f>
        <v>2ШУ-ВП(1) (RP)</v>
      </c>
      <c r="B29" s="13" t="s">
        <v>12</v>
      </c>
      <c r="C29" s="14" t="s">
        <v>113</v>
      </c>
      <c r="D29" s="12" t="s">
        <v>114</v>
      </c>
      <c r="E29" s="13">
        <v>11015</v>
      </c>
      <c r="F29" s="15">
        <f t="shared" si="11"/>
        <v>6609</v>
      </c>
      <c r="G29" s="15">
        <f t="shared" si="12"/>
        <v>6609</v>
      </c>
      <c r="H29" s="16">
        <v>1</v>
      </c>
      <c r="I29" s="17" t="s">
        <v>13</v>
      </c>
      <c r="J29" s="13" t="s">
        <v>17</v>
      </c>
      <c r="K29" s="12" t="str">
        <f t="shared" ref="K29:K39" si="14">K28</f>
        <v>ATY-MFO-25_EM_RP_HOST_AL</v>
      </c>
      <c r="L29">
        <v>6609</v>
      </c>
    </row>
    <row r="30" spans="1:12" ht="21" customHeight="1" x14ac:dyDescent="0.25">
      <c r="A30" s="12" t="str">
        <f t="shared" si="13"/>
        <v>2ШУ-ВП(1) (RP)</v>
      </c>
      <c r="B30" s="13" t="s">
        <v>12</v>
      </c>
      <c r="C30" s="14" t="s">
        <v>115</v>
      </c>
      <c r="D30" s="12" t="s">
        <v>116</v>
      </c>
      <c r="E30" s="13">
        <v>10949</v>
      </c>
      <c r="F30" s="15">
        <f t="shared" si="11"/>
        <v>6569.4</v>
      </c>
      <c r="G30" s="15">
        <f t="shared" si="12"/>
        <v>6569.4</v>
      </c>
      <c r="H30" s="16">
        <v>1</v>
      </c>
      <c r="I30" s="17" t="s">
        <v>13</v>
      </c>
      <c r="J30" s="13" t="s">
        <v>17</v>
      </c>
      <c r="K30" s="12" t="str">
        <f t="shared" si="14"/>
        <v>ATY-MFO-25_EM_RP_HOST_AL</v>
      </c>
      <c r="L30">
        <v>6569.4</v>
      </c>
    </row>
    <row r="31" spans="1:12" ht="21" customHeight="1" x14ac:dyDescent="0.25">
      <c r="A31" s="12" t="str">
        <f t="shared" si="13"/>
        <v>2ШУ-ВП(1) (RP)</v>
      </c>
      <c r="B31" s="13" t="s">
        <v>12</v>
      </c>
      <c r="C31" s="14">
        <v>296831</v>
      </c>
      <c r="D31" s="12" t="s">
        <v>171</v>
      </c>
      <c r="E31" s="13">
        <v>2807</v>
      </c>
      <c r="F31" s="15">
        <f t="shared" si="11"/>
        <v>1684.2</v>
      </c>
      <c r="G31" s="15">
        <f t="shared" si="12"/>
        <v>3368.4</v>
      </c>
      <c r="H31" s="16">
        <v>2</v>
      </c>
      <c r="I31" s="17" t="s">
        <v>13</v>
      </c>
      <c r="J31" s="13" t="s">
        <v>17</v>
      </c>
      <c r="K31" s="12" t="str">
        <f t="shared" si="14"/>
        <v>ATY-MFO-25_EM_RP_HOST_AL</v>
      </c>
      <c r="L31">
        <v>3368.4</v>
      </c>
    </row>
    <row r="32" spans="1:12" ht="21" customHeight="1" x14ac:dyDescent="0.25">
      <c r="A32" s="12" t="str">
        <f>A33</f>
        <v>2ШУ-ВП(1) (RP)</v>
      </c>
      <c r="B32" s="13" t="s">
        <v>54</v>
      </c>
      <c r="C32" s="14" t="s">
        <v>131</v>
      </c>
      <c r="D32" s="12" t="s">
        <v>132</v>
      </c>
      <c r="E32" s="13">
        <v>4334</v>
      </c>
      <c r="F32" s="15">
        <f t="shared" si="11"/>
        <v>2600.4</v>
      </c>
      <c r="G32" s="15">
        <f t="shared" si="12"/>
        <v>2600.4</v>
      </c>
      <c r="H32" s="16">
        <v>1</v>
      </c>
      <c r="I32" s="17" t="s">
        <v>13</v>
      </c>
      <c r="J32" s="13" t="s">
        <v>17</v>
      </c>
      <c r="K32" s="12" t="str">
        <f>K33</f>
        <v>ATY-MFO-25_EM_RP_HOST_AL</v>
      </c>
      <c r="L32">
        <v>2600.4</v>
      </c>
    </row>
    <row r="33" spans="1:12" ht="21" customHeight="1" x14ac:dyDescent="0.25">
      <c r="A33" s="12" t="str">
        <f>A30</f>
        <v>2ШУ-ВП(1) (RP)</v>
      </c>
      <c r="B33" s="13" t="s">
        <v>54</v>
      </c>
      <c r="C33" s="14" t="s">
        <v>129</v>
      </c>
      <c r="D33" s="12" t="s">
        <v>130</v>
      </c>
      <c r="E33" s="13">
        <v>4439</v>
      </c>
      <c r="F33" s="15">
        <f t="shared" si="11"/>
        <v>2663.4</v>
      </c>
      <c r="G33" s="15">
        <f t="shared" si="12"/>
        <v>2663.4</v>
      </c>
      <c r="H33" s="16">
        <v>1</v>
      </c>
      <c r="I33" s="17" t="s">
        <v>13</v>
      </c>
      <c r="J33" s="13" t="s">
        <v>17</v>
      </c>
      <c r="K33" s="12" t="str">
        <f>K30</f>
        <v>ATY-MFO-25_EM_RP_HOST_AL</v>
      </c>
      <c r="L33">
        <v>2663.4</v>
      </c>
    </row>
    <row r="34" spans="1:12" ht="21" customHeight="1" x14ac:dyDescent="0.25">
      <c r="A34" s="12" t="str">
        <f>A32</f>
        <v>2ШУ-ВП(1) (RP)</v>
      </c>
      <c r="B34" s="13" t="s">
        <v>54</v>
      </c>
      <c r="C34" s="14" t="s">
        <v>127</v>
      </c>
      <c r="D34" s="12" t="s">
        <v>128</v>
      </c>
      <c r="E34" s="13">
        <v>3372</v>
      </c>
      <c r="F34" s="15">
        <f t="shared" si="11"/>
        <v>2023.1999999999998</v>
      </c>
      <c r="G34" s="15">
        <f t="shared" si="12"/>
        <v>4046.3999999999996</v>
      </c>
      <c r="H34" s="16">
        <v>2</v>
      </c>
      <c r="I34" s="17" t="s">
        <v>13</v>
      </c>
      <c r="J34" s="13" t="s">
        <v>17</v>
      </c>
      <c r="K34" s="12" t="str">
        <f>K32</f>
        <v>ATY-MFO-25_EM_RP_HOST_AL</v>
      </c>
      <c r="L34">
        <v>4046.3999999999996</v>
      </c>
    </row>
    <row r="35" spans="1:12" ht="22.5" customHeight="1" x14ac:dyDescent="0.25">
      <c r="A35" s="12" t="str">
        <f t="shared" ref="A35" si="15">A34</f>
        <v>2ШУ-ВП(1) (RP)</v>
      </c>
      <c r="B35" s="13" t="s">
        <v>18</v>
      </c>
      <c r="C35" s="14" t="s">
        <v>292</v>
      </c>
      <c r="D35" s="12" t="s">
        <v>293</v>
      </c>
      <c r="E35" s="13">
        <v>90000</v>
      </c>
      <c r="F35" s="15">
        <f t="shared" ref="F35" si="16">E35</f>
        <v>90000</v>
      </c>
      <c r="G35" s="15">
        <f t="shared" si="12"/>
        <v>0</v>
      </c>
      <c r="H35" s="16">
        <v>0</v>
      </c>
      <c r="I35" s="17" t="s">
        <v>13</v>
      </c>
      <c r="J35" s="13" t="s">
        <v>24</v>
      </c>
      <c r="K35" s="12" t="str">
        <f t="shared" ref="K35" si="17">K34</f>
        <v>ATY-MFO-25_EM_RP_HOST_AL</v>
      </c>
      <c r="L35">
        <v>0</v>
      </c>
    </row>
    <row r="36" spans="1:12" ht="22.5" customHeight="1" x14ac:dyDescent="0.25">
      <c r="A36" s="12" t="str">
        <f>A34</f>
        <v>2ШУ-ВП(1) (RP)</v>
      </c>
      <c r="B36" s="13" t="s">
        <v>18</v>
      </c>
      <c r="C36" s="14" t="s">
        <v>294</v>
      </c>
      <c r="D36" s="12" t="s">
        <v>295</v>
      </c>
      <c r="E36" s="13">
        <v>90000</v>
      </c>
      <c r="F36" s="15">
        <f t="shared" ref="F36" si="18">E36</f>
        <v>90000</v>
      </c>
      <c r="G36" s="15">
        <f t="shared" si="12"/>
        <v>0</v>
      </c>
      <c r="H36" s="16">
        <v>0</v>
      </c>
      <c r="I36" s="17" t="s">
        <v>13</v>
      </c>
      <c r="J36" s="13" t="s">
        <v>24</v>
      </c>
      <c r="K36" s="12" t="str">
        <f>K34</f>
        <v>ATY-MFO-25_EM_RP_HOST_AL</v>
      </c>
      <c r="L36">
        <v>0</v>
      </c>
    </row>
    <row r="37" spans="1:12" ht="24" customHeight="1" x14ac:dyDescent="0.25">
      <c r="A37" s="12" t="str">
        <f t="shared" si="13"/>
        <v>2ШУ-ВП(1) (RP)</v>
      </c>
      <c r="B37" s="12" t="s">
        <v>10</v>
      </c>
      <c r="C37" s="18" t="s">
        <v>10</v>
      </c>
      <c r="D37" s="12" t="s">
        <v>10</v>
      </c>
      <c r="E37" s="12">
        <f ca="1">OFFSET(E37,1,2)</f>
        <v>48000</v>
      </c>
      <c r="F37" s="15">
        <f ca="1">E37</f>
        <v>48000</v>
      </c>
      <c r="G37" s="15">
        <f t="shared" ca="1" si="12"/>
        <v>48000</v>
      </c>
      <c r="H37" s="12">
        <v>1</v>
      </c>
      <c r="I37" s="12" t="s">
        <v>13</v>
      </c>
      <c r="J37" s="12" t="s">
        <v>10</v>
      </c>
      <c r="K37" s="12" t="str">
        <f t="shared" si="14"/>
        <v>ATY-MFO-25_EM_RP_HOST_AL</v>
      </c>
      <c r="L37">
        <v>48000</v>
      </c>
    </row>
    <row r="38" spans="1:12" ht="21" customHeight="1" x14ac:dyDescent="0.25">
      <c r="A38" s="12" t="str">
        <f t="shared" si="13"/>
        <v>2ШУ-ВП(1) (RP)</v>
      </c>
      <c r="B38" s="12" t="s">
        <v>11</v>
      </c>
      <c r="C38" s="18" t="s">
        <v>11</v>
      </c>
      <c r="D38" s="12" t="s">
        <v>11</v>
      </c>
      <c r="E38" s="12">
        <v>8</v>
      </c>
      <c r="F38" s="15">
        <v>100</v>
      </c>
      <c r="G38" s="15">
        <f t="shared" si="12"/>
        <v>48000</v>
      </c>
      <c r="H38" s="12">
        <f>60*E38</f>
        <v>480</v>
      </c>
      <c r="I38" s="12" t="s">
        <v>13</v>
      </c>
      <c r="J38" s="12" t="s">
        <v>11</v>
      </c>
      <c r="K38" s="12" t="str">
        <f t="shared" si="14"/>
        <v>ATY-MFO-25_EM_RP_HOST_AL</v>
      </c>
      <c r="L38">
        <v>48000</v>
      </c>
    </row>
    <row r="39" spans="1:12" ht="30" customHeight="1" x14ac:dyDescent="0.25">
      <c r="A39" s="12" t="str">
        <f t="shared" si="13"/>
        <v>2ШУ-ВП(1) (RP)</v>
      </c>
      <c r="B39" s="19"/>
      <c r="C39" s="20"/>
      <c r="D39" s="21"/>
      <c r="E39" s="23"/>
      <c r="F39" s="25"/>
      <c r="G39" s="24">
        <f ca="1">SUM(G28:G38)</f>
        <v>164151</v>
      </c>
      <c r="H39" s="20"/>
      <c r="I39" s="22"/>
      <c r="J39" s="20"/>
      <c r="K39" s="12" t="str">
        <f t="shared" si="14"/>
        <v>ATY-MFO-25_EM_RP_HOST_AL</v>
      </c>
      <c r="L39">
        <v>164151</v>
      </c>
    </row>
    <row r="40" spans="1:12" ht="39.75" customHeight="1" x14ac:dyDescent="0.25">
      <c r="A40" s="5" t="str">
        <f>D40</f>
        <v>РУ-1 (ВРУ1-ИНД тип4-00 ухл4) (RP)</v>
      </c>
      <c r="B40" s="6"/>
      <c r="C40" s="7"/>
      <c r="D40" s="6" t="s">
        <v>412</v>
      </c>
      <c r="E40" s="8"/>
      <c r="F40" s="8" t="s">
        <v>40</v>
      </c>
      <c r="G40" s="9"/>
      <c r="H40" s="10">
        <v>1</v>
      </c>
      <c r="I40" s="11" t="s">
        <v>7</v>
      </c>
      <c r="J40" s="6" t="s">
        <v>9</v>
      </c>
      <c r="K40" s="5" t="s">
        <v>142</v>
      </c>
    </row>
    <row r="41" spans="1:12" ht="21" customHeight="1" x14ac:dyDescent="0.25">
      <c r="A41" s="12" t="str">
        <f>A40</f>
        <v>РУ-1 (ВРУ1-ИНД тип4-00 ухл4) (RP)</v>
      </c>
      <c r="B41" s="13" t="s">
        <v>8</v>
      </c>
      <c r="C41" s="14" t="s">
        <v>461</v>
      </c>
      <c r="D41" s="12" t="s">
        <v>462</v>
      </c>
      <c r="E41" s="13">
        <v>140000</v>
      </c>
      <c r="F41" s="15">
        <f t="shared" ref="F41:F46" si="19">E41*0.6</f>
        <v>84000</v>
      </c>
      <c r="G41" s="15">
        <f t="shared" ref="G41:G48" si="20">H41*F41</f>
        <v>84000</v>
      </c>
      <c r="H41" s="16">
        <v>1</v>
      </c>
      <c r="I41" s="17" t="s">
        <v>13</v>
      </c>
      <c r="J41" s="13" t="s">
        <v>16</v>
      </c>
      <c r="K41" s="12" t="str">
        <f>K40</f>
        <v>ATY-MFO-25_EM_RP_HOST_AL</v>
      </c>
      <c r="L41">
        <v>84000</v>
      </c>
    </row>
    <row r="42" spans="1:12" ht="21" customHeight="1" x14ac:dyDescent="0.25">
      <c r="A42" s="12" t="str">
        <f t="shared" ref="A42:A49" si="21">A41</f>
        <v>РУ-1 (ВРУ1-ИНД тип4-00 ухл4) (RP)</v>
      </c>
      <c r="B42" s="13" t="s">
        <v>12</v>
      </c>
      <c r="C42" s="14" t="s">
        <v>70</v>
      </c>
      <c r="D42" s="12" t="s">
        <v>71</v>
      </c>
      <c r="E42" s="13">
        <v>11788</v>
      </c>
      <c r="F42" s="15">
        <f t="shared" si="19"/>
        <v>7072.8</v>
      </c>
      <c r="G42" s="15">
        <f t="shared" si="20"/>
        <v>7072.8</v>
      </c>
      <c r="H42" s="16">
        <v>1</v>
      </c>
      <c r="I42" s="17" t="s">
        <v>13</v>
      </c>
      <c r="J42" s="13" t="s">
        <v>17</v>
      </c>
      <c r="K42" s="12" t="str">
        <f t="shared" ref="K42:K49" si="22">K41</f>
        <v>ATY-MFO-25_EM_RP_HOST_AL</v>
      </c>
      <c r="L42">
        <v>7072.8</v>
      </c>
    </row>
    <row r="43" spans="1:12" ht="21" customHeight="1" x14ac:dyDescent="0.25">
      <c r="A43" s="12" t="str">
        <f t="shared" si="21"/>
        <v>РУ-1 (ВРУ1-ИНД тип4-00 ухл4) (RP)</v>
      </c>
      <c r="B43" s="13" t="s">
        <v>12</v>
      </c>
      <c r="C43" s="14" t="s">
        <v>72</v>
      </c>
      <c r="D43" s="12" t="s">
        <v>73</v>
      </c>
      <c r="E43" s="13">
        <v>11491</v>
      </c>
      <c r="F43" s="15">
        <f t="shared" si="19"/>
        <v>6894.5999999999995</v>
      </c>
      <c r="G43" s="15">
        <f t="shared" si="20"/>
        <v>27578.399999999998</v>
      </c>
      <c r="H43" s="16">
        <v>4</v>
      </c>
      <c r="I43" s="17" t="s">
        <v>13</v>
      </c>
      <c r="J43" s="13" t="s">
        <v>17</v>
      </c>
      <c r="K43" s="12" t="str">
        <f t="shared" si="22"/>
        <v>ATY-MFO-25_EM_RP_HOST_AL</v>
      </c>
      <c r="L43">
        <v>27578.399999999998</v>
      </c>
    </row>
    <row r="44" spans="1:12" ht="21" customHeight="1" x14ac:dyDescent="0.25">
      <c r="A44" s="12" t="str">
        <f t="shared" si="21"/>
        <v>РУ-1 (ВРУ1-ИНД тип4-00 ухл4) (RP)</v>
      </c>
      <c r="B44" s="13" t="s">
        <v>12</v>
      </c>
      <c r="C44" s="14" t="s">
        <v>74</v>
      </c>
      <c r="D44" s="12" t="s">
        <v>75</v>
      </c>
      <c r="E44" s="13">
        <v>12113</v>
      </c>
      <c r="F44" s="15">
        <f t="shared" si="19"/>
        <v>7267.8</v>
      </c>
      <c r="G44" s="15">
        <f t="shared" si="20"/>
        <v>7267.8</v>
      </c>
      <c r="H44" s="16">
        <v>1</v>
      </c>
      <c r="I44" s="17" t="s">
        <v>13</v>
      </c>
      <c r="J44" s="13" t="s">
        <v>17</v>
      </c>
      <c r="K44" s="12" t="str">
        <f t="shared" si="22"/>
        <v>ATY-MFO-25_EM_RP_HOST_AL</v>
      </c>
      <c r="L44">
        <v>7267.8</v>
      </c>
    </row>
    <row r="45" spans="1:12" ht="21" customHeight="1" x14ac:dyDescent="0.25">
      <c r="A45" s="12" t="str">
        <f t="shared" si="21"/>
        <v>РУ-1 (ВРУ1-ИНД тип4-00 ухл4) (RP)</v>
      </c>
      <c r="B45" s="13" t="s">
        <v>12</v>
      </c>
      <c r="C45" s="14" t="s">
        <v>76</v>
      </c>
      <c r="D45" s="12" t="s">
        <v>77</v>
      </c>
      <c r="E45" s="13">
        <v>11254</v>
      </c>
      <c r="F45" s="15">
        <f t="shared" si="19"/>
        <v>6752.4</v>
      </c>
      <c r="G45" s="15">
        <f t="shared" si="20"/>
        <v>20257.199999999997</v>
      </c>
      <c r="H45" s="16">
        <v>3</v>
      </c>
      <c r="I45" s="17" t="s">
        <v>13</v>
      </c>
      <c r="J45" s="13" t="s">
        <v>17</v>
      </c>
      <c r="K45" s="12" t="str">
        <f t="shared" si="22"/>
        <v>ATY-MFO-25_EM_RP_HOST_AL</v>
      </c>
      <c r="L45">
        <v>20257.199999999997</v>
      </c>
    </row>
    <row r="46" spans="1:12" ht="21" customHeight="1" x14ac:dyDescent="0.25">
      <c r="A46" s="12" t="str">
        <f t="shared" si="21"/>
        <v>РУ-1 (ВРУ1-ИНД тип4-00 ухл4) (RP)</v>
      </c>
      <c r="B46" s="13" t="s">
        <v>12</v>
      </c>
      <c r="C46" s="14" t="s">
        <v>78</v>
      </c>
      <c r="D46" s="12" t="s">
        <v>79</v>
      </c>
      <c r="E46" s="13">
        <v>11771</v>
      </c>
      <c r="F46" s="15">
        <f t="shared" si="19"/>
        <v>7062.5999999999995</v>
      </c>
      <c r="G46" s="15">
        <f t="shared" si="20"/>
        <v>7062.5999999999995</v>
      </c>
      <c r="H46" s="16">
        <v>1</v>
      </c>
      <c r="I46" s="17" t="s">
        <v>13</v>
      </c>
      <c r="J46" s="13" t="s">
        <v>17</v>
      </c>
      <c r="K46" s="12" t="str">
        <f t="shared" si="22"/>
        <v>ATY-MFO-25_EM_RP_HOST_AL</v>
      </c>
      <c r="L46">
        <v>7062.5999999999995</v>
      </c>
    </row>
    <row r="47" spans="1:12" ht="24" customHeight="1" x14ac:dyDescent="0.25">
      <c r="A47" s="12" t="str">
        <f t="shared" si="21"/>
        <v>РУ-1 (ВРУ1-ИНД тип4-00 ухл4) (RP)</v>
      </c>
      <c r="B47" s="12" t="s">
        <v>10</v>
      </c>
      <c r="C47" s="18" t="s">
        <v>10</v>
      </c>
      <c r="D47" s="12" t="s">
        <v>10</v>
      </c>
      <c r="E47" s="12">
        <f ca="1">OFFSET(E47,1,2)</f>
        <v>33000</v>
      </c>
      <c r="F47" s="15">
        <f ca="1">E47</f>
        <v>33000</v>
      </c>
      <c r="G47" s="15">
        <f t="shared" ca="1" si="20"/>
        <v>33000</v>
      </c>
      <c r="H47" s="12">
        <v>1</v>
      </c>
      <c r="I47" s="12" t="s">
        <v>13</v>
      </c>
      <c r="J47" s="12" t="s">
        <v>10</v>
      </c>
      <c r="K47" s="12" t="str">
        <f t="shared" si="22"/>
        <v>ATY-MFO-25_EM_RP_HOST_AL</v>
      </c>
      <c r="L47">
        <v>33000</v>
      </c>
    </row>
    <row r="48" spans="1:12" ht="21" customHeight="1" x14ac:dyDescent="0.25">
      <c r="A48" s="12" t="str">
        <f t="shared" si="21"/>
        <v>РУ-1 (ВРУ1-ИНД тип4-00 ухл4) (RP)</v>
      </c>
      <c r="B48" s="12" t="s">
        <v>11</v>
      </c>
      <c r="C48" s="18" t="s">
        <v>11</v>
      </c>
      <c r="D48" s="12" t="s">
        <v>11</v>
      </c>
      <c r="E48" s="12">
        <v>5.5</v>
      </c>
      <c r="F48" s="15">
        <v>100</v>
      </c>
      <c r="G48" s="15">
        <f t="shared" si="20"/>
        <v>33000</v>
      </c>
      <c r="H48" s="12">
        <f>60*E48</f>
        <v>330</v>
      </c>
      <c r="I48" s="12" t="s">
        <v>13</v>
      </c>
      <c r="J48" s="12" t="s">
        <v>11</v>
      </c>
      <c r="K48" s="12" t="str">
        <f t="shared" si="22"/>
        <v>ATY-MFO-25_EM_RP_HOST_AL</v>
      </c>
      <c r="L48">
        <v>33000</v>
      </c>
    </row>
    <row r="49" spans="1:12" ht="30" customHeight="1" x14ac:dyDescent="0.25">
      <c r="A49" s="12" t="str">
        <f t="shared" si="21"/>
        <v>РУ-1 (ВРУ1-ИНД тип4-00 ухл4) (RP)</v>
      </c>
      <c r="B49" s="19"/>
      <c r="C49" s="20"/>
      <c r="D49" s="21"/>
      <c r="E49" s="23"/>
      <c r="F49" s="25"/>
      <c r="G49" s="24">
        <f ca="1">SUM(G41:G48)</f>
        <v>219238.80000000002</v>
      </c>
      <c r="H49" s="20"/>
      <c r="I49" s="22"/>
      <c r="J49" s="20"/>
      <c r="K49" s="12" t="str">
        <f t="shared" si="22"/>
        <v>ATY-MFO-25_EM_RP_HOST_AL</v>
      </c>
      <c r="L49">
        <v>219238.80000000002</v>
      </c>
    </row>
    <row r="50" spans="1:12" ht="39.75" customHeight="1" x14ac:dyDescent="0.25">
      <c r="A50" s="5" t="str">
        <f>D50</f>
        <v>ВУ-2 (ВРУ1-13-20 ухл4) (RP)</v>
      </c>
      <c r="B50" s="6"/>
      <c r="C50" s="7"/>
      <c r="D50" s="6" t="s">
        <v>413</v>
      </c>
      <c r="E50" s="8"/>
      <c r="F50" s="8" t="s">
        <v>40</v>
      </c>
      <c r="G50" s="9"/>
      <c r="H50" s="10">
        <v>1</v>
      </c>
      <c r="I50" s="11" t="s">
        <v>7</v>
      </c>
      <c r="J50" s="6" t="s">
        <v>9</v>
      </c>
      <c r="K50" s="5" t="s">
        <v>142</v>
      </c>
    </row>
    <row r="51" spans="1:12" ht="21" customHeight="1" x14ac:dyDescent="0.25">
      <c r="A51" s="12" t="str">
        <f>A50</f>
        <v>ВУ-2 (ВРУ1-13-20 ухл4) (RP)</v>
      </c>
      <c r="B51" s="13" t="s">
        <v>8</v>
      </c>
      <c r="C51" s="14" t="s">
        <v>38</v>
      </c>
      <c r="D51" s="12" t="s">
        <v>39</v>
      </c>
      <c r="E51" s="13">
        <v>155000</v>
      </c>
      <c r="F51" s="15">
        <f>E51*0.6</f>
        <v>93000</v>
      </c>
      <c r="G51" s="15">
        <f t="shared" ref="G51:G61" si="23">H51*F51</f>
        <v>93000</v>
      </c>
      <c r="H51" s="16">
        <v>1</v>
      </c>
      <c r="I51" s="17" t="s">
        <v>13</v>
      </c>
      <c r="J51" s="13" t="s">
        <v>16</v>
      </c>
      <c r="K51" s="12" t="str">
        <f>K50</f>
        <v>ATY-MFO-25_EM_RP_HOST_AL</v>
      </c>
      <c r="L51">
        <v>93000</v>
      </c>
    </row>
    <row r="52" spans="1:12" ht="21" customHeight="1" x14ac:dyDescent="0.25">
      <c r="A52" s="12" t="str">
        <f t="shared" ref="A52:A62" si="24">A51</f>
        <v>ВУ-2 (ВРУ1-13-20 ухл4) (RP)</v>
      </c>
      <c r="B52" s="13" t="s">
        <v>25</v>
      </c>
      <c r="C52" s="14" t="s">
        <v>82</v>
      </c>
      <c r="D52" s="12" t="s">
        <v>83</v>
      </c>
      <c r="E52" s="13">
        <v>5523</v>
      </c>
      <c r="F52" s="15">
        <f>E52</f>
        <v>5523</v>
      </c>
      <c r="G52" s="15">
        <f t="shared" si="23"/>
        <v>33138</v>
      </c>
      <c r="H52" s="16">
        <v>6</v>
      </c>
      <c r="I52" s="17" t="s">
        <v>13</v>
      </c>
      <c r="J52" s="13" t="s">
        <v>24</v>
      </c>
      <c r="K52" s="12" t="str">
        <f t="shared" ref="K52:K62" si="25">K51</f>
        <v>ATY-MFO-25_EM_RP_HOST_AL</v>
      </c>
      <c r="L52">
        <v>33138</v>
      </c>
    </row>
    <row r="53" spans="1:12" ht="21" customHeight="1" x14ac:dyDescent="0.25">
      <c r="A53" s="12" t="str">
        <f t="shared" si="24"/>
        <v>ВУ-2 (ВРУ1-13-20 ухл4) (RP)</v>
      </c>
      <c r="B53" s="13" t="s">
        <v>29</v>
      </c>
      <c r="C53" s="14" t="s">
        <v>80</v>
      </c>
      <c r="D53" s="12" t="s">
        <v>81</v>
      </c>
      <c r="E53" s="13">
        <v>30749</v>
      </c>
      <c r="F53" s="15">
        <f>E53</f>
        <v>30749</v>
      </c>
      <c r="G53" s="15">
        <f t="shared" si="23"/>
        <v>61498</v>
      </c>
      <c r="H53" s="16">
        <v>2</v>
      </c>
      <c r="I53" s="17" t="s">
        <v>13</v>
      </c>
      <c r="J53" s="13" t="s">
        <v>24</v>
      </c>
      <c r="K53" s="12" t="str">
        <f t="shared" si="25"/>
        <v>ATY-MFO-25_EM_RP_HOST_AL</v>
      </c>
      <c r="L53">
        <v>61498</v>
      </c>
    </row>
    <row r="54" spans="1:12" ht="21" customHeight="1" x14ac:dyDescent="0.25">
      <c r="A54" s="12" t="str">
        <f t="shared" si="24"/>
        <v>ВУ-2 (ВРУ1-13-20 ухл4) (RP)</v>
      </c>
      <c r="B54" s="13" t="s">
        <v>30</v>
      </c>
      <c r="C54" s="14" t="s">
        <v>149</v>
      </c>
      <c r="D54" s="12" t="s">
        <v>150</v>
      </c>
      <c r="E54" s="13">
        <v>3302</v>
      </c>
      <c r="F54" s="15">
        <f t="shared" ref="F54:F56" si="26">E54*0.6</f>
        <v>1981.1999999999998</v>
      </c>
      <c r="G54" s="15">
        <f t="shared" si="23"/>
        <v>11887.199999999999</v>
      </c>
      <c r="H54" s="16">
        <v>6</v>
      </c>
      <c r="I54" s="17" t="s">
        <v>13</v>
      </c>
      <c r="J54" s="13" t="s">
        <v>17</v>
      </c>
      <c r="K54" s="12" t="str">
        <f t="shared" si="25"/>
        <v>ATY-MFO-25_EM_RP_HOST_AL</v>
      </c>
      <c r="L54">
        <v>11887.199999999999</v>
      </c>
    </row>
    <row r="55" spans="1:12" ht="21" customHeight="1" x14ac:dyDescent="0.25">
      <c r="A55" s="12" t="str">
        <f t="shared" si="24"/>
        <v>ВУ-2 (ВРУ1-13-20 ухл4) (RP)</v>
      </c>
      <c r="B55" s="13" t="s">
        <v>30</v>
      </c>
      <c r="C55" s="14" t="s">
        <v>151</v>
      </c>
      <c r="D55" s="12" t="s">
        <v>152</v>
      </c>
      <c r="E55" s="13">
        <v>4750</v>
      </c>
      <c r="F55" s="15">
        <f t="shared" si="26"/>
        <v>2850</v>
      </c>
      <c r="G55" s="15">
        <f t="shared" si="23"/>
        <v>17100</v>
      </c>
      <c r="H55" s="16">
        <v>6</v>
      </c>
      <c r="I55" s="17" t="s">
        <v>13</v>
      </c>
      <c r="J55" s="13" t="s">
        <v>17</v>
      </c>
      <c r="K55" s="12" t="str">
        <f t="shared" si="25"/>
        <v>ATY-MFO-25_EM_RP_HOST_AL</v>
      </c>
      <c r="L55">
        <v>17100</v>
      </c>
    </row>
    <row r="56" spans="1:12" ht="21" customHeight="1" x14ac:dyDescent="0.25">
      <c r="A56" s="12" t="str">
        <f t="shared" si="24"/>
        <v>ВУ-2 (ВРУ1-13-20 ухл4) (RP)</v>
      </c>
      <c r="B56" s="13" t="s">
        <v>12</v>
      </c>
      <c r="C56" s="14" t="s">
        <v>19</v>
      </c>
      <c r="D56" s="12" t="s">
        <v>20</v>
      </c>
      <c r="E56" s="13">
        <v>975</v>
      </c>
      <c r="F56" s="15">
        <f t="shared" si="26"/>
        <v>585</v>
      </c>
      <c r="G56" s="15">
        <f t="shared" si="23"/>
        <v>1170</v>
      </c>
      <c r="H56" s="16">
        <v>2</v>
      </c>
      <c r="I56" s="17" t="s">
        <v>13</v>
      </c>
      <c r="J56" s="13" t="s">
        <v>17</v>
      </c>
      <c r="K56" s="12" t="str">
        <f t="shared" si="25"/>
        <v>ATY-MFO-25_EM_RP_HOST_AL</v>
      </c>
      <c r="L56">
        <v>1170</v>
      </c>
    </row>
    <row r="57" spans="1:12" ht="22.5" customHeight="1" x14ac:dyDescent="0.25">
      <c r="A57" s="12" t="str">
        <f t="shared" si="24"/>
        <v>ВУ-2 (ВРУ1-13-20 ухл4) (RP)</v>
      </c>
      <c r="B57" s="13" t="s">
        <v>18</v>
      </c>
      <c r="C57" s="14" t="s">
        <v>290</v>
      </c>
      <c r="D57" s="12" t="s">
        <v>291</v>
      </c>
      <c r="E57" s="13">
        <v>90000</v>
      </c>
      <c r="F57" s="15">
        <f t="shared" ref="F57:F59" si="27">E57</f>
        <v>90000</v>
      </c>
      <c r="G57" s="15">
        <f t="shared" si="23"/>
        <v>0</v>
      </c>
      <c r="H57" s="16">
        <v>0</v>
      </c>
      <c r="I57" s="17" t="s">
        <v>13</v>
      </c>
      <c r="J57" s="13" t="s">
        <v>24</v>
      </c>
      <c r="K57" s="12" t="str">
        <f t="shared" si="25"/>
        <v>ATY-MFO-25_EM_RP_HOST_AL</v>
      </c>
      <c r="L57">
        <v>0</v>
      </c>
    </row>
    <row r="58" spans="1:12" ht="21" customHeight="1" x14ac:dyDescent="0.25">
      <c r="A58" s="12" t="str">
        <f t="shared" si="24"/>
        <v>ВУ-2 (ВРУ1-13-20 ухл4) (RP)</v>
      </c>
      <c r="B58" s="13" t="s">
        <v>92</v>
      </c>
      <c r="C58" s="14"/>
      <c r="D58" s="12" t="s">
        <v>65</v>
      </c>
      <c r="E58" s="13">
        <v>4500</v>
      </c>
      <c r="F58" s="15">
        <f t="shared" si="27"/>
        <v>4500</v>
      </c>
      <c r="G58" s="15">
        <f t="shared" si="23"/>
        <v>27000</v>
      </c>
      <c r="H58" s="16">
        <v>6</v>
      </c>
      <c r="I58" s="17" t="s">
        <v>13</v>
      </c>
      <c r="J58" s="13" t="s">
        <v>24</v>
      </c>
      <c r="K58" s="12" t="str">
        <f t="shared" si="25"/>
        <v>ATY-MFO-25_EM_RP_HOST_AL</v>
      </c>
      <c r="L58">
        <v>27000</v>
      </c>
    </row>
    <row r="59" spans="1:12" ht="21" customHeight="1" x14ac:dyDescent="0.25">
      <c r="A59" s="12" t="str">
        <f t="shared" si="24"/>
        <v>ВУ-2 (ВРУ1-13-20 ухл4) (RP)</v>
      </c>
      <c r="B59" s="13" t="s">
        <v>28</v>
      </c>
      <c r="C59" s="14"/>
      <c r="D59" s="12" t="s">
        <v>28</v>
      </c>
      <c r="E59" s="13">
        <v>1000</v>
      </c>
      <c r="F59" s="15">
        <f t="shared" si="27"/>
        <v>1000</v>
      </c>
      <c r="G59" s="15">
        <f t="shared" si="23"/>
        <v>1000</v>
      </c>
      <c r="H59" s="16">
        <v>1</v>
      </c>
      <c r="I59" s="17" t="s">
        <v>13</v>
      </c>
      <c r="J59" s="13" t="s">
        <v>24</v>
      </c>
      <c r="K59" s="12" t="str">
        <f t="shared" si="25"/>
        <v>ATY-MFO-25_EM_RP_HOST_AL</v>
      </c>
      <c r="L59">
        <v>1000</v>
      </c>
    </row>
    <row r="60" spans="1:12" ht="24" customHeight="1" x14ac:dyDescent="0.25">
      <c r="A60" s="12" t="str">
        <f t="shared" si="24"/>
        <v>ВУ-2 (ВРУ1-13-20 ухл4) (RP)</v>
      </c>
      <c r="B60" s="12" t="s">
        <v>10</v>
      </c>
      <c r="C60" s="18" t="s">
        <v>10</v>
      </c>
      <c r="D60" s="12" t="s">
        <v>10</v>
      </c>
      <c r="E60" s="12">
        <v>30000</v>
      </c>
      <c r="F60" s="15">
        <f>E60</f>
        <v>30000</v>
      </c>
      <c r="G60" s="15">
        <f t="shared" si="23"/>
        <v>30000</v>
      </c>
      <c r="H60" s="12">
        <v>1</v>
      </c>
      <c r="I60" s="12" t="s">
        <v>13</v>
      </c>
      <c r="J60" s="12" t="s">
        <v>10</v>
      </c>
      <c r="K60" s="12" t="str">
        <f t="shared" si="25"/>
        <v>ATY-MFO-25_EM_RP_HOST_AL</v>
      </c>
      <c r="L60">
        <v>30000</v>
      </c>
    </row>
    <row r="61" spans="1:12" ht="21" customHeight="1" x14ac:dyDescent="0.25">
      <c r="A61" s="12" t="str">
        <f t="shared" si="24"/>
        <v>ВУ-2 (ВРУ1-13-20 ухл4) (RP)</v>
      </c>
      <c r="B61" s="12" t="s">
        <v>11</v>
      </c>
      <c r="C61" s="18" t="s">
        <v>11</v>
      </c>
      <c r="D61" s="12" t="s">
        <v>11</v>
      </c>
      <c r="E61" s="12">
        <v>9</v>
      </c>
      <c r="F61" s="15">
        <v>100</v>
      </c>
      <c r="G61" s="15">
        <f t="shared" si="23"/>
        <v>54000</v>
      </c>
      <c r="H61" s="12">
        <f>60*E61</f>
        <v>540</v>
      </c>
      <c r="I61" s="12" t="s">
        <v>13</v>
      </c>
      <c r="J61" s="12" t="s">
        <v>11</v>
      </c>
      <c r="K61" s="12" t="str">
        <f t="shared" si="25"/>
        <v>ATY-MFO-25_EM_RP_HOST_AL</v>
      </c>
      <c r="L61">
        <v>54000</v>
      </c>
    </row>
    <row r="62" spans="1:12" ht="30" customHeight="1" x14ac:dyDescent="0.25">
      <c r="A62" s="12" t="str">
        <f t="shared" si="24"/>
        <v>ВУ-2 (ВРУ1-13-20 ухл4) (RP)</v>
      </c>
      <c r="B62" s="19"/>
      <c r="C62" s="20"/>
      <c r="D62" s="21"/>
      <c r="E62" s="23"/>
      <c r="F62" s="25"/>
      <c r="G62" s="24">
        <f>SUM(G51:G61)</f>
        <v>329793.2</v>
      </c>
      <c r="H62" s="20"/>
      <c r="I62" s="22"/>
      <c r="J62" s="20"/>
      <c r="K62" s="12" t="str">
        <f t="shared" si="25"/>
        <v>ATY-MFO-25_EM_RP_HOST_AL</v>
      </c>
      <c r="L62">
        <v>329793.2</v>
      </c>
    </row>
    <row r="63" spans="1:12" ht="39.75" customHeight="1" x14ac:dyDescent="0.25">
      <c r="A63" s="5" t="str">
        <f>D63</f>
        <v>РУ-2 (ВРУ1-50-00 ухл4) (RP)</v>
      </c>
      <c r="B63" s="6"/>
      <c r="C63" s="7"/>
      <c r="D63" s="6" t="s">
        <v>414</v>
      </c>
      <c r="E63" s="8"/>
      <c r="F63" s="8" t="s">
        <v>40</v>
      </c>
      <c r="G63" s="9"/>
      <c r="H63" s="10">
        <v>1</v>
      </c>
      <c r="I63" s="11" t="s">
        <v>7</v>
      </c>
      <c r="J63" s="6" t="s">
        <v>9</v>
      </c>
      <c r="K63" s="5" t="s">
        <v>142</v>
      </c>
    </row>
    <row r="64" spans="1:12" ht="21" customHeight="1" x14ac:dyDescent="0.25">
      <c r="A64" s="12" t="str">
        <f>A63</f>
        <v>РУ-2 (ВРУ1-50-00 ухл4) (RP)</v>
      </c>
      <c r="B64" s="13" t="s">
        <v>8</v>
      </c>
      <c r="C64" s="14" t="s">
        <v>461</v>
      </c>
      <c r="D64" s="12" t="s">
        <v>462</v>
      </c>
      <c r="E64" s="13">
        <v>140000</v>
      </c>
      <c r="F64" s="15">
        <f t="shared" ref="F64:F65" si="28">E64*0.6</f>
        <v>84000</v>
      </c>
      <c r="G64" s="15">
        <f t="shared" ref="G64:G67" si="29">H64*F64</f>
        <v>84000</v>
      </c>
      <c r="H64" s="16">
        <v>1</v>
      </c>
      <c r="I64" s="17" t="s">
        <v>13</v>
      </c>
      <c r="J64" s="13" t="s">
        <v>16</v>
      </c>
      <c r="K64" s="12" t="str">
        <f>K63</f>
        <v>ATY-MFO-25_EM_RP_HOST_AL</v>
      </c>
      <c r="L64">
        <v>84000</v>
      </c>
    </row>
    <row r="65" spans="1:12" ht="21" customHeight="1" x14ac:dyDescent="0.25">
      <c r="A65" s="12" t="str">
        <f t="shared" ref="A65:A68" si="30">A64</f>
        <v>РУ-2 (ВРУ1-50-00 ухл4) (RP)</v>
      </c>
      <c r="B65" s="13" t="s">
        <v>12</v>
      </c>
      <c r="C65" s="14" t="s">
        <v>78</v>
      </c>
      <c r="D65" s="12" t="s">
        <v>79</v>
      </c>
      <c r="E65" s="13">
        <v>11771</v>
      </c>
      <c r="F65" s="15">
        <f t="shared" si="28"/>
        <v>7062.5999999999995</v>
      </c>
      <c r="G65" s="15">
        <f t="shared" si="29"/>
        <v>56500.799999999996</v>
      </c>
      <c r="H65" s="16">
        <v>8</v>
      </c>
      <c r="I65" s="17" t="s">
        <v>13</v>
      </c>
      <c r="J65" s="13" t="s">
        <v>17</v>
      </c>
      <c r="K65" s="12" t="str">
        <f t="shared" ref="K65:K68" si="31">K64</f>
        <v>ATY-MFO-25_EM_RP_HOST_AL</v>
      </c>
      <c r="L65">
        <v>56500.799999999996</v>
      </c>
    </row>
    <row r="66" spans="1:12" ht="24" customHeight="1" x14ac:dyDescent="0.25">
      <c r="A66" s="12" t="str">
        <f t="shared" si="30"/>
        <v>РУ-2 (ВРУ1-50-00 ухл4) (RP)</v>
      </c>
      <c r="B66" s="12" t="s">
        <v>10</v>
      </c>
      <c r="C66" s="18" t="s">
        <v>10</v>
      </c>
      <c r="D66" s="12" t="s">
        <v>10</v>
      </c>
      <c r="E66" s="12">
        <f ca="1">OFFSET(E66,1,2)</f>
        <v>15000</v>
      </c>
      <c r="F66" s="15">
        <f ca="1">E66</f>
        <v>15000</v>
      </c>
      <c r="G66" s="15">
        <f t="shared" ca="1" si="29"/>
        <v>15000</v>
      </c>
      <c r="H66" s="12">
        <v>1</v>
      </c>
      <c r="I66" s="12" t="s">
        <v>13</v>
      </c>
      <c r="J66" s="12" t="s">
        <v>10</v>
      </c>
      <c r="K66" s="12" t="str">
        <f t="shared" si="31"/>
        <v>ATY-MFO-25_EM_RP_HOST_AL</v>
      </c>
      <c r="L66">
        <v>15000</v>
      </c>
    </row>
    <row r="67" spans="1:12" ht="21" customHeight="1" x14ac:dyDescent="0.25">
      <c r="A67" s="12" t="str">
        <f t="shared" si="30"/>
        <v>РУ-2 (ВРУ1-50-00 ухл4) (RP)</v>
      </c>
      <c r="B67" s="12" t="s">
        <v>11</v>
      </c>
      <c r="C67" s="18" t="s">
        <v>11</v>
      </c>
      <c r="D67" s="12" t="s">
        <v>11</v>
      </c>
      <c r="E67" s="12">
        <v>2.5</v>
      </c>
      <c r="F67" s="15">
        <v>100</v>
      </c>
      <c r="G67" s="15">
        <f t="shared" si="29"/>
        <v>15000</v>
      </c>
      <c r="H67" s="12">
        <f>60*E67</f>
        <v>150</v>
      </c>
      <c r="I67" s="12" t="s">
        <v>13</v>
      </c>
      <c r="J67" s="12" t="s">
        <v>11</v>
      </c>
      <c r="K67" s="12" t="str">
        <f t="shared" si="31"/>
        <v>ATY-MFO-25_EM_RP_HOST_AL</v>
      </c>
      <c r="L67">
        <v>15000</v>
      </c>
    </row>
    <row r="68" spans="1:12" ht="30" customHeight="1" x14ac:dyDescent="0.25">
      <c r="A68" s="12" t="str">
        <f t="shared" si="30"/>
        <v>РУ-2 (ВРУ1-50-00 ухл4) (RP)</v>
      </c>
      <c r="B68" s="19"/>
      <c r="C68" s="20"/>
      <c r="D68" s="21"/>
      <c r="E68" s="23"/>
      <c r="F68" s="25"/>
      <c r="G68" s="24">
        <f ca="1">SUM(G64:G67)</f>
        <v>170500.8</v>
      </c>
      <c r="H68" s="20"/>
      <c r="I68" s="22"/>
      <c r="J68" s="20"/>
      <c r="K68" s="12" t="str">
        <f t="shared" si="31"/>
        <v>ATY-MFO-25_EM_RP_HOST_AL</v>
      </c>
      <c r="L68">
        <v>170500.8</v>
      </c>
    </row>
    <row r="69" spans="1:12" ht="39.75" customHeight="1" x14ac:dyDescent="0.25">
      <c r="A69" s="5" t="str">
        <f>D69</f>
        <v>ВУ-3 (ВРУ1-ИНД тип1-00 ухл4) (RP)</v>
      </c>
      <c r="B69" s="6"/>
      <c r="C69" s="7"/>
      <c r="D69" s="6" t="s">
        <v>415</v>
      </c>
      <c r="E69" s="8"/>
      <c r="F69" s="8" t="s">
        <v>40</v>
      </c>
      <c r="G69" s="9"/>
      <c r="H69" s="10">
        <v>1</v>
      </c>
      <c r="I69" s="11" t="s">
        <v>7</v>
      </c>
      <c r="J69" s="6" t="s">
        <v>9</v>
      </c>
      <c r="K69" s="5" t="s">
        <v>142</v>
      </c>
    </row>
    <row r="70" spans="1:12" ht="21" customHeight="1" x14ac:dyDescent="0.25">
      <c r="A70" s="12" t="str">
        <f>A69</f>
        <v>ВУ-3 (ВРУ1-ИНД тип1-00 ухл4) (RP)</v>
      </c>
      <c r="B70" s="13" t="s">
        <v>8</v>
      </c>
      <c r="C70" s="14" t="s">
        <v>461</v>
      </c>
      <c r="D70" s="12" t="s">
        <v>462</v>
      </c>
      <c r="E70" s="13">
        <v>140000</v>
      </c>
      <c r="F70" s="15">
        <f>E70*0.6</f>
        <v>84000</v>
      </c>
      <c r="G70" s="15">
        <f t="shared" ref="G70:G80" si="32">H70*F70</f>
        <v>84000</v>
      </c>
      <c r="H70" s="16">
        <v>1</v>
      </c>
      <c r="I70" s="17" t="s">
        <v>13</v>
      </c>
      <c r="J70" s="13" t="s">
        <v>16</v>
      </c>
      <c r="K70" s="12" t="str">
        <f>K69</f>
        <v>ATY-MFO-25_EM_RP_HOST_AL</v>
      </c>
      <c r="L70">
        <v>84000</v>
      </c>
    </row>
    <row r="71" spans="1:12" ht="21" customHeight="1" x14ac:dyDescent="0.25">
      <c r="A71" s="12" t="str">
        <f t="shared" ref="A71:A81" si="33">A70</f>
        <v>ВУ-3 (ВРУ1-ИНД тип1-00 ухл4) (RP)</v>
      </c>
      <c r="B71" s="13" t="s">
        <v>25</v>
      </c>
      <c r="C71" s="14" t="s">
        <v>66</v>
      </c>
      <c r="D71" s="12" t="s">
        <v>67</v>
      </c>
      <c r="E71" s="13">
        <v>5523</v>
      </c>
      <c r="F71" s="15">
        <f>E71</f>
        <v>5523</v>
      </c>
      <c r="G71" s="15">
        <f t="shared" si="32"/>
        <v>16569</v>
      </c>
      <c r="H71" s="16">
        <v>3</v>
      </c>
      <c r="I71" s="17" t="s">
        <v>13</v>
      </c>
      <c r="J71" s="13" t="s">
        <v>24</v>
      </c>
      <c r="K71" s="12" t="str">
        <f t="shared" ref="K71:K81" si="34">K70</f>
        <v>ATY-MFO-25_EM_RP_HOST_AL</v>
      </c>
      <c r="L71">
        <v>16569</v>
      </c>
    </row>
    <row r="72" spans="1:12" ht="21" customHeight="1" x14ac:dyDescent="0.25">
      <c r="A72" s="12" t="str">
        <f t="shared" si="33"/>
        <v>ВУ-3 (ВРУ1-ИНД тип1-00 ухл4) (RP)</v>
      </c>
      <c r="B72" s="13" t="s">
        <v>29</v>
      </c>
      <c r="C72" s="14" t="s">
        <v>68</v>
      </c>
      <c r="D72" s="12" t="s">
        <v>69</v>
      </c>
      <c r="E72" s="13">
        <v>48003</v>
      </c>
      <c r="F72" s="15">
        <f>E72</f>
        <v>48003</v>
      </c>
      <c r="G72" s="15">
        <f t="shared" si="32"/>
        <v>48003</v>
      </c>
      <c r="H72" s="16">
        <v>1</v>
      </c>
      <c r="I72" s="17" t="s">
        <v>13</v>
      </c>
      <c r="J72" s="13" t="s">
        <v>24</v>
      </c>
      <c r="K72" s="12" t="str">
        <f t="shared" si="34"/>
        <v>ATY-MFO-25_EM_RP_HOST_AL</v>
      </c>
      <c r="L72">
        <v>48003</v>
      </c>
    </row>
    <row r="73" spans="1:12" ht="21" customHeight="1" x14ac:dyDescent="0.25">
      <c r="A73" s="12" t="str">
        <f t="shared" si="33"/>
        <v>ВУ-3 (ВРУ1-ИНД тип1-00 ухл4) (RP)</v>
      </c>
      <c r="B73" s="13" t="s">
        <v>30</v>
      </c>
      <c r="C73" s="14" t="s">
        <v>61</v>
      </c>
      <c r="D73" s="12" t="s">
        <v>62</v>
      </c>
      <c r="E73" s="13">
        <v>12721</v>
      </c>
      <c r="F73" s="15">
        <f t="shared" ref="F73:F75" si="35">E73*0.6</f>
        <v>7632.5999999999995</v>
      </c>
      <c r="G73" s="15">
        <f t="shared" si="32"/>
        <v>22897.8</v>
      </c>
      <c r="H73" s="16">
        <v>3</v>
      </c>
      <c r="I73" s="17" t="s">
        <v>13</v>
      </c>
      <c r="J73" s="13" t="s">
        <v>17</v>
      </c>
      <c r="K73" s="12" t="str">
        <f t="shared" si="34"/>
        <v>ATY-MFO-25_EM_RP_HOST_AL</v>
      </c>
      <c r="L73">
        <v>22897.8</v>
      </c>
    </row>
    <row r="74" spans="1:12" ht="21" customHeight="1" x14ac:dyDescent="0.25">
      <c r="A74" s="12" t="str">
        <f t="shared" si="33"/>
        <v>ВУ-3 (ВРУ1-ИНД тип1-00 ухл4) (RP)</v>
      </c>
      <c r="B74" s="13" t="s">
        <v>30</v>
      </c>
      <c r="C74" s="14" t="s">
        <v>63</v>
      </c>
      <c r="D74" s="12" t="s">
        <v>64</v>
      </c>
      <c r="E74" s="13">
        <v>11728</v>
      </c>
      <c r="F74" s="15">
        <f t="shared" si="35"/>
        <v>7036.8</v>
      </c>
      <c r="G74" s="15">
        <f t="shared" si="32"/>
        <v>21110.400000000001</v>
      </c>
      <c r="H74" s="16">
        <v>3</v>
      </c>
      <c r="I74" s="17" t="s">
        <v>13</v>
      </c>
      <c r="J74" s="13" t="s">
        <v>17</v>
      </c>
      <c r="K74" s="12" t="str">
        <f t="shared" si="34"/>
        <v>ATY-MFO-25_EM_RP_HOST_AL</v>
      </c>
      <c r="L74">
        <v>21110.400000000001</v>
      </c>
    </row>
    <row r="75" spans="1:12" ht="21" customHeight="1" x14ac:dyDescent="0.25">
      <c r="A75" s="12" t="str">
        <f t="shared" si="33"/>
        <v>ВУ-3 (ВРУ1-ИНД тип1-00 ухл4) (RP)</v>
      </c>
      <c r="B75" s="13" t="s">
        <v>12</v>
      </c>
      <c r="C75" s="14" t="s">
        <v>19</v>
      </c>
      <c r="D75" s="12" t="s">
        <v>20</v>
      </c>
      <c r="E75" s="13">
        <v>975</v>
      </c>
      <c r="F75" s="15">
        <f t="shared" si="35"/>
        <v>585</v>
      </c>
      <c r="G75" s="15">
        <f t="shared" si="32"/>
        <v>585</v>
      </c>
      <c r="H75" s="16">
        <v>1</v>
      </c>
      <c r="I75" s="17" t="s">
        <v>13</v>
      </c>
      <c r="J75" s="13" t="s">
        <v>17</v>
      </c>
      <c r="K75" s="12" t="str">
        <f t="shared" si="34"/>
        <v>ATY-MFO-25_EM_RP_HOST_AL</v>
      </c>
      <c r="L75">
        <v>585</v>
      </c>
    </row>
    <row r="76" spans="1:12" ht="22.5" customHeight="1" x14ac:dyDescent="0.25">
      <c r="A76" s="12" t="str">
        <f t="shared" si="33"/>
        <v>ВУ-3 (ВРУ1-ИНД тип1-00 ухл4) (RP)</v>
      </c>
      <c r="B76" s="13" t="s">
        <v>18</v>
      </c>
      <c r="C76" s="14" t="s">
        <v>290</v>
      </c>
      <c r="D76" s="12" t="s">
        <v>291</v>
      </c>
      <c r="E76" s="13">
        <v>90000</v>
      </c>
      <c r="F76" s="15">
        <f t="shared" ref="F76:F78" si="36">E76</f>
        <v>90000</v>
      </c>
      <c r="G76" s="15">
        <f t="shared" si="32"/>
        <v>0</v>
      </c>
      <c r="H76" s="16">
        <v>0</v>
      </c>
      <c r="I76" s="17" t="s">
        <v>13</v>
      </c>
      <c r="J76" s="13" t="s">
        <v>24</v>
      </c>
      <c r="K76" s="12" t="str">
        <f t="shared" si="34"/>
        <v>ATY-MFO-25_EM_RP_HOST_AL</v>
      </c>
      <c r="L76">
        <v>0</v>
      </c>
    </row>
    <row r="77" spans="1:12" ht="21" customHeight="1" x14ac:dyDescent="0.25">
      <c r="A77" s="12" t="str">
        <f t="shared" si="33"/>
        <v>ВУ-3 (ВРУ1-ИНД тип1-00 ухл4) (RP)</v>
      </c>
      <c r="B77" s="13" t="s">
        <v>92</v>
      </c>
      <c r="C77" s="14"/>
      <c r="D77" s="12" t="s">
        <v>65</v>
      </c>
      <c r="E77" s="13">
        <v>4500</v>
      </c>
      <c r="F77" s="15">
        <f t="shared" si="36"/>
        <v>4500</v>
      </c>
      <c r="G77" s="15">
        <f t="shared" si="32"/>
        <v>13500</v>
      </c>
      <c r="H77" s="16">
        <v>3</v>
      </c>
      <c r="I77" s="17" t="s">
        <v>13</v>
      </c>
      <c r="J77" s="13" t="s">
        <v>24</v>
      </c>
      <c r="K77" s="12" t="str">
        <f t="shared" si="34"/>
        <v>ATY-MFO-25_EM_RP_HOST_AL</v>
      </c>
      <c r="L77">
        <v>13500</v>
      </c>
    </row>
    <row r="78" spans="1:12" ht="21" customHeight="1" x14ac:dyDescent="0.25">
      <c r="A78" s="12" t="str">
        <f t="shared" si="33"/>
        <v>ВУ-3 (ВРУ1-ИНД тип1-00 ухл4) (RP)</v>
      </c>
      <c r="B78" s="13" t="s">
        <v>28</v>
      </c>
      <c r="C78" s="14"/>
      <c r="D78" s="12" t="s">
        <v>28</v>
      </c>
      <c r="E78" s="13">
        <v>1000</v>
      </c>
      <c r="F78" s="15">
        <f t="shared" si="36"/>
        <v>1000</v>
      </c>
      <c r="G78" s="15">
        <f t="shared" si="32"/>
        <v>1000</v>
      </c>
      <c r="H78" s="16">
        <v>1</v>
      </c>
      <c r="I78" s="17" t="s">
        <v>13</v>
      </c>
      <c r="J78" s="13" t="s">
        <v>24</v>
      </c>
      <c r="K78" s="12" t="str">
        <f t="shared" si="34"/>
        <v>ATY-MFO-25_EM_RP_HOST_AL</v>
      </c>
      <c r="L78">
        <v>1000</v>
      </c>
    </row>
    <row r="79" spans="1:12" ht="24" customHeight="1" x14ac:dyDescent="0.25">
      <c r="A79" s="12" t="str">
        <f t="shared" si="33"/>
        <v>ВУ-3 (ВРУ1-ИНД тип1-00 ухл4) (RP)</v>
      </c>
      <c r="B79" s="12" t="s">
        <v>10</v>
      </c>
      <c r="C79" s="18" t="s">
        <v>10</v>
      </c>
      <c r="D79" s="12" t="s">
        <v>10</v>
      </c>
      <c r="E79" s="12">
        <v>30000</v>
      </c>
      <c r="F79" s="15">
        <f>E79</f>
        <v>30000</v>
      </c>
      <c r="G79" s="15">
        <f t="shared" si="32"/>
        <v>30000</v>
      </c>
      <c r="H79" s="12">
        <v>1</v>
      </c>
      <c r="I79" s="12" t="s">
        <v>13</v>
      </c>
      <c r="J79" s="12" t="s">
        <v>10</v>
      </c>
      <c r="K79" s="12" t="str">
        <f t="shared" si="34"/>
        <v>ATY-MFO-25_EM_RP_HOST_AL</v>
      </c>
      <c r="L79">
        <v>30000</v>
      </c>
    </row>
    <row r="80" spans="1:12" ht="21" customHeight="1" x14ac:dyDescent="0.25">
      <c r="A80" s="12" t="str">
        <f t="shared" si="33"/>
        <v>ВУ-3 (ВРУ1-ИНД тип1-00 ухл4) (RP)</v>
      </c>
      <c r="B80" s="12" t="s">
        <v>11</v>
      </c>
      <c r="C80" s="18" t="s">
        <v>11</v>
      </c>
      <c r="D80" s="12" t="s">
        <v>11</v>
      </c>
      <c r="E80" s="12">
        <v>8</v>
      </c>
      <c r="F80" s="15">
        <v>100</v>
      </c>
      <c r="G80" s="15">
        <f t="shared" si="32"/>
        <v>48000</v>
      </c>
      <c r="H80" s="12">
        <f>60*E80</f>
        <v>480</v>
      </c>
      <c r="I80" s="12" t="s">
        <v>13</v>
      </c>
      <c r="J80" s="12" t="s">
        <v>11</v>
      </c>
      <c r="K80" s="12" t="str">
        <f t="shared" si="34"/>
        <v>ATY-MFO-25_EM_RP_HOST_AL</v>
      </c>
      <c r="L80">
        <v>48000</v>
      </c>
    </row>
    <row r="81" spans="1:12" ht="30" customHeight="1" x14ac:dyDescent="0.25">
      <c r="A81" s="12" t="str">
        <f t="shared" si="33"/>
        <v>ВУ-3 (ВРУ1-ИНД тип1-00 ухл4) (RP)</v>
      </c>
      <c r="B81" s="19"/>
      <c r="C81" s="20"/>
      <c r="D81" s="21"/>
      <c r="E81" s="23"/>
      <c r="F81" s="25"/>
      <c r="G81" s="24">
        <f>SUM(G70:G80)</f>
        <v>285665.19999999995</v>
      </c>
      <c r="H81" s="20"/>
      <c r="I81" s="22"/>
      <c r="J81" s="20"/>
      <c r="K81" s="12" t="str">
        <f t="shared" si="34"/>
        <v>ATY-MFO-25_EM_RP_HOST_AL</v>
      </c>
      <c r="L81">
        <v>285665.19999999995</v>
      </c>
    </row>
    <row r="82" spans="1:12" ht="39.75" customHeight="1" x14ac:dyDescent="0.25">
      <c r="A82" s="5" t="str">
        <f>D82</f>
        <v>РУ-3 (RP)</v>
      </c>
      <c r="B82" s="6"/>
      <c r="C82" s="7"/>
      <c r="D82" s="6" t="s">
        <v>416</v>
      </c>
      <c r="E82" s="8"/>
      <c r="F82" s="8" t="s">
        <v>40</v>
      </c>
      <c r="G82" s="9"/>
      <c r="H82" s="10">
        <v>1</v>
      </c>
      <c r="I82" s="11" t="s">
        <v>7</v>
      </c>
      <c r="J82" s="6" t="s">
        <v>9</v>
      </c>
      <c r="K82" s="5" t="s">
        <v>142</v>
      </c>
    </row>
    <row r="83" spans="1:12" ht="21" customHeight="1" x14ac:dyDescent="0.25">
      <c r="A83" s="12" t="str">
        <f>A82</f>
        <v>РУ-3 (RP)</v>
      </c>
      <c r="B83" s="13" t="s">
        <v>8</v>
      </c>
      <c r="C83" s="14" t="s">
        <v>38</v>
      </c>
      <c r="D83" s="12" t="s">
        <v>39</v>
      </c>
      <c r="E83" s="13">
        <v>155000</v>
      </c>
      <c r="F83" s="15">
        <f t="shared" ref="F83:F85" si="37">E83*0.6</f>
        <v>93000</v>
      </c>
      <c r="G83" s="15">
        <f t="shared" ref="G83:G89" si="38">H83*F83</f>
        <v>93000</v>
      </c>
      <c r="H83" s="16">
        <v>1</v>
      </c>
      <c r="I83" s="17" t="s">
        <v>13</v>
      </c>
      <c r="J83" s="13" t="s">
        <v>16</v>
      </c>
      <c r="K83" s="12" t="str">
        <f>K82</f>
        <v>ATY-MFO-25_EM_RP_HOST_AL</v>
      </c>
      <c r="L83">
        <v>93000</v>
      </c>
    </row>
    <row r="84" spans="1:12" ht="21" customHeight="1" x14ac:dyDescent="0.25">
      <c r="A84" s="12" t="str">
        <f t="shared" ref="A84:A90" si="39">A83</f>
        <v>РУ-3 (RP)</v>
      </c>
      <c r="B84" s="13" t="s">
        <v>12</v>
      </c>
      <c r="C84" s="14" t="s">
        <v>70</v>
      </c>
      <c r="D84" s="12" t="s">
        <v>71</v>
      </c>
      <c r="E84" s="13">
        <v>11788</v>
      </c>
      <c r="F84" s="15">
        <f t="shared" si="37"/>
        <v>7072.8</v>
      </c>
      <c r="G84" s="15">
        <f t="shared" si="38"/>
        <v>28291.200000000001</v>
      </c>
      <c r="H84" s="16">
        <v>4</v>
      </c>
      <c r="I84" s="17" t="s">
        <v>13</v>
      </c>
      <c r="J84" s="13" t="s">
        <v>17</v>
      </c>
      <c r="K84" s="12" t="str">
        <f t="shared" ref="K84:K90" si="40">K83</f>
        <v>ATY-MFO-25_EM_RP_HOST_AL</v>
      </c>
      <c r="L84">
        <v>28291.200000000001</v>
      </c>
    </row>
    <row r="85" spans="1:12" ht="21" customHeight="1" x14ac:dyDescent="0.25">
      <c r="A85" s="12" t="str">
        <f t="shared" si="39"/>
        <v>РУ-3 (RP)</v>
      </c>
      <c r="B85" s="13" t="s">
        <v>12</v>
      </c>
      <c r="C85" s="14" t="s">
        <v>78</v>
      </c>
      <c r="D85" s="12" t="s">
        <v>79</v>
      </c>
      <c r="E85" s="13">
        <v>11771</v>
      </c>
      <c r="F85" s="15">
        <f t="shared" si="37"/>
        <v>7062.5999999999995</v>
      </c>
      <c r="G85" s="15">
        <f t="shared" si="38"/>
        <v>14125.199999999999</v>
      </c>
      <c r="H85" s="16">
        <v>2</v>
      </c>
      <c r="I85" s="17" t="s">
        <v>13</v>
      </c>
      <c r="J85" s="13" t="s">
        <v>17</v>
      </c>
      <c r="K85" s="12" t="str">
        <f t="shared" si="40"/>
        <v>ATY-MFO-25_EM_RP_HOST_AL</v>
      </c>
      <c r="L85">
        <v>14125.199999999999</v>
      </c>
    </row>
    <row r="86" spans="1:12" ht="21" customHeight="1" x14ac:dyDescent="0.25">
      <c r="A86" s="12" t="str">
        <f t="shared" si="39"/>
        <v>РУ-3 (RP)</v>
      </c>
      <c r="B86" s="13" t="s">
        <v>25</v>
      </c>
      <c r="C86" s="14" t="s">
        <v>59</v>
      </c>
      <c r="D86" s="12" t="s">
        <v>60</v>
      </c>
      <c r="E86" s="13">
        <v>4701</v>
      </c>
      <c r="F86" s="15">
        <f>E86</f>
        <v>4701</v>
      </c>
      <c r="G86" s="15">
        <f t="shared" si="38"/>
        <v>56412</v>
      </c>
      <c r="H86" s="16">
        <v>12</v>
      </c>
      <c r="I86" s="17" t="s">
        <v>13</v>
      </c>
      <c r="J86" s="13" t="s">
        <v>24</v>
      </c>
      <c r="K86" s="12" t="str">
        <f t="shared" si="40"/>
        <v>ATY-MFO-25_EM_RP_HOST_AL</v>
      </c>
      <c r="L86">
        <v>56412</v>
      </c>
    </row>
    <row r="87" spans="1:12" ht="22.5" customHeight="1" x14ac:dyDescent="0.25">
      <c r="A87" s="12" t="str">
        <f t="shared" si="39"/>
        <v>РУ-3 (RP)</v>
      </c>
      <c r="B87" s="13" t="s">
        <v>18</v>
      </c>
      <c r="C87" s="14" t="s">
        <v>290</v>
      </c>
      <c r="D87" s="12" t="s">
        <v>291</v>
      </c>
      <c r="E87" s="13">
        <v>90000</v>
      </c>
      <c r="F87" s="15">
        <f t="shared" ref="F87" si="41">E87</f>
        <v>90000</v>
      </c>
      <c r="G87" s="15">
        <f t="shared" si="38"/>
        <v>0</v>
      </c>
      <c r="H87" s="16">
        <v>0</v>
      </c>
      <c r="I87" s="17" t="s">
        <v>13</v>
      </c>
      <c r="J87" s="13" t="s">
        <v>24</v>
      </c>
      <c r="K87" s="12" t="str">
        <f t="shared" si="40"/>
        <v>ATY-MFO-25_EM_RP_HOST_AL</v>
      </c>
      <c r="L87">
        <v>0</v>
      </c>
    </row>
    <row r="88" spans="1:12" ht="24" customHeight="1" x14ac:dyDescent="0.25">
      <c r="A88" s="12" t="str">
        <f t="shared" si="39"/>
        <v>РУ-3 (RP)</v>
      </c>
      <c r="B88" s="12" t="s">
        <v>10</v>
      </c>
      <c r="C88" s="18" t="s">
        <v>10</v>
      </c>
      <c r="D88" s="12" t="s">
        <v>10</v>
      </c>
      <c r="E88" s="12">
        <f ca="1">OFFSET(E88,1,2)</f>
        <v>36000</v>
      </c>
      <c r="F88" s="15">
        <f ca="1">E88</f>
        <v>36000</v>
      </c>
      <c r="G88" s="15">
        <f t="shared" ca="1" si="38"/>
        <v>36000</v>
      </c>
      <c r="H88" s="12">
        <v>1</v>
      </c>
      <c r="I88" s="12" t="s">
        <v>13</v>
      </c>
      <c r="J88" s="12" t="s">
        <v>10</v>
      </c>
      <c r="K88" s="12" t="str">
        <f t="shared" si="40"/>
        <v>ATY-MFO-25_EM_RP_HOST_AL</v>
      </c>
      <c r="L88">
        <v>36000</v>
      </c>
    </row>
    <row r="89" spans="1:12" ht="21" customHeight="1" x14ac:dyDescent="0.25">
      <c r="A89" s="12" t="str">
        <f t="shared" si="39"/>
        <v>РУ-3 (RP)</v>
      </c>
      <c r="B89" s="12" t="s">
        <v>11</v>
      </c>
      <c r="C89" s="18" t="s">
        <v>11</v>
      </c>
      <c r="D89" s="12" t="s">
        <v>11</v>
      </c>
      <c r="E89" s="12">
        <v>6</v>
      </c>
      <c r="F89" s="15">
        <v>100</v>
      </c>
      <c r="G89" s="15">
        <f t="shared" si="38"/>
        <v>36000</v>
      </c>
      <c r="H89" s="12">
        <f>60*E89</f>
        <v>360</v>
      </c>
      <c r="I89" s="12" t="s">
        <v>13</v>
      </c>
      <c r="J89" s="12" t="s">
        <v>11</v>
      </c>
      <c r="K89" s="12" t="str">
        <f t="shared" si="40"/>
        <v>ATY-MFO-25_EM_RP_HOST_AL</v>
      </c>
      <c r="L89">
        <v>36000</v>
      </c>
    </row>
    <row r="90" spans="1:12" ht="30" customHeight="1" x14ac:dyDescent="0.25">
      <c r="A90" s="12" t="str">
        <f t="shared" si="39"/>
        <v>РУ-3 (RP)</v>
      </c>
      <c r="B90" s="19"/>
      <c r="C90" s="20"/>
      <c r="D90" s="21"/>
      <c r="E90" s="23"/>
      <c r="F90" s="25"/>
      <c r="G90" s="24">
        <f ca="1">SUM(G83:G89)</f>
        <v>263828.40000000002</v>
      </c>
      <c r="H90" s="20"/>
      <c r="I90" s="22"/>
      <c r="J90" s="20"/>
      <c r="K90" s="12" t="str">
        <f t="shared" si="40"/>
        <v>ATY-MFO-25_EM_RP_HOST_AL</v>
      </c>
      <c r="L90">
        <v>263828.40000000002</v>
      </c>
    </row>
    <row r="91" spans="1:12" ht="39.75" customHeight="1" x14ac:dyDescent="0.25">
      <c r="A91" s="5" t="str">
        <f>D91</f>
        <v>АВРп (АВР-ИНД Тип 4) (RP)</v>
      </c>
      <c r="B91" s="6"/>
      <c r="C91" s="7"/>
      <c r="D91" s="6" t="s">
        <v>417</v>
      </c>
      <c r="E91" s="8"/>
      <c r="F91" s="8" t="s">
        <v>40</v>
      </c>
      <c r="G91" s="9"/>
      <c r="H91" s="10">
        <v>1</v>
      </c>
      <c r="I91" s="11" t="s">
        <v>7</v>
      </c>
      <c r="J91" s="6" t="s">
        <v>9</v>
      </c>
      <c r="K91" s="5" t="s">
        <v>142</v>
      </c>
    </row>
    <row r="92" spans="1:12" ht="21" customHeight="1" x14ac:dyDescent="0.25">
      <c r="A92" s="12" t="str">
        <f>A91</f>
        <v>АВРп (АВР-ИНД Тип 4) (RP)</v>
      </c>
      <c r="B92" s="13" t="s">
        <v>8</v>
      </c>
      <c r="C92" s="14" t="s">
        <v>483</v>
      </c>
      <c r="D92" s="12" t="s">
        <v>482</v>
      </c>
      <c r="E92" s="13">
        <v>165000</v>
      </c>
      <c r="F92" s="15">
        <f>E92*0.6</f>
        <v>99000</v>
      </c>
      <c r="G92" s="15">
        <f t="shared" ref="G92:G106" si="42">H92*F92</f>
        <v>198000</v>
      </c>
      <c r="H92" s="16">
        <v>2</v>
      </c>
      <c r="I92" s="17" t="s">
        <v>13</v>
      </c>
      <c r="J92" s="13" t="s">
        <v>16</v>
      </c>
      <c r="K92" s="12" t="str">
        <f>K91</f>
        <v>ATY-MFO-25_EM_RP_HOST_AL</v>
      </c>
      <c r="L92" s="29">
        <f>G92</f>
        <v>198000</v>
      </c>
    </row>
    <row r="93" spans="1:12" ht="21" customHeight="1" x14ac:dyDescent="0.25">
      <c r="A93" s="12" t="str">
        <f t="shared" ref="A93:A107" si="43">A92</f>
        <v>АВРп (АВР-ИНД Тип 4) (RP)</v>
      </c>
      <c r="B93" s="13" t="s">
        <v>25</v>
      </c>
      <c r="C93" s="14" t="s">
        <v>88</v>
      </c>
      <c r="D93" s="12" t="s">
        <v>89</v>
      </c>
      <c r="E93" s="13">
        <v>5523</v>
      </c>
      <c r="F93" s="15">
        <f>E93</f>
        <v>5523</v>
      </c>
      <c r="G93" s="15">
        <f t="shared" si="42"/>
        <v>16569</v>
      </c>
      <c r="H93" s="16">
        <v>3</v>
      </c>
      <c r="I93" s="17" t="s">
        <v>13</v>
      </c>
      <c r="J93" s="13" t="s">
        <v>24</v>
      </c>
      <c r="K93" s="12" t="str">
        <f t="shared" ref="K93:K107" si="44">K92</f>
        <v>ATY-MFO-25_EM_RP_HOST_AL</v>
      </c>
      <c r="L93" s="29">
        <f t="shared" ref="L93:L107" si="45">G93</f>
        <v>16569</v>
      </c>
    </row>
    <row r="94" spans="1:12" ht="21" customHeight="1" x14ac:dyDescent="0.25">
      <c r="A94" s="12" t="str">
        <f t="shared" si="43"/>
        <v>АВРп (АВР-ИНД Тип 4) (RP)</v>
      </c>
      <c r="B94" s="13" t="s">
        <v>43</v>
      </c>
      <c r="C94" s="14" t="s">
        <v>90</v>
      </c>
      <c r="D94" s="12" t="s">
        <v>91</v>
      </c>
      <c r="E94" s="13">
        <v>579699</v>
      </c>
      <c r="F94" s="15">
        <f t="shared" ref="F94:F95" si="46">E94*0.6</f>
        <v>347819.39999999997</v>
      </c>
      <c r="G94" s="15">
        <f t="shared" si="42"/>
        <v>695638.79999999993</v>
      </c>
      <c r="H94" s="16">
        <v>2</v>
      </c>
      <c r="I94" s="17" t="s">
        <v>13</v>
      </c>
      <c r="J94" s="13" t="s">
        <v>17</v>
      </c>
      <c r="K94" s="12" t="str">
        <f t="shared" si="44"/>
        <v>ATY-MFO-25_EM_RP_HOST_AL</v>
      </c>
      <c r="L94" s="29">
        <f t="shared" si="45"/>
        <v>695638.79999999993</v>
      </c>
    </row>
    <row r="95" spans="1:12" ht="21" customHeight="1" x14ac:dyDescent="0.25">
      <c r="A95" s="12" t="str">
        <f t="shared" si="43"/>
        <v>АВРп (АВР-ИНД Тип 4) (RP)</v>
      </c>
      <c r="B95" s="13" t="s">
        <v>12</v>
      </c>
      <c r="C95" s="14" t="s">
        <v>19</v>
      </c>
      <c r="D95" s="12" t="s">
        <v>20</v>
      </c>
      <c r="E95" s="13">
        <v>975</v>
      </c>
      <c r="F95" s="15">
        <f t="shared" si="46"/>
        <v>585</v>
      </c>
      <c r="G95" s="15">
        <f t="shared" si="42"/>
        <v>1755</v>
      </c>
      <c r="H95" s="16">
        <v>3</v>
      </c>
      <c r="I95" s="17" t="s">
        <v>13</v>
      </c>
      <c r="J95" s="13" t="s">
        <v>17</v>
      </c>
      <c r="K95" s="12" t="str">
        <f t="shared" si="44"/>
        <v>ATY-MFO-25_EM_RP_HOST_AL</v>
      </c>
      <c r="L95" s="29">
        <f t="shared" si="45"/>
        <v>1755</v>
      </c>
    </row>
    <row r="96" spans="1:12" ht="22.5" customHeight="1" x14ac:dyDescent="0.25">
      <c r="A96" s="12" t="str">
        <f t="shared" si="43"/>
        <v>АВРп (АВР-ИНД Тип 4) (RP)</v>
      </c>
      <c r="B96" s="13" t="s">
        <v>18</v>
      </c>
      <c r="C96" s="14" t="s">
        <v>290</v>
      </c>
      <c r="D96" s="12" t="s">
        <v>291</v>
      </c>
      <c r="E96" s="13">
        <v>90000</v>
      </c>
      <c r="F96" s="15">
        <f t="shared" ref="F96:F104" si="47">E96</f>
        <v>90000</v>
      </c>
      <c r="G96" s="15">
        <f t="shared" si="42"/>
        <v>0</v>
      </c>
      <c r="H96" s="16">
        <v>0</v>
      </c>
      <c r="I96" s="17" t="s">
        <v>13</v>
      </c>
      <c r="J96" s="13" t="s">
        <v>24</v>
      </c>
      <c r="K96" s="12" t="str">
        <f t="shared" si="44"/>
        <v>ATY-MFO-25_EM_RP_HOST_AL</v>
      </c>
      <c r="L96" s="29">
        <f t="shared" si="45"/>
        <v>0</v>
      </c>
    </row>
    <row r="97" spans="1:12" ht="21" customHeight="1" x14ac:dyDescent="0.25">
      <c r="A97" s="12" t="str">
        <f t="shared" si="43"/>
        <v>АВРп (АВР-ИНД Тип 4) (RP)</v>
      </c>
      <c r="B97" s="13" t="s">
        <v>92</v>
      </c>
      <c r="C97" s="14"/>
      <c r="D97" s="12" t="s">
        <v>65</v>
      </c>
      <c r="E97" s="13">
        <v>4500</v>
      </c>
      <c r="F97" s="15">
        <f t="shared" si="47"/>
        <v>4500</v>
      </c>
      <c r="G97" s="15">
        <f t="shared" si="42"/>
        <v>13500</v>
      </c>
      <c r="H97" s="16">
        <v>3</v>
      </c>
      <c r="I97" s="17" t="s">
        <v>13</v>
      </c>
      <c r="J97" s="13" t="s">
        <v>24</v>
      </c>
      <c r="K97" s="12" t="str">
        <f t="shared" si="44"/>
        <v>ATY-MFO-25_EM_RP_HOST_AL</v>
      </c>
      <c r="L97" s="29">
        <f t="shared" si="45"/>
        <v>13500</v>
      </c>
    </row>
    <row r="98" spans="1:12" ht="21" customHeight="1" x14ac:dyDescent="0.25">
      <c r="A98" s="12" t="str">
        <f>A96</f>
        <v>АВРп (АВР-ИНД Тип 4) (RP)</v>
      </c>
      <c r="B98" s="13" t="s">
        <v>33</v>
      </c>
      <c r="C98" s="14" t="s">
        <v>41</v>
      </c>
      <c r="D98" s="12" t="s">
        <v>42</v>
      </c>
      <c r="E98" s="13">
        <v>27169</v>
      </c>
      <c r="F98" s="15">
        <f t="shared" ref="F98:F103" si="48">E98*0.6</f>
        <v>16301.4</v>
      </c>
      <c r="G98" s="15">
        <f t="shared" si="42"/>
        <v>16301.4</v>
      </c>
      <c r="H98" s="16">
        <v>1</v>
      </c>
      <c r="I98" s="17" t="s">
        <v>13</v>
      </c>
      <c r="J98" s="13" t="s">
        <v>17</v>
      </c>
      <c r="K98" s="12" t="str">
        <f>K96</f>
        <v>ATY-MFO-25_EM_RP_HOST_AL</v>
      </c>
      <c r="L98" s="29">
        <f t="shared" si="45"/>
        <v>16301.4</v>
      </c>
    </row>
    <row r="99" spans="1:12" ht="21" customHeight="1" x14ac:dyDescent="0.25">
      <c r="A99" s="12" t="str">
        <f>A97</f>
        <v>АВРп (АВР-ИНД Тип 4) (RP)</v>
      </c>
      <c r="B99" s="13" t="s">
        <v>12</v>
      </c>
      <c r="C99" s="14" t="s">
        <v>70</v>
      </c>
      <c r="D99" s="12" t="s">
        <v>71</v>
      </c>
      <c r="E99" s="13">
        <v>11788</v>
      </c>
      <c r="F99" s="15">
        <f t="shared" si="48"/>
        <v>7072.8</v>
      </c>
      <c r="G99" s="15">
        <f t="shared" si="42"/>
        <v>7072.8</v>
      </c>
      <c r="H99" s="16">
        <v>1</v>
      </c>
      <c r="I99" s="17" t="s">
        <v>13</v>
      </c>
      <c r="J99" s="13" t="s">
        <v>17</v>
      </c>
      <c r="K99" s="12" t="str">
        <f>K97</f>
        <v>ATY-MFO-25_EM_RP_HOST_AL</v>
      </c>
      <c r="L99" s="29">
        <f t="shared" si="45"/>
        <v>7072.8</v>
      </c>
    </row>
    <row r="100" spans="1:12" ht="21" customHeight="1" x14ac:dyDescent="0.25">
      <c r="A100" s="12" t="str">
        <f t="shared" si="43"/>
        <v>АВРп (АВР-ИНД Тип 4) (RP)</v>
      </c>
      <c r="B100" s="13" t="s">
        <v>12</v>
      </c>
      <c r="C100" s="14" t="s">
        <v>72</v>
      </c>
      <c r="D100" s="12" t="s">
        <v>73</v>
      </c>
      <c r="E100" s="13">
        <v>11491</v>
      </c>
      <c r="F100" s="15">
        <f t="shared" si="48"/>
        <v>6894.5999999999995</v>
      </c>
      <c r="G100" s="15">
        <f t="shared" si="42"/>
        <v>6894.5999999999995</v>
      </c>
      <c r="H100" s="16">
        <v>1</v>
      </c>
      <c r="I100" s="17" t="s">
        <v>13</v>
      </c>
      <c r="J100" s="13" t="s">
        <v>17</v>
      </c>
      <c r="K100" s="12" t="str">
        <f t="shared" si="44"/>
        <v>ATY-MFO-25_EM_RP_HOST_AL</v>
      </c>
      <c r="L100" s="29">
        <f t="shared" si="45"/>
        <v>6894.5999999999995</v>
      </c>
    </row>
    <row r="101" spans="1:12" ht="21" customHeight="1" x14ac:dyDescent="0.25">
      <c r="A101" s="12" t="str">
        <f t="shared" si="43"/>
        <v>АВРп (АВР-ИНД Тип 4) (RP)</v>
      </c>
      <c r="B101" s="13" t="s">
        <v>12</v>
      </c>
      <c r="C101" s="14" t="s">
        <v>95</v>
      </c>
      <c r="D101" s="12" t="s">
        <v>96</v>
      </c>
      <c r="E101" s="13">
        <v>10552</v>
      </c>
      <c r="F101" s="15">
        <f t="shared" si="48"/>
        <v>6331.2</v>
      </c>
      <c r="G101" s="15">
        <f t="shared" si="42"/>
        <v>6331.2</v>
      </c>
      <c r="H101" s="16">
        <v>1</v>
      </c>
      <c r="I101" s="17" t="s">
        <v>13</v>
      </c>
      <c r="J101" s="13" t="s">
        <v>17</v>
      </c>
      <c r="K101" s="12" t="str">
        <f t="shared" si="44"/>
        <v>ATY-MFO-25_EM_RP_HOST_AL</v>
      </c>
      <c r="L101" s="29">
        <f t="shared" si="45"/>
        <v>6331.2</v>
      </c>
    </row>
    <row r="102" spans="1:12" ht="21" customHeight="1" x14ac:dyDescent="0.25">
      <c r="A102" s="12" t="str">
        <f t="shared" si="43"/>
        <v>АВРп (АВР-ИНД Тип 4) (RP)</v>
      </c>
      <c r="B102" s="13" t="s">
        <v>12</v>
      </c>
      <c r="C102" s="14" t="s">
        <v>97</v>
      </c>
      <c r="D102" s="12" t="s">
        <v>98</v>
      </c>
      <c r="E102" s="13">
        <v>5884</v>
      </c>
      <c r="F102" s="15">
        <f t="shared" si="48"/>
        <v>3530.4</v>
      </c>
      <c r="G102" s="15">
        <f t="shared" si="42"/>
        <v>3530.4</v>
      </c>
      <c r="H102" s="16">
        <v>1</v>
      </c>
      <c r="I102" s="17" t="s">
        <v>13</v>
      </c>
      <c r="J102" s="13" t="s">
        <v>17</v>
      </c>
      <c r="K102" s="12" t="str">
        <f t="shared" si="44"/>
        <v>ATY-MFO-25_EM_RP_HOST_AL</v>
      </c>
      <c r="L102" s="29">
        <f t="shared" si="45"/>
        <v>3530.4</v>
      </c>
    </row>
    <row r="103" spans="1:12" ht="21" customHeight="1" x14ac:dyDescent="0.25">
      <c r="A103" s="12" t="str">
        <f t="shared" si="43"/>
        <v>АВРп (АВР-ИНД Тип 4) (RP)</v>
      </c>
      <c r="B103" s="13" t="s">
        <v>12</v>
      </c>
      <c r="C103" s="14" t="s">
        <v>93</v>
      </c>
      <c r="D103" s="12" t="s">
        <v>94</v>
      </c>
      <c r="E103" s="13">
        <v>10552</v>
      </c>
      <c r="F103" s="15">
        <f t="shared" si="48"/>
        <v>6331.2</v>
      </c>
      <c r="G103" s="15">
        <f t="shared" si="42"/>
        <v>6331.2</v>
      </c>
      <c r="H103" s="16">
        <v>1</v>
      </c>
      <c r="I103" s="17" t="s">
        <v>13</v>
      </c>
      <c r="J103" s="13" t="s">
        <v>17</v>
      </c>
      <c r="K103" s="12" t="str">
        <f t="shared" si="44"/>
        <v>ATY-MFO-25_EM_RP_HOST_AL</v>
      </c>
      <c r="L103" s="29">
        <f t="shared" si="45"/>
        <v>6331.2</v>
      </c>
    </row>
    <row r="104" spans="1:12" ht="21" customHeight="1" x14ac:dyDescent="0.25">
      <c r="A104" s="12" t="str">
        <f>A97</f>
        <v>АВРп (АВР-ИНД Тип 4) (RP)</v>
      </c>
      <c r="B104" s="13" t="s">
        <v>28</v>
      </c>
      <c r="C104" s="14"/>
      <c r="D104" s="12" t="s">
        <v>28</v>
      </c>
      <c r="E104" s="13">
        <v>1000</v>
      </c>
      <c r="F104" s="15">
        <f t="shared" si="47"/>
        <v>1000</v>
      </c>
      <c r="G104" s="15">
        <f t="shared" si="42"/>
        <v>1000</v>
      </c>
      <c r="H104" s="16">
        <v>1</v>
      </c>
      <c r="I104" s="17" t="s">
        <v>13</v>
      </c>
      <c r="J104" s="13" t="s">
        <v>24</v>
      </c>
      <c r="K104" s="12" t="str">
        <f>K97</f>
        <v>ATY-MFO-25_EM_RP_HOST_AL</v>
      </c>
      <c r="L104" s="29">
        <f t="shared" si="45"/>
        <v>1000</v>
      </c>
    </row>
    <row r="105" spans="1:12" ht="24" customHeight="1" x14ac:dyDescent="0.25">
      <c r="A105" s="12" t="str">
        <f t="shared" si="43"/>
        <v>АВРп (АВР-ИНД Тип 4) (RP)</v>
      </c>
      <c r="B105" s="12" t="s">
        <v>10</v>
      </c>
      <c r="C105" s="18" t="s">
        <v>10</v>
      </c>
      <c r="D105" s="12" t="s">
        <v>10</v>
      </c>
      <c r="E105" s="12">
        <v>70000</v>
      </c>
      <c r="F105" s="15">
        <f>E105</f>
        <v>70000</v>
      </c>
      <c r="G105" s="15">
        <f t="shared" si="42"/>
        <v>70000</v>
      </c>
      <c r="H105" s="12">
        <v>1</v>
      </c>
      <c r="I105" s="12" t="s">
        <v>13</v>
      </c>
      <c r="J105" s="12" t="s">
        <v>10</v>
      </c>
      <c r="K105" s="12" t="str">
        <f t="shared" si="44"/>
        <v>ATY-MFO-25_EM_RP_HOST_AL</v>
      </c>
      <c r="L105" s="29">
        <f t="shared" si="45"/>
        <v>70000</v>
      </c>
    </row>
    <row r="106" spans="1:12" ht="21" customHeight="1" x14ac:dyDescent="0.25">
      <c r="A106" s="12" t="str">
        <f t="shared" si="43"/>
        <v>АВРп (АВР-ИНД Тип 4) (RP)</v>
      </c>
      <c r="B106" s="12" t="s">
        <v>11</v>
      </c>
      <c r="C106" s="18" t="s">
        <v>11</v>
      </c>
      <c r="D106" s="12" t="s">
        <v>11</v>
      </c>
      <c r="E106" s="12">
        <v>14</v>
      </c>
      <c r="F106" s="15">
        <v>100</v>
      </c>
      <c r="G106" s="15">
        <f t="shared" si="42"/>
        <v>84000</v>
      </c>
      <c r="H106" s="12">
        <f>60*E106</f>
        <v>840</v>
      </c>
      <c r="I106" s="12" t="s">
        <v>13</v>
      </c>
      <c r="J106" s="12" t="s">
        <v>11</v>
      </c>
      <c r="K106" s="12" t="str">
        <f t="shared" si="44"/>
        <v>ATY-MFO-25_EM_RP_HOST_AL</v>
      </c>
      <c r="L106" s="29">
        <f t="shared" si="45"/>
        <v>84000</v>
      </c>
    </row>
    <row r="107" spans="1:12" ht="30" customHeight="1" x14ac:dyDescent="0.25">
      <c r="A107" s="12" t="str">
        <f t="shared" si="43"/>
        <v>АВРп (АВР-ИНД Тип 4) (RP)</v>
      </c>
      <c r="B107" s="19"/>
      <c r="C107" s="20"/>
      <c r="D107" s="21"/>
      <c r="E107" s="23"/>
      <c r="F107" s="25"/>
      <c r="G107" s="24">
        <f>SUM(G92:G106)</f>
        <v>1126924.3999999999</v>
      </c>
      <c r="H107" s="20"/>
      <c r="I107" s="22"/>
      <c r="J107" s="20"/>
      <c r="K107" s="12" t="str">
        <f t="shared" si="44"/>
        <v>ATY-MFO-25_EM_RP_HOST_AL</v>
      </c>
      <c r="L107" s="29">
        <f t="shared" si="45"/>
        <v>1126924.3999999999</v>
      </c>
    </row>
    <row r="108" spans="1:12" ht="39.75" customHeight="1" x14ac:dyDescent="0.25">
      <c r="A108" s="5" t="str">
        <f>D108</f>
        <v>ВРУп (ВРУ1-21-10 УХЛ 4) (RP)</v>
      </c>
      <c r="B108" s="6"/>
      <c r="C108" s="7"/>
      <c r="D108" s="6" t="s">
        <v>418</v>
      </c>
      <c r="E108" s="8"/>
      <c r="F108" s="8" t="s">
        <v>40</v>
      </c>
      <c r="G108" s="9"/>
      <c r="H108" s="10">
        <v>1</v>
      </c>
      <c r="I108" s="11" t="s">
        <v>7</v>
      </c>
      <c r="J108" s="6" t="s">
        <v>9</v>
      </c>
      <c r="K108" s="5" t="s">
        <v>142</v>
      </c>
    </row>
    <row r="109" spans="1:12" ht="21" customHeight="1" x14ac:dyDescent="0.25">
      <c r="A109" s="12" t="str">
        <f>A108</f>
        <v>ВРУп (ВРУ1-21-10 УХЛ 4) (RP)</v>
      </c>
      <c r="B109" s="13" t="s">
        <v>8</v>
      </c>
      <c r="C109" s="14" t="s">
        <v>38</v>
      </c>
      <c r="D109" s="12" t="s">
        <v>39</v>
      </c>
      <c r="E109" s="13">
        <v>155000</v>
      </c>
      <c r="F109" s="15">
        <f>E109*0.6</f>
        <v>93000</v>
      </c>
      <c r="G109" s="15">
        <f t="shared" ref="G109:G123" si="49">H109*F109</f>
        <v>93000</v>
      </c>
      <c r="H109" s="16">
        <v>1</v>
      </c>
      <c r="I109" s="17" t="s">
        <v>13</v>
      </c>
      <c r="J109" s="13" t="s">
        <v>16</v>
      </c>
      <c r="K109" s="12" t="str">
        <f>K108</f>
        <v>ATY-MFO-25_EM_RP_HOST_AL</v>
      </c>
      <c r="L109">
        <v>93000</v>
      </c>
    </row>
    <row r="110" spans="1:12" ht="21" customHeight="1" x14ac:dyDescent="0.25">
      <c r="A110" s="12" t="str">
        <f t="shared" ref="A110:A124" si="50">A109</f>
        <v>ВРУп (ВРУ1-21-10 УХЛ 4) (RP)</v>
      </c>
      <c r="B110" s="13" t="s">
        <v>25</v>
      </c>
      <c r="C110" s="14" t="s">
        <v>46</v>
      </c>
      <c r="D110" s="12" t="s">
        <v>47</v>
      </c>
      <c r="E110" s="13">
        <v>6018</v>
      </c>
      <c r="F110" s="15">
        <f>E110</f>
        <v>6018</v>
      </c>
      <c r="G110" s="15">
        <f t="shared" si="49"/>
        <v>18054</v>
      </c>
      <c r="H110" s="16">
        <v>3</v>
      </c>
      <c r="I110" s="17" t="s">
        <v>13</v>
      </c>
      <c r="J110" s="13" t="s">
        <v>24</v>
      </c>
      <c r="K110" s="12" t="str">
        <f t="shared" ref="K110:K124" si="51">K109</f>
        <v>ATY-MFO-25_EM_RP_HOST_AL</v>
      </c>
      <c r="L110">
        <v>18054</v>
      </c>
    </row>
    <row r="111" spans="1:12" ht="21" customHeight="1" x14ac:dyDescent="0.25">
      <c r="A111" s="12" t="str">
        <f t="shared" si="50"/>
        <v>ВРУп (ВРУ1-21-10 УХЛ 4) (RP)</v>
      </c>
      <c r="B111" s="13" t="s">
        <v>29</v>
      </c>
      <c r="C111" s="14" t="s">
        <v>99</v>
      </c>
      <c r="D111" s="12" t="s">
        <v>100</v>
      </c>
      <c r="E111" s="13">
        <v>18000</v>
      </c>
      <c r="F111" s="15">
        <f t="shared" ref="F111" si="52">E111</f>
        <v>18000</v>
      </c>
      <c r="G111" s="15">
        <f t="shared" si="49"/>
        <v>18000</v>
      </c>
      <c r="H111" s="16">
        <v>1</v>
      </c>
      <c r="I111" s="17" t="s">
        <v>13</v>
      </c>
      <c r="J111" s="13" t="s">
        <v>24</v>
      </c>
      <c r="K111" s="12" t="str">
        <f t="shared" si="51"/>
        <v>ATY-MFO-25_EM_RP_HOST_AL</v>
      </c>
      <c r="L111">
        <v>18000</v>
      </c>
    </row>
    <row r="112" spans="1:12" ht="21" customHeight="1" x14ac:dyDescent="0.25">
      <c r="A112" s="12" t="str">
        <f t="shared" si="50"/>
        <v>ВРУп (ВРУ1-21-10 УХЛ 4) (RP)</v>
      </c>
      <c r="B112" s="13" t="s">
        <v>30</v>
      </c>
      <c r="C112" s="14" t="s">
        <v>101</v>
      </c>
      <c r="D112" s="12" t="s">
        <v>102</v>
      </c>
      <c r="E112" s="13">
        <v>2210</v>
      </c>
      <c r="F112" s="15">
        <f t="shared" ref="F112:F114" si="53">E112*0.6</f>
        <v>1326</v>
      </c>
      <c r="G112" s="15">
        <f t="shared" si="49"/>
        <v>3978</v>
      </c>
      <c r="H112" s="16">
        <v>3</v>
      </c>
      <c r="I112" s="17" t="s">
        <v>13</v>
      </c>
      <c r="J112" s="13" t="s">
        <v>17</v>
      </c>
      <c r="K112" s="12" t="str">
        <f t="shared" si="51"/>
        <v>ATY-MFO-25_EM_RP_HOST_AL</v>
      </c>
      <c r="L112">
        <v>3978</v>
      </c>
    </row>
    <row r="113" spans="1:12" ht="21" customHeight="1" x14ac:dyDescent="0.25">
      <c r="A113" s="12" t="str">
        <f t="shared" si="50"/>
        <v>ВРУп (ВРУ1-21-10 УХЛ 4) (RP)</v>
      </c>
      <c r="B113" s="13" t="s">
        <v>30</v>
      </c>
      <c r="C113" s="14" t="s">
        <v>103</v>
      </c>
      <c r="D113" s="12" t="s">
        <v>104</v>
      </c>
      <c r="E113" s="13">
        <v>3100</v>
      </c>
      <c r="F113" s="15">
        <f t="shared" si="53"/>
        <v>1860</v>
      </c>
      <c r="G113" s="15">
        <f t="shared" si="49"/>
        <v>5580</v>
      </c>
      <c r="H113" s="16">
        <v>3</v>
      </c>
      <c r="I113" s="17" t="s">
        <v>13</v>
      </c>
      <c r="J113" s="13" t="s">
        <v>17</v>
      </c>
      <c r="K113" s="12" t="str">
        <f t="shared" si="51"/>
        <v>ATY-MFO-25_EM_RP_HOST_AL</v>
      </c>
      <c r="L113">
        <v>5580</v>
      </c>
    </row>
    <row r="114" spans="1:12" ht="21" customHeight="1" x14ac:dyDescent="0.25">
      <c r="A114" s="12" t="str">
        <f t="shared" si="50"/>
        <v>ВРУп (ВРУ1-21-10 УХЛ 4) (RP)</v>
      </c>
      <c r="B114" s="13" t="s">
        <v>12</v>
      </c>
      <c r="C114" s="14" t="s">
        <v>19</v>
      </c>
      <c r="D114" s="12" t="s">
        <v>20</v>
      </c>
      <c r="E114" s="13">
        <v>975</v>
      </c>
      <c r="F114" s="15">
        <f t="shared" si="53"/>
        <v>585</v>
      </c>
      <c r="G114" s="15">
        <f t="shared" si="49"/>
        <v>1170</v>
      </c>
      <c r="H114" s="16">
        <v>2</v>
      </c>
      <c r="I114" s="17" t="s">
        <v>13</v>
      </c>
      <c r="J114" s="13" t="s">
        <v>17</v>
      </c>
      <c r="K114" s="12" t="str">
        <f t="shared" si="51"/>
        <v>ATY-MFO-25_EM_RP_HOST_AL</v>
      </c>
      <c r="L114">
        <v>1170</v>
      </c>
    </row>
    <row r="115" spans="1:12" ht="22.5" customHeight="1" x14ac:dyDescent="0.25">
      <c r="A115" s="12" t="str">
        <f t="shared" si="50"/>
        <v>ВРУп (ВРУ1-21-10 УХЛ 4) (RP)</v>
      </c>
      <c r="B115" s="13" t="s">
        <v>18</v>
      </c>
      <c r="C115" s="14" t="s">
        <v>290</v>
      </c>
      <c r="D115" s="12" t="s">
        <v>291</v>
      </c>
      <c r="E115" s="13">
        <v>90000</v>
      </c>
      <c r="F115" s="15">
        <f t="shared" ref="F115:F116" si="54">E115</f>
        <v>90000</v>
      </c>
      <c r="G115" s="15">
        <f t="shared" si="49"/>
        <v>0</v>
      </c>
      <c r="H115" s="16">
        <v>0</v>
      </c>
      <c r="I115" s="17" t="s">
        <v>13</v>
      </c>
      <c r="J115" s="13" t="s">
        <v>24</v>
      </c>
      <c r="K115" s="12" t="str">
        <f t="shared" si="51"/>
        <v>ATY-MFO-25_EM_RP_HOST_AL</v>
      </c>
      <c r="L115">
        <v>0</v>
      </c>
    </row>
    <row r="116" spans="1:12" ht="21" customHeight="1" x14ac:dyDescent="0.25">
      <c r="A116" s="12" t="str">
        <f t="shared" si="50"/>
        <v>ВРУп (ВРУ1-21-10 УХЛ 4) (RP)</v>
      </c>
      <c r="B116" s="13" t="s">
        <v>92</v>
      </c>
      <c r="C116" s="14"/>
      <c r="D116" s="12" t="s">
        <v>65</v>
      </c>
      <c r="E116" s="13">
        <v>4500</v>
      </c>
      <c r="F116" s="15">
        <f t="shared" si="54"/>
        <v>4500</v>
      </c>
      <c r="G116" s="15">
        <f t="shared" si="49"/>
        <v>13500</v>
      </c>
      <c r="H116" s="16">
        <v>3</v>
      </c>
      <c r="I116" s="17" t="s">
        <v>13</v>
      </c>
      <c r="J116" s="13" t="s">
        <v>24</v>
      </c>
      <c r="K116" s="12" t="str">
        <f t="shared" si="51"/>
        <v>ATY-MFO-25_EM_RP_HOST_AL</v>
      </c>
      <c r="L116">
        <v>13500</v>
      </c>
    </row>
    <row r="117" spans="1:12" ht="21" customHeight="1" x14ac:dyDescent="0.25">
      <c r="A117" s="12" t="str">
        <f t="shared" si="50"/>
        <v>ВРУп (ВРУ1-21-10 УХЛ 4) (RP)</v>
      </c>
      <c r="B117" s="13" t="s">
        <v>12</v>
      </c>
      <c r="C117" s="14" t="s">
        <v>74</v>
      </c>
      <c r="D117" s="12" t="s">
        <v>75</v>
      </c>
      <c r="E117" s="13">
        <v>12113</v>
      </c>
      <c r="F117" s="15">
        <f t="shared" ref="F117:F120" si="55">E117*0.6</f>
        <v>7267.8</v>
      </c>
      <c r="G117" s="15">
        <f t="shared" si="49"/>
        <v>7267.8</v>
      </c>
      <c r="H117" s="16">
        <v>1</v>
      </c>
      <c r="I117" s="17" t="s">
        <v>13</v>
      </c>
      <c r="J117" s="13" t="s">
        <v>17</v>
      </c>
      <c r="K117" s="12" t="str">
        <f t="shared" si="51"/>
        <v>ATY-MFO-25_EM_RP_HOST_AL</v>
      </c>
      <c r="L117">
        <v>7267.8</v>
      </c>
    </row>
    <row r="118" spans="1:12" ht="21" customHeight="1" x14ac:dyDescent="0.25">
      <c r="A118" s="12" t="str">
        <f t="shared" si="50"/>
        <v>ВРУп (ВРУ1-21-10 УХЛ 4) (RP)</v>
      </c>
      <c r="B118" s="13" t="s">
        <v>12</v>
      </c>
      <c r="C118" s="14" t="s">
        <v>105</v>
      </c>
      <c r="D118" s="12" t="s">
        <v>106</v>
      </c>
      <c r="E118" s="13">
        <v>11002</v>
      </c>
      <c r="F118" s="15">
        <f t="shared" si="55"/>
        <v>6601.2</v>
      </c>
      <c r="G118" s="15">
        <f t="shared" si="49"/>
        <v>6601.2</v>
      </c>
      <c r="H118" s="16">
        <v>1</v>
      </c>
      <c r="I118" s="17" t="s">
        <v>13</v>
      </c>
      <c r="J118" s="13" t="s">
        <v>17</v>
      </c>
      <c r="K118" s="12" t="str">
        <f t="shared" si="51"/>
        <v>ATY-MFO-25_EM_RP_HOST_AL</v>
      </c>
      <c r="L118">
        <v>6601.2</v>
      </c>
    </row>
    <row r="119" spans="1:12" ht="21" customHeight="1" x14ac:dyDescent="0.25">
      <c r="A119" s="12" t="str">
        <f t="shared" si="50"/>
        <v>ВРУп (ВРУ1-21-10 УХЛ 4) (RP)</v>
      </c>
      <c r="B119" s="13" t="s">
        <v>12</v>
      </c>
      <c r="C119" s="14" t="s">
        <v>78</v>
      </c>
      <c r="D119" s="12" t="s">
        <v>79</v>
      </c>
      <c r="E119" s="13">
        <v>11771</v>
      </c>
      <c r="F119" s="15">
        <f t="shared" si="55"/>
        <v>7062.5999999999995</v>
      </c>
      <c r="G119" s="15">
        <f t="shared" si="49"/>
        <v>14125.199999999999</v>
      </c>
      <c r="H119" s="16">
        <v>2</v>
      </c>
      <c r="I119" s="17" t="s">
        <v>13</v>
      </c>
      <c r="J119" s="13" t="s">
        <v>17</v>
      </c>
      <c r="K119" s="12" t="str">
        <f t="shared" si="51"/>
        <v>ATY-MFO-25_EM_RP_HOST_AL</v>
      </c>
      <c r="L119">
        <v>14125.199999999999</v>
      </c>
    </row>
    <row r="120" spans="1:12" ht="21" customHeight="1" x14ac:dyDescent="0.25">
      <c r="A120" s="12" t="str">
        <f t="shared" si="50"/>
        <v>ВРУп (ВРУ1-21-10 УХЛ 4) (RP)</v>
      </c>
      <c r="B120" s="13" t="s">
        <v>12</v>
      </c>
      <c r="C120" s="14" t="s">
        <v>97</v>
      </c>
      <c r="D120" s="12" t="s">
        <v>98</v>
      </c>
      <c r="E120" s="13">
        <v>5884</v>
      </c>
      <c r="F120" s="15">
        <f t="shared" si="55"/>
        <v>3530.4</v>
      </c>
      <c r="G120" s="15">
        <f t="shared" si="49"/>
        <v>3530.4</v>
      </c>
      <c r="H120" s="16">
        <v>1</v>
      </c>
      <c r="I120" s="17" t="s">
        <v>13</v>
      </c>
      <c r="J120" s="13" t="s">
        <v>17</v>
      </c>
      <c r="K120" s="12" t="str">
        <f t="shared" si="51"/>
        <v>ATY-MFO-25_EM_RP_HOST_AL</v>
      </c>
      <c r="L120">
        <v>3530.4</v>
      </c>
    </row>
    <row r="121" spans="1:12" ht="21" customHeight="1" x14ac:dyDescent="0.25">
      <c r="A121" s="12" t="str">
        <f t="shared" si="50"/>
        <v>ВРУп (ВРУ1-21-10 УХЛ 4) (RP)</v>
      </c>
      <c r="B121" s="13" t="s">
        <v>28</v>
      </c>
      <c r="C121" s="14"/>
      <c r="D121" s="12" t="s">
        <v>28</v>
      </c>
      <c r="E121" s="13">
        <v>1000</v>
      </c>
      <c r="F121" s="15">
        <f t="shared" ref="F121" si="56">E121</f>
        <v>1000</v>
      </c>
      <c r="G121" s="15">
        <f t="shared" si="49"/>
        <v>1000</v>
      </c>
      <c r="H121" s="16">
        <v>1</v>
      </c>
      <c r="I121" s="17" t="s">
        <v>13</v>
      </c>
      <c r="J121" s="13" t="s">
        <v>24</v>
      </c>
      <c r="K121" s="12" t="str">
        <f t="shared" si="51"/>
        <v>ATY-MFO-25_EM_RP_HOST_AL</v>
      </c>
      <c r="L121">
        <v>1000</v>
      </c>
    </row>
    <row r="122" spans="1:12" ht="24" customHeight="1" x14ac:dyDescent="0.25">
      <c r="A122" s="12" t="str">
        <f t="shared" si="50"/>
        <v>ВРУп (ВРУ1-21-10 УХЛ 4) (RP)</v>
      </c>
      <c r="B122" s="12" t="s">
        <v>10</v>
      </c>
      <c r="C122" s="18" t="s">
        <v>10</v>
      </c>
      <c r="D122" s="12" t="s">
        <v>10</v>
      </c>
      <c r="E122" s="12">
        <f ca="1">OFFSET(E122,1,2)</f>
        <v>48000</v>
      </c>
      <c r="F122" s="15">
        <f ca="1">E122</f>
        <v>48000</v>
      </c>
      <c r="G122" s="15">
        <f t="shared" ca="1" si="49"/>
        <v>48000</v>
      </c>
      <c r="H122" s="12">
        <v>1</v>
      </c>
      <c r="I122" s="12" t="s">
        <v>13</v>
      </c>
      <c r="J122" s="12" t="s">
        <v>10</v>
      </c>
      <c r="K122" s="12" t="str">
        <f t="shared" si="51"/>
        <v>ATY-MFO-25_EM_RP_HOST_AL</v>
      </c>
      <c r="L122">
        <v>48000</v>
      </c>
    </row>
    <row r="123" spans="1:12" ht="21" customHeight="1" x14ac:dyDescent="0.25">
      <c r="A123" s="12" t="str">
        <f t="shared" si="50"/>
        <v>ВРУп (ВРУ1-21-10 УХЛ 4) (RP)</v>
      </c>
      <c r="B123" s="12" t="s">
        <v>11</v>
      </c>
      <c r="C123" s="18" t="s">
        <v>11</v>
      </c>
      <c r="D123" s="12" t="s">
        <v>11</v>
      </c>
      <c r="E123" s="12">
        <v>8</v>
      </c>
      <c r="F123" s="15">
        <v>100</v>
      </c>
      <c r="G123" s="15">
        <f t="shared" si="49"/>
        <v>48000</v>
      </c>
      <c r="H123" s="12">
        <f>60*E123</f>
        <v>480</v>
      </c>
      <c r="I123" s="12" t="s">
        <v>13</v>
      </c>
      <c r="J123" s="12" t="s">
        <v>11</v>
      </c>
      <c r="K123" s="12" t="str">
        <f t="shared" si="51"/>
        <v>ATY-MFO-25_EM_RP_HOST_AL</v>
      </c>
      <c r="L123">
        <v>48000</v>
      </c>
    </row>
    <row r="124" spans="1:12" ht="30" customHeight="1" x14ac:dyDescent="0.25">
      <c r="A124" s="12" t="str">
        <f t="shared" si="50"/>
        <v>ВРУп (ВРУ1-21-10 УХЛ 4) (RP)</v>
      </c>
      <c r="B124" s="19"/>
      <c r="C124" s="20"/>
      <c r="D124" s="21"/>
      <c r="E124" s="23"/>
      <c r="F124" s="25"/>
      <c r="G124" s="24">
        <f ca="1">SUM(G109:G123)</f>
        <v>281806.59999999998</v>
      </c>
      <c r="H124" s="20"/>
      <c r="I124" s="22"/>
      <c r="J124" s="20"/>
      <c r="K124" s="12" t="str">
        <f t="shared" si="51"/>
        <v>ATY-MFO-25_EM_RP_HOST_AL</v>
      </c>
      <c r="L124">
        <v>281806.59999999998</v>
      </c>
    </row>
    <row r="125" spans="1:12" ht="39.75" customHeight="1" x14ac:dyDescent="0.25">
      <c r="A125" s="5" t="str">
        <f>D125</f>
        <v>ЩУ-ЩОк (RP)</v>
      </c>
      <c r="B125" s="6"/>
      <c r="C125" s="7"/>
      <c r="D125" s="6" t="s">
        <v>419</v>
      </c>
      <c r="E125" s="8"/>
      <c r="F125" s="8" t="s">
        <v>40</v>
      </c>
      <c r="G125" s="9"/>
      <c r="H125" s="10">
        <v>1</v>
      </c>
      <c r="I125" s="11" t="s">
        <v>7</v>
      </c>
      <c r="J125" s="6" t="s">
        <v>9</v>
      </c>
      <c r="K125" s="5" t="s">
        <v>142</v>
      </c>
    </row>
    <row r="126" spans="1:12" ht="21" customHeight="1" x14ac:dyDescent="0.25">
      <c r="A126" s="12" t="str">
        <f>A125</f>
        <v>ЩУ-ЩОк (RP)</v>
      </c>
      <c r="B126" s="13" t="s">
        <v>8</v>
      </c>
      <c r="C126" s="14" t="s">
        <v>473</v>
      </c>
      <c r="D126" s="12" t="s">
        <v>474</v>
      </c>
      <c r="E126" s="13">
        <v>16150</v>
      </c>
      <c r="F126" s="15">
        <f t="shared" ref="F126:F127" si="57">E126*0.6</f>
        <v>9690</v>
      </c>
      <c r="G126" s="15">
        <f t="shared" ref="G126:G131" si="58">H126*F126</f>
        <v>9690</v>
      </c>
      <c r="H126" s="16">
        <v>1</v>
      </c>
      <c r="I126" s="17" t="s">
        <v>13</v>
      </c>
      <c r="J126" s="13" t="s">
        <v>16</v>
      </c>
      <c r="K126" s="12" t="str">
        <f>K125</f>
        <v>ATY-MFO-25_EM_RP_HOST_AL</v>
      </c>
      <c r="L126">
        <v>9690</v>
      </c>
    </row>
    <row r="127" spans="1:12" ht="21" customHeight="1" x14ac:dyDescent="0.25">
      <c r="A127" s="12" t="str">
        <f t="shared" ref="A127:A132" si="59">A126</f>
        <v>ЩУ-ЩОк (RP)</v>
      </c>
      <c r="B127" s="13" t="s">
        <v>54</v>
      </c>
      <c r="C127" s="14" t="s">
        <v>55</v>
      </c>
      <c r="D127" s="12" t="s">
        <v>56</v>
      </c>
      <c r="E127" s="13">
        <v>3372</v>
      </c>
      <c r="F127" s="15">
        <f t="shared" si="57"/>
        <v>2023.1999999999998</v>
      </c>
      <c r="G127" s="15">
        <f t="shared" si="58"/>
        <v>2023.1999999999998</v>
      </c>
      <c r="H127" s="16">
        <v>1</v>
      </c>
      <c r="I127" s="17" t="s">
        <v>13</v>
      </c>
      <c r="J127" s="13" t="s">
        <v>17</v>
      </c>
      <c r="K127" s="12" t="str">
        <f t="shared" ref="K127:K132" si="60">K126</f>
        <v>ATY-MFO-25_EM_RP_HOST_AL</v>
      </c>
      <c r="L127">
        <v>2023.1999999999998</v>
      </c>
    </row>
    <row r="128" spans="1:12" ht="22.5" customHeight="1" x14ac:dyDescent="0.25">
      <c r="A128" s="12" t="str">
        <f t="shared" si="59"/>
        <v>ЩУ-ЩОк (RP)</v>
      </c>
      <c r="B128" s="13" t="s">
        <v>18</v>
      </c>
      <c r="C128" s="14" t="s">
        <v>292</v>
      </c>
      <c r="D128" s="12" t="s">
        <v>293</v>
      </c>
      <c r="E128" s="13">
        <v>90000</v>
      </c>
      <c r="F128" s="15">
        <f t="shared" ref="F128" si="61">E128</f>
        <v>90000</v>
      </c>
      <c r="G128" s="15">
        <f t="shared" si="58"/>
        <v>0</v>
      </c>
      <c r="H128" s="16">
        <v>0</v>
      </c>
      <c r="I128" s="17" t="s">
        <v>13</v>
      </c>
      <c r="J128" s="13" t="s">
        <v>24</v>
      </c>
      <c r="K128" s="12" t="str">
        <f t="shared" si="60"/>
        <v>ATY-MFO-25_EM_RP_HOST_AL</v>
      </c>
      <c r="L128">
        <v>0</v>
      </c>
    </row>
    <row r="129" spans="1:12" ht="21" customHeight="1" x14ac:dyDescent="0.25">
      <c r="A129" s="12" t="str">
        <f t="shared" si="59"/>
        <v>ЩУ-ЩОк (RP)</v>
      </c>
      <c r="B129" s="13" t="s">
        <v>12</v>
      </c>
      <c r="C129" s="14" t="s">
        <v>34</v>
      </c>
      <c r="D129" s="12" t="s">
        <v>35</v>
      </c>
      <c r="E129" s="13">
        <v>2337</v>
      </c>
      <c r="F129" s="15">
        <f>E129*0.6</f>
        <v>1402.2</v>
      </c>
      <c r="G129" s="15">
        <f t="shared" si="58"/>
        <v>1402.2</v>
      </c>
      <c r="H129" s="16">
        <v>1</v>
      </c>
      <c r="I129" s="17" t="s">
        <v>13</v>
      </c>
      <c r="J129" s="13" t="s">
        <v>17</v>
      </c>
      <c r="K129" s="12" t="str">
        <f t="shared" si="60"/>
        <v>ATY-MFO-25_EM_RP_HOST_AL</v>
      </c>
      <c r="L129">
        <v>1402.2</v>
      </c>
    </row>
    <row r="130" spans="1:12" ht="24" customHeight="1" x14ac:dyDescent="0.25">
      <c r="A130" s="12" t="str">
        <f t="shared" si="59"/>
        <v>ЩУ-ЩОк (RP)</v>
      </c>
      <c r="B130" s="12" t="s">
        <v>10</v>
      </c>
      <c r="C130" s="18" t="s">
        <v>10</v>
      </c>
      <c r="D130" s="12" t="s">
        <v>10</v>
      </c>
      <c r="E130" s="12">
        <f ca="1">OFFSET(E130,1,2)</f>
        <v>6000</v>
      </c>
      <c r="F130" s="15">
        <f ca="1">E130</f>
        <v>6000</v>
      </c>
      <c r="G130" s="15">
        <f t="shared" ca="1" si="58"/>
        <v>6000</v>
      </c>
      <c r="H130" s="12">
        <v>1</v>
      </c>
      <c r="I130" s="12" t="s">
        <v>13</v>
      </c>
      <c r="J130" s="12" t="s">
        <v>10</v>
      </c>
      <c r="K130" s="12" t="str">
        <f t="shared" si="60"/>
        <v>ATY-MFO-25_EM_RP_HOST_AL</v>
      </c>
      <c r="L130">
        <v>6000</v>
      </c>
    </row>
    <row r="131" spans="1:12" ht="21" customHeight="1" x14ac:dyDescent="0.25">
      <c r="A131" s="12" t="str">
        <f t="shared" si="59"/>
        <v>ЩУ-ЩОк (RP)</v>
      </c>
      <c r="B131" s="12" t="s">
        <v>11</v>
      </c>
      <c r="C131" s="18" t="s">
        <v>11</v>
      </c>
      <c r="D131" s="12" t="s">
        <v>11</v>
      </c>
      <c r="E131" s="12">
        <v>1</v>
      </c>
      <c r="F131" s="15">
        <v>100</v>
      </c>
      <c r="G131" s="15">
        <f t="shared" si="58"/>
        <v>6000</v>
      </c>
      <c r="H131" s="12">
        <f>60*E131</f>
        <v>60</v>
      </c>
      <c r="I131" s="12" t="s">
        <v>13</v>
      </c>
      <c r="J131" s="12" t="s">
        <v>11</v>
      </c>
      <c r="K131" s="12" t="str">
        <f t="shared" si="60"/>
        <v>ATY-MFO-25_EM_RP_HOST_AL</v>
      </c>
      <c r="L131">
        <v>6000</v>
      </c>
    </row>
    <row r="132" spans="1:12" ht="30" customHeight="1" x14ac:dyDescent="0.25">
      <c r="A132" s="12" t="str">
        <f t="shared" si="59"/>
        <v>ЩУ-ЩОк (RP)</v>
      </c>
      <c r="B132" s="19"/>
      <c r="C132" s="20"/>
      <c r="D132" s="21"/>
      <c r="E132" s="23"/>
      <c r="F132" s="25"/>
      <c r="G132" s="24">
        <f ca="1">SUM(G126:G131)</f>
        <v>25115.4</v>
      </c>
      <c r="H132" s="20"/>
      <c r="I132" s="22"/>
      <c r="J132" s="20"/>
      <c r="K132" s="12" t="str">
        <f t="shared" si="60"/>
        <v>ATY-MFO-25_EM_RP_HOST_AL</v>
      </c>
      <c r="L132">
        <v>25115.4</v>
      </c>
    </row>
    <row r="133" spans="1:12" ht="39.75" customHeight="1" x14ac:dyDescent="0.25">
      <c r="A133" s="5" t="str">
        <f>D133</f>
        <v>ВРУ-Одн (ВРУ1-26-10 УХЛ 4) (RP)</v>
      </c>
      <c r="B133" s="6"/>
      <c r="C133" s="7"/>
      <c r="D133" s="6" t="s">
        <v>420</v>
      </c>
      <c r="E133" s="8"/>
      <c r="F133" s="8" t="s">
        <v>40</v>
      </c>
      <c r="G133" s="9"/>
      <c r="H133" s="10">
        <v>1</v>
      </c>
      <c r="I133" s="11" t="s">
        <v>7</v>
      </c>
      <c r="J133" s="6" t="s">
        <v>9</v>
      </c>
      <c r="K133" s="5" t="s">
        <v>142</v>
      </c>
    </row>
    <row r="134" spans="1:12" ht="21" customHeight="1" x14ac:dyDescent="0.25">
      <c r="A134" s="12" t="str">
        <f>A133</f>
        <v>ВРУ-Одн (ВРУ1-26-10 УХЛ 4) (RP)</v>
      </c>
      <c r="B134" s="13" t="s">
        <v>8</v>
      </c>
      <c r="C134" s="14" t="s">
        <v>461</v>
      </c>
      <c r="D134" s="12" t="s">
        <v>462</v>
      </c>
      <c r="E134" s="13">
        <v>140000</v>
      </c>
      <c r="F134" s="15">
        <f>E134*0.6</f>
        <v>84000</v>
      </c>
      <c r="G134" s="15">
        <f t="shared" ref="G134:G147" si="62">H134*F134</f>
        <v>84000</v>
      </c>
      <c r="H134" s="16">
        <v>1</v>
      </c>
      <c r="I134" s="17" t="s">
        <v>13</v>
      </c>
      <c r="J134" s="13" t="s">
        <v>16</v>
      </c>
      <c r="K134" s="12" t="str">
        <f>K133</f>
        <v>ATY-MFO-25_EM_RP_HOST_AL</v>
      </c>
      <c r="L134">
        <v>84000</v>
      </c>
    </row>
    <row r="135" spans="1:12" ht="21" customHeight="1" x14ac:dyDescent="0.25">
      <c r="A135" s="12" t="str">
        <f t="shared" ref="A135:A148" si="63">A134</f>
        <v>ВРУ-Одн (ВРУ1-26-10 УХЛ 4) (RP)</v>
      </c>
      <c r="B135" s="13" t="s">
        <v>25</v>
      </c>
      <c r="C135" s="14" t="s">
        <v>46</v>
      </c>
      <c r="D135" s="12" t="s">
        <v>47</v>
      </c>
      <c r="E135" s="13">
        <v>6018</v>
      </c>
      <c r="F135" s="15">
        <f>E135</f>
        <v>6018</v>
      </c>
      <c r="G135" s="15">
        <f t="shared" si="62"/>
        <v>18054</v>
      </c>
      <c r="H135" s="16">
        <v>3</v>
      </c>
      <c r="I135" s="17" t="s">
        <v>13</v>
      </c>
      <c r="J135" s="13" t="s">
        <v>24</v>
      </c>
      <c r="K135" s="12" t="str">
        <f t="shared" ref="K135:K148" si="64">K134</f>
        <v>ATY-MFO-25_EM_RP_HOST_AL</v>
      </c>
      <c r="L135">
        <v>18054</v>
      </c>
    </row>
    <row r="136" spans="1:12" ht="21" customHeight="1" x14ac:dyDescent="0.25">
      <c r="A136" s="12" t="str">
        <f t="shared" si="63"/>
        <v>ВРУ-Одн (ВРУ1-26-10 УХЛ 4) (RP)</v>
      </c>
      <c r="B136" s="13" t="s">
        <v>29</v>
      </c>
      <c r="C136" s="14" t="s">
        <v>107</v>
      </c>
      <c r="D136" s="12" t="s">
        <v>108</v>
      </c>
      <c r="E136" s="13">
        <v>9575</v>
      </c>
      <c r="F136" s="15">
        <f t="shared" ref="F136" si="65">E136</f>
        <v>9575</v>
      </c>
      <c r="G136" s="15">
        <f t="shared" si="62"/>
        <v>9575</v>
      </c>
      <c r="H136" s="16">
        <v>1</v>
      </c>
      <c r="I136" s="17" t="s">
        <v>13</v>
      </c>
      <c r="J136" s="13" t="s">
        <v>24</v>
      </c>
      <c r="K136" s="12" t="str">
        <f t="shared" si="64"/>
        <v>ATY-MFO-25_EM_RP_HOST_AL</v>
      </c>
      <c r="L136">
        <v>9575</v>
      </c>
    </row>
    <row r="137" spans="1:12" ht="21" customHeight="1" x14ac:dyDescent="0.25">
      <c r="A137" s="12" t="str">
        <f t="shared" si="63"/>
        <v>ВРУ-Одн (ВРУ1-26-10 УХЛ 4) (RP)</v>
      </c>
      <c r="B137" s="13" t="s">
        <v>30</v>
      </c>
      <c r="C137" s="14" t="s">
        <v>109</v>
      </c>
      <c r="D137" s="12" t="s">
        <v>110</v>
      </c>
      <c r="E137" s="13">
        <v>1525</v>
      </c>
      <c r="F137" s="15">
        <f t="shared" ref="F137:F139" si="66">E137*0.6</f>
        <v>915</v>
      </c>
      <c r="G137" s="15">
        <f t="shared" si="62"/>
        <v>2745</v>
      </c>
      <c r="H137" s="16">
        <v>3</v>
      </c>
      <c r="I137" s="17" t="s">
        <v>13</v>
      </c>
      <c r="J137" s="13" t="s">
        <v>17</v>
      </c>
      <c r="K137" s="12" t="str">
        <f t="shared" si="64"/>
        <v>ATY-MFO-25_EM_RP_HOST_AL</v>
      </c>
      <c r="L137">
        <v>2745</v>
      </c>
    </row>
    <row r="138" spans="1:12" ht="21" customHeight="1" x14ac:dyDescent="0.25">
      <c r="A138" s="12" t="str">
        <f t="shared" si="63"/>
        <v>ВРУ-Одн (ВРУ1-26-10 УХЛ 4) (RP)</v>
      </c>
      <c r="B138" s="13" t="s">
        <v>30</v>
      </c>
      <c r="C138" s="14" t="s">
        <v>52</v>
      </c>
      <c r="D138" s="12" t="s">
        <v>53</v>
      </c>
      <c r="E138" s="13">
        <v>2038</v>
      </c>
      <c r="F138" s="15">
        <f t="shared" si="66"/>
        <v>1222.8</v>
      </c>
      <c r="G138" s="15">
        <f t="shared" si="62"/>
        <v>3668.3999999999996</v>
      </c>
      <c r="H138" s="16">
        <v>3</v>
      </c>
      <c r="I138" s="17" t="s">
        <v>13</v>
      </c>
      <c r="J138" s="13" t="s">
        <v>17</v>
      </c>
      <c r="K138" s="12" t="str">
        <f t="shared" si="64"/>
        <v>ATY-MFO-25_EM_RP_HOST_AL</v>
      </c>
      <c r="L138">
        <v>3668.3999999999996</v>
      </c>
    </row>
    <row r="139" spans="1:12" ht="21" customHeight="1" x14ac:dyDescent="0.25">
      <c r="A139" s="12" t="str">
        <f t="shared" si="63"/>
        <v>ВРУ-Одн (ВРУ1-26-10 УХЛ 4) (RP)</v>
      </c>
      <c r="B139" s="13" t="s">
        <v>12</v>
      </c>
      <c r="C139" s="14" t="s">
        <v>19</v>
      </c>
      <c r="D139" s="12" t="s">
        <v>20</v>
      </c>
      <c r="E139" s="13">
        <v>975</v>
      </c>
      <c r="F139" s="15">
        <f t="shared" si="66"/>
        <v>585</v>
      </c>
      <c r="G139" s="15">
        <f t="shared" si="62"/>
        <v>585</v>
      </c>
      <c r="H139" s="16">
        <v>1</v>
      </c>
      <c r="I139" s="17" t="s">
        <v>13</v>
      </c>
      <c r="J139" s="13" t="s">
        <v>17</v>
      </c>
      <c r="K139" s="12" t="str">
        <f t="shared" si="64"/>
        <v>ATY-MFO-25_EM_RP_HOST_AL</v>
      </c>
      <c r="L139">
        <v>585</v>
      </c>
    </row>
    <row r="140" spans="1:12" ht="22.5" customHeight="1" x14ac:dyDescent="0.25">
      <c r="A140" s="12" t="str">
        <f t="shared" si="63"/>
        <v>ВРУ-Одн (ВРУ1-26-10 УХЛ 4) (RP)</v>
      </c>
      <c r="B140" s="13" t="s">
        <v>18</v>
      </c>
      <c r="C140" s="14" t="s">
        <v>294</v>
      </c>
      <c r="D140" s="12" t="s">
        <v>295</v>
      </c>
      <c r="E140" s="13">
        <v>90000</v>
      </c>
      <c r="F140" s="15">
        <f t="shared" ref="F140:F141" si="67">E140</f>
        <v>90000</v>
      </c>
      <c r="G140" s="15">
        <f t="shared" si="62"/>
        <v>0</v>
      </c>
      <c r="H140" s="16">
        <v>0</v>
      </c>
      <c r="I140" s="17" t="s">
        <v>13</v>
      </c>
      <c r="J140" s="13" t="s">
        <v>24</v>
      </c>
      <c r="K140" s="12" t="str">
        <f t="shared" si="64"/>
        <v>ATY-MFO-25_EM_RP_HOST_AL</v>
      </c>
      <c r="L140">
        <v>0</v>
      </c>
    </row>
    <row r="141" spans="1:12" ht="21" customHeight="1" x14ac:dyDescent="0.25">
      <c r="A141" s="12" t="str">
        <f t="shared" si="63"/>
        <v>ВРУ-Одн (ВРУ1-26-10 УХЛ 4) (RP)</v>
      </c>
      <c r="B141" s="13" t="s">
        <v>92</v>
      </c>
      <c r="C141" s="14"/>
      <c r="D141" s="12" t="s">
        <v>65</v>
      </c>
      <c r="E141" s="13">
        <v>4500</v>
      </c>
      <c r="F141" s="15">
        <f t="shared" si="67"/>
        <v>4500</v>
      </c>
      <c r="G141" s="15">
        <f t="shared" si="62"/>
        <v>13500</v>
      </c>
      <c r="H141" s="16">
        <v>3</v>
      </c>
      <c r="I141" s="17" t="s">
        <v>13</v>
      </c>
      <c r="J141" s="13" t="s">
        <v>24</v>
      </c>
      <c r="K141" s="12" t="str">
        <f t="shared" si="64"/>
        <v>ATY-MFO-25_EM_RP_HOST_AL</v>
      </c>
      <c r="L141">
        <v>13500</v>
      </c>
    </row>
    <row r="142" spans="1:12" ht="21" customHeight="1" x14ac:dyDescent="0.25">
      <c r="A142" s="12" t="str">
        <f t="shared" si="63"/>
        <v>ВРУ-Одн (ВРУ1-26-10 УХЛ 4) (RP)</v>
      </c>
      <c r="B142" s="13" t="s">
        <v>12</v>
      </c>
      <c r="C142" s="14" t="s">
        <v>105</v>
      </c>
      <c r="D142" s="12" t="s">
        <v>106</v>
      </c>
      <c r="E142" s="13">
        <v>11002</v>
      </c>
      <c r="F142" s="15">
        <f t="shared" ref="F142:F144" si="68">E142*0.6</f>
        <v>6601.2</v>
      </c>
      <c r="G142" s="15">
        <f t="shared" si="62"/>
        <v>6601.2</v>
      </c>
      <c r="H142" s="16">
        <v>1</v>
      </c>
      <c r="I142" s="17" t="s">
        <v>13</v>
      </c>
      <c r="J142" s="13" t="s">
        <v>17</v>
      </c>
      <c r="K142" s="12" t="str">
        <f t="shared" si="64"/>
        <v>ATY-MFO-25_EM_RP_HOST_AL</v>
      </c>
      <c r="L142">
        <v>6601.2</v>
      </c>
    </row>
    <row r="143" spans="1:12" ht="21" customHeight="1" x14ac:dyDescent="0.25">
      <c r="A143" s="12" t="str">
        <f t="shared" si="63"/>
        <v>ВРУ-Одн (ВРУ1-26-10 УХЛ 4) (RP)</v>
      </c>
      <c r="B143" s="13" t="s">
        <v>12</v>
      </c>
      <c r="C143" s="14" t="s">
        <v>95</v>
      </c>
      <c r="D143" s="12" t="s">
        <v>96</v>
      </c>
      <c r="E143" s="13">
        <v>10552</v>
      </c>
      <c r="F143" s="15">
        <f t="shared" si="68"/>
        <v>6331.2</v>
      </c>
      <c r="G143" s="15">
        <f t="shared" si="62"/>
        <v>18993.599999999999</v>
      </c>
      <c r="H143" s="16">
        <v>3</v>
      </c>
      <c r="I143" s="17" t="s">
        <v>13</v>
      </c>
      <c r="J143" s="13" t="s">
        <v>17</v>
      </c>
      <c r="K143" s="12" t="str">
        <f t="shared" si="64"/>
        <v>ATY-MFO-25_EM_RP_HOST_AL</v>
      </c>
      <c r="L143">
        <v>18993.599999999999</v>
      </c>
    </row>
    <row r="144" spans="1:12" ht="21" customHeight="1" x14ac:dyDescent="0.25">
      <c r="A144" s="12" t="str">
        <f t="shared" si="63"/>
        <v>ВРУ-Одн (ВРУ1-26-10 УХЛ 4) (RP)</v>
      </c>
      <c r="B144" s="13" t="s">
        <v>12</v>
      </c>
      <c r="C144" s="14" t="s">
        <v>93</v>
      </c>
      <c r="D144" s="12" t="s">
        <v>94</v>
      </c>
      <c r="E144" s="13">
        <v>10552</v>
      </c>
      <c r="F144" s="15">
        <f t="shared" si="68"/>
        <v>6331.2</v>
      </c>
      <c r="G144" s="15">
        <f t="shared" si="62"/>
        <v>12662.4</v>
      </c>
      <c r="H144" s="16">
        <v>2</v>
      </c>
      <c r="I144" s="17" t="s">
        <v>13</v>
      </c>
      <c r="J144" s="13" t="s">
        <v>17</v>
      </c>
      <c r="K144" s="12" t="str">
        <f t="shared" si="64"/>
        <v>ATY-MFO-25_EM_RP_HOST_AL</v>
      </c>
      <c r="L144">
        <v>12662.4</v>
      </c>
    </row>
    <row r="145" spans="1:12" ht="21" customHeight="1" x14ac:dyDescent="0.25">
      <c r="A145" s="12" t="str">
        <f t="shared" si="63"/>
        <v>ВРУ-Одн (ВРУ1-26-10 УХЛ 4) (RP)</v>
      </c>
      <c r="B145" s="13" t="s">
        <v>28</v>
      </c>
      <c r="C145" s="14"/>
      <c r="D145" s="12" t="s">
        <v>28</v>
      </c>
      <c r="E145" s="13">
        <v>1000</v>
      </c>
      <c r="F145" s="15">
        <f t="shared" ref="F145" si="69">E145</f>
        <v>1000</v>
      </c>
      <c r="G145" s="15">
        <f t="shared" si="62"/>
        <v>1000</v>
      </c>
      <c r="H145" s="16">
        <v>1</v>
      </c>
      <c r="I145" s="17" t="s">
        <v>13</v>
      </c>
      <c r="J145" s="13" t="s">
        <v>24</v>
      </c>
      <c r="K145" s="12" t="str">
        <f t="shared" si="64"/>
        <v>ATY-MFO-25_EM_RP_HOST_AL</v>
      </c>
      <c r="L145">
        <v>1000</v>
      </c>
    </row>
    <row r="146" spans="1:12" ht="24" customHeight="1" x14ac:dyDescent="0.25">
      <c r="A146" s="12" t="str">
        <f t="shared" si="63"/>
        <v>ВРУ-Одн (ВРУ1-26-10 УХЛ 4) (RP)</v>
      </c>
      <c r="B146" s="12" t="s">
        <v>10</v>
      </c>
      <c r="C146" s="18" t="s">
        <v>10</v>
      </c>
      <c r="D146" s="12" t="s">
        <v>10</v>
      </c>
      <c r="E146" s="12">
        <f ca="1">OFFSET(E146,1,2)</f>
        <v>48000</v>
      </c>
      <c r="F146" s="15">
        <f ca="1">E146</f>
        <v>48000</v>
      </c>
      <c r="G146" s="15">
        <f t="shared" ca="1" si="62"/>
        <v>48000</v>
      </c>
      <c r="H146" s="12">
        <v>1</v>
      </c>
      <c r="I146" s="12" t="s">
        <v>13</v>
      </c>
      <c r="J146" s="12" t="s">
        <v>10</v>
      </c>
      <c r="K146" s="12" t="str">
        <f t="shared" si="64"/>
        <v>ATY-MFO-25_EM_RP_HOST_AL</v>
      </c>
      <c r="L146">
        <v>48000</v>
      </c>
    </row>
    <row r="147" spans="1:12" ht="21" customHeight="1" x14ac:dyDescent="0.25">
      <c r="A147" s="12" t="str">
        <f t="shared" si="63"/>
        <v>ВРУ-Одн (ВРУ1-26-10 УХЛ 4) (RP)</v>
      </c>
      <c r="B147" s="12" t="s">
        <v>11</v>
      </c>
      <c r="C147" s="18" t="s">
        <v>11</v>
      </c>
      <c r="D147" s="12" t="s">
        <v>11</v>
      </c>
      <c r="E147" s="12">
        <v>8</v>
      </c>
      <c r="F147" s="15">
        <v>100</v>
      </c>
      <c r="G147" s="15">
        <f t="shared" si="62"/>
        <v>48000</v>
      </c>
      <c r="H147" s="12">
        <f>60*E147</f>
        <v>480</v>
      </c>
      <c r="I147" s="12" t="s">
        <v>13</v>
      </c>
      <c r="J147" s="12" t="s">
        <v>11</v>
      </c>
      <c r="K147" s="12" t="str">
        <f t="shared" si="64"/>
        <v>ATY-MFO-25_EM_RP_HOST_AL</v>
      </c>
      <c r="L147">
        <v>48000</v>
      </c>
    </row>
    <row r="148" spans="1:12" ht="30" customHeight="1" x14ac:dyDescent="0.25">
      <c r="A148" s="12" t="str">
        <f t="shared" si="63"/>
        <v>ВРУ-Одн (ВРУ1-26-10 УХЛ 4) (RP)</v>
      </c>
      <c r="B148" s="19"/>
      <c r="C148" s="20"/>
      <c r="D148" s="21"/>
      <c r="E148" s="23"/>
      <c r="F148" s="25"/>
      <c r="G148" s="24">
        <f ca="1">SUM(G134:G147)</f>
        <v>267384.59999999998</v>
      </c>
      <c r="H148" s="20"/>
      <c r="I148" s="22"/>
      <c r="J148" s="20"/>
      <c r="K148" s="12" t="str">
        <f t="shared" si="64"/>
        <v>ATY-MFO-25_EM_RP_HOST_AL</v>
      </c>
      <c r="L148">
        <v>267384.59999999998</v>
      </c>
    </row>
    <row r="149" spans="1:12" ht="39.75" customHeight="1" x14ac:dyDescent="0.25">
      <c r="A149" s="5" t="str">
        <f>D149</f>
        <v>ЩУ-ОДН1 (RP)</v>
      </c>
      <c r="B149" s="6"/>
      <c r="C149" s="7"/>
      <c r="D149" s="6" t="s">
        <v>421</v>
      </c>
      <c r="E149" s="8"/>
      <c r="F149" s="8" t="s">
        <v>40</v>
      </c>
      <c r="G149" s="9"/>
      <c r="H149" s="10">
        <v>1</v>
      </c>
      <c r="I149" s="11" t="s">
        <v>7</v>
      </c>
      <c r="J149" s="6" t="s">
        <v>9</v>
      </c>
      <c r="K149" s="5" t="s">
        <v>142</v>
      </c>
    </row>
    <row r="150" spans="1:12" ht="21" customHeight="1" x14ac:dyDescent="0.25">
      <c r="A150" s="12" t="str">
        <f>A149</f>
        <v>ЩУ-ОДН1 (RP)</v>
      </c>
      <c r="B150" s="13" t="s">
        <v>8</v>
      </c>
      <c r="C150" s="14" t="s">
        <v>473</v>
      </c>
      <c r="D150" s="12" t="s">
        <v>474</v>
      </c>
      <c r="E150" s="13">
        <v>16150</v>
      </c>
      <c r="F150" s="15">
        <f t="shared" ref="F150:F151" si="70">E150*0.6</f>
        <v>9690</v>
      </c>
      <c r="G150" s="15">
        <f t="shared" ref="G150:G155" si="71">H150*F150</f>
        <v>9690</v>
      </c>
      <c r="H150" s="16">
        <v>1</v>
      </c>
      <c r="I150" s="17" t="s">
        <v>13</v>
      </c>
      <c r="J150" s="13" t="s">
        <v>16</v>
      </c>
      <c r="K150" s="12" t="str">
        <f>K149</f>
        <v>ATY-MFO-25_EM_RP_HOST_AL</v>
      </c>
      <c r="L150">
        <v>9690</v>
      </c>
    </row>
    <row r="151" spans="1:12" ht="21" customHeight="1" x14ac:dyDescent="0.25">
      <c r="A151" s="12" t="str">
        <f t="shared" ref="A151:A156" si="72">A150</f>
        <v>ЩУ-ОДН1 (RP)</v>
      </c>
      <c r="B151" s="13" t="s">
        <v>54</v>
      </c>
      <c r="C151" s="14" t="s">
        <v>55</v>
      </c>
      <c r="D151" s="12" t="s">
        <v>56</v>
      </c>
      <c r="E151" s="13">
        <v>3372</v>
      </c>
      <c r="F151" s="15">
        <f t="shared" si="70"/>
        <v>2023.1999999999998</v>
      </c>
      <c r="G151" s="15">
        <f t="shared" si="71"/>
        <v>2023.1999999999998</v>
      </c>
      <c r="H151" s="16">
        <v>1</v>
      </c>
      <c r="I151" s="17" t="s">
        <v>13</v>
      </c>
      <c r="J151" s="13" t="s">
        <v>17</v>
      </c>
      <c r="K151" s="12" t="str">
        <f t="shared" ref="K151:K156" si="73">K150</f>
        <v>ATY-MFO-25_EM_RP_HOST_AL</v>
      </c>
      <c r="L151">
        <v>2023.1999999999998</v>
      </c>
    </row>
    <row r="152" spans="1:12" ht="22.5" customHeight="1" x14ac:dyDescent="0.25">
      <c r="A152" s="12" t="str">
        <f t="shared" si="72"/>
        <v>ЩУ-ОДН1 (RP)</v>
      </c>
      <c r="B152" s="13" t="s">
        <v>18</v>
      </c>
      <c r="C152" s="14" t="s">
        <v>292</v>
      </c>
      <c r="D152" s="12" t="s">
        <v>293</v>
      </c>
      <c r="E152" s="13">
        <v>90000</v>
      </c>
      <c r="F152" s="15">
        <f t="shared" ref="F152" si="74">E152</f>
        <v>90000</v>
      </c>
      <c r="G152" s="15">
        <f t="shared" si="71"/>
        <v>0</v>
      </c>
      <c r="H152" s="16">
        <v>0</v>
      </c>
      <c r="I152" s="17" t="s">
        <v>13</v>
      </c>
      <c r="J152" s="13" t="s">
        <v>24</v>
      </c>
      <c r="K152" s="12" t="str">
        <f t="shared" si="73"/>
        <v>ATY-MFO-25_EM_RP_HOST_AL</v>
      </c>
      <c r="L152">
        <v>0</v>
      </c>
    </row>
    <row r="153" spans="1:12" ht="21" customHeight="1" x14ac:dyDescent="0.25">
      <c r="A153" s="12" t="str">
        <f t="shared" si="72"/>
        <v>ЩУ-ОДН1 (RP)</v>
      </c>
      <c r="B153" s="13" t="s">
        <v>12</v>
      </c>
      <c r="C153" s="14" t="s">
        <v>48</v>
      </c>
      <c r="D153" s="12" t="s">
        <v>49</v>
      </c>
      <c r="E153" s="13">
        <v>2499</v>
      </c>
      <c r="F153" s="15">
        <f>E153*0.6</f>
        <v>1499.3999999999999</v>
      </c>
      <c r="G153" s="15">
        <f t="shared" si="71"/>
        <v>2998.7999999999997</v>
      </c>
      <c r="H153" s="16">
        <v>2</v>
      </c>
      <c r="I153" s="17" t="s">
        <v>13</v>
      </c>
      <c r="J153" s="13" t="s">
        <v>17</v>
      </c>
      <c r="K153" s="12" t="str">
        <f t="shared" si="73"/>
        <v>ATY-MFO-25_EM_RP_HOST_AL</v>
      </c>
      <c r="L153">
        <v>2998.7999999999997</v>
      </c>
    </row>
    <row r="154" spans="1:12" ht="24" customHeight="1" x14ac:dyDescent="0.25">
      <c r="A154" s="12" t="str">
        <f t="shared" si="72"/>
        <v>ЩУ-ОДН1 (RP)</v>
      </c>
      <c r="B154" s="12" t="s">
        <v>10</v>
      </c>
      <c r="C154" s="18" t="s">
        <v>10</v>
      </c>
      <c r="D154" s="12" t="s">
        <v>10</v>
      </c>
      <c r="E154" s="12">
        <f ca="1">OFFSET(E154,1,2)</f>
        <v>6000</v>
      </c>
      <c r="F154" s="15">
        <f ca="1">E154</f>
        <v>6000</v>
      </c>
      <c r="G154" s="15">
        <f t="shared" ca="1" si="71"/>
        <v>6000</v>
      </c>
      <c r="H154" s="12">
        <v>1</v>
      </c>
      <c r="I154" s="12" t="s">
        <v>13</v>
      </c>
      <c r="J154" s="12" t="s">
        <v>10</v>
      </c>
      <c r="K154" s="12" t="str">
        <f t="shared" si="73"/>
        <v>ATY-MFO-25_EM_RP_HOST_AL</v>
      </c>
      <c r="L154">
        <v>6000</v>
      </c>
    </row>
    <row r="155" spans="1:12" ht="21" customHeight="1" x14ac:dyDescent="0.25">
      <c r="A155" s="12" t="str">
        <f t="shared" si="72"/>
        <v>ЩУ-ОДН1 (RP)</v>
      </c>
      <c r="B155" s="12" t="s">
        <v>11</v>
      </c>
      <c r="C155" s="18" t="s">
        <v>11</v>
      </c>
      <c r="D155" s="12" t="s">
        <v>11</v>
      </c>
      <c r="E155" s="12">
        <v>1</v>
      </c>
      <c r="F155" s="15">
        <v>100</v>
      </c>
      <c r="G155" s="15">
        <f t="shared" si="71"/>
        <v>6000</v>
      </c>
      <c r="H155" s="12">
        <f>60*E155</f>
        <v>60</v>
      </c>
      <c r="I155" s="12" t="s">
        <v>13</v>
      </c>
      <c r="J155" s="12" t="s">
        <v>11</v>
      </c>
      <c r="K155" s="12" t="str">
        <f t="shared" si="73"/>
        <v>ATY-MFO-25_EM_RP_HOST_AL</v>
      </c>
      <c r="L155">
        <v>6000</v>
      </c>
    </row>
    <row r="156" spans="1:12" ht="30" customHeight="1" x14ac:dyDescent="0.25">
      <c r="A156" s="12" t="str">
        <f t="shared" si="72"/>
        <v>ЩУ-ОДН1 (RP)</v>
      </c>
      <c r="B156" s="19"/>
      <c r="C156" s="20"/>
      <c r="D156" s="21"/>
      <c r="E156" s="23"/>
      <c r="F156" s="25"/>
      <c r="G156" s="24">
        <f ca="1">SUM(G150:G155)</f>
        <v>26712</v>
      </c>
      <c r="H156" s="20"/>
      <c r="I156" s="22"/>
      <c r="J156" s="20"/>
      <c r="K156" s="12" t="str">
        <f t="shared" si="73"/>
        <v>ATY-MFO-25_EM_RP_HOST_AL</v>
      </c>
      <c r="L156">
        <v>26712</v>
      </c>
    </row>
    <row r="157" spans="1:12" ht="39.75" customHeight="1" x14ac:dyDescent="0.25">
      <c r="A157" s="5" t="str">
        <f>D157</f>
        <v>АВР-ОДН (RP)</v>
      </c>
      <c r="B157" s="6"/>
      <c r="C157" s="7"/>
      <c r="D157" s="6" t="s">
        <v>422</v>
      </c>
      <c r="E157" s="8"/>
      <c r="F157" s="8" t="s">
        <v>40</v>
      </c>
      <c r="G157" s="9"/>
      <c r="H157" s="10">
        <v>1</v>
      </c>
      <c r="I157" s="11" t="s">
        <v>7</v>
      </c>
      <c r="J157" s="6" t="s">
        <v>9</v>
      </c>
      <c r="K157" s="5" t="s">
        <v>142</v>
      </c>
      <c r="L157" s="29">
        <f t="shared" ref="L157:L181" si="75">G157</f>
        <v>0</v>
      </c>
    </row>
    <row r="158" spans="1:12" ht="21" customHeight="1" x14ac:dyDescent="0.25">
      <c r="A158" s="12" t="str">
        <f>A157</f>
        <v>АВР-ОДН (RP)</v>
      </c>
      <c r="B158" s="13" t="s">
        <v>8</v>
      </c>
      <c r="C158" s="14" t="s">
        <v>483</v>
      </c>
      <c r="D158" s="12" t="s">
        <v>482</v>
      </c>
      <c r="E158" s="13">
        <v>165000</v>
      </c>
      <c r="F158" s="15">
        <f>E158*0.6</f>
        <v>99000</v>
      </c>
      <c r="G158" s="15">
        <f t="shared" ref="G158:G166" si="76">H158*F158</f>
        <v>198000</v>
      </c>
      <c r="H158" s="16">
        <v>2</v>
      </c>
      <c r="I158" s="17" t="s">
        <v>13</v>
      </c>
      <c r="J158" s="13" t="s">
        <v>16</v>
      </c>
      <c r="K158" s="12" t="str">
        <f>K157</f>
        <v>ATY-MFO-25_EM_RP_HOST_AL</v>
      </c>
      <c r="L158" s="29">
        <f t="shared" si="75"/>
        <v>198000</v>
      </c>
    </row>
    <row r="159" spans="1:12" ht="21" customHeight="1" x14ac:dyDescent="0.25">
      <c r="A159" s="12" t="str">
        <f t="shared" ref="A159:A167" si="77">A158</f>
        <v>АВР-ОДН (RP)</v>
      </c>
      <c r="B159" s="13" t="s">
        <v>25</v>
      </c>
      <c r="C159" s="14" t="s">
        <v>66</v>
      </c>
      <c r="D159" s="12" t="s">
        <v>67</v>
      </c>
      <c r="E159" s="13">
        <v>5523</v>
      </c>
      <c r="F159" s="15">
        <f>E159</f>
        <v>5523</v>
      </c>
      <c r="G159" s="15">
        <f t="shared" si="76"/>
        <v>16569</v>
      </c>
      <c r="H159" s="16">
        <v>3</v>
      </c>
      <c r="I159" s="17" t="s">
        <v>13</v>
      </c>
      <c r="J159" s="13" t="s">
        <v>24</v>
      </c>
      <c r="K159" s="12" t="str">
        <f t="shared" ref="K159:K167" si="78">K158</f>
        <v>ATY-MFO-25_EM_RP_HOST_AL</v>
      </c>
      <c r="L159" s="29">
        <f t="shared" si="75"/>
        <v>16569</v>
      </c>
    </row>
    <row r="160" spans="1:12" ht="21" customHeight="1" x14ac:dyDescent="0.25">
      <c r="A160" s="12" t="str">
        <f t="shared" si="77"/>
        <v>АВР-ОДН (RP)</v>
      </c>
      <c r="B160" s="13" t="s">
        <v>43</v>
      </c>
      <c r="C160" s="14" t="s">
        <v>111</v>
      </c>
      <c r="D160" s="12" t="s">
        <v>112</v>
      </c>
      <c r="E160" s="13">
        <v>621513</v>
      </c>
      <c r="F160" s="15">
        <f t="shared" ref="F160:F161" si="79">E160*0.6</f>
        <v>372907.8</v>
      </c>
      <c r="G160" s="15">
        <f t="shared" si="76"/>
        <v>745815.6</v>
      </c>
      <c r="H160" s="16">
        <v>2</v>
      </c>
      <c r="I160" s="17" t="s">
        <v>13</v>
      </c>
      <c r="J160" s="13" t="s">
        <v>17</v>
      </c>
      <c r="K160" s="12" t="str">
        <f t="shared" si="78"/>
        <v>ATY-MFO-25_EM_RP_HOST_AL</v>
      </c>
      <c r="L160" s="29">
        <f t="shared" si="75"/>
        <v>745815.6</v>
      </c>
    </row>
    <row r="161" spans="1:12" ht="21" customHeight="1" x14ac:dyDescent="0.25">
      <c r="A161" s="12" t="str">
        <f t="shared" si="77"/>
        <v>АВР-ОДН (RP)</v>
      </c>
      <c r="B161" s="13" t="s">
        <v>12</v>
      </c>
      <c r="C161" s="14" t="s">
        <v>19</v>
      </c>
      <c r="D161" s="12" t="s">
        <v>20</v>
      </c>
      <c r="E161" s="13">
        <v>975</v>
      </c>
      <c r="F161" s="15">
        <f t="shared" si="79"/>
        <v>585</v>
      </c>
      <c r="G161" s="15">
        <f t="shared" si="76"/>
        <v>1755</v>
      </c>
      <c r="H161" s="16">
        <v>3</v>
      </c>
      <c r="I161" s="17" t="s">
        <v>13</v>
      </c>
      <c r="J161" s="13" t="s">
        <v>17</v>
      </c>
      <c r="K161" s="12" t="str">
        <f t="shared" si="78"/>
        <v>ATY-MFO-25_EM_RP_HOST_AL</v>
      </c>
      <c r="L161" s="29">
        <f t="shared" si="75"/>
        <v>1755</v>
      </c>
    </row>
    <row r="162" spans="1:12" ht="22.5" customHeight="1" x14ac:dyDescent="0.25">
      <c r="A162" s="12" t="str">
        <f t="shared" si="77"/>
        <v>АВР-ОДН (RP)</v>
      </c>
      <c r="B162" s="13" t="s">
        <v>18</v>
      </c>
      <c r="C162" s="14" t="s">
        <v>290</v>
      </c>
      <c r="D162" s="12" t="s">
        <v>291</v>
      </c>
      <c r="E162" s="13">
        <v>90000</v>
      </c>
      <c r="F162" s="15">
        <f t="shared" ref="F162:F163" si="80">E162</f>
        <v>90000</v>
      </c>
      <c r="G162" s="15">
        <f t="shared" si="76"/>
        <v>0</v>
      </c>
      <c r="H162" s="16">
        <v>0</v>
      </c>
      <c r="I162" s="17" t="s">
        <v>13</v>
      </c>
      <c r="J162" s="13" t="s">
        <v>24</v>
      </c>
      <c r="K162" s="12" t="str">
        <f t="shared" si="78"/>
        <v>ATY-MFO-25_EM_RP_HOST_AL</v>
      </c>
      <c r="L162" s="29">
        <f t="shared" si="75"/>
        <v>0</v>
      </c>
    </row>
    <row r="163" spans="1:12" ht="21" customHeight="1" x14ac:dyDescent="0.25">
      <c r="A163" s="12" t="str">
        <f t="shared" si="77"/>
        <v>АВР-ОДН (RP)</v>
      </c>
      <c r="B163" s="13" t="s">
        <v>92</v>
      </c>
      <c r="C163" s="14"/>
      <c r="D163" s="12" t="s">
        <v>65</v>
      </c>
      <c r="E163" s="13">
        <v>4500</v>
      </c>
      <c r="F163" s="15">
        <f t="shared" si="80"/>
        <v>4500</v>
      </c>
      <c r="G163" s="15">
        <f t="shared" si="76"/>
        <v>13500</v>
      </c>
      <c r="H163" s="16">
        <v>3</v>
      </c>
      <c r="I163" s="17" t="s">
        <v>13</v>
      </c>
      <c r="J163" s="13" t="s">
        <v>24</v>
      </c>
      <c r="K163" s="12" t="str">
        <f t="shared" si="78"/>
        <v>ATY-MFO-25_EM_RP_HOST_AL</v>
      </c>
      <c r="L163" s="29">
        <f t="shared" si="75"/>
        <v>13500</v>
      </c>
    </row>
    <row r="164" spans="1:12" ht="21" customHeight="1" x14ac:dyDescent="0.25">
      <c r="A164" s="12" t="str">
        <f t="shared" si="77"/>
        <v>АВР-ОДН (RP)</v>
      </c>
      <c r="B164" s="13" t="s">
        <v>28</v>
      </c>
      <c r="C164" s="14"/>
      <c r="D164" s="12" t="s">
        <v>28</v>
      </c>
      <c r="E164" s="13">
        <v>1000</v>
      </c>
      <c r="F164" s="15">
        <f t="shared" ref="F164" si="81">E164</f>
        <v>1000</v>
      </c>
      <c r="G164" s="15">
        <f t="shared" si="76"/>
        <v>1000</v>
      </c>
      <c r="H164" s="16">
        <v>1</v>
      </c>
      <c r="I164" s="17" t="s">
        <v>13</v>
      </c>
      <c r="J164" s="13" t="s">
        <v>24</v>
      </c>
      <c r="K164" s="12" t="str">
        <f t="shared" si="78"/>
        <v>ATY-MFO-25_EM_RP_HOST_AL</v>
      </c>
      <c r="L164" s="29">
        <f t="shared" si="75"/>
        <v>1000</v>
      </c>
    </row>
    <row r="165" spans="1:12" ht="24" customHeight="1" x14ac:dyDescent="0.25">
      <c r="A165" s="12" t="str">
        <f t="shared" si="77"/>
        <v>АВР-ОДН (RP)</v>
      </c>
      <c r="B165" s="12" t="s">
        <v>10</v>
      </c>
      <c r="C165" s="18" t="s">
        <v>10</v>
      </c>
      <c r="D165" s="12" t="s">
        <v>10</v>
      </c>
      <c r="E165" s="12">
        <v>70000</v>
      </c>
      <c r="F165" s="15">
        <f>E165</f>
        <v>70000</v>
      </c>
      <c r="G165" s="15">
        <f t="shared" si="76"/>
        <v>70000</v>
      </c>
      <c r="H165" s="12">
        <v>1</v>
      </c>
      <c r="I165" s="12" t="s">
        <v>13</v>
      </c>
      <c r="J165" s="12" t="s">
        <v>10</v>
      </c>
      <c r="K165" s="12" t="str">
        <f t="shared" si="78"/>
        <v>ATY-MFO-25_EM_RP_HOST_AL</v>
      </c>
      <c r="L165" s="29">
        <f t="shared" si="75"/>
        <v>70000</v>
      </c>
    </row>
    <row r="166" spans="1:12" ht="21" customHeight="1" x14ac:dyDescent="0.25">
      <c r="A166" s="12" t="str">
        <f t="shared" si="77"/>
        <v>АВР-ОДН (RP)</v>
      </c>
      <c r="B166" s="12" t="s">
        <v>11</v>
      </c>
      <c r="C166" s="18" t="s">
        <v>11</v>
      </c>
      <c r="D166" s="12" t="s">
        <v>11</v>
      </c>
      <c r="E166" s="12">
        <v>14</v>
      </c>
      <c r="F166" s="15">
        <v>100</v>
      </c>
      <c r="G166" s="15">
        <f t="shared" si="76"/>
        <v>84000</v>
      </c>
      <c r="H166" s="12">
        <f>60*E166</f>
        <v>840</v>
      </c>
      <c r="I166" s="12" t="s">
        <v>13</v>
      </c>
      <c r="J166" s="12" t="s">
        <v>11</v>
      </c>
      <c r="K166" s="12" t="str">
        <f t="shared" si="78"/>
        <v>ATY-MFO-25_EM_RP_HOST_AL</v>
      </c>
      <c r="L166" s="29">
        <f t="shared" si="75"/>
        <v>84000</v>
      </c>
    </row>
    <row r="167" spans="1:12" ht="30" customHeight="1" x14ac:dyDescent="0.25">
      <c r="A167" s="12" t="str">
        <f t="shared" si="77"/>
        <v>АВР-ОДН (RP)</v>
      </c>
      <c r="B167" s="19"/>
      <c r="C167" s="20"/>
      <c r="D167" s="21"/>
      <c r="E167" s="23"/>
      <c r="F167" s="25"/>
      <c r="G167" s="24">
        <f>SUM(G158:G166)</f>
        <v>1130639.6000000001</v>
      </c>
      <c r="H167" s="20"/>
      <c r="I167" s="22"/>
      <c r="J167" s="20"/>
      <c r="K167" s="12" t="str">
        <f t="shared" si="78"/>
        <v>ATY-MFO-25_EM_RP_HOST_AL</v>
      </c>
      <c r="L167" s="29">
        <f t="shared" si="75"/>
        <v>1130639.6000000001</v>
      </c>
    </row>
    <row r="168" spans="1:12" ht="39.75" customHeight="1" x14ac:dyDescent="0.25">
      <c r="A168" s="5" t="str">
        <f>D168</f>
        <v>ЩАВР-ОДН (ПР11-7123-21УЗ) (RP)</v>
      </c>
      <c r="B168" s="6"/>
      <c r="C168" s="7"/>
      <c r="D168" s="6" t="s">
        <v>423</v>
      </c>
      <c r="E168" s="8"/>
      <c r="F168" s="8" t="s">
        <v>40</v>
      </c>
      <c r="G168" s="9"/>
      <c r="H168" s="10">
        <v>1</v>
      </c>
      <c r="I168" s="11" t="s">
        <v>7</v>
      </c>
      <c r="J168" s="6" t="s">
        <v>9</v>
      </c>
      <c r="K168" s="5" t="s">
        <v>142</v>
      </c>
      <c r="L168" s="29">
        <f t="shared" si="75"/>
        <v>0</v>
      </c>
    </row>
    <row r="169" spans="1:12" ht="21" customHeight="1" x14ac:dyDescent="0.25">
      <c r="A169" s="12" t="str">
        <f>A168</f>
        <v>ЩАВР-ОДН (ПР11-7123-21УЗ) (RP)</v>
      </c>
      <c r="B169" s="13" t="s">
        <v>8</v>
      </c>
      <c r="C169" s="14" t="s">
        <v>38</v>
      </c>
      <c r="D169" s="12" t="s">
        <v>39</v>
      </c>
      <c r="E169" s="13">
        <v>155000</v>
      </c>
      <c r="F169" s="15">
        <f t="shared" ref="F169:F177" si="82">E169*0.6</f>
        <v>93000</v>
      </c>
      <c r="G169" s="15">
        <f t="shared" ref="G169:G180" si="83">H169*F169</f>
        <v>93000</v>
      </c>
      <c r="H169" s="16">
        <v>1</v>
      </c>
      <c r="I169" s="17" t="s">
        <v>13</v>
      </c>
      <c r="J169" s="13" t="s">
        <v>16</v>
      </c>
      <c r="K169" s="12" t="str">
        <f>K168</f>
        <v>ATY-MFO-25_EM_RP_HOST_AL</v>
      </c>
      <c r="L169" s="29">
        <f t="shared" si="75"/>
        <v>93000</v>
      </c>
    </row>
    <row r="170" spans="1:12" ht="21" customHeight="1" x14ac:dyDescent="0.25">
      <c r="A170" s="12" t="str">
        <f t="shared" ref="A170:A181" si="84">A169</f>
        <v>ЩАВР-ОДН (ПР11-7123-21УЗ) (RP)</v>
      </c>
      <c r="B170" s="13" t="s">
        <v>33</v>
      </c>
      <c r="C170" s="14" t="s">
        <v>117</v>
      </c>
      <c r="D170" s="12" t="s">
        <v>118</v>
      </c>
      <c r="E170" s="13">
        <v>34800</v>
      </c>
      <c r="F170" s="15">
        <f t="shared" si="82"/>
        <v>20880</v>
      </c>
      <c r="G170" s="15">
        <f t="shared" si="83"/>
        <v>20880</v>
      </c>
      <c r="H170" s="16">
        <v>1</v>
      </c>
      <c r="I170" s="17" t="s">
        <v>13</v>
      </c>
      <c r="J170" s="13" t="s">
        <v>17</v>
      </c>
      <c r="K170" s="12" t="str">
        <f t="shared" ref="K170:K181" si="85">K169</f>
        <v>ATY-MFO-25_EM_RP_HOST_AL</v>
      </c>
      <c r="L170" s="29">
        <f t="shared" si="75"/>
        <v>20880</v>
      </c>
    </row>
    <row r="171" spans="1:12" ht="21" customHeight="1" x14ac:dyDescent="0.25">
      <c r="A171" s="12" t="str">
        <f t="shared" si="84"/>
        <v>ЩАВР-ОДН (ПР11-7123-21УЗ) (RP)</v>
      </c>
      <c r="B171" s="13" t="s">
        <v>12</v>
      </c>
      <c r="C171" s="14" t="s">
        <v>113</v>
      </c>
      <c r="D171" s="12" t="s">
        <v>114</v>
      </c>
      <c r="E171" s="13">
        <v>11015</v>
      </c>
      <c r="F171" s="15">
        <f t="shared" si="82"/>
        <v>6609</v>
      </c>
      <c r="G171" s="15">
        <f t="shared" si="83"/>
        <v>6609</v>
      </c>
      <c r="H171" s="16">
        <v>1</v>
      </c>
      <c r="I171" s="17" t="s">
        <v>13</v>
      </c>
      <c r="J171" s="13" t="s">
        <v>17</v>
      </c>
      <c r="K171" s="12" t="str">
        <f t="shared" si="85"/>
        <v>ATY-MFO-25_EM_RP_HOST_AL</v>
      </c>
      <c r="L171" s="29">
        <f t="shared" si="75"/>
        <v>6609</v>
      </c>
    </row>
    <row r="172" spans="1:12" ht="21" customHeight="1" x14ac:dyDescent="0.25">
      <c r="A172" s="12" t="str">
        <f t="shared" si="84"/>
        <v>ЩАВР-ОДН (ПР11-7123-21УЗ) (RP)</v>
      </c>
      <c r="B172" s="13" t="s">
        <v>12</v>
      </c>
      <c r="C172" s="14" t="s">
        <v>115</v>
      </c>
      <c r="D172" s="12" t="s">
        <v>116</v>
      </c>
      <c r="E172" s="13">
        <v>10949</v>
      </c>
      <c r="F172" s="15">
        <f t="shared" si="82"/>
        <v>6569.4</v>
      </c>
      <c r="G172" s="15">
        <f t="shared" si="83"/>
        <v>19708.199999999997</v>
      </c>
      <c r="H172" s="16">
        <v>3</v>
      </c>
      <c r="I172" s="17" t="s">
        <v>13</v>
      </c>
      <c r="J172" s="13" t="s">
        <v>17</v>
      </c>
      <c r="K172" s="12" t="str">
        <f t="shared" si="85"/>
        <v>ATY-MFO-25_EM_RP_HOST_AL</v>
      </c>
      <c r="L172" s="29">
        <f t="shared" si="75"/>
        <v>19708.199999999997</v>
      </c>
    </row>
    <row r="173" spans="1:12" ht="21" customHeight="1" x14ac:dyDescent="0.25">
      <c r="A173" s="12" t="str">
        <f t="shared" si="84"/>
        <v>ЩАВР-ОДН (ПР11-7123-21УЗ) (RP)</v>
      </c>
      <c r="B173" s="13" t="s">
        <v>12</v>
      </c>
      <c r="C173" s="14" t="s">
        <v>74</v>
      </c>
      <c r="D173" s="12" t="s">
        <v>75</v>
      </c>
      <c r="E173" s="13">
        <v>12113</v>
      </c>
      <c r="F173" s="15">
        <f t="shared" si="82"/>
        <v>7267.8</v>
      </c>
      <c r="G173" s="15">
        <f t="shared" si="83"/>
        <v>7267.8</v>
      </c>
      <c r="H173" s="16">
        <v>1</v>
      </c>
      <c r="I173" s="17" t="s">
        <v>13</v>
      </c>
      <c r="J173" s="13" t="s">
        <v>17</v>
      </c>
      <c r="K173" s="12" t="str">
        <f t="shared" si="85"/>
        <v>ATY-MFO-25_EM_RP_HOST_AL</v>
      </c>
      <c r="L173" s="29">
        <f t="shared" si="75"/>
        <v>7267.8</v>
      </c>
    </row>
    <row r="174" spans="1:12" ht="21" customHeight="1" x14ac:dyDescent="0.25">
      <c r="A174" s="12" t="str">
        <f t="shared" si="84"/>
        <v>ЩАВР-ОДН (ПР11-7123-21УЗ) (RP)</v>
      </c>
      <c r="B174" s="13" t="s">
        <v>12</v>
      </c>
      <c r="C174" s="14" t="s">
        <v>105</v>
      </c>
      <c r="D174" s="12" t="s">
        <v>106</v>
      </c>
      <c r="E174" s="13">
        <v>11002</v>
      </c>
      <c r="F174" s="15">
        <f t="shared" si="82"/>
        <v>6601.2</v>
      </c>
      <c r="G174" s="15">
        <f t="shared" si="83"/>
        <v>19803.599999999999</v>
      </c>
      <c r="H174" s="16">
        <v>3</v>
      </c>
      <c r="I174" s="17" t="s">
        <v>13</v>
      </c>
      <c r="J174" s="13" t="s">
        <v>17</v>
      </c>
      <c r="K174" s="12" t="str">
        <f t="shared" si="85"/>
        <v>ATY-MFO-25_EM_RP_HOST_AL</v>
      </c>
      <c r="L174" s="29">
        <f t="shared" si="75"/>
        <v>19803.599999999999</v>
      </c>
    </row>
    <row r="175" spans="1:12" ht="21" customHeight="1" x14ac:dyDescent="0.25">
      <c r="A175" s="12" t="str">
        <f t="shared" si="84"/>
        <v>ЩАВР-ОДН (ПР11-7123-21УЗ) (RP)</v>
      </c>
      <c r="B175" s="13" t="s">
        <v>12</v>
      </c>
      <c r="C175" s="14" t="s">
        <v>95</v>
      </c>
      <c r="D175" s="12" t="s">
        <v>96</v>
      </c>
      <c r="E175" s="13">
        <v>10552</v>
      </c>
      <c r="F175" s="15">
        <f t="shared" si="82"/>
        <v>6331.2</v>
      </c>
      <c r="G175" s="15">
        <f t="shared" si="83"/>
        <v>18993.599999999999</v>
      </c>
      <c r="H175" s="16">
        <v>3</v>
      </c>
      <c r="I175" s="17" t="s">
        <v>13</v>
      </c>
      <c r="J175" s="13" t="s">
        <v>17</v>
      </c>
      <c r="K175" s="12" t="str">
        <f t="shared" si="85"/>
        <v>ATY-MFO-25_EM_RP_HOST_AL</v>
      </c>
      <c r="L175" s="29">
        <f t="shared" si="75"/>
        <v>18993.599999999999</v>
      </c>
    </row>
    <row r="176" spans="1:12" ht="21" customHeight="1" x14ac:dyDescent="0.25">
      <c r="A176" s="12" t="str">
        <f t="shared" si="84"/>
        <v>ЩАВР-ОДН (ПР11-7123-21УЗ) (RP)</v>
      </c>
      <c r="B176" s="13" t="s">
        <v>12</v>
      </c>
      <c r="C176" s="14" t="s">
        <v>93</v>
      </c>
      <c r="D176" s="12" t="s">
        <v>94</v>
      </c>
      <c r="E176" s="13">
        <v>10552</v>
      </c>
      <c r="F176" s="15">
        <f t="shared" si="82"/>
        <v>6331.2</v>
      </c>
      <c r="G176" s="15">
        <f t="shared" si="83"/>
        <v>6331.2</v>
      </c>
      <c r="H176" s="16">
        <v>1</v>
      </c>
      <c r="I176" s="17" t="s">
        <v>13</v>
      </c>
      <c r="J176" s="13" t="s">
        <v>17</v>
      </c>
      <c r="K176" s="12" t="str">
        <f t="shared" si="85"/>
        <v>ATY-MFO-25_EM_RP_HOST_AL</v>
      </c>
      <c r="L176" s="29">
        <f t="shared" si="75"/>
        <v>6331.2</v>
      </c>
    </row>
    <row r="177" spans="1:12" ht="20.25" customHeight="1" x14ac:dyDescent="0.25">
      <c r="A177" s="12" t="str">
        <f t="shared" si="84"/>
        <v>ЩАВР-ОДН (ПР11-7123-21УЗ) (RP)</v>
      </c>
      <c r="B177" s="13" t="s">
        <v>12</v>
      </c>
      <c r="C177" s="14" t="s">
        <v>97</v>
      </c>
      <c r="D177" s="12" t="s">
        <v>98</v>
      </c>
      <c r="E177" s="13">
        <v>5884</v>
      </c>
      <c r="F177" s="15">
        <f t="shared" si="82"/>
        <v>3530.4</v>
      </c>
      <c r="G177" s="15">
        <f t="shared" si="83"/>
        <v>3530.4</v>
      </c>
      <c r="H177" s="16">
        <v>1</v>
      </c>
      <c r="I177" s="17" t="s">
        <v>13</v>
      </c>
      <c r="J177" s="13" t="s">
        <v>17</v>
      </c>
      <c r="K177" s="12" t="str">
        <f t="shared" si="85"/>
        <v>ATY-MFO-25_EM_RP_HOST_AL</v>
      </c>
      <c r="L177" s="29">
        <f t="shared" si="75"/>
        <v>3530.4</v>
      </c>
    </row>
    <row r="178" spans="1:12" ht="21" customHeight="1" x14ac:dyDescent="0.25">
      <c r="A178" s="12" t="str">
        <f t="shared" si="84"/>
        <v>ЩАВР-ОДН (ПР11-7123-21УЗ) (RP)</v>
      </c>
      <c r="B178" s="13" t="s">
        <v>28</v>
      </c>
      <c r="C178" s="14"/>
      <c r="D178" s="12" t="s">
        <v>28</v>
      </c>
      <c r="E178" s="13">
        <v>1000</v>
      </c>
      <c r="F178" s="15">
        <f t="shared" ref="F178" si="86">E178</f>
        <v>1000</v>
      </c>
      <c r="G178" s="15">
        <f t="shared" si="83"/>
        <v>1000</v>
      </c>
      <c r="H178" s="16">
        <v>1</v>
      </c>
      <c r="I178" s="17" t="s">
        <v>13</v>
      </c>
      <c r="J178" s="13" t="s">
        <v>24</v>
      </c>
      <c r="K178" s="12" t="str">
        <f t="shared" si="85"/>
        <v>ATY-MFO-25_EM_RP_HOST_AL</v>
      </c>
      <c r="L178" s="29">
        <f t="shared" si="75"/>
        <v>1000</v>
      </c>
    </row>
    <row r="179" spans="1:12" ht="24" customHeight="1" x14ac:dyDescent="0.25">
      <c r="A179" s="12" t="str">
        <f t="shared" si="84"/>
        <v>ЩАВР-ОДН (ПР11-7123-21УЗ) (RP)</v>
      </c>
      <c r="B179" s="12" t="s">
        <v>10</v>
      </c>
      <c r="C179" s="18" t="s">
        <v>10</v>
      </c>
      <c r="D179" s="12" t="s">
        <v>10</v>
      </c>
      <c r="E179" s="12">
        <v>48000</v>
      </c>
      <c r="F179" s="15">
        <f>E179</f>
        <v>48000</v>
      </c>
      <c r="G179" s="15">
        <f t="shared" si="83"/>
        <v>48000</v>
      </c>
      <c r="H179" s="12">
        <v>1</v>
      </c>
      <c r="I179" s="12" t="s">
        <v>13</v>
      </c>
      <c r="J179" s="12" t="s">
        <v>10</v>
      </c>
      <c r="K179" s="12" t="str">
        <f t="shared" si="85"/>
        <v>ATY-MFO-25_EM_RP_HOST_AL</v>
      </c>
      <c r="L179" s="29">
        <f t="shared" si="75"/>
        <v>48000</v>
      </c>
    </row>
    <row r="180" spans="1:12" ht="21" customHeight="1" x14ac:dyDescent="0.25">
      <c r="A180" s="12" t="str">
        <f t="shared" si="84"/>
        <v>ЩАВР-ОДН (ПР11-7123-21УЗ) (RP)</v>
      </c>
      <c r="B180" s="12" t="s">
        <v>11</v>
      </c>
      <c r="C180" s="18" t="s">
        <v>11</v>
      </c>
      <c r="D180" s="12" t="s">
        <v>11</v>
      </c>
      <c r="E180" s="12">
        <v>8</v>
      </c>
      <c r="F180" s="15">
        <v>100</v>
      </c>
      <c r="G180" s="15">
        <f t="shared" si="83"/>
        <v>48000</v>
      </c>
      <c r="H180" s="12">
        <f>60*E180</f>
        <v>480</v>
      </c>
      <c r="I180" s="12" t="s">
        <v>13</v>
      </c>
      <c r="J180" s="12" t="s">
        <v>11</v>
      </c>
      <c r="K180" s="12" t="str">
        <f t="shared" si="85"/>
        <v>ATY-MFO-25_EM_RP_HOST_AL</v>
      </c>
      <c r="L180" s="29">
        <f t="shared" si="75"/>
        <v>48000</v>
      </c>
    </row>
    <row r="181" spans="1:12" ht="30" customHeight="1" x14ac:dyDescent="0.25">
      <c r="A181" s="12" t="str">
        <f t="shared" si="84"/>
        <v>ЩАВР-ОДН (ПР11-7123-21УЗ) (RP)</v>
      </c>
      <c r="B181" s="19"/>
      <c r="C181" s="20"/>
      <c r="D181" s="21"/>
      <c r="E181" s="23"/>
      <c r="F181" s="25"/>
      <c r="G181" s="24">
        <f>SUM(G169:G180)</f>
        <v>293123.80000000005</v>
      </c>
      <c r="H181" s="20"/>
      <c r="I181" s="22"/>
      <c r="J181" s="20"/>
      <c r="K181" s="12" t="str">
        <f t="shared" si="85"/>
        <v>ATY-MFO-25_EM_RP_HOST_AL</v>
      </c>
      <c r="L181" s="29">
        <f t="shared" si="75"/>
        <v>293123.80000000005</v>
      </c>
    </row>
    <row r="182" spans="1:12" ht="39.75" customHeight="1" x14ac:dyDescent="0.25">
      <c r="A182" s="5" t="str">
        <f>D182</f>
        <v>ЩУ-ОДН2 (RP)</v>
      </c>
      <c r="B182" s="6"/>
      <c r="C182" s="7"/>
      <c r="D182" s="6" t="s">
        <v>424</v>
      </c>
      <c r="E182" s="8"/>
      <c r="F182" s="8" t="s">
        <v>40</v>
      </c>
      <c r="G182" s="9"/>
      <c r="H182" s="10">
        <v>1</v>
      </c>
      <c r="I182" s="11" t="s">
        <v>7</v>
      </c>
      <c r="J182" s="6" t="s">
        <v>9</v>
      </c>
      <c r="K182" s="5" t="s">
        <v>142</v>
      </c>
    </row>
    <row r="183" spans="1:12" ht="21" customHeight="1" x14ac:dyDescent="0.25">
      <c r="A183" s="12" t="str">
        <f>A182</f>
        <v>ЩУ-ОДН2 (RP)</v>
      </c>
      <c r="B183" s="13" t="s">
        <v>8</v>
      </c>
      <c r="C183" s="14" t="s">
        <v>475</v>
      </c>
      <c r="D183" s="12" t="s">
        <v>476</v>
      </c>
      <c r="E183" s="13">
        <v>70490</v>
      </c>
      <c r="F183" s="15">
        <f t="shared" ref="F183:F186" si="87">E183*0.6</f>
        <v>42294</v>
      </c>
      <c r="G183" s="15">
        <f t="shared" ref="G183:G192" si="88">H183*F183</f>
        <v>42294</v>
      </c>
      <c r="H183" s="16">
        <v>1</v>
      </c>
      <c r="I183" s="17" t="s">
        <v>13</v>
      </c>
      <c r="J183" s="13" t="s">
        <v>16</v>
      </c>
      <c r="K183" s="12" t="str">
        <f>K182</f>
        <v>ATY-MFO-25_EM_RP_HOST_AL</v>
      </c>
      <c r="L183">
        <v>42294</v>
      </c>
    </row>
    <row r="184" spans="1:12" ht="21" customHeight="1" x14ac:dyDescent="0.25">
      <c r="A184" s="12" t="str">
        <f>A182</f>
        <v>ЩУ-ОДН2 (RP)</v>
      </c>
      <c r="B184" s="13" t="s">
        <v>54</v>
      </c>
      <c r="C184" s="14" t="s">
        <v>119</v>
      </c>
      <c r="D184" s="12" t="s">
        <v>120</v>
      </c>
      <c r="E184" s="13">
        <v>4217</v>
      </c>
      <c r="F184" s="15">
        <f t="shared" si="87"/>
        <v>2530.1999999999998</v>
      </c>
      <c r="G184" s="15">
        <f t="shared" si="88"/>
        <v>2530.1999999999998</v>
      </c>
      <c r="H184" s="16">
        <v>1</v>
      </c>
      <c r="I184" s="17" t="s">
        <v>13</v>
      </c>
      <c r="J184" s="13" t="s">
        <v>17</v>
      </c>
      <c r="K184" s="12" t="str">
        <f>K182</f>
        <v>ATY-MFO-25_EM_RP_HOST_AL</v>
      </c>
      <c r="L184">
        <v>2530.1999999999998</v>
      </c>
    </row>
    <row r="185" spans="1:12" ht="21" customHeight="1" x14ac:dyDescent="0.25">
      <c r="A185" s="12" t="str">
        <f>A183</f>
        <v>ЩУ-ОДН2 (RP)</v>
      </c>
      <c r="B185" s="13" t="s">
        <v>54</v>
      </c>
      <c r="C185" s="14" t="s">
        <v>57</v>
      </c>
      <c r="D185" s="12" t="s">
        <v>58</v>
      </c>
      <c r="E185" s="13">
        <v>3372</v>
      </c>
      <c r="F185" s="15">
        <f t="shared" si="87"/>
        <v>2023.1999999999998</v>
      </c>
      <c r="G185" s="15">
        <f t="shared" si="88"/>
        <v>6069.5999999999995</v>
      </c>
      <c r="H185" s="16">
        <v>3</v>
      </c>
      <c r="I185" s="17" t="s">
        <v>13</v>
      </c>
      <c r="J185" s="13" t="s">
        <v>17</v>
      </c>
      <c r="K185" s="12" t="str">
        <f>K183</f>
        <v>ATY-MFO-25_EM_RP_HOST_AL</v>
      </c>
      <c r="L185">
        <v>6069.5999999999995</v>
      </c>
    </row>
    <row r="186" spans="1:12" ht="21" customHeight="1" x14ac:dyDescent="0.25">
      <c r="A186" s="12" t="str">
        <f t="shared" ref="A186:A193" si="89">A185</f>
        <v>ЩУ-ОДН2 (RP)</v>
      </c>
      <c r="B186" s="13" t="s">
        <v>54</v>
      </c>
      <c r="C186" s="14" t="s">
        <v>55</v>
      </c>
      <c r="D186" s="12" t="s">
        <v>56</v>
      </c>
      <c r="E186" s="13">
        <v>3372</v>
      </c>
      <c r="F186" s="15">
        <f t="shared" si="87"/>
        <v>2023.1999999999998</v>
      </c>
      <c r="G186" s="15">
        <f t="shared" si="88"/>
        <v>2023.1999999999998</v>
      </c>
      <c r="H186" s="16">
        <v>1</v>
      </c>
      <c r="I186" s="17" t="s">
        <v>13</v>
      </c>
      <c r="J186" s="13" t="s">
        <v>17</v>
      </c>
      <c r="K186" s="12" t="str">
        <f t="shared" ref="K186:K193" si="90">K185</f>
        <v>ATY-MFO-25_EM_RP_HOST_AL</v>
      </c>
      <c r="L186">
        <v>2023.1999999999998</v>
      </c>
    </row>
    <row r="187" spans="1:12" ht="22.5" customHeight="1" x14ac:dyDescent="0.25">
      <c r="A187" s="12" t="str">
        <f t="shared" si="89"/>
        <v>ЩУ-ОДН2 (RP)</v>
      </c>
      <c r="B187" s="13" t="s">
        <v>18</v>
      </c>
      <c r="C187" s="14" t="s">
        <v>292</v>
      </c>
      <c r="D187" s="12" t="s">
        <v>293</v>
      </c>
      <c r="E187" s="13">
        <v>90000</v>
      </c>
      <c r="F187" s="15">
        <f t="shared" ref="F187" si="91">E187</f>
        <v>90000</v>
      </c>
      <c r="G187" s="15">
        <f t="shared" si="88"/>
        <v>0</v>
      </c>
      <c r="H187" s="16">
        <v>0</v>
      </c>
      <c r="I187" s="17" t="s">
        <v>13</v>
      </c>
      <c r="J187" s="13" t="s">
        <v>24</v>
      </c>
      <c r="K187" s="12" t="str">
        <f t="shared" si="90"/>
        <v>ATY-MFO-25_EM_RP_HOST_AL</v>
      </c>
      <c r="L187">
        <v>0</v>
      </c>
    </row>
    <row r="188" spans="1:12" ht="21" customHeight="1" x14ac:dyDescent="0.25">
      <c r="A188" s="12" t="str">
        <f t="shared" ref="A188" si="92">A187</f>
        <v>ЩУ-ОДН2 (RP)</v>
      </c>
      <c r="B188" s="13" t="s">
        <v>12</v>
      </c>
      <c r="C188" s="14" t="s">
        <v>121</v>
      </c>
      <c r="D188" s="12" t="s">
        <v>122</v>
      </c>
      <c r="E188" s="13">
        <v>3172</v>
      </c>
      <c r="F188" s="15">
        <f t="shared" ref="F188:F190" si="93">E188*0.6</f>
        <v>1903.1999999999998</v>
      </c>
      <c r="G188" s="15">
        <f t="shared" si="88"/>
        <v>1903.1999999999998</v>
      </c>
      <c r="H188" s="16">
        <v>1</v>
      </c>
      <c r="I188" s="17" t="s">
        <v>13</v>
      </c>
      <c r="J188" s="13" t="s">
        <v>17</v>
      </c>
      <c r="K188" s="12" t="str">
        <f t="shared" ref="K188" si="94">K187</f>
        <v>ATY-MFO-25_EM_RP_HOST_AL</v>
      </c>
      <c r="L188">
        <v>1903.1999999999998</v>
      </c>
    </row>
    <row r="189" spans="1:12" ht="21" customHeight="1" x14ac:dyDescent="0.25">
      <c r="A189" s="12" t="str">
        <f>A187</f>
        <v>ЩУ-ОДН2 (RP)</v>
      </c>
      <c r="B189" s="13" t="s">
        <v>12</v>
      </c>
      <c r="C189" s="14" t="s">
        <v>27</v>
      </c>
      <c r="D189" s="12" t="s">
        <v>26</v>
      </c>
      <c r="E189" s="13">
        <v>2606</v>
      </c>
      <c r="F189" s="15">
        <f t="shared" si="93"/>
        <v>1563.6</v>
      </c>
      <c r="G189" s="15">
        <f t="shared" si="88"/>
        <v>4690.7999999999993</v>
      </c>
      <c r="H189" s="16">
        <v>3</v>
      </c>
      <c r="I189" s="17" t="s">
        <v>13</v>
      </c>
      <c r="J189" s="13" t="s">
        <v>17</v>
      </c>
      <c r="K189" s="12" t="str">
        <f>K187</f>
        <v>ATY-MFO-25_EM_RP_HOST_AL</v>
      </c>
      <c r="L189">
        <v>4690.7999999999993</v>
      </c>
    </row>
    <row r="190" spans="1:12" ht="21" customHeight="1" x14ac:dyDescent="0.25">
      <c r="A190" s="12" t="str">
        <f t="shared" si="89"/>
        <v>ЩУ-ОДН2 (RP)</v>
      </c>
      <c r="B190" s="13" t="s">
        <v>12</v>
      </c>
      <c r="C190" s="14" t="s">
        <v>48</v>
      </c>
      <c r="D190" s="12" t="s">
        <v>49</v>
      </c>
      <c r="E190" s="13">
        <v>2499</v>
      </c>
      <c r="F190" s="15">
        <f t="shared" si="93"/>
        <v>1499.3999999999999</v>
      </c>
      <c r="G190" s="15">
        <f t="shared" si="88"/>
        <v>1499.3999999999999</v>
      </c>
      <c r="H190" s="16">
        <v>1</v>
      </c>
      <c r="I190" s="17" t="s">
        <v>13</v>
      </c>
      <c r="J190" s="13" t="s">
        <v>17</v>
      </c>
      <c r="K190" s="12" t="str">
        <f t="shared" si="90"/>
        <v>ATY-MFO-25_EM_RP_HOST_AL</v>
      </c>
      <c r="L190">
        <v>1499.3999999999999</v>
      </c>
    </row>
    <row r="191" spans="1:12" ht="24" customHeight="1" x14ac:dyDescent="0.25">
      <c r="A191" s="12" t="str">
        <f>A189</f>
        <v>ЩУ-ОДН2 (RP)</v>
      </c>
      <c r="B191" s="12" t="s">
        <v>10</v>
      </c>
      <c r="C191" s="18" t="s">
        <v>10</v>
      </c>
      <c r="D191" s="12" t="s">
        <v>10</v>
      </c>
      <c r="E191" s="12">
        <f ca="1">OFFSET(E191,1,2)</f>
        <v>18000</v>
      </c>
      <c r="F191" s="15">
        <f ca="1">E191</f>
        <v>18000</v>
      </c>
      <c r="G191" s="15">
        <f t="shared" ca="1" si="88"/>
        <v>18000</v>
      </c>
      <c r="H191" s="12">
        <v>1</v>
      </c>
      <c r="I191" s="12" t="s">
        <v>13</v>
      </c>
      <c r="J191" s="12" t="s">
        <v>10</v>
      </c>
      <c r="K191" s="12" t="str">
        <f>K189</f>
        <v>ATY-MFO-25_EM_RP_HOST_AL</v>
      </c>
      <c r="L191">
        <v>18000</v>
      </c>
    </row>
    <row r="192" spans="1:12" ht="21" customHeight="1" x14ac:dyDescent="0.25">
      <c r="A192" s="12" t="str">
        <f t="shared" si="89"/>
        <v>ЩУ-ОДН2 (RP)</v>
      </c>
      <c r="B192" s="12" t="s">
        <v>11</v>
      </c>
      <c r="C192" s="18" t="s">
        <v>11</v>
      </c>
      <c r="D192" s="12" t="s">
        <v>11</v>
      </c>
      <c r="E192" s="12">
        <v>3</v>
      </c>
      <c r="F192" s="15">
        <v>100</v>
      </c>
      <c r="G192" s="15">
        <f t="shared" si="88"/>
        <v>18000</v>
      </c>
      <c r="H192" s="12">
        <f>60*E192</f>
        <v>180</v>
      </c>
      <c r="I192" s="12" t="s">
        <v>13</v>
      </c>
      <c r="J192" s="12" t="s">
        <v>11</v>
      </c>
      <c r="K192" s="12" t="str">
        <f t="shared" si="90"/>
        <v>ATY-MFO-25_EM_RP_HOST_AL</v>
      </c>
      <c r="L192">
        <v>18000</v>
      </c>
    </row>
    <row r="193" spans="1:12" ht="30" customHeight="1" x14ac:dyDescent="0.25">
      <c r="A193" s="12" t="str">
        <f t="shared" si="89"/>
        <v>ЩУ-ОДН2 (RP)</v>
      </c>
      <c r="B193" s="19"/>
      <c r="C193" s="20"/>
      <c r="D193" s="21"/>
      <c r="E193" s="23"/>
      <c r="F193" s="25"/>
      <c r="G193" s="24">
        <f ca="1">SUM(G183:G192)</f>
        <v>97010.4</v>
      </c>
      <c r="H193" s="20"/>
      <c r="I193" s="22"/>
      <c r="J193" s="20"/>
      <c r="K193" s="12" t="str">
        <f t="shared" si="90"/>
        <v>ATY-MFO-25_EM_RP_HOST_AL</v>
      </c>
      <c r="L193">
        <v>97010.4</v>
      </c>
    </row>
    <row r="194" spans="1:12" ht="39.75" customHeight="1" x14ac:dyDescent="0.25">
      <c r="A194" s="5" t="str">
        <f>D194</f>
        <v>ЩО-2 (RP)</v>
      </c>
      <c r="B194" s="6"/>
      <c r="C194" s="7"/>
      <c r="D194" s="6" t="s">
        <v>425</v>
      </c>
      <c r="E194" s="8"/>
      <c r="F194" s="8" t="s">
        <v>40</v>
      </c>
      <c r="G194" s="9"/>
      <c r="H194" s="10">
        <v>1</v>
      </c>
      <c r="I194" s="11" t="s">
        <v>7</v>
      </c>
      <c r="J194" s="6" t="s">
        <v>9</v>
      </c>
      <c r="K194" s="5" t="s">
        <v>142</v>
      </c>
    </row>
    <row r="195" spans="1:12" ht="21" customHeight="1" x14ac:dyDescent="0.25">
      <c r="A195" s="12" t="str">
        <f>A194</f>
        <v>ЩО-2 (RP)</v>
      </c>
      <c r="B195" s="13" t="s">
        <v>8</v>
      </c>
      <c r="C195" s="14" t="s">
        <v>300</v>
      </c>
      <c r="D195" s="12" t="s">
        <v>301</v>
      </c>
      <c r="E195" s="13">
        <v>14695</v>
      </c>
      <c r="F195" s="15">
        <f t="shared" ref="F195:F197" si="95">E195*0.6</f>
        <v>8817</v>
      </c>
      <c r="G195" s="15">
        <f t="shared" ref="G195:G199" si="96">H195*F195</f>
        <v>8817</v>
      </c>
      <c r="H195" s="16">
        <v>1</v>
      </c>
      <c r="I195" s="17" t="s">
        <v>13</v>
      </c>
      <c r="J195" s="13" t="s">
        <v>16</v>
      </c>
      <c r="K195" s="12" t="str">
        <f>K194</f>
        <v>ATY-MFO-25_EM_RP_HOST_AL</v>
      </c>
      <c r="L195">
        <v>8817</v>
      </c>
    </row>
    <row r="196" spans="1:12" ht="21" customHeight="1" x14ac:dyDescent="0.25">
      <c r="A196" s="12" t="str">
        <f t="shared" ref="A196:A200" si="97">A195</f>
        <v>ЩО-2 (RP)</v>
      </c>
      <c r="B196" s="13" t="s">
        <v>54</v>
      </c>
      <c r="C196" s="14" t="s">
        <v>55</v>
      </c>
      <c r="D196" s="12" t="s">
        <v>56</v>
      </c>
      <c r="E196" s="13">
        <v>3372</v>
      </c>
      <c r="F196" s="15">
        <f t="shared" si="95"/>
        <v>2023.1999999999998</v>
      </c>
      <c r="G196" s="15">
        <f t="shared" si="96"/>
        <v>2023.1999999999998</v>
      </c>
      <c r="H196" s="16">
        <v>1</v>
      </c>
      <c r="I196" s="17" t="s">
        <v>13</v>
      </c>
      <c r="J196" s="13" t="s">
        <v>17</v>
      </c>
      <c r="K196" s="12" t="str">
        <f t="shared" ref="K196:K200" si="98">K195</f>
        <v>ATY-MFO-25_EM_RP_HOST_AL</v>
      </c>
      <c r="L196">
        <v>2023.1999999999998</v>
      </c>
    </row>
    <row r="197" spans="1:12" ht="21" customHeight="1" x14ac:dyDescent="0.25">
      <c r="A197" s="12" t="str">
        <f t="shared" si="97"/>
        <v>ЩО-2 (RP)</v>
      </c>
      <c r="B197" s="13" t="s">
        <v>12</v>
      </c>
      <c r="C197" s="14" t="s">
        <v>50</v>
      </c>
      <c r="D197" s="12" t="s">
        <v>51</v>
      </c>
      <c r="E197" s="13">
        <v>783</v>
      </c>
      <c r="F197" s="15">
        <f t="shared" si="95"/>
        <v>469.79999999999995</v>
      </c>
      <c r="G197" s="15">
        <f t="shared" si="96"/>
        <v>4698</v>
      </c>
      <c r="H197" s="16">
        <v>10</v>
      </c>
      <c r="I197" s="17" t="s">
        <v>13</v>
      </c>
      <c r="J197" s="13" t="s">
        <v>17</v>
      </c>
      <c r="K197" s="12" t="str">
        <f t="shared" si="98"/>
        <v>ATY-MFO-25_EM_RP_HOST_AL</v>
      </c>
      <c r="L197">
        <v>4698</v>
      </c>
    </row>
    <row r="198" spans="1:12" ht="24" customHeight="1" x14ac:dyDescent="0.25">
      <c r="A198" s="12" t="str">
        <f t="shared" si="97"/>
        <v>ЩО-2 (RP)</v>
      </c>
      <c r="B198" s="12" t="s">
        <v>10</v>
      </c>
      <c r="C198" s="18" t="s">
        <v>10</v>
      </c>
      <c r="D198" s="12" t="s">
        <v>10</v>
      </c>
      <c r="E198" s="12">
        <f ca="1">OFFSET(E198,1,2)</f>
        <v>3000</v>
      </c>
      <c r="F198" s="15">
        <f ca="1">E198</f>
        <v>3000</v>
      </c>
      <c r="G198" s="15">
        <f t="shared" ca="1" si="96"/>
        <v>3000</v>
      </c>
      <c r="H198" s="12">
        <v>1</v>
      </c>
      <c r="I198" s="12" t="s">
        <v>13</v>
      </c>
      <c r="J198" s="12" t="s">
        <v>10</v>
      </c>
      <c r="K198" s="12" t="str">
        <f t="shared" si="98"/>
        <v>ATY-MFO-25_EM_RP_HOST_AL</v>
      </c>
      <c r="L198">
        <v>3000</v>
      </c>
    </row>
    <row r="199" spans="1:12" ht="21" customHeight="1" x14ac:dyDescent="0.25">
      <c r="A199" s="12" t="str">
        <f t="shared" si="97"/>
        <v>ЩО-2 (RP)</v>
      </c>
      <c r="B199" s="12" t="s">
        <v>11</v>
      </c>
      <c r="C199" s="18" t="s">
        <v>11</v>
      </c>
      <c r="D199" s="12" t="s">
        <v>11</v>
      </c>
      <c r="E199" s="12">
        <v>0.5</v>
      </c>
      <c r="F199" s="15">
        <v>100</v>
      </c>
      <c r="G199" s="15">
        <f t="shared" si="96"/>
        <v>3000</v>
      </c>
      <c r="H199" s="12">
        <f>60*E199</f>
        <v>30</v>
      </c>
      <c r="I199" s="12" t="s">
        <v>13</v>
      </c>
      <c r="J199" s="12" t="s">
        <v>11</v>
      </c>
      <c r="K199" s="12" t="str">
        <f t="shared" si="98"/>
        <v>ATY-MFO-25_EM_RP_HOST_AL</v>
      </c>
      <c r="L199">
        <v>3000</v>
      </c>
    </row>
    <row r="200" spans="1:12" ht="30" customHeight="1" x14ac:dyDescent="0.25">
      <c r="A200" s="12" t="str">
        <f t="shared" si="97"/>
        <v>ЩО-2 (RP)</v>
      </c>
      <c r="B200" s="19"/>
      <c r="C200" s="20"/>
      <c r="D200" s="21"/>
      <c r="E200" s="23"/>
      <c r="F200" s="25"/>
      <c r="G200" s="24">
        <f ca="1">SUM(G195:G199)</f>
        <v>21538.2</v>
      </c>
      <c r="H200" s="20"/>
      <c r="I200" s="22"/>
      <c r="J200" s="20"/>
      <c r="K200" s="12" t="str">
        <f t="shared" si="98"/>
        <v>ATY-MFO-25_EM_RP_HOST_AL</v>
      </c>
      <c r="L200">
        <v>21538.2</v>
      </c>
    </row>
    <row r="201" spans="1:12" ht="39.75" customHeight="1" x14ac:dyDescent="0.25">
      <c r="A201" s="5" t="str">
        <f>D201</f>
        <v>ЩОп-2 (RP)</v>
      </c>
      <c r="B201" s="6"/>
      <c r="C201" s="7"/>
      <c r="D201" s="6" t="s">
        <v>426</v>
      </c>
      <c r="E201" s="8"/>
      <c r="F201" s="8" t="s">
        <v>40</v>
      </c>
      <c r="G201" s="9"/>
      <c r="H201" s="10">
        <v>1</v>
      </c>
      <c r="I201" s="11" t="s">
        <v>7</v>
      </c>
      <c r="J201" s="6" t="s">
        <v>9</v>
      </c>
      <c r="K201" s="5" t="s">
        <v>142</v>
      </c>
    </row>
    <row r="202" spans="1:12" ht="21" customHeight="1" x14ac:dyDescent="0.25">
      <c r="A202" s="12" t="str">
        <f>A201</f>
        <v>ЩОп-2 (RP)</v>
      </c>
      <c r="B202" s="13" t="s">
        <v>8</v>
      </c>
      <c r="C202" s="14" t="s">
        <v>298</v>
      </c>
      <c r="D202" s="12" t="s">
        <v>299</v>
      </c>
      <c r="E202" s="13">
        <v>10270</v>
      </c>
      <c r="F202" s="15">
        <f t="shared" ref="F202:F204" si="99">E202*0.6</f>
        <v>6162</v>
      </c>
      <c r="G202" s="15">
        <f t="shared" ref="G202:G206" si="100">H202*F202</f>
        <v>6162</v>
      </c>
      <c r="H202" s="16">
        <v>1</v>
      </c>
      <c r="I202" s="17" t="s">
        <v>13</v>
      </c>
      <c r="J202" s="13" t="s">
        <v>16</v>
      </c>
      <c r="K202" s="12" t="str">
        <f>K201</f>
        <v>ATY-MFO-25_EM_RP_HOST_AL</v>
      </c>
      <c r="L202">
        <v>6162</v>
      </c>
    </row>
    <row r="203" spans="1:12" ht="21" customHeight="1" x14ac:dyDescent="0.25">
      <c r="A203" s="12" t="str">
        <f t="shared" ref="A203:A207" si="101">A202</f>
        <v>ЩОп-2 (RP)</v>
      </c>
      <c r="B203" s="13" t="s">
        <v>54</v>
      </c>
      <c r="C203" s="14" t="s">
        <v>55</v>
      </c>
      <c r="D203" s="12" t="s">
        <v>56</v>
      </c>
      <c r="E203" s="13">
        <v>3372</v>
      </c>
      <c r="F203" s="15">
        <f t="shared" si="99"/>
        <v>2023.1999999999998</v>
      </c>
      <c r="G203" s="15">
        <f t="shared" si="100"/>
        <v>2023.1999999999998</v>
      </c>
      <c r="H203" s="16">
        <v>1</v>
      </c>
      <c r="I203" s="17" t="s">
        <v>13</v>
      </c>
      <c r="J203" s="13" t="s">
        <v>17</v>
      </c>
      <c r="K203" s="12" t="str">
        <f t="shared" ref="K203:K207" si="102">K202</f>
        <v>ATY-MFO-25_EM_RP_HOST_AL</v>
      </c>
      <c r="L203">
        <v>2023.1999999999998</v>
      </c>
    </row>
    <row r="204" spans="1:12" ht="21" customHeight="1" x14ac:dyDescent="0.25">
      <c r="A204" s="12" t="str">
        <f t="shared" si="101"/>
        <v>ЩОп-2 (RP)</v>
      </c>
      <c r="B204" s="13" t="s">
        <v>12</v>
      </c>
      <c r="C204" s="14" t="s">
        <v>50</v>
      </c>
      <c r="D204" s="12" t="s">
        <v>51</v>
      </c>
      <c r="E204" s="13">
        <v>783</v>
      </c>
      <c r="F204" s="15">
        <f t="shared" si="99"/>
        <v>469.79999999999995</v>
      </c>
      <c r="G204" s="15">
        <f t="shared" si="100"/>
        <v>2818.7999999999997</v>
      </c>
      <c r="H204" s="16">
        <v>6</v>
      </c>
      <c r="I204" s="17" t="s">
        <v>13</v>
      </c>
      <c r="J204" s="13" t="s">
        <v>17</v>
      </c>
      <c r="K204" s="12" t="str">
        <f t="shared" si="102"/>
        <v>ATY-MFO-25_EM_RP_HOST_AL</v>
      </c>
      <c r="L204">
        <v>2818.7999999999997</v>
      </c>
    </row>
    <row r="205" spans="1:12" ht="24" customHeight="1" x14ac:dyDescent="0.25">
      <c r="A205" s="12" t="str">
        <f t="shared" si="101"/>
        <v>ЩОп-2 (RP)</v>
      </c>
      <c r="B205" s="12" t="s">
        <v>10</v>
      </c>
      <c r="C205" s="18" t="s">
        <v>10</v>
      </c>
      <c r="D205" s="12" t="s">
        <v>10</v>
      </c>
      <c r="E205" s="12">
        <f ca="1">OFFSET(E205,1,2)</f>
        <v>3000</v>
      </c>
      <c r="F205" s="15">
        <f ca="1">E205</f>
        <v>3000</v>
      </c>
      <c r="G205" s="15">
        <f t="shared" ca="1" si="100"/>
        <v>3000</v>
      </c>
      <c r="H205" s="12">
        <v>1</v>
      </c>
      <c r="I205" s="12" t="s">
        <v>13</v>
      </c>
      <c r="J205" s="12" t="s">
        <v>10</v>
      </c>
      <c r="K205" s="12" t="str">
        <f t="shared" si="102"/>
        <v>ATY-MFO-25_EM_RP_HOST_AL</v>
      </c>
      <c r="L205">
        <v>3000</v>
      </c>
    </row>
    <row r="206" spans="1:12" ht="21" customHeight="1" x14ac:dyDescent="0.25">
      <c r="A206" s="12" t="str">
        <f t="shared" si="101"/>
        <v>ЩОп-2 (RP)</v>
      </c>
      <c r="B206" s="12" t="s">
        <v>11</v>
      </c>
      <c r="C206" s="18" t="s">
        <v>11</v>
      </c>
      <c r="D206" s="12" t="s">
        <v>11</v>
      </c>
      <c r="E206" s="12">
        <v>0.5</v>
      </c>
      <c r="F206" s="15">
        <v>100</v>
      </c>
      <c r="G206" s="15">
        <f t="shared" si="100"/>
        <v>3000</v>
      </c>
      <c r="H206" s="12">
        <f>60*E206</f>
        <v>30</v>
      </c>
      <c r="I206" s="12" t="s">
        <v>13</v>
      </c>
      <c r="J206" s="12" t="s">
        <v>11</v>
      </c>
      <c r="K206" s="12" t="str">
        <f t="shared" si="102"/>
        <v>ATY-MFO-25_EM_RP_HOST_AL</v>
      </c>
      <c r="L206">
        <v>3000</v>
      </c>
    </row>
    <row r="207" spans="1:12" ht="30" customHeight="1" x14ac:dyDescent="0.25">
      <c r="A207" s="12" t="str">
        <f t="shared" si="101"/>
        <v>ЩОп-2 (RP)</v>
      </c>
      <c r="B207" s="19"/>
      <c r="C207" s="20"/>
      <c r="D207" s="21"/>
      <c r="E207" s="23"/>
      <c r="F207" s="25"/>
      <c r="G207" s="24">
        <f ca="1">SUM(G202:G206)</f>
        <v>17004</v>
      </c>
      <c r="H207" s="20"/>
      <c r="I207" s="22"/>
      <c r="J207" s="20"/>
      <c r="K207" s="12" t="str">
        <f t="shared" si="102"/>
        <v>ATY-MFO-25_EM_RP_HOST_AL</v>
      </c>
      <c r="L207">
        <v>17004</v>
      </c>
    </row>
    <row r="208" spans="1:12" ht="39.75" customHeight="1" x14ac:dyDescent="0.25">
      <c r="A208" s="5" t="str">
        <f>D208</f>
        <v>ЩОк (RP)</v>
      </c>
      <c r="B208" s="6"/>
      <c r="C208" s="7"/>
      <c r="D208" s="6" t="s">
        <v>427</v>
      </c>
      <c r="E208" s="8"/>
      <c r="F208" s="8" t="s">
        <v>40</v>
      </c>
      <c r="G208" s="9"/>
      <c r="H208" s="10">
        <v>1</v>
      </c>
      <c r="I208" s="11" t="s">
        <v>7</v>
      </c>
      <c r="J208" s="6" t="s">
        <v>9</v>
      </c>
      <c r="K208" s="5" t="s">
        <v>142</v>
      </c>
    </row>
    <row r="209" spans="1:12" ht="21" customHeight="1" x14ac:dyDescent="0.25">
      <c r="A209" s="12" t="str">
        <f>A208</f>
        <v>ЩОк (RP)</v>
      </c>
      <c r="B209" s="13" t="s">
        <v>8</v>
      </c>
      <c r="C209" s="14" t="s">
        <v>298</v>
      </c>
      <c r="D209" s="12" t="s">
        <v>299</v>
      </c>
      <c r="E209" s="13">
        <v>10270</v>
      </c>
      <c r="F209" s="15">
        <f t="shared" ref="F209:F211" si="103">E209*0.6</f>
        <v>6162</v>
      </c>
      <c r="G209" s="15">
        <f t="shared" ref="G209:G213" si="104">H209*F209</f>
        <v>6162</v>
      </c>
      <c r="H209" s="16">
        <v>1</v>
      </c>
      <c r="I209" s="17" t="s">
        <v>13</v>
      </c>
      <c r="J209" s="13" t="s">
        <v>16</v>
      </c>
      <c r="K209" s="12" t="str">
        <f>K208</f>
        <v>ATY-MFO-25_EM_RP_HOST_AL</v>
      </c>
      <c r="L209">
        <v>6162</v>
      </c>
    </row>
    <row r="210" spans="1:12" ht="21" customHeight="1" x14ac:dyDescent="0.25">
      <c r="A210" s="12" t="str">
        <f t="shared" ref="A210:A214" si="105">A209</f>
        <v>ЩОк (RP)</v>
      </c>
      <c r="B210" s="13" t="s">
        <v>54</v>
      </c>
      <c r="C210" s="14" t="s">
        <v>55</v>
      </c>
      <c r="D210" s="12" t="s">
        <v>56</v>
      </c>
      <c r="E210" s="13">
        <v>3372</v>
      </c>
      <c r="F210" s="15">
        <f t="shared" si="103"/>
        <v>2023.1999999999998</v>
      </c>
      <c r="G210" s="15">
        <f t="shared" si="104"/>
        <v>2023.1999999999998</v>
      </c>
      <c r="H210" s="16">
        <v>1</v>
      </c>
      <c r="I210" s="17" t="s">
        <v>13</v>
      </c>
      <c r="J210" s="13" t="s">
        <v>17</v>
      </c>
      <c r="K210" s="12" t="str">
        <f t="shared" ref="K210:K214" si="106">K209</f>
        <v>ATY-MFO-25_EM_RP_HOST_AL</v>
      </c>
      <c r="L210">
        <v>2023.1999999999998</v>
      </c>
    </row>
    <row r="211" spans="1:12" ht="21" customHeight="1" x14ac:dyDescent="0.25">
      <c r="A211" s="12" t="str">
        <f t="shared" si="105"/>
        <v>ЩОк (RP)</v>
      </c>
      <c r="B211" s="13" t="s">
        <v>12</v>
      </c>
      <c r="C211" s="14" t="s">
        <v>50</v>
      </c>
      <c r="D211" s="12" t="s">
        <v>51</v>
      </c>
      <c r="E211" s="13">
        <v>783</v>
      </c>
      <c r="F211" s="15">
        <f t="shared" si="103"/>
        <v>469.79999999999995</v>
      </c>
      <c r="G211" s="15">
        <f t="shared" si="104"/>
        <v>1409.3999999999999</v>
      </c>
      <c r="H211" s="16">
        <v>3</v>
      </c>
      <c r="I211" s="17" t="s">
        <v>13</v>
      </c>
      <c r="J211" s="13" t="s">
        <v>17</v>
      </c>
      <c r="K211" s="12" t="str">
        <f t="shared" si="106"/>
        <v>ATY-MFO-25_EM_RP_HOST_AL</v>
      </c>
      <c r="L211">
        <v>1409.3999999999999</v>
      </c>
    </row>
    <row r="212" spans="1:12" ht="24" customHeight="1" x14ac:dyDescent="0.25">
      <c r="A212" s="12" t="str">
        <f t="shared" si="105"/>
        <v>ЩОк (RP)</v>
      </c>
      <c r="B212" s="12" t="s">
        <v>10</v>
      </c>
      <c r="C212" s="18" t="s">
        <v>10</v>
      </c>
      <c r="D212" s="12" t="s">
        <v>10</v>
      </c>
      <c r="E212" s="12">
        <f ca="1">OFFSET(E212,1,2)</f>
        <v>3000</v>
      </c>
      <c r="F212" s="15">
        <f ca="1">E212</f>
        <v>3000</v>
      </c>
      <c r="G212" s="15">
        <f t="shared" ca="1" si="104"/>
        <v>3000</v>
      </c>
      <c r="H212" s="12">
        <v>1</v>
      </c>
      <c r="I212" s="12" t="s">
        <v>13</v>
      </c>
      <c r="J212" s="12" t="s">
        <v>10</v>
      </c>
      <c r="K212" s="12" t="str">
        <f t="shared" si="106"/>
        <v>ATY-MFO-25_EM_RP_HOST_AL</v>
      </c>
      <c r="L212">
        <v>3000</v>
      </c>
    </row>
    <row r="213" spans="1:12" ht="21" customHeight="1" x14ac:dyDescent="0.25">
      <c r="A213" s="12" t="str">
        <f t="shared" si="105"/>
        <v>ЩОк (RP)</v>
      </c>
      <c r="B213" s="12" t="s">
        <v>11</v>
      </c>
      <c r="C213" s="18" t="s">
        <v>11</v>
      </c>
      <c r="D213" s="12" t="s">
        <v>11</v>
      </c>
      <c r="E213" s="12">
        <v>0.5</v>
      </c>
      <c r="F213" s="15">
        <v>100</v>
      </c>
      <c r="G213" s="15">
        <f t="shared" si="104"/>
        <v>3000</v>
      </c>
      <c r="H213" s="12">
        <f>60*E213</f>
        <v>30</v>
      </c>
      <c r="I213" s="12" t="s">
        <v>13</v>
      </c>
      <c r="J213" s="12" t="s">
        <v>11</v>
      </c>
      <c r="K213" s="12" t="str">
        <f t="shared" si="106"/>
        <v>ATY-MFO-25_EM_RP_HOST_AL</v>
      </c>
      <c r="L213">
        <v>3000</v>
      </c>
    </row>
    <row r="214" spans="1:12" ht="30" customHeight="1" x14ac:dyDescent="0.25">
      <c r="A214" s="12" t="str">
        <f t="shared" si="105"/>
        <v>ЩОк (RP)</v>
      </c>
      <c r="B214" s="19"/>
      <c r="C214" s="20"/>
      <c r="D214" s="21"/>
      <c r="E214" s="23"/>
      <c r="F214" s="25"/>
      <c r="G214" s="24">
        <f ca="1">SUM(G209:G213)</f>
        <v>15594.6</v>
      </c>
      <c r="H214" s="20"/>
      <c r="I214" s="22"/>
      <c r="J214" s="20"/>
      <c r="K214" s="12" t="str">
        <f t="shared" si="106"/>
        <v>ATY-MFO-25_EM_RP_HOST_AL</v>
      </c>
      <c r="L214">
        <v>15594.6</v>
      </c>
    </row>
    <row r="215" spans="1:12" ht="39.75" customHeight="1" x14ac:dyDescent="0.25">
      <c r="A215" s="5" t="str">
        <f>D215</f>
        <v>ЩАО-2 (RP)</v>
      </c>
      <c r="B215" s="6"/>
      <c r="C215" s="7"/>
      <c r="D215" s="6" t="s">
        <v>428</v>
      </c>
      <c r="E215" s="8"/>
      <c r="F215" s="8" t="s">
        <v>40</v>
      </c>
      <c r="G215" s="9"/>
      <c r="H215" s="10">
        <v>1</v>
      </c>
      <c r="I215" s="11" t="s">
        <v>7</v>
      </c>
      <c r="J215" s="6" t="s">
        <v>9</v>
      </c>
      <c r="K215" s="5" t="s">
        <v>142</v>
      </c>
    </row>
    <row r="216" spans="1:12" ht="21" customHeight="1" x14ac:dyDescent="0.25">
      <c r="A216" s="12" t="str">
        <f>A215</f>
        <v>ЩАО-2 (RP)</v>
      </c>
      <c r="B216" s="13" t="s">
        <v>8</v>
      </c>
      <c r="C216" s="14" t="s">
        <v>300</v>
      </c>
      <c r="D216" s="12" t="s">
        <v>301</v>
      </c>
      <c r="E216" s="13">
        <v>14695</v>
      </c>
      <c r="F216" s="15">
        <f t="shared" ref="F216:F218" si="107">E216*0.6</f>
        <v>8817</v>
      </c>
      <c r="G216" s="15">
        <f t="shared" ref="G216:G220" si="108">H216*F216</f>
        <v>8817</v>
      </c>
      <c r="H216" s="16">
        <v>1</v>
      </c>
      <c r="I216" s="17" t="s">
        <v>13</v>
      </c>
      <c r="J216" s="13" t="s">
        <v>16</v>
      </c>
      <c r="K216" s="12" t="str">
        <f>K215</f>
        <v>ATY-MFO-25_EM_RP_HOST_AL</v>
      </c>
      <c r="L216">
        <v>8817</v>
      </c>
    </row>
    <row r="217" spans="1:12" ht="21" customHeight="1" x14ac:dyDescent="0.25">
      <c r="A217" s="12" t="str">
        <f t="shared" ref="A217:A221" si="109">A216</f>
        <v>ЩАО-2 (RP)</v>
      </c>
      <c r="B217" s="13" t="s">
        <v>54</v>
      </c>
      <c r="C217" s="14" t="s">
        <v>55</v>
      </c>
      <c r="D217" s="12" t="s">
        <v>56</v>
      </c>
      <c r="E217" s="13">
        <v>3372</v>
      </c>
      <c r="F217" s="15">
        <f t="shared" si="107"/>
        <v>2023.1999999999998</v>
      </c>
      <c r="G217" s="15">
        <f t="shared" si="108"/>
        <v>2023.1999999999998</v>
      </c>
      <c r="H217" s="16">
        <v>1</v>
      </c>
      <c r="I217" s="17" t="s">
        <v>13</v>
      </c>
      <c r="J217" s="13" t="s">
        <v>17</v>
      </c>
      <c r="K217" s="12" t="str">
        <f t="shared" ref="K217:K221" si="110">K216</f>
        <v>ATY-MFO-25_EM_RP_HOST_AL</v>
      </c>
      <c r="L217">
        <v>2023.1999999999998</v>
      </c>
    </row>
    <row r="218" spans="1:12" ht="21" customHeight="1" x14ac:dyDescent="0.25">
      <c r="A218" s="12" t="str">
        <f t="shared" si="109"/>
        <v>ЩАО-2 (RP)</v>
      </c>
      <c r="B218" s="13" t="s">
        <v>12</v>
      </c>
      <c r="C218" s="14" t="s">
        <v>50</v>
      </c>
      <c r="D218" s="12" t="s">
        <v>51</v>
      </c>
      <c r="E218" s="13">
        <v>783</v>
      </c>
      <c r="F218" s="15">
        <f t="shared" si="107"/>
        <v>469.79999999999995</v>
      </c>
      <c r="G218" s="15">
        <f t="shared" si="108"/>
        <v>4698</v>
      </c>
      <c r="H218" s="16">
        <v>10</v>
      </c>
      <c r="I218" s="17" t="s">
        <v>13</v>
      </c>
      <c r="J218" s="13" t="s">
        <v>17</v>
      </c>
      <c r="K218" s="12" t="str">
        <f t="shared" si="110"/>
        <v>ATY-MFO-25_EM_RP_HOST_AL</v>
      </c>
      <c r="L218">
        <v>4698</v>
      </c>
    </row>
    <row r="219" spans="1:12" ht="24" customHeight="1" x14ac:dyDescent="0.25">
      <c r="A219" s="12" t="str">
        <f t="shared" si="109"/>
        <v>ЩАО-2 (RP)</v>
      </c>
      <c r="B219" s="12" t="s">
        <v>10</v>
      </c>
      <c r="C219" s="18" t="s">
        <v>10</v>
      </c>
      <c r="D219" s="12" t="s">
        <v>10</v>
      </c>
      <c r="E219" s="12">
        <f ca="1">OFFSET(E219,1,2)</f>
        <v>4200</v>
      </c>
      <c r="F219" s="15">
        <f ca="1">E219</f>
        <v>4200</v>
      </c>
      <c r="G219" s="15">
        <f t="shared" ca="1" si="108"/>
        <v>4200</v>
      </c>
      <c r="H219" s="12">
        <v>1</v>
      </c>
      <c r="I219" s="12" t="s">
        <v>13</v>
      </c>
      <c r="J219" s="12" t="s">
        <v>10</v>
      </c>
      <c r="K219" s="12" t="str">
        <f t="shared" si="110"/>
        <v>ATY-MFO-25_EM_RP_HOST_AL</v>
      </c>
      <c r="L219">
        <v>4200</v>
      </c>
    </row>
    <row r="220" spans="1:12" ht="21" customHeight="1" x14ac:dyDescent="0.25">
      <c r="A220" s="12" t="str">
        <f t="shared" si="109"/>
        <v>ЩАО-2 (RP)</v>
      </c>
      <c r="B220" s="12" t="s">
        <v>11</v>
      </c>
      <c r="C220" s="18" t="s">
        <v>11</v>
      </c>
      <c r="D220" s="12" t="s">
        <v>11</v>
      </c>
      <c r="E220" s="12">
        <v>0.7</v>
      </c>
      <c r="F220" s="15">
        <v>100</v>
      </c>
      <c r="G220" s="15">
        <f t="shared" si="108"/>
        <v>4200</v>
      </c>
      <c r="H220" s="12">
        <f>60*E220</f>
        <v>42</v>
      </c>
      <c r="I220" s="12" t="s">
        <v>13</v>
      </c>
      <c r="J220" s="12" t="s">
        <v>11</v>
      </c>
      <c r="K220" s="12" t="str">
        <f t="shared" si="110"/>
        <v>ATY-MFO-25_EM_RP_HOST_AL</v>
      </c>
      <c r="L220">
        <v>4200</v>
      </c>
    </row>
    <row r="221" spans="1:12" ht="30" customHeight="1" x14ac:dyDescent="0.25">
      <c r="A221" s="12" t="str">
        <f t="shared" si="109"/>
        <v>ЩАО-2 (RP)</v>
      </c>
      <c r="B221" s="19"/>
      <c r="C221" s="20"/>
      <c r="D221" s="21"/>
      <c r="E221" s="23"/>
      <c r="F221" s="25"/>
      <c r="G221" s="24">
        <f ca="1">SUM(G216:G220)</f>
        <v>23938.2</v>
      </c>
      <c r="H221" s="20"/>
      <c r="I221" s="22"/>
      <c r="J221" s="20"/>
      <c r="K221" s="12" t="str">
        <f t="shared" si="110"/>
        <v>ATY-MFO-25_EM_RP_HOST_AL</v>
      </c>
      <c r="L221">
        <v>23938.2</v>
      </c>
    </row>
    <row r="222" spans="1:12" ht="39.75" customHeight="1" x14ac:dyDescent="0.25">
      <c r="A222" s="5" t="str">
        <f>D222</f>
        <v>ЩАОп-2 (RP)</v>
      </c>
      <c r="B222" s="6"/>
      <c r="C222" s="7"/>
      <c r="D222" s="6" t="s">
        <v>429</v>
      </c>
      <c r="E222" s="8"/>
      <c r="F222" s="8" t="s">
        <v>40</v>
      </c>
      <c r="G222" s="9"/>
      <c r="H222" s="10">
        <v>1</v>
      </c>
      <c r="I222" s="11" t="s">
        <v>7</v>
      </c>
      <c r="J222" s="6" t="s">
        <v>9</v>
      </c>
      <c r="K222" s="5" t="s">
        <v>142</v>
      </c>
    </row>
    <row r="223" spans="1:12" ht="21" customHeight="1" x14ac:dyDescent="0.25">
      <c r="A223" s="12" t="str">
        <f>A222</f>
        <v>ЩАОп-2 (RP)</v>
      </c>
      <c r="B223" s="13" t="s">
        <v>8</v>
      </c>
      <c r="C223" s="14" t="s">
        <v>300</v>
      </c>
      <c r="D223" s="12" t="s">
        <v>301</v>
      </c>
      <c r="E223" s="13">
        <v>14695</v>
      </c>
      <c r="F223" s="15">
        <f t="shared" ref="F223:F225" si="111">E223*0.6</f>
        <v>8817</v>
      </c>
      <c r="G223" s="15">
        <f t="shared" ref="G223:G227" si="112">H223*F223</f>
        <v>8817</v>
      </c>
      <c r="H223" s="16">
        <v>1</v>
      </c>
      <c r="I223" s="17" t="s">
        <v>13</v>
      </c>
      <c r="J223" s="13" t="s">
        <v>16</v>
      </c>
      <c r="K223" s="12" t="str">
        <f>K222</f>
        <v>ATY-MFO-25_EM_RP_HOST_AL</v>
      </c>
      <c r="L223">
        <v>8817</v>
      </c>
    </row>
    <row r="224" spans="1:12" ht="21" customHeight="1" x14ac:dyDescent="0.25">
      <c r="A224" s="12" t="str">
        <f t="shared" ref="A224:A228" si="113">A223</f>
        <v>ЩАОп-2 (RP)</v>
      </c>
      <c r="B224" s="13" t="s">
        <v>54</v>
      </c>
      <c r="C224" s="14" t="s">
        <v>55</v>
      </c>
      <c r="D224" s="12" t="s">
        <v>56</v>
      </c>
      <c r="E224" s="13">
        <v>3372</v>
      </c>
      <c r="F224" s="15">
        <f t="shared" si="111"/>
        <v>2023.1999999999998</v>
      </c>
      <c r="G224" s="15">
        <f t="shared" si="112"/>
        <v>2023.1999999999998</v>
      </c>
      <c r="H224" s="16">
        <v>1</v>
      </c>
      <c r="I224" s="17" t="s">
        <v>13</v>
      </c>
      <c r="J224" s="13" t="s">
        <v>17</v>
      </c>
      <c r="K224" s="12" t="str">
        <f t="shared" ref="K224:K228" si="114">K223</f>
        <v>ATY-MFO-25_EM_RP_HOST_AL</v>
      </c>
      <c r="L224">
        <v>2023.1999999999998</v>
      </c>
    </row>
    <row r="225" spans="1:12" ht="21" customHeight="1" x14ac:dyDescent="0.25">
      <c r="A225" s="12" t="str">
        <f t="shared" si="113"/>
        <v>ЩАОп-2 (RP)</v>
      </c>
      <c r="B225" s="13" t="s">
        <v>12</v>
      </c>
      <c r="C225" s="14" t="s">
        <v>50</v>
      </c>
      <c r="D225" s="12" t="s">
        <v>51</v>
      </c>
      <c r="E225" s="13">
        <v>783</v>
      </c>
      <c r="F225" s="15">
        <f t="shared" si="111"/>
        <v>469.79999999999995</v>
      </c>
      <c r="G225" s="15">
        <f t="shared" si="112"/>
        <v>2818.7999999999997</v>
      </c>
      <c r="H225" s="16">
        <v>6</v>
      </c>
      <c r="I225" s="17" t="s">
        <v>13</v>
      </c>
      <c r="J225" s="13" t="s">
        <v>17</v>
      </c>
      <c r="K225" s="12" t="str">
        <f t="shared" si="114"/>
        <v>ATY-MFO-25_EM_RP_HOST_AL</v>
      </c>
      <c r="L225">
        <v>2818.7999999999997</v>
      </c>
    </row>
    <row r="226" spans="1:12" ht="24" customHeight="1" x14ac:dyDescent="0.25">
      <c r="A226" s="12" t="str">
        <f t="shared" si="113"/>
        <v>ЩАОп-2 (RP)</v>
      </c>
      <c r="B226" s="12" t="s">
        <v>10</v>
      </c>
      <c r="C226" s="18" t="s">
        <v>10</v>
      </c>
      <c r="D226" s="12" t="s">
        <v>10</v>
      </c>
      <c r="E226" s="12">
        <f ca="1">OFFSET(E226,1,2)</f>
        <v>4200</v>
      </c>
      <c r="F226" s="15">
        <f ca="1">E226</f>
        <v>4200</v>
      </c>
      <c r="G226" s="15">
        <f t="shared" ca="1" si="112"/>
        <v>4200</v>
      </c>
      <c r="H226" s="12">
        <v>1</v>
      </c>
      <c r="I226" s="12" t="s">
        <v>13</v>
      </c>
      <c r="J226" s="12" t="s">
        <v>10</v>
      </c>
      <c r="K226" s="12" t="str">
        <f t="shared" si="114"/>
        <v>ATY-MFO-25_EM_RP_HOST_AL</v>
      </c>
      <c r="L226">
        <v>4200</v>
      </c>
    </row>
    <row r="227" spans="1:12" ht="21" customHeight="1" x14ac:dyDescent="0.25">
      <c r="A227" s="12" t="str">
        <f t="shared" si="113"/>
        <v>ЩАОп-2 (RP)</v>
      </c>
      <c r="B227" s="12" t="s">
        <v>11</v>
      </c>
      <c r="C227" s="18" t="s">
        <v>11</v>
      </c>
      <c r="D227" s="12" t="s">
        <v>11</v>
      </c>
      <c r="E227" s="12">
        <v>0.7</v>
      </c>
      <c r="F227" s="15">
        <v>100</v>
      </c>
      <c r="G227" s="15">
        <f t="shared" si="112"/>
        <v>4200</v>
      </c>
      <c r="H227" s="12">
        <f>60*E227</f>
        <v>42</v>
      </c>
      <c r="I227" s="12" t="s">
        <v>13</v>
      </c>
      <c r="J227" s="12" t="s">
        <v>11</v>
      </c>
      <c r="K227" s="12" t="str">
        <f t="shared" si="114"/>
        <v>ATY-MFO-25_EM_RP_HOST_AL</v>
      </c>
      <c r="L227">
        <v>4200</v>
      </c>
    </row>
    <row r="228" spans="1:12" ht="30" customHeight="1" x14ac:dyDescent="0.25">
      <c r="A228" s="12" t="str">
        <f t="shared" si="113"/>
        <v>ЩАОп-2 (RP)</v>
      </c>
      <c r="B228" s="19"/>
      <c r="C228" s="20"/>
      <c r="D228" s="21"/>
      <c r="E228" s="23"/>
      <c r="F228" s="25"/>
      <c r="G228" s="24">
        <f ca="1">SUM(G223:G227)</f>
        <v>22059</v>
      </c>
      <c r="H228" s="20"/>
      <c r="I228" s="22"/>
      <c r="J228" s="20"/>
      <c r="K228" s="12" t="str">
        <f t="shared" si="114"/>
        <v>ATY-MFO-25_EM_RP_HOST_AL</v>
      </c>
      <c r="L228">
        <v>22059</v>
      </c>
    </row>
    <row r="229" spans="1:12" ht="39.75" customHeight="1" x14ac:dyDescent="0.25">
      <c r="A229" s="5" t="str">
        <f>D229</f>
        <v>ЩУ-АПТ (RP)</v>
      </c>
      <c r="B229" s="6"/>
      <c r="C229" s="7"/>
      <c r="D229" s="6" t="s">
        <v>430</v>
      </c>
      <c r="E229" s="8"/>
      <c r="F229" s="8" t="s">
        <v>40</v>
      </c>
      <c r="G229" s="9"/>
      <c r="H229" s="10">
        <v>1</v>
      </c>
      <c r="I229" s="11" t="s">
        <v>7</v>
      </c>
      <c r="J229" s="6" t="s">
        <v>9</v>
      </c>
      <c r="K229" s="5" t="s">
        <v>142</v>
      </c>
    </row>
    <row r="230" spans="1:12" ht="21" customHeight="1" x14ac:dyDescent="0.25">
      <c r="A230" s="12" t="str">
        <f>A229</f>
        <v>ЩУ-АПТ (RP)</v>
      </c>
      <c r="B230" s="13" t="s">
        <v>8</v>
      </c>
      <c r="C230" s="14" t="s">
        <v>306</v>
      </c>
      <c r="D230" s="12" t="s">
        <v>307</v>
      </c>
      <c r="E230" s="13">
        <v>7860</v>
      </c>
      <c r="F230" s="15">
        <f t="shared" ref="F230:F231" si="115">E230*0.6</f>
        <v>4716</v>
      </c>
      <c r="G230" s="15">
        <f t="shared" ref="G230:G233" si="116">H230*F230</f>
        <v>4716</v>
      </c>
      <c r="H230" s="16">
        <v>1</v>
      </c>
      <c r="I230" s="17" t="s">
        <v>13</v>
      </c>
      <c r="J230" s="13" t="s">
        <v>16</v>
      </c>
      <c r="K230" s="12" t="str">
        <f>K229</f>
        <v>ATY-MFO-25_EM_RP_HOST_AL</v>
      </c>
      <c r="L230">
        <v>4716</v>
      </c>
    </row>
    <row r="231" spans="1:12" ht="21" customHeight="1" x14ac:dyDescent="0.25">
      <c r="A231" s="12" t="str">
        <f t="shared" ref="A231:A234" si="117">A230</f>
        <v>ЩУ-АПТ (RP)</v>
      </c>
      <c r="B231" s="13" t="s">
        <v>12</v>
      </c>
      <c r="C231" s="14" t="s">
        <v>123</v>
      </c>
      <c r="D231" s="12" t="s">
        <v>124</v>
      </c>
      <c r="E231" s="13">
        <v>2873</v>
      </c>
      <c r="F231" s="15">
        <f t="shared" si="115"/>
        <v>1723.8</v>
      </c>
      <c r="G231" s="15">
        <f t="shared" si="116"/>
        <v>1723.8</v>
      </c>
      <c r="H231" s="16">
        <v>1</v>
      </c>
      <c r="I231" s="17" t="s">
        <v>13</v>
      </c>
      <c r="J231" s="13" t="s">
        <v>17</v>
      </c>
      <c r="K231" s="12" t="str">
        <f t="shared" ref="K231:K234" si="118">K230</f>
        <v>ATY-MFO-25_EM_RP_HOST_AL</v>
      </c>
      <c r="L231">
        <v>1723.8</v>
      </c>
    </row>
    <row r="232" spans="1:12" ht="24" customHeight="1" x14ac:dyDescent="0.25">
      <c r="A232" s="12" t="str">
        <f t="shared" si="117"/>
        <v>ЩУ-АПТ (RP)</v>
      </c>
      <c r="B232" s="12" t="s">
        <v>10</v>
      </c>
      <c r="C232" s="18" t="s">
        <v>10</v>
      </c>
      <c r="D232" s="12" t="s">
        <v>10</v>
      </c>
      <c r="E232" s="12">
        <f ca="1">OFFSET(E232,1,2)</f>
        <v>60</v>
      </c>
      <c r="F232" s="15">
        <f ca="1">E232</f>
        <v>60</v>
      </c>
      <c r="G232" s="15">
        <f t="shared" ca="1" si="116"/>
        <v>60</v>
      </c>
      <c r="H232" s="12">
        <v>1</v>
      </c>
      <c r="I232" s="12" t="s">
        <v>13</v>
      </c>
      <c r="J232" s="12" t="s">
        <v>10</v>
      </c>
      <c r="K232" s="12" t="str">
        <f t="shared" si="118"/>
        <v>ATY-MFO-25_EM_RP_HOST_AL</v>
      </c>
      <c r="L232">
        <v>60</v>
      </c>
    </row>
    <row r="233" spans="1:12" ht="21" customHeight="1" x14ac:dyDescent="0.25">
      <c r="A233" s="12" t="str">
        <f t="shared" si="117"/>
        <v>ЩУ-АПТ (RP)</v>
      </c>
      <c r="B233" s="12" t="s">
        <v>11</v>
      </c>
      <c r="C233" s="18" t="s">
        <v>11</v>
      </c>
      <c r="D233" s="12" t="s">
        <v>11</v>
      </c>
      <c r="E233" s="12">
        <v>0.01</v>
      </c>
      <c r="F233" s="15">
        <v>100</v>
      </c>
      <c r="G233" s="15">
        <f t="shared" si="116"/>
        <v>60</v>
      </c>
      <c r="H233" s="12">
        <f>60*E233</f>
        <v>0.6</v>
      </c>
      <c r="I233" s="12" t="s">
        <v>13</v>
      </c>
      <c r="J233" s="12" t="s">
        <v>11</v>
      </c>
      <c r="K233" s="12" t="str">
        <f t="shared" si="118"/>
        <v>ATY-MFO-25_EM_RP_HOST_AL</v>
      </c>
      <c r="L233">
        <v>60</v>
      </c>
    </row>
    <row r="234" spans="1:12" ht="30" customHeight="1" x14ac:dyDescent="0.25">
      <c r="A234" s="12" t="str">
        <f t="shared" si="117"/>
        <v>ЩУ-АПТ (RP)</v>
      </c>
      <c r="B234" s="19"/>
      <c r="C234" s="20"/>
      <c r="D234" s="21"/>
      <c r="E234" s="23"/>
      <c r="F234" s="25"/>
      <c r="G234" s="24">
        <f ca="1">SUM(G230:G233)</f>
        <v>6559.8</v>
      </c>
      <c r="H234" s="20"/>
      <c r="I234" s="22"/>
      <c r="J234" s="20"/>
      <c r="K234" s="12" t="str">
        <f t="shared" si="118"/>
        <v>ATY-MFO-25_EM_RP_HOST_AL</v>
      </c>
      <c r="L234">
        <v>6559.8</v>
      </c>
    </row>
    <row r="235" spans="1:12" ht="39.75" customHeight="1" x14ac:dyDescent="0.25">
      <c r="A235" s="5" t="str">
        <f>D235</f>
        <v>1ЩС-СС (RP)</v>
      </c>
      <c r="B235" s="6"/>
      <c r="C235" s="7"/>
      <c r="D235" s="6" t="s">
        <v>431</v>
      </c>
      <c r="E235" s="8"/>
      <c r="F235" s="8" t="s">
        <v>40</v>
      </c>
      <c r="G235" s="9"/>
      <c r="H235" s="10">
        <v>1</v>
      </c>
      <c r="I235" s="11" t="s">
        <v>7</v>
      </c>
      <c r="J235" s="6" t="s">
        <v>9</v>
      </c>
      <c r="K235" s="5" t="s">
        <v>142</v>
      </c>
    </row>
    <row r="236" spans="1:12" ht="21" customHeight="1" x14ac:dyDescent="0.25">
      <c r="A236" s="12" t="str">
        <f>A235</f>
        <v>1ЩС-СС (RP)</v>
      </c>
      <c r="B236" s="13" t="s">
        <v>8</v>
      </c>
      <c r="C236" s="14" t="s">
        <v>300</v>
      </c>
      <c r="D236" s="12" t="s">
        <v>301</v>
      </c>
      <c r="E236" s="13">
        <v>14695</v>
      </c>
      <c r="F236" s="15">
        <f t="shared" ref="F236:F239" si="119">E236*0.6</f>
        <v>8817</v>
      </c>
      <c r="G236" s="15">
        <f t="shared" ref="G236:G241" si="120">H236*F236</f>
        <v>8817</v>
      </c>
      <c r="H236" s="16">
        <v>1</v>
      </c>
      <c r="I236" s="17" t="s">
        <v>13</v>
      </c>
      <c r="J236" s="13" t="s">
        <v>16</v>
      </c>
      <c r="K236" s="12" t="str">
        <f>K235</f>
        <v>ATY-MFO-25_EM_RP_HOST_AL</v>
      </c>
      <c r="L236">
        <v>8817</v>
      </c>
    </row>
    <row r="237" spans="1:12" ht="21" customHeight="1" x14ac:dyDescent="0.25">
      <c r="A237" s="12" t="str">
        <f>A235</f>
        <v>1ЩС-СС (RP)</v>
      </c>
      <c r="B237" s="13" t="s">
        <v>54</v>
      </c>
      <c r="C237" s="14" t="s">
        <v>57</v>
      </c>
      <c r="D237" s="12" t="s">
        <v>58</v>
      </c>
      <c r="E237" s="13">
        <v>3372</v>
      </c>
      <c r="F237" s="15">
        <f t="shared" si="119"/>
        <v>2023.1999999999998</v>
      </c>
      <c r="G237" s="15">
        <f t="shared" si="120"/>
        <v>2023.1999999999998</v>
      </c>
      <c r="H237" s="16">
        <v>1</v>
      </c>
      <c r="I237" s="17" t="s">
        <v>13</v>
      </c>
      <c r="J237" s="13" t="s">
        <v>17</v>
      </c>
      <c r="K237" s="12" t="str">
        <f>K235</f>
        <v>ATY-MFO-25_EM_RP_HOST_AL</v>
      </c>
      <c r="L237">
        <v>2023.1999999999998</v>
      </c>
    </row>
    <row r="238" spans="1:12" ht="21" customHeight="1" x14ac:dyDescent="0.25">
      <c r="A238" s="12" t="str">
        <f t="shared" ref="A238" si="121">A236</f>
        <v>1ЩС-СС (RP)</v>
      </c>
      <c r="B238" s="13" t="s">
        <v>12</v>
      </c>
      <c r="C238" s="14" t="s">
        <v>125</v>
      </c>
      <c r="D238" s="12" t="s">
        <v>126</v>
      </c>
      <c r="E238" s="13">
        <v>796</v>
      </c>
      <c r="F238" s="15">
        <f t="shared" si="119"/>
        <v>477.59999999999997</v>
      </c>
      <c r="G238" s="15">
        <f t="shared" si="120"/>
        <v>477.59999999999997</v>
      </c>
      <c r="H238" s="16">
        <v>1</v>
      </c>
      <c r="I238" s="17" t="s">
        <v>13</v>
      </c>
      <c r="J238" s="13" t="s">
        <v>17</v>
      </c>
      <c r="K238" s="12" t="str">
        <f t="shared" ref="K238:K239" si="122">K236</f>
        <v>ATY-MFO-25_EM_RP_HOST_AL</v>
      </c>
      <c r="L238">
        <v>477.59999999999997</v>
      </c>
    </row>
    <row r="239" spans="1:12" ht="21" customHeight="1" x14ac:dyDescent="0.25">
      <c r="A239" s="12" t="str">
        <f t="shared" ref="A239" si="123">A237</f>
        <v>1ЩС-СС (RP)</v>
      </c>
      <c r="B239" s="13" t="s">
        <v>12</v>
      </c>
      <c r="C239" s="14" t="s">
        <v>50</v>
      </c>
      <c r="D239" s="12" t="s">
        <v>51</v>
      </c>
      <c r="E239" s="13">
        <v>783</v>
      </c>
      <c r="F239" s="15">
        <f t="shared" si="119"/>
        <v>469.79999999999995</v>
      </c>
      <c r="G239" s="15">
        <f t="shared" si="120"/>
        <v>1879.1999999999998</v>
      </c>
      <c r="H239" s="16">
        <v>4</v>
      </c>
      <c r="I239" s="17" t="s">
        <v>13</v>
      </c>
      <c r="J239" s="13" t="s">
        <v>17</v>
      </c>
      <c r="K239" s="12" t="str">
        <f t="shared" si="122"/>
        <v>ATY-MFO-25_EM_RP_HOST_AL</v>
      </c>
      <c r="L239">
        <v>1879.1999999999998</v>
      </c>
    </row>
    <row r="240" spans="1:12" ht="24" customHeight="1" x14ac:dyDescent="0.25">
      <c r="A240" s="12" t="str">
        <f t="shared" ref="A240:A242" si="124">A239</f>
        <v>1ЩС-СС (RP)</v>
      </c>
      <c r="B240" s="12" t="s">
        <v>10</v>
      </c>
      <c r="C240" s="18" t="s">
        <v>10</v>
      </c>
      <c r="D240" s="12" t="s">
        <v>10</v>
      </c>
      <c r="E240" s="12">
        <f ca="1">OFFSET(E240,1,2)</f>
        <v>600</v>
      </c>
      <c r="F240" s="15">
        <f ca="1">E240</f>
        <v>600</v>
      </c>
      <c r="G240" s="15">
        <f t="shared" ca="1" si="120"/>
        <v>600</v>
      </c>
      <c r="H240" s="12">
        <v>1</v>
      </c>
      <c r="I240" s="12" t="s">
        <v>13</v>
      </c>
      <c r="J240" s="12" t="s">
        <v>10</v>
      </c>
      <c r="K240" s="12" t="str">
        <f t="shared" ref="K240:K242" si="125">K239</f>
        <v>ATY-MFO-25_EM_RP_HOST_AL</v>
      </c>
      <c r="L240">
        <v>600</v>
      </c>
    </row>
    <row r="241" spans="1:12" ht="21" customHeight="1" x14ac:dyDescent="0.25">
      <c r="A241" s="12" t="str">
        <f t="shared" si="124"/>
        <v>1ЩС-СС (RP)</v>
      </c>
      <c r="B241" s="12" t="s">
        <v>11</v>
      </c>
      <c r="C241" s="18" t="s">
        <v>11</v>
      </c>
      <c r="D241" s="12" t="s">
        <v>11</v>
      </c>
      <c r="E241" s="12">
        <v>0.1</v>
      </c>
      <c r="F241" s="15">
        <v>100</v>
      </c>
      <c r="G241" s="15">
        <f t="shared" si="120"/>
        <v>600</v>
      </c>
      <c r="H241" s="12">
        <f>60*E241</f>
        <v>6</v>
      </c>
      <c r="I241" s="12" t="s">
        <v>13</v>
      </c>
      <c r="J241" s="12" t="s">
        <v>11</v>
      </c>
      <c r="K241" s="12" t="str">
        <f t="shared" si="125"/>
        <v>ATY-MFO-25_EM_RP_HOST_AL</v>
      </c>
      <c r="L241">
        <v>600</v>
      </c>
    </row>
    <row r="242" spans="1:12" ht="30" customHeight="1" x14ac:dyDescent="0.25">
      <c r="A242" s="12" t="str">
        <f t="shared" si="124"/>
        <v>1ЩС-СС (RP)</v>
      </c>
      <c r="B242" s="19"/>
      <c r="C242" s="20"/>
      <c r="D242" s="21"/>
      <c r="E242" s="23"/>
      <c r="F242" s="25"/>
      <c r="G242" s="24">
        <f ca="1">SUM(G236:G241)</f>
        <v>14397</v>
      </c>
      <c r="H242" s="20"/>
      <c r="I242" s="22"/>
      <c r="J242" s="20"/>
      <c r="K242" s="12" t="str">
        <f t="shared" si="125"/>
        <v>ATY-MFO-25_EM_RP_HOST_AL</v>
      </c>
      <c r="L242">
        <v>14397</v>
      </c>
    </row>
    <row r="243" spans="1:12" ht="39.75" customHeight="1" x14ac:dyDescent="0.25">
      <c r="A243" s="5" t="str">
        <f>D243</f>
        <v>2ЩС-СС-без SVC WL-2000 (RP)</v>
      </c>
      <c r="B243" s="6"/>
      <c r="C243" s="7"/>
      <c r="D243" s="6" t="s">
        <v>456</v>
      </c>
      <c r="E243" s="8"/>
      <c r="F243" s="8" t="s">
        <v>40</v>
      </c>
      <c r="G243" s="9"/>
      <c r="H243" s="10">
        <v>1</v>
      </c>
      <c r="I243" s="11" t="s">
        <v>7</v>
      </c>
      <c r="J243" s="6" t="s">
        <v>9</v>
      </c>
      <c r="K243" s="5" t="s">
        <v>142</v>
      </c>
    </row>
    <row r="244" spans="1:12" ht="21" customHeight="1" x14ac:dyDescent="0.25">
      <c r="A244" s="12" t="str">
        <f>A243</f>
        <v>2ЩС-СС-без SVC WL-2000 (RP)</v>
      </c>
      <c r="B244" s="13" t="s">
        <v>8</v>
      </c>
      <c r="C244" s="14" t="s">
        <v>300</v>
      </c>
      <c r="D244" s="12" t="s">
        <v>301</v>
      </c>
      <c r="E244" s="13">
        <v>14695</v>
      </c>
      <c r="F244" s="15">
        <f t="shared" ref="F244:F247" si="126">E244*0.6</f>
        <v>8817</v>
      </c>
      <c r="G244" s="15">
        <f t="shared" ref="G244:G250" si="127">H244*F244</f>
        <v>8817</v>
      </c>
      <c r="H244" s="16">
        <v>1</v>
      </c>
      <c r="I244" s="17" t="s">
        <v>13</v>
      </c>
      <c r="J244" s="13" t="s">
        <v>16</v>
      </c>
      <c r="K244" s="12" t="str">
        <f>K243</f>
        <v>ATY-MFO-25_EM_RP_HOST_AL</v>
      </c>
      <c r="L244">
        <v>8817</v>
      </c>
    </row>
    <row r="245" spans="1:12" ht="21" customHeight="1" x14ac:dyDescent="0.25">
      <c r="A245" s="12" t="str">
        <f>A243</f>
        <v>2ЩС-СС-без SVC WL-2000 (RP)</v>
      </c>
      <c r="B245" s="13" t="s">
        <v>54</v>
      </c>
      <c r="C245" s="14" t="s">
        <v>57</v>
      </c>
      <c r="D245" s="12" t="s">
        <v>58</v>
      </c>
      <c r="E245" s="13">
        <v>3372</v>
      </c>
      <c r="F245" s="15">
        <f t="shared" si="126"/>
        <v>2023.1999999999998</v>
      </c>
      <c r="G245" s="15">
        <f t="shared" si="127"/>
        <v>2023.1999999999998</v>
      </c>
      <c r="H245" s="16">
        <v>1</v>
      </c>
      <c r="I245" s="17" t="s">
        <v>13</v>
      </c>
      <c r="J245" s="13" t="s">
        <v>17</v>
      </c>
      <c r="K245" s="12" t="str">
        <f>K243</f>
        <v>ATY-MFO-25_EM_RP_HOST_AL</v>
      </c>
      <c r="L245">
        <v>2023.1999999999998</v>
      </c>
    </row>
    <row r="246" spans="1:12" ht="21" customHeight="1" x14ac:dyDescent="0.25">
      <c r="A246" s="12" t="str">
        <f t="shared" ref="A246:A248" si="128">A244</f>
        <v>2ЩС-СС-без SVC WL-2000 (RP)</v>
      </c>
      <c r="B246" s="13" t="s">
        <v>12</v>
      </c>
      <c r="C246" s="14" t="s">
        <v>125</v>
      </c>
      <c r="D246" s="12" t="s">
        <v>126</v>
      </c>
      <c r="E246" s="13">
        <v>796</v>
      </c>
      <c r="F246" s="15">
        <f t="shared" si="126"/>
        <v>477.59999999999997</v>
      </c>
      <c r="G246" s="15">
        <f t="shared" si="127"/>
        <v>477.59999999999997</v>
      </c>
      <c r="H246" s="16">
        <v>1</v>
      </c>
      <c r="I246" s="17" t="s">
        <v>13</v>
      </c>
      <c r="J246" s="13" t="s">
        <v>17</v>
      </c>
      <c r="K246" s="12" t="str">
        <f t="shared" ref="K246:K248" si="129">K244</f>
        <v>ATY-MFO-25_EM_RP_HOST_AL</v>
      </c>
      <c r="L246">
        <v>477.59999999999997</v>
      </c>
    </row>
    <row r="247" spans="1:12" ht="21" customHeight="1" x14ac:dyDescent="0.25">
      <c r="A247" s="12" t="str">
        <f t="shared" si="128"/>
        <v>2ЩС-СС-без SVC WL-2000 (RP)</v>
      </c>
      <c r="B247" s="13" t="s">
        <v>12</v>
      </c>
      <c r="C247" s="14" t="s">
        <v>50</v>
      </c>
      <c r="D247" s="12" t="s">
        <v>51</v>
      </c>
      <c r="E247" s="13">
        <v>783</v>
      </c>
      <c r="F247" s="15">
        <f t="shared" si="126"/>
        <v>469.79999999999995</v>
      </c>
      <c r="G247" s="15">
        <f t="shared" si="127"/>
        <v>2349</v>
      </c>
      <c r="H247" s="16">
        <v>5</v>
      </c>
      <c r="I247" s="17" t="s">
        <v>13</v>
      </c>
      <c r="J247" s="13" t="s">
        <v>17</v>
      </c>
      <c r="K247" s="12" t="str">
        <f t="shared" si="129"/>
        <v>ATY-MFO-25_EM_RP_HOST_AL</v>
      </c>
      <c r="L247">
        <v>2349</v>
      </c>
    </row>
    <row r="248" spans="1:12" ht="21" customHeight="1" x14ac:dyDescent="0.25">
      <c r="A248" s="12" t="str">
        <f t="shared" si="128"/>
        <v>2ЩС-СС-без SVC WL-2000 (RP)</v>
      </c>
      <c r="B248" s="13" t="s">
        <v>251</v>
      </c>
      <c r="C248" s="14"/>
      <c r="D248" s="12" t="s">
        <v>250</v>
      </c>
      <c r="E248" s="13"/>
      <c r="F248" s="15">
        <f>E248</f>
        <v>0</v>
      </c>
      <c r="G248" s="15">
        <f t="shared" si="127"/>
        <v>0</v>
      </c>
      <c r="H248" s="16">
        <v>1</v>
      </c>
      <c r="I248" s="17" t="s">
        <v>13</v>
      </c>
      <c r="J248" s="13" t="s">
        <v>24</v>
      </c>
      <c r="K248" s="12" t="str">
        <f t="shared" si="129"/>
        <v>ATY-MFO-25_EM_RP_HOST_AL</v>
      </c>
      <c r="L248">
        <v>0</v>
      </c>
    </row>
    <row r="249" spans="1:12" ht="24" customHeight="1" x14ac:dyDescent="0.25">
      <c r="A249" s="12" t="str">
        <f>A247</f>
        <v>2ЩС-СС-без SVC WL-2000 (RP)</v>
      </c>
      <c r="B249" s="12" t="s">
        <v>10</v>
      </c>
      <c r="C249" s="18" t="s">
        <v>10</v>
      </c>
      <c r="D249" s="12" t="s">
        <v>10</v>
      </c>
      <c r="E249" s="12">
        <f ca="1">OFFSET(E249,1,2)</f>
        <v>6000</v>
      </c>
      <c r="F249" s="15">
        <f ca="1">E249</f>
        <v>6000</v>
      </c>
      <c r="G249" s="15">
        <f t="shared" ca="1" si="127"/>
        <v>6000</v>
      </c>
      <c r="H249" s="12">
        <v>1</v>
      </c>
      <c r="I249" s="12" t="s">
        <v>13</v>
      </c>
      <c r="J249" s="12" t="s">
        <v>10</v>
      </c>
      <c r="K249" s="12" t="str">
        <f>K247</f>
        <v>ATY-MFO-25_EM_RP_HOST_AL</v>
      </c>
      <c r="L249">
        <v>6000</v>
      </c>
    </row>
    <row r="250" spans="1:12" ht="21" customHeight="1" x14ac:dyDescent="0.25">
      <c r="A250" s="12" t="str">
        <f t="shared" ref="A250:A251" si="130">A249</f>
        <v>2ЩС-СС-без SVC WL-2000 (RP)</v>
      </c>
      <c r="B250" s="12" t="s">
        <v>11</v>
      </c>
      <c r="C250" s="18" t="s">
        <v>11</v>
      </c>
      <c r="D250" s="12" t="s">
        <v>11</v>
      </c>
      <c r="E250" s="12">
        <v>1</v>
      </c>
      <c r="F250" s="15">
        <v>100</v>
      </c>
      <c r="G250" s="15">
        <f t="shared" si="127"/>
        <v>6000</v>
      </c>
      <c r="H250" s="12">
        <f>60*E250</f>
        <v>60</v>
      </c>
      <c r="I250" s="12" t="s">
        <v>13</v>
      </c>
      <c r="J250" s="12" t="s">
        <v>11</v>
      </c>
      <c r="K250" s="12" t="str">
        <f t="shared" ref="K250:K251" si="131">K249</f>
        <v>ATY-MFO-25_EM_RP_HOST_AL</v>
      </c>
      <c r="L250">
        <v>6000</v>
      </c>
    </row>
    <row r="251" spans="1:12" ht="30" customHeight="1" x14ac:dyDescent="0.25">
      <c r="A251" s="12" t="str">
        <f t="shared" si="130"/>
        <v>2ЩС-СС-без SVC WL-2000 (RP)</v>
      </c>
      <c r="B251" s="19"/>
      <c r="C251" s="20"/>
      <c r="D251" s="21"/>
      <c r="E251" s="23"/>
      <c r="F251" s="25"/>
      <c r="G251" s="24">
        <f ca="1">SUM(G244:G250)</f>
        <v>25666.800000000003</v>
      </c>
      <c r="H251" s="20"/>
      <c r="I251" s="22"/>
      <c r="J251" s="20"/>
      <c r="K251" s="12" t="str">
        <f t="shared" si="131"/>
        <v>ATY-MFO-25_EM_RP_HOST_AL</v>
      </c>
      <c r="L251">
        <v>25666.800000000003</v>
      </c>
    </row>
    <row r="252" spans="1:12" ht="39.75" customHeight="1" x14ac:dyDescent="0.25">
      <c r="A252" s="5" t="str">
        <f>D252</f>
        <v>ЩС-ССп (RP)</v>
      </c>
      <c r="B252" s="6"/>
      <c r="C252" s="7"/>
      <c r="D252" s="6" t="s">
        <v>432</v>
      </c>
      <c r="E252" s="8"/>
      <c r="F252" s="8" t="s">
        <v>40</v>
      </c>
      <c r="G252" s="9"/>
      <c r="H252" s="10">
        <v>1</v>
      </c>
      <c r="I252" s="11" t="s">
        <v>7</v>
      </c>
      <c r="J252" s="6" t="s">
        <v>9</v>
      </c>
      <c r="K252" s="5" t="s">
        <v>142</v>
      </c>
    </row>
    <row r="253" spans="1:12" ht="21" customHeight="1" x14ac:dyDescent="0.25">
      <c r="A253" s="12" t="str">
        <f>A252</f>
        <v>ЩС-ССп (RP)</v>
      </c>
      <c r="B253" s="13" t="s">
        <v>8</v>
      </c>
      <c r="C253" s="14" t="s">
        <v>300</v>
      </c>
      <c r="D253" s="12" t="s">
        <v>301</v>
      </c>
      <c r="E253" s="13">
        <v>14695</v>
      </c>
      <c r="F253" s="15">
        <f t="shared" ref="F253:F256" si="132">E253*0.6</f>
        <v>8817</v>
      </c>
      <c r="G253" s="15">
        <f t="shared" ref="G253:G258" si="133">H253*F253</f>
        <v>8817</v>
      </c>
      <c r="H253" s="16">
        <v>1</v>
      </c>
      <c r="I253" s="17" t="s">
        <v>13</v>
      </c>
      <c r="J253" s="13" t="s">
        <v>16</v>
      </c>
      <c r="K253" s="12" t="str">
        <f>K252</f>
        <v>ATY-MFO-25_EM_RP_HOST_AL</v>
      </c>
      <c r="L253">
        <v>8817</v>
      </c>
    </row>
    <row r="254" spans="1:12" ht="21" customHeight="1" x14ac:dyDescent="0.25">
      <c r="A254" s="12" t="str">
        <f t="shared" ref="A254" si="134">A253</f>
        <v>ЩС-ССп (RP)</v>
      </c>
      <c r="B254" s="13" t="s">
        <v>54</v>
      </c>
      <c r="C254" s="14" t="s">
        <v>55</v>
      </c>
      <c r="D254" s="12" t="s">
        <v>56</v>
      </c>
      <c r="E254" s="13">
        <v>3372</v>
      </c>
      <c r="F254" s="15">
        <f t="shared" si="132"/>
        <v>2023.1999999999998</v>
      </c>
      <c r="G254" s="15">
        <f t="shared" si="133"/>
        <v>2023.1999999999998</v>
      </c>
      <c r="H254" s="16">
        <v>1</v>
      </c>
      <c r="I254" s="17" t="s">
        <v>13</v>
      </c>
      <c r="J254" s="13" t="s">
        <v>17</v>
      </c>
      <c r="K254" s="12" t="str">
        <f t="shared" ref="K254" si="135">K253</f>
        <v>ATY-MFO-25_EM_RP_HOST_AL</v>
      </c>
      <c r="L254">
        <v>2023.1999999999998</v>
      </c>
    </row>
    <row r="255" spans="1:12" ht="21" customHeight="1" x14ac:dyDescent="0.25">
      <c r="A255" s="12" t="str">
        <f>A254</f>
        <v>ЩС-ССп (RP)</v>
      </c>
      <c r="B255" s="13" t="s">
        <v>12</v>
      </c>
      <c r="C255" s="14" t="s">
        <v>50</v>
      </c>
      <c r="D255" s="12" t="s">
        <v>51</v>
      </c>
      <c r="E255" s="13">
        <v>783</v>
      </c>
      <c r="F255" s="15">
        <f t="shared" si="132"/>
        <v>469.79999999999995</v>
      </c>
      <c r="G255" s="15">
        <f t="shared" si="133"/>
        <v>4228.2</v>
      </c>
      <c r="H255" s="16">
        <v>9</v>
      </c>
      <c r="I255" s="17" t="s">
        <v>13</v>
      </c>
      <c r="J255" s="13" t="s">
        <v>17</v>
      </c>
      <c r="K255" s="12" t="str">
        <f>K254</f>
        <v>ATY-MFO-25_EM_RP_HOST_AL</v>
      </c>
      <c r="L255">
        <v>4228.2</v>
      </c>
    </row>
    <row r="256" spans="1:12" ht="21" customHeight="1" x14ac:dyDescent="0.25">
      <c r="A256" s="12" t="str">
        <f>A255</f>
        <v>ЩС-ССп (RP)</v>
      </c>
      <c r="B256" s="13" t="s">
        <v>12</v>
      </c>
      <c r="C256" s="14" t="s">
        <v>36</v>
      </c>
      <c r="D256" s="12" t="s">
        <v>37</v>
      </c>
      <c r="E256" s="13">
        <v>783</v>
      </c>
      <c r="F256" s="15">
        <f t="shared" si="132"/>
        <v>469.79999999999995</v>
      </c>
      <c r="G256" s="15">
        <f t="shared" si="133"/>
        <v>469.79999999999995</v>
      </c>
      <c r="H256" s="16">
        <v>1</v>
      </c>
      <c r="I256" s="17" t="s">
        <v>13</v>
      </c>
      <c r="J256" s="13" t="s">
        <v>17</v>
      </c>
      <c r="K256" s="12" t="str">
        <f>K255</f>
        <v>ATY-MFO-25_EM_RP_HOST_AL</v>
      </c>
      <c r="L256">
        <v>469.79999999999995</v>
      </c>
    </row>
    <row r="257" spans="1:12" ht="24" customHeight="1" x14ac:dyDescent="0.25">
      <c r="A257" s="12" t="str">
        <f>A255</f>
        <v>ЩС-ССп (RP)</v>
      </c>
      <c r="B257" s="12" t="s">
        <v>10</v>
      </c>
      <c r="C257" s="18" t="s">
        <v>10</v>
      </c>
      <c r="D257" s="12" t="s">
        <v>10</v>
      </c>
      <c r="E257" s="12">
        <f ca="1">OFFSET(E257,1,2)</f>
        <v>6000</v>
      </c>
      <c r="F257" s="15">
        <f ca="1">E257</f>
        <v>6000</v>
      </c>
      <c r="G257" s="15">
        <f t="shared" ca="1" si="133"/>
        <v>6000</v>
      </c>
      <c r="H257" s="12">
        <v>1</v>
      </c>
      <c r="I257" s="12" t="s">
        <v>13</v>
      </c>
      <c r="J257" s="12" t="s">
        <v>10</v>
      </c>
      <c r="K257" s="12" t="str">
        <f>K255</f>
        <v>ATY-MFO-25_EM_RP_HOST_AL</v>
      </c>
      <c r="L257">
        <v>6000</v>
      </c>
    </row>
    <row r="258" spans="1:12" ht="21" customHeight="1" x14ac:dyDescent="0.25">
      <c r="A258" s="12" t="str">
        <f t="shared" ref="A258:A259" si="136">A257</f>
        <v>ЩС-ССп (RP)</v>
      </c>
      <c r="B258" s="12" t="s">
        <v>11</v>
      </c>
      <c r="C258" s="18" t="s">
        <v>11</v>
      </c>
      <c r="D258" s="12" t="s">
        <v>11</v>
      </c>
      <c r="E258" s="12">
        <v>1</v>
      </c>
      <c r="F258" s="15">
        <v>100</v>
      </c>
      <c r="G258" s="15">
        <f t="shared" si="133"/>
        <v>6000</v>
      </c>
      <c r="H258" s="12">
        <f>60*E258</f>
        <v>60</v>
      </c>
      <c r="I258" s="12" t="s">
        <v>13</v>
      </c>
      <c r="J258" s="12" t="s">
        <v>11</v>
      </c>
      <c r="K258" s="12" t="str">
        <f t="shared" ref="K258:K259" si="137">K257</f>
        <v>ATY-MFO-25_EM_RP_HOST_AL</v>
      </c>
      <c r="L258">
        <v>6000</v>
      </c>
    </row>
    <row r="259" spans="1:12" ht="30" customHeight="1" x14ac:dyDescent="0.25">
      <c r="A259" s="12" t="str">
        <f t="shared" si="136"/>
        <v>ЩС-ССп (RP)</v>
      </c>
      <c r="B259" s="19"/>
      <c r="C259" s="20"/>
      <c r="D259" s="21"/>
      <c r="E259" s="23"/>
      <c r="F259" s="25"/>
      <c r="G259" s="24">
        <f ca="1">SUM(G253:G258)</f>
        <v>27538.2</v>
      </c>
      <c r="H259" s="20"/>
      <c r="I259" s="22"/>
      <c r="J259" s="20"/>
      <c r="K259" s="12" t="str">
        <f t="shared" si="137"/>
        <v>ATY-MFO-25_EM_RP_HOST_AL</v>
      </c>
      <c r="L259">
        <v>27538.2</v>
      </c>
    </row>
    <row r="260" spans="1:12" ht="39.75" customHeight="1" x14ac:dyDescent="0.25">
      <c r="A260" s="5" t="str">
        <f>D260</f>
        <v>ЩС-СС4 (RP)</v>
      </c>
      <c r="B260" s="6"/>
      <c r="C260" s="7"/>
      <c r="D260" s="6" t="s">
        <v>433</v>
      </c>
      <c r="E260" s="8"/>
      <c r="F260" s="8" t="s">
        <v>40</v>
      </c>
      <c r="G260" s="9"/>
      <c r="H260" s="10">
        <v>1</v>
      </c>
      <c r="I260" s="11" t="s">
        <v>7</v>
      </c>
      <c r="J260" s="6" t="s">
        <v>9</v>
      </c>
      <c r="K260" s="5" t="s">
        <v>142</v>
      </c>
    </row>
    <row r="261" spans="1:12" ht="21" customHeight="1" x14ac:dyDescent="0.25">
      <c r="A261" s="12" t="str">
        <f>A260</f>
        <v>ЩС-СС4 (RP)</v>
      </c>
      <c r="B261" s="13" t="s">
        <v>8</v>
      </c>
      <c r="C261" s="14" t="s">
        <v>300</v>
      </c>
      <c r="D261" s="12" t="s">
        <v>301</v>
      </c>
      <c r="E261" s="13">
        <v>14695</v>
      </c>
      <c r="F261" s="15">
        <f t="shared" ref="F261:F264" si="138">E261*0.6</f>
        <v>8817</v>
      </c>
      <c r="G261" s="15">
        <f t="shared" ref="G261:G266" si="139">H261*F261</f>
        <v>8817</v>
      </c>
      <c r="H261" s="16">
        <v>1</v>
      </c>
      <c r="I261" s="17" t="s">
        <v>13</v>
      </c>
      <c r="J261" s="13" t="s">
        <v>16</v>
      </c>
      <c r="K261" s="12" t="str">
        <f>K260</f>
        <v>ATY-MFO-25_EM_RP_HOST_AL</v>
      </c>
      <c r="L261">
        <v>8817</v>
      </c>
    </row>
    <row r="262" spans="1:12" ht="21" customHeight="1" x14ac:dyDescent="0.25">
      <c r="A262" s="12" t="str">
        <f t="shared" ref="A262" si="140">A261</f>
        <v>ЩС-СС4 (RP)</v>
      </c>
      <c r="B262" s="13" t="s">
        <v>54</v>
      </c>
      <c r="C262" s="14" t="s">
        <v>55</v>
      </c>
      <c r="D262" s="12" t="s">
        <v>56</v>
      </c>
      <c r="E262" s="13">
        <v>3372</v>
      </c>
      <c r="F262" s="15">
        <f t="shared" si="138"/>
        <v>2023.1999999999998</v>
      </c>
      <c r="G262" s="15">
        <f t="shared" si="139"/>
        <v>2023.1999999999998</v>
      </c>
      <c r="H262" s="16">
        <v>1</v>
      </c>
      <c r="I262" s="17" t="s">
        <v>13</v>
      </c>
      <c r="J262" s="13" t="s">
        <v>17</v>
      </c>
      <c r="K262" s="12" t="str">
        <f t="shared" ref="K262" si="141">K261</f>
        <v>ATY-MFO-25_EM_RP_HOST_AL</v>
      </c>
      <c r="L262">
        <v>2023.1999999999998</v>
      </c>
    </row>
    <row r="263" spans="1:12" ht="21" customHeight="1" x14ac:dyDescent="0.25">
      <c r="A263" s="12" t="str">
        <f>A262</f>
        <v>ЩС-СС4 (RP)</v>
      </c>
      <c r="B263" s="13" t="s">
        <v>12</v>
      </c>
      <c r="C263" s="14" t="s">
        <v>36</v>
      </c>
      <c r="D263" s="12" t="s">
        <v>37</v>
      </c>
      <c r="E263" s="13">
        <v>783</v>
      </c>
      <c r="F263" s="15">
        <f t="shared" si="138"/>
        <v>469.79999999999995</v>
      </c>
      <c r="G263" s="15">
        <f t="shared" si="139"/>
        <v>469.79999999999995</v>
      </c>
      <c r="H263" s="16">
        <v>1</v>
      </c>
      <c r="I263" s="17" t="s">
        <v>13</v>
      </c>
      <c r="J263" s="13" t="s">
        <v>17</v>
      </c>
      <c r="K263" s="12" t="str">
        <f>K262</f>
        <v>ATY-MFO-25_EM_RP_HOST_AL</v>
      </c>
      <c r="L263">
        <v>469.79999999999995</v>
      </c>
    </row>
    <row r="264" spans="1:12" ht="21" customHeight="1" x14ac:dyDescent="0.25">
      <c r="A264" s="12" t="str">
        <f>A262</f>
        <v>ЩС-СС4 (RP)</v>
      </c>
      <c r="B264" s="13" t="s">
        <v>12</v>
      </c>
      <c r="C264" s="14" t="s">
        <v>50</v>
      </c>
      <c r="D264" s="12" t="s">
        <v>51</v>
      </c>
      <c r="E264" s="13">
        <v>783</v>
      </c>
      <c r="F264" s="15">
        <f t="shared" si="138"/>
        <v>469.79999999999995</v>
      </c>
      <c r="G264" s="15">
        <f t="shared" si="139"/>
        <v>1409.3999999999999</v>
      </c>
      <c r="H264" s="16">
        <v>3</v>
      </c>
      <c r="I264" s="17" t="s">
        <v>13</v>
      </c>
      <c r="J264" s="13" t="s">
        <v>17</v>
      </c>
      <c r="K264" s="12" t="str">
        <f>K262</f>
        <v>ATY-MFO-25_EM_RP_HOST_AL</v>
      </c>
      <c r="L264">
        <v>1409.3999999999999</v>
      </c>
    </row>
    <row r="265" spans="1:12" ht="24" customHeight="1" x14ac:dyDescent="0.25">
      <c r="A265" s="12" t="str">
        <f>A264</f>
        <v>ЩС-СС4 (RP)</v>
      </c>
      <c r="B265" s="12" t="s">
        <v>10</v>
      </c>
      <c r="C265" s="18" t="s">
        <v>10</v>
      </c>
      <c r="D265" s="12" t="s">
        <v>10</v>
      </c>
      <c r="E265" s="12">
        <f ca="1">OFFSET(E265,1,2)</f>
        <v>4200</v>
      </c>
      <c r="F265" s="15">
        <f ca="1">E265</f>
        <v>4200</v>
      </c>
      <c r="G265" s="15">
        <f t="shared" ca="1" si="139"/>
        <v>4200</v>
      </c>
      <c r="H265" s="12">
        <v>1</v>
      </c>
      <c r="I265" s="12" t="s">
        <v>13</v>
      </c>
      <c r="J265" s="12" t="s">
        <v>10</v>
      </c>
      <c r="K265" s="12" t="str">
        <f>K264</f>
        <v>ATY-MFO-25_EM_RP_HOST_AL</v>
      </c>
      <c r="L265">
        <v>4200</v>
      </c>
    </row>
    <row r="266" spans="1:12" ht="21" customHeight="1" x14ac:dyDescent="0.25">
      <c r="A266" s="12" t="str">
        <f t="shared" ref="A266:A267" si="142">A265</f>
        <v>ЩС-СС4 (RP)</v>
      </c>
      <c r="B266" s="12" t="s">
        <v>11</v>
      </c>
      <c r="C266" s="18" t="s">
        <v>11</v>
      </c>
      <c r="D266" s="12" t="s">
        <v>11</v>
      </c>
      <c r="E266" s="12">
        <v>0.7</v>
      </c>
      <c r="F266" s="15">
        <v>100</v>
      </c>
      <c r="G266" s="15">
        <f t="shared" si="139"/>
        <v>4200</v>
      </c>
      <c r="H266" s="12">
        <f>60*E266</f>
        <v>42</v>
      </c>
      <c r="I266" s="12" t="s">
        <v>13</v>
      </c>
      <c r="J266" s="12" t="s">
        <v>11</v>
      </c>
      <c r="K266" s="12" t="str">
        <f t="shared" ref="K266:K267" si="143">K265</f>
        <v>ATY-MFO-25_EM_RP_HOST_AL</v>
      </c>
      <c r="L266">
        <v>4200</v>
      </c>
    </row>
    <row r="267" spans="1:12" ht="30" customHeight="1" x14ac:dyDescent="0.25">
      <c r="A267" s="12" t="str">
        <f t="shared" si="142"/>
        <v>ЩС-СС4 (RP)</v>
      </c>
      <c r="B267" s="19"/>
      <c r="C267" s="20"/>
      <c r="D267" s="21"/>
      <c r="E267" s="23"/>
      <c r="F267" s="25"/>
      <c r="G267" s="24">
        <f ca="1">SUM(G261:G266)</f>
        <v>21119.4</v>
      </c>
      <c r="H267" s="20"/>
      <c r="I267" s="22"/>
      <c r="J267" s="20"/>
      <c r="K267" s="12" t="str">
        <f t="shared" si="143"/>
        <v>ATY-MFO-25_EM_RP_HOST_AL</v>
      </c>
      <c r="L267">
        <v>21119.4</v>
      </c>
    </row>
    <row r="268" spans="1:12" ht="39.75" customHeight="1" x14ac:dyDescent="0.25">
      <c r="A268" s="5" t="str">
        <f>D268</f>
        <v>ЩСР-1 (RP)</v>
      </c>
      <c r="B268" s="6"/>
      <c r="C268" s="7"/>
      <c r="D268" s="6" t="s">
        <v>434</v>
      </c>
      <c r="E268" s="8"/>
      <c r="F268" s="8" t="s">
        <v>40</v>
      </c>
      <c r="G268" s="9"/>
      <c r="H268" s="10">
        <v>1</v>
      </c>
      <c r="I268" s="11" t="s">
        <v>7</v>
      </c>
      <c r="J268" s="6" t="s">
        <v>9</v>
      </c>
      <c r="K268" s="5" t="s">
        <v>142</v>
      </c>
    </row>
    <row r="269" spans="1:12" ht="21" customHeight="1" x14ac:dyDescent="0.25">
      <c r="A269" s="12" t="str">
        <f>A268</f>
        <v>ЩСР-1 (RP)</v>
      </c>
      <c r="B269" s="13" t="s">
        <v>8</v>
      </c>
      <c r="C269" s="14" t="s">
        <v>304</v>
      </c>
      <c r="D269" s="12" t="s">
        <v>305</v>
      </c>
      <c r="E269" s="13">
        <v>15140</v>
      </c>
      <c r="F269" s="15">
        <f t="shared" ref="F269:F271" si="144">E269*0.6</f>
        <v>9084</v>
      </c>
      <c r="G269" s="15">
        <f t="shared" ref="G269:G273" si="145">H269*F269</f>
        <v>9084</v>
      </c>
      <c r="H269" s="16">
        <v>1</v>
      </c>
      <c r="I269" s="17" t="s">
        <v>13</v>
      </c>
      <c r="J269" s="13" t="s">
        <v>16</v>
      </c>
      <c r="K269" s="12" t="str">
        <f>K268</f>
        <v>ATY-MFO-25_EM_RP_HOST_AL</v>
      </c>
      <c r="L269">
        <v>9084</v>
      </c>
    </row>
    <row r="270" spans="1:12" ht="21" customHeight="1" x14ac:dyDescent="0.25">
      <c r="A270" s="12" t="str">
        <f>A268</f>
        <v>ЩСР-1 (RP)</v>
      </c>
      <c r="B270" s="13" t="s">
        <v>54</v>
      </c>
      <c r="C270" s="14" t="s">
        <v>57</v>
      </c>
      <c r="D270" s="12" t="s">
        <v>58</v>
      </c>
      <c r="E270" s="13">
        <v>3372</v>
      </c>
      <c r="F270" s="15">
        <f t="shared" si="144"/>
        <v>2023.1999999999998</v>
      </c>
      <c r="G270" s="15">
        <f t="shared" si="145"/>
        <v>2023.1999999999998</v>
      </c>
      <c r="H270" s="16">
        <v>1</v>
      </c>
      <c r="I270" s="17" t="s">
        <v>13</v>
      </c>
      <c r="J270" s="13" t="s">
        <v>17</v>
      </c>
      <c r="K270" s="12" t="str">
        <f>K268</f>
        <v>ATY-MFO-25_EM_RP_HOST_AL</v>
      </c>
      <c r="L270">
        <v>2023.1999999999998</v>
      </c>
    </row>
    <row r="271" spans="1:12" ht="21" customHeight="1" x14ac:dyDescent="0.25">
      <c r="A271" s="12" t="str">
        <f>A270</f>
        <v>ЩСР-1 (RP)</v>
      </c>
      <c r="B271" s="13" t="s">
        <v>21</v>
      </c>
      <c r="C271" s="14" t="s">
        <v>44</v>
      </c>
      <c r="D271" s="12" t="s">
        <v>45</v>
      </c>
      <c r="E271" s="13">
        <v>5104</v>
      </c>
      <c r="F271" s="15">
        <f t="shared" si="144"/>
        <v>3062.4</v>
      </c>
      <c r="G271" s="15">
        <f t="shared" si="145"/>
        <v>33686.400000000001</v>
      </c>
      <c r="H271" s="16">
        <v>11</v>
      </c>
      <c r="I271" s="17" t="s">
        <v>13</v>
      </c>
      <c r="J271" s="13" t="s">
        <v>17</v>
      </c>
      <c r="K271" s="12" t="str">
        <f>K270</f>
        <v>ATY-MFO-25_EM_RP_HOST_AL</v>
      </c>
      <c r="L271">
        <v>33686.400000000001</v>
      </c>
    </row>
    <row r="272" spans="1:12" ht="24" customHeight="1" x14ac:dyDescent="0.25">
      <c r="A272" s="12" t="str">
        <f>A271</f>
        <v>ЩСР-1 (RP)</v>
      </c>
      <c r="B272" s="12" t="s">
        <v>10</v>
      </c>
      <c r="C272" s="18" t="s">
        <v>10</v>
      </c>
      <c r="D272" s="12" t="s">
        <v>10</v>
      </c>
      <c r="E272" s="12">
        <f ca="1">OFFSET(E272,1,2)</f>
        <v>6000</v>
      </c>
      <c r="F272" s="15">
        <f ca="1">E272</f>
        <v>6000</v>
      </c>
      <c r="G272" s="15">
        <f t="shared" ca="1" si="145"/>
        <v>6000</v>
      </c>
      <c r="H272" s="12">
        <v>1</v>
      </c>
      <c r="I272" s="12" t="s">
        <v>13</v>
      </c>
      <c r="J272" s="12" t="s">
        <v>10</v>
      </c>
      <c r="K272" s="12" t="str">
        <f>K271</f>
        <v>ATY-MFO-25_EM_RP_HOST_AL</v>
      </c>
      <c r="L272">
        <v>6000</v>
      </c>
    </row>
    <row r="273" spans="1:12" ht="21" customHeight="1" x14ac:dyDescent="0.25">
      <c r="A273" s="12" t="str">
        <f t="shared" ref="A273:A274" si="146">A272</f>
        <v>ЩСР-1 (RP)</v>
      </c>
      <c r="B273" s="12" t="s">
        <v>11</v>
      </c>
      <c r="C273" s="18" t="s">
        <v>11</v>
      </c>
      <c r="D273" s="12" t="s">
        <v>11</v>
      </c>
      <c r="E273" s="12">
        <v>1</v>
      </c>
      <c r="F273" s="15">
        <v>100</v>
      </c>
      <c r="G273" s="15">
        <f t="shared" si="145"/>
        <v>6000</v>
      </c>
      <c r="H273" s="12">
        <f>60*E273</f>
        <v>60</v>
      </c>
      <c r="I273" s="12" t="s">
        <v>13</v>
      </c>
      <c r="J273" s="12" t="s">
        <v>11</v>
      </c>
      <c r="K273" s="12" t="str">
        <f t="shared" ref="K273:K274" si="147">K272</f>
        <v>ATY-MFO-25_EM_RP_HOST_AL</v>
      </c>
      <c r="L273">
        <v>6000</v>
      </c>
    </row>
    <row r="274" spans="1:12" ht="30" customHeight="1" x14ac:dyDescent="0.25">
      <c r="A274" s="12" t="str">
        <f t="shared" si="146"/>
        <v>ЩСР-1 (RP)</v>
      </c>
      <c r="B274" s="19"/>
      <c r="C274" s="20"/>
      <c r="D274" s="21"/>
      <c r="E274" s="23"/>
      <c r="F274" s="25"/>
      <c r="G274" s="24">
        <f ca="1">SUM(G269:G273)</f>
        <v>56793.600000000006</v>
      </c>
      <c r="H274" s="20"/>
      <c r="I274" s="22"/>
      <c r="J274" s="20"/>
      <c r="K274" s="12" t="str">
        <f t="shared" si="147"/>
        <v>ATY-MFO-25_EM_RP_HOST_AL</v>
      </c>
      <c r="L274">
        <v>56793.600000000006</v>
      </c>
    </row>
    <row r="275" spans="1:12" ht="39.75" customHeight="1" x14ac:dyDescent="0.25">
      <c r="A275" s="5" t="str">
        <f>D275</f>
        <v>ЩСРп-2 (RP)</v>
      </c>
      <c r="B275" s="6"/>
      <c r="C275" s="7"/>
      <c r="D275" s="6" t="s">
        <v>435</v>
      </c>
      <c r="E275" s="8"/>
      <c r="F275" s="8" t="s">
        <v>40</v>
      </c>
      <c r="G275" s="9"/>
      <c r="H275" s="10">
        <v>1</v>
      </c>
      <c r="I275" s="11" t="s">
        <v>7</v>
      </c>
      <c r="J275" s="6" t="s">
        <v>9</v>
      </c>
      <c r="K275" s="5" t="s">
        <v>142</v>
      </c>
    </row>
    <row r="276" spans="1:12" ht="21" customHeight="1" x14ac:dyDescent="0.25">
      <c r="A276" s="12" t="str">
        <f>A275</f>
        <v>ЩСРп-2 (RP)</v>
      </c>
      <c r="B276" s="13" t="s">
        <v>8</v>
      </c>
      <c r="C276" s="14" t="s">
        <v>302</v>
      </c>
      <c r="D276" s="12" t="s">
        <v>303</v>
      </c>
      <c r="E276" s="13">
        <v>13410</v>
      </c>
      <c r="F276" s="15">
        <f t="shared" ref="F276:F278" si="148">E276*0.6</f>
        <v>8046</v>
      </c>
      <c r="G276" s="15">
        <f t="shared" ref="G276:G280" si="149">H276*F276</f>
        <v>8046</v>
      </c>
      <c r="H276" s="16">
        <v>1</v>
      </c>
      <c r="I276" s="17" t="s">
        <v>13</v>
      </c>
      <c r="J276" s="13" t="s">
        <v>16</v>
      </c>
      <c r="K276" s="12" t="str">
        <f>K275</f>
        <v>ATY-MFO-25_EM_RP_HOST_AL</v>
      </c>
      <c r="L276">
        <v>8046</v>
      </c>
    </row>
    <row r="277" spans="1:12" ht="21" customHeight="1" x14ac:dyDescent="0.25">
      <c r="A277" s="12" t="str">
        <f>A275</f>
        <v>ЩСРп-2 (RP)</v>
      </c>
      <c r="B277" s="13" t="s">
        <v>54</v>
      </c>
      <c r="C277" s="14" t="s">
        <v>57</v>
      </c>
      <c r="D277" s="12" t="s">
        <v>58</v>
      </c>
      <c r="E277" s="13">
        <v>3372</v>
      </c>
      <c r="F277" s="15">
        <f t="shared" si="148"/>
        <v>2023.1999999999998</v>
      </c>
      <c r="G277" s="15">
        <f t="shared" si="149"/>
        <v>2023.1999999999998</v>
      </c>
      <c r="H277" s="16">
        <v>1</v>
      </c>
      <c r="I277" s="17" t="s">
        <v>13</v>
      </c>
      <c r="J277" s="13" t="s">
        <v>17</v>
      </c>
      <c r="K277" s="12" t="str">
        <f>K275</f>
        <v>ATY-MFO-25_EM_RP_HOST_AL</v>
      </c>
      <c r="L277">
        <v>2023.1999999999998</v>
      </c>
    </row>
    <row r="278" spans="1:12" ht="21" customHeight="1" x14ac:dyDescent="0.25">
      <c r="A278" s="12" t="str">
        <f>A277</f>
        <v>ЩСРп-2 (RP)</v>
      </c>
      <c r="B278" s="13" t="s">
        <v>21</v>
      </c>
      <c r="C278" s="14" t="s">
        <v>44</v>
      </c>
      <c r="D278" s="12" t="s">
        <v>45</v>
      </c>
      <c r="E278" s="13">
        <v>5104</v>
      </c>
      <c r="F278" s="15">
        <f t="shared" si="148"/>
        <v>3062.4</v>
      </c>
      <c r="G278" s="15">
        <f t="shared" si="149"/>
        <v>24499.200000000001</v>
      </c>
      <c r="H278" s="16">
        <v>8</v>
      </c>
      <c r="I278" s="17" t="s">
        <v>13</v>
      </c>
      <c r="J278" s="13" t="s">
        <v>17</v>
      </c>
      <c r="K278" s="12" t="str">
        <f>K277</f>
        <v>ATY-MFO-25_EM_RP_HOST_AL</v>
      </c>
      <c r="L278">
        <v>24499.200000000001</v>
      </c>
    </row>
    <row r="279" spans="1:12" ht="24" customHeight="1" x14ac:dyDescent="0.25">
      <c r="A279" s="12" t="str">
        <f>A278</f>
        <v>ЩСРп-2 (RP)</v>
      </c>
      <c r="B279" s="12" t="s">
        <v>10</v>
      </c>
      <c r="C279" s="18" t="s">
        <v>10</v>
      </c>
      <c r="D279" s="12" t="s">
        <v>10</v>
      </c>
      <c r="E279" s="12">
        <f ca="1">OFFSET(E279,1,2)</f>
        <v>4200</v>
      </c>
      <c r="F279" s="15">
        <f ca="1">E279</f>
        <v>4200</v>
      </c>
      <c r="G279" s="15">
        <f t="shared" ca="1" si="149"/>
        <v>4200</v>
      </c>
      <c r="H279" s="12">
        <v>1</v>
      </c>
      <c r="I279" s="12" t="s">
        <v>13</v>
      </c>
      <c r="J279" s="12" t="s">
        <v>10</v>
      </c>
      <c r="K279" s="12" t="str">
        <f>K278</f>
        <v>ATY-MFO-25_EM_RP_HOST_AL</v>
      </c>
      <c r="L279">
        <v>4200</v>
      </c>
    </row>
    <row r="280" spans="1:12" ht="21" customHeight="1" x14ac:dyDescent="0.25">
      <c r="A280" s="12" t="str">
        <f t="shared" ref="A280:A281" si="150">A279</f>
        <v>ЩСРп-2 (RP)</v>
      </c>
      <c r="B280" s="12" t="s">
        <v>11</v>
      </c>
      <c r="C280" s="18" t="s">
        <v>11</v>
      </c>
      <c r="D280" s="12" t="s">
        <v>11</v>
      </c>
      <c r="E280" s="12">
        <v>0.7</v>
      </c>
      <c r="F280" s="15">
        <v>100</v>
      </c>
      <c r="G280" s="15">
        <f t="shared" si="149"/>
        <v>4200</v>
      </c>
      <c r="H280" s="12">
        <f>60*E280</f>
        <v>42</v>
      </c>
      <c r="I280" s="12" t="s">
        <v>13</v>
      </c>
      <c r="J280" s="12" t="s">
        <v>11</v>
      </c>
      <c r="K280" s="12" t="str">
        <f t="shared" ref="K280:K281" si="151">K279</f>
        <v>ATY-MFO-25_EM_RP_HOST_AL</v>
      </c>
      <c r="L280">
        <v>4200</v>
      </c>
    </row>
    <row r="281" spans="1:12" ht="30" customHeight="1" x14ac:dyDescent="0.25">
      <c r="A281" s="12" t="str">
        <f t="shared" si="150"/>
        <v>ЩСРп-2 (RP)</v>
      </c>
      <c r="B281" s="19"/>
      <c r="C281" s="20"/>
      <c r="D281" s="21"/>
      <c r="E281" s="23"/>
      <c r="F281" s="25"/>
      <c r="G281" s="24">
        <f ca="1">SUM(G276:G280)</f>
        <v>42968.4</v>
      </c>
      <c r="H281" s="20"/>
      <c r="I281" s="22"/>
      <c r="J281" s="20"/>
      <c r="K281" s="12" t="str">
        <f t="shared" si="151"/>
        <v>ATY-MFO-25_EM_RP_HOST_AL</v>
      </c>
      <c r="L281">
        <v>42968.4</v>
      </c>
    </row>
    <row r="282" spans="1:12" ht="39.75" customHeight="1" x14ac:dyDescent="0.25">
      <c r="A282" s="5" t="str">
        <f>D282</f>
        <v>ЩСРп-3 (RP)</v>
      </c>
      <c r="B282" s="6"/>
      <c r="C282" s="7"/>
      <c r="D282" s="6" t="s">
        <v>436</v>
      </c>
      <c r="E282" s="8"/>
      <c r="F282" s="8" t="s">
        <v>40</v>
      </c>
      <c r="G282" s="9"/>
      <c r="H282" s="10">
        <v>1</v>
      </c>
      <c r="I282" s="11" t="s">
        <v>7</v>
      </c>
      <c r="J282" s="6" t="s">
        <v>9</v>
      </c>
      <c r="K282" s="5" t="s">
        <v>142</v>
      </c>
    </row>
    <row r="283" spans="1:12" ht="21" customHeight="1" x14ac:dyDescent="0.25">
      <c r="A283" s="12" t="str">
        <f>A282</f>
        <v>ЩСРп-3 (RP)</v>
      </c>
      <c r="B283" s="13" t="s">
        <v>8</v>
      </c>
      <c r="C283" s="14" t="s">
        <v>302</v>
      </c>
      <c r="D283" s="12" t="s">
        <v>303</v>
      </c>
      <c r="E283" s="13">
        <v>13410</v>
      </c>
      <c r="F283" s="15">
        <f t="shared" ref="F283:F285" si="152">E283*0.6</f>
        <v>8046</v>
      </c>
      <c r="G283" s="15">
        <f t="shared" ref="G283:G287" si="153">H283*F283</f>
        <v>8046</v>
      </c>
      <c r="H283" s="16">
        <v>1</v>
      </c>
      <c r="I283" s="17" t="s">
        <v>13</v>
      </c>
      <c r="J283" s="13" t="s">
        <v>16</v>
      </c>
      <c r="K283" s="12" t="str">
        <f>K282</f>
        <v>ATY-MFO-25_EM_RP_HOST_AL</v>
      </c>
      <c r="L283">
        <v>8046</v>
      </c>
    </row>
    <row r="284" spans="1:12" ht="21" customHeight="1" x14ac:dyDescent="0.25">
      <c r="A284" s="12" t="str">
        <f>A282</f>
        <v>ЩСРп-3 (RP)</v>
      </c>
      <c r="B284" s="13" t="s">
        <v>54</v>
      </c>
      <c r="C284" s="14" t="s">
        <v>57</v>
      </c>
      <c r="D284" s="12" t="s">
        <v>58</v>
      </c>
      <c r="E284" s="13">
        <v>3372</v>
      </c>
      <c r="F284" s="15">
        <f t="shared" si="152"/>
        <v>2023.1999999999998</v>
      </c>
      <c r="G284" s="15">
        <f t="shared" si="153"/>
        <v>2023.1999999999998</v>
      </c>
      <c r="H284" s="16">
        <v>1</v>
      </c>
      <c r="I284" s="17" t="s">
        <v>13</v>
      </c>
      <c r="J284" s="13" t="s">
        <v>17</v>
      </c>
      <c r="K284" s="12" t="str">
        <f>K282</f>
        <v>ATY-MFO-25_EM_RP_HOST_AL</v>
      </c>
      <c r="L284">
        <v>2023.1999999999998</v>
      </c>
    </row>
    <row r="285" spans="1:12" ht="21" customHeight="1" x14ac:dyDescent="0.25">
      <c r="A285" s="12" t="str">
        <f>A284</f>
        <v>ЩСРп-3 (RP)</v>
      </c>
      <c r="B285" s="13" t="s">
        <v>21</v>
      </c>
      <c r="C285" s="14" t="s">
        <v>44</v>
      </c>
      <c r="D285" s="12" t="s">
        <v>45</v>
      </c>
      <c r="E285" s="13">
        <v>5104</v>
      </c>
      <c r="F285" s="15">
        <f t="shared" si="152"/>
        <v>3062.4</v>
      </c>
      <c r="G285" s="15">
        <f t="shared" si="153"/>
        <v>24499.200000000001</v>
      </c>
      <c r="H285" s="16">
        <v>8</v>
      </c>
      <c r="I285" s="17" t="s">
        <v>13</v>
      </c>
      <c r="J285" s="13" t="s">
        <v>17</v>
      </c>
      <c r="K285" s="12" t="str">
        <f>K284</f>
        <v>ATY-MFO-25_EM_RP_HOST_AL</v>
      </c>
      <c r="L285">
        <v>24499.200000000001</v>
      </c>
    </row>
    <row r="286" spans="1:12" ht="24" customHeight="1" x14ac:dyDescent="0.25">
      <c r="A286" s="12" t="str">
        <f>A285</f>
        <v>ЩСРп-3 (RP)</v>
      </c>
      <c r="B286" s="12" t="s">
        <v>10</v>
      </c>
      <c r="C286" s="18" t="s">
        <v>10</v>
      </c>
      <c r="D286" s="12" t="s">
        <v>10</v>
      </c>
      <c r="E286" s="12">
        <f ca="1">OFFSET(E286,1,2)</f>
        <v>4200</v>
      </c>
      <c r="F286" s="15">
        <f ca="1">E286</f>
        <v>4200</v>
      </c>
      <c r="G286" s="15">
        <f t="shared" ca="1" si="153"/>
        <v>4200</v>
      </c>
      <c r="H286" s="12">
        <v>1</v>
      </c>
      <c r="I286" s="12" t="s">
        <v>13</v>
      </c>
      <c r="J286" s="12" t="s">
        <v>10</v>
      </c>
      <c r="K286" s="12" t="str">
        <f>K285</f>
        <v>ATY-MFO-25_EM_RP_HOST_AL</v>
      </c>
      <c r="L286">
        <v>4200</v>
      </c>
    </row>
    <row r="287" spans="1:12" ht="21" customHeight="1" x14ac:dyDescent="0.25">
      <c r="A287" s="12" t="str">
        <f t="shared" ref="A287:A288" si="154">A286</f>
        <v>ЩСРп-3 (RP)</v>
      </c>
      <c r="B287" s="12" t="s">
        <v>11</v>
      </c>
      <c r="C287" s="18" t="s">
        <v>11</v>
      </c>
      <c r="D287" s="12" t="s">
        <v>11</v>
      </c>
      <c r="E287" s="12">
        <v>0.7</v>
      </c>
      <c r="F287" s="15">
        <v>100</v>
      </c>
      <c r="G287" s="15">
        <f t="shared" si="153"/>
        <v>4200</v>
      </c>
      <c r="H287" s="12">
        <f>60*E287</f>
        <v>42</v>
      </c>
      <c r="I287" s="12" t="s">
        <v>13</v>
      </c>
      <c r="J287" s="12" t="s">
        <v>11</v>
      </c>
      <c r="K287" s="12" t="str">
        <f t="shared" ref="K287:K288" si="155">K286</f>
        <v>ATY-MFO-25_EM_RP_HOST_AL</v>
      </c>
      <c r="L287">
        <v>4200</v>
      </c>
    </row>
    <row r="288" spans="1:12" ht="30" customHeight="1" x14ac:dyDescent="0.25">
      <c r="A288" s="12" t="str">
        <f t="shared" si="154"/>
        <v>ЩСРп-3 (RP)</v>
      </c>
      <c r="B288" s="19"/>
      <c r="C288" s="20"/>
      <c r="D288" s="21"/>
      <c r="E288" s="23"/>
      <c r="F288" s="25"/>
      <c r="G288" s="24">
        <f ca="1">SUM(G283:G287)</f>
        <v>42968.4</v>
      </c>
      <c r="H288" s="20"/>
      <c r="I288" s="22"/>
      <c r="J288" s="20"/>
      <c r="K288" s="12" t="str">
        <f t="shared" si="155"/>
        <v>ATY-MFO-25_EM_RP_HOST_AL</v>
      </c>
      <c r="L288">
        <v>42968.4</v>
      </c>
    </row>
    <row r="289" spans="1:12" ht="39.75" customHeight="1" x14ac:dyDescent="0.25">
      <c r="A289" s="5" t="str">
        <f>D289</f>
        <v>ЩСо (RP)</v>
      </c>
      <c r="B289" s="6"/>
      <c r="C289" s="7"/>
      <c r="D289" s="6" t="s">
        <v>437</v>
      </c>
      <c r="E289" s="8"/>
      <c r="F289" s="8" t="s">
        <v>40</v>
      </c>
      <c r="G289" s="9"/>
      <c r="H289" s="10">
        <v>1</v>
      </c>
      <c r="I289" s="11" t="s">
        <v>7</v>
      </c>
      <c r="J289" s="6" t="s">
        <v>9</v>
      </c>
      <c r="K289" s="5" t="s">
        <v>142</v>
      </c>
    </row>
    <row r="290" spans="1:12" ht="21" customHeight="1" x14ac:dyDescent="0.25">
      <c r="A290" s="12" t="str">
        <f>A289</f>
        <v>ЩСо (RP)</v>
      </c>
      <c r="B290" s="13" t="s">
        <v>8</v>
      </c>
      <c r="C290" s="14" t="s">
        <v>302</v>
      </c>
      <c r="D290" s="12" t="s">
        <v>303</v>
      </c>
      <c r="E290" s="13">
        <v>13410</v>
      </c>
      <c r="F290" s="15">
        <f t="shared" ref="F290:F292" si="156">E290*0.6</f>
        <v>8046</v>
      </c>
      <c r="G290" s="15">
        <f t="shared" ref="G290:G294" si="157">H290*F290</f>
        <v>8046</v>
      </c>
      <c r="H290" s="16">
        <v>1</v>
      </c>
      <c r="I290" s="17" t="s">
        <v>13</v>
      </c>
      <c r="J290" s="13" t="s">
        <v>16</v>
      </c>
      <c r="K290" s="12" t="str">
        <f>K289</f>
        <v>ATY-MFO-25_EM_RP_HOST_AL</v>
      </c>
      <c r="L290">
        <v>8046</v>
      </c>
    </row>
    <row r="291" spans="1:12" ht="21" customHeight="1" x14ac:dyDescent="0.25">
      <c r="A291" s="12" t="str">
        <f t="shared" ref="A291" si="158">A290</f>
        <v>ЩСо (RP)</v>
      </c>
      <c r="B291" s="13" t="s">
        <v>54</v>
      </c>
      <c r="C291" s="14" t="s">
        <v>55</v>
      </c>
      <c r="D291" s="12" t="s">
        <v>56</v>
      </c>
      <c r="E291" s="13">
        <v>3372</v>
      </c>
      <c r="F291" s="15">
        <f t="shared" si="156"/>
        <v>2023.1999999999998</v>
      </c>
      <c r="G291" s="15">
        <f t="shared" si="157"/>
        <v>2023.1999999999998</v>
      </c>
      <c r="H291" s="16">
        <v>1</v>
      </c>
      <c r="I291" s="17" t="s">
        <v>13</v>
      </c>
      <c r="J291" s="13" t="s">
        <v>17</v>
      </c>
      <c r="K291" s="12" t="str">
        <f t="shared" ref="K291" si="159">K290</f>
        <v>ATY-MFO-25_EM_RP_HOST_AL</v>
      </c>
      <c r="L291">
        <v>2023.1999999999998</v>
      </c>
    </row>
    <row r="292" spans="1:12" ht="21" customHeight="1" x14ac:dyDescent="0.25">
      <c r="A292" s="12" t="str">
        <f>A291</f>
        <v>ЩСо (RP)</v>
      </c>
      <c r="B292" s="13" t="s">
        <v>21</v>
      </c>
      <c r="C292" s="14" t="s">
        <v>44</v>
      </c>
      <c r="D292" s="12" t="s">
        <v>45</v>
      </c>
      <c r="E292" s="13">
        <v>5104</v>
      </c>
      <c r="F292" s="15">
        <f t="shared" si="156"/>
        <v>3062.4</v>
      </c>
      <c r="G292" s="15">
        <f t="shared" si="157"/>
        <v>18374.400000000001</v>
      </c>
      <c r="H292" s="16">
        <v>6</v>
      </c>
      <c r="I292" s="17" t="s">
        <v>13</v>
      </c>
      <c r="J292" s="13" t="s">
        <v>17</v>
      </c>
      <c r="K292" s="12" t="str">
        <f>K291</f>
        <v>ATY-MFO-25_EM_RP_HOST_AL</v>
      </c>
      <c r="L292">
        <v>18374.400000000001</v>
      </c>
    </row>
    <row r="293" spans="1:12" ht="24" customHeight="1" x14ac:dyDescent="0.25">
      <c r="A293" s="12" t="str">
        <f>A292</f>
        <v>ЩСо (RP)</v>
      </c>
      <c r="B293" s="12" t="s">
        <v>10</v>
      </c>
      <c r="C293" s="18" t="s">
        <v>10</v>
      </c>
      <c r="D293" s="12" t="s">
        <v>10</v>
      </c>
      <c r="E293" s="12">
        <f ca="1">OFFSET(E293,1,2)</f>
        <v>4200</v>
      </c>
      <c r="F293" s="15">
        <f ca="1">E293</f>
        <v>4200</v>
      </c>
      <c r="G293" s="15">
        <f t="shared" ca="1" si="157"/>
        <v>4200</v>
      </c>
      <c r="H293" s="12">
        <v>1</v>
      </c>
      <c r="I293" s="12" t="s">
        <v>13</v>
      </c>
      <c r="J293" s="12" t="s">
        <v>10</v>
      </c>
      <c r="K293" s="12" t="str">
        <f>K292</f>
        <v>ATY-MFO-25_EM_RP_HOST_AL</v>
      </c>
      <c r="L293">
        <v>4200</v>
      </c>
    </row>
    <row r="294" spans="1:12" ht="21" customHeight="1" x14ac:dyDescent="0.25">
      <c r="A294" s="12" t="str">
        <f t="shared" ref="A294:A295" si="160">A293</f>
        <v>ЩСо (RP)</v>
      </c>
      <c r="B294" s="12" t="s">
        <v>11</v>
      </c>
      <c r="C294" s="18" t="s">
        <v>11</v>
      </c>
      <c r="D294" s="12" t="s">
        <v>11</v>
      </c>
      <c r="E294" s="12">
        <v>0.7</v>
      </c>
      <c r="F294" s="15">
        <v>100</v>
      </c>
      <c r="G294" s="15">
        <f t="shared" si="157"/>
        <v>4200</v>
      </c>
      <c r="H294" s="12">
        <f>60*E294</f>
        <v>42</v>
      </c>
      <c r="I294" s="12" t="s">
        <v>13</v>
      </c>
      <c r="J294" s="12" t="s">
        <v>11</v>
      </c>
      <c r="K294" s="12" t="str">
        <f t="shared" ref="K294:K295" si="161">K293</f>
        <v>ATY-MFO-25_EM_RP_HOST_AL</v>
      </c>
      <c r="L294">
        <v>4200</v>
      </c>
    </row>
    <row r="295" spans="1:12" ht="30" customHeight="1" x14ac:dyDescent="0.25">
      <c r="A295" s="12" t="str">
        <f t="shared" si="160"/>
        <v>ЩСо (RP)</v>
      </c>
      <c r="B295" s="19"/>
      <c r="C295" s="20"/>
      <c r="D295" s="21"/>
      <c r="E295" s="23"/>
      <c r="F295" s="25"/>
      <c r="G295" s="24">
        <f ca="1">SUM(G290:G294)</f>
        <v>36843.600000000006</v>
      </c>
      <c r="H295" s="20"/>
      <c r="I295" s="22"/>
      <c r="J295" s="20"/>
      <c r="K295" s="12" t="str">
        <f t="shared" si="161"/>
        <v>ATY-MFO-25_EM_RP_HOST_AL</v>
      </c>
      <c r="L295">
        <v>36843.600000000006</v>
      </c>
    </row>
    <row r="296" spans="1:12" ht="39.75" customHeight="1" x14ac:dyDescent="0.25">
      <c r="A296" s="5" t="str">
        <f>D296</f>
        <v>ЩСпа (RP)</v>
      </c>
      <c r="B296" s="6"/>
      <c r="C296" s="7"/>
      <c r="D296" s="6" t="s">
        <v>438</v>
      </c>
      <c r="E296" s="8"/>
      <c r="F296" s="8" t="s">
        <v>40</v>
      </c>
      <c r="G296" s="9"/>
      <c r="H296" s="10">
        <v>1</v>
      </c>
      <c r="I296" s="11" t="s">
        <v>7</v>
      </c>
      <c r="J296" s="6" t="s">
        <v>9</v>
      </c>
      <c r="K296" s="5" t="s">
        <v>142</v>
      </c>
    </row>
    <row r="297" spans="1:12" ht="21" customHeight="1" x14ac:dyDescent="0.25">
      <c r="A297" s="12" t="str">
        <f>A296</f>
        <v>ЩСпа (RP)</v>
      </c>
      <c r="B297" s="13" t="s">
        <v>8</v>
      </c>
      <c r="C297" s="14" t="s">
        <v>302</v>
      </c>
      <c r="D297" s="12" t="s">
        <v>303</v>
      </c>
      <c r="E297" s="13">
        <v>13410</v>
      </c>
      <c r="F297" s="15">
        <f t="shared" ref="F297:F299" si="162">E297*0.6</f>
        <v>8046</v>
      </c>
      <c r="G297" s="15">
        <f t="shared" ref="G297:G301" si="163">H297*F297</f>
        <v>8046</v>
      </c>
      <c r="H297" s="16">
        <v>1</v>
      </c>
      <c r="I297" s="17" t="s">
        <v>13</v>
      </c>
      <c r="J297" s="13" t="s">
        <v>16</v>
      </c>
      <c r="K297" s="12" t="str">
        <f>K296</f>
        <v>ATY-MFO-25_EM_RP_HOST_AL</v>
      </c>
      <c r="L297">
        <v>8046</v>
      </c>
    </row>
    <row r="298" spans="1:12" ht="21" customHeight="1" x14ac:dyDescent="0.25">
      <c r="A298" s="12" t="str">
        <f t="shared" ref="A298" si="164">A297</f>
        <v>ЩСпа (RP)</v>
      </c>
      <c r="B298" s="13" t="s">
        <v>54</v>
      </c>
      <c r="C298" s="14" t="s">
        <v>55</v>
      </c>
      <c r="D298" s="12" t="s">
        <v>56</v>
      </c>
      <c r="E298" s="13">
        <v>3372</v>
      </c>
      <c r="F298" s="15">
        <f t="shared" si="162"/>
        <v>2023.1999999999998</v>
      </c>
      <c r="G298" s="15">
        <f t="shared" si="163"/>
        <v>2023.1999999999998</v>
      </c>
      <c r="H298" s="16">
        <v>1</v>
      </c>
      <c r="I298" s="17" t="s">
        <v>13</v>
      </c>
      <c r="J298" s="13" t="s">
        <v>17</v>
      </c>
      <c r="K298" s="12" t="str">
        <f t="shared" ref="K298" si="165">K297</f>
        <v>ATY-MFO-25_EM_RP_HOST_AL</v>
      </c>
      <c r="L298">
        <v>2023.1999999999998</v>
      </c>
    </row>
    <row r="299" spans="1:12" ht="21" customHeight="1" x14ac:dyDescent="0.25">
      <c r="A299" s="12" t="str">
        <f>A298</f>
        <v>ЩСпа (RP)</v>
      </c>
      <c r="B299" s="13" t="s">
        <v>21</v>
      </c>
      <c r="C299" s="14" t="s">
        <v>44</v>
      </c>
      <c r="D299" s="12" t="s">
        <v>45</v>
      </c>
      <c r="E299" s="13">
        <v>5104</v>
      </c>
      <c r="F299" s="15">
        <f t="shared" si="162"/>
        <v>3062.4</v>
      </c>
      <c r="G299" s="15">
        <f t="shared" si="163"/>
        <v>12249.6</v>
      </c>
      <c r="H299" s="16">
        <v>4</v>
      </c>
      <c r="I299" s="17" t="s">
        <v>13</v>
      </c>
      <c r="J299" s="13" t="s">
        <v>17</v>
      </c>
      <c r="K299" s="12" t="str">
        <f>K298</f>
        <v>ATY-MFO-25_EM_RP_HOST_AL</v>
      </c>
      <c r="L299">
        <v>12249.6</v>
      </c>
    </row>
    <row r="300" spans="1:12" ht="24" customHeight="1" x14ac:dyDescent="0.25">
      <c r="A300" s="12" t="str">
        <f>A299</f>
        <v>ЩСпа (RP)</v>
      </c>
      <c r="B300" s="12" t="s">
        <v>10</v>
      </c>
      <c r="C300" s="18" t="s">
        <v>10</v>
      </c>
      <c r="D300" s="12" t="s">
        <v>10</v>
      </c>
      <c r="E300" s="12">
        <f ca="1">OFFSET(E300,1,2)</f>
        <v>4200</v>
      </c>
      <c r="F300" s="15">
        <f ca="1">E300</f>
        <v>4200</v>
      </c>
      <c r="G300" s="15">
        <f t="shared" ca="1" si="163"/>
        <v>4200</v>
      </c>
      <c r="H300" s="12">
        <v>1</v>
      </c>
      <c r="I300" s="12" t="s">
        <v>13</v>
      </c>
      <c r="J300" s="12" t="s">
        <v>10</v>
      </c>
      <c r="K300" s="12" t="str">
        <f>K299</f>
        <v>ATY-MFO-25_EM_RP_HOST_AL</v>
      </c>
      <c r="L300">
        <v>4200</v>
      </c>
    </row>
    <row r="301" spans="1:12" ht="21" customHeight="1" x14ac:dyDescent="0.25">
      <c r="A301" s="12" t="str">
        <f t="shared" ref="A301:A302" si="166">A300</f>
        <v>ЩСпа (RP)</v>
      </c>
      <c r="B301" s="12" t="s">
        <v>11</v>
      </c>
      <c r="C301" s="18" t="s">
        <v>11</v>
      </c>
      <c r="D301" s="12" t="s">
        <v>11</v>
      </c>
      <c r="E301" s="12">
        <v>0.7</v>
      </c>
      <c r="F301" s="15">
        <v>100</v>
      </c>
      <c r="G301" s="15">
        <f t="shared" si="163"/>
        <v>4200</v>
      </c>
      <c r="H301" s="12">
        <f>60*E301</f>
        <v>42</v>
      </c>
      <c r="I301" s="12" t="s">
        <v>13</v>
      </c>
      <c r="J301" s="12" t="s">
        <v>11</v>
      </c>
      <c r="K301" s="12" t="str">
        <f t="shared" ref="K301:K302" si="167">K300</f>
        <v>ATY-MFO-25_EM_RP_HOST_AL</v>
      </c>
      <c r="L301">
        <v>4200</v>
      </c>
    </row>
    <row r="302" spans="1:12" ht="30" customHeight="1" x14ac:dyDescent="0.25">
      <c r="A302" s="12" t="str">
        <f t="shared" si="166"/>
        <v>ЩСпа (RP)</v>
      </c>
      <c r="B302" s="19"/>
      <c r="C302" s="20"/>
      <c r="D302" s="21"/>
      <c r="E302" s="23"/>
      <c r="F302" s="25"/>
      <c r="G302" s="24">
        <f ca="1">SUM(G297:G301)</f>
        <v>30718.800000000003</v>
      </c>
      <c r="H302" s="20"/>
      <c r="I302" s="22"/>
      <c r="J302" s="20"/>
      <c r="K302" s="12" t="str">
        <f t="shared" si="167"/>
        <v>ATY-MFO-25_EM_RP_HOST_AL</v>
      </c>
      <c r="L302">
        <v>30718.800000000003</v>
      </c>
    </row>
    <row r="303" spans="1:12" ht="39.75" customHeight="1" x14ac:dyDescent="0.25">
      <c r="A303" s="5" t="str">
        <f>D303</f>
        <v>1ЩС-ВП (1) (RP)</v>
      </c>
      <c r="B303" s="6"/>
      <c r="C303" s="7"/>
      <c r="D303" s="6" t="s">
        <v>439</v>
      </c>
      <c r="E303" s="8"/>
      <c r="F303" s="8" t="s">
        <v>40</v>
      </c>
      <c r="G303" s="9"/>
      <c r="H303" s="10">
        <v>1</v>
      </c>
      <c r="I303" s="11" t="s">
        <v>7</v>
      </c>
      <c r="J303" s="6" t="s">
        <v>9</v>
      </c>
      <c r="K303" s="5" t="s">
        <v>142</v>
      </c>
    </row>
    <row r="304" spans="1:12" ht="21" customHeight="1" x14ac:dyDescent="0.25">
      <c r="A304" s="12" t="str">
        <f>A303</f>
        <v>1ЩС-ВП (1) (RP)</v>
      </c>
      <c r="B304" s="13" t="s">
        <v>8</v>
      </c>
      <c r="C304" s="14" t="s">
        <v>306</v>
      </c>
      <c r="D304" s="12" t="s">
        <v>307</v>
      </c>
      <c r="E304" s="13">
        <v>7860</v>
      </c>
      <c r="F304" s="15">
        <f t="shared" ref="F304:F305" si="168">E304*0.6</f>
        <v>4716</v>
      </c>
      <c r="G304" s="15">
        <f t="shared" ref="G304:G307" si="169">H304*F304</f>
        <v>4716</v>
      </c>
      <c r="H304" s="16">
        <v>1</v>
      </c>
      <c r="I304" s="17" t="s">
        <v>13</v>
      </c>
      <c r="J304" s="13" t="s">
        <v>16</v>
      </c>
      <c r="K304" s="12" t="str">
        <f>K303</f>
        <v>ATY-MFO-25_EM_RP_HOST_AL</v>
      </c>
      <c r="L304">
        <v>4716</v>
      </c>
    </row>
    <row r="305" spans="1:12" ht="21" customHeight="1" x14ac:dyDescent="0.25">
      <c r="A305" s="12" t="str">
        <f t="shared" ref="A305:A308" si="170">A304</f>
        <v>1ЩС-ВП (1) (RP)</v>
      </c>
      <c r="B305" s="13" t="s">
        <v>54</v>
      </c>
      <c r="C305" s="14" t="s">
        <v>119</v>
      </c>
      <c r="D305" s="12" t="s">
        <v>120</v>
      </c>
      <c r="E305" s="13">
        <v>4217</v>
      </c>
      <c r="F305" s="15">
        <f t="shared" si="168"/>
        <v>2530.1999999999998</v>
      </c>
      <c r="G305" s="15">
        <f t="shared" si="169"/>
        <v>2530.1999999999998</v>
      </c>
      <c r="H305" s="16">
        <v>1</v>
      </c>
      <c r="I305" s="17" t="s">
        <v>13</v>
      </c>
      <c r="J305" s="13" t="s">
        <v>17</v>
      </c>
      <c r="K305" s="12" t="str">
        <f t="shared" ref="K305:K308" si="171">K304</f>
        <v>ATY-MFO-25_EM_RP_HOST_AL</v>
      </c>
      <c r="L305">
        <v>2530.1999999999998</v>
      </c>
    </row>
    <row r="306" spans="1:12" ht="24" customHeight="1" x14ac:dyDescent="0.25">
      <c r="A306" s="12" t="str">
        <f t="shared" si="170"/>
        <v>1ЩС-ВП (1) (RP)</v>
      </c>
      <c r="B306" s="12" t="s">
        <v>10</v>
      </c>
      <c r="C306" s="18" t="s">
        <v>10</v>
      </c>
      <c r="D306" s="12" t="s">
        <v>10</v>
      </c>
      <c r="E306" s="12">
        <f ca="1">OFFSET(E306,1,2)</f>
        <v>0</v>
      </c>
      <c r="F306" s="15">
        <f ca="1">E306</f>
        <v>0</v>
      </c>
      <c r="G306" s="15">
        <f t="shared" ca="1" si="169"/>
        <v>0</v>
      </c>
      <c r="H306" s="12">
        <v>1</v>
      </c>
      <c r="I306" s="12" t="s">
        <v>13</v>
      </c>
      <c r="J306" s="12" t="s">
        <v>10</v>
      </c>
      <c r="K306" s="12" t="str">
        <f t="shared" si="171"/>
        <v>ATY-MFO-25_EM_RP_HOST_AL</v>
      </c>
      <c r="L306">
        <v>0</v>
      </c>
    </row>
    <row r="307" spans="1:12" ht="21" customHeight="1" x14ac:dyDescent="0.25">
      <c r="A307" s="12" t="str">
        <f t="shared" si="170"/>
        <v>1ЩС-ВП (1) (RP)</v>
      </c>
      <c r="B307" s="12" t="s">
        <v>11</v>
      </c>
      <c r="C307" s="18" t="s">
        <v>11</v>
      </c>
      <c r="D307" s="12" t="s">
        <v>11</v>
      </c>
      <c r="E307" s="12">
        <v>0</v>
      </c>
      <c r="F307" s="15">
        <v>100</v>
      </c>
      <c r="G307" s="15">
        <f t="shared" si="169"/>
        <v>0</v>
      </c>
      <c r="H307" s="12">
        <f>60*E307</f>
        <v>0</v>
      </c>
      <c r="I307" s="12" t="s">
        <v>13</v>
      </c>
      <c r="J307" s="12" t="s">
        <v>11</v>
      </c>
      <c r="K307" s="12" t="str">
        <f t="shared" si="171"/>
        <v>ATY-MFO-25_EM_RP_HOST_AL</v>
      </c>
      <c r="L307">
        <v>0</v>
      </c>
    </row>
    <row r="308" spans="1:12" ht="30" customHeight="1" x14ac:dyDescent="0.25">
      <c r="A308" s="12" t="str">
        <f t="shared" si="170"/>
        <v>1ЩС-ВП (1) (RP)</v>
      </c>
      <c r="B308" s="19"/>
      <c r="C308" s="20"/>
      <c r="D308" s="21"/>
      <c r="E308" s="23"/>
      <c r="F308" s="25"/>
      <c r="G308" s="24">
        <f ca="1">SUM(G304:G307)</f>
        <v>7246.2</v>
      </c>
      <c r="H308" s="20"/>
      <c r="I308" s="22"/>
      <c r="J308" s="20"/>
      <c r="K308" s="12" t="str">
        <f t="shared" si="171"/>
        <v>ATY-MFO-25_EM_RP_HOST_AL</v>
      </c>
      <c r="L308">
        <v>7246.2</v>
      </c>
    </row>
    <row r="309" spans="1:12" ht="39.75" customHeight="1" x14ac:dyDescent="0.25">
      <c r="A309" s="5" t="str">
        <f>D309</f>
        <v>2ЩС-ВП(1), 6ЩС-ВП(1), 7ЩС-ВП(1) (RP)</v>
      </c>
      <c r="B309" s="6"/>
      <c r="C309" s="7"/>
      <c r="D309" s="6" t="s">
        <v>440</v>
      </c>
      <c r="E309" s="8"/>
      <c r="F309" s="8" t="s">
        <v>40</v>
      </c>
      <c r="G309" s="9"/>
      <c r="H309" s="10">
        <v>3</v>
      </c>
      <c r="I309" s="11" t="s">
        <v>7</v>
      </c>
      <c r="J309" s="6" t="s">
        <v>9</v>
      </c>
      <c r="K309" s="5" t="s">
        <v>142</v>
      </c>
    </row>
    <row r="310" spans="1:12" ht="21" customHeight="1" x14ac:dyDescent="0.25">
      <c r="A310" s="12" t="str">
        <f>A309</f>
        <v>2ЩС-ВП(1), 6ЩС-ВП(1), 7ЩС-ВП(1) (RP)</v>
      </c>
      <c r="B310" s="13" t="s">
        <v>8</v>
      </c>
      <c r="C310" s="14" t="s">
        <v>306</v>
      </c>
      <c r="D310" s="12" t="s">
        <v>307</v>
      </c>
      <c r="E310" s="13">
        <v>7860</v>
      </c>
      <c r="F310" s="15">
        <f t="shared" ref="F310:F311" si="172">E310*0.6</f>
        <v>4716</v>
      </c>
      <c r="G310" s="15">
        <f t="shared" ref="G310:G313" si="173">H310*F310</f>
        <v>4716</v>
      </c>
      <c r="H310" s="16">
        <v>1</v>
      </c>
      <c r="I310" s="17" t="s">
        <v>13</v>
      </c>
      <c r="J310" s="13" t="s">
        <v>16</v>
      </c>
      <c r="K310" s="12" t="str">
        <f>K309</f>
        <v>ATY-MFO-25_EM_RP_HOST_AL</v>
      </c>
      <c r="L310">
        <v>4716</v>
      </c>
    </row>
    <row r="311" spans="1:12" ht="21" customHeight="1" x14ac:dyDescent="0.25">
      <c r="A311" s="12" t="str">
        <f t="shared" ref="A311:A314" si="174">A310</f>
        <v>2ЩС-ВП(1), 6ЩС-ВП(1), 7ЩС-ВП(1) (RP)</v>
      </c>
      <c r="B311" s="13" t="s">
        <v>54</v>
      </c>
      <c r="C311" s="14" t="s">
        <v>127</v>
      </c>
      <c r="D311" s="12" t="s">
        <v>128</v>
      </c>
      <c r="E311" s="13">
        <v>3372</v>
      </c>
      <c r="F311" s="15">
        <f t="shared" si="172"/>
        <v>2023.1999999999998</v>
      </c>
      <c r="G311" s="15">
        <f t="shared" si="173"/>
        <v>2023.1999999999998</v>
      </c>
      <c r="H311" s="16">
        <v>1</v>
      </c>
      <c r="I311" s="17" t="s">
        <v>13</v>
      </c>
      <c r="J311" s="13" t="s">
        <v>17</v>
      </c>
      <c r="K311" s="12" t="str">
        <f t="shared" ref="K311:K314" si="175">K310</f>
        <v>ATY-MFO-25_EM_RP_HOST_AL</v>
      </c>
      <c r="L311">
        <v>2023.1999999999998</v>
      </c>
    </row>
    <row r="312" spans="1:12" ht="24" customHeight="1" x14ac:dyDescent="0.25">
      <c r="A312" s="12" t="str">
        <f t="shared" si="174"/>
        <v>2ЩС-ВП(1), 6ЩС-ВП(1), 7ЩС-ВП(1) (RP)</v>
      </c>
      <c r="B312" s="12" t="s">
        <v>10</v>
      </c>
      <c r="C312" s="18" t="s">
        <v>10</v>
      </c>
      <c r="D312" s="12" t="s">
        <v>10</v>
      </c>
      <c r="E312" s="12">
        <f ca="1">OFFSET(E312,1,2)</f>
        <v>0</v>
      </c>
      <c r="F312" s="15">
        <f ca="1">E312</f>
        <v>0</v>
      </c>
      <c r="G312" s="15">
        <f t="shared" ca="1" si="173"/>
        <v>0</v>
      </c>
      <c r="H312" s="12">
        <v>1</v>
      </c>
      <c r="I312" s="12" t="s">
        <v>13</v>
      </c>
      <c r="J312" s="12" t="s">
        <v>10</v>
      </c>
      <c r="K312" s="12" t="str">
        <f t="shared" si="175"/>
        <v>ATY-MFO-25_EM_RP_HOST_AL</v>
      </c>
      <c r="L312">
        <v>0</v>
      </c>
    </row>
    <row r="313" spans="1:12" ht="21" customHeight="1" x14ac:dyDescent="0.25">
      <c r="A313" s="12" t="str">
        <f t="shared" si="174"/>
        <v>2ЩС-ВП(1), 6ЩС-ВП(1), 7ЩС-ВП(1) (RP)</v>
      </c>
      <c r="B313" s="12" t="s">
        <v>11</v>
      </c>
      <c r="C313" s="18" t="s">
        <v>11</v>
      </c>
      <c r="D313" s="12" t="s">
        <v>11</v>
      </c>
      <c r="E313" s="12">
        <v>0</v>
      </c>
      <c r="F313" s="15">
        <v>100</v>
      </c>
      <c r="G313" s="15">
        <f t="shared" si="173"/>
        <v>0</v>
      </c>
      <c r="H313" s="12">
        <f>60*E313</f>
        <v>0</v>
      </c>
      <c r="I313" s="12" t="s">
        <v>13</v>
      </c>
      <c r="J313" s="12" t="s">
        <v>11</v>
      </c>
      <c r="K313" s="12" t="str">
        <f t="shared" si="175"/>
        <v>ATY-MFO-25_EM_RP_HOST_AL</v>
      </c>
      <c r="L313">
        <v>0</v>
      </c>
    </row>
    <row r="314" spans="1:12" ht="30" customHeight="1" x14ac:dyDescent="0.25">
      <c r="A314" s="12" t="str">
        <f t="shared" si="174"/>
        <v>2ЩС-ВП(1), 6ЩС-ВП(1), 7ЩС-ВП(1) (RP)</v>
      </c>
      <c r="B314" s="19"/>
      <c r="C314" s="20"/>
      <c r="D314" s="21"/>
      <c r="E314" s="23"/>
      <c r="F314" s="25"/>
      <c r="G314" s="24">
        <f ca="1">SUM(G310:G313)</f>
        <v>6739.2</v>
      </c>
      <c r="H314" s="20"/>
      <c r="I314" s="22"/>
      <c r="J314" s="20"/>
      <c r="K314" s="12" t="str">
        <f t="shared" si="175"/>
        <v>ATY-MFO-25_EM_RP_HOST_AL</v>
      </c>
      <c r="L314">
        <v>6739.2</v>
      </c>
    </row>
    <row r="315" spans="1:12" ht="39.75" customHeight="1" x14ac:dyDescent="0.25">
      <c r="A315" s="5" t="str">
        <f>D315</f>
        <v>3ЩС-ВП(1), 4ЩС-ВП(1), 5ЩС-ВП(1), 8ЩС-ВП(1)  (RP)</v>
      </c>
      <c r="B315" s="6"/>
      <c r="C315" s="7"/>
      <c r="D315" s="6" t="s">
        <v>441</v>
      </c>
      <c r="E315" s="8"/>
      <c r="F315" s="8" t="s">
        <v>40</v>
      </c>
      <c r="G315" s="9"/>
      <c r="H315" s="10">
        <v>4</v>
      </c>
      <c r="I315" s="11" t="s">
        <v>7</v>
      </c>
      <c r="J315" s="6" t="s">
        <v>9</v>
      </c>
      <c r="K315" s="5" t="s">
        <v>142</v>
      </c>
    </row>
    <row r="316" spans="1:12" ht="21" customHeight="1" x14ac:dyDescent="0.25">
      <c r="A316" s="12" t="str">
        <f>A315</f>
        <v>3ЩС-ВП(1), 4ЩС-ВП(1), 5ЩС-ВП(1), 8ЩС-ВП(1)  (RP)</v>
      </c>
      <c r="B316" s="13" t="s">
        <v>8</v>
      </c>
      <c r="C316" s="14" t="s">
        <v>306</v>
      </c>
      <c r="D316" s="12" t="s">
        <v>307</v>
      </c>
      <c r="E316" s="13">
        <v>7860</v>
      </c>
      <c r="F316" s="15">
        <f t="shared" ref="F316:F317" si="176">E316*0.6</f>
        <v>4716</v>
      </c>
      <c r="G316" s="15">
        <f t="shared" ref="G316:G319" si="177">H316*F316</f>
        <v>4716</v>
      </c>
      <c r="H316" s="16">
        <v>1</v>
      </c>
      <c r="I316" s="17" t="s">
        <v>13</v>
      </c>
      <c r="J316" s="13" t="s">
        <v>16</v>
      </c>
      <c r="K316" s="12" t="str">
        <f>K315</f>
        <v>ATY-MFO-25_EM_RP_HOST_AL</v>
      </c>
      <c r="L316">
        <v>4716</v>
      </c>
    </row>
    <row r="317" spans="1:12" ht="21" customHeight="1" x14ac:dyDescent="0.25">
      <c r="A317" s="12" t="str">
        <f t="shared" ref="A317:A320" si="178">A316</f>
        <v>3ЩС-ВП(1), 4ЩС-ВП(1), 5ЩС-ВП(1), 8ЩС-ВП(1)  (RP)</v>
      </c>
      <c r="B317" s="13" t="s">
        <v>54</v>
      </c>
      <c r="C317" s="14" t="s">
        <v>129</v>
      </c>
      <c r="D317" s="12" t="s">
        <v>130</v>
      </c>
      <c r="E317" s="13">
        <v>4439</v>
      </c>
      <c r="F317" s="15">
        <f t="shared" si="176"/>
        <v>2663.4</v>
      </c>
      <c r="G317" s="15">
        <f t="shared" si="177"/>
        <v>2663.4</v>
      </c>
      <c r="H317" s="16">
        <v>1</v>
      </c>
      <c r="I317" s="17" t="s">
        <v>13</v>
      </c>
      <c r="J317" s="13" t="s">
        <v>17</v>
      </c>
      <c r="K317" s="12" t="str">
        <f t="shared" ref="K317:K320" si="179">K316</f>
        <v>ATY-MFO-25_EM_RP_HOST_AL</v>
      </c>
      <c r="L317">
        <v>2663.4</v>
      </c>
    </row>
    <row r="318" spans="1:12" ht="24" customHeight="1" x14ac:dyDescent="0.25">
      <c r="A318" s="12" t="str">
        <f t="shared" si="178"/>
        <v>3ЩС-ВП(1), 4ЩС-ВП(1), 5ЩС-ВП(1), 8ЩС-ВП(1)  (RP)</v>
      </c>
      <c r="B318" s="12" t="s">
        <v>10</v>
      </c>
      <c r="C318" s="18" t="s">
        <v>10</v>
      </c>
      <c r="D318" s="12" t="s">
        <v>10</v>
      </c>
      <c r="E318" s="12">
        <f ca="1">OFFSET(E318,1,2)</f>
        <v>0</v>
      </c>
      <c r="F318" s="15">
        <f ca="1">E318</f>
        <v>0</v>
      </c>
      <c r="G318" s="15">
        <f t="shared" ca="1" si="177"/>
        <v>0</v>
      </c>
      <c r="H318" s="12">
        <v>1</v>
      </c>
      <c r="I318" s="12" t="s">
        <v>13</v>
      </c>
      <c r="J318" s="12" t="s">
        <v>10</v>
      </c>
      <c r="K318" s="12" t="str">
        <f t="shared" si="179"/>
        <v>ATY-MFO-25_EM_RP_HOST_AL</v>
      </c>
      <c r="L318">
        <v>0</v>
      </c>
    </row>
    <row r="319" spans="1:12" ht="21" customHeight="1" x14ac:dyDescent="0.25">
      <c r="A319" s="12" t="str">
        <f t="shared" si="178"/>
        <v>3ЩС-ВП(1), 4ЩС-ВП(1), 5ЩС-ВП(1), 8ЩС-ВП(1)  (RP)</v>
      </c>
      <c r="B319" s="12" t="s">
        <v>11</v>
      </c>
      <c r="C319" s="18" t="s">
        <v>11</v>
      </c>
      <c r="D319" s="12" t="s">
        <v>11</v>
      </c>
      <c r="E319" s="12">
        <v>0</v>
      </c>
      <c r="F319" s="15">
        <v>100</v>
      </c>
      <c r="G319" s="15">
        <f t="shared" si="177"/>
        <v>0</v>
      </c>
      <c r="H319" s="12">
        <f>60*E319</f>
        <v>0</v>
      </c>
      <c r="I319" s="12" t="s">
        <v>13</v>
      </c>
      <c r="J319" s="12" t="s">
        <v>11</v>
      </c>
      <c r="K319" s="12" t="str">
        <f t="shared" si="179"/>
        <v>ATY-MFO-25_EM_RP_HOST_AL</v>
      </c>
      <c r="L319">
        <v>0</v>
      </c>
    </row>
    <row r="320" spans="1:12" ht="30" customHeight="1" x14ac:dyDescent="0.25">
      <c r="A320" s="12" t="str">
        <f t="shared" si="178"/>
        <v>3ЩС-ВП(1), 4ЩС-ВП(1), 5ЩС-ВП(1), 8ЩС-ВП(1)  (RP)</v>
      </c>
      <c r="B320" s="19"/>
      <c r="C320" s="20"/>
      <c r="D320" s="21"/>
      <c r="E320" s="23"/>
      <c r="F320" s="25"/>
      <c r="G320" s="24">
        <f ca="1">SUM(G316:G319)</f>
        <v>7379.4</v>
      </c>
      <c r="H320" s="20"/>
      <c r="I320" s="22"/>
      <c r="J320" s="20"/>
      <c r="K320" s="12" t="str">
        <f t="shared" si="179"/>
        <v>ATY-MFO-25_EM_RP_HOST_AL</v>
      </c>
      <c r="L320">
        <v>7379.4</v>
      </c>
    </row>
    <row r="321" spans="1:12" ht="39.75" customHeight="1" x14ac:dyDescent="0.25">
      <c r="A321" s="5" t="str">
        <f>D321</f>
        <v>9ЩС-ВП(1) (RP)</v>
      </c>
      <c r="B321" s="6"/>
      <c r="C321" s="7"/>
      <c r="D321" s="6" t="s">
        <v>442</v>
      </c>
      <c r="E321" s="8"/>
      <c r="F321" s="8" t="s">
        <v>40</v>
      </c>
      <c r="G321" s="9"/>
      <c r="H321" s="10">
        <v>1</v>
      </c>
      <c r="I321" s="11" t="s">
        <v>7</v>
      </c>
      <c r="J321" s="6" t="s">
        <v>9</v>
      </c>
      <c r="K321" s="5" t="s">
        <v>142</v>
      </c>
    </row>
    <row r="322" spans="1:12" ht="21" customHeight="1" x14ac:dyDescent="0.25">
      <c r="A322" s="12" t="str">
        <f>A321</f>
        <v>9ЩС-ВП(1) (RP)</v>
      </c>
      <c r="B322" s="13" t="s">
        <v>8</v>
      </c>
      <c r="C322" s="14" t="s">
        <v>306</v>
      </c>
      <c r="D322" s="12" t="s">
        <v>307</v>
      </c>
      <c r="E322" s="13">
        <v>7860</v>
      </c>
      <c r="F322" s="15">
        <f t="shared" ref="F322:F323" si="180">E322*0.6</f>
        <v>4716</v>
      </c>
      <c r="G322" s="15">
        <f t="shared" ref="G322:G325" si="181">H322*F322</f>
        <v>4716</v>
      </c>
      <c r="H322" s="16">
        <v>1</v>
      </c>
      <c r="I322" s="17" t="s">
        <v>13</v>
      </c>
      <c r="J322" s="13" t="s">
        <v>16</v>
      </c>
      <c r="K322" s="12" t="str">
        <f>K321</f>
        <v>ATY-MFO-25_EM_RP_HOST_AL</v>
      </c>
      <c r="L322">
        <v>4716</v>
      </c>
    </row>
    <row r="323" spans="1:12" ht="21" customHeight="1" x14ac:dyDescent="0.25">
      <c r="A323" s="12" t="str">
        <f t="shared" ref="A323:A326" si="182">A322</f>
        <v>9ЩС-ВП(1) (RP)</v>
      </c>
      <c r="B323" s="13" t="s">
        <v>54</v>
      </c>
      <c r="C323" s="14" t="s">
        <v>131</v>
      </c>
      <c r="D323" s="12" t="s">
        <v>132</v>
      </c>
      <c r="E323" s="13">
        <v>4334</v>
      </c>
      <c r="F323" s="15">
        <f t="shared" si="180"/>
        <v>2600.4</v>
      </c>
      <c r="G323" s="15">
        <f t="shared" si="181"/>
        <v>2600.4</v>
      </c>
      <c r="H323" s="16">
        <v>1</v>
      </c>
      <c r="I323" s="17" t="s">
        <v>13</v>
      </c>
      <c r="J323" s="13" t="s">
        <v>17</v>
      </c>
      <c r="K323" s="12" t="str">
        <f t="shared" ref="K323:K326" si="183">K322</f>
        <v>ATY-MFO-25_EM_RP_HOST_AL</v>
      </c>
      <c r="L323">
        <v>2600.4</v>
      </c>
    </row>
    <row r="324" spans="1:12" ht="24" customHeight="1" x14ac:dyDescent="0.25">
      <c r="A324" s="12" t="str">
        <f t="shared" si="182"/>
        <v>9ЩС-ВП(1) (RP)</v>
      </c>
      <c r="B324" s="12" t="s">
        <v>10</v>
      </c>
      <c r="C324" s="18" t="s">
        <v>10</v>
      </c>
      <c r="D324" s="12" t="s">
        <v>10</v>
      </c>
      <c r="E324" s="12">
        <f ca="1">OFFSET(E324,1,2)</f>
        <v>0</v>
      </c>
      <c r="F324" s="15">
        <f ca="1">E324</f>
        <v>0</v>
      </c>
      <c r="G324" s="15">
        <f t="shared" ca="1" si="181"/>
        <v>0</v>
      </c>
      <c r="H324" s="12">
        <v>1</v>
      </c>
      <c r="I324" s="12" t="s">
        <v>13</v>
      </c>
      <c r="J324" s="12" t="s">
        <v>10</v>
      </c>
      <c r="K324" s="12" t="str">
        <f t="shared" si="183"/>
        <v>ATY-MFO-25_EM_RP_HOST_AL</v>
      </c>
      <c r="L324">
        <v>0</v>
      </c>
    </row>
    <row r="325" spans="1:12" ht="21" customHeight="1" x14ac:dyDescent="0.25">
      <c r="A325" s="12" t="str">
        <f t="shared" si="182"/>
        <v>9ЩС-ВП(1) (RP)</v>
      </c>
      <c r="B325" s="12" t="s">
        <v>11</v>
      </c>
      <c r="C325" s="18" t="s">
        <v>11</v>
      </c>
      <c r="D325" s="12" t="s">
        <v>11</v>
      </c>
      <c r="E325" s="12">
        <v>0</v>
      </c>
      <c r="F325" s="15">
        <v>100</v>
      </c>
      <c r="G325" s="15">
        <f t="shared" si="181"/>
        <v>0</v>
      </c>
      <c r="H325" s="12">
        <f>60*E325</f>
        <v>0</v>
      </c>
      <c r="I325" s="12" t="s">
        <v>13</v>
      </c>
      <c r="J325" s="12" t="s">
        <v>11</v>
      </c>
      <c r="K325" s="12" t="str">
        <f t="shared" si="183"/>
        <v>ATY-MFO-25_EM_RP_HOST_AL</v>
      </c>
      <c r="L325">
        <v>0</v>
      </c>
    </row>
    <row r="326" spans="1:12" ht="30" customHeight="1" x14ac:dyDescent="0.25">
      <c r="A326" s="12" t="str">
        <f t="shared" si="182"/>
        <v>9ЩС-ВП(1) (RP)</v>
      </c>
      <c r="B326" s="19"/>
      <c r="C326" s="20"/>
      <c r="D326" s="21"/>
      <c r="E326" s="23"/>
      <c r="F326" s="25"/>
      <c r="G326" s="24">
        <f ca="1">SUM(G322:G325)</f>
        <v>7316.4</v>
      </c>
      <c r="H326" s="20"/>
      <c r="I326" s="22"/>
      <c r="J326" s="20"/>
      <c r="K326" s="12" t="str">
        <f t="shared" si="183"/>
        <v>ATY-MFO-25_EM_RP_HOST_AL</v>
      </c>
      <c r="L326">
        <v>7316.4</v>
      </c>
    </row>
    <row r="327" spans="1:12" ht="39.75" customHeight="1" x14ac:dyDescent="0.25">
      <c r="A327" s="5" t="str">
        <f>D327</f>
        <v>1ЩС-ВП(5)-4ЩС-ВП(5) (RP)</v>
      </c>
      <c r="B327" s="6"/>
      <c r="C327" s="7"/>
      <c r="D327" s="6" t="s">
        <v>443</v>
      </c>
      <c r="E327" s="8"/>
      <c r="F327" s="8" t="s">
        <v>40</v>
      </c>
      <c r="G327" s="9"/>
      <c r="H327" s="10">
        <v>4</v>
      </c>
      <c r="I327" s="11" t="s">
        <v>7</v>
      </c>
      <c r="J327" s="6" t="s">
        <v>9</v>
      </c>
      <c r="K327" s="5" t="s">
        <v>142</v>
      </c>
    </row>
    <row r="328" spans="1:12" ht="21" customHeight="1" x14ac:dyDescent="0.25">
      <c r="A328" s="12" t="str">
        <f>A327</f>
        <v>1ЩС-ВП(5)-4ЩС-ВП(5) (RP)</v>
      </c>
      <c r="B328" s="13" t="s">
        <v>8</v>
      </c>
      <c r="C328" s="14" t="s">
        <v>306</v>
      </c>
      <c r="D328" s="12" t="s">
        <v>307</v>
      </c>
      <c r="E328" s="13">
        <v>7860</v>
      </c>
      <c r="F328" s="15">
        <f t="shared" ref="F328:F329" si="184">E328*0.6</f>
        <v>4716</v>
      </c>
      <c r="G328" s="15">
        <f t="shared" ref="G328:G331" si="185">H328*F328</f>
        <v>4716</v>
      </c>
      <c r="H328" s="16">
        <v>1</v>
      </c>
      <c r="I328" s="17" t="s">
        <v>13</v>
      </c>
      <c r="J328" s="13" t="s">
        <v>16</v>
      </c>
      <c r="K328" s="12" t="str">
        <f>K327</f>
        <v>ATY-MFO-25_EM_RP_HOST_AL</v>
      </c>
      <c r="L328">
        <v>4716</v>
      </c>
    </row>
    <row r="329" spans="1:12" ht="21" customHeight="1" x14ac:dyDescent="0.25">
      <c r="A329" s="12" t="str">
        <f t="shared" ref="A329:A332" si="186">A328</f>
        <v>1ЩС-ВП(5)-4ЩС-ВП(5) (RP)</v>
      </c>
      <c r="B329" s="13" t="s">
        <v>54</v>
      </c>
      <c r="C329" s="14" t="s">
        <v>133</v>
      </c>
      <c r="D329" s="12" t="s">
        <v>134</v>
      </c>
      <c r="E329" s="13">
        <v>4886</v>
      </c>
      <c r="F329" s="15">
        <f t="shared" si="184"/>
        <v>2931.6</v>
      </c>
      <c r="G329" s="15">
        <f t="shared" si="185"/>
        <v>2931.6</v>
      </c>
      <c r="H329" s="16">
        <v>1</v>
      </c>
      <c r="I329" s="17" t="s">
        <v>13</v>
      </c>
      <c r="J329" s="13" t="s">
        <v>17</v>
      </c>
      <c r="K329" s="12" t="str">
        <f t="shared" ref="K329:K332" si="187">K328</f>
        <v>ATY-MFO-25_EM_RP_HOST_AL</v>
      </c>
      <c r="L329">
        <v>2931.6</v>
      </c>
    </row>
    <row r="330" spans="1:12" ht="24" customHeight="1" x14ac:dyDescent="0.25">
      <c r="A330" s="12" t="str">
        <f t="shared" si="186"/>
        <v>1ЩС-ВП(5)-4ЩС-ВП(5) (RP)</v>
      </c>
      <c r="B330" s="12" t="s">
        <v>10</v>
      </c>
      <c r="C330" s="18" t="s">
        <v>10</v>
      </c>
      <c r="D330" s="12" t="s">
        <v>10</v>
      </c>
      <c r="E330" s="12">
        <f ca="1">OFFSET(E330,1,2)</f>
        <v>0</v>
      </c>
      <c r="F330" s="15">
        <f ca="1">E330</f>
        <v>0</v>
      </c>
      <c r="G330" s="15">
        <f t="shared" ca="1" si="185"/>
        <v>0</v>
      </c>
      <c r="H330" s="12">
        <v>1</v>
      </c>
      <c r="I330" s="12" t="s">
        <v>13</v>
      </c>
      <c r="J330" s="12" t="s">
        <v>10</v>
      </c>
      <c r="K330" s="12" t="str">
        <f t="shared" si="187"/>
        <v>ATY-MFO-25_EM_RP_HOST_AL</v>
      </c>
      <c r="L330">
        <v>0</v>
      </c>
    </row>
    <row r="331" spans="1:12" ht="21" customHeight="1" x14ac:dyDescent="0.25">
      <c r="A331" s="12" t="str">
        <f t="shared" si="186"/>
        <v>1ЩС-ВП(5)-4ЩС-ВП(5) (RP)</v>
      </c>
      <c r="B331" s="12" t="s">
        <v>11</v>
      </c>
      <c r="C331" s="18" t="s">
        <v>11</v>
      </c>
      <c r="D331" s="12" t="s">
        <v>11</v>
      </c>
      <c r="E331" s="12">
        <v>0</v>
      </c>
      <c r="F331" s="15">
        <v>100</v>
      </c>
      <c r="G331" s="15">
        <f t="shared" si="185"/>
        <v>0</v>
      </c>
      <c r="H331" s="12">
        <f>60*E331</f>
        <v>0</v>
      </c>
      <c r="I331" s="12" t="s">
        <v>13</v>
      </c>
      <c r="J331" s="12" t="s">
        <v>11</v>
      </c>
      <c r="K331" s="12" t="str">
        <f t="shared" si="187"/>
        <v>ATY-MFO-25_EM_RP_HOST_AL</v>
      </c>
      <c r="L331">
        <v>0</v>
      </c>
    </row>
    <row r="332" spans="1:12" ht="30" customHeight="1" x14ac:dyDescent="0.25">
      <c r="A332" s="12" t="str">
        <f t="shared" si="186"/>
        <v>1ЩС-ВП(5)-4ЩС-ВП(5) (RP)</v>
      </c>
      <c r="B332" s="19"/>
      <c r="C332" s="20"/>
      <c r="D332" s="21"/>
      <c r="E332" s="23"/>
      <c r="F332" s="25"/>
      <c r="G332" s="24">
        <f ca="1">SUM(G328:G331)</f>
        <v>7647.6</v>
      </c>
      <c r="H332" s="20"/>
      <c r="I332" s="22"/>
      <c r="J332" s="20"/>
      <c r="K332" s="12" t="str">
        <f t="shared" si="187"/>
        <v>ATY-MFO-25_EM_RP_HOST_AL</v>
      </c>
      <c r="L332">
        <v>7647.6</v>
      </c>
    </row>
    <row r="333" spans="1:12" ht="39.75" customHeight="1" x14ac:dyDescent="0.25">
      <c r="A333" s="5" t="str">
        <f>D333</f>
        <v>ЩСВп-(2) (RP)</v>
      </c>
      <c r="B333" s="6"/>
      <c r="C333" s="7"/>
      <c r="D333" s="6" t="s">
        <v>444</v>
      </c>
      <c r="E333" s="8"/>
      <c r="F333" s="8" t="s">
        <v>40</v>
      </c>
      <c r="G333" s="9"/>
      <c r="H333" s="10">
        <v>1</v>
      </c>
      <c r="I333" s="11" t="s">
        <v>7</v>
      </c>
      <c r="J333" s="6" t="s">
        <v>9</v>
      </c>
      <c r="K333" s="5" t="s">
        <v>142</v>
      </c>
    </row>
    <row r="334" spans="1:12" ht="21" customHeight="1" x14ac:dyDescent="0.25">
      <c r="A334" s="12" t="str">
        <f>A333</f>
        <v>ЩСВп-(2) (RP)</v>
      </c>
      <c r="B334" s="13" t="s">
        <v>8</v>
      </c>
      <c r="C334" s="14" t="s">
        <v>306</v>
      </c>
      <c r="D334" s="12" t="s">
        <v>307</v>
      </c>
      <c r="E334" s="13">
        <v>7860</v>
      </c>
      <c r="F334" s="15">
        <f t="shared" ref="F334:F336" si="188">E334*0.6</f>
        <v>4716</v>
      </c>
      <c r="G334" s="15">
        <f t="shared" ref="G334:G338" si="189">H334*F334</f>
        <v>4716</v>
      </c>
      <c r="H334" s="16">
        <v>1</v>
      </c>
      <c r="I334" s="17" t="s">
        <v>13</v>
      </c>
      <c r="J334" s="13" t="s">
        <v>16</v>
      </c>
      <c r="K334" s="12" t="str">
        <f>K333</f>
        <v>ATY-MFO-25_EM_RP_HOST_AL</v>
      </c>
      <c r="L334">
        <v>4716</v>
      </c>
    </row>
    <row r="335" spans="1:12" ht="21" customHeight="1" x14ac:dyDescent="0.25">
      <c r="A335" s="12" t="str">
        <f t="shared" ref="A335:A339" si="190">A334</f>
        <v>ЩСВп-(2) (RP)</v>
      </c>
      <c r="B335" s="13" t="s">
        <v>54</v>
      </c>
      <c r="C335" s="14" t="s">
        <v>57</v>
      </c>
      <c r="D335" s="12" t="s">
        <v>58</v>
      </c>
      <c r="E335" s="13">
        <v>3372</v>
      </c>
      <c r="F335" s="15">
        <f t="shared" si="188"/>
        <v>2023.1999999999998</v>
      </c>
      <c r="G335" s="15">
        <f t="shared" si="189"/>
        <v>2023.1999999999998</v>
      </c>
      <c r="H335" s="16">
        <v>1</v>
      </c>
      <c r="I335" s="17" t="s">
        <v>13</v>
      </c>
      <c r="J335" s="13" t="s">
        <v>17</v>
      </c>
      <c r="K335" s="12" t="str">
        <f t="shared" ref="K335:K339" si="191">K334</f>
        <v>ATY-MFO-25_EM_RP_HOST_AL</v>
      </c>
      <c r="L335">
        <v>2023.1999999999998</v>
      </c>
    </row>
    <row r="336" spans="1:12" ht="21" customHeight="1" x14ac:dyDescent="0.25">
      <c r="A336" s="12" t="str">
        <f t="shared" si="190"/>
        <v>ЩСВп-(2) (RP)</v>
      </c>
      <c r="B336" s="13" t="s">
        <v>12</v>
      </c>
      <c r="C336" s="14" t="s">
        <v>48</v>
      </c>
      <c r="D336" s="12" t="s">
        <v>49</v>
      </c>
      <c r="E336" s="13">
        <v>2499</v>
      </c>
      <c r="F336" s="15">
        <f t="shared" si="188"/>
        <v>1499.3999999999999</v>
      </c>
      <c r="G336" s="15">
        <f t="shared" si="189"/>
        <v>5997.5999999999995</v>
      </c>
      <c r="H336" s="16">
        <v>4</v>
      </c>
      <c r="I336" s="17" t="s">
        <v>13</v>
      </c>
      <c r="J336" s="13" t="s">
        <v>17</v>
      </c>
      <c r="K336" s="12" t="str">
        <f t="shared" si="191"/>
        <v>ATY-MFO-25_EM_RP_HOST_AL</v>
      </c>
      <c r="L336">
        <v>5997.5999999999995</v>
      </c>
    </row>
    <row r="337" spans="1:12" ht="24" customHeight="1" x14ac:dyDescent="0.25">
      <c r="A337" s="12" t="str">
        <f t="shared" si="190"/>
        <v>ЩСВп-(2) (RP)</v>
      </c>
      <c r="B337" s="12" t="s">
        <v>10</v>
      </c>
      <c r="C337" s="18" t="s">
        <v>10</v>
      </c>
      <c r="D337" s="12" t="s">
        <v>10</v>
      </c>
      <c r="E337" s="12">
        <f ca="1">OFFSET(E337,1,2)</f>
        <v>3000</v>
      </c>
      <c r="F337" s="15">
        <f ca="1">E337</f>
        <v>3000</v>
      </c>
      <c r="G337" s="15">
        <f t="shared" ca="1" si="189"/>
        <v>3000</v>
      </c>
      <c r="H337" s="12">
        <v>1</v>
      </c>
      <c r="I337" s="12" t="s">
        <v>13</v>
      </c>
      <c r="J337" s="12" t="s">
        <v>10</v>
      </c>
      <c r="K337" s="12" t="str">
        <f t="shared" si="191"/>
        <v>ATY-MFO-25_EM_RP_HOST_AL</v>
      </c>
      <c r="L337">
        <v>3000</v>
      </c>
    </row>
    <row r="338" spans="1:12" ht="21" customHeight="1" x14ac:dyDescent="0.25">
      <c r="A338" s="12" t="str">
        <f t="shared" si="190"/>
        <v>ЩСВп-(2) (RP)</v>
      </c>
      <c r="B338" s="12" t="s">
        <v>11</v>
      </c>
      <c r="C338" s="18" t="s">
        <v>11</v>
      </c>
      <c r="D338" s="12" t="s">
        <v>11</v>
      </c>
      <c r="E338" s="12">
        <v>0.5</v>
      </c>
      <c r="F338" s="15">
        <v>100</v>
      </c>
      <c r="G338" s="15">
        <f t="shared" si="189"/>
        <v>3000</v>
      </c>
      <c r="H338" s="12">
        <f>60*E338</f>
        <v>30</v>
      </c>
      <c r="I338" s="12" t="s">
        <v>13</v>
      </c>
      <c r="J338" s="12" t="s">
        <v>11</v>
      </c>
      <c r="K338" s="12" t="str">
        <f t="shared" si="191"/>
        <v>ATY-MFO-25_EM_RP_HOST_AL</v>
      </c>
      <c r="L338">
        <v>3000</v>
      </c>
    </row>
    <row r="339" spans="1:12" ht="30" customHeight="1" x14ac:dyDescent="0.25">
      <c r="A339" s="12" t="str">
        <f t="shared" si="190"/>
        <v>ЩСВп-(2) (RP)</v>
      </c>
      <c r="B339" s="19"/>
      <c r="C339" s="20"/>
      <c r="D339" s="21"/>
      <c r="E339" s="23"/>
      <c r="F339" s="25"/>
      <c r="G339" s="24">
        <f ca="1">SUM(G334:G338)</f>
        <v>18736.8</v>
      </c>
      <c r="H339" s="20"/>
      <c r="I339" s="22"/>
      <c r="J339" s="20"/>
      <c r="K339" s="12" t="str">
        <f t="shared" si="191"/>
        <v>ATY-MFO-25_EM_RP_HOST_AL</v>
      </c>
      <c r="L339">
        <v>18736.8</v>
      </c>
    </row>
    <row r="340" spans="1:12" ht="39.75" customHeight="1" x14ac:dyDescent="0.25">
      <c r="A340" s="5" t="str">
        <f>D340</f>
        <v>ЩС-К(1) (RP)</v>
      </c>
      <c r="B340" s="6"/>
      <c r="C340" s="7"/>
      <c r="D340" s="6" t="s">
        <v>445</v>
      </c>
      <c r="E340" s="8"/>
      <c r="F340" s="8" t="s">
        <v>40</v>
      </c>
      <c r="G340" s="9"/>
      <c r="H340" s="10">
        <v>1</v>
      </c>
      <c r="I340" s="11" t="s">
        <v>7</v>
      </c>
      <c r="J340" s="6" t="s">
        <v>9</v>
      </c>
      <c r="K340" s="5" t="s">
        <v>142</v>
      </c>
    </row>
    <row r="341" spans="1:12" ht="21" customHeight="1" x14ac:dyDescent="0.25">
      <c r="A341" s="12" t="str">
        <f>A340</f>
        <v>ЩС-К(1) (RP)</v>
      </c>
      <c r="B341" s="13" t="s">
        <v>8</v>
      </c>
      <c r="C341" s="14" t="s">
        <v>306</v>
      </c>
      <c r="D341" s="12" t="s">
        <v>307</v>
      </c>
      <c r="E341" s="13">
        <v>7860</v>
      </c>
      <c r="F341" s="15">
        <f t="shared" ref="F341:F344" si="192">E341*0.6</f>
        <v>4716</v>
      </c>
      <c r="G341" s="15">
        <f t="shared" ref="G341:G346" si="193">H341*F341</f>
        <v>4716</v>
      </c>
      <c r="H341" s="16">
        <v>1</v>
      </c>
      <c r="I341" s="17" t="s">
        <v>13</v>
      </c>
      <c r="J341" s="13" t="s">
        <v>16</v>
      </c>
      <c r="K341" s="12" t="str">
        <f>K340</f>
        <v>ATY-MFO-25_EM_RP_HOST_AL</v>
      </c>
      <c r="L341">
        <v>4716</v>
      </c>
    </row>
    <row r="342" spans="1:12" ht="21" customHeight="1" x14ac:dyDescent="0.25">
      <c r="A342" s="12" t="str">
        <f t="shared" ref="A342" si="194">A341</f>
        <v>ЩС-К(1) (RP)</v>
      </c>
      <c r="B342" s="13" t="s">
        <v>54</v>
      </c>
      <c r="C342" s="14" t="s">
        <v>127</v>
      </c>
      <c r="D342" s="12" t="s">
        <v>128</v>
      </c>
      <c r="E342" s="13">
        <v>3372</v>
      </c>
      <c r="F342" s="15">
        <f t="shared" si="192"/>
        <v>2023.1999999999998</v>
      </c>
      <c r="G342" s="15">
        <f t="shared" si="193"/>
        <v>2023.1999999999998</v>
      </c>
      <c r="H342" s="16">
        <v>1</v>
      </c>
      <c r="I342" s="17" t="s">
        <v>13</v>
      </c>
      <c r="J342" s="13" t="s">
        <v>17</v>
      </c>
      <c r="K342" s="12" t="str">
        <f t="shared" ref="K342" si="195">K341</f>
        <v>ATY-MFO-25_EM_RP_HOST_AL</v>
      </c>
      <c r="L342">
        <v>2023.1999999999998</v>
      </c>
    </row>
    <row r="343" spans="1:12" ht="21" customHeight="1" x14ac:dyDescent="0.25">
      <c r="A343" s="12" t="str">
        <f>A341</f>
        <v>ЩС-К(1) (RP)</v>
      </c>
      <c r="B343" s="13" t="s">
        <v>12</v>
      </c>
      <c r="C343" s="14" t="s">
        <v>27</v>
      </c>
      <c r="D343" s="12" t="s">
        <v>26</v>
      </c>
      <c r="E343" s="13">
        <v>2606</v>
      </c>
      <c r="F343" s="15">
        <f t="shared" si="192"/>
        <v>1563.6</v>
      </c>
      <c r="G343" s="15">
        <f t="shared" si="193"/>
        <v>3127.2</v>
      </c>
      <c r="H343" s="16">
        <v>2</v>
      </c>
      <c r="I343" s="17" t="s">
        <v>13</v>
      </c>
      <c r="J343" s="13" t="s">
        <v>17</v>
      </c>
      <c r="K343" s="12" t="str">
        <f>K341</f>
        <v>ATY-MFO-25_EM_RP_HOST_AL</v>
      </c>
      <c r="L343">
        <v>3127.2</v>
      </c>
    </row>
    <row r="344" spans="1:12" ht="21" customHeight="1" x14ac:dyDescent="0.25">
      <c r="A344" s="12" t="str">
        <f t="shared" ref="A344:A347" si="196">A343</f>
        <v>ЩС-К(1) (RP)</v>
      </c>
      <c r="B344" s="13" t="s">
        <v>12</v>
      </c>
      <c r="C344" s="14" t="s">
        <v>34</v>
      </c>
      <c r="D344" s="12" t="s">
        <v>35</v>
      </c>
      <c r="E344" s="13">
        <v>2337</v>
      </c>
      <c r="F344" s="15">
        <f t="shared" si="192"/>
        <v>1402.2</v>
      </c>
      <c r="G344" s="15">
        <f t="shared" si="193"/>
        <v>1402.2</v>
      </c>
      <c r="H344" s="16">
        <v>1</v>
      </c>
      <c r="I344" s="17" t="s">
        <v>13</v>
      </c>
      <c r="J344" s="13" t="s">
        <v>17</v>
      </c>
      <c r="K344" s="12" t="str">
        <f t="shared" ref="K344:K347" si="197">K343</f>
        <v>ATY-MFO-25_EM_RP_HOST_AL</v>
      </c>
      <c r="L344">
        <v>1402.2</v>
      </c>
    </row>
    <row r="345" spans="1:12" ht="24" customHeight="1" x14ac:dyDescent="0.25">
      <c r="A345" s="12" t="str">
        <f t="shared" si="196"/>
        <v>ЩС-К(1) (RP)</v>
      </c>
      <c r="B345" s="12" t="s">
        <v>10</v>
      </c>
      <c r="C345" s="18" t="s">
        <v>10</v>
      </c>
      <c r="D345" s="12" t="s">
        <v>10</v>
      </c>
      <c r="E345" s="12">
        <f ca="1">OFFSET(E345,1,2)</f>
        <v>3000</v>
      </c>
      <c r="F345" s="15">
        <f ca="1">E345</f>
        <v>3000</v>
      </c>
      <c r="G345" s="15">
        <f t="shared" ca="1" si="193"/>
        <v>3000</v>
      </c>
      <c r="H345" s="12">
        <v>1</v>
      </c>
      <c r="I345" s="12" t="s">
        <v>13</v>
      </c>
      <c r="J345" s="12" t="s">
        <v>10</v>
      </c>
      <c r="K345" s="12" t="str">
        <f t="shared" si="197"/>
        <v>ATY-MFO-25_EM_RP_HOST_AL</v>
      </c>
      <c r="L345">
        <v>3000</v>
      </c>
    </row>
    <row r="346" spans="1:12" ht="21" customHeight="1" x14ac:dyDescent="0.25">
      <c r="A346" s="12" t="str">
        <f t="shared" si="196"/>
        <v>ЩС-К(1) (RP)</v>
      </c>
      <c r="B346" s="12" t="s">
        <v>11</v>
      </c>
      <c r="C346" s="18" t="s">
        <v>11</v>
      </c>
      <c r="D346" s="12" t="s">
        <v>11</v>
      </c>
      <c r="E346" s="12">
        <v>0.5</v>
      </c>
      <c r="F346" s="15">
        <v>100</v>
      </c>
      <c r="G346" s="15">
        <f t="shared" si="193"/>
        <v>3000</v>
      </c>
      <c r="H346" s="12">
        <f>60*E346</f>
        <v>30</v>
      </c>
      <c r="I346" s="12" t="s">
        <v>13</v>
      </c>
      <c r="J346" s="12" t="s">
        <v>11</v>
      </c>
      <c r="K346" s="12" t="str">
        <f t="shared" si="197"/>
        <v>ATY-MFO-25_EM_RP_HOST_AL</v>
      </c>
      <c r="L346">
        <v>3000</v>
      </c>
    </row>
    <row r="347" spans="1:12" ht="30" customHeight="1" x14ac:dyDescent="0.25">
      <c r="A347" s="12" t="str">
        <f t="shared" si="196"/>
        <v>ЩС-К(1) (RP)</v>
      </c>
      <c r="B347" s="19"/>
      <c r="C347" s="20"/>
      <c r="D347" s="21"/>
      <c r="E347" s="23"/>
      <c r="F347" s="25"/>
      <c r="G347" s="24">
        <f ca="1">SUM(G341:G346)</f>
        <v>17268.599999999999</v>
      </c>
      <c r="H347" s="20"/>
      <c r="I347" s="22"/>
      <c r="J347" s="20"/>
      <c r="K347" s="12" t="str">
        <f t="shared" si="197"/>
        <v>ATY-MFO-25_EM_RP_HOST_AL</v>
      </c>
      <c r="L347">
        <v>17268.599999999999</v>
      </c>
    </row>
    <row r="348" spans="1:12" ht="39.75" customHeight="1" x14ac:dyDescent="0.25">
      <c r="A348" s="5" t="str">
        <f>D348</f>
        <v>ЩОВ-(3) (RP)</v>
      </c>
      <c r="B348" s="6"/>
      <c r="C348" s="7"/>
      <c r="D348" s="6" t="s">
        <v>446</v>
      </c>
      <c r="E348" s="8"/>
      <c r="F348" s="8" t="s">
        <v>40</v>
      </c>
      <c r="G348" s="9"/>
      <c r="H348" s="10">
        <v>1</v>
      </c>
      <c r="I348" s="11" t="s">
        <v>7</v>
      </c>
      <c r="J348" s="6" t="s">
        <v>9</v>
      </c>
      <c r="K348" s="5" t="s">
        <v>142</v>
      </c>
    </row>
    <row r="349" spans="1:12" ht="21" customHeight="1" x14ac:dyDescent="0.25">
      <c r="A349" s="12" t="str">
        <f>A348</f>
        <v>ЩОВ-(3) (RP)</v>
      </c>
      <c r="B349" s="13" t="s">
        <v>8</v>
      </c>
      <c r="C349" s="14" t="s">
        <v>300</v>
      </c>
      <c r="D349" s="12" t="s">
        <v>301</v>
      </c>
      <c r="E349" s="13">
        <v>14695</v>
      </c>
      <c r="F349" s="15">
        <f t="shared" ref="F349:F351" si="198">E349*0.6</f>
        <v>8817</v>
      </c>
      <c r="G349" s="15">
        <f t="shared" ref="G349:G353" si="199">H349*F349</f>
        <v>8817</v>
      </c>
      <c r="H349" s="16">
        <v>1</v>
      </c>
      <c r="I349" s="17" t="s">
        <v>13</v>
      </c>
      <c r="J349" s="13" t="s">
        <v>16</v>
      </c>
      <c r="K349" s="12" t="str">
        <f>K348</f>
        <v>ATY-MFO-25_EM_RP_HOST_AL</v>
      </c>
      <c r="L349">
        <v>8817</v>
      </c>
    </row>
    <row r="350" spans="1:12" ht="21" customHeight="1" x14ac:dyDescent="0.25">
      <c r="A350" s="12" t="str">
        <f t="shared" ref="A350:A354" si="200">A349</f>
        <v>ЩОВ-(3) (RP)</v>
      </c>
      <c r="B350" s="13" t="s">
        <v>21</v>
      </c>
      <c r="C350" s="14" t="s">
        <v>135</v>
      </c>
      <c r="D350" s="12" t="s">
        <v>136</v>
      </c>
      <c r="E350" s="13">
        <v>8262</v>
      </c>
      <c r="F350" s="15">
        <f t="shared" si="198"/>
        <v>4957.2</v>
      </c>
      <c r="G350" s="15">
        <f t="shared" si="199"/>
        <v>4957.2</v>
      </c>
      <c r="H350" s="16">
        <v>1</v>
      </c>
      <c r="I350" s="17" t="s">
        <v>13</v>
      </c>
      <c r="J350" s="13" t="s">
        <v>17</v>
      </c>
      <c r="K350" s="12" t="str">
        <f t="shared" ref="K350:K354" si="201">K349</f>
        <v>ATY-MFO-25_EM_RP_HOST_AL</v>
      </c>
      <c r="L350">
        <v>4957.2</v>
      </c>
    </row>
    <row r="351" spans="1:12" ht="21" customHeight="1" x14ac:dyDescent="0.25">
      <c r="A351" s="12" t="str">
        <f t="shared" si="200"/>
        <v>ЩОВ-(3) (RP)</v>
      </c>
      <c r="B351" s="13" t="s">
        <v>12</v>
      </c>
      <c r="C351" s="14" t="s">
        <v>19</v>
      </c>
      <c r="D351" s="12" t="s">
        <v>20</v>
      </c>
      <c r="E351" s="13">
        <v>975</v>
      </c>
      <c r="F351" s="15">
        <f t="shared" si="198"/>
        <v>585</v>
      </c>
      <c r="G351" s="15">
        <f t="shared" si="199"/>
        <v>3510</v>
      </c>
      <c r="H351" s="16">
        <v>6</v>
      </c>
      <c r="I351" s="17" t="s">
        <v>13</v>
      </c>
      <c r="J351" s="13" t="s">
        <v>17</v>
      </c>
      <c r="K351" s="12" t="str">
        <f t="shared" si="201"/>
        <v>ATY-MFO-25_EM_RP_HOST_AL</v>
      </c>
      <c r="L351">
        <v>3510</v>
      </c>
    </row>
    <row r="352" spans="1:12" ht="24" customHeight="1" x14ac:dyDescent="0.25">
      <c r="A352" s="12" t="str">
        <f t="shared" si="200"/>
        <v>ЩОВ-(3) (RP)</v>
      </c>
      <c r="B352" s="12" t="s">
        <v>10</v>
      </c>
      <c r="C352" s="18" t="s">
        <v>10</v>
      </c>
      <c r="D352" s="12" t="s">
        <v>10</v>
      </c>
      <c r="E352" s="12">
        <f ca="1">OFFSET(E352,1,2)</f>
        <v>3000</v>
      </c>
      <c r="F352" s="15">
        <f ca="1">E352</f>
        <v>3000</v>
      </c>
      <c r="G352" s="15">
        <f t="shared" ca="1" si="199"/>
        <v>3000</v>
      </c>
      <c r="H352" s="12">
        <v>1</v>
      </c>
      <c r="I352" s="12" t="s">
        <v>13</v>
      </c>
      <c r="J352" s="12" t="s">
        <v>10</v>
      </c>
      <c r="K352" s="12" t="str">
        <f t="shared" si="201"/>
        <v>ATY-MFO-25_EM_RP_HOST_AL</v>
      </c>
      <c r="L352">
        <v>3000</v>
      </c>
    </row>
    <row r="353" spans="1:12" ht="21" customHeight="1" x14ac:dyDescent="0.25">
      <c r="A353" s="12" t="str">
        <f t="shared" si="200"/>
        <v>ЩОВ-(3) (RP)</v>
      </c>
      <c r="B353" s="12" t="s">
        <v>11</v>
      </c>
      <c r="C353" s="18" t="s">
        <v>11</v>
      </c>
      <c r="D353" s="12" t="s">
        <v>11</v>
      </c>
      <c r="E353" s="12">
        <v>0.5</v>
      </c>
      <c r="F353" s="15">
        <v>100</v>
      </c>
      <c r="G353" s="15">
        <f t="shared" si="199"/>
        <v>3000</v>
      </c>
      <c r="H353" s="12">
        <f>60*E353</f>
        <v>30</v>
      </c>
      <c r="I353" s="12" t="s">
        <v>13</v>
      </c>
      <c r="J353" s="12" t="s">
        <v>11</v>
      </c>
      <c r="K353" s="12" t="str">
        <f t="shared" si="201"/>
        <v>ATY-MFO-25_EM_RP_HOST_AL</v>
      </c>
      <c r="L353">
        <v>3000</v>
      </c>
    </row>
    <row r="354" spans="1:12" ht="30" customHeight="1" x14ac:dyDescent="0.25">
      <c r="A354" s="12" t="str">
        <f t="shared" si="200"/>
        <v>ЩОВ-(3) (RP)</v>
      </c>
      <c r="B354" s="19"/>
      <c r="C354" s="20"/>
      <c r="D354" s="21"/>
      <c r="E354" s="23"/>
      <c r="F354" s="25"/>
      <c r="G354" s="24">
        <f ca="1">SUM(G349:G353)</f>
        <v>23284.2</v>
      </c>
      <c r="H354" s="20"/>
      <c r="I354" s="22"/>
      <c r="J354" s="20"/>
      <c r="K354" s="12" t="str">
        <f t="shared" si="201"/>
        <v>ATY-MFO-25_EM_RP_HOST_AL</v>
      </c>
      <c r="L354">
        <v>23284.2</v>
      </c>
    </row>
    <row r="355" spans="1:12" ht="39.75" customHeight="1" x14ac:dyDescent="0.25">
      <c r="A355" s="5" t="str">
        <f>D355</f>
        <v>ЩСП-ПД(2) (RP)</v>
      </c>
      <c r="B355" s="6"/>
      <c r="C355" s="7"/>
      <c r="D355" s="6" t="s">
        <v>447</v>
      </c>
      <c r="E355" s="8"/>
      <c r="F355" s="8" t="s">
        <v>40</v>
      </c>
      <c r="G355" s="9"/>
      <c r="H355" s="10">
        <v>1</v>
      </c>
      <c r="I355" s="11" t="s">
        <v>7</v>
      </c>
      <c r="J355" s="6" t="s">
        <v>9</v>
      </c>
      <c r="K355" s="5" t="s">
        <v>142</v>
      </c>
    </row>
    <row r="356" spans="1:12" ht="21" customHeight="1" x14ac:dyDescent="0.25">
      <c r="A356" s="12" t="str">
        <f>A355</f>
        <v>ЩСП-ПД(2) (RP)</v>
      </c>
      <c r="B356" s="13" t="s">
        <v>8</v>
      </c>
      <c r="C356" s="14" t="s">
        <v>300</v>
      </c>
      <c r="D356" s="12" t="s">
        <v>301</v>
      </c>
      <c r="E356" s="13">
        <v>14695</v>
      </c>
      <c r="F356" s="15">
        <f t="shared" ref="F356:F358" si="202">E356*0.6</f>
        <v>8817</v>
      </c>
      <c r="G356" s="15">
        <f t="shared" ref="G356:G360" si="203">H356*F356</f>
        <v>8817</v>
      </c>
      <c r="H356" s="16">
        <v>1</v>
      </c>
      <c r="I356" s="17" t="s">
        <v>13</v>
      </c>
      <c r="J356" s="13" t="s">
        <v>16</v>
      </c>
      <c r="K356" s="12" t="str">
        <f>K355</f>
        <v>ATY-MFO-25_EM_RP_HOST_AL</v>
      </c>
      <c r="L356">
        <v>8817</v>
      </c>
    </row>
    <row r="357" spans="1:12" ht="21" customHeight="1" x14ac:dyDescent="0.25">
      <c r="A357" s="12" t="str">
        <f t="shared" ref="A357" si="204">A356</f>
        <v>ЩСП-ПД(2) (RP)</v>
      </c>
      <c r="B357" s="13" t="s">
        <v>54</v>
      </c>
      <c r="C357" s="14" t="s">
        <v>55</v>
      </c>
      <c r="D357" s="12" t="s">
        <v>56</v>
      </c>
      <c r="E357" s="13">
        <v>3372</v>
      </c>
      <c r="F357" s="15">
        <f t="shared" si="202"/>
        <v>2023.1999999999998</v>
      </c>
      <c r="G357" s="15">
        <f t="shared" si="203"/>
        <v>2023.1999999999998</v>
      </c>
      <c r="H357" s="16">
        <v>1</v>
      </c>
      <c r="I357" s="17" t="s">
        <v>13</v>
      </c>
      <c r="J357" s="13" t="s">
        <v>17</v>
      </c>
      <c r="K357" s="12" t="str">
        <f t="shared" ref="K357" si="205">K356</f>
        <v>ATY-MFO-25_EM_RP_HOST_AL</v>
      </c>
      <c r="L357">
        <v>2023.1999999999998</v>
      </c>
    </row>
    <row r="358" spans="1:12" ht="21" customHeight="1" x14ac:dyDescent="0.25">
      <c r="A358" s="12" t="str">
        <f>A357</f>
        <v>ЩСП-ПД(2) (RP)</v>
      </c>
      <c r="B358" s="13" t="s">
        <v>12</v>
      </c>
      <c r="C358" s="14" t="s">
        <v>50</v>
      </c>
      <c r="D358" s="12" t="s">
        <v>51</v>
      </c>
      <c r="E358" s="13">
        <v>783</v>
      </c>
      <c r="F358" s="15">
        <f t="shared" si="202"/>
        <v>469.79999999999995</v>
      </c>
      <c r="G358" s="15">
        <f t="shared" si="203"/>
        <v>4228.2</v>
      </c>
      <c r="H358" s="16">
        <v>9</v>
      </c>
      <c r="I358" s="17" t="s">
        <v>13</v>
      </c>
      <c r="J358" s="13" t="s">
        <v>17</v>
      </c>
      <c r="K358" s="12" t="str">
        <f>K357</f>
        <v>ATY-MFO-25_EM_RP_HOST_AL</v>
      </c>
      <c r="L358">
        <v>4228.2</v>
      </c>
    </row>
    <row r="359" spans="1:12" ht="24" customHeight="1" x14ac:dyDescent="0.25">
      <c r="A359" s="12" t="str">
        <f t="shared" ref="A359:A361" si="206">A358</f>
        <v>ЩСП-ПД(2) (RP)</v>
      </c>
      <c r="B359" s="12" t="s">
        <v>10</v>
      </c>
      <c r="C359" s="18" t="s">
        <v>10</v>
      </c>
      <c r="D359" s="12" t="s">
        <v>10</v>
      </c>
      <c r="E359" s="12">
        <f ca="1">OFFSET(E359,1,2)</f>
        <v>4200</v>
      </c>
      <c r="F359" s="15">
        <f ca="1">E359</f>
        <v>4200</v>
      </c>
      <c r="G359" s="15">
        <f t="shared" ca="1" si="203"/>
        <v>4200</v>
      </c>
      <c r="H359" s="12">
        <v>1</v>
      </c>
      <c r="I359" s="12" t="s">
        <v>13</v>
      </c>
      <c r="J359" s="12" t="s">
        <v>10</v>
      </c>
      <c r="K359" s="12" t="str">
        <f t="shared" ref="K359:K361" si="207">K358</f>
        <v>ATY-MFO-25_EM_RP_HOST_AL</v>
      </c>
      <c r="L359">
        <v>4200</v>
      </c>
    </row>
    <row r="360" spans="1:12" ht="21" customHeight="1" x14ac:dyDescent="0.25">
      <c r="A360" s="12" t="str">
        <f t="shared" si="206"/>
        <v>ЩСП-ПД(2) (RP)</v>
      </c>
      <c r="B360" s="12" t="s">
        <v>11</v>
      </c>
      <c r="C360" s="18" t="s">
        <v>11</v>
      </c>
      <c r="D360" s="12" t="s">
        <v>11</v>
      </c>
      <c r="E360" s="12">
        <v>0.7</v>
      </c>
      <c r="F360" s="15">
        <v>100</v>
      </c>
      <c r="G360" s="15">
        <f t="shared" si="203"/>
        <v>4200</v>
      </c>
      <c r="H360" s="12">
        <f>60*E360</f>
        <v>42</v>
      </c>
      <c r="I360" s="12" t="s">
        <v>13</v>
      </c>
      <c r="J360" s="12" t="s">
        <v>11</v>
      </c>
      <c r="K360" s="12" t="str">
        <f t="shared" si="207"/>
        <v>ATY-MFO-25_EM_RP_HOST_AL</v>
      </c>
      <c r="L360">
        <v>4200</v>
      </c>
    </row>
    <row r="361" spans="1:12" ht="30" customHeight="1" x14ac:dyDescent="0.25">
      <c r="A361" s="12" t="str">
        <f t="shared" si="206"/>
        <v>ЩСП-ПД(2) (RP)</v>
      </c>
      <c r="B361" s="19"/>
      <c r="C361" s="20"/>
      <c r="D361" s="21"/>
      <c r="E361" s="23"/>
      <c r="F361" s="25"/>
      <c r="G361" s="24">
        <f ca="1">SUM(G356:G360)</f>
        <v>23468.400000000001</v>
      </c>
      <c r="H361" s="20"/>
      <c r="I361" s="22"/>
      <c r="J361" s="20"/>
      <c r="K361" s="12" t="str">
        <f t="shared" si="207"/>
        <v>ATY-MFO-25_EM_RP_HOST_AL</v>
      </c>
      <c r="L361">
        <v>23468.400000000001</v>
      </c>
    </row>
    <row r="362" spans="1:12" ht="39.75" customHeight="1" x14ac:dyDescent="0.25">
      <c r="A362" s="5" t="str">
        <f>D362</f>
        <v>1ЩС-ДУ(1) (RP)</v>
      </c>
      <c r="B362" s="6"/>
      <c r="C362" s="7"/>
      <c r="D362" s="6" t="s">
        <v>448</v>
      </c>
      <c r="E362" s="8"/>
      <c r="F362" s="8" t="s">
        <v>40</v>
      </c>
      <c r="G362" s="9"/>
      <c r="H362" s="10">
        <v>1</v>
      </c>
      <c r="I362" s="11" t="s">
        <v>7</v>
      </c>
      <c r="J362" s="6" t="s">
        <v>9</v>
      </c>
      <c r="K362" s="5" t="s">
        <v>142</v>
      </c>
    </row>
    <row r="363" spans="1:12" ht="21" customHeight="1" x14ac:dyDescent="0.25">
      <c r="A363" s="12" t="str">
        <f>A362</f>
        <v>1ЩС-ДУ(1) (RP)</v>
      </c>
      <c r="B363" s="13" t="s">
        <v>8</v>
      </c>
      <c r="C363" s="14" t="s">
        <v>300</v>
      </c>
      <c r="D363" s="12" t="s">
        <v>301</v>
      </c>
      <c r="E363" s="13">
        <v>14695</v>
      </c>
      <c r="F363" s="15">
        <f t="shared" ref="F363:F365" si="208">E363*0.6</f>
        <v>8817</v>
      </c>
      <c r="G363" s="15">
        <f t="shared" ref="G363:G367" si="209">H363*F363</f>
        <v>8817</v>
      </c>
      <c r="H363" s="16">
        <v>1</v>
      </c>
      <c r="I363" s="17" t="s">
        <v>13</v>
      </c>
      <c r="J363" s="13" t="s">
        <v>16</v>
      </c>
      <c r="K363" s="12" t="str">
        <f>K362</f>
        <v>ATY-MFO-25_EM_RP_HOST_AL</v>
      </c>
      <c r="L363">
        <v>8817</v>
      </c>
    </row>
    <row r="364" spans="1:12" ht="21" customHeight="1" x14ac:dyDescent="0.25">
      <c r="A364" s="12" t="str">
        <f t="shared" ref="A364" si="210">A363</f>
        <v>1ЩС-ДУ(1) (RP)</v>
      </c>
      <c r="B364" s="13" t="s">
        <v>33</v>
      </c>
      <c r="C364" s="14" t="s">
        <v>31</v>
      </c>
      <c r="D364" s="12" t="s">
        <v>32</v>
      </c>
      <c r="E364" s="13">
        <v>19418</v>
      </c>
      <c r="F364" s="15">
        <f t="shared" si="208"/>
        <v>11650.8</v>
      </c>
      <c r="G364" s="15">
        <f t="shared" si="209"/>
        <v>11650.8</v>
      </c>
      <c r="H364" s="16">
        <v>1</v>
      </c>
      <c r="I364" s="17" t="s">
        <v>13</v>
      </c>
      <c r="J364" s="13" t="s">
        <v>17</v>
      </c>
      <c r="K364" s="12" t="str">
        <f t="shared" ref="K364" si="211">K363</f>
        <v>ATY-MFO-25_EM_RP_HOST_AL</v>
      </c>
      <c r="L364">
        <v>11650.8</v>
      </c>
    </row>
    <row r="365" spans="1:12" ht="21" customHeight="1" x14ac:dyDescent="0.25">
      <c r="A365" s="12" t="str">
        <f>A364</f>
        <v>1ЩС-ДУ(1) (RP)</v>
      </c>
      <c r="B365" s="13" t="s">
        <v>12</v>
      </c>
      <c r="C365" s="14" t="s">
        <v>27</v>
      </c>
      <c r="D365" s="12" t="s">
        <v>26</v>
      </c>
      <c r="E365" s="13">
        <v>2606</v>
      </c>
      <c r="F365" s="15">
        <f t="shared" si="208"/>
        <v>1563.6</v>
      </c>
      <c r="G365" s="15">
        <f t="shared" si="209"/>
        <v>6254.4</v>
      </c>
      <c r="H365" s="16">
        <v>4</v>
      </c>
      <c r="I365" s="17" t="s">
        <v>13</v>
      </c>
      <c r="J365" s="13" t="s">
        <v>17</v>
      </c>
      <c r="K365" s="12" t="str">
        <f>K364</f>
        <v>ATY-MFO-25_EM_RP_HOST_AL</v>
      </c>
      <c r="L365">
        <v>6254.4</v>
      </c>
    </row>
    <row r="366" spans="1:12" ht="24" customHeight="1" x14ac:dyDescent="0.25">
      <c r="A366" s="12" t="str">
        <f t="shared" ref="A366:A368" si="212">A365</f>
        <v>1ЩС-ДУ(1) (RP)</v>
      </c>
      <c r="B366" s="12" t="s">
        <v>10</v>
      </c>
      <c r="C366" s="18" t="s">
        <v>10</v>
      </c>
      <c r="D366" s="12" t="s">
        <v>10</v>
      </c>
      <c r="E366" s="12">
        <f ca="1">OFFSET(E366,1,2)</f>
        <v>4200</v>
      </c>
      <c r="F366" s="15">
        <f ca="1">E366</f>
        <v>4200</v>
      </c>
      <c r="G366" s="15">
        <f t="shared" ca="1" si="209"/>
        <v>4200</v>
      </c>
      <c r="H366" s="12">
        <v>1</v>
      </c>
      <c r="I366" s="12" t="s">
        <v>13</v>
      </c>
      <c r="J366" s="12" t="s">
        <v>10</v>
      </c>
      <c r="K366" s="12" t="str">
        <f t="shared" ref="K366:K368" si="213">K365</f>
        <v>ATY-MFO-25_EM_RP_HOST_AL</v>
      </c>
      <c r="L366">
        <v>4200</v>
      </c>
    </row>
    <row r="367" spans="1:12" ht="21" customHeight="1" x14ac:dyDescent="0.25">
      <c r="A367" s="12" t="str">
        <f t="shared" si="212"/>
        <v>1ЩС-ДУ(1) (RP)</v>
      </c>
      <c r="B367" s="12" t="s">
        <v>11</v>
      </c>
      <c r="C367" s="18" t="s">
        <v>11</v>
      </c>
      <c r="D367" s="12" t="s">
        <v>11</v>
      </c>
      <c r="E367" s="12">
        <v>0.7</v>
      </c>
      <c r="F367" s="15">
        <v>100</v>
      </c>
      <c r="G367" s="15">
        <f t="shared" si="209"/>
        <v>4200</v>
      </c>
      <c r="H367" s="12">
        <f>60*E367</f>
        <v>42</v>
      </c>
      <c r="I367" s="12" t="s">
        <v>13</v>
      </c>
      <c r="J367" s="12" t="s">
        <v>11</v>
      </c>
      <c r="K367" s="12" t="str">
        <f t="shared" si="213"/>
        <v>ATY-MFO-25_EM_RP_HOST_AL</v>
      </c>
      <c r="L367">
        <v>4200</v>
      </c>
    </row>
    <row r="368" spans="1:12" ht="30" customHeight="1" x14ac:dyDescent="0.25">
      <c r="A368" s="12" t="str">
        <f t="shared" si="212"/>
        <v>1ЩС-ДУ(1) (RP)</v>
      </c>
      <c r="B368" s="19"/>
      <c r="C368" s="20"/>
      <c r="D368" s="21"/>
      <c r="E368" s="23"/>
      <c r="F368" s="25"/>
      <c r="G368" s="24">
        <f ca="1">SUM(G363:G367)</f>
        <v>35122.199999999997</v>
      </c>
      <c r="H368" s="20"/>
      <c r="I368" s="22"/>
      <c r="J368" s="20"/>
      <c r="K368" s="12" t="str">
        <f t="shared" si="213"/>
        <v>ATY-MFO-25_EM_RP_HOST_AL</v>
      </c>
      <c r="L368">
        <v>35122.199999999997</v>
      </c>
    </row>
    <row r="369" spans="1:12" ht="39.75" customHeight="1" x14ac:dyDescent="0.25">
      <c r="A369" s="5" t="str">
        <f>D369</f>
        <v>2ЩС-ДУ(1) (RP)</v>
      </c>
      <c r="B369" s="6"/>
      <c r="C369" s="7"/>
      <c r="D369" s="6" t="s">
        <v>449</v>
      </c>
      <c r="E369" s="8"/>
      <c r="F369" s="8" t="s">
        <v>40</v>
      </c>
      <c r="G369" s="9"/>
      <c r="H369" s="10">
        <v>1</v>
      </c>
      <c r="I369" s="11" t="s">
        <v>7</v>
      </c>
      <c r="J369" s="6" t="s">
        <v>9</v>
      </c>
      <c r="K369" s="5" t="s">
        <v>142</v>
      </c>
    </row>
    <row r="370" spans="1:12" ht="21" customHeight="1" x14ac:dyDescent="0.25">
      <c r="A370" s="12" t="str">
        <f>A369</f>
        <v>2ЩС-ДУ(1) (RP)</v>
      </c>
      <c r="B370" s="13" t="s">
        <v>8</v>
      </c>
      <c r="C370" s="14" t="s">
        <v>300</v>
      </c>
      <c r="D370" s="12" t="s">
        <v>301</v>
      </c>
      <c r="E370" s="13">
        <v>14695</v>
      </c>
      <c r="F370" s="15">
        <f t="shared" ref="F370:F372" si="214">E370*0.6</f>
        <v>8817</v>
      </c>
      <c r="G370" s="15">
        <f t="shared" ref="G370:G374" si="215">H370*F370</f>
        <v>8817</v>
      </c>
      <c r="H370" s="16">
        <v>1</v>
      </c>
      <c r="I370" s="17" t="s">
        <v>13</v>
      </c>
      <c r="J370" s="13" t="s">
        <v>16</v>
      </c>
      <c r="K370" s="12" t="str">
        <f>K369</f>
        <v>ATY-MFO-25_EM_RP_HOST_AL</v>
      </c>
      <c r="L370">
        <v>8817</v>
      </c>
    </row>
    <row r="371" spans="1:12" ht="21" customHeight="1" x14ac:dyDescent="0.25">
      <c r="A371" s="12" t="str">
        <f t="shared" ref="A371" si="216">A370</f>
        <v>2ЩС-ДУ(1) (RP)</v>
      </c>
      <c r="B371" s="13" t="s">
        <v>33</v>
      </c>
      <c r="C371" s="14" t="s">
        <v>137</v>
      </c>
      <c r="D371" s="12" t="s">
        <v>138</v>
      </c>
      <c r="E371" s="13">
        <v>19295</v>
      </c>
      <c r="F371" s="15">
        <f t="shared" si="214"/>
        <v>11577</v>
      </c>
      <c r="G371" s="15">
        <f t="shared" si="215"/>
        <v>11577</v>
      </c>
      <c r="H371" s="16">
        <v>1</v>
      </c>
      <c r="I371" s="17" t="s">
        <v>13</v>
      </c>
      <c r="J371" s="13" t="s">
        <v>17</v>
      </c>
      <c r="K371" s="12" t="str">
        <f t="shared" ref="K371" si="217">K370</f>
        <v>ATY-MFO-25_EM_RP_HOST_AL</v>
      </c>
      <c r="L371">
        <v>11577</v>
      </c>
    </row>
    <row r="372" spans="1:12" ht="21" customHeight="1" x14ac:dyDescent="0.25">
      <c r="A372" s="12" t="str">
        <f>A371</f>
        <v>2ЩС-ДУ(1) (RP)</v>
      </c>
      <c r="B372" s="13" t="s">
        <v>12</v>
      </c>
      <c r="C372" s="14" t="s">
        <v>27</v>
      </c>
      <c r="D372" s="12" t="s">
        <v>26</v>
      </c>
      <c r="E372" s="13">
        <v>2606</v>
      </c>
      <c r="F372" s="15">
        <f t="shared" si="214"/>
        <v>1563.6</v>
      </c>
      <c r="G372" s="15">
        <f t="shared" si="215"/>
        <v>3127.2</v>
      </c>
      <c r="H372" s="16">
        <v>2</v>
      </c>
      <c r="I372" s="17" t="s">
        <v>13</v>
      </c>
      <c r="J372" s="13" t="s">
        <v>17</v>
      </c>
      <c r="K372" s="12" t="str">
        <f>K371</f>
        <v>ATY-MFO-25_EM_RP_HOST_AL</v>
      </c>
      <c r="L372">
        <v>3127.2</v>
      </c>
    </row>
    <row r="373" spans="1:12" ht="24" customHeight="1" x14ac:dyDescent="0.25">
      <c r="A373" s="12" t="str">
        <f t="shared" ref="A373:A375" si="218">A372</f>
        <v>2ЩС-ДУ(1) (RP)</v>
      </c>
      <c r="B373" s="12" t="s">
        <v>10</v>
      </c>
      <c r="C373" s="18" t="s">
        <v>10</v>
      </c>
      <c r="D373" s="12" t="s">
        <v>10</v>
      </c>
      <c r="E373" s="12">
        <f ca="1">OFFSET(E373,1,2)</f>
        <v>4200</v>
      </c>
      <c r="F373" s="15">
        <f ca="1">E373</f>
        <v>4200</v>
      </c>
      <c r="G373" s="15">
        <f t="shared" ca="1" si="215"/>
        <v>4200</v>
      </c>
      <c r="H373" s="12">
        <v>1</v>
      </c>
      <c r="I373" s="12" t="s">
        <v>13</v>
      </c>
      <c r="J373" s="12" t="s">
        <v>10</v>
      </c>
      <c r="K373" s="12" t="str">
        <f t="shared" ref="K373:K375" si="219">K372</f>
        <v>ATY-MFO-25_EM_RP_HOST_AL</v>
      </c>
      <c r="L373">
        <v>4200</v>
      </c>
    </row>
    <row r="374" spans="1:12" ht="21" customHeight="1" x14ac:dyDescent="0.25">
      <c r="A374" s="12" t="str">
        <f t="shared" si="218"/>
        <v>2ЩС-ДУ(1) (RP)</v>
      </c>
      <c r="B374" s="12" t="s">
        <v>11</v>
      </c>
      <c r="C374" s="18" t="s">
        <v>11</v>
      </c>
      <c r="D374" s="12" t="s">
        <v>11</v>
      </c>
      <c r="E374" s="12">
        <v>0.7</v>
      </c>
      <c r="F374" s="15">
        <v>100</v>
      </c>
      <c r="G374" s="15">
        <f t="shared" si="215"/>
        <v>4200</v>
      </c>
      <c r="H374" s="12">
        <f>60*E374</f>
        <v>42</v>
      </c>
      <c r="I374" s="12" t="s">
        <v>13</v>
      </c>
      <c r="J374" s="12" t="s">
        <v>11</v>
      </c>
      <c r="K374" s="12" t="str">
        <f t="shared" si="219"/>
        <v>ATY-MFO-25_EM_RP_HOST_AL</v>
      </c>
      <c r="L374">
        <v>4200</v>
      </c>
    </row>
    <row r="375" spans="1:12" ht="30" customHeight="1" x14ac:dyDescent="0.25">
      <c r="A375" s="12" t="str">
        <f t="shared" si="218"/>
        <v>2ЩС-ДУ(1) (RP)</v>
      </c>
      <c r="B375" s="19"/>
      <c r="C375" s="20"/>
      <c r="D375" s="21"/>
      <c r="E375" s="23"/>
      <c r="F375" s="25"/>
      <c r="G375" s="24">
        <f ca="1">SUM(G370:G374)</f>
        <v>31921.200000000001</v>
      </c>
      <c r="H375" s="20"/>
      <c r="I375" s="22"/>
      <c r="J375" s="20"/>
      <c r="K375" s="12" t="str">
        <f t="shared" si="219"/>
        <v>ATY-MFO-25_EM_RP_HOST_AL</v>
      </c>
      <c r="L375">
        <v>31921.200000000001</v>
      </c>
    </row>
    <row r="376" spans="1:12" ht="39.75" customHeight="1" x14ac:dyDescent="0.25">
      <c r="A376" s="5" t="str">
        <f>D376</f>
        <v>3ЩС-ДУ(1) (RP)</v>
      </c>
      <c r="B376" s="6"/>
      <c r="C376" s="7"/>
      <c r="D376" s="6" t="s">
        <v>450</v>
      </c>
      <c r="E376" s="8"/>
      <c r="F376" s="8" t="s">
        <v>40</v>
      </c>
      <c r="G376" s="9"/>
      <c r="H376" s="10">
        <v>1</v>
      </c>
      <c r="I376" s="11" t="s">
        <v>7</v>
      </c>
      <c r="J376" s="6" t="s">
        <v>9</v>
      </c>
      <c r="K376" s="5" t="s">
        <v>142</v>
      </c>
    </row>
    <row r="377" spans="1:12" ht="21" customHeight="1" x14ac:dyDescent="0.25">
      <c r="A377" s="12" t="str">
        <f>A376</f>
        <v>3ЩС-ДУ(1) (RP)</v>
      </c>
      <c r="B377" s="13" t="s">
        <v>8</v>
      </c>
      <c r="C377" s="14" t="s">
        <v>302</v>
      </c>
      <c r="D377" s="12" t="s">
        <v>303</v>
      </c>
      <c r="E377" s="13">
        <v>13410</v>
      </c>
      <c r="F377" s="15">
        <f t="shared" ref="F377:F379" si="220">E377*0.6</f>
        <v>8046</v>
      </c>
      <c r="G377" s="15">
        <f t="shared" ref="G377:G381" si="221">H377*F377</f>
        <v>8046</v>
      </c>
      <c r="H377" s="16">
        <v>1</v>
      </c>
      <c r="I377" s="17" t="s">
        <v>13</v>
      </c>
      <c r="J377" s="13" t="s">
        <v>16</v>
      </c>
      <c r="K377" s="12" t="str">
        <f>K376</f>
        <v>ATY-MFO-25_EM_RP_HOST_AL</v>
      </c>
      <c r="L377">
        <v>8046</v>
      </c>
    </row>
    <row r="378" spans="1:12" ht="21" customHeight="1" x14ac:dyDescent="0.25">
      <c r="A378" s="12" t="str">
        <f t="shared" ref="A378" si="222">A377</f>
        <v>3ЩС-ДУ(1) (RP)</v>
      </c>
      <c r="B378" s="13" t="s">
        <v>33</v>
      </c>
      <c r="C378" s="14" t="s">
        <v>22</v>
      </c>
      <c r="D378" s="12" t="s">
        <v>23</v>
      </c>
      <c r="E378" s="13">
        <v>19443</v>
      </c>
      <c r="F378" s="15">
        <f t="shared" si="220"/>
        <v>11665.8</v>
      </c>
      <c r="G378" s="15">
        <f t="shared" si="221"/>
        <v>11665.8</v>
      </c>
      <c r="H378" s="16">
        <v>1</v>
      </c>
      <c r="I378" s="17" t="s">
        <v>13</v>
      </c>
      <c r="J378" s="13" t="s">
        <v>17</v>
      </c>
      <c r="K378" s="12" t="str">
        <f t="shared" ref="K378" si="223">K377</f>
        <v>ATY-MFO-25_EM_RP_HOST_AL</v>
      </c>
      <c r="L378">
        <v>11665.8</v>
      </c>
    </row>
    <row r="379" spans="1:12" ht="21" customHeight="1" x14ac:dyDescent="0.25">
      <c r="A379" s="12" t="str">
        <f>A378</f>
        <v>3ЩС-ДУ(1) (RP)</v>
      </c>
      <c r="B379" s="13" t="s">
        <v>12</v>
      </c>
      <c r="C379" s="14" t="s">
        <v>27</v>
      </c>
      <c r="D379" s="12" t="s">
        <v>26</v>
      </c>
      <c r="E379" s="13">
        <v>2606</v>
      </c>
      <c r="F379" s="15">
        <f t="shared" si="220"/>
        <v>1563.6</v>
      </c>
      <c r="G379" s="15">
        <f t="shared" si="221"/>
        <v>7818</v>
      </c>
      <c r="H379" s="16">
        <v>5</v>
      </c>
      <c r="I379" s="17" t="s">
        <v>13</v>
      </c>
      <c r="J379" s="13" t="s">
        <v>17</v>
      </c>
      <c r="K379" s="12" t="str">
        <f>K378</f>
        <v>ATY-MFO-25_EM_RP_HOST_AL</v>
      </c>
      <c r="L379">
        <v>7818</v>
      </c>
    </row>
    <row r="380" spans="1:12" ht="24" customHeight="1" x14ac:dyDescent="0.25">
      <c r="A380" s="12" t="str">
        <f t="shared" ref="A380:A382" si="224">A379</f>
        <v>3ЩС-ДУ(1) (RP)</v>
      </c>
      <c r="B380" s="12" t="s">
        <v>10</v>
      </c>
      <c r="C380" s="18" t="s">
        <v>10</v>
      </c>
      <c r="D380" s="12" t="s">
        <v>10</v>
      </c>
      <c r="E380" s="12">
        <f ca="1">OFFSET(E380,1,2)</f>
        <v>6000</v>
      </c>
      <c r="F380" s="15">
        <f ca="1">E380</f>
        <v>6000</v>
      </c>
      <c r="G380" s="15">
        <f t="shared" ca="1" si="221"/>
        <v>6000</v>
      </c>
      <c r="H380" s="12">
        <v>1</v>
      </c>
      <c r="I380" s="12" t="s">
        <v>13</v>
      </c>
      <c r="J380" s="12" t="s">
        <v>10</v>
      </c>
      <c r="K380" s="12" t="str">
        <f t="shared" ref="K380:K382" si="225">K379</f>
        <v>ATY-MFO-25_EM_RP_HOST_AL</v>
      </c>
      <c r="L380">
        <v>6000</v>
      </c>
    </row>
    <row r="381" spans="1:12" ht="21" customHeight="1" x14ac:dyDescent="0.25">
      <c r="A381" s="12" t="str">
        <f t="shared" si="224"/>
        <v>3ЩС-ДУ(1) (RP)</v>
      </c>
      <c r="B381" s="12" t="s">
        <v>11</v>
      </c>
      <c r="C381" s="18" t="s">
        <v>11</v>
      </c>
      <c r="D381" s="12" t="s">
        <v>11</v>
      </c>
      <c r="E381" s="12">
        <v>1</v>
      </c>
      <c r="F381" s="15">
        <v>100</v>
      </c>
      <c r="G381" s="15">
        <f t="shared" si="221"/>
        <v>6000</v>
      </c>
      <c r="H381" s="12">
        <f>60*E381</f>
        <v>60</v>
      </c>
      <c r="I381" s="12" t="s">
        <v>13</v>
      </c>
      <c r="J381" s="12" t="s">
        <v>11</v>
      </c>
      <c r="K381" s="12" t="str">
        <f t="shared" si="225"/>
        <v>ATY-MFO-25_EM_RP_HOST_AL</v>
      </c>
      <c r="L381">
        <v>6000</v>
      </c>
    </row>
    <row r="382" spans="1:12" ht="30" customHeight="1" x14ac:dyDescent="0.25">
      <c r="A382" s="12" t="str">
        <f t="shared" si="224"/>
        <v>3ЩС-ДУ(1) (RP)</v>
      </c>
      <c r="B382" s="19"/>
      <c r="C382" s="20"/>
      <c r="D382" s="21"/>
      <c r="E382" s="23"/>
      <c r="F382" s="25"/>
      <c r="G382" s="24">
        <f ca="1">SUM(G377:G381)</f>
        <v>39529.800000000003</v>
      </c>
      <c r="H382" s="20"/>
      <c r="I382" s="22"/>
      <c r="J382" s="20"/>
      <c r="K382" s="12" t="str">
        <f t="shared" si="225"/>
        <v>ATY-MFO-25_EM_RP_HOST_AL</v>
      </c>
      <c r="L382">
        <v>39529.800000000003</v>
      </c>
    </row>
    <row r="383" spans="1:12" ht="39.75" customHeight="1" x14ac:dyDescent="0.25">
      <c r="A383" s="5" t="str">
        <f>D383</f>
        <v>1ЩС-ДУп(2) (RP)</v>
      </c>
      <c r="B383" s="6"/>
      <c r="C383" s="7"/>
      <c r="D383" s="6" t="s">
        <v>451</v>
      </c>
      <c r="E383" s="8"/>
      <c r="F383" s="8" t="s">
        <v>40</v>
      </c>
      <c r="G383" s="9"/>
      <c r="H383" s="10">
        <v>1</v>
      </c>
      <c r="I383" s="11" t="s">
        <v>7</v>
      </c>
      <c r="J383" s="6" t="s">
        <v>9</v>
      </c>
      <c r="K383" s="5" t="s">
        <v>142</v>
      </c>
    </row>
    <row r="384" spans="1:12" ht="21" customHeight="1" x14ac:dyDescent="0.25">
      <c r="A384" s="12" t="str">
        <f>A383</f>
        <v>1ЩС-ДУп(2) (RP)</v>
      </c>
      <c r="B384" s="13" t="s">
        <v>8</v>
      </c>
      <c r="C384" s="14" t="s">
        <v>302</v>
      </c>
      <c r="D384" s="12" t="s">
        <v>303</v>
      </c>
      <c r="E384" s="13">
        <v>13410</v>
      </c>
      <c r="F384" s="15">
        <f t="shared" ref="F384:F387" si="226">E384*0.6</f>
        <v>8046</v>
      </c>
      <c r="G384" s="15">
        <f t="shared" ref="G384:G389" si="227">H384*F384</f>
        <v>8046</v>
      </c>
      <c r="H384" s="16">
        <v>1</v>
      </c>
      <c r="I384" s="17" t="s">
        <v>13</v>
      </c>
      <c r="J384" s="13" t="s">
        <v>16</v>
      </c>
      <c r="K384" s="12" t="str">
        <f>K383</f>
        <v>ATY-MFO-25_EM_RP_HOST_AL</v>
      </c>
      <c r="L384">
        <v>8046</v>
      </c>
    </row>
    <row r="385" spans="1:12" ht="21" customHeight="1" x14ac:dyDescent="0.25">
      <c r="A385" s="12" t="str">
        <f>A384</f>
        <v>1ЩС-ДУп(2) (RP)</v>
      </c>
      <c r="B385" s="13" t="s">
        <v>54</v>
      </c>
      <c r="C385" s="14" t="s">
        <v>153</v>
      </c>
      <c r="D385" s="12" t="s">
        <v>154</v>
      </c>
      <c r="E385" s="13">
        <v>33910</v>
      </c>
      <c r="F385" s="15">
        <f t="shared" si="226"/>
        <v>20346</v>
      </c>
      <c r="G385" s="15">
        <f t="shared" si="227"/>
        <v>20346</v>
      </c>
      <c r="H385" s="16">
        <v>1</v>
      </c>
      <c r="I385" s="17" t="s">
        <v>13</v>
      </c>
      <c r="J385" s="13" t="s">
        <v>17</v>
      </c>
      <c r="K385" s="12" t="str">
        <f t="shared" ref="K385" si="228">K384</f>
        <v>ATY-MFO-25_EM_RP_HOST_AL</v>
      </c>
      <c r="L385">
        <v>20346</v>
      </c>
    </row>
    <row r="386" spans="1:12" ht="21" customHeight="1" x14ac:dyDescent="0.25">
      <c r="A386" s="12" t="str">
        <f>A385</f>
        <v>1ЩС-ДУп(2) (RP)</v>
      </c>
      <c r="B386" s="13" t="s">
        <v>12</v>
      </c>
      <c r="C386" s="14" t="s">
        <v>27</v>
      </c>
      <c r="D386" s="12" t="s">
        <v>26</v>
      </c>
      <c r="E386" s="13">
        <v>2606</v>
      </c>
      <c r="F386" s="15">
        <f t="shared" si="226"/>
        <v>1563.6</v>
      </c>
      <c r="G386" s="15">
        <f t="shared" si="227"/>
        <v>7818</v>
      </c>
      <c r="H386" s="16">
        <v>5</v>
      </c>
      <c r="I386" s="17" t="s">
        <v>13</v>
      </c>
      <c r="J386" s="13" t="s">
        <v>17</v>
      </c>
      <c r="K386" s="12" t="str">
        <f>K385</f>
        <v>ATY-MFO-25_EM_RP_HOST_AL</v>
      </c>
      <c r="L386">
        <v>7818</v>
      </c>
    </row>
    <row r="387" spans="1:12" ht="21" customHeight="1" x14ac:dyDescent="0.25">
      <c r="A387" s="12" t="str">
        <f>A386</f>
        <v>1ЩС-ДУп(2) (RP)</v>
      </c>
      <c r="B387" s="13" t="s">
        <v>12</v>
      </c>
      <c r="C387" s="14" t="s">
        <v>115</v>
      </c>
      <c r="D387" s="12" t="s">
        <v>116</v>
      </c>
      <c r="E387" s="13">
        <v>10949</v>
      </c>
      <c r="F387" s="15">
        <f t="shared" si="226"/>
        <v>6569.4</v>
      </c>
      <c r="G387" s="15">
        <f t="shared" si="227"/>
        <v>6569.4</v>
      </c>
      <c r="H387" s="16">
        <v>1</v>
      </c>
      <c r="I387" s="17" t="s">
        <v>13</v>
      </c>
      <c r="J387" s="13" t="s">
        <v>17</v>
      </c>
      <c r="K387" s="12" t="str">
        <f>K386</f>
        <v>ATY-MFO-25_EM_RP_HOST_AL</v>
      </c>
      <c r="L387">
        <v>6569.4</v>
      </c>
    </row>
    <row r="388" spans="1:12" ht="24" customHeight="1" x14ac:dyDescent="0.25">
      <c r="A388" s="12" t="str">
        <f>A386</f>
        <v>1ЩС-ДУп(2) (RP)</v>
      </c>
      <c r="B388" s="12" t="s">
        <v>10</v>
      </c>
      <c r="C388" s="18" t="s">
        <v>10</v>
      </c>
      <c r="D388" s="12" t="s">
        <v>10</v>
      </c>
      <c r="E388" s="12">
        <f ca="1">OFFSET(E388,1,2)</f>
        <v>6000</v>
      </c>
      <c r="F388" s="15">
        <f ca="1">E388</f>
        <v>6000</v>
      </c>
      <c r="G388" s="15">
        <f t="shared" ca="1" si="227"/>
        <v>6000</v>
      </c>
      <c r="H388" s="12">
        <v>1</v>
      </c>
      <c r="I388" s="12" t="s">
        <v>13</v>
      </c>
      <c r="J388" s="12" t="s">
        <v>10</v>
      </c>
      <c r="K388" s="12" t="str">
        <f>K386</f>
        <v>ATY-MFO-25_EM_RP_HOST_AL</v>
      </c>
      <c r="L388">
        <v>6000</v>
      </c>
    </row>
    <row r="389" spans="1:12" ht="21" customHeight="1" x14ac:dyDescent="0.25">
      <c r="A389" s="12" t="str">
        <f t="shared" ref="A389:A390" si="229">A388</f>
        <v>1ЩС-ДУп(2) (RP)</v>
      </c>
      <c r="B389" s="12" t="s">
        <v>11</v>
      </c>
      <c r="C389" s="18" t="s">
        <v>11</v>
      </c>
      <c r="D389" s="12" t="s">
        <v>11</v>
      </c>
      <c r="E389" s="12">
        <v>1</v>
      </c>
      <c r="F389" s="15">
        <v>100</v>
      </c>
      <c r="G389" s="15">
        <f t="shared" si="227"/>
        <v>6000</v>
      </c>
      <c r="H389" s="12">
        <f>60*E389</f>
        <v>60</v>
      </c>
      <c r="I389" s="12" t="s">
        <v>13</v>
      </c>
      <c r="J389" s="12" t="s">
        <v>11</v>
      </c>
      <c r="K389" s="12" t="str">
        <f t="shared" ref="K389:K390" si="230">K388</f>
        <v>ATY-MFO-25_EM_RP_HOST_AL</v>
      </c>
      <c r="L389">
        <v>6000</v>
      </c>
    </row>
    <row r="390" spans="1:12" ht="30" customHeight="1" x14ac:dyDescent="0.25">
      <c r="A390" s="12" t="str">
        <f t="shared" si="229"/>
        <v>1ЩС-ДУп(2) (RP)</v>
      </c>
      <c r="B390" s="19"/>
      <c r="C390" s="20"/>
      <c r="D390" s="21"/>
      <c r="E390" s="23"/>
      <c r="F390" s="25"/>
      <c r="G390" s="24">
        <f ca="1">SUM(G384:G389)</f>
        <v>54779.4</v>
      </c>
      <c r="H390" s="20"/>
      <c r="I390" s="22"/>
      <c r="J390" s="20"/>
      <c r="K390" s="12" t="str">
        <f t="shared" si="230"/>
        <v>ATY-MFO-25_EM_RP_HOST_AL</v>
      </c>
      <c r="L390">
        <v>54779.4</v>
      </c>
    </row>
    <row r="391" spans="1:12" ht="39.75" customHeight="1" x14ac:dyDescent="0.25">
      <c r="A391" s="5" t="str">
        <f>D391</f>
        <v>2ЩС-ДУп(2) (RP)</v>
      </c>
      <c r="B391" s="6"/>
      <c r="C391" s="7"/>
      <c r="D391" s="6" t="s">
        <v>452</v>
      </c>
      <c r="E391" s="8"/>
      <c r="F391" s="8" t="s">
        <v>40</v>
      </c>
      <c r="G391" s="9"/>
      <c r="H391" s="10">
        <v>1</v>
      </c>
      <c r="I391" s="11" t="s">
        <v>7</v>
      </c>
      <c r="J391" s="6" t="s">
        <v>9</v>
      </c>
      <c r="K391" s="5" t="s">
        <v>142</v>
      </c>
    </row>
    <row r="392" spans="1:12" ht="21" customHeight="1" x14ac:dyDescent="0.25">
      <c r="A392" s="12" t="str">
        <f>A391</f>
        <v>2ЩС-ДУп(2) (RP)</v>
      </c>
      <c r="B392" s="13" t="s">
        <v>8</v>
      </c>
      <c r="C392" s="14" t="s">
        <v>302</v>
      </c>
      <c r="D392" s="12" t="s">
        <v>303</v>
      </c>
      <c r="E392" s="13">
        <v>13410</v>
      </c>
      <c r="F392" s="15">
        <f t="shared" ref="F392:F395" si="231">E392*0.6</f>
        <v>8046</v>
      </c>
      <c r="G392" s="15">
        <f t="shared" ref="G392:G397" si="232">H392*F392</f>
        <v>8046</v>
      </c>
      <c r="H392" s="16">
        <v>1</v>
      </c>
      <c r="I392" s="17" t="s">
        <v>13</v>
      </c>
      <c r="J392" s="13" t="s">
        <v>16</v>
      </c>
      <c r="K392" s="12" t="str">
        <f>K391</f>
        <v>ATY-MFO-25_EM_RP_HOST_AL</v>
      </c>
      <c r="L392">
        <v>8046</v>
      </c>
    </row>
    <row r="393" spans="1:12" ht="21" customHeight="1" x14ac:dyDescent="0.25">
      <c r="A393" s="12" t="str">
        <f t="shared" ref="A393" si="233">A392</f>
        <v>2ЩС-ДУп(2) (RP)</v>
      </c>
      <c r="B393" s="13" t="s">
        <v>54</v>
      </c>
      <c r="C393" s="14" t="s">
        <v>133</v>
      </c>
      <c r="D393" s="12" t="s">
        <v>134</v>
      </c>
      <c r="E393" s="13">
        <v>4886</v>
      </c>
      <c r="F393" s="15">
        <f t="shared" si="231"/>
        <v>2931.6</v>
      </c>
      <c r="G393" s="15">
        <f t="shared" si="232"/>
        <v>2931.6</v>
      </c>
      <c r="H393" s="16">
        <v>1</v>
      </c>
      <c r="I393" s="17" t="s">
        <v>13</v>
      </c>
      <c r="J393" s="13" t="s">
        <v>17</v>
      </c>
      <c r="K393" s="12" t="str">
        <f t="shared" ref="K393" si="234">K392</f>
        <v>ATY-MFO-25_EM_RP_HOST_AL</v>
      </c>
      <c r="L393">
        <v>2931.6</v>
      </c>
    </row>
    <row r="394" spans="1:12" ht="21" customHeight="1" x14ac:dyDescent="0.25">
      <c r="A394" s="12" t="str">
        <f>A393</f>
        <v>2ЩС-ДУп(2) (RP)</v>
      </c>
      <c r="B394" s="13" t="s">
        <v>12</v>
      </c>
      <c r="C394" s="14" t="s">
        <v>27</v>
      </c>
      <c r="D394" s="12" t="s">
        <v>26</v>
      </c>
      <c r="E394" s="13">
        <v>2606</v>
      </c>
      <c r="F394" s="15">
        <f t="shared" si="231"/>
        <v>1563.6</v>
      </c>
      <c r="G394" s="15">
        <f t="shared" si="232"/>
        <v>6254.4</v>
      </c>
      <c r="H394" s="16">
        <v>4</v>
      </c>
      <c r="I394" s="17" t="s">
        <v>13</v>
      </c>
      <c r="J394" s="13" t="s">
        <v>17</v>
      </c>
      <c r="K394" s="12" t="str">
        <f>K393</f>
        <v>ATY-MFO-25_EM_RP_HOST_AL</v>
      </c>
      <c r="L394">
        <v>6254.4</v>
      </c>
    </row>
    <row r="395" spans="1:12" ht="21" customHeight="1" x14ac:dyDescent="0.25">
      <c r="A395" s="12" t="str">
        <f>A394</f>
        <v>2ЩС-ДУп(2) (RP)</v>
      </c>
      <c r="B395" s="13" t="s">
        <v>12</v>
      </c>
      <c r="C395" s="14" t="s">
        <v>115</v>
      </c>
      <c r="D395" s="12" t="s">
        <v>116</v>
      </c>
      <c r="E395" s="13">
        <v>10949</v>
      </c>
      <c r="F395" s="15">
        <f t="shared" si="231"/>
        <v>6569.4</v>
      </c>
      <c r="G395" s="15">
        <f t="shared" si="232"/>
        <v>6569.4</v>
      </c>
      <c r="H395" s="16">
        <v>1</v>
      </c>
      <c r="I395" s="17" t="s">
        <v>13</v>
      </c>
      <c r="J395" s="13" t="s">
        <v>17</v>
      </c>
      <c r="K395" s="12" t="str">
        <f>K394</f>
        <v>ATY-MFO-25_EM_RP_HOST_AL</v>
      </c>
      <c r="L395">
        <v>6569.4</v>
      </c>
    </row>
    <row r="396" spans="1:12" ht="24" customHeight="1" x14ac:dyDescent="0.25">
      <c r="A396" s="12" t="str">
        <f>A394</f>
        <v>2ЩС-ДУп(2) (RP)</v>
      </c>
      <c r="B396" s="12" t="s">
        <v>10</v>
      </c>
      <c r="C396" s="18" t="s">
        <v>10</v>
      </c>
      <c r="D396" s="12" t="s">
        <v>10</v>
      </c>
      <c r="E396" s="12">
        <f ca="1">OFFSET(E396,1,2)</f>
        <v>6000</v>
      </c>
      <c r="F396" s="15">
        <f ca="1">E396</f>
        <v>6000</v>
      </c>
      <c r="G396" s="15">
        <f t="shared" ca="1" si="232"/>
        <v>6000</v>
      </c>
      <c r="H396" s="12">
        <v>1</v>
      </c>
      <c r="I396" s="12" t="s">
        <v>13</v>
      </c>
      <c r="J396" s="12" t="s">
        <v>10</v>
      </c>
      <c r="K396" s="12" t="str">
        <f>K394</f>
        <v>ATY-MFO-25_EM_RP_HOST_AL</v>
      </c>
      <c r="L396">
        <v>6000</v>
      </c>
    </row>
    <row r="397" spans="1:12" ht="21" customHeight="1" x14ac:dyDescent="0.25">
      <c r="A397" s="12" t="str">
        <f t="shared" ref="A397:A398" si="235">A396</f>
        <v>2ЩС-ДУп(2) (RP)</v>
      </c>
      <c r="B397" s="12" t="s">
        <v>11</v>
      </c>
      <c r="C397" s="18" t="s">
        <v>11</v>
      </c>
      <c r="D397" s="12" t="s">
        <v>11</v>
      </c>
      <c r="E397" s="12">
        <v>1</v>
      </c>
      <c r="F397" s="15">
        <v>100</v>
      </c>
      <c r="G397" s="15">
        <f t="shared" si="232"/>
        <v>6000</v>
      </c>
      <c r="H397" s="12">
        <f>60*E397</f>
        <v>60</v>
      </c>
      <c r="I397" s="12" t="s">
        <v>13</v>
      </c>
      <c r="J397" s="12" t="s">
        <v>11</v>
      </c>
      <c r="K397" s="12" t="str">
        <f t="shared" ref="K397:K398" si="236">K396</f>
        <v>ATY-MFO-25_EM_RP_HOST_AL</v>
      </c>
      <c r="L397">
        <v>6000</v>
      </c>
    </row>
    <row r="398" spans="1:12" ht="30" customHeight="1" x14ac:dyDescent="0.25">
      <c r="A398" s="12" t="str">
        <f t="shared" si="235"/>
        <v>2ЩС-ДУп(2) (RP)</v>
      </c>
      <c r="B398" s="19"/>
      <c r="C398" s="20"/>
      <c r="D398" s="21"/>
      <c r="E398" s="23"/>
      <c r="F398" s="25"/>
      <c r="G398" s="24">
        <f ca="1">SUM(G392:G397)</f>
        <v>35801.4</v>
      </c>
      <c r="H398" s="20"/>
      <c r="I398" s="22"/>
      <c r="J398" s="20"/>
      <c r="K398" s="12" t="str">
        <f t="shared" si="236"/>
        <v>ATY-MFO-25_EM_RP_HOST_AL</v>
      </c>
      <c r="L398">
        <v>35801.4</v>
      </c>
    </row>
    <row r="399" spans="1:12" ht="39.75" customHeight="1" x14ac:dyDescent="0.25">
      <c r="A399" s="5" t="str">
        <f>D399</f>
        <v>3ЩС-ДУп(2) (RP)</v>
      </c>
      <c r="B399" s="6"/>
      <c r="C399" s="7"/>
      <c r="D399" s="6" t="s">
        <v>453</v>
      </c>
      <c r="E399" s="8"/>
      <c r="F399" s="8" t="s">
        <v>40</v>
      </c>
      <c r="G399" s="9"/>
      <c r="H399" s="10">
        <v>1</v>
      </c>
      <c r="I399" s="11" t="s">
        <v>7</v>
      </c>
      <c r="J399" s="6" t="s">
        <v>9</v>
      </c>
      <c r="K399" s="5" t="s">
        <v>142</v>
      </c>
    </row>
    <row r="400" spans="1:12" ht="21" customHeight="1" x14ac:dyDescent="0.25">
      <c r="A400" s="12" t="str">
        <f>A399</f>
        <v>3ЩС-ДУп(2) (RP)</v>
      </c>
      <c r="B400" s="13" t="s">
        <v>8</v>
      </c>
      <c r="C400" s="14" t="s">
        <v>302</v>
      </c>
      <c r="D400" s="12" t="s">
        <v>303</v>
      </c>
      <c r="E400" s="13">
        <v>13410</v>
      </c>
      <c r="F400" s="15">
        <f t="shared" ref="F400:F403" si="237">E400*0.6</f>
        <v>8046</v>
      </c>
      <c r="G400" s="15">
        <f t="shared" ref="G400:G405" si="238">H400*F400</f>
        <v>8046</v>
      </c>
      <c r="H400" s="16">
        <v>1</v>
      </c>
      <c r="I400" s="17" t="s">
        <v>13</v>
      </c>
      <c r="J400" s="13" t="s">
        <v>16</v>
      </c>
      <c r="K400" s="12" t="str">
        <f>K399</f>
        <v>ATY-MFO-25_EM_RP_HOST_AL</v>
      </c>
      <c r="L400">
        <v>8046</v>
      </c>
    </row>
    <row r="401" spans="1:12" ht="21" customHeight="1" x14ac:dyDescent="0.25">
      <c r="A401" s="12" t="str">
        <f t="shared" ref="A401" si="239">A400</f>
        <v>3ЩС-ДУп(2) (RP)</v>
      </c>
      <c r="B401" s="13" t="s">
        <v>54</v>
      </c>
      <c r="C401" s="14" t="s">
        <v>131</v>
      </c>
      <c r="D401" s="12" t="s">
        <v>132</v>
      </c>
      <c r="E401" s="13">
        <v>4334</v>
      </c>
      <c r="F401" s="15">
        <f t="shared" si="237"/>
        <v>2600.4</v>
      </c>
      <c r="G401" s="15">
        <f t="shared" si="238"/>
        <v>2600.4</v>
      </c>
      <c r="H401" s="16">
        <v>1</v>
      </c>
      <c r="I401" s="17" t="s">
        <v>13</v>
      </c>
      <c r="J401" s="13" t="s">
        <v>17</v>
      </c>
      <c r="K401" s="12" t="str">
        <f t="shared" ref="K401" si="240">K400</f>
        <v>ATY-MFO-25_EM_RP_HOST_AL</v>
      </c>
      <c r="L401">
        <v>2600.4</v>
      </c>
    </row>
    <row r="402" spans="1:12" ht="21" customHeight="1" x14ac:dyDescent="0.25">
      <c r="A402" s="12" t="str">
        <f>A401</f>
        <v>3ЩС-ДУп(2) (RP)</v>
      </c>
      <c r="B402" s="13" t="s">
        <v>12</v>
      </c>
      <c r="C402" s="14" t="s">
        <v>27</v>
      </c>
      <c r="D402" s="12" t="s">
        <v>26</v>
      </c>
      <c r="E402" s="13">
        <v>2606</v>
      </c>
      <c r="F402" s="15">
        <f t="shared" si="237"/>
        <v>1563.6</v>
      </c>
      <c r="G402" s="15">
        <f t="shared" si="238"/>
        <v>4690.7999999999993</v>
      </c>
      <c r="H402" s="16">
        <v>3</v>
      </c>
      <c r="I402" s="17" t="s">
        <v>13</v>
      </c>
      <c r="J402" s="13" t="s">
        <v>17</v>
      </c>
      <c r="K402" s="12" t="str">
        <f>K401</f>
        <v>ATY-MFO-25_EM_RP_HOST_AL</v>
      </c>
      <c r="L402">
        <v>4690.7999999999993</v>
      </c>
    </row>
    <row r="403" spans="1:12" ht="21" customHeight="1" x14ac:dyDescent="0.25">
      <c r="A403" s="12" t="str">
        <f>A402</f>
        <v>3ЩС-ДУп(2) (RP)</v>
      </c>
      <c r="B403" s="13" t="s">
        <v>12</v>
      </c>
      <c r="C403" s="14" t="s">
        <v>139</v>
      </c>
      <c r="D403" s="12" t="s">
        <v>140</v>
      </c>
      <c r="E403" s="13">
        <v>3641</v>
      </c>
      <c r="F403" s="15">
        <f t="shared" si="237"/>
        <v>2184.6</v>
      </c>
      <c r="G403" s="15">
        <f t="shared" si="238"/>
        <v>2184.6</v>
      </c>
      <c r="H403" s="16">
        <v>1</v>
      </c>
      <c r="I403" s="17" t="s">
        <v>13</v>
      </c>
      <c r="J403" s="13" t="s">
        <v>17</v>
      </c>
      <c r="K403" s="12" t="str">
        <f>K402</f>
        <v>ATY-MFO-25_EM_RP_HOST_AL</v>
      </c>
      <c r="L403">
        <v>2184.6</v>
      </c>
    </row>
    <row r="404" spans="1:12" ht="24" customHeight="1" x14ac:dyDescent="0.25">
      <c r="A404" s="12" t="str">
        <f>A402</f>
        <v>3ЩС-ДУп(2) (RP)</v>
      </c>
      <c r="B404" s="12" t="s">
        <v>10</v>
      </c>
      <c r="C404" s="18" t="s">
        <v>10</v>
      </c>
      <c r="D404" s="12" t="s">
        <v>10</v>
      </c>
      <c r="E404" s="12">
        <f ca="1">OFFSET(E404,1,2)</f>
        <v>6000</v>
      </c>
      <c r="F404" s="15">
        <f ca="1">E404</f>
        <v>6000</v>
      </c>
      <c r="G404" s="15">
        <f t="shared" ca="1" si="238"/>
        <v>6000</v>
      </c>
      <c r="H404" s="12">
        <v>1</v>
      </c>
      <c r="I404" s="12" t="s">
        <v>13</v>
      </c>
      <c r="J404" s="12" t="s">
        <v>10</v>
      </c>
      <c r="K404" s="12" t="str">
        <f>K402</f>
        <v>ATY-MFO-25_EM_RP_HOST_AL</v>
      </c>
      <c r="L404">
        <v>6000</v>
      </c>
    </row>
    <row r="405" spans="1:12" ht="21" customHeight="1" x14ac:dyDescent="0.25">
      <c r="A405" s="12" t="str">
        <f t="shared" ref="A405:A406" si="241">A404</f>
        <v>3ЩС-ДУп(2) (RP)</v>
      </c>
      <c r="B405" s="12" t="s">
        <v>11</v>
      </c>
      <c r="C405" s="18" t="s">
        <v>11</v>
      </c>
      <c r="D405" s="12" t="s">
        <v>11</v>
      </c>
      <c r="E405" s="12">
        <v>1</v>
      </c>
      <c r="F405" s="15">
        <v>100</v>
      </c>
      <c r="G405" s="15">
        <f t="shared" si="238"/>
        <v>6000</v>
      </c>
      <c r="H405" s="12">
        <f>60*E405</f>
        <v>60</v>
      </c>
      <c r="I405" s="12" t="s">
        <v>13</v>
      </c>
      <c r="J405" s="12" t="s">
        <v>11</v>
      </c>
      <c r="K405" s="12" t="str">
        <f t="shared" ref="K405:K406" si="242">K404</f>
        <v>ATY-MFO-25_EM_RP_HOST_AL</v>
      </c>
      <c r="L405">
        <v>6000</v>
      </c>
    </row>
    <row r="406" spans="1:12" ht="30" customHeight="1" x14ac:dyDescent="0.25">
      <c r="A406" s="12" t="str">
        <f t="shared" si="241"/>
        <v>3ЩС-ДУп(2) (RP)</v>
      </c>
      <c r="B406" s="19"/>
      <c r="C406" s="20"/>
      <c r="D406" s="21"/>
      <c r="E406" s="23"/>
      <c r="F406" s="25"/>
      <c r="G406" s="24">
        <f ca="1">SUM(G400:G405)</f>
        <v>29521.8</v>
      </c>
      <c r="H406" s="20"/>
      <c r="I406" s="22"/>
      <c r="J406" s="20"/>
      <c r="K406" s="12" t="str">
        <f t="shared" si="242"/>
        <v>ATY-MFO-25_EM_RP_HOST_AL</v>
      </c>
      <c r="L406">
        <v>29521.8</v>
      </c>
    </row>
    <row r="407" spans="1:12" ht="39.75" customHeight="1" x14ac:dyDescent="0.25">
      <c r="A407" s="5" t="str">
        <f>D407</f>
        <v>КРМ (УКМ-58 0,4-30-УЗ)  (RP)</v>
      </c>
      <c r="B407" s="6"/>
      <c r="C407" s="7"/>
      <c r="D407" s="6" t="s">
        <v>454</v>
      </c>
      <c r="E407" s="8"/>
      <c r="F407" s="8"/>
      <c r="G407" s="9"/>
      <c r="H407" s="10">
        <v>1</v>
      </c>
      <c r="I407" s="11" t="s">
        <v>7</v>
      </c>
      <c r="J407" s="6" t="s">
        <v>9</v>
      </c>
      <c r="K407" s="5" t="s">
        <v>142</v>
      </c>
    </row>
    <row r="408" spans="1:12" ht="21" customHeight="1" x14ac:dyDescent="0.25">
      <c r="A408" s="12" t="str">
        <f>A407</f>
        <v>КРМ (УКМ-58 0,4-30-УЗ)  (RP)</v>
      </c>
      <c r="B408" s="13" t="s">
        <v>8</v>
      </c>
      <c r="C408" s="14" t="s">
        <v>469</v>
      </c>
      <c r="D408" s="12" t="s">
        <v>468</v>
      </c>
      <c r="E408" s="13">
        <v>38650</v>
      </c>
      <c r="F408" s="15">
        <f t="shared" ref="F408:F416" si="243">E408*0.6</f>
        <v>23190</v>
      </c>
      <c r="G408" s="15">
        <f t="shared" ref="G408:G418" si="244">H408*F408</f>
        <v>23190</v>
      </c>
      <c r="H408" s="16">
        <v>1</v>
      </c>
      <c r="I408" s="17" t="s">
        <v>13</v>
      </c>
      <c r="J408" s="13" t="s">
        <v>16</v>
      </c>
      <c r="K408" s="12" t="str">
        <f>K407</f>
        <v>ATY-MFO-25_EM_RP_HOST_AL</v>
      </c>
      <c r="L408">
        <v>23190</v>
      </c>
    </row>
    <row r="409" spans="1:12" ht="21" customHeight="1" x14ac:dyDescent="0.25">
      <c r="A409" s="12" t="str">
        <f t="shared" ref="A409:A419" si="245">A408</f>
        <v>КРМ (УКМ-58 0,4-30-УЗ)  (RP)</v>
      </c>
      <c r="B409" s="13" t="s">
        <v>12</v>
      </c>
      <c r="C409" s="26" t="s">
        <v>139</v>
      </c>
      <c r="D409" s="12" t="s">
        <v>140</v>
      </c>
      <c r="E409" s="27">
        <v>3641</v>
      </c>
      <c r="F409" s="15">
        <f t="shared" si="243"/>
        <v>2184.6</v>
      </c>
      <c r="G409" s="15">
        <f t="shared" si="244"/>
        <v>2184.6</v>
      </c>
      <c r="H409" s="16">
        <v>1</v>
      </c>
      <c r="I409" s="17" t="s">
        <v>13</v>
      </c>
      <c r="J409" s="13" t="s">
        <v>17</v>
      </c>
      <c r="K409" s="12" t="str">
        <f t="shared" ref="K409:K419" si="246">K408</f>
        <v>ATY-MFO-25_EM_RP_HOST_AL</v>
      </c>
      <c r="L409">
        <v>2184.6</v>
      </c>
    </row>
    <row r="410" spans="1:12" ht="27.75" customHeight="1" x14ac:dyDescent="0.25">
      <c r="A410" s="12" t="str">
        <f t="shared" si="245"/>
        <v>КРМ (УКМ-58 0,4-30-УЗ)  (RP)</v>
      </c>
      <c r="B410" s="13" t="s">
        <v>92</v>
      </c>
      <c r="C410" s="14" t="s">
        <v>254</v>
      </c>
      <c r="D410" s="12" t="s">
        <v>255</v>
      </c>
      <c r="E410" s="13">
        <v>13217</v>
      </c>
      <c r="F410" s="15">
        <f t="shared" si="243"/>
        <v>7930.2</v>
      </c>
      <c r="G410" s="15">
        <f t="shared" si="244"/>
        <v>47581.2</v>
      </c>
      <c r="H410" s="16">
        <v>6</v>
      </c>
      <c r="I410" s="17" t="s">
        <v>13</v>
      </c>
      <c r="J410" s="13" t="s">
        <v>17</v>
      </c>
      <c r="K410" s="12" t="str">
        <f t="shared" si="246"/>
        <v>ATY-MFO-25_EM_RP_HOST_AL</v>
      </c>
      <c r="L410">
        <v>47581.2</v>
      </c>
    </row>
    <row r="411" spans="1:12" ht="21" customHeight="1" x14ac:dyDescent="0.25">
      <c r="A411" s="12" t="str">
        <f t="shared" si="245"/>
        <v>КРМ (УКМ-58 0,4-30-УЗ)  (RP)</v>
      </c>
      <c r="B411" s="13" t="s">
        <v>12</v>
      </c>
      <c r="C411" s="26" t="s">
        <v>34</v>
      </c>
      <c r="D411" s="12" t="s">
        <v>35</v>
      </c>
      <c r="E411" s="27">
        <v>2337</v>
      </c>
      <c r="F411" s="15">
        <f t="shared" si="243"/>
        <v>1402.2</v>
      </c>
      <c r="G411" s="15">
        <f t="shared" si="244"/>
        <v>8413.2000000000007</v>
      </c>
      <c r="H411" s="16">
        <v>6</v>
      </c>
      <c r="I411" s="17" t="s">
        <v>13</v>
      </c>
      <c r="J411" s="13" t="s">
        <v>17</v>
      </c>
      <c r="K411" s="12" t="str">
        <f t="shared" si="246"/>
        <v>ATY-MFO-25_EM_RP_HOST_AL</v>
      </c>
      <c r="L411">
        <v>8413.2000000000007</v>
      </c>
    </row>
    <row r="412" spans="1:12" ht="21" customHeight="1" x14ac:dyDescent="0.25">
      <c r="A412" s="12" t="str">
        <f t="shared" si="245"/>
        <v>КРМ (УКМ-58 0,4-30-УЗ)  (RP)</v>
      </c>
      <c r="B412" s="13" t="s">
        <v>92</v>
      </c>
      <c r="C412" s="26" t="s">
        <v>256</v>
      </c>
      <c r="D412" s="12" t="s">
        <v>257</v>
      </c>
      <c r="E412" s="27">
        <v>17619</v>
      </c>
      <c r="F412" s="15">
        <f t="shared" si="243"/>
        <v>10571.4</v>
      </c>
      <c r="G412" s="15">
        <f t="shared" si="244"/>
        <v>63428.399999999994</v>
      </c>
      <c r="H412" s="16">
        <v>6</v>
      </c>
      <c r="I412" s="17" t="s">
        <v>13</v>
      </c>
      <c r="J412" s="13" t="s">
        <v>17</v>
      </c>
      <c r="K412" s="12" t="str">
        <f t="shared" si="246"/>
        <v>ATY-MFO-25_EM_RP_HOST_AL</v>
      </c>
      <c r="L412">
        <v>63428.399999999994</v>
      </c>
    </row>
    <row r="413" spans="1:12" ht="21" customHeight="1" x14ac:dyDescent="0.25">
      <c r="A413" s="12" t="str">
        <f t="shared" si="245"/>
        <v>КРМ (УКМ-58 0,4-30-УЗ)  (RP)</v>
      </c>
      <c r="B413" s="13" t="s">
        <v>208</v>
      </c>
      <c r="C413" s="26" t="s">
        <v>258</v>
      </c>
      <c r="D413" s="12" t="s">
        <v>259</v>
      </c>
      <c r="E413" s="27">
        <v>571</v>
      </c>
      <c r="F413" s="15">
        <f t="shared" si="243"/>
        <v>342.59999999999997</v>
      </c>
      <c r="G413" s="15">
        <f t="shared" si="244"/>
        <v>342.59999999999997</v>
      </c>
      <c r="H413" s="16">
        <v>1</v>
      </c>
      <c r="I413" s="17" t="s">
        <v>13</v>
      </c>
      <c r="J413" s="13" t="s">
        <v>17</v>
      </c>
      <c r="K413" s="12" t="str">
        <f t="shared" si="246"/>
        <v>ATY-MFO-25_EM_RP_HOST_AL</v>
      </c>
      <c r="L413">
        <v>342.59999999999997</v>
      </c>
    </row>
    <row r="414" spans="1:12" ht="21" customHeight="1" x14ac:dyDescent="0.25">
      <c r="A414" s="12" t="str">
        <f t="shared" si="245"/>
        <v>КРМ (УКМ-58 0,4-30-УЗ)  (RP)</v>
      </c>
      <c r="B414" s="13" t="s">
        <v>12</v>
      </c>
      <c r="C414" s="14" t="s">
        <v>260</v>
      </c>
      <c r="D414" s="12" t="s">
        <v>261</v>
      </c>
      <c r="E414" s="13">
        <v>1086</v>
      </c>
      <c r="F414" s="15">
        <f t="shared" si="243"/>
        <v>651.6</v>
      </c>
      <c r="G414" s="15">
        <f t="shared" si="244"/>
        <v>1303.2</v>
      </c>
      <c r="H414" s="16">
        <v>2</v>
      </c>
      <c r="I414" s="17" t="s">
        <v>13</v>
      </c>
      <c r="J414" s="13" t="s">
        <v>17</v>
      </c>
      <c r="K414" s="12" t="str">
        <f t="shared" si="246"/>
        <v>ATY-MFO-25_EM_RP_HOST_AL</v>
      </c>
      <c r="L414">
        <v>1303.2</v>
      </c>
    </row>
    <row r="415" spans="1:12" ht="21" customHeight="1" x14ac:dyDescent="0.25">
      <c r="A415" s="12" t="str">
        <f t="shared" si="245"/>
        <v>КРМ (УКМ-58 0,4-30-УЗ)  (RP)</v>
      </c>
      <c r="B415" s="13" t="s">
        <v>262</v>
      </c>
      <c r="C415" s="26" t="s">
        <v>263</v>
      </c>
      <c r="D415" s="12" t="s">
        <v>264</v>
      </c>
      <c r="E415" s="27">
        <v>70078</v>
      </c>
      <c r="F415" s="15">
        <f t="shared" si="243"/>
        <v>42046.799999999996</v>
      </c>
      <c r="G415" s="15">
        <f t="shared" si="244"/>
        <v>42046.799999999996</v>
      </c>
      <c r="H415" s="16">
        <v>1</v>
      </c>
      <c r="I415" s="17" t="s">
        <v>13</v>
      </c>
      <c r="J415" s="13" t="s">
        <v>17</v>
      </c>
      <c r="K415" s="12" t="str">
        <f t="shared" si="246"/>
        <v>ATY-MFO-25_EM_RP_HOST_AL</v>
      </c>
      <c r="L415">
        <v>42046.799999999996</v>
      </c>
    </row>
    <row r="416" spans="1:12" ht="21" customHeight="1" x14ac:dyDescent="0.25">
      <c r="A416" s="12" t="str">
        <f t="shared" si="245"/>
        <v>КРМ (УКМ-58 0,4-30-УЗ)  (RP)</v>
      </c>
      <c r="B416" s="13" t="s">
        <v>213</v>
      </c>
      <c r="C416" s="14" t="s">
        <v>265</v>
      </c>
      <c r="D416" s="12" t="s">
        <v>266</v>
      </c>
      <c r="E416" s="13">
        <v>1836</v>
      </c>
      <c r="F416" s="15">
        <f t="shared" si="243"/>
        <v>1101.5999999999999</v>
      </c>
      <c r="G416" s="15">
        <f t="shared" si="244"/>
        <v>1101.5999999999999</v>
      </c>
      <c r="H416" s="16">
        <v>1</v>
      </c>
      <c r="I416" s="17" t="s">
        <v>13</v>
      </c>
      <c r="J416" s="13" t="s">
        <v>17</v>
      </c>
      <c r="K416" s="12" t="str">
        <f t="shared" si="246"/>
        <v>ATY-MFO-25_EM_RP_HOST_AL</v>
      </c>
      <c r="L416">
        <v>1101.5999999999999</v>
      </c>
    </row>
    <row r="417" spans="1:12" ht="24" customHeight="1" x14ac:dyDescent="0.25">
      <c r="A417" s="12" t="str">
        <f t="shared" si="245"/>
        <v>КРМ (УКМ-58 0,4-30-УЗ)  (RP)</v>
      </c>
      <c r="B417" s="12" t="s">
        <v>10</v>
      </c>
      <c r="C417" s="18" t="s">
        <v>10</v>
      </c>
      <c r="D417" s="12" t="s">
        <v>10</v>
      </c>
      <c r="E417" s="12">
        <f ca="1">OFFSET(E417,1,2)</f>
        <v>36000</v>
      </c>
      <c r="F417" s="15">
        <f ca="1">E417</f>
        <v>36000</v>
      </c>
      <c r="G417" s="15">
        <f t="shared" ca="1" si="244"/>
        <v>36000</v>
      </c>
      <c r="H417" s="12">
        <v>1</v>
      </c>
      <c r="I417" s="12" t="s">
        <v>13</v>
      </c>
      <c r="J417" s="12" t="s">
        <v>10</v>
      </c>
      <c r="K417" s="12" t="str">
        <f t="shared" si="246"/>
        <v>ATY-MFO-25_EM_RP_HOST_AL</v>
      </c>
      <c r="L417">
        <v>36000</v>
      </c>
    </row>
    <row r="418" spans="1:12" ht="21" customHeight="1" x14ac:dyDescent="0.25">
      <c r="A418" s="12" t="str">
        <f t="shared" si="245"/>
        <v>КРМ (УКМ-58 0,4-30-УЗ)  (RP)</v>
      </c>
      <c r="B418" s="12" t="s">
        <v>11</v>
      </c>
      <c r="C418" s="18" t="s">
        <v>11</v>
      </c>
      <c r="D418" s="12" t="s">
        <v>11</v>
      </c>
      <c r="E418" s="12">
        <v>6</v>
      </c>
      <c r="F418" s="15">
        <v>100</v>
      </c>
      <c r="G418" s="15">
        <f t="shared" si="244"/>
        <v>36000</v>
      </c>
      <c r="H418" s="12">
        <f>60*E418</f>
        <v>360</v>
      </c>
      <c r="I418" s="12" t="s">
        <v>13</v>
      </c>
      <c r="J418" s="12" t="s">
        <v>11</v>
      </c>
      <c r="K418" s="12" t="str">
        <f t="shared" si="246"/>
        <v>ATY-MFO-25_EM_RP_HOST_AL</v>
      </c>
      <c r="L418">
        <v>36000</v>
      </c>
    </row>
    <row r="419" spans="1:12" ht="30" customHeight="1" x14ac:dyDescent="0.25">
      <c r="A419" s="12" t="str">
        <f t="shared" si="245"/>
        <v>КРМ (УКМ-58 0,4-30-УЗ)  (RP)</v>
      </c>
      <c r="B419" s="19"/>
      <c r="C419" s="20"/>
      <c r="D419" s="21"/>
      <c r="E419" s="23"/>
      <c r="F419" s="25"/>
      <c r="G419" s="24">
        <f ca="1">SUM(G408:G418)</f>
        <v>261591.59999999998</v>
      </c>
      <c r="H419" s="20"/>
      <c r="I419" s="22"/>
      <c r="J419" s="20"/>
      <c r="K419" s="12" t="str">
        <f t="shared" si="246"/>
        <v>ATY-MFO-25_EM_RP_HOST_AL</v>
      </c>
      <c r="L419">
        <v>261591.59999999998</v>
      </c>
    </row>
    <row r="420" spans="1:12" ht="39.75" customHeight="1" x14ac:dyDescent="0.25">
      <c r="A420" s="5" t="str">
        <f>D420</f>
        <v>ЯТП 220/36 (RP) (RP)</v>
      </c>
      <c r="B420" s="6"/>
      <c r="C420" s="7"/>
      <c r="D420" s="6" t="s">
        <v>455</v>
      </c>
      <c r="E420" s="8"/>
      <c r="F420" s="8"/>
      <c r="G420" s="9"/>
      <c r="H420" s="10">
        <v>9</v>
      </c>
      <c r="I420" s="11" t="s">
        <v>7</v>
      </c>
      <c r="J420" s="6" t="s">
        <v>9</v>
      </c>
      <c r="K420" s="5" t="s">
        <v>142</v>
      </c>
    </row>
    <row r="421" spans="1:12" ht="39.75" customHeight="1" x14ac:dyDescent="0.25">
      <c r="A421" s="5" t="str">
        <f>D421</f>
        <v>ВУ-1 (ВРУ1-13-20 ухл4) (S1)</v>
      </c>
      <c r="B421" s="6"/>
      <c r="C421" s="7"/>
      <c r="D421" s="6" t="s">
        <v>320</v>
      </c>
      <c r="E421" s="8"/>
      <c r="F421" s="8" t="s">
        <v>40</v>
      </c>
      <c r="G421" s="9"/>
      <c r="H421" s="10">
        <v>1</v>
      </c>
      <c r="I421" s="11" t="s">
        <v>7</v>
      </c>
      <c r="J421" s="6" t="s">
        <v>9</v>
      </c>
      <c r="K421" s="5" t="s">
        <v>196</v>
      </c>
    </row>
    <row r="422" spans="1:12" ht="21" customHeight="1" x14ac:dyDescent="0.25">
      <c r="A422" s="12" t="str">
        <f>A421</f>
        <v>ВУ-1 (ВРУ1-13-20 ухл4) (S1)</v>
      </c>
      <c r="B422" s="13" t="s">
        <v>8</v>
      </c>
      <c r="C422" s="14" t="s">
        <v>38</v>
      </c>
      <c r="D422" s="12" t="s">
        <v>39</v>
      </c>
      <c r="E422" s="13">
        <v>155000</v>
      </c>
      <c r="F422" s="15">
        <f>E422*0.6</f>
        <v>93000</v>
      </c>
      <c r="G422" s="15">
        <f t="shared" ref="G422:G434" si="247">H422*F422</f>
        <v>93000</v>
      </c>
      <c r="H422" s="16">
        <v>1</v>
      </c>
      <c r="I422" s="17" t="s">
        <v>13</v>
      </c>
      <c r="J422" s="13" t="s">
        <v>16</v>
      </c>
      <c r="K422" s="12" t="str">
        <f>K421</f>
        <v>2853_01_01_S1_EM01_01_M3</v>
      </c>
      <c r="L422">
        <v>93000</v>
      </c>
    </row>
    <row r="423" spans="1:12" ht="21" customHeight="1" x14ac:dyDescent="0.25">
      <c r="A423" s="12" t="str">
        <f t="shared" ref="A423:A435" si="248">A422</f>
        <v>ВУ-1 (ВРУ1-13-20 ухл4) (S1)</v>
      </c>
      <c r="B423" s="13" t="s">
        <v>25</v>
      </c>
      <c r="C423" s="14" t="s">
        <v>143</v>
      </c>
      <c r="D423" s="12" t="s">
        <v>144</v>
      </c>
      <c r="E423" s="13">
        <v>6018</v>
      </c>
      <c r="F423" s="15">
        <f>E423</f>
        <v>6018</v>
      </c>
      <c r="G423" s="15">
        <f t="shared" si="247"/>
        <v>18054</v>
      </c>
      <c r="H423" s="16">
        <v>3</v>
      </c>
      <c r="I423" s="17" t="s">
        <v>13</v>
      </c>
      <c r="J423" s="13" t="s">
        <v>24</v>
      </c>
      <c r="K423" s="12" t="str">
        <f t="shared" ref="K423:K435" si="249">K422</f>
        <v>2853_01_01_S1_EM01_01_M3</v>
      </c>
      <c r="L423">
        <v>18054</v>
      </c>
    </row>
    <row r="424" spans="1:12" ht="21" customHeight="1" x14ac:dyDescent="0.25">
      <c r="A424" s="12" t="str">
        <f t="shared" si="248"/>
        <v>ВУ-1 (ВРУ1-13-20 ухл4) (S1)</v>
      </c>
      <c r="B424" s="13" t="s">
        <v>25</v>
      </c>
      <c r="C424" s="14" t="s">
        <v>143</v>
      </c>
      <c r="D424" s="12" t="s">
        <v>144</v>
      </c>
      <c r="E424" s="13">
        <v>6018</v>
      </c>
      <c r="F424" s="15">
        <f>E424</f>
        <v>6018</v>
      </c>
      <c r="G424" s="15">
        <f t="shared" si="247"/>
        <v>18054</v>
      </c>
      <c r="H424" s="16">
        <v>3</v>
      </c>
      <c r="I424" s="17" t="s">
        <v>13</v>
      </c>
      <c r="J424" s="13" t="s">
        <v>24</v>
      </c>
      <c r="K424" s="12" t="str">
        <f t="shared" si="249"/>
        <v>2853_01_01_S1_EM01_01_M3</v>
      </c>
      <c r="L424">
        <v>18054</v>
      </c>
    </row>
    <row r="425" spans="1:12" ht="21" customHeight="1" x14ac:dyDescent="0.25">
      <c r="A425" s="12" t="str">
        <f>A423</f>
        <v>ВУ-1 (ВРУ1-13-20 ухл4) (S1)</v>
      </c>
      <c r="B425" s="13" t="s">
        <v>29</v>
      </c>
      <c r="C425" s="14" t="s">
        <v>145</v>
      </c>
      <c r="D425" s="12" t="s">
        <v>146</v>
      </c>
      <c r="E425" s="13">
        <v>21950</v>
      </c>
      <c r="F425" s="15">
        <f>E425</f>
        <v>21950</v>
      </c>
      <c r="G425" s="15">
        <f t="shared" si="247"/>
        <v>43900</v>
      </c>
      <c r="H425" s="16">
        <v>2</v>
      </c>
      <c r="I425" s="17" t="s">
        <v>13</v>
      </c>
      <c r="J425" s="13" t="s">
        <v>24</v>
      </c>
      <c r="K425" s="12" t="str">
        <f>K423</f>
        <v>2853_01_01_S1_EM01_01_M3</v>
      </c>
      <c r="L425">
        <v>43900</v>
      </c>
    </row>
    <row r="426" spans="1:12" ht="21" customHeight="1" x14ac:dyDescent="0.25">
      <c r="A426" s="12" t="str">
        <f t="shared" si="248"/>
        <v>ВУ-1 (ВРУ1-13-20 ухл4) (S1)</v>
      </c>
      <c r="B426" s="13" t="s">
        <v>30</v>
      </c>
      <c r="C426" s="14" t="s">
        <v>147</v>
      </c>
      <c r="D426" s="12" t="s">
        <v>148</v>
      </c>
      <c r="E426" s="13">
        <v>3288</v>
      </c>
      <c r="F426" s="15">
        <f t="shared" ref="F426:F429" si="250">E426*0.6</f>
        <v>1972.8</v>
      </c>
      <c r="G426" s="15">
        <f t="shared" si="247"/>
        <v>5918.4</v>
      </c>
      <c r="H426" s="16">
        <v>3</v>
      </c>
      <c r="I426" s="17" t="s">
        <v>13</v>
      </c>
      <c r="J426" s="13" t="s">
        <v>17</v>
      </c>
      <c r="K426" s="12" t="str">
        <f t="shared" si="249"/>
        <v>2853_01_01_S1_EM01_01_M3</v>
      </c>
      <c r="L426">
        <v>5918.4</v>
      </c>
    </row>
    <row r="427" spans="1:12" ht="21" customHeight="1" x14ac:dyDescent="0.25">
      <c r="A427" s="12" t="str">
        <f t="shared" si="248"/>
        <v>ВУ-1 (ВРУ1-13-20 ухл4) (S1)</v>
      </c>
      <c r="B427" s="13" t="s">
        <v>30</v>
      </c>
      <c r="C427" s="14" t="s">
        <v>149</v>
      </c>
      <c r="D427" s="12" t="s">
        <v>150</v>
      </c>
      <c r="E427" s="13">
        <v>3302</v>
      </c>
      <c r="F427" s="15">
        <f t="shared" si="250"/>
        <v>1981.1999999999998</v>
      </c>
      <c r="G427" s="15">
        <f t="shared" si="247"/>
        <v>5943.5999999999995</v>
      </c>
      <c r="H427" s="16">
        <v>3</v>
      </c>
      <c r="I427" s="17" t="s">
        <v>13</v>
      </c>
      <c r="J427" s="13" t="s">
        <v>17</v>
      </c>
      <c r="K427" s="12" t="str">
        <f t="shared" si="249"/>
        <v>2853_01_01_S1_EM01_01_M3</v>
      </c>
      <c r="L427">
        <v>5943.5999999999995</v>
      </c>
    </row>
    <row r="428" spans="1:12" ht="21" customHeight="1" x14ac:dyDescent="0.25">
      <c r="A428" s="12" t="str">
        <f t="shared" si="248"/>
        <v>ВУ-1 (ВРУ1-13-20 ухл4) (S1)</v>
      </c>
      <c r="B428" s="13" t="s">
        <v>30</v>
      </c>
      <c r="C428" s="14" t="s">
        <v>151</v>
      </c>
      <c r="D428" s="12" t="s">
        <v>152</v>
      </c>
      <c r="E428" s="13">
        <v>4750</v>
      </c>
      <c r="F428" s="15">
        <f t="shared" si="250"/>
        <v>2850</v>
      </c>
      <c r="G428" s="15">
        <f t="shared" si="247"/>
        <v>17100</v>
      </c>
      <c r="H428" s="16">
        <v>6</v>
      </c>
      <c r="I428" s="17" t="s">
        <v>13</v>
      </c>
      <c r="J428" s="13" t="s">
        <v>17</v>
      </c>
      <c r="K428" s="12" t="str">
        <f t="shared" si="249"/>
        <v>2853_01_01_S1_EM01_01_M3</v>
      </c>
      <c r="L428">
        <v>17100</v>
      </c>
    </row>
    <row r="429" spans="1:12" ht="21" customHeight="1" x14ac:dyDescent="0.25">
      <c r="A429" s="12" t="str">
        <f>A427</f>
        <v>ВУ-1 (ВРУ1-13-20 ухл4) (S1)</v>
      </c>
      <c r="B429" s="13" t="s">
        <v>12</v>
      </c>
      <c r="C429" s="14" t="s">
        <v>19</v>
      </c>
      <c r="D429" s="12" t="s">
        <v>20</v>
      </c>
      <c r="E429" s="13">
        <v>975</v>
      </c>
      <c r="F429" s="15">
        <f t="shared" si="250"/>
        <v>585</v>
      </c>
      <c r="G429" s="15">
        <f t="shared" si="247"/>
        <v>1170</v>
      </c>
      <c r="H429" s="16">
        <v>2</v>
      </c>
      <c r="I429" s="17" t="s">
        <v>13</v>
      </c>
      <c r="J429" s="13" t="s">
        <v>17</v>
      </c>
      <c r="K429" s="12" t="str">
        <f>K427</f>
        <v>2853_01_01_S1_EM01_01_M3</v>
      </c>
      <c r="L429">
        <v>1170</v>
      </c>
    </row>
    <row r="430" spans="1:12" ht="22.5" customHeight="1" x14ac:dyDescent="0.25">
      <c r="A430" s="12" t="str">
        <f t="shared" si="248"/>
        <v>ВУ-1 (ВРУ1-13-20 ухл4) (S1)</v>
      </c>
      <c r="B430" s="13" t="s">
        <v>18</v>
      </c>
      <c r="C430" s="14" t="s">
        <v>290</v>
      </c>
      <c r="D430" s="12" t="s">
        <v>291</v>
      </c>
      <c r="E430" s="13">
        <v>90000</v>
      </c>
      <c r="F430" s="15">
        <f t="shared" ref="F430:F432" si="251">E430</f>
        <v>90000</v>
      </c>
      <c r="G430" s="15">
        <f t="shared" si="247"/>
        <v>0</v>
      </c>
      <c r="H430" s="16">
        <v>0</v>
      </c>
      <c r="I430" s="17" t="s">
        <v>13</v>
      </c>
      <c r="J430" s="13" t="s">
        <v>24</v>
      </c>
      <c r="K430" s="12" t="str">
        <f t="shared" si="249"/>
        <v>2853_01_01_S1_EM01_01_M3</v>
      </c>
      <c r="L430">
        <v>0</v>
      </c>
    </row>
    <row r="431" spans="1:12" ht="21" customHeight="1" x14ac:dyDescent="0.25">
      <c r="A431" s="12" t="str">
        <f t="shared" si="248"/>
        <v>ВУ-1 (ВРУ1-13-20 ухл4) (S1)</v>
      </c>
      <c r="B431" s="13" t="s">
        <v>92</v>
      </c>
      <c r="C431" s="14"/>
      <c r="D431" s="12" t="s">
        <v>65</v>
      </c>
      <c r="E431" s="13">
        <v>4500</v>
      </c>
      <c r="F431" s="15">
        <f t="shared" si="251"/>
        <v>4500</v>
      </c>
      <c r="G431" s="15">
        <f t="shared" si="247"/>
        <v>27000</v>
      </c>
      <c r="H431" s="16">
        <v>6</v>
      </c>
      <c r="I431" s="17" t="s">
        <v>13</v>
      </c>
      <c r="J431" s="13" t="s">
        <v>24</v>
      </c>
      <c r="K431" s="12" t="str">
        <f t="shared" si="249"/>
        <v>2853_01_01_S1_EM01_01_M3</v>
      </c>
      <c r="L431">
        <v>27000</v>
      </c>
    </row>
    <row r="432" spans="1:12" ht="21" customHeight="1" x14ac:dyDescent="0.25">
      <c r="A432" s="12" t="str">
        <f t="shared" si="248"/>
        <v>ВУ-1 (ВРУ1-13-20 ухл4) (S1)</v>
      </c>
      <c r="B432" s="13" t="s">
        <v>28</v>
      </c>
      <c r="C432" s="14"/>
      <c r="D432" s="12" t="s">
        <v>28</v>
      </c>
      <c r="E432" s="13">
        <v>1000</v>
      </c>
      <c r="F432" s="15">
        <f t="shared" si="251"/>
        <v>1000</v>
      </c>
      <c r="G432" s="15">
        <f t="shared" si="247"/>
        <v>1000</v>
      </c>
      <c r="H432" s="16">
        <v>1</v>
      </c>
      <c r="I432" s="17" t="s">
        <v>13</v>
      </c>
      <c r="J432" s="13" t="s">
        <v>24</v>
      </c>
      <c r="K432" s="12" t="str">
        <f t="shared" si="249"/>
        <v>2853_01_01_S1_EM01_01_M3</v>
      </c>
      <c r="L432">
        <v>1000</v>
      </c>
    </row>
    <row r="433" spans="1:12" ht="24" customHeight="1" x14ac:dyDescent="0.25">
      <c r="A433" s="12" t="str">
        <f t="shared" si="248"/>
        <v>ВУ-1 (ВРУ1-13-20 ухл4) (S1)</v>
      </c>
      <c r="B433" s="12" t="s">
        <v>10</v>
      </c>
      <c r="C433" s="18" t="s">
        <v>10</v>
      </c>
      <c r="D433" s="12" t="s">
        <v>10</v>
      </c>
      <c r="E433" s="12">
        <v>30000</v>
      </c>
      <c r="F433" s="15">
        <f>E433</f>
        <v>30000</v>
      </c>
      <c r="G433" s="15">
        <f t="shared" si="247"/>
        <v>30000</v>
      </c>
      <c r="H433" s="12">
        <v>1</v>
      </c>
      <c r="I433" s="12" t="s">
        <v>13</v>
      </c>
      <c r="J433" s="12" t="s">
        <v>10</v>
      </c>
      <c r="K433" s="12" t="str">
        <f t="shared" si="249"/>
        <v>2853_01_01_S1_EM01_01_M3</v>
      </c>
      <c r="L433">
        <v>30000</v>
      </c>
    </row>
    <row r="434" spans="1:12" ht="21" customHeight="1" x14ac:dyDescent="0.25">
      <c r="A434" s="12" t="str">
        <f t="shared" si="248"/>
        <v>ВУ-1 (ВРУ1-13-20 ухл4) (S1)</v>
      </c>
      <c r="B434" s="12" t="s">
        <v>11</v>
      </c>
      <c r="C434" s="18" t="s">
        <v>11</v>
      </c>
      <c r="D434" s="12" t="s">
        <v>11</v>
      </c>
      <c r="E434" s="12">
        <v>9</v>
      </c>
      <c r="F434" s="15">
        <v>100</v>
      </c>
      <c r="G434" s="15">
        <f t="shared" si="247"/>
        <v>54000</v>
      </c>
      <c r="H434" s="12">
        <f>60*E434</f>
        <v>540</v>
      </c>
      <c r="I434" s="12" t="s">
        <v>13</v>
      </c>
      <c r="J434" s="12" t="s">
        <v>11</v>
      </c>
      <c r="K434" s="12" t="str">
        <f t="shared" si="249"/>
        <v>2853_01_01_S1_EM01_01_M3</v>
      </c>
      <c r="L434">
        <v>54000</v>
      </c>
    </row>
    <row r="435" spans="1:12" ht="30" customHeight="1" x14ac:dyDescent="0.25">
      <c r="A435" s="12" t="str">
        <f t="shared" si="248"/>
        <v>ВУ-1 (ВРУ1-13-20 ухл4) (S1)</v>
      </c>
      <c r="B435" s="19"/>
      <c r="C435" s="20"/>
      <c r="D435" s="21"/>
      <c r="E435" s="23"/>
      <c r="F435" s="25"/>
      <c r="G435" s="24">
        <f>SUM(G422:G434)</f>
        <v>315140</v>
      </c>
      <c r="H435" s="20"/>
      <c r="I435" s="22"/>
      <c r="J435" s="20"/>
      <c r="K435" s="12" t="str">
        <f t="shared" si="249"/>
        <v>2853_01_01_S1_EM01_01_M3</v>
      </c>
      <c r="L435">
        <v>315140</v>
      </c>
    </row>
    <row r="436" spans="1:12" ht="39.75" customHeight="1" x14ac:dyDescent="0.25">
      <c r="A436" s="5" t="str">
        <f>D436</f>
        <v>ВРУ-1 (ВРУ1-ИНД тип5-00 ухл4) (S1)</v>
      </c>
      <c r="B436" s="6"/>
      <c r="C436" s="7"/>
      <c r="D436" s="6" t="s">
        <v>321</v>
      </c>
      <c r="E436" s="8"/>
      <c r="F436" s="8" t="s">
        <v>40</v>
      </c>
      <c r="G436" s="9"/>
      <c r="H436" s="10">
        <v>1</v>
      </c>
      <c r="I436" s="11" t="s">
        <v>7</v>
      </c>
      <c r="J436" s="6" t="s">
        <v>9</v>
      </c>
      <c r="K436" s="5" t="s">
        <v>196</v>
      </c>
    </row>
    <row r="437" spans="1:12" ht="21" customHeight="1" x14ac:dyDescent="0.25">
      <c r="A437" s="12" t="str">
        <f>A436</f>
        <v>ВРУ-1 (ВРУ1-ИНД тип5-00 ухл4) (S1)</v>
      </c>
      <c r="B437" s="13" t="s">
        <v>8</v>
      </c>
      <c r="C437" s="14" t="s">
        <v>38</v>
      </c>
      <c r="D437" s="12" t="s">
        <v>39</v>
      </c>
      <c r="E437" s="13">
        <v>155000</v>
      </c>
      <c r="F437" s="15">
        <f t="shared" ref="F437:F445" si="252">E437*0.6</f>
        <v>93000</v>
      </c>
      <c r="G437" s="15">
        <f t="shared" ref="G437:G449" si="253">H437*F437</f>
        <v>93000</v>
      </c>
      <c r="H437" s="16">
        <v>1</v>
      </c>
      <c r="I437" s="17" t="s">
        <v>13</v>
      </c>
      <c r="J437" s="13" t="s">
        <v>16</v>
      </c>
      <c r="K437" s="12" t="str">
        <f>K436</f>
        <v>2853_01_01_S1_EM01_01_M3</v>
      </c>
      <c r="L437">
        <v>93000</v>
      </c>
    </row>
    <row r="438" spans="1:12" ht="21" customHeight="1" x14ac:dyDescent="0.25">
      <c r="A438" s="12" t="str">
        <f t="shared" ref="A438:A450" si="254">A437</f>
        <v>ВРУ-1 (ВРУ1-ИНД тип5-00 ухл4) (S1)</v>
      </c>
      <c r="B438" s="13" t="s">
        <v>54</v>
      </c>
      <c r="C438" s="14" t="s">
        <v>119</v>
      </c>
      <c r="D438" s="12" t="s">
        <v>120</v>
      </c>
      <c r="E438" s="13">
        <v>4217</v>
      </c>
      <c r="F438" s="15">
        <f t="shared" si="252"/>
        <v>2530.1999999999998</v>
      </c>
      <c r="G438" s="15">
        <f t="shared" si="253"/>
        <v>2530.1999999999998</v>
      </c>
      <c r="H438" s="16">
        <v>1</v>
      </c>
      <c r="I438" s="17" t="s">
        <v>13</v>
      </c>
      <c r="J438" s="13" t="s">
        <v>17</v>
      </c>
      <c r="K438" s="12" t="str">
        <f t="shared" ref="K438:K450" si="255">K437</f>
        <v>2853_01_01_S1_EM01_01_M3</v>
      </c>
      <c r="L438">
        <v>2530.1999999999998</v>
      </c>
    </row>
    <row r="439" spans="1:12" ht="21" customHeight="1" x14ac:dyDescent="0.25">
      <c r="A439" s="12" t="str">
        <f t="shared" si="254"/>
        <v>ВРУ-1 (ВРУ1-ИНД тип5-00 ухл4) (S1)</v>
      </c>
      <c r="B439" s="13" t="s">
        <v>33</v>
      </c>
      <c r="C439" s="14" t="s">
        <v>117</v>
      </c>
      <c r="D439" s="12" t="s">
        <v>118</v>
      </c>
      <c r="E439" s="13">
        <v>34800</v>
      </c>
      <c r="F439" s="15">
        <f t="shared" si="252"/>
        <v>20880</v>
      </c>
      <c r="G439" s="15">
        <f t="shared" si="253"/>
        <v>20880</v>
      </c>
      <c r="H439" s="16">
        <v>1</v>
      </c>
      <c r="I439" s="17" t="s">
        <v>13</v>
      </c>
      <c r="J439" s="13" t="s">
        <v>17</v>
      </c>
      <c r="K439" s="12" t="str">
        <f t="shared" si="255"/>
        <v>2853_01_01_S1_EM01_01_M3</v>
      </c>
      <c r="L439">
        <v>20880</v>
      </c>
    </row>
    <row r="440" spans="1:12" ht="21" customHeight="1" x14ac:dyDescent="0.25">
      <c r="A440" s="12" t="str">
        <f t="shared" si="254"/>
        <v>ВРУ-1 (ВРУ1-ИНД тип5-00 ухл4) (S1)</v>
      </c>
      <c r="B440" s="13" t="s">
        <v>33</v>
      </c>
      <c r="C440" s="14" t="s">
        <v>153</v>
      </c>
      <c r="D440" s="12" t="s">
        <v>154</v>
      </c>
      <c r="E440" s="13">
        <v>33910</v>
      </c>
      <c r="F440" s="15">
        <f t="shared" si="252"/>
        <v>20346</v>
      </c>
      <c r="G440" s="15">
        <f t="shared" si="253"/>
        <v>20346</v>
      </c>
      <c r="H440" s="16">
        <v>1</v>
      </c>
      <c r="I440" s="17" t="s">
        <v>13</v>
      </c>
      <c r="J440" s="13" t="s">
        <v>17</v>
      </c>
      <c r="K440" s="12" t="str">
        <f t="shared" si="255"/>
        <v>2853_01_01_S1_EM01_01_M3</v>
      </c>
      <c r="L440">
        <v>20346</v>
      </c>
    </row>
    <row r="441" spans="1:12" ht="21" customHeight="1" x14ac:dyDescent="0.25">
      <c r="A441" s="12" t="str">
        <f t="shared" si="254"/>
        <v>ВРУ-1 (ВРУ1-ИНД тип5-00 ухл4) (S1)</v>
      </c>
      <c r="B441" s="13" t="s">
        <v>33</v>
      </c>
      <c r="C441" s="14" t="s">
        <v>157</v>
      </c>
      <c r="D441" s="12" t="s">
        <v>158</v>
      </c>
      <c r="E441" s="13">
        <v>19700</v>
      </c>
      <c r="F441" s="15">
        <f t="shared" si="252"/>
        <v>11820</v>
      </c>
      <c r="G441" s="15">
        <f t="shared" si="253"/>
        <v>70920</v>
      </c>
      <c r="H441" s="16">
        <v>6</v>
      </c>
      <c r="I441" s="17" t="s">
        <v>13</v>
      </c>
      <c r="J441" s="13" t="s">
        <v>17</v>
      </c>
      <c r="K441" s="12" t="str">
        <f t="shared" si="255"/>
        <v>2853_01_01_S1_EM01_01_M3</v>
      </c>
      <c r="L441">
        <v>70920</v>
      </c>
    </row>
    <row r="442" spans="1:12" ht="21" customHeight="1" x14ac:dyDescent="0.25">
      <c r="A442" s="12" t="str">
        <f t="shared" si="254"/>
        <v>ВРУ-1 (ВРУ1-ИНД тип5-00 ухл4) (S1)</v>
      </c>
      <c r="B442" s="13" t="s">
        <v>12</v>
      </c>
      <c r="C442" s="14" t="s">
        <v>27</v>
      </c>
      <c r="D442" s="12" t="s">
        <v>26</v>
      </c>
      <c r="E442" s="13">
        <v>2606</v>
      </c>
      <c r="F442" s="15">
        <f t="shared" si="252"/>
        <v>1563.6</v>
      </c>
      <c r="G442" s="15">
        <f t="shared" si="253"/>
        <v>3127.2</v>
      </c>
      <c r="H442" s="16">
        <v>2</v>
      </c>
      <c r="I442" s="17" t="s">
        <v>13</v>
      </c>
      <c r="J442" s="13" t="s">
        <v>17</v>
      </c>
      <c r="K442" s="12" t="str">
        <f t="shared" si="255"/>
        <v>2853_01_01_S1_EM01_01_M3</v>
      </c>
      <c r="L442">
        <v>3127.2</v>
      </c>
    </row>
    <row r="443" spans="1:12" ht="21" customHeight="1" x14ac:dyDescent="0.25">
      <c r="A443" s="12" t="str">
        <f t="shared" si="254"/>
        <v>ВРУ-1 (ВРУ1-ИНД тип5-00 ухл4) (S1)</v>
      </c>
      <c r="B443" s="13" t="s">
        <v>12</v>
      </c>
      <c r="C443" s="14" t="s">
        <v>159</v>
      </c>
      <c r="D443" s="12" t="s">
        <v>160</v>
      </c>
      <c r="E443" s="13">
        <v>2429</v>
      </c>
      <c r="F443" s="15">
        <f t="shared" si="252"/>
        <v>1457.3999999999999</v>
      </c>
      <c r="G443" s="15">
        <f t="shared" si="253"/>
        <v>1457.3999999999999</v>
      </c>
      <c r="H443" s="16">
        <v>1</v>
      </c>
      <c r="I443" s="17" t="s">
        <v>13</v>
      </c>
      <c r="J443" s="13" t="s">
        <v>17</v>
      </c>
      <c r="K443" s="12" t="str">
        <f t="shared" si="255"/>
        <v>2853_01_01_S1_EM01_01_M3</v>
      </c>
      <c r="L443">
        <v>1457.3999999999999</v>
      </c>
    </row>
    <row r="444" spans="1:12" ht="21" customHeight="1" x14ac:dyDescent="0.25">
      <c r="A444" s="12" t="str">
        <f t="shared" si="254"/>
        <v>ВРУ-1 (ВРУ1-ИНД тип5-00 ухл4) (S1)</v>
      </c>
      <c r="B444" s="13" t="s">
        <v>12</v>
      </c>
      <c r="C444" s="14" t="s">
        <v>34</v>
      </c>
      <c r="D444" s="12" t="s">
        <v>35</v>
      </c>
      <c r="E444" s="13">
        <v>2337</v>
      </c>
      <c r="F444" s="15">
        <f t="shared" si="252"/>
        <v>1402.2</v>
      </c>
      <c r="G444" s="15">
        <f t="shared" si="253"/>
        <v>2804.4</v>
      </c>
      <c r="H444" s="16">
        <v>2</v>
      </c>
      <c r="I444" s="17" t="s">
        <v>13</v>
      </c>
      <c r="J444" s="13" t="s">
        <v>17</v>
      </c>
      <c r="K444" s="12" t="str">
        <f t="shared" si="255"/>
        <v>2853_01_01_S1_EM01_01_M3</v>
      </c>
      <c r="L444">
        <v>2804.4</v>
      </c>
    </row>
    <row r="445" spans="1:12" ht="21" customHeight="1" x14ac:dyDescent="0.25">
      <c r="A445" s="12" t="str">
        <f t="shared" si="254"/>
        <v>ВРУ-1 (ВРУ1-ИНД тип5-00 ухл4) (S1)</v>
      </c>
      <c r="B445" s="13" t="s">
        <v>12</v>
      </c>
      <c r="C445" s="14" t="s">
        <v>36</v>
      </c>
      <c r="D445" s="12" t="s">
        <v>37</v>
      </c>
      <c r="E445" s="13">
        <v>783</v>
      </c>
      <c r="F445" s="15">
        <f t="shared" si="252"/>
        <v>469.79999999999995</v>
      </c>
      <c r="G445" s="15">
        <f t="shared" si="253"/>
        <v>1409.3999999999999</v>
      </c>
      <c r="H445" s="16">
        <v>3</v>
      </c>
      <c r="I445" s="17" t="s">
        <v>13</v>
      </c>
      <c r="J445" s="13" t="s">
        <v>17</v>
      </c>
      <c r="K445" s="12" t="str">
        <f t="shared" si="255"/>
        <v>2853_01_01_S1_EM01_01_M3</v>
      </c>
      <c r="L445">
        <v>1409.3999999999999</v>
      </c>
    </row>
    <row r="446" spans="1:12" ht="22.5" customHeight="1" x14ac:dyDescent="0.25">
      <c r="A446" s="12" t="str">
        <f t="shared" si="254"/>
        <v>ВРУ-1 (ВРУ1-ИНД тип5-00 ухл4) (S1)</v>
      </c>
      <c r="B446" s="13" t="s">
        <v>18</v>
      </c>
      <c r="C446" s="14" t="s">
        <v>292</v>
      </c>
      <c r="D446" s="12" t="s">
        <v>293</v>
      </c>
      <c r="E446" s="13">
        <v>90000</v>
      </c>
      <c r="F446" s="15">
        <f t="shared" ref="F446:F447" si="256">E446</f>
        <v>90000</v>
      </c>
      <c r="G446" s="15">
        <f t="shared" si="253"/>
        <v>0</v>
      </c>
      <c r="H446" s="16">
        <v>0</v>
      </c>
      <c r="I446" s="17" t="s">
        <v>13</v>
      </c>
      <c r="J446" s="13" t="s">
        <v>24</v>
      </c>
      <c r="K446" s="12" t="str">
        <f t="shared" si="255"/>
        <v>2853_01_01_S1_EM01_01_M3</v>
      </c>
      <c r="L446">
        <v>0</v>
      </c>
    </row>
    <row r="447" spans="1:12" ht="21" customHeight="1" x14ac:dyDescent="0.25">
      <c r="A447" s="12" t="str">
        <f t="shared" si="254"/>
        <v>ВРУ-1 (ВРУ1-ИНД тип5-00 ухл4) (S1)</v>
      </c>
      <c r="B447" s="13" t="s">
        <v>28</v>
      </c>
      <c r="C447" s="14"/>
      <c r="D447" s="12" t="s">
        <v>28</v>
      </c>
      <c r="E447" s="13">
        <v>1000</v>
      </c>
      <c r="F447" s="15">
        <f t="shared" si="256"/>
        <v>1000</v>
      </c>
      <c r="G447" s="15">
        <f t="shared" si="253"/>
        <v>1000</v>
      </c>
      <c r="H447" s="16">
        <v>1</v>
      </c>
      <c r="I447" s="17" t="s">
        <v>13</v>
      </c>
      <c r="J447" s="13" t="s">
        <v>24</v>
      </c>
      <c r="K447" s="12" t="str">
        <f t="shared" si="255"/>
        <v>2853_01_01_S1_EM01_01_M3</v>
      </c>
      <c r="L447">
        <v>1000</v>
      </c>
    </row>
    <row r="448" spans="1:12" ht="24" customHeight="1" x14ac:dyDescent="0.25">
      <c r="A448" s="12" t="str">
        <f t="shared" si="254"/>
        <v>ВРУ-1 (ВРУ1-ИНД тип5-00 ухл4) (S1)</v>
      </c>
      <c r="B448" s="12" t="s">
        <v>10</v>
      </c>
      <c r="C448" s="18" t="s">
        <v>10</v>
      </c>
      <c r="D448" s="12" t="s">
        <v>10</v>
      </c>
      <c r="E448" s="12">
        <f ca="1">OFFSET(E448,1,2)</f>
        <v>54000</v>
      </c>
      <c r="F448" s="15">
        <f ca="1">E448</f>
        <v>54000</v>
      </c>
      <c r="G448" s="15">
        <f t="shared" ca="1" si="253"/>
        <v>54000</v>
      </c>
      <c r="H448" s="12">
        <v>1</v>
      </c>
      <c r="I448" s="12" t="s">
        <v>13</v>
      </c>
      <c r="J448" s="12" t="s">
        <v>10</v>
      </c>
      <c r="K448" s="12" t="str">
        <f t="shared" si="255"/>
        <v>2853_01_01_S1_EM01_01_M3</v>
      </c>
      <c r="L448">
        <v>54000</v>
      </c>
    </row>
    <row r="449" spans="1:12" ht="21" customHeight="1" x14ac:dyDescent="0.25">
      <c r="A449" s="12" t="str">
        <f t="shared" si="254"/>
        <v>ВРУ-1 (ВРУ1-ИНД тип5-00 ухл4) (S1)</v>
      </c>
      <c r="B449" s="12" t="s">
        <v>11</v>
      </c>
      <c r="C449" s="18" t="s">
        <v>11</v>
      </c>
      <c r="D449" s="12" t="s">
        <v>11</v>
      </c>
      <c r="E449" s="12">
        <v>9</v>
      </c>
      <c r="F449" s="15">
        <v>100</v>
      </c>
      <c r="G449" s="15">
        <f t="shared" si="253"/>
        <v>54000</v>
      </c>
      <c r="H449" s="12">
        <f>60*E449</f>
        <v>540</v>
      </c>
      <c r="I449" s="12" t="s">
        <v>13</v>
      </c>
      <c r="J449" s="12" t="s">
        <v>11</v>
      </c>
      <c r="K449" s="12" t="str">
        <f t="shared" si="255"/>
        <v>2853_01_01_S1_EM01_01_M3</v>
      </c>
      <c r="L449">
        <v>54000</v>
      </c>
    </row>
    <row r="450" spans="1:12" ht="30" customHeight="1" x14ac:dyDescent="0.25">
      <c r="A450" s="12" t="str">
        <f t="shared" si="254"/>
        <v>ВРУ-1 (ВРУ1-ИНД тип5-00 ухл4) (S1)</v>
      </c>
      <c r="B450" s="19"/>
      <c r="C450" s="20"/>
      <c r="D450" s="21"/>
      <c r="E450" s="23"/>
      <c r="F450" s="25"/>
      <c r="G450" s="24">
        <f ca="1">SUM(G437:G449)</f>
        <v>325474.59999999998</v>
      </c>
      <c r="H450" s="20"/>
      <c r="I450" s="22"/>
      <c r="J450" s="20"/>
      <c r="K450" s="12" t="str">
        <f t="shared" si="255"/>
        <v>2853_01_01_S1_EM01_01_M3</v>
      </c>
      <c r="L450">
        <v>325474.59999999998</v>
      </c>
    </row>
    <row r="451" spans="1:12" ht="39.75" customHeight="1" x14ac:dyDescent="0.25">
      <c r="A451" s="5" t="str">
        <f>D451</f>
        <v>АВР-1 (S1)</v>
      </c>
      <c r="B451" s="6"/>
      <c r="C451" s="7"/>
      <c r="D451" s="6" t="s">
        <v>322</v>
      </c>
      <c r="E451" s="8"/>
      <c r="F451" s="8" t="s">
        <v>40</v>
      </c>
      <c r="G451" s="9"/>
      <c r="H451" s="10">
        <v>1</v>
      </c>
      <c r="I451" s="11" t="s">
        <v>7</v>
      </c>
      <c r="J451" s="6" t="s">
        <v>9</v>
      </c>
      <c r="K451" s="5" t="s">
        <v>196</v>
      </c>
      <c r="L451" s="29">
        <f t="shared" ref="L451:L468" si="257">G451</f>
        <v>0</v>
      </c>
    </row>
    <row r="452" spans="1:12" ht="21" customHeight="1" x14ac:dyDescent="0.25">
      <c r="A452" s="12" t="str">
        <f>A451</f>
        <v>АВР-1 (S1)</v>
      </c>
      <c r="B452" s="13" t="s">
        <v>8</v>
      </c>
      <c r="C452" s="14" t="s">
        <v>465</v>
      </c>
      <c r="D452" s="12" t="s">
        <v>466</v>
      </c>
      <c r="E452" s="13">
        <v>166830</v>
      </c>
      <c r="F452" s="15">
        <f>E452*0.6</f>
        <v>100098</v>
      </c>
      <c r="G452" s="15">
        <f t="shared" ref="G452:G467" si="258">H452*F452</f>
        <v>100098</v>
      </c>
      <c r="H452" s="16">
        <v>1</v>
      </c>
      <c r="I452" s="17" t="s">
        <v>13</v>
      </c>
      <c r="J452" s="13" t="s">
        <v>16</v>
      </c>
      <c r="K452" s="12" t="str">
        <f>K451</f>
        <v>2853_01_01_S1_EM01_01_M3</v>
      </c>
      <c r="L452" s="29">
        <f t="shared" si="257"/>
        <v>100098</v>
      </c>
    </row>
    <row r="453" spans="1:12" ht="21" customHeight="1" x14ac:dyDescent="0.25">
      <c r="A453" s="12" t="str">
        <f t="shared" ref="A453" si="259">A452</f>
        <v>АВР-1 (S1)</v>
      </c>
      <c r="B453" s="13" t="s">
        <v>25</v>
      </c>
      <c r="C453" s="14" t="s">
        <v>46</v>
      </c>
      <c r="D453" s="12" t="s">
        <v>47</v>
      </c>
      <c r="E453" s="13">
        <v>6018</v>
      </c>
      <c r="F453" s="15">
        <f>E453</f>
        <v>6018</v>
      </c>
      <c r="G453" s="15">
        <f t="shared" si="258"/>
        <v>36108</v>
      </c>
      <c r="H453" s="16">
        <v>6</v>
      </c>
      <c r="I453" s="17" t="s">
        <v>13</v>
      </c>
      <c r="J453" s="13" t="s">
        <v>24</v>
      </c>
      <c r="K453" s="12" t="str">
        <f t="shared" ref="K453" si="260">K452</f>
        <v>2853_01_01_S1_EM01_01_M3</v>
      </c>
      <c r="L453" s="29">
        <f t="shared" si="257"/>
        <v>36108</v>
      </c>
    </row>
    <row r="454" spans="1:12" ht="21" customHeight="1" x14ac:dyDescent="0.25">
      <c r="A454" s="12" t="str">
        <f>A452</f>
        <v>АВР-1 (S1)</v>
      </c>
      <c r="B454" s="13" t="s">
        <v>491</v>
      </c>
      <c r="C454" s="14" t="s">
        <v>169</v>
      </c>
      <c r="D454" s="12" t="s">
        <v>170</v>
      </c>
      <c r="E454" s="13">
        <v>20174</v>
      </c>
      <c r="F454" s="15">
        <f t="shared" ref="F454:F462" si="261">E454*0.6</f>
        <v>12104.4</v>
      </c>
      <c r="G454" s="15">
        <f t="shared" si="258"/>
        <v>36313.199999999997</v>
      </c>
      <c r="H454" s="16">
        <v>3</v>
      </c>
      <c r="I454" s="17" t="s">
        <v>13</v>
      </c>
      <c r="J454" s="13" t="s">
        <v>17</v>
      </c>
      <c r="K454" s="12" t="str">
        <f>K452</f>
        <v>2853_01_01_S1_EM01_01_M3</v>
      </c>
      <c r="L454" s="29">
        <f t="shared" si="257"/>
        <v>36313.199999999997</v>
      </c>
    </row>
    <row r="455" spans="1:12" ht="21" customHeight="1" x14ac:dyDescent="0.25">
      <c r="A455" s="12" t="str">
        <f t="shared" ref="A455:A457" si="262">A453</f>
        <v>АВР-1 (S1)</v>
      </c>
      <c r="B455" s="13" t="s">
        <v>484</v>
      </c>
      <c r="C455" s="14" t="s">
        <v>492</v>
      </c>
      <c r="D455" s="12" t="s">
        <v>493</v>
      </c>
      <c r="E455" s="13">
        <v>22043</v>
      </c>
      <c r="F455" s="15">
        <f t="shared" ref="F455:F456" si="263">E455*0.6</f>
        <v>13225.8</v>
      </c>
      <c r="G455" s="15">
        <f t="shared" ref="G455:G457" si="264">H455*F455</f>
        <v>39677.399999999994</v>
      </c>
      <c r="H455" s="16">
        <v>3</v>
      </c>
      <c r="I455" s="17" t="s">
        <v>13</v>
      </c>
      <c r="J455" s="13" t="s">
        <v>17</v>
      </c>
      <c r="K455" s="12" t="str">
        <f t="shared" ref="K455:K457" si="265">K453</f>
        <v>2853_01_01_S1_EM01_01_M3</v>
      </c>
      <c r="L455" s="29">
        <f t="shared" si="257"/>
        <v>39677.399999999994</v>
      </c>
    </row>
    <row r="456" spans="1:12" ht="21" customHeight="1" x14ac:dyDescent="0.25">
      <c r="A456" s="12" t="str">
        <f t="shared" si="262"/>
        <v>АВР-1 (S1)</v>
      </c>
      <c r="B456" s="13" t="s">
        <v>485</v>
      </c>
      <c r="C456" s="14" t="s">
        <v>496</v>
      </c>
      <c r="D456" s="12" t="s">
        <v>497</v>
      </c>
      <c r="E456" s="13">
        <v>2177</v>
      </c>
      <c r="F456" s="15">
        <f t="shared" si="263"/>
        <v>1306.2</v>
      </c>
      <c r="G456" s="15">
        <f t="shared" si="264"/>
        <v>3918.6000000000004</v>
      </c>
      <c r="H456" s="16">
        <v>3</v>
      </c>
      <c r="I456" s="17" t="s">
        <v>13</v>
      </c>
      <c r="J456" s="13" t="s">
        <v>17</v>
      </c>
      <c r="K456" s="12" t="str">
        <f t="shared" si="265"/>
        <v>2853_01_01_S1_EM01_01_M3</v>
      </c>
      <c r="L456" s="29">
        <f t="shared" si="257"/>
        <v>3918.6000000000004</v>
      </c>
    </row>
    <row r="457" spans="1:12" ht="21" customHeight="1" x14ac:dyDescent="0.25">
      <c r="A457" s="12" t="str">
        <f t="shared" si="262"/>
        <v>АВР-1 (S1)</v>
      </c>
      <c r="B457" s="13" t="s">
        <v>486</v>
      </c>
      <c r="C457" s="14" t="s">
        <v>487</v>
      </c>
      <c r="D457" s="13" t="s">
        <v>488</v>
      </c>
      <c r="E457" s="13">
        <v>78000</v>
      </c>
      <c r="F457" s="15">
        <f>E457</f>
        <v>78000</v>
      </c>
      <c r="G457" s="15">
        <f t="shared" si="264"/>
        <v>78000</v>
      </c>
      <c r="H457" s="16">
        <v>1</v>
      </c>
      <c r="I457" s="17" t="s">
        <v>13</v>
      </c>
      <c r="J457" s="13" t="s">
        <v>489</v>
      </c>
      <c r="K457" s="12" t="str">
        <f t="shared" si="265"/>
        <v>2853_01_01_S1_EM01_01_M3</v>
      </c>
      <c r="L457" s="29">
        <f t="shared" si="257"/>
        <v>78000</v>
      </c>
    </row>
    <row r="458" spans="1:12" ht="21" customHeight="1" x14ac:dyDescent="0.25">
      <c r="A458" s="12" t="str">
        <f>A454</f>
        <v>АВР-1 (S1)</v>
      </c>
      <c r="B458" s="13" t="s">
        <v>54</v>
      </c>
      <c r="C458" s="14" t="s">
        <v>119</v>
      </c>
      <c r="D458" s="12" t="s">
        <v>120</v>
      </c>
      <c r="E458" s="13">
        <v>4217</v>
      </c>
      <c r="F458" s="15">
        <f t="shared" si="261"/>
        <v>2530.1999999999998</v>
      </c>
      <c r="G458" s="15">
        <f t="shared" si="258"/>
        <v>2530.1999999999998</v>
      </c>
      <c r="H458" s="16">
        <v>1</v>
      </c>
      <c r="I458" s="17" t="s">
        <v>13</v>
      </c>
      <c r="J458" s="13" t="s">
        <v>17</v>
      </c>
      <c r="K458" s="12" t="str">
        <f>K454</f>
        <v>2853_01_01_S1_EM01_01_M3</v>
      </c>
      <c r="L458" s="29">
        <f t="shared" si="257"/>
        <v>2530.1999999999998</v>
      </c>
    </row>
    <row r="459" spans="1:12" ht="21" customHeight="1" x14ac:dyDescent="0.25">
      <c r="A459" s="12" t="str">
        <f t="shared" ref="A459:A468" si="266">A458</f>
        <v>АВР-1 (S1)</v>
      </c>
      <c r="B459" s="13" t="s">
        <v>54</v>
      </c>
      <c r="C459" s="14" t="s">
        <v>57</v>
      </c>
      <c r="D459" s="12" t="s">
        <v>58</v>
      </c>
      <c r="E459" s="13">
        <v>3372</v>
      </c>
      <c r="F459" s="15">
        <f t="shared" si="261"/>
        <v>2023.1999999999998</v>
      </c>
      <c r="G459" s="15">
        <f t="shared" si="258"/>
        <v>2023.1999999999998</v>
      </c>
      <c r="H459" s="16">
        <v>1</v>
      </c>
      <c r="I459" s="17" t="s">
        <v>13</v>
      </c>
      <c r="J459" s="13" t="s">
        <v>17</v>
      </c>
      <c r="K459" s="12" t="str">
        <f t="shared" ref="K459:K468" si="267">K458</f>
        <v>2853_01_01_S1_EM01_01_M3</v>
      </c>
      <c r="L459" s="29">
        <f t="shared" si="257"/>
        <v>2023.1999999999998</v>
      </c>
    </row>
    <row r="460" spans="1:12" ht="21" customHeight="1" x14ac:dyDescent="0.25">
      <c r="A460" s="12" t="str">
        <f>A458</f>
        <v>АВР-1 (S1)</v>
      </c>
      <c r="B460" s="13" t="s">
        <v>12</v>
      </c>
      <c r="C460" s="14" t="s">
        <v>27</v>
      </c>
      <c r="D460" s="12" t="s">
        <v>26</v>
      </c>
      <c r="E460" s="13">
        <v>2606</v>
      </c>
      <c r="F460" s="15">
        <f t="shared" si="261"/>
        <v>1563.6</v>
      </c>
      <c r="G460" s="15">
        <f t="shared" si="258"/>
        <v>4690.7999999999993</v>
      </c>
      <c r="H460" s="16">
        <v>3</v>
      </c>
      <c r="I460" s="17" t="s">
        <v>13</v>
      </c>
      <c r="J460" s="13" t="s">
        <v>17</v>
      </c>
      <c r="K460" s="12" t="str">
        <f>K458</f>
        <v>2853_01_01_S1_EM01_01_M3</v>
      </c>
      <c r="L460" s="29">
        <f t="shared" si="257"/>
        <v>4690.7999999999993</v>
      </c>
    </row>
    <row r="461" spans="1:12" ht="21" customHeight="1" x14ac:dyDescent="0.25">
      <c r="A461" s="12" t="str">
        <f>A458</f>
        <v>АВР-1 (S1)</v>
      </c>
      <c r="B461" s="13" t="s">
        <v>12</v>
      </c>
      <c r="C461" s="14" t="s">
        <v>161</v>
      </c>
      <c r="D461" s="12" t="s">
        <v>162</v>
      </c>
      <c r="E461" s="13">
        <v>3604</v>
      </c>
      <c r="F461" s="15">
        <f t="shared" si="261"/>
        <v>2162.4</v>
      </c>
      <c r="G461" s="15">
        <f t="shared" si="258"/>
        <v>4324.8</v>
      </c>
      <c r="H461" s="16">
        <v>2</v>
      </c>
      <c r="I461" s="17" t="s">
        <v>13</v>
      </c>
      <c r="J461" s="13" t="s">
        <v>17</v>
      </c>
      <c r="K461" s="12" t="str">
        <f>K458</f>
        <v>2853_01_01_S1_EM01_01_M3</v>
      </c>
      <c r="L461" s="29">
        <f t="shared" si="257"/>
        <v>4324.8</v>
      </c>
    </row>
    <row r="462" spans="1:12" ht="21" customHeight="1" x14ac:dyDescent="0.25">
      <c r="A462" s="12" t="str">
        <f>A460</f>
        <v>АВР-1 (S1)</v>
      </c>
      <c r="B462" s="13" t="s">
        <v>12</v>
      </c>
      <c r="C462" s="14" t="s">
        <v>34</v>
      </c>
      <c r="D462" s="12" t="s">
        <v>35</v>
      </c>
      <c r="E462" s="13">
        <v>2337</v>
      </c>
      <c r="F462" s="15">
        <f t="shared" si="261"/>
        <v>1402.2</v>
      </c>
      <c r="G462" s="15">
        <f t="shared" si="258"/>
        <v>7011</v>
      </c>
      <c r="H462" s="16">
        <v>5</v>
      </c>
      <c r="I462" s="17" t="s">
        <v>13</v>
      </c>
      <c r="J462" s="13" t="s">
        <v>17</v>
      </c>
      <c r="K462" s="12" t="str">
        <f>K460</f>
        <v>2853_01_01_S1_EM01_01_M3</v>
      </c>
      <c r="L462" s="29">
        <f t="shared" si="257"/>
        <v>7011</v>
      </c>
    </row>
    <row r="463" spans="1:12" ht="22.5" customHeight="1" x14ac:dyDescent="0.25">
      <c r="A463" s="12" t="str">
        <f t="shared" si="266"/>
        <v>АВР-1 (S1)</v>
      </c>
      <c r="B463" s="13" t="s">
        <v>18</v>
      </c>
      <c r="C463" s="14" t="s">
        <v>292</v>
      </c>
      <c r="D463" s="12" t="s">
        <v>293</v>
      </c>
      <c r="E463" s="13">
        <v>90000</v>
      </c>
      <c r="F463" s="15">
        <f t="shared" ref="F463:F465" si="268">E463</f>
        <v>90000</v>
      </c>
      <c r="G463" s="15">
        <f t="shared" si="258"/>
        <v>0</v>
      </c>
      <c r="H463" s="16">
        <v>0</v>
      </c>
      <c r="I463" s="17" t="s">
        <v>13</v>
      </c>
      <c r="J463" s="13" t="s">
        <v>24</v>
      </c>
      <c r="K463" s="12" t="str">
        <f t="shared" si="267"/>
        <v>2853_01_01_S1_EM01_01_M3</v>
      </c>
      <c r="L463" s="29">
        <f t="shared" si="257"/>
        <v>0</v>
      </c>
    </row>
    <row r="464" spans="1:12" ht="22.5" customHeight="1" x14ac:dyDescent="0.25">
      <c r="A464" s="12" t="str">
        <f t="shared" si="266"/>
        <v>АВР-1 (S1)</v>
      </c>
      <c r="B464" s="13" t="s">
        <v>18</v>
      </c>
      <c r="C464" s="14" t="s">
        <v>290</v>
      </c>
      <c r="D464" s="12" t="s">
        <v>291</v>
      </c>
      <c r="E464" s="13">
        <v>90000</v>
      </c>
      <c r="F464" s="15">
        <f t="shared" ref="F464" si="269">E464</f>
        <v>90000</v>
      </c>
      <c r="G464" s="15">
        <f t="shared" si="258"/>
        <v>0</v>
      </c>
      <c r="H464" s="16">
        <v>0</v>
      </c>
      <c r="I464" s="17" t="s">
        <v>13</v>
      </c>
      <c r="J464" s="13" t="s">
        <v>24</v>
      </c>
      <c r="K464" s="12" t="str">
        <f t="shared" si="267"/>
        <v>2853_01_01_S1_EM01_01_M3</v>
      </c>
      <c r="L464" s="29">
        <f t="shared" si="257"/>
        <v>0</v>
      </c>
    </row>
    <row r="465" spans="1:12" ht="21" customHeight="1" x14ac:dyDescent="0.25">
      <c r="A465" s="12" t="str">
        <f t="shared" si="266"/>
        <v>АВР-1 (S1)</v>
      </c>
      <c r="B465" s="13" t="s">
        <v>28</v>
      </c>
      <c r="C465" s="14"/>
      <c r="D465" s="12" t="s">
        <v>28</v>
      </c>
      <c r="E465" s="13">
        <v>1000</v>
      </c>
      <c r="F465" s="15">
        <f t="shared" si="268"/>
        <v>1000</v>
      </c>
      <c r="G465" s="15">
        <f t="shared" si="258"/>
        <v>1000</v>
      </c>
      <c r="H465" s="16">
        <v>1</v>
      </c>
      <c r="I465" s="17" t="s">
        <v>13</v>
      </c>
      <c r="J465" s="13" t="s">
        <v>24</v>
      </c>
      <c r="K465" s="12" t="str">
        <f t="shared" si="267"/>
        <v>2853_01_01_S1_EM01_01_M3</v>
      </c>
      <c r="L465" s="29">
        <f t="shared" si="257"/>
        <v>1000</v>
      </c>
    </row>
    <row r="466" spans="1:12" ht="24" customHeight="1" x14ac:dyDescent="0.25">
      <c r="A466" s="12" t="str">
        <f t="shared" si="266"/>
        <v>АВР-1 (S1)</v>
      </c>
      <c r="B466" s="12" t="s">
        <v>10</v>
      </c>
      <c r="C466" s="18" t="s">
        <v>10</v>
      </c>
      <c r="D466" s="12" t="s">
        <v>10</v>
      </c>
      <c r="E466" s="12">
        <v>55000</v>
      </c>
      <c r="F466" s="15">
        <f>E466</f>
        <v>55000</v>
      </c>
      <c r="G466" s="15">
        <f t="shared" si="258"/>
        <v>55000</v>
      </c>
      <c r="H466" s="12">
        <v>1</v>
      </c>
      <c r="I466" s="12" t="s">
        <v>13</v>
      </c>
      <c r="J466" s="12" t="s">
        <v>10</v>
      </c>
      <c r="K466" s="12" t="str">
        <f t="shared" si="267"/>
        <v>2853_01_01_S1_EM01_01_M3</v>
      </c>
      <c r="L466" s="29">
        <f t="shared" si="257"/>
        <v>55000</v>
      </c>
    </row>
    <row r="467" spans="1:12" ht="21" customHeight="1" x14ac:dyDescent="0.25">
      <c r="A467" s="12" t="str">
        <f t="shared" si="266"/>
        <v>АВР-1 (S1)</v>
      </c>
      <c r="B467" s="12" t="s">
        <v>11</v>
      </c>
      <c r="C467" s="18" t="s">
        <v>11</v>
      </c>
      <c r="D467" s="12" t="s">
        <v>11</v>
      </c>
      <c r="E467" s="12">
        <v>8</v>
      </c>
      <c r="F467" s="15">
        <v>100</v>
      </c>
      <c r="G467" s="15">
        <f t="shared" si="258"/>
        <v>48000</v>
      </c>
      <c r="H467" s="12">
        <f>60*E467</f>
        <v>480</v>
      </c>
      <c r="I467" s="12" t="s">
        <v>13</v>
      </c>
      <c r="J467" s="12" t="s">
        <v>11</v>
      </c>
      <c r="K467" s="12" t="str">
        <f t="shared" si="267"/>
        <v>2853_01_01_S1_EM01_01_M3</v>
      </c>
      <c r="L467" s="29">
        <f t="shared" si="257"/>
        <v>48000</v>
      </c>
    </row>
    <row r="468" spans="1:12" ht="30" customHeight="1" x14ac:dyDescent="0.25">
      <c r="A468" s="12" t="str">
        <f t="shared" si="266"/>
        <v>АВР-1 (S1)</v>
      </c>
      <c r="B468" s="19"/>
      <c r="C468" s="20"/>
      <c r="D468" s="21"/>
      <c r="E468" s="23"/>
      <c r="F468" s="25"/>
      <c r="G468" s="24">
        <f>SUM(G452:G467)</f>
        <v>418695.2</v>
      </c>
      <c r="H468" s="20"/>
      <c r="I468" s="22"/>
      <c r="J468" s="20"/>
      <c r="K468" s="12" t="str">
        <f t="shared" si="267"/>
        <v>2853_01_01_S1_EM01_01_M3</v>
      </c>
      <c r="L468" s="29">
        <f t="shared" si="257"/>
        <v>418695.2</v>
      </c>
    </row>
    <row r="469" spans="1:12" ht="39.75" customHeight="1" x14ac:dyDescent="0.25">
      <c r="A469" s="5" t="str">
        <f>D469</f>
        <v>ВЩоф (ВРУ1-ИНД тип3-00 ухл4) (S1)</v>
      </c>
      <c r="B469" s="6"/>
      <c r="C469" s="7"/>
      <c r="D469" s="6" t="s">
        <v>323</v>
      </c>
      <c r="E469" s="8"/>
      <c r="F469" s="8" t="s">
        <v>40</v>
      </c>
      <c r="G469" s="9"/>
      <c r="H469" s="10">
        <v>1</v>
      </c>
      <c r="I469" s="11" t="s">
        <v>7</v>
      </c>
      <c r="J469" s="6" t="s">
        <v>9</v>
      </c>
      <c r="K469" s="5" t="s">
        <v>196</v>
      </c>
    </row>
    <row r="470" spans="1:12" ht="21" customHeight="1" x14ac:dyDescent="0.25">
      <c r="A470" s="12" t="str">
        <f>A469</f>
        <v>ВЩоф (ВРУ1-ИНД тип3-00 ухл4) (S1)</v>
      </c>
      <c r="B470" s="13" t="s">
        <v>8</v>
      </c>
      <c r="C470" s="14" t="s">
        <v>461</v>
      </c>
      <c r="D470" s="12" t="s">
        <v>462</v>
      </c>
      <c r="E470" s="13">
        <v>140000</v>
      </c>
      <c r="F470" s="15">
        <f>E470*0.6</f>
        <v>84000</v>
      </c>
      <c r="G470" s="15">
        <f t="shared" ref="G470:G479" si="270">H470*F470</f>
        <v>84000</v>
      </c>
      <c r="H470" s="16">
        <v>1</v>
      </c>
      <c r="I470" s="17" t="s">
        <v>13</v>
      </c>
      <c r="J470" s="13" t="s">
        <v>16</v>
      </c>
      <c r="K470" s="12" t="str">
        <f>K469</f>
        <v>2853_01_01_S1_EM01_01_M3</v>
      </c>
      <c r="L470">
        <v>84000</v>
      </c>
    </row>
    <row r="471" spans="1:12" ht="21" customHeight="1" x14ac:dyDescent="0.25">
      <c r="A471" s="12" t="str">
        <f t="shared" ref="A471:A480" si="271">A470</f>
        <v>ВЩоф (ВРУ1-ИНД тип3-00 ухл4) (S1)</v>
      </c>
      <c r="B471" s="13" t="s">
        <v>25</v>
      </c>
      <c r="C471" s="14" t="s">
        <v>143</v>
      </c>
      <c r="D471" s="12" t="s">
        <v>144</v>
      </c>
      <c r="E471" s="13">
        <v>6018</v>
      </c>
      <c r="F471" s="15">
        <f>E471</f>
        <v>6018</v>
      </c>
      <c r="G471" s="15">
        <f t="shared" si="270"/>
        <v>18054</v>
      </c>
      <c r="H471" s="16">
        <v>3</v>
      </c>
      <c r="I471" s="17" t="s">
        <v>13</v>
      </c>
      <c r="J471" s="13" t="s">
        <v>24</v>
      </c>
      <c r="K471" s="12" t="str">
        <f t="shared" ref="K471:K480" si="272">K470</f>
        <v>2853_01_01_S1_EM01_01_M3</v>
      </c>
      <c r="L471">
        <v>18054</v>
      </c>
    </row>
    <row r="472" spans="1:12" ht="21" customHeight="1" x14ac:dyDescent="0.25">
      <c r="A472" s="12" t="str">
        <f t="shared" si="271"/>
        <v>ВЩоф (ВРУ1-ИНД тип3-00 ухл4) (S1)</v>
      </c>
      <c r="B472" s="13" t="s">
        <v>54</v>
      </c>
      <c r="C472" s="14" t="s">
        <v>477</v>
      </c>
      <c r="D472" s="12" t="s">
        <v>478</v>
      </c>
      <c r="E472" s="13">
        <v>36869</v>
      </c>
      <c r="F472" s="15">
        <f t="shared" ref="F472:F475" si="273">E472*0.6</f>
        <v>22121.399999999998</v>
      </c>
      <c r="G472" s="15">
        <f t="shared" si="270"/>
        <v>22121.399999999998</v>
      </c>
      <c r="H472" s="16">
        <v>1</v>
      </c>
      <c r="I472" s="17" t="s">
        <v>13</v>
      </c>
      <c r="J472" s="13" t="s">
        <v>17</v>
      </c>
      <c r="K472" s="12" t="str">
        <f t="shared" si="272"/>
        <v>2853_01_01_S1_EM01_01_M3</v>
      </c>
      <c r="L472">
        <v>22121.399999999998</v>
      </c>
    </row>
    <row r="473" spans="1:12" ht="21" customHeight="1" x14ac:dyDescent="0.25">
      <c r="A473" s="12" t="str">
        <f t="shared" si="271"/>
        <v>ВЩоф (ВРУ1-ИНД тип3-00 ухл4) (S1)</v>
      </c>
      <c r="B473" s="13" t="s">
        <v>30</v>
      </c>
      <c r="C473" s="14" t="s">
        <v>165</v>
      </c>
      <c r="D473" s="12" t="s">
        <v>166</v>
      </c>
      <c r="E473" s="13">
        <v>3317</v>
      </c>
      <c r="F473" s="15">
        <f t="shared" si="273"/>
        <v>1990.1999999999998</v>
      </c>
      <c r="G473" s="15">
        <f t="shared" si="270"/>
        <v>5970.5999999999995</v>
      </c>
      <c r="H473" s="16">
        <v>3</v>
      </c>
      <c r="I473" s="17" t="s">
        <v>13</v>
      </c>
      <c r="J473" s="13" t="s">
        <v>17</v>
      </c>
      <c r="K473" s="12" t="str">
        <f t="shared" si="272"/>
        <v>2853_01_01_S1_EM01_01_M3</v>
      </c>
      <c r="L473">
        <v>5970.5999999999995</v>
      </c>
    </row>
    <row r="474" spans="1:12" ht="21" customHeight="1" x14ac:dyDescent="0.25">
      <c r="A474" s="12" t="str">
        <f t="shared" si="271"/>
        <v>ВЩоф (ВРУ1-ИНД тип3-00 ухл4) (S1)</v>
      </c>
      <c r="B474" s="13" t="s">
        <v>30</v>
      </c>
      <c r="C474" s="14" t="s">
        <v>151</v>
      </c>
      <c r="D474" s="12" t="s">
        <v>152</v>
      </c>
      <c r="E474" s="13">
        <v>4750</v>
      </c>
      <c r="F474" s="15">
        <f t="shared" si="273"/>
        <v>2850</v>
      </c>
      <c r="G474" s="15">
        <f t="shared" si="270"/>
        <v>8550</v>
      </c>
      <c r="H474" s="16">
        <v>3</v>
      </c>
      <c r="I474" s="17" t="s">
        <v>13</v>
      </c>
      <c r="J474" s="13" t="s">
        <v>17</v>
      </c>
      <c r="K474" s="12" t="str">
        <f t="shared" si="272"/>
        <v>2853_01_01_S1_EM01_01_M3</v>
      </c>
      <c r="L474">
        <v>8550</v>
      </c>
    </row>
    <row r="475" spans="1:12" ht="21" customHeight="1" x14ac:dyDescent="0.25">
      <c r="A475" s="12" t="str">
        <f t="shared" si="271"/>
        <v>ВЩоф (ВРУ1-ИНД тип3-00 ухл4) (S1)</v>
      </c>
      <c r="B475" s="13" t="s">
        <v>12</v>
      </c>
      <c r="C475" s="14" t="s">
        <v>19</v>
      </c>
      <c r="D475" s="12" t="s">
        <v>20</v>
      </c>
      <c r="E475" s="13">
        <v>975</v>
      </c>
      <c r="F475" s="15">
        <f t="shared" si="273"/>
        <v>585</v>
      </c>
      <c r="G475" s="15">
        <f t="shared" si="270"/>
        <v>585</v>
      </c>
      <c r="H475" s="16">
        <v>1</v>
      </c>
      <c r="I475" s="17" t="s">
        <v>13</v>
      </c>
      <c r="J475" s="13" t="s">
        <v>17</v>
      </c>
      <c r="K475" s="12" t="str">
        <f t="shared" si="272"/>
        <v>2853_01_01_S1_EM01_01_M3</v>
      </c>
      <c r="L475">
        <v>585</v>
      </c>
    </row>
    <row r="476" spans="1:12" ht="22.5" customHeight="1" x14ac:dyDescent="0.25">
      <c r="A476" s="12" t="str">
        <f t="shared" si="271"/>
        <v>ВЩоф (ВРУ1-ИНД тип3-00 ухл4) (S1)</v>
      </c>
      <c r="B476" s="13" t="s">
        <v>18</v>
      </c>
      <c r="C476" s="14" t="s">
        <v>290</v>
      </c>
      <c r="D476" s="12" t="s">
        <v>291</v>
      </c>
      <c r="E476" s="13">
        <v>90000</v>
      </c>
      <c r="F476" s="15">
        <f t="shared" ref="F476:F477" si="274">E476</f>
        <v>90000</v>
      </c>
      <c r="G476" s="15">
        <f t="shared" si="270"/>
        <v>0</v>
      </c>
      <c r="H476" s="16">
        <v>0</v>
      </c>
      <c r="I476" s="17" t="s">
        <v>13</v>
      </c>
      <c r="J476" s="13" t="s">
        <v>24</v>
      </c>
      <c r="K476" s="12" t="str">
        <f t="shared" si="272"/>
        <v>2853_01_01_S1_EM01_01_M3</v>
      </c>
      <c r="L476">
        <v>0</v>
      </c>
    </row>
    <row r="477" spans="1:12" ht="21" customHeight="1" x14ac:dyDescent="0.25">
      <c r="A477" s="12" t="str">
        <f t="shared" si="271"/>
        <v>ВЩоф (ВРУ1-ИНД тип3-00 ухл4) (S1)</v>
      </c>
      <c r="B477" s="13" t="s">
        <v>28</v>
      </c>
      <c r="C477" s="14"/>
      <c r="D477" s="12" t="s">
        <v>28</v>
      </c>
      <c r="E477" s="13">
        <v>1000</v>
      </c>
      <c r="F477" s="15">
        <f t="shared" si="274"/>
        <v>1000</v>
      </c>
      <c r="G477" s="15">
        <f t="shared" si="270"/>
        <v>1000</v>
      </c>
      <c r="H477" s="16">
        <v>1</v>
      </c>
      <c r="I477" s="17" t="s">
        <v>13</v>
      </c>
      <c r="J477" s="13" t="s">
        <v>24</v>
      </c>
      <c r="K477" s="12" t="str">
        <f t="shared" si="272"/>
        <v>2853_01_01_S1_EM01_01_M3</v>
      </c>
      <c r="L477">
        <v>1000</v>
      </c>
    </row>
    <row r="478" spans="1:12" ht="24" customHeight="1" x14ac:dyDescent="0.25">
      <c r="A478" s="12" t="str">
        <f t="shared" si="271"/>
        <v>ВЩоф (ВРУ1-ИНД тип3-00 ухл4) (S1)</v>
      </c>
      <c r="B478" s="12" t="s">
        <v>10</v>
      </c>
      <c r="C478" s="18" t="s">
        <v>10</v>
      </c>
      <c r="D478" s="12" t="s">
        <v>10</v>
      </c>
      <c r="E478" s="12">
        <f ca="1">OFFSET(E478,1,2)</f>
        <v>24000</v>
      </c>
      <c r="F478" s="15">
        <f ca="1">E478</f>
        <v>24000</v>
      </c>
      <c r="G478" s="15">
        <f t="shared" ca="1" si="270"/>
        <v>24000</v>
      </c>
      <c r="H478" s="12">
        <v>1</v>
      </c>
      <c r="I478" s="12" t="s">
        <v>13</v>
      </c>
      <c r="J478" s="12" t="s">
        <v>10</v>
      </c>
      <c r="K478" s="12" t="str">
        <f t="shared" si="272"/>
        <v>2853_01_01_S1_EM01_01_M3</v>
      </c>
      <c r="L478">
        <v>24000</v>
      </c>
    </row>
    <row r="479" spans="1:12" ht="21" customHeight="1" x14ac:dyDescent="0.25">
      <c r="A479" s="12" t="str">
        <f t="shared" si="271"/>
        <v>ВЩоф (ВРУ1-ИНД тип3-00 ухл4) (S1)</v>
      </c>
      <c r="B479" s="12" t="s">
        <v>11</v>
      </c>
      <c r="C479" s="18" t="s">
        <v>11</v>
      </c>
      <c r="D479" s="12" t="s">
        <v>11</v>
      </c>
      <c r="E479" s="12">
        <v>4</v>
      </c>
      <c r="F479" s="15">
        <v>100</v>
      </c>
      <c r="G479" s="15">
        <f t="shared" si="270"/>
        <v>24000</v>
      </c>
      <c r="H479" s="12">
        <f>60*E479</f>
        <v>240</v>
      </c>
      <c r="I479" s="12" t="s">
        <v>13</v>
      </c>
      <c r="J479" s="12" t="s">
        <v>11</v>
      </c>
      <c r="K479" s="12" t="str">
        <f t="shared" si="272"/>
        <v>2853_01_01_S1_EM01_01_M3</v>
      </c>
      <c r="L479">
        <v>24000</v>
      </c>
    </row>
    <row r="480" spans="1:12" ht="30" customHeight="1" x14ac:dyDescent="0.25">
      <c r="A480" s="12" t="str">
        <f t="shared" si="271"/>
        <v>ВЩоф (ВРУ1-ИНД тип3-00 ухл4) (S1)</v>
      </c>
      <c r="B480" s="19"/>
      <c r="C480" s="20"/>
      <c r="D480" s="21"/>
      <c r="E480" s="23"/>
      <c r="F480" s="25"/>
      <c r="G480" s="24">
        <f ca="1">SUM(G470:G479)</f>
        <v>188281</v>
      </c>
      <c r="H480" s="20"/>
      <c r="I480" s="22"/>
      <c r="J480" s="20"/>
      <c r="K480" s="12" t="str">
        <f t="shared" si="272"/>
        <v>2853_01_01_S1_EM01_01_M3</v>
      </c>
      <c r="L480">
        <v>188281</v>
      </c>
    </row>
    <row r="481" spans="1:12" ht="39.75" customHeight="1" x14ac:dyDescent="0.25">
      <c r="A481" s="5" t="str">
        <f>D481</f>
        <v>РЩоф-1 (ВРУ1-50-00-ухл4) (S1)</v>
      </c>
      <c r="B481" s="6"/>
      <c r="C481" s="7"/>
      <c r="D481" s="6" t="s">
        <v>324</v>
      </c>
      <c r="E481" s="8"/>
      <c r="F481" s="8" t="s">
        <v>40</v>
      </c>
      <c r="G481" s="9"/>
      <c r="H481" s="10">
        <v>1</v>
      </c>
      <c r="I481" s="11" t="s">
        <v>7</v>
      </c>
      <c r="J481" s="6" t="s">
        <v>9</v>
      </c>
      <c r="K481" s="5" t="s">
        <v>196</v>
      </c>
    </row>
    <row r="482" spans="1:12" ht="21" customHeight="1" x14ac:dyDescent="0.25">
      <c r="A482" s="12" t="str">
        <f>A481</f>
        <v>РЩоф-1 (ВРУ1-50-00-ухл4) (S1)</v>
      </c>
      <c r="B482" s="13" t="s">
        <v>8</v>
      </c>
      <c r="C482" s="14" t="s">
        <v>461</v>
      </c>
      <c r="D482" s="12" t="s">
        <v>462</v>
      </c>
      <c r="E482" s="13">
        <v>140000</v>
      </c>
      <c r="F482" s="15">
        <f t="shared" ref="F482:F487" si="275">E482*0.6</f>
        <v>84000</v>
      </c>
      <c r="G482" s="15">
        <f t="shared" ref="G482:G489" si="276">H482*F482</f>
        <v>84000</v>
      </c>
      <c r="H482" s="16">
        <v>1</v>
      </c>
      <c r="I482" s="17" t="s">
        <v>13</v>
      </c>
      <c r="J482" s="13" t="s">
        <v>16</v>
      </c>
      <c r="K482" s="12" t="str">
        <f>K481</f>
        <v>2853_01_01_S1_EM01_01_M3</v>
      </c>
      <c r="L482">
        <v>84000</v>
      </c>
    </row>
    <row r="483" spans="1:12" ht="21" customHeight="1" x14ac:dyDescent="0.25">
      <c r="A483" s="12" t="str">
        <f t="shared" ref="A483:A490" si="277">A482</f>
        <v>РЩоф-1 (ВРУ1-50-00-ухл4) (S1)</v>
      </c>
      <c r="B483" s="13" t="s">
        <v>33</v>
      </c>
      <c r="C483" s="14" t="s">
        <v>22</v>
      </c>
      <c r="D483" s="12" t="s">
        <v>23</v>
      </c>
      <c r="E483" s="13">
        <v>19443</v>
      </c>
      <c r="F483" s="15">
        <f t="shared" si="275"/>
        <v>11665.8</v>
      </c>
      <c r="G483" s="15">
        <f t="shared" si="276"/>
        <v>11665.8</v>
      </c>
      <c r="H483" s="16">
        <v>1</v>
      </c>
      <c r="I483" s="17" t="s">
        <v>13</v>
      </c>
      <c r="J483" s="13" t="s">
        <v>17</v>
      </c>
      <c r="K483" s="12" t="str">
        <f t="shared" ref="K483:K490" si="278">K482</f>
        <v>2853_01_01_S1_EM01_01_M3</v>
      </c>
      <c r="L483">
        <v>11665.8</v>
      </c>
    </row>
    <row r="484" spans="1:12" ht="21" customHeight="1" x14ac:dyDescent="0.25">
      <c r="A484" s="12" t="str">
        <f t="shared" si="277"/>
        <v>РЩоф-1 (ВРУ1-50-00-ухл4) (S1)</v>
      </c>
      <c r="B484" s="13" t="s">
        <v>33</v>
      </c>
      <c r="C484" s="14" t="s">
        <v>167</v>
      </c>
      <c r="D484" s="12" t="s">
        <v>168</v>
      </c>
      <c r="E484" s="13">
        <v>18263</v>
      </c>
      <c r="F484" s="15">
        <f t="shared" si="275"/>
        <v>10957.8</v>
      </c>
      <c r="G484" s="15">
        <f t="shared" si="276"/>
        <v>10957.8</v>
      </c>
      <c r="H484" s="16">
        <v>1</v>
      </c>
      <c r="I484" s="17" t="s">
        <v>13</v>
      </c>
      <c r="J484" s="13" t="s">
        <v>17</v>
      </c>
      <c r="K484" s="12" t="str">
        <f t="shared" si="278"/>
        <v>2853_01_01_S1_EM01_01_M3</v>
      </c>
      <c r="L484">
        <v>10957.8</v>
      </c>
    </row>
    <row r="485" spans="1:12" ht="21" customHeight="1" x14ac:dyDescent="0.25">
      <c r="A485" s="12" t="str">
        <f t="shared" si="277"/>
        <v>РЩоф-1 (ВРУ1-50-00-ухл4) (S1)</v>
      </c>
      <c r="B485" s="13" t="s">
        <v>33</v>
      </c>
      <c r="C485" s="14" t="s">
        <v>137</v>
      </c>
      <c r="D485" s="12" t="s">
        <v>138</v>
      </c>
      <c r="E485" s="13">
        <v>19295</v>
      </c>
      <c r="F485" s="15">
        <f t="shared" si="275"/>
        <v>11577</v>
      </c>
      <c r="G485" s="15">
        <f t="shared" si="276"/>
        <v>34731</v>
      </c>
      <c r="H485" s="16">
        <v>3</v>
      </c>
      <c r="I485" s="17" t="s">
        <v>13</v>
      </c>
      <c r="J485" s="13" t="s">
        <v>17</v>
      </c>
      <c r="K485" s="12" t="str">
        <f t="shared" si="278"/>
        <v>2853_01_01_S1_EM01_01_M3</v>
      </c>
      <c r="L485">
        <v>34731</v>
      </c>
    </row>
    <row r="486" spans="1:12" ht="21" customHeight="1" x14ac:dyDescent="0.25">
      <c r="A486" s="12" t="str">
        <f t="shared" si="277"/>
        <v>РЩоф-1 (ВРУ1-50-00-ухл4) (S1)</v>
      </c>
      <c r="B486" s="13" t="s">
        <v>33</v>
      </c>
      <c r="C486" s="14" t="s">
        <v>169</v>
      </c>
      <c r="D486" s="12" t="s">
        <v>170</v>
      </c>
      <c r="E486" s="13">
        <v>20174</v>
      </c>
      <c r="F486" s="15">
        <f t="shared" si="275"/>
        <v>12104.4</v>
      </c>
      <c r="G486" s="15">
        <f t="shared" si="276"/>
        <v>12104.4</v>
      </c>
      <c r="H486" s="16">
        <v>1</v>
      </c>
      <c r="I486" s="17" t="s">
        <v>13</v>
      </c>
      <c r="J486" s="13" t="s">
        <v>17</v>
      </c>
      <c r="K486" s="12" t="str">
        <f t="shared" si="278"/>
        <v>2853_01_01_S1_EM01_01_M3</v>
      </c>
      <c r="L486">
        <v>12104.4</v>
      </c>
    </row>
    <row r="487" spans="1:12" ht="21" customHeight="1" x14ac:dyDescent="0.25">
      <c r="A487" s="12" t="str">
        <f t="shared" si="277"/>
        <v>РЩоф-1 (ВРУ1-50-00-ухл4) (S1)</v>
      </c>
      <c r="B487" s="13" t="s">
        <v>33</v>
      </c>
      <c r="C487" s="14" t="s">
        <v>157</v>
      </c>
      <c r="D487" s="12" t="s">
        <v>158</v>
      </c>
      <c r="E487" s="13">
        <v>19700</v>
      </c>
      <c r="F487" s="15">
        <f t="shared" si="275"/>
        <v>11820</v>
      </c>
      <c r="G487" s="15">
        <f t="shared" si="276"/>
        <v>11820</v>
      </c>
      <c r="H487" s="16">
        <v>1</v>
      </c>
      <c r="I487" s="17" t="s">
        <v>13</v>
      </c>
      <c r="J487" s="13" t="s">
        <v>17</v>
      </c>
      <c r="K487" s="12" t="str">
        <f t="shared" si="278"/>
        <v>2853_01_01_S1_EM01_01_M3</v>
      </c>
      <c r="L487">
        <v>11820</v>
      </c>
    </row>
    <row r="488" spans="1:12" ht="24" customHeight="1" x14ac:dyDescent="0.25">
      <c r="A488" s="12" t="str">
        <f t="shared" si="277"/>
        <v>РЩоф-1 (ВРУ1-50-00-ухл4) (S1)</v>
      </c>
      <c r="B488" s="12" t="s">
        <v>10</v>
      </c>
      <c r="C488" s="18" t="s">
        <v>10</v>
      </c>
      <c r="D488" s="12" t="s">
        <v>10</v>
      </c>
      <c r="E488" s="12">
        <f ca="1">OFFSET(E488,1,2)</f>
        <v>27000</v>
      </c>
      <c r="F488" s="15">
        <f ca="1">E488</f>
        <v>27000</v>
      </c>
      <c r="G488" s="15">
        <f t="shared" ca="1" si="276"/>
        <v>27000</v>
      </c>
      <c r="H488" s="12">
        <v>1</v>
      </c>
      <c r="I488" s="12" t="s">
        <v>13</v>
      </c>
      <c r="J488" s="12" t="s">
        <v>10</v>
      </c>
      <c r="K488" s="12" t="str">
        <f t="shared" si="278"/>
        <v>2853_01_01_S1_EM01_01_M3</v>
      </c>
      <c r="L488">
        <v>27000</v>
      </c>
    </row>
    <row r="489" spans="1:12" ht="21" customHeight="1" x14ac:dyDescent="0.25">
      <c r="A489" s="12" t="str">
        <f t="shared" si="277"/>
        <v>РЩоф-1 (ВРУ1-50-00-ухл4) (S1)</v>
      </c>
      <c r="B489" s="12" t="s">
        <v>11</v>
      </c>
      <c r="C489" s="18" t="s">
        <v>11</v>
      </c>
      <c r="D489" s="12" t="s">
        <v>11</v>
      </c>
      <c r="E489" s="12">
        <v>4.5</v>
      </c>
      <c r="F489" s="15">
        <v>100</v>
      </c>
      <c r="G489" s="15">
        <f t="shared" si="276"/>
        <v>27000</v>
      </c>
      <c r="H489" s="12">
        <f>60*E489</f>
        <v>270</v>
      </c>
      <c r="I489" s="12" t="s">
        <v>13</v>
      </c>
      <c r="J489" s="12" t="s">
        <v>11</v>
      </c>
      <c r="K489" s="12" t="str">
        <f t="shared" si="278"/>
        <v>2853_01_01_S1_EM01_01_M3</v>
      </c>
      <c r="L489">
        <v>27000</v>
      </c>
    </row>
    <row r="490" spans="1:12" ht="30" customHeight="1" x14ac:dyDescent="0.25">
      <c r="A490" s="12" t="str">
        <f t="shared" si="277"/>
        <v>РЩоф-1 (ВРУ1-50-00-ухл4) (S1)</v>
      </c>
      <c r="B490" s="19"/>
      <c r="C490" s="20"/>
      <c r="D490" s="21"/>
      <c r="E490" s="23"/>
      <c r="F490" s="25"/>
      <c r="G490" s="24">
        <f ca="1">SUM(G482:G489)</f>
        <v>219279</v>
      </c>
      <c r="H490" s="20"/>
      <c r="I490" s="22"/>
      <c r="J490" s="20"/>
      <c r="K490" s="12" t="str">
        <f t="shared" si="278"/>
        <v>2853_01_01_S1_EM01_01_M3</v>
      </c>
      <c r="L490">
        <v>219279</v>
      </c>
    </row>
    <row r="491" spans="1:12" ht="39.75" customHeight="1" x14ac:dyDescent="0.25">
      <c r="A491" s="5" t="str">
        <f>D491</f>
        <v>ЩМПоф.-2.1 (ЩМП-120.80.40 УХЛ1 IP66) (S1)</v>
      </c>
      <c r="B491" s="6"/>
      <c r="C491" s="7"/>
      <c r="D491" s="6" t="s">
        <v>325</v>
      </c>
      <c r="E491" s="8"/>
      <c r="F491" s="8" t="s">
        <v>40</v>
      </c>
      <c r="G491" s="9"/>
      <c r="H491" s="10">
        <v>1</v>
      </c>
      <c r="I491" s="11" t="s">
        <v>7</v>
      </c>
      <c r="J491" s="6" t="s">
        <v>9</v>
      </c>
      <c r="K491" s="5" t="s">
        <v>196</v>
      </c>
    </row>
    <row r="492" spans="1:12" ht="21" customHeight="1" x14ac:dyDescent="0.25">
      <c r="A492" s="12" t="str">
        <f>A491</f>
        <v>ЩМПоф.-2.1 (ЩМП-120.80.40 УХЛ1 IP66) (S1)</v>
      </c>
      <c r="B492" s="13" t="s">
        <v>8</v>
      </c>
      <c r="C492" s="14" t="s">
        <v>470</v>
      </c>
      <c r="D492" s="12" t="s">
        <v>458</v>
      </c>
      <c r="E492" s="13">
        <v>68500</v>
      </c>
      <c r="F492" s="15">
        <f>E492*0.6</f>
        <v>41100</v>
      </c>
      <c r="G492" s="15">
        <f t="shared" ref="G492:G503" si="279">H492*F492</f>
        <v>41100</v>
      </c>
      <c r="H492" s="16">
        <v>1</v>
      </c>
      <c r="I492" s="17" t="s">
        <v>13</v>
      </c>
      <c r="J492" s="13" t="s">
        <v>16</v>
      </c>
      <c r="K492" s="12" t="str">
        <f>K491</f>
        <v>2853_01_01_S1_EM01_01_M3</v>
      </c>
      <c r="L492">
        <v>41100</v>
      </c>
    </row>
    <row r="493" spans="1:12" ht="21" customHeight="1" x14ac:dyDescent="0.25">
      <c r="A493" s="12" t="str">
        <f t="shared" ref="A493" si="280">A492</f>
        <v>ЩМПоф.-2.1 (ЩМП-120.80.40 УХЛ1 IP66) (S1)</v>
      </c>
      <c r="B493" s="13" t="s">
        <v>25</v>
      </c>
      <c r="C493" s="14" t="s">
        <v>286</v>
      </c>
      <c r="D493" s="12" t="s">
        <v>287</v>
      </c>
      <c r="E493" s="13">
        <v>6018</v>
      </c>
      <c r="F493" s="15">
        <f>E493</f>
        <v>6018</v>
      </c>
      <c r="G493" s="15">
        <f t="shared" si="279"/>
        <v>18054</v>
      </c>
      <c r="H493" s="16">
        <v>3</v>
      </c>
      <c r="I493" s="17" t="s">
        <v>13</v>
      </c>
      <c r="J493" s="13" t="s">
        <v>24</v>
      </c>
      <c r="K493" s="12" t="str">
        <f t="shared" ref="K493" si="281">K492</f>
        <v>2853_01_01_S1_EM01_01_M3</v>
      </c>
      <c r="L493">
        <v>18054</v>
      </c>
    </row>
    <row r="494" spans="1:12" ht="21" customHeight="1" x14ac:dyDescent="0.25">
      <c r="A494" s="12" t="str">
        <f>A492</f>
        <v>ЩМПоф.-2.1 (ЩМП-120.80.40 УХЛ1 IP66) (S1)</v>
      </c>
      <c r="B494" s="13" t="s">
        <v>12</v>
      </c>
      <c r="C494" s="14" t="s">
        <v>27</v>
      </c>
      <c r="D494" s="12" t="s">
        <v>26</v>
      </c>
      <c r="E494" s="13">
        <v>2606</v>
      </c>
      <c r="F494" s="15">
        <f t="shared" ref="F494:F499" si="282">E494*0.6</f>
        <v>1563.6</v>
      </c>
      <c r="G494" s="15">
        <f t="shared" si="279"/>
        <v>1563.6</v>
      </c>
      <c r="H494" s="16">
        <v>1</v>
      </c>
      <c r="I494" s="17" t="s">
        <v>13</v>
      </c>
      <c r="J494" s="13" t="s">
        <v>17</v>
      </c>
      <c r="K494" s="12" t="str">
        <f>K492</f>
        <v>2853_01_01_S1_EM01_01_M3</v>
      </c>
      <c r="L494">
        <v>1563.6</v>
      </c>
    </row>
    <row r="495" spans="1:12" ht="21" customHeight="1" x14ac:dyDescent="0.25">
      <c r="A495" s="12" t="str">
        <f t="shared" ref="A495:A504" si="283">A494</f>
        <v>ЩМПоф.-2.1 (ЩМП-120.80.40 УХЛ1 IP66) (S1)</v>
      </c>
      <c r="B495" s="13" t="s">
        <v>12</v>
      </c>
      <c r="C495" s="14" t="s">
        <v>121</v>
      </c>
      <c r="D495" s="12" t="s">
        <v>122</v>
      </c>
      <c r="E495" s="13">
        <v>3172</v>
      </c>
      <c r="F495" s="15">
        <f t="shared" si="282"/>
        <v>1903.1999999999998</v>
      </c>
      <c r="G495" s="15">
        <f t="shared" si="279"/>
        <v>1903.1999999999998</v>
      </c>
      <c r="H495" s="16">
        <v>1</v>
      </c>
      <c r="I495" s="17" t="s">
        <v>13</v>
      </c>
      <c r="J495" s="13" t="s">
        <v>17</v>
      </c>
      <c r="K495" s="12" t="str">
        <f t="shared" ref="K495:K504" si="284">K494</f>
        <v>2853_01_01_S1_EM01_01_M3</v>
      </c>
      <c r="L495">
        <v>1903.1999999999998</v>
      </c>
    </row>
    <row r="496" spans="1:12" ht="21" customHeight="1" x14ac:dyDescent="0.25">
      <c r="A496" s="12" t="str">
        <f t="shared" si="283"/>
        <v>ЩМПоф.-2.1 (ЩМП-120.80.40 УХЛ1 IP66) (S1)</v>
      </c>
      <c r="B496" s="13" t="s">
        <v>12</v>
      </c>
      <c r="C496" s="14">
        <v>296831</v>
      </c>
      <c r="D496" s="12" t="s">
        <v>171</v>
      </c>
      <c r="E496" s="13">
        <v>2807</v>
      </c>
      <c r="F496" s="15">
        <f t="shared" si="282"/>
        <v>1684.2</v>
      </c>
      <c r="G496" s="15">
        <f t="shared" si="279"/>
        <v>1684.2</v>
      </c>
      <c r="H496" s="16">
        <v>1</v>
      </c>
      <c r="I496" s="17" t="s">
        <v>13</v>
      </c>
      <c r="J496" s="13" t="s">
        <v>17</v>
      </c>
      <c r="K496" s="12" t="str">
        <f t="shared" si="284"/>
        <v>2853_01_01_S1_EM01_01_M3</v>
      </c>
      <c r="L496">
        <v>1684.2</v>
      </c>
    </row>
    <row r="497" spans="1:12" ht="21" customHeight="1" x14ac:dyDescent="0.25">
      <c r="A497" s="12" t="str">
        <f>A495</f>
        <v>ЩМПоф.-2.1 (ЩМП-120.80.40 УХЛ1 IP66) (S1)</v>
      </c>
      <c r="B497" s="13" t="s">
        <v>54</v>
      </c>
      <c r="C497" s="14" t="s">
        <v>131</v>
      </c>
      <c r="D497" s="12" t="s">
        <v>132</v>
      </c>
      <c r="E497" s="13">
        <v>4334</v>
      </c>
      <c r="F497" s="15">
        <f t="shared" si="282"/>
        <v>2600.4</v>
      </c>
      <c r="G497" s="15">
        <f t="shared" si="279"/>
        <v>2600.4</v>
      </c>
      <c r="H497" s="16">
        <v>1</v>
      </c>
      <c r="I497" s="17" t="s">
        <v>13</v>
      </c>
      <c r="J497" s="13" t="s">
        <v>17</v>
      </c>
      <c r="K497" s="12" t="str">
        <f>K495</f>
        <v>2853_01_01_S1_EM01_01_M3</v>
      </c>
      <c r="L497">
        <v>2600.4</v>
      </c>
    </row>
    <row r="498" spans="1:12" ht="21" customHeight="1" x14ac:dyDescent="0.25">
      <c r="A498" s="12" t="str">
        <f>A496</f>
        <v>ЩМПоф.-2.1 (ЩМП-120.80.40 УХЛ1 IP66) (S1)</v>
      </c>
      <c r="B498" s="13" t="s">
        <v>54</v>
      </c>
      <c r="C498" s="14" t="s">
        <v>119</v>
      </c>
      <c r="D498" s="12" t="s">
        <v>120</v>
      </c>
      <c r="E498" s="13">
        <v>4217</v>
      </c>
      <c r="F498" s="15">
        <f t="shared" si="282"/>
        <v>2530.1999999999998</v>
      </c>
      <c r="G498" s="15">
        <f t="shared" si="279"/>
        <v>5060.3999999999996</v>
      </c>
      <c r="H498" s="16">
        <v>2</v>
      </c>
      <c r="I498" s="17" t="s">
        <v>13</v>
      </c>
      <c r="J498" s="13" t="s">
        <v>17</v>
      </c>
      <c r="K498" s="12" t="str">
        <f>K496</f>
        <v>2853_01_01_S1_EM01_01_M3</v>
      </c>
      <c r="L498">
        <v>5060.3999999999996</v>
      </c>
    </row>
    <row r="499" spans="1:12" ht="21" customHeight="1" x14ac:dyDescent="0.25">
      <c r="A499" s="12" t="str">
        <f t="shared" si="283"/>
        <v>ЩМПоф.-2.1 (ЩМП-120.80.40 УХЛ1 IP66) (S1)</v>
      </c>
      <c r="B499" s="13" t="s">
        <v>54</v>
      </c>
      <c r="C499" s="14" t="s">
        <v>127</v>
      </c>
      <c r="D499" s="12" t="s">
        <v>128</v>
      </c>
      <c r="E499" s="13">
        <v>3372</v>
      </c>
      <c r="F499" s="15">
        <f t="shared" si="282"/>
        <v>2023.1999999999998</v>
      </c>
      <c r="G499" s="15">
        <f t="shared" si="279"/>
        <v>2023.1999999999998</v>
      </c>
      <c r="H499" s="16">
        <v>1</v>
      </c>
      <c r="I499" s="17" t="s">
        <v>13</v>
      </c>
      <c r="J499" s="13" t="s">
        <v>17</v>
      </c>
      <c r="K499" s="12" t="str">
        <f t="shared" si="284"/>
        <v>2853_01_01_S1_EM01_01_M3</v>
      </c>
      <c r="L499">
        <v>2023.1999999999998</v>
      </c>
    </row>
    <row r="500" spans="1:12" ht="22.5" customHeight="1" x14ac:dyDescent="0.25">
      <c r="A500" s="12" t="str">
        <f t="shared" si="283"/>
        <v>ЩМПоф.-2.1 (ЩМП-120.80.40 УХЛ1 IP66) (S1)</v>
      </c>
      <c r="B500" s="13" t="s">
        <v>18</v>
      </c>
      <c r="C500" s="14" t="s">
        <v>290</v>
      </c>
      <c r="D500" s="12" t="s">
        <v>291</v>
      </c>
      <c r="E500" s="13">
        <v>90000</v>
      </c>
      <c r="F500" s="15">
        <f t="shared" ref="F500" si="285">E500</f>
        <v>90000</v>
      </c>
      <c r="G500" s="15">
        <f t="shared" si="279"/>
        <v>0</v>
      </c>
      <c r="H500" s="16">
        <v>0</v>
      </c>
      <c r="I500" s="17" t="s">
        <v>13</v>
      </c>
      <c r="J500" s="13" t="s">
        <v>24</v>
      </c>
      <c r="K500" s="12" t="str">
        <f t="shared" si="284"/>
        <v>2853_01_01_S1_EM01_01_M3</v>
      </c>
      <c r="L500">
        <v>0</v>
      </c>
    </row>
    <row r="501" spans="1:12" ht="22.5" customHeight="1" x14ac:dyDescent="0.25">
      <c r="A501" s="12" t="str">
        <f t="shared" ref="A501" si="286">A500</f>
        <v>ЩМПоф.-2.1 (ЩМП-120.80.40 УХЛ1 IP66) (S1)</v>
      </c>
      <c r="B501" s="13" t="s">
        <v>18</v>
      </c>
      <c r="C501" s="14" t="s">
        <v>292</v>
      </c>
      <c r="D501" s="12" t="s">
        <v>293</v>
      </c>
      <c r="E501" s="13">
        <v>90000</v>
      </c>
      <c r="F501" s="15">
        <f t="shared" ref="F501" si="287">E501</f>
        <v>90000</v>
      </c>
      <c r="G501" s="15">
        <f t="shared" si="279"/>
        <v>0</v>
      </c>
      <c r="H501" s="16">
        <v>0</v>
      </c>
      <c r="I501" s="17" t="s">
        <v>13</v>
      </c>
      <c r="J501" s="13" t="s">
        <v>24</v>
      </c>
      <c r="K501" s="12" t="str">
        <f t="shared" ref="K501" si="288">K500</f>
        <v>2853_01_01_S1_EM01_01_M3</v>
      </c>
      <c r="L501">
        <v>0</v>
      </c>
    </row>
    <row r="502" spans="1:12" ht="24" customHeight="1" x14ac:dyDescent="0.25">
      <c r="A502" s="12" t="str">
        <f>A499</f>
        <v>ЩМПоф.-2.1 (ЩМП-120.80.40 УХЛ1 IP66) (S1)</v>
      </c>
      <c r="B502" s="12" t="s">
        <v>10</v>
      </c>
      <c r="C502" s="18" t="s">
        <v>10</v>
      </c>
      <c r="D502" s="12" t="s">
        <v>10</v>
      </c>
      <c r="E502" s="12">
        <f ca="1">OFFSET(E502,1,2)</f>
        <v>24000</v>
      </c>
      <c r="F502" s="15">
        <f ca="1">E502</f>
        <v>24000</v>
      </c>
      <c r="G502" s="15">
        <f t="shared" ca="1" si="279"/>
        <v>24000</v>
      </c>
      <c r="H502" s="12">
        <v>1</v>
      </c>
      <c r="I502" s="12" t="s">
        <v>13</v>
      </c>
      <c r="J502" s="12" t="s">
        <v>10</v>
      </c>
      <c r="K502" s="12" t="str">
        <f>K499</f>
        <v>2853_01_01_S1_EM01_01_M3</v>
      </c>
      <c r="L502">
        <v>24000</v>
      </c>
    </row>
    <row r="503" spans="1:12" ht="21" customHeight="1" x14ac:dyDescent="0.25">
      <c r="A503" s="12" t="str">
        <f t="shared" si="283"/>
        <v>ЩМПоф.-2.1 (ЩМП-120.80.40 УХЛ1 IP66) (S1)</v>
      </c>
      <c r="B503" s="12" t="s">
        <v>11</v>
      </c>
      <c r="C503" s="18" t="s">
        <v>11</v>
      </c>
      <c r="D503" s="12" t="s">
        <v>11</v>
      </c>
      <c r="E503" s="12">
        <v>4</v>
      </c>
      <c r="F503" s="15">
        <v>100</v>
      </c>
      <c r="G503" s="15">
        <f t="shared" si="279"/>
        <v>24000</v>
      </c>
      <c r="H503" s="12">
        <f>60*E503</f>
        <v>240</v>
      </c>
      <c r="I503" s="12" t="s">
        <v>13</v>
      </c>
      <c r="J503" s="12" t="s">
        <v>11</v>
      </c>
      <c r="K503" s="12" t="str">
        <f t="shared" si="284"/>
        <v>2853_01_01_S1_EM01_01_M3</v>
      </c>
      <c r="L503">
        <v>24000</v>
      </c>
    </row>
    <row r="504" spans="1:12" ht="30" customHeight="1" x14ac:dyDescent="0.25">
      <c r="A504" s="12" t="str">
        <f t="shared" si="283"/>
        <v>ЩМПоф.-2.1 (ЩМП-120.80.40 УХЛ1 IP66) (S1)</v>
      </c>
      <c r="B504" s="19"/>
      <c r="C504" s="20"/>
      <c r="D504" s="21"/>
      <c r="E504" s="23"/>
      <c r="F504" s="25"/>
      <c r="G504" s="24">
        <f ca="1">SUM(G492:G503)</f>
        <v>121988.99999999999</v>
      </c>
      <c r="H504" s="20"/>
      <c r="I504" s="22"/>
      <c r="J504" s="20"/>
      <c r="K504" s="12" t="str">
        <f t="shared" si="284"/>
        <v>2853_01_01_S1_EM01_01_M3</v>
      </c>
      <c r="L504">
        <v>121988.99999999999</v>
      </c>
    </row>
    <row r="505" spans="1:12" ht="39.75" customHeight="1" x14ac:dyDescent="0.25">
      <c r="A505" s="5" t="str">
        <f>D505</f>
        <v>ЩМПоф.-1.1 (ЩМП-120.80.40 УХЛ1 IP66) (S1)</v>
      </c>
      <c r="B505" s="6"/>
      <c r="C505" s="7"/>
      <c r="D505" s="6" t="s">
        <v>326</v>
      </c>
      <c r="E505" s="8"/>
      <c r="F505" s="8" t="s">
        <v>40</v>
      </c>
      <c r="G505" s="9"/>
      <c r="H505" s="10">
        <v>1</v>
      </c>
      <c r="I505" s="11" t="s">
        <v>7</v>
      </c>
      <c r="J505" s="6" t="s">
        <v>9</v>
      </c>
      <c r="K505" s="5" t="s">
        <v>196</v>
      </c>
    </row>
    <row r="506" spans="1:12" ht="21" customHeight="1" x14ac:dyDescent="0.25">
      <c r="A506" s="12" t="str">
        <f>A505</f>
        <v>ЩМПоф.-1.1 (ЩМП-120.80.40 УХЛ1 IP66) (S1)</v>
      </c>
      <c r="B506" s="13" t="s">
        <v>8</v>
      </c>
      <c r="C506" s="14" t="s">
        <v>470</v>
      </c>
      <c r="D506" s="12" t="s">
        <v>458</v>
      </c>
      <c r="E506" s="13">
        <v>68500</v>
      </c>
      <c r="F506" s="15">
        <f t="shared" ref="F506:F511" si="289">E506*0.6</f>
        <v>41100</v>
      </c>
      <c r="G506" s="15">
        <f t="shared" ref="G506:G514" si="290">H506*F506</f>
        <v>41100</v>
      </c>
      <c r="H506" s="16">
        <v>1</v>
      </c>
      <c r="I506" s="17" t="s">
        <v>13</v>
      </c>
      <c r="J506" s="13" t="s">
        <v>16</v>
      </c>
      <c r="K506" s="12" t="str">
        <f>K505</f>
        <v>2853_01_01_S1_EM01_01_M3</v>
      </c>
      <c r="L506">
        <v>41100</v>
      </c>
    </row>
    <row r="507" spans="1:12" ht="21" customHeight="1" x14ac:dyDescent="0.25">
      <c r="A507" s="12" t="str">
        <f t="shared" ref="A507:A515" si="291">A506</f>
        <v>ЩМПоф.-1.1 (ЩМП-120.80.40 УХЛ1 IP66) (S1)</v>
      </c>
      <c r="B507" s="13" t="s">
        <v>12</v>
      </c>
      <c r="C507" s="14" t="s">
        <v>159</v>
      </c>
      <c r="D507" s="12" t="s">
        <v>160</v>
      </c>
      <c r="E507" s="13">
        <v>2429</v>
      </c>
      <c r="F507" s="15">
        <f t="shared" si="289"/>
        <v>1457.3999999999999</v>
      </c>
      <c r="G507" s="15">
        <f t="shared" si="290"/>
        <v>1457.3999999999999</v>
      </c>
      <c r="H507" s="16">
        <v>1</v>
      </c>
      <c r="I507" s="17" t="s">
        <v>13</v>
      </c>
      <c r="J507" s="13" t="s">
        <v>17</v>
      </c>
      <c r="K507" s="12" t="str">
        <f t="shared" ref="K507:K515" si="292">K506</f>
        <v>2853_01_01_S1_EM01_01_M3</v>
      </c>
      <c r="L507">
        <v>1457.3999999999999</v>
      </c>
    </row>
    <row r="508" spans="1:12" ht="21" customHeight="1" x14ac:dyDescent="0.25">
      <c r="A508" s="12" t="str">
        <f t="shared" si="291"/>
        <v>ЩМПоф.-1.1 (ЩМП-120.80.40 УХЛ1 IP66) (S1)</v>
      </c>
      <c r="B508" s="13" t="s">
        <v>12</v>
      </c>
      <c r="C508" s="14" t="s">
        <v>121</v>
      </c>
      <c r="D508" s="12" t="s">
        <v>122</v>
      </c>
      <c r="E508" s="13">
        <v>3172</v>
      </c>
      <c r="F508" s="15">
        <f t="shared" si="289"/>
        <v>1903.1999999999998</v>
      </c>
      <c r="G508" s="15">
        <f t="shared" si="290"/>
        <v>1903.1999999999998</v>
      </c>
      <c r="H508" s="16">
        <v>1</v>
      </c>
      <c r="I508" s="17" t="s">
        <v>13</v>
      </c>
      <c r="J508" s="13" t="s">
        <v>17</v>
      </c>
      <c r="K508" s="12" t="str">
        <f t="shared" si="292"/>
        <v>2853_01_01_S1_EM01_01_M3</v>
      </c>
      <c r="L508">
        <v>1903.1999999999998</v>
      </c>
    </row>
    <row r="509" spans="1:12" ht="21" customHeight="1" x14ac:dyDescent="0.25">
      <c r="A509" s="12" t="str">
        <f t="shared" si="291"/>
        <v>ЩМПоф.-1.1 (ЩМП-120.80.40 УХЛ1 IP66) (S1)</v>
      </c>
      <c r="B509" s="13" t="s">
        <v>12</v>
      </c>
      <c r="C509" s="14">
        <v>296831</v>
      </c>
      <c r="D509" s="12" t="s">
        <v>171</v>
      </c>
      <c r="E509" s="13">
        <v>2807</v>
      </c>
      <c r="F509" s="15">
        <f t="shared" si="289"/>
        <v>1684.2</v>
      </c>
      <c r="G509" s="15">
        <f t="shared" si="290"/>
        <v>1684.2</v>
      </c>
      <c r="H509" s="16">
        <v>1</v>
      </c>
      <c r="I509" s="17" t="s">
        <v>13</v>
      </c>
      <c r="J509" s="13" t="s">
        <v>17</v>
      </c>
      <c r="K509" s="12" t="str">
        <f t="shared" si="292"/>
        <v>2853_01_01_S1_EM01_01_M3</v>
      </c>
      <c r="L509">
        <v>1684.2</v>
      </c>
    </row>
    <row r="510" spans="1:12" ht="21" customHeight="1" x14ac:dyDescent="0.25">
      <c r="A510" s="12" t="str">
        <f t="shared" si="291"/>
        <v>ЩМПоф.-1.1 (ЩМП-120.80.40 УХЛ1 IP66) (S1)</v>
      </c>
      <c r="B510" s="13" t="s">
        <v>54</v>
      </c>
      <c r="C510" s="14" t="s">
        <v>119</v>
      </c>
      <c r="D510" s="12" t="s">
        <v>120</v>
      </c>
      <c r="E510" s="13">
        <v>4217</v>
      </c>
      <c r="F510" s="15">
        <f t="shared" si="289"/>
        <v>2530.1999999999998</v>
      </c>
      <c r="G510" s="15">
        <f t="shared" si="290"/>
        <v>5060.3999999999996</v>
      </c>
      <c r="H510" s="16">
        <v>2</v>
      </c>
      <c r="I510" s="17" t="s">
        <v>13</v>
      </c>
      <c r="J510" s="13" t="s">
        <v>17</v>
      </c>
      <c r="K510" s="12" t="str">
        <f t="shared" si="292"/>
        <v>2853_01_01_S1_EM01_01_M3</v>
      </c>
      <c r="L510">
        <v>5060.3999999999996</v>
      </c>
    </row>
    <row r="511" spans="1:12" ht="21" customHeight="1" x14ac:dyDescent="0.25">
      <c r="A511" s="12" t="str">
        <f t="shared" si="291"/>
        <v>ЩМПоф.-1.1 (ЩМП-120.80.40 УХЛ1 IP66) (S1)</v>
      </c>
      <c r="B511" s="13" t="s">
        <v>54</v>
      </c>
      <c r="C511" s="14" t="s">
        <v>57</v>
      </c>
      <c r="D511" s="12" t="s">
        <v>58</v>
      </c>
      <c r="E511" s="13">
        <v>3372</v>
      </c>
      <c r="F511" s="15">
        <f t="shared" si="289"/>
        <v>2023.1999999999998</v>
      </c>
      <c r="G511" s="15">
        <f t="shared" si="290"/>
        <v>2023.1999999999998</v>
      </c>
      <c r="H511" s="16">
        <v>1</v>
      </c>
      <c r="I511" s="17" t="s">
        <v>13</v>
      </c>
      <c r="J511" s="13" t="s">
        <v>17</v>
      </c>
      <c r="K511" s="12" t="str">
        <f t="shared" si="292"/>
        <v>2853_01_01_S1_EM01_01_M3</v>
      </c>
      <c r="L511">
        <v>2023.1999999999998</v>
      </c>
    </row>
    <row r="512" spans="1:12" ht="22.5" customHeight="1" x14ac:dyDescent="0.25">
      <c r="A512" s="12" t="str">
        <f t="shared" si="291"/>
        <v>ЩМПоф.-1.1 (ЩМП-120.80.40 УХЛ1 IP66) (S1)</v>
      </c>
      <c r="B512" s="13" t="s">
        <v>18</v>
      </c>
      <c r="C512" s="14" t="s">
        <v>292</v>
      </c>
      <c r="D512" s="12" t="s">
        <v>293</v>
      </c>
      <c r="E512" s="13">
        <v>90000</v>
      </c>
      <c r="F512" s="15">
        <f t="shared" ref="F512" si="293">E512</f>
        <v>90000</v>
      </c>
      <c r="G512" s="15">
        <f t="shared" si="290"/>
        <v>0</v>
      </c>
      <c r="H512" s="16">
        <v>0</v>
      </c>
      <c r="I512" s="17" t="s">
        <v>13</v>
      </c>
      <c r="J512" s="13" t="s">
        <v>24</v>
      </c>
      <c r="K512" s="12" t="str">
        <f t="shared" si="292"/>
        <v>2853_01_01_S1_EM01_01_M3</v>
      </c>
      <c r="L512">
        <v>0</v>
      </c>
    </row>
    <row r="513" spans="1:12" ht="24" customHeight="1" x14ac:dyDescent="0.25">
      <c r="A513" s="12" t="str">
        <f t="shared" si="291"/>
        <v>ЩМПоф.-1.1 (ЩМП-120.80.40 УХЛ1 IP66) (S1)</v>
      </c>
      <c r="B513" s="12" t="s">
        <v>10</v>
      </c>
      <c r="C513" s="18" t="s">
        <v>10</v>
      </c>
      <c r="D513" s="12" t="s">
        <v>10</v>
      </c>
      <c r="E513" s="12">
        <f ca="1">OFFSET(E513,1,2)</f>
        <v>36000</v>
      </c>
      <c r="F513" s="15">
        <f ca="1">E513</f>
        <v>36000</v>
      </c>
      <c r="G513" s="15">
        <f t="shared" ca="1" si="290"/>
        <v>36000</v>
      </c>
      <c r="H513" s="12">
        <v>1</v>
      </c>
      <c r="I513" s="12" t="s">
        <v>13</v>
      </c>
      <c r="J513" s="12" t="s">
        <v>10</v>
      </c>
      <c r="K513" s="12" t="str">
        <f t="shared" si="292"/>
        <v>2853_01_01_S1_EM01_01_M3</v>
      </c>
      <c r="L513">
        <v>36000</v>
      </c>
    </row>
    <row r="514" spans="1:12" ht="21" customHeight="1" x14ac:dyDescent="0.25">
      <c r="A514" s="12" t="str">
        <f t="shared" si="291"/>
        <v>ЩМПоф.-1.1 (ЩМП-120.80.40 УХЛ1 IP66) (S1)</v>
      </c>
      <c r="B514" s="12" t="s">
        <v>11</v>
      </c>
      <c r="C514" s="18" t="s">
        <v>11</v>
      </c>
      <c r="D514" s="12" t="s">
        <v>11</v>
      </c>
      <c r="E514" s="12">
        <v>6</v>
      </c>
      <c r="F514" s="15">
        <v>100</v>
      </c>
      <c r="G514" s="15">
        <f t="shared" si="290"/>
        <v>36000</v>
      </c>
      <c r="H514" s="12">
        <f>60*E514</f>
        <v>360</v>
      </c>
      <c r="I514" s="12" t="s">
        <v>13</v>
      </c>
      <c r="J514" s="12" t="s">
        <v>11</v>
      </c>
      <c r="K514" s="12" t="str">
        <f t="shared" si="292"/>
        <v>2853_01_01_S1_EM01_01_M3</v>
      </c>
      <c r="L514">
        <v>36000</v>
      </c>
    </row>
    <row r="515" spans="1:12" ht="30" customHeight="1" x14ac:dyDescent="0.25">
      <c r="A515" s="12" t="str">
        <f t="shared" si="291"/>
        <v>ЩМПоф.-1.1 (ЩМП-120.80.40 УХЛ1 IP66) (S1)</v>
      </c>
      <c r="B515" s="19"/>
      <c r="C515" s="20"/>
      <c r="D515" s="21"/>
      <c r="E515" s="23"/>
      <c r="F515" s="25"/>
      <c r="G515" s="24">
        <f ca="1">SUM(G506:G514)</f>
        <v>125228.4</v>
      </c>
      <c r="H515" s="20"/>
      <c r="I515" s="22"/>
      <c r="J515" s="20"/>
      <c r="K515" s="12" t="str">
        <f t="shared" si="292"/>
        <v>2853_01_01_S1_EM01_01_M3</v>
      </c>
      <c r="L515">
        <v>125228.4</v>
      </c>
    </row>
    <row r="516" spans="1:12" ht="39.75" customHeight="1" x14ac:dyDescent="0.25">
      <c r="A516" s="5" t="str">
        <f>D516</f>
        <v>ВЩоф2 (ВРУ1-ИНД тип3-00 ухл4) (S1)</v>
      </c>
      <c r="B516" s="6"/>
      <c r="C516" s="7"/>
      <c r="D516" s="6" t="s">
        <v>327</v>
      </c>
      <c r="E516" s="8"/>
      <c r="F516" s="8" t="s">
        <v>40</v>
      </c>
      <c r="G516" s="9"/>
      <c r="H516" s="10">
        <v>1</v>
      </c>
      <c r="I516" s="11" t="s">
        <v>7</v>
      </c>
      <c r="J516" s="6" t="s">
        <v>9</v>
      </c>
      <c r="K516" s="5" t="s">
        <v>196</v>
      </c>
    </row>
    <row r="517" spans="1:12" ht="21" customHeight="1" x14ac:dyDescent="0.25">
      <c r="A517" s="12" t="str">
        <f>A516</f>
        <v>ВЩоф2 (ВРУ1-ИНД тип3-00 ухл4) (S1)</v>
      </c>
      <c r="B517" s="13" t="s">
        <v>8</v>
      </c>
      <c r="C517" s="14" t="s">
        <v>38</v>
      </c>
      <c r="D517" s="12" t="s">
        <v>39</v>
      </c>
      <c r="E517" s="13">
        <v>155000</v>
      </c>
      <c r="F517" s="15">
        <f>E517*0.6</f>
        <v>93000</v>
      </c>
      <c r="G517" s="15">
        <f t="shared" ref="G517:G526" si="294">H517*F517</f>
        <v>93000</v>
      </c>
      <c r="H517" s="16">
        <v>1</v>
      </c>
      <c r="I517" s="17" t="s">
        <v>13</v>
      </c>
      <c r="J517" s="13" t="s">
        <v>16</v>
      </c>
      <c r="K517" s="12" t="str">
        <f>K516</f>
        <v>2853_01_01_S1_EM01_01_M3</v>
      </c>
      <c r="L517">
        <v>93000</v>
      </c>
    </row>
    <row r="518" spans="1:12" ht="21" customHeight="1" x14ac:dyDescent="0.25">
      <c r="A518" s="12" t="str">
        <f t="shared" ref="A518:A527" si="295">A517</f>
        <v>ВЩоф2 (ВРУ1-ИНД тип3-00 ухл4) (S1)</v>
      </c>
      <c r="B518" s="13" t="s">
        <v>25</v>
      </c>
      <c r="C518" s="14" t="s">
        <v>172</v>
      </c>
      <c r="D518" s="12" t="s">
        <v>173</v>
      </c>
      <c r="E518" s="13">
        <v>5523</v>
      </c>
      <c r="F518" s="15">
        <f>E518</f>
        <v>5523</v>
      </c>
      <c r="G518" s="15">
        <f t="shared" si="294"/>
        <v>16569</v>
      </c>
      <c r="H518" s="16">
        <v>3</v>
      </c>
      <c r="I518" s="17" t="s">
        <v>13</v>
      </c>
      <c r="J518" s="13" t="s">
        <v>24</v>
      </c>
      <c r="K518" s="12" t="str">
        <f t="shared" ref="K518:K527" si="296">K517</f>
        <v>2853_01_01_S1_EM01_01_M3</v>
      </c>
      <c r="L518">
        <v>16569</v>
      </c>
    </row>
    <row r="519" spans="1:12" ht="21" customHeight="1" x14ac:dyDescent="0.25">
      <c r="A519" s="12" t="str">
        <f t="shared" si="295"/>
        <v>ВЩоф2 (ВРУ1-ИНД тип3-00 ухл4) (S1)</v>
      </c>
      <c r="B519" s="13" t="s">
        <v>54</v>
      </c>
      <c r="C519" s="14" t="s">
        <v>479</v>
      </c>
      <c r="D519" s="12" t="s">
        <v>480</v>
      </c>
      <c r="E519" s="13">
        <v>90421</v>
      </c>
      <c r="F519" s="15">
        <f t="shared" ref="F519:F522" si="297">E519*0.6</f>
        <v>54252.6</v>
      </c>
      <c r="G519" s="15">
        <f t="shared" si="294"/>
        <v>54252.6</v>
      </c>
      <c r="H519" s="16">
        <v>1</v>
      </c>
      <c r="I519" s="17" t="s">
        <v>13</v>
      </c>
      <c r="J519" s="13" t="s">
        <v>17</v>
      </c>
      <c r="K519" s="12" t="str">
        <f t="shared" si="296"/>
        <v>2853_01_01_S1_EM01_01_M3</v>
      </c>
      <c r="L519">
        <v>54252.6</v>
      </c>
    </row>
    <row r="520" spans="1:12" ht="21" customHeight="1" x14ac:dyDescent="0.25">
      <c r="A520" s="12" t="str">
        <f t="shared" si="295"/>
        <v>ВЩоф2 (ВРУ1-ИНД тип3-00 ухл4) (S1)</v>
      </c>
      <c r="B520" s="13" t="s">
        <v>30</v>
      </c>
      <c r="C520" s="14" t="s">
        <v>84</v>
      </c>
      <c r="D520" s="12" t="s">
        <v>85</v>
      </c>
      <c r="E520" s="13">
        <v>4969</v>
      </c>
      <c r="F520" s="15">
        <f t="shared" si="297"/>
        <v>2981.4</v>
      </c>
      <c r="G520" s="15">
        <f t="shared" si="294"/>
        <v>8944.2000000000007</v>
      </c>
      <c r="H520" s="16">
        <v>3</v>
      </c>
      <c r="I520" s="17" t="s">
        <v>13</v>
      </c>
      <c r="J520" s="13" t="s">
        <v>17</v>
      </c>
      <c r="K520" s="12" t="str">
        <f t="shared" si="296"/>
        <v>2853_01_01_S1_EM01_01_M3</v>
      </c>
      <c r="L520">
        <v>8944.2000000000007</v>
      </c>
    </row>
    <row r="521" spans="1:12" ht="21" customHeight="1" x14ac:dyDescent="0.25">
      <c r="A521" s="12" t="str">
        <f t="shared" si="295"/>
        <v>ВЩоф2 (ВРУ1-ИНД тип3-00 ухл4) (S1)</v>
      </c>
      <c r="B521" s="13" t="s">
        <v>30</v>
      </c>
      <c r="C521" s="14" t="s">
        <v>86</v>
      </c>
      <c r="D521" s="12" t="s">
        <v>87</v>
      </c>
      <c r="E521" s="13">
        <v>7443</v>
      </c>
      <c r="F521" s="15">
        <f t="shared" si="297"/>
        <v>4465.8</v>
      </c>
      <c r="G521" s="15">
        <f t="shared" si="294"/>
        <v>13397.400000000001</v>
      </c>
      <c r="H521" s="16">
        <v>3</v>
      </c>
      <c r="I521" s="17" t="s">
        <v>13</v>
      </c>
      <c r="J521" s="13" t="s">
        <v>17</v>
      </c>
      <c r="K521" s="12" t="str">
        <f t="shared" si="296"/>
        <v>2853_01_01_S1_EM01_01_M3</v>
      </c>
      <c r="L521">
        <v>13397.400000000001</v>
      </c>
    </row>
    <row r="522" spans="1:12" ht="21" customHeight="1" x14ac:dyDescent="0.25">
      <c r="A522" s="12" t="str">
        <f t="shared" si="295"/>
        <v>ВЩоф2 (ВРУ1-ИНД тип3-00 ухл4) (S1)</v>
      </c>
      <c r="B522" s="13" t="s">
        <v>12</v>
      </c>
      <c r="C522" s="14" t="s">
        <v>19</v>
      </c>
      <c r="D522" s="12" t="s">
        <v>20</v>
      </c>
      <c r="E522" s="13">
        <v>975</v>
      </c>
      <c r="F522" s="15">
        <f t="shared" si="297"/>
        <v>585</v>
      </c>
      <c r="G522" s="15">
        <f t="shared" si="294"/>
        <v>585</v>
      </c>
      <c r="H522" s="16">
        <v>1</v>
      </c>
      <c r="I522" s="17" t="s">
        <v>13</v>
      </c>
      <c r="J522" s="13" t="s">
        <v>17</v>
      </c>
      <c r="K522" s="12" t="str">
        <f t="shared" si="296"/>
        <v>2853_01_01_S1_EM01_01_M3</v>
      </c>
      <c r="L522">
        <v>585</v>
      </c>
    </row>
    <row r="523" spans="1:12" ht="22.5" customHeight="1" x14ac:dyDescent="0.25">
      <c r="A523" s="12" t="str">
        <f t="shared" si="295"/>
        <v>ВЩоф2 (ВРУ1-ИНД тип3-00 ухл4) (S1)</v>
      </c>
      <c r="B523" s="13" t="s">
        <v>18</v>
      </c>
      <c r="C523" s="14" t="s">
        <v>290</v>
      </c>
      <c r="D523" s="12" t="s">
        <v>291</v>
      </c>
      <c r="E523" s="13">
        <v>90000</v>
      </c>
      <c r="F523" s="15">
        <f t="shared" ref="F523:F524" si="298">E523</f>
        <v>90000</v>
      </c>
      <c r="G523" s="15">
        <f t="shared" si="294"/>
        <v>0</v>
      </c>
      <c r="H523" s="16">
        <v>0</v>
      </c>
      <c r="I523" s="17" t="s">
        <v>13</v>
      </c>
      <c r="J523" s="13" t="s">
        <v>24</v>
      </c>
      <c r="K523" s="12" t="str">
        <f t="shared" si="296"/>
        <v>2853_01_01_S1_EM01_01_M3</v>
      </c>
      <c r="L523">
        <v>0</v>
      </c>
    </row>
    <row r="524" spans="1:12" ht="21" customHeight="1" x14ac:dyDescent="0.25">
      <c r="A524" s="12" t="str">
        <f t="shared" si="295"/>
        <v>ВЩоф2 (ВРУ1-ИНД тип3-00 ухл4) (S1)</v>
      </c>
      <c r="B524" s="13" t="s">
        <v>28</v>
      </c>
      <c r="C524" s="14"/>
      <c r="D524" s="12" t="s">
        <v>28</v>
      </c>
      <c r="E524" s="13">
        <v>1000</v>
      </c>
      <c r="F524" s="15">
        <f t="shared" si="298"/>
        <v>1000</v>
      </c>
      <c r="G524" s="15">
        <f t="shared" si="294"/>
        <v>1000</v>
      </c>
      <c r="H524" s="16">
        <v>1</v>
      </c>
      <c r="I524" s="17" t="s">
        <v>13</v>
      </c>
      <c r="J524" s="13" t="s">
        <v>24</v>
      </c>
      <c r="K524" s="12" t="str">
        <f t="shared" si="296"/>
        <v>2853_01_01_S1_EM01_01_M3</v>
      </c>
      <c r="L524">
        <v>1000</v>
      </c>
    </row>
    <row r="525" spans="1:12" ht="24" customHeight="1" x14ac:dyDescent="0.25">
      <c r="A525" s="12" t="str">
        <f t="shared" si="295"/>
        <v>ВЩоф2 (ВРУ1-ИНД тип3-00 ухл4) (S1)</v>
      </c>
      <c r="B525" s="12" t="s">
        <v>10</v>
      </c>
      <c r="C525" s="18" t="s">
        <v>10</v>
      </c>
      <c r="D525" s="12" t="s">
        <v>10</v>
      </c>
      <c r="E525" s="12">
        <f ca="1">OFFSET(E525,1,2)</f>
        <v>48000</v>
      </c>
      <c r="F525" s="15">
        <f ca="1">E525</f>
        <v>48000</v>
      </c>
      <c r="G525" s="15">
        <f t="shared" ca="1" si="294"/>
        <v>48000</v>
      </c>
      <c r="H525" s="12">
        <v>1</v>
      </c>
      <c r="I525" s="12" t="s">
        <v>13</v>
      </c>
      <c r="J525" s="12" t="s">
        <v>10</v>
      </c>
      <c r="K525" s="12" t="str">
        <f t="shared" si="296"/>
        <v>2853_01_01_S1_EM01_01_M3</v>
      </c>
      <c r="L525">
        <v>48000</v>
      </c>
    </row>
    <row r="526" spans="1:12" ht="21" customHeight="1" x14ac:dyDescent="0.25">
      <c r="A526" s="12" t="str">
        <f t="shared" si="295"/>
        <v>ВЩоф2 (ВРУ1-ИНД тип3-00 ухл4) (S1)</v>
      </c>
      <c r="B526" s="12" t="s">
        <v>11</v>
      </c>
      <c r="C526" s="18" t="s">
        <v>11</v>
      </c>
      <c r="D526" s="12" t="s">
        <v>11</v>
      </c>
      <c r="E526" s="12">
        <v>8</v>
      </c>
      <c r="F526" s="15">
        <v>100</v>
      </c>
      <c r="G526" s="15">
        <f t="shared" si="294"/>
        <v>48000</v>
      </c>
      <c r="H526" s="12">
        <f>60*E526</f>
        <v>480</v>
      </c>
      <c r="I526" s="12" t="s">
        <v>13</v>
      </c>
      <c r="J526" s="12" t="s">
        <v>11</v>
      </c>
      <c r="K526" s="12" t="str">
        <f t="shared" si="296"/>
        <v>2853_01_01_S1_EM01_01_M3</v>
      </c>
      <c r="L526">
        <v>48000</v>
      </c>
    </row>
    <row r="527" spans="1:12" ht="30" customHeight="1" x14ac:dyDescent="0.25">
      <c r="A527" s="12" t="str">
        <f t="shared" si="295"/>
        <v>ВЩоф2 (ВРУ1-ИНД тип3-00 ухл4) (S1)</v>
      </c>
      <c r="B527" s="19"/>
      <c r="C527" s="20"/>
      <c r="D527" s="21"/>
      <c r="E527" s="23"/>
      <c r="F527" s="25"/>
      <c r="G527" s="24">
        <f ca="1">SUM(G517:G526)</f>
        <v>283748.2</v>
      </c>
      <c r="H527" s="20"/>
      <c r="I527" s="22"/>
      <c r="J527" s="20"/>
      <c r="K527" s="12" t="str">
        <f t="shared" si="296"/>
        <v>2853_01_01_S1_EM01_01_M3</v>
      </c>
      <c r="L527">
        <v>283748.2</v>
      </c>
    </row>
    <row r="528" spans="1:12" ht="39.75" customHeight="1" x14ac:dyDescent="0.25">
      <c r="A528" s="5" t="str">
        <f>D528</f>
        <v>ЩР-6.1 (ВРУ1-ИНД тип3-00 ухл4) (S1)</v>
      </c>
      <c r="B528" s="6"/>
      <c r="C528" s="7"/>
      <c r="D528" s="6" t="s">
        <v>328</v>
      </c>
      <c r="E528" s="8"/>
      <c r="F528" s="8" t="s">
        <v>40</v>
      </c>
      <c r="G528" s="9"/>
      <c r="H528" s="10">
        <v>1</v>
      </c>
      <c r="I528" s="11" t="s">
        <v>7</v>
      </c>
      <c r="J528" s="6" t="s">
        <v>9</v>
      </c>
      <c r="K528" s="5" t="s">
        <v>196</v>
      </c>
    </row>
    <row r="529" spans="1:12" ht="21" customHeight="1" x14ac:dyDescent="0.25">
      <c r="A529" s="12" t="str">
        <f>A528</f>
        <v>ЩР-6.1 (ВРУ1-ИНД тип3-00 ухл4) (S1)</v>
      </c>
      <c r="B529" s="13" t="s">
        <v>8</v>
      </c>
      <c r="C529" s="14" t="s">
        <v>207</v>
      </c>
      <c r="D529" s="12" t="s">
        <v>318</v>
      </c>
      <c r="E529" s="13">
        <v>10305</v>
      </c>
      <c r="F529" s="15">
        <f t="shared" ref="F529:F530" si="299">E529*0.6</f>
        <v>6183</v>
      </c>
      <c r="G529" s="15">
        <f t="shared" ref="G529:G532" si="300">H529*F529</f>
        <v>6183</v>
      </c>
      <c r="H529" s="16">
        <v>1</v>
      </c>
      <c r="I529" s="17" t="s">
        <v>13</v>
      </c>
      <c r="J529" s="13" t="s">
        <v>16</v>
      </c>
      <c r="K529" s="12" t="str">
        <f>K528</f>
        <v>2853_01_01_S1_EM01_01_M3</v>
      </c>
      <c r="L529">
        <v>6183</v>
      </c>
    </row>
    <row r="530" spans="1:12" ht="21" customHeight="1" x14ac:dyDescent="0.25">
      <c r="A530" s="12" t="str">
        <f t="shared" ref="A530:A533" si="301">A529</f>
        <v>ЩР-6.1 (ВРУ1-ИНД тип3-00 ухл4) (S1)</v>
      </c>
      <c r="B530" s="13" t="s">
        <v>54</v>
      </c>
      <c r="C530" s="14" t="s">
        <v>479</v>
      </c>
      <c r="D530" s="12" t="s">
        <v>480</v>
      </c>
      <c r="E530" s="13">
        <v>90421</v>
      </c>
      <c r="F530" s="15">
        <f t="shared" si="299"/>
        <v>54252.6</v>
      </c>
      <c r="G530" s="15">
        <f t="shared" si="300"/>
        <v>54252.6</v>
      </c>
      <c r="H530" s="16">
        <v>1</v>
      </c>
      <c r="I530" s="17" t="s">
        <v>13</v>
      </c>
      <c r="J530" s="13" t="s">
        <v>17</v>
      </c>
      <c r="K530" s="12" t="str">
        <f t="shared" ref="K530:K533" si="302">K529</f>
        <v>2853_01_01_S1_EM01_01_M3</v>
      </c>
      <c r="L530">
        <v>54252.6</v>
      </c>
    </row>
    <row r="531" spans="1:12" ht="24" customHeight="1" x14ac:dyDescent="0.25">
      <c r="A531" s="12" t="str">
        <f t="shared" si="301"/>
        <v>ЩР-6.1 (ВРУ1-ИНД тип3-00 ухл4) (S1)</v>
      </c>
      <c r="B531" s="12" t="s">
        <v>10</v>
      </c>
      <c r="C531" s="18" t="s">
        <v>10</v>
      </c>
      <c r="D531" s="12" t="s">
        <v>10</v>
      </c>
      <c r="E531" s="12">
        <f ca="1">OFFSET(E531,1,2)</f>
        <v>18000</v>
      </c>
      <c r="F531" s="15">
        <f ca="1">E531</f>
        <v>18000</v>
      </c>
      <c r="G531" s="15">
        <f t="shared" ca="1" si="300"/>
        <v>18000</v>
      </c>
      <c r="H531" s="12">
        <v>1</v>
      </c>
      <c r="I531" s="12" t="s">
        <v>13</v>
      </c>
      <c r="J531" s="12" t="s">
        <v>10</v>
      </c>
      <c r="K531" s="12" t="str">
        <f t="shared" si="302"/>
        <v>2853_01_01_S1_EM01_01_M3</v>
      </c>
      <c r="L531">
        <v>18000</v>
      </c>
    </row>
    <row r="532" spans="1:12" ht="21" customHeight="1" x14ac:dyDescent="0.25">
      <c r="A532" s="12" t="str">
        <f t="shared" si="301"/>
        <v>ЩР-6.1 (ВРУ1-ИНД тип3-00 ухл4) (S1)</v>
      </c>
      <c r="B532" s="12" t="s">
        <v>11</v>
      </c>
      <c r="C532" s="18" t="s">
        <v>11</v>
      </c>
      <c r="D532" s="12" t="s">
        <v>11</v>
      </c>
      <c r="E532" s="12">
        <v>3</v>
      </c>
      <c r="F532" s="15">
        <v>100</v>
      </c>
      <c r="G532" s="15">
        <f t="shared" si="300"/>
        <v>18000</v>
      </c>
      <c r="H532" s="12">
        <f>60*E532</f>
        <v>180</v>
      </c>
      <c r="I532" s="12" t="s">
        <v>13</v>
      </c>
      <c r="J532" s="12" t="s">
        <v>11</v>
      </c>
      <c r="K532" s="12" t="str">
        <f t="shared" si="302"/>
        <v>2853_01_01_S1_EM01_01_M3</v>
      </c>
      <c r="L532">
        <v>18000</v>
      </c>
    </row>
    <row r="533" spans="1:12" ht="30" customHeight="1" x14ac:dyDescent="0.25">
      <c r="A533" s="12" t="str">
        <f t="shared" si="301"/>
        <v>ЩР-6.1 (ВРУ1-ИНД тип3-00 ухл4) (S1)</v>
      </c>
      <c r="B533" s="19"/>
      <c r="C533" s="20"/>
      <c r="D533" s="21"/>
      <c r="E533" s="23"/>
      <c r="F533" s="25"/>
      <c r="G533" s="24">
        <f ca="1">SUM(G529:G532)</f>
        <v>96435.6</v>
      </c>
      <c r="H533" s="20"/>
      <c r="I533" s="22"/>
      <c r="J533" s="20"/>
      <c r="K533" s="12" t="str">
        <f t="shared" si="302"/>
        <v>2853_01_01_S1_EM01_01_M3</v>
      </c>
      <c r="L533">
        <v>96435.6</v>
      </c>
    </row>
    <row r="534" spans="1:12" ht="39.75" customHeight="1" x14ac:dyDescent="0.25">
      <c r="A534" s="5" t="str">
        <f>D534</f>
        <v>ЩО-1бл.  (S1)</v>
      </c>
      <c r="B534" s="6"/>
      <c r="C534" s="7"/>
      <c r="D534" s="6" t="s">
        <v>329</v>
      </c>
      <c r="E534" s="8"/>
      <c r="F534" s="8" t="s">
        <v>40</v>
      </c>
      <c r="G534" s="9"/>
      <c r="H534" s="10">
        <v>1</v>
      </c>
      <c r="I534" s="11" t="s">
        <v>7</v>
      </c>
      <c r="J534" s="6" t="s">
        <v>9</v>
      </c>
      <c r="K534" s="5" t="s">
        <v>196</v>
      </c>
    </row>
    <row r="535" spans="1:12" ht="21" customHeight="1" x14ac:dyDescent="0.25">
      <c r="A535" s="12" t="str">
        <f>A534</f>
        <v>ЩО-1бл.  (S1)</v>
      </c>
      <c r="B535" s="13" t="s">
        <v>8</v>
      </c>
      <c r="C535" s="14" t="s">
        <v>312</v>
      </c>
      <c r="D535" s="12" t="s">
        <v>313</v>
      </c>
      <c r="E535" s="13">
        <v>11700</v>
      </c>
      <c r="F535" s="15">
        <f>E535*0.6</f>
        <v>7020</v>
      </c>
      <c r="G535" s="15">
        <f t="shared" ref="G535:G540" si="303">H535*F535</f>
        <v>7020</v>
      </c>
      <c r="H535" s="16">
        <v>1</v>
      </c>
      <c r="I535" s="17" t="s">
        <v>13</v>
      </c>
      <c r="J535" s="13" t="s">
        <v>319</v>
      </c>
      <c r="K535" s="12" t="str">
        <f>K534</f>
        <v>2853_01_01_S1_EM01_01_M3</v>
      </c>
      <c r="L535">
        <v>7020</v>
      </c>
    </row>
    <row r="536" spans="1:12" ht="21" customHeight="1" x14ac:dyDescent="0.25">
      <c r="A536" s="12" t="str">
        <f t="shared" ref="A536:A541" si="304">A535</f>
        <v>ЩО-1бл.  (S1)</v>
      </c>
      <c r="B536" s="13" t="s">
        <v>54</v>
      </c>
      <c r="C536" s="14" t="s">
        <v>55</v>
      </c>
      <c r="D536" s="12" t="s">
        <v>56</v>
      </c>
      <c r="E536" s="13">
        <v>3372</v>
      </c>
      <c r="F536" s="15">
        <f t="shared" ref="F536:F537" si="305">E536*0.6</f>
        <v>2023.1999999999998</v>
      </c>
      <c r="G536" s="15">
        <f t="shared" si="303"/>
        <v>2023.1999999999998</v>
      </c>
      <c r="H536" s="16">
        <v>1</v>
      </c>
      <c r="I536" s="17" t="s">
        <v>13</v>
      </c>
      <c r="J536" s="13" t="s">
        <v>17</v>
      </c>
      <c r="K536" s="12" t="str">
        <f t="shared" ref="K536:K541" si="306">K535</f>
        <v>2853_01_01_S1_EM01_01_M3</v>
      </c>
      <c r="L536">
        <v>2023.1999999999998</v>
      </c>
    </row>
    <row r="537" spans="1:12" ht="21" customHeight="1" x14ac:dyDescent="0.25">
      <c r="A537" s="12" t="str">
        <f t="shared" si="304"/>
        <v>ЩО-1бл.  (S1)</v>
      </c>
      <c r="B537" s="13" t="s">
        <v>12</v>
      </c>
      <c r="C537" s="14" t="s">
        <v>19</v>
      </c>
      <c r="D537" s="12" t="s">
        <v>20</v>
      </c>
      <c r="E537" s="13">
        <v>975</v>
      </c>
      <c r="F537" s="15">
        <f t="shared" si="305"/>
        <v>585</v>
      </c>
      <c r="G537" s="15">
        <f t="shared" si="303"/>
        <v>3510</v>
      </c>
      <c r="H537" s="16">
        <v>6</v>
      </c>
      <c r="I537" s="17" t="s">
        <v>13</v>
      </c>
      <c r="J537" s="13" t="s">
        <v>17</v>
      </c>
      <c r="K537" s="12" t="str">
        <f t="shared" si="306"/>
        <v>2853_01_01_S1_EM01_01_M3</v>
      </c>
      <c r="L537">
        <v>3510</v>
      </c>
    </row>
    <row r="538" spans="1:12" ht="22.5" customHeight="1" x14ac:dyDescent="0.25">
      <c r="A538" s="12" t="str">
        <f>A536</f>
        <v>ЩО-1бл.  (S1)</v>
      </c>
      <c r="B538" s="13" t="s">
        <v>206</v>
      </c>
      <c r="C538" s="12" t="s">
        <v>233</v>
      </c>
      <c r="D538" s="12" t="s">
        <v>481</v>
      </c>
      <c r="E538" s="13">
        <v>6500</v>
      </c>
      <c r="F538" s="15">
        <f t="shared" ref="F538" si="307">E538</f>
        <v>6500</v>
      </c>
      <c r="G538" s="15">
        <f t="shared" si="303"/>
        <v>6500</v>
      </c>
      <c r="H538" s="16">
        <v>1</v>
      </c>
      <c r="I538" s="17" t="s">
        <v>13</v>
      </c>
      <c r="J538" s="13" t="s">
        <v>24</v>
      </c>
      <c r="K538" s="12" t="str">
        <f>K536</f>
        <v>2853_01_01_S1_EM01_01_M3</v>
      </c>
      <c r="L538">
        <v>6500</v>
      </c>
    </row>
    <row r="539" spans="1:12" ht="24" customHeight="1" x14ac:dyDescent="0.25">
      <c r="A539" s="12" t="str">
        <f>A536</f>
        <v>ЩО-1бл.  (S1)</v>
      </c>
      <c r="B539" s="12" t="s">
        <v>10</v>
      </c>
      <c r="C539" s="18" t="s">
        <v>10</v>
      </c>
      <c r="D539" s="12" t="s">
        <v>10</v>
      </c>
      <c r="E539" s="12">
        <f ca="1">OFFSET(E539,1,2)</f>
        <v>3000</v>
      </c>
      <c r="F539" s="15">
        <f ca="1">E539</f>
        <v>3000</v>
      </c>
      <c r="G539" s="15">
        <f t="shared" ca="1" si="303"/>
        <v>3000</v>
      </c>
      <c r="H539" s="12">
        <v>1</v>
      </c>
      <c r="I539" s="12" t="s">
        <v>13</v>
      </c>
      <c r="J539" s="12" t="s">
        <v>10</v>
      </c>
      <c r="K539" s="12" t="str">
        <f>K536</f>
        <v>2853_01_01_S1_EM01_01_M3</v>
      </c>
      <c r="L539">
        <v>3000</v>
      </c>
    </row>
    <row r="540" spans="1:12" ht="21" customHeight="1" x14ac:dyDescent="0.25">
      <c r="A540" s="12" t="str">
        <f t="shared" si="304"/>
        <v>ЩО-1бл.  (S1)</v>
      </c>
      <c r="B540" s="12" t="s">
        <v>11</v>
      </c>
      <c r="C540" s="18" t="s">
        <v>11</v>
      </c>
      <c r="D540" s="12" t="s">
        <v>11</v>
      </c>
      <c r="E540" s="12">
        <v>0.5</v>
      </c>
      <c r="F540" s="15">
        <v>100</v>
      </c>
      <c r="G540" s="15">
        <f t="shared" si="303"/>
        <v>3000</v>
      </c>
      <c r="H540" s="12">
        <f>60*E540</f>
        <v>30</v>
      </c>
      <c r="I540" s="12" t="s">
        <v>13</v>
      </c>
      <c r="J540" s="12" t="s">
        <v>11</v>
      </c>
      <c r="K540" s="12" t="str">
        <f t="shared" si="306"/>
        <v>2853_01_01_S1_EM01_01_M3</v>
      </c>
      <c r="L540">
        <v>3000</v>
      </c>
    </row>
    <row r="541" spans="1:12" ht="30" customHeight="1" x14ac:dyDescent="0.25">
      <c r="A541" s="12" t="str">
        <f t="shared" si="304"/>
        <v>ЩО-1бл.  (S1)</v>
      </c>
      <c r="B541" s="19"/>
      <c r="C541" s="20"/>
      <c r="D541" s="21"/>
      <c r="E541" s="23"/>
      <c r="F541" s="25"/>
      <c r="G541" s="24">
        <f ca="1">SUM(G535:G540)</f>
        <v>25053.200000000001</v>
      </c>
      <c r="H541" s="20"/>
      <c r="I541" s="22"/>
      <c r="J541" s="20"/>
      <c r="K541" s="12" t="str">
        <f t="shared" si="306"/>
        <v>2853_01_01_S1_EM01_01_M3</v>
      </c>
      <c r="L541">
        <v>25053.200000000001</v>
      </c>
    </row>
    <row r="542" spans="1:12" ht="39.75" customHeight="1" x14ac:dyDescent="0.25">
      <c r="A542" s="5" t="str">
        <f>D542</f>
        <v>ЩАО-1бл. (S1)</v>
      </c>
      <c r="B542" s="6"/>
      <c r="C542" s="7"/>
      <c r="D542" s="6" t="s">
        <v>330</v>
      </c>
      <c r="E542" s="8"/>
      <c r="F542" s="8" t="s">
        <v>40</v>
      </c>
      <c r="G542" s="9"/>
      <c r="H542" s="10">
        <v>1</v>
      </c>
      <c r="I542" s="11" t="s">
        <v>7</v>
      </c>
      <c r="J542" s="6" t="s">
        <v>9</v>
      </c>
      <c r="K542" s="5" t="s">
        <v>196</v>
      </c>
    </row>
    <row r="543" spans="1:12" ht="21" customHeight="1" x14ac:dyDescent="0.25">
      <c r="A543" s="12" t="str">
        <f>A542</f>
        <v>ЩАО-1бл. (S1)</v>
      </c>
      <c r="B543" s="13" t="s">
        <v>8</v>
      </c>
      <c r="C543" s="14" t="s">
        <v>314</v>
      </c>
      <c r="D543" s="12" t="s">
        <v>315</v>
      </c>
      <c r="E543" s="13">
        <v>8990</v>
      </c>
      <c r="F543" s="15">
        <f>E543*0.6</f>
        <v>5394</v>
      </c>
      <c r="G543" s="15">
        <f t="shared" ref="G543:G548" si="308">H543*F543</f>
        <v>5394</v>
      </c>
      <c r="H543" s="16">
        <v>1</v>
      </c>
      <c r="I543" s="17" t="s">
        <v>13</v>
      </c>
      <c r="J543" s="13" t="s">
        <v>319</v>
      </c>
      <c r="K543" s="12" t="str">
        <f>K542</f>
        <v>2853_01_01_S1_EM01_01_M3</v>
      </c>
      <c r="L543">
        <v>5394</v>
      </c>
    </row>
    <row r="544" spans="1:12" ht="21" customHeight="1" x14ac:dyDescent="0.25">
      <c r="A544" s="12" t="str">
        <f t="shared" ref="A544:A545" si="309">A543</f>
        <v>ЩАО-1бл. (S1)</v>
      </c>
      <c r="B544" s="13" t="s">
        <v>54</v>
      </c>
      <c r="C544" s="14" t="s">
        <v>55</v>
      </c>
      <c r="D544" s="12" t="s">
        <v>56</v>
      </c>
      <c r="E544" s="13">
        <v>3372</v>
      </c>
      <c r="F544" s="15">
        <f t="shared" ref="F544:F545" si="310">E544*0.6</f>
        <v>2023.1999999999998</v>
      </c>
      <c r="G544" s="15">
        <f t="shared" si="308"/>
        <v>2023.1999999999998</v>
      </c>
      <c r="H544" s="16">
        <v>1</v>
      </c>
      <c r="I544" s="17" t="s">
        <v>13</v>
      </c>
      <c r="J544" s="13" t="s">
        <v>17</v>
      </c>
      <c r="K544" s="12" t="str">
        <f t="shared" ref="K544:K545" si="311">K543</f>
        <v>2853_01_01_S1_EM01_01_M3</v>
      </c>
      <c r="L544">
        <v>2023.1999999999998</v>
      </c>
    </row>
    <row r="545" spans="1:12" ht="21" customHeight="1" x14ac:dyDescent="0.25">
      <c r="A545" s="12" t="str">
        <f t="shared" si="309"/>
        <v>ЩАО-1бл. (S1)</v>
      </c>
      <c r="B545" s="13" t="s">
        <v>12</v>
      </c>
      <c r="C545" s="14" t="s">
        <v>19</v>
      </c>
      <c r="D545" s="12" t="s">
        <v>20</v>
      </c>
      <c r="E545" s="13">
        <v>975</v>
      </c>
      <c r="F545" s="15">
        <f t="shared" si="310"/>
        <v>585</v>
      </c>
      <c r="G545" s="15">
        <f t="shared" si="308"/>
        <v>2925</v>
      </c>
      <c r="H545" s="16">
        <v>5</v>
      </c>
      <c r="I545" s="17" t="s">
        <v>13</v>
      </c>
      <c r="J545" s="13" t="s">
        <v>17</v>
      </c>
      <c r="K545" s="12" t="str">
        <f t="shared" si="311"/>
        <v>2853_01_01_S1_EM01_01_M3</v>
      </c>
      <c r="L545">
        <v>2925</v>
      </c>
    </row>
    <row r="546" spans="1:12" ht="22.5" customHeight="1" x14ac:dyDescent="0.25">
      <c r="A546" s="12" t="str">
        <f>A544</f>
        <v>ЩАО-1бл. (S1)</v>
      </c>
      <c r="B546" s="13" t="s">
        <v>206</v>
      </c>
      <c r="C546" s="12" t="s">
        <v>233</v>
      </c>
      <c r="D546" s="12" t="s">
        <v>481</v>
      </c>
      <c r="E546" s="13">
        <v>6500</v>
      </c>
      <c r="F546" s="15">
        <f t="shared" ref="F546" si="312">E546</f>
        <v>6500</v>
      </c>
      <c r="G546" s="15">
        <f t="shared" si="308"/>
        <v>6500</v>
      </c>
      <c r="H546" s="16">
        <v>1</v>
      </c>
      <c r="I546" s="17" t="s">
        <v>13</v>
      </c>
      <c r="J546" s="13" t="s">
        <v>24</v>
      </c>
      <c r="K546" s="12" t="str">
        <f>K544</f>
        <v>2853_01_01_S1_EM01_01_M3</v>
      </c>
      <c r="L546">
        <v>6500</v>
      </c>
    </row>
    <row r="547" spans="1:12" ht="24" customHeight="1" x14ac:dyDescent="0.25">
      <c r="A547" s="12" t="str">
        <f>A544</f>
        <v>ЩАО-1бл. (S1)</v>
      </c>
      <c r="B547" s="12" t="s">
        <v>10</v>
      </c>
      <c r="C547" s="18" t="s">
        <v>10</v>
      </c>
      <c r="D547" s="12" t="s">
        <v>10</v>
      </c>
      <c r="E547" s="12">
        <f ca="1">OFFSET(E547,1,2)</f>
        <v>3000</v>
      </c>
      <c r="F547" s="15">
        <f ca="1">E547</f>
        <v>3000</v>
      </c>
      <c r="G547" s="15">
        <f t="shared" ca="1" si="308"/>
        <v>3000</v>
      </c>
      <c r="H547" s="12">
        <v>1</v>
      </c>
      <c r="I547" s="12" t="s">
        <v>13</v>
      </c>
      <c r="J547" s="12" t="s">
        <v>10</v>
      </c>
      <c r="K547" s="12" t="str">
        <f>K544</f>
        <v>2853_01_01_S1_EM01_01_M3</v>
      </c>
      <c r="L547">
        <v>3000</v>
      </c>
    </row>
    <row r="548" spans="1:12" ht="21" customHeight="1" x14ac:dyDescent="0.25">
      <c r="A548" s="12" t="str">
        <f t="shared" ref="A548:A549" si="313">A547</f>
        <v>ЩАО-1бл. (S1)</v>
      </c>
      <c r="B548" s="12" t="s">
        <v>11</v>
      </c>
      <c r="C548" s="18" t="s">
        <v>11</v>
      </c>
      <c r="D548" s="12" t="s">
        <v>11</v>
      </c>
      <c r="E548" s="12">
        <v>0.5</v>
      </c>
      <c r="F548" s="15">
        <v>100</v>
      </c>
      <c r="G548" s="15">
        <f t="shared" si="308"/>
        <v>3000</v>
      </c>
      <c r="H548" s="12">
        <f>60*E548</f>
        <v>30</v>
      </c>
      <c r="I548" s="12" t="s">
        <v>13</v>
      </c>
      <c r="J548" s="12" t="s">
        <v>11</v>
      </c>
      <c r="K548" s="12" t="str">
        <f t="shared" ref="K548:K549" si="314">K547</f>
        <v>2853_01_01_S1_EM01_01_M3</v>
      </c>
      <c r="L548">
        <v>3000</v>
      </c>
    </row>
    <row r="549" spans="1:12" ht="30" customHeight="1" x14ac:dyDescent="0.25">
      <c r="A549" s="12" t="str">
        <f t="shared" si="313"/>
        <v>ЩАО-1бл. (S1)</v>
      </c>
      <c r="B549" s="19"/>
      <c r="C549" s="20"/>
      <c r="D549" s="21"/>
      <c r="E549" s="23"/>
      <c r="F549" s="25"/>
      <c r="G549" s="24">
        <f ca="1">SUM(G543:G548)</f>
        <v>22842.2</v>
      </c>
      <c r="H549" s="20"/>
      <c r="I549" s="22"/>
      <c r="J549" s="20"/>
      <c r="K549" s="12" t="str">
        <f t="shared" si="314"/>
        <v>2853_01_01_S1_EM01_01_M3</v>
      </c>
      <c r="L549">
        <v>22842.2</v>
      </c>
    </row>
    <row r="550" spans="1:12" ht="39.75" customHeight="1" x14ac:dyDescent="0.25">
      <c r="A550" s="5" t="str">
        <f>D550</f>
        <v>ЩСС-1бл. (S1)</v>
      </c>
      <c r="B550" s="6"/>
      <c r="C550" s="7"/>
      <c r="D550" s="6" t="s">
        <v>331</v>
      </c>
      <c r="E550" s="8"/>
      <c r="F550" s="8" t="s">
        <v>40</v>
      </c>
      <c r="G550" s="9"/>
      <c r="H550" s="10">
        <v>1</v>
      </c>
      <c r="I550" s="11" t="s">
        <v>7</v>
      </c>
      <c r="J550" s="6" t="s">
        <v>9</v>
      </c>
      <c r="K550" s="5" t="s">
        <v>196</v>
      </c>
    </row>
    <row r="551" spans="1:12" ht="21" customHeight="1" x14ac:dyDescent="0.25">
      <c r="A551" s="12" t="str">
        <f>A550</f>
        <v>ЩСС-1бл. (S1)</v>
      </c>
      <c r="B551" s="13" t="s">
        <v>8</v>
      </c>
      <c r="C551" s="14" t="s">
        <v>314</v>
      </c>
      <c r="D551" s="12" t="s">
        <v>315</v>
      </c>
      <c r="E551" s="13">
        <v>8990</v>
      </c>
      <c r="F551" s="15">
        <f>E551*0.6</f>
        <v>5394</v>
      </c>
      <c r="G551" s="15">
        <f t="shared" ref="G551:G556" si="315">H551*F551</f>
        <v>5394</v>
      </c>
      <c r="H551" s="16">
        <v>1</v>
      </c>
      <c r="I551" s="17" t="s">
        <v>13</v>
      </c>
      <c r="J551" s="13" t="s">
        <v>319</v>
      </c>
      <c r="K551" s="12" t="str">
        <f>K550</f>
        <v>2853_01_01_S1_EM01_01_M3</v>
      </c>
      <c r="L551">
        <v>5394</v>
      </c>
    </row>
    <row r="552" spans="1:12" ht="21" customHeight="1" x14ac:dyDescent="0.25">
      <c r="A552" s="12" t="str">
        <f t="shared" ref="A552" si="316">A551</f>
        <v>ЩСС-1бл. (S1)</v>
      </c>
      <c r="B552" s="13" t="s">
        <v>54</v>
      </c>
      <c r="C552" s="14" t="s">
        <v>55</v>
      </c>
      <c r="D552" s="12" t="s">
        <v>56</v>
      </c>
      <c r="E552" s="13">
        <v>3372</v>
      </c>
      <c r="F552" s="15">
        <f t="shared" ref="F552:F554" si="317">E552*0.6</f>
        <v>2023.1999999999998</v>
      </c>
      <c r="G552" s="15">
        <f t="shared" si="315"/>
        <v>2023.1999999999998</v>
      </c>
      <c r="H552" s="16">
        <v>1</v>
      </c>
      <c r="I552" s="17" t="s">
        <v>13</v>
      </c>
      <c r="J552" s="13" t="s">
        <v>17</v>
      </c>
      <c r="K552" s="12" t="str">
        <f t="shared" ref="K552" si="318">K551</f>
        <v>2853_01_01_S1_EM01_01_M3</v>
      </c>
      <c r="L552">
        <v>2023.1999999999998</v>
      </c>
    </row>
    <row r="553" spans="1:12" ht="21" customHeight="1" x14ac:dyDescent="0.25">
      <c r="A553" s="12" t="str">
        <f>A551</f>
        <v>ЩСС-1бл. (S1)</v>
      </c>
      <c r="B553" s="13" t="s">
        <v>21</v>
      </c>
      <c r="C553" s="14" t="s">
        <v>174</v>
      </c>
      <c r="D553" s="12" t="s">
        <v>175</v>
      </c>
      <c r="E553" s="13">
        <v>5719</v>
      </c>
      <c r="F553" s="15">
        <f t="shared" si="317"/>
        <v>3431.4</v>
      </c>
      <c r="G553" s="15">
        <f t="shared" si="315"/>
        <v>10294.200000000001</v>
      </c>
      <c r="H553" s="16">
        <v>3</v>
      </c>
      <c r="I553" s="17" t="s">
        <v>13</v>
      </c>
      <c r="J553" s="13" t="s">
        <v>17</v>
      </c>
      <c r="K553" s="12" t="str">
        <f>K551</f>
        <v>2853_01_01_S1_EM01_01_M3</v>
      </c>
      <c r="L553">
        <v>10294.200000000001</v>
      </c>
    </row>
    <row r="554" spans="1:12" ht="21" customHeight="1" x14ac:dyDescent="0.25">
      <c r="A554" s="12" t="str">
        <f>A552</f>
        <v>ЩСС-1бл. (S1)</v>
      </c>
      <c r="B554" s="13" t="s">
        <v>12</v>
      </c>
      <c r="C554" s="14" t="s">
        <v>50</v>
      </c>
      <c r="D554" s="12" t="s">
        <v>51</v>
      </c>
      <c r="E554" s="13">
        <v>783</v>
      </c>
      <c r="F554" s="15">
        <f t="shared" si="317"/>
        <v>469.79999999999995</v>
      </c>
      <c r="G554" s="15">
        <f t="shared" si="315"/>
        <v>469.79999999999995</v>
      </c>
      <c r="H554" s="16">
        <v>1</v>
      </c>
      <c r="I554" s="17" t="s">
        <v>13</v>
      </c>
      <c r="J554" s="13" t="s">
        <v>17</v>
      </c>
      <c r="K554" s="12" t="str">
        <f>K552</f>
        <v>2853_01_01_S1_EM01_01_M3</v>
      </c>
      <c r="L554">
        <v>469.79999999999995</v>
      </c>
    </row>
    <row r="555" spans="1:12" ht="24" customHeight="1" x14ac:dyDescent="0.25">
      <c r="A555" s="12" t="str">
        <f>A552</f>
        <v>ЩСС-1бл. (S1)</v>
      </c>
      <c r="B555" s="12" t="s">
        <v>10</v>
      </c>
      <c r="C555" s="18" t="s">
        <v>10</v>
      </c>
      <c r="D555" s="12" t="s">
        <v>10</v>
      </c>
      <c r="E555" s="12">
        <f ca="1">OFFSET(E555,1,2)</f>
        <v>3000</v>
      </c>
      <c r="F555" s="15">
        <f ca="1">E555</f>
        <v>3000</v>
      </c>
      <c r="G555" s="15">
        <f t="shared" ca="1" si="315"/>
        <v>3000</v>
      </c>
      <c r="H555" s="12">
        <v>1</v>
      </c>
      <c r="I555" s="12" t="s">
        <v>13</v>
      </c>
      <c r="J555" s="12" t="s">
        <v>10</v>
      </c>
      <c r="K555" s="12" t="str">
        <f>K552</f>
        <v>2853_01_01_S1_EM01_01_M3</v>
      </c>
      <c r="L555">
        <v>3000</v>
      </c>
    </row>
    <row r="556" spans="1:12" ht="21" customHeight="1" x14ac:dyDescent="0.25">
      <c r="A556" s="12" t="str">
        <f t="shared" ref="A556:A557" si="319">A555</f>
        <v>ЩСС-1бл. (S1)</v>
      </c>
      <c r="B556" s="12" t="s">
        <v>11</v>
      </c>
      <c r="C556" s="18" t="s">
        <v>11</v>
      </c>
      <c r="D556" s="12" t="s">
        <v>11</v>
      </c>
      <c r="E556" s="12">
        <v>0.5</v>
      </c>
      <c r="F556" s="15">
        <v>100</v>
      </c>
      <c r="G556" s="15">
        <f t="shared" si="315"/>
        <v>3000</v>
      </c>
      <c r="H556" s="12">
        <f>60*E556</f>
        <v>30</v>
      </c>
      <c r="I556" s="12" t="s">
        <v>13</v>
      </c>
      <c r="J556" s="12" t="s">
        <v>11</v>
      </c>
      <c r="K556" s="12" t="str">
        <f t="shared" ref="K556:K557" si="320">K555</f>
        <v>2853_01_01_S1_EM01_01_M3</v>
      </c>
      <c r="L556">
        <v>3000</v>
      </c>
    </row>
    <row r="557" spans="1:12" ht="30" customHeight="1" x14ac:dyDescent="0.25">
      <c r="A557" s="12" t="str">
        <f t="shared" si="319"/>
        <v>ЩСС-1бл. (S1)</v>
      </c>
      <c r="B557" s="19"/>
      <c r="C557" s="20"/>
      <c r="D557" s="21"/>
      <c r="E557" s="23"/>
      <c r="F557" s="25"/>
      <c r="G557" s="24">
        <f ca="1">SUM(G551:G556)</f>
        <v>24181.200000000001</v>
      </c>
      <c r="H557" s="20"/>
      <c r="I557" s="22"/>
      <c r="J557" s="20"/>
      <c r="K557" s="12" t="str">
        <f t="shared" si="320"/>
        <v>2853_01_01_S1_EM01_01_M3</v>
      </c>
      <c r="L557">
        <v>24181.200000000001</v>
      </c>
    </row>
    <row r="558" spans="1:12" ht="39.75" customHeight="1" x14ac:dyDescent="0.25">
      <c r="A558" s="5" t="str">
        <f>D558</f>
        <v>ЩС-1бл. (S1)</v>
      </c>
      <c r="B558" s="6"/>
      <c r="C558" s="7"/>
      <c r="D558" s="6" t="s">
        <v>332</v>
      </c>
      <c r="E558" s="8"/>
      <c r="F558" s="8" t="s">
        <v>40</v>
      </c>
      <c r="G558" s="9"/>
      <c r="H558" s="10">
        <v>1</v>
      </c>
      <c r="I558" s="11" t="s">
        <v>7</v>
      </c>
      <c r="J558" s="6" t="s">
        <v>9</v>
      </c>
      <c r="K558" s="5" t="s">
        <v>196</v>
      </c>
    </row>
    <row r="559" spans="1:12" ht="21" customHeight="1" x14ac:dyDescent="0.25">
      <c r="A559" s="12" t="str">
        <f>A558</f>
        <v>ЩС-1бл. (S1)</v>
      </c>
      <c r="B559" s="13" t="s">
        <v>8</v>
      </c>
      <c r="C559" s="14" t="s">
        <v>312</v>
      </c>
      <c r="D559" s="12" t="s">
        <v>313</v>
      </c>
      <c r="E559" s="13">
        <v>11700</v>
      </c>
      <c r="F559" s="15">
        <f>E559*0.6</f>
        <v>7020</v>
      </c>
      <c r="G559" s="15">
        <f t="shared" ref="G559:G567" si="321">H559*F559</f>
        <v>7020</v>
      </c>
      <c r="H559" s="16">
        <v>1</v>
      </c>
      <c r="I559" s="17" t="s">
        <v>13</v>
      </c>
      <c r="J559" s="13" t="s">
        <v>319</v>
      </c>
      <c r="K559" s="12" t="str">
        <f>K558</f>
        <v>2853_01_01_S1_EM01_01_M3</v>
      </c>
      <c r="L559">
        <v>7020</v>
      </c>
    </row>
    <row r="560" spans="1:12" ht="21" customHeight="1" x14ac:dyDescent="0.25">
      <c r="A560" s="12" t="str">
        <f t="shared" ref="A560" si="322">A559</f>
        <v>ЩС-1бл. (S1)</v>
      </c>
      <c r="B560" s="13" t="s">
        <v>54</v>
      </c>
      <c r="C560" s="14" t="s">
        <v>57</v>
      </c>
      <c r="D560" s="12" t="s">
        <v>58</v>
      </c>
      <c r="E560" s="13">
        <v>3372</v>
      </c>
      <c r="F560" s="15">
        <f t="shared" ref="F560:F565" si="323">E560*0.6</f>
        <v>2023.1999999999998</v>
      </c>
      <c r="G560" s="15">
        <f t="shared" si="321"/>
        <v>2023.1999999999998</v>
      </c>
      <c r="H560" s="16">
        <v>1</v>
      </c>
      <c r="I560" s="17" t="s">
        <v>13</v>
      </c>
      <c r="J560" s="13" t="s">
        <v>17</v>
      </c>
      <c r="K560" s="12" t="str">
        <f t="shared" ref="K560" si="324">K559</f>
        <v>2853_01_01_S1_EM01_01_M3</v>
      </c>
      <c r="L560">
        <v>2023.1999999999998</v>
      </c>
    </row>
    <row r="561" spans="1:12" ht="21" customHeight="1" x14ac:dyDescent="0.25">
      <c r="A561" s="12" t="str">
        <f>A559</f>
        <v>ЩС-1бл. (S1)</v>
      </c>
      <c r="B561" s="13" t="s">
        <v>21</v>
      </c>
      <c r="C561" s="14" t="s">
        <v>44</v>
      </c>
      <c r="D561" s="12" t="s">
        <v>45</v>
      </c>
      <c r="E561" s="13">
        <v>5104</v>
      </c>
      <c r="F561" s="15">
        <f t="shared" si="323"/>
        <v>3062.4</v>
      </c>
      <c r="G561" s="15">
        <f t="shared" si="321"/>
        <v>6124.8</v>
      </c>
      <c r="H561" s="16">
        <v>2</v>
      </c>
      <c r="I561" s="17" t="s">
        <v>13</v>
      </c>
      <c r="J561" s="13" t="s">
        <v>17</v>
      </c>
      <c r="K561" s="12" t="str">
        <f>K559</f>
        <v>2853_01_01_S1_EM01_01_M3</v>
      </c>
      <c r="L561">
        <v>6124.8</v>
      </c>
    </row>
    <row r="562" spans="1:12" ht="21" customHeight="1" x14ac:dyDescent="0.25">
      <c r="A562" s="12" t="str">
        <f t="shared" ref="A562" si="325">A561</f>
        <v>ЩС-1бл. (S1)</v>
      </c>
      <c r="B562" s="13" t="s">
        <v>12</v>
      </c>
      <c r="C562" s="14" t="s">
        <v>176</v>
      </c>
      <c r="D562" s="12" t="s">
        <v>177</v>
      </c>
      <c r="E562" s="13">
        <v>1130</v>
      </c>
      <c r="F562" s="15">
        <f t="shared" si="323"/>
        <v>678</v>
      </c>
      <c r="G562" s="15">
        <f t="shared" si="321"/>
        <v>1356</v>
      </c>
      <c r="H562" s="16">
        <v>2</v>
      </c>
      <c r="I562" s="17" t="s">
        <v>13</v>
      </c>
      <c r="J562" s="13" t="s">
        <v>17</v>
      </c>
      <c r="K562" s="12" t="str">
        <f>K559</f>
        <v>2853_01_01_S1_EM01_01_M3</v>
      </c>
      <c r="L562">
        <v>1356</v>
      </c>
    </row>
    <row r="563" spans="1:12" ht="21" customHeight="1" x14ac:dyDescent="0.25">
      <c r="A563" s="12" t="str">
        <f>A559</f>
        <v>ЩС-1бл. (S1)</v>
      </c>
      <c r="B563" s="13" t="s">
        <v>12</v>
      </c>
      <c r="C563" s="14" t="s">
        <v>36</v>
      </c>
      <c r="D563" s="12" t="s">
        <v>37</v>
      </c>
      <c r="E563" s="13">
        <v>783</v>
      </c>
      <c r="F563" s="15">
        <f t="shared" si="323"/>
        <v>469.79999999999995</v>
      </c>
      <c r="G563" s="15">
        <f t="shared" si="321"/>
        <v>469.79999999999995</v>
      </c>
      <c r="H563" s="16">
        <v>1</v>
      </c>
      <c r="I563" s="17" t="s">
        <v>13</v>
      </c>
      <c r="J563" s="13" t="s">
        <v>17</v>
      </c>
      <c r="K563" s="12" t="str">
        <f>K559</f>
        <v>2853_01_01_S1_EM01_01_M3</v>
      </c>
      <c r="L563">
        <v>469.79999999999995</v>
      </c>
    </row>
    <row r="564" spans="1:12" ht="21" customHeight="1" x14ac:dyDescent="0.25">
      <c r="A564" s="12" t="str">
        <f>A560</f>
        <v>ЩС-1бл. (S1)</v>
      </c>
      <c r="B564" s="13" t="s">
        <v>12</v>
      </c>
      <c r="C564" s="14" t="s">
        <v>50</v>
      </c>
      <c r="D564" s="12" t="s">
        <v>51</v>
      </c>
      <c r="E564" s="13">
        <v>783</v>
      </c>
      <c r="F564" s="15">
        <f t="shared" si="323"/>
        <v>469.79999999999995</v>
      </c>
      <c r="G564" s="15">
        <f t="shared" si="321"/>
        <v>469.79999999999995</v>
      </c>
      <c r="H564" s="16">
        <v>1</v>
      </c>
      <c r="I564" s="17" t="s">
        <v>13</v>
      </c>
      <c r="J564" s="13" t="s">
        <v>17</v>
      </c>
      <c r="K564" s="12" t="str">
        <f>K560</f>
        <v>2853_01_01_S1_EM01_01_M3</v>
      </c>
      <c r="L564">
        <v>469.79999999999995</v>
      </c>
    </row>
    <row r="565" spans="1:12" ht="21" customHeight="1" x14ac:dyDescent="0.25">
      <c r="A565" s="12" t="str">
        <f>A561</f>
        <v>ЩС-1бл. (S1)</v>
      </c>
      <c r="B565" s="13" t="s">
        <v>182</v>
      </c>
      <c r="C565" s="14" t="s">
        <v>178</v>
      </c>
      <c r="D565" s="12" t="s">
        <v>179</v>
      </c>
      <c r="E565" s="13">
        <v>5354</v>
      </c>
      <c r="F565" s="15">
        <f t="shared" si="323"/>
        <v>3212.4</v>
      </c>
      <c r="G565" s="15">
        <f t="shared" si="321"/>
        <v>3212.4</v>
      </c>
      <c r="H565" s="16">
        <v>1</v>
      </c>
      <c r="I565" s="17" t="s">
        <v>13</v>
      </c>
      <c r="J565" s="13" t="s">
        <v>17</v>
      </c>
      <c r="K565" s="12" t="str">
        <f>K561</f>
        <v>2853_01_01_S1_EM01_01_M3</v>
      </c>
      <c r="L565">
        <v>3212.4</v>
      </c>
    </row>
    <row r="566" spans="1:12" ht="24" customHeight="1" x14ac:dyDescent="0.25">
      <c r="A566" s="12" t="str">
        <f>A560</f>
        <v>ЩС-1бл. (S1)</v>
      </c>
      <c r="B566" s="12" t="s">
        <v>10</v>
      </c>
      <c r="C566" s="18" t="s">
        <v>10</v>
      </c>
      <c r="D566" s="12" t="s">
        <v>10</v>
      </c>
      <c r="E566" s="12">
        <f ca="1">OFFSET(E566,1,2)</f>
        <v>3000</v>
      </c>
      <c r="F566" s="15">
        <f ca="1">E566</f>
        <v>3000</v>
      </c>
      <c r="G566" s="15">
        <f t="shared" ca="1" si="321"/>
        <v>3000</v>
      </c>
      <c r="H566" s="12">
        <v>1</v>
      </c>
      <c r="I566" s="12" t="s">
        <v>13</v>
      </c>
      <c r="J566" s="12" t="s">
        <v>10</v>
      </c>
      <c r="K566" s="12" t="str">
        <f>K560</f>
        <v>2853_01_01_S1_EM01_01_M3</v>
      </c>
      <c r="L566">
        <v>3000</v>
      </c>
    </row>
    <row r="567" spans="1:12" ht="21" customHeight="1" x14ac:dyDescent="0.25">
      <c r="A567" s="12" t="str">
        <f t="shared" ref="A567:A568" si="326">A566</f>
        <v>ЩС-1бл. (S1)</v>
      </c>
      <c r="B567" s="12" t="s">
        <v>11</v>
      </c>
      <c r="C567" s="18" t="s">
        <v>11</v>
      </c>
      <c r="D567" s="12" t="s">
        <v>11</v>
      </c>
      <c r="E567" s="12">
        <v>0.5</v>
      </c>
      <c r="F567" s="15">
        <v>100</v>
      </c>
      <c r="G567" s="15">
        <f t="shared" si="321"/>
        <v>3000</v>
      </c>
      <c r="H567" s="12">
        <f>60*E567</f>
        <v>30</v>
      </c>
      <c r="I567" s="12" t="s">
        <v>13</v>
      </c>
      <c r="J567" s="12" t="s">
        <v>11</v>
      </c>
      <c r="K567" s="12" t="str">
        <f t="shared" ref="K567:K568" si="327">K566</f>
        <v>2853_01_01_S1_EM01_01_M3</v>
      </c>
      <c r="L567">
        <v>3000</v>
      </c>
    </row>
    <row r="568" spans="1:12" ht="30" customHeight="1" x14ac:dyDescent="0.25">
      <c r="A568" s="12" t="str">
        <f t="shared" si="326"/>
        <v>ЩС-1бл. (S1)</v>
      </c>
      <c r="B568" s="19"/>
      <c r="C568" s="20"/>
      <c r="D568" s="21"/>
      <c r="E568" s="23"/>
      <c r="F568" s="25"/>
      <c r="G568" s="24">
        <f ca="1">SUM(G559:G567)</f>
        <v>26676</v>
      </c>
      <c r="H568" s="20"/>
      <c r="I568" s="22"/>
      <c r="J568" s="20"/>
      <c r="K568" s="12" t="str">
        <f t="shared" si="327"/>
        <v>2853_01_01_S1_EM01_01_M3</v>
      </c>
      <c r="L568">
        <v>26676</v>
      </c>
    </row>
    <row r="569" spans="1:12" ht="39.75" customHeight="1" x14ac:dyDescent="0.25">
      <c r="A569" s="5" t="str">
        <f>D569</f>
        <v>ЩСд (S1)</v>
      </c>
      <c r="B569" s="6"/>
      <c r="C569" s="7"/>
      <c r="D569" s="6" t="s">
        <v>333</v>
      </c>
      <c r="E569" s="8"/>
      <c r="F569" s="8" t="s">
        <v>40</v>
      </c>
      <c r="G569" s="9"/>
      <c r="H569" s="10">
        <v>1</v>
      </c>
      <c r="I569" s="11" t="s">
        <v>7</v>
      </c>
      <c r="J569" s="6" t="s">
        <v>9</v>
      </c>
      <c r="K569" s="5" t="s">
        <v>196</v>
      </c>
    </row>
    <row r="570" spans="1:12" ht="21" customHeight="1" x14ac:dyDescent="0.25">
      <c r="A570" s="12" t="str">
        <f>A569</f>
        <v>ЩСд (S1)</v>
      </c>
      <c r="B570" s="13" t="s">
        <v>8</v>
      </c>
      <c r="C570" s="14" t="s">
        <v>312</v>
      </c>
      <c r="D570" s="12" t="s">
        <v>313</v>
      </c>
      <c r="E570" s="13">
        <v>11700</v>
      </c>
      <c r="F570" s="15">
        <f>E570*0.6</f>
        <v>7020</v>
      </c>
      <c r="G570" s="15">
        <f t="shared" ref="G570:G575" si="328">H570*F570</f>
        <v>7020</v>
      </c>
      <c r="H570" s="16">
        <v>1</v>
      </c>
      <c r="I570" s="17" t="s">
        <v>13</v>
      </c>
      <c r="J570" s="13" t="s">
        <v>319</v>
      </c>
      <c r="K570" s="12" t="str">
        <f>K569</f>
        <v>2853_01_01_S1_EM01_01_M3</v>
      </c>
      <c r="L570">
        <v>7020</v>
      </c>
    </row>
    <row r="571" spans="1:12" ht="21" customHeight="1" x14ac:dyDescent="0.25">
      <c r="A571" s="12" t="str">
        <f t="shared" ref="A571:A576" si="329">A570</f>
        <v>ЩСд (S1)</v>
      </c>
      <c r="B571" s="13" t="s">
        <v>54</v>
      </c>
      <c r="C571" s="14" t="s">
        <v>57</v>
      </c>
      <c r="D571" s="12" t="s">
        <v>58</v>
      </c>
      <c r="E571" s="13">
        <v>3372</v>
      </c>
      <c r="F571" s="15">
        <f t="shared" ref="F571:F573" si="330">E571*0.6</f>
        <v>2023.1999999999998</v>
      </c>
      <c r="G571" s="15">
        <f t="shared" si="328"/>
        <v>2023.1999999999998</v>
      </c>
      <c r="H571" s="16">
        <v>1</v>
      </c>
      <c r="I571" s="17" t="s">
        <v>13</v>
      </c>
      <c r="J571" s="13" t="s">
        <v>17</v>
      </c>
      <c r="K571" s="12" t="str">
        <f t="shared" ref="K571" si="331">K570</f>
        <v>2853_01_01_S1_EM01_01_M3</v>
      </c>
      <c r="L571">
        <v>2023.1999999999998</v>
      </c>
    </row>
    <row r="572" spans="1:12" ht="21" customHeight="1" x14ac:dyDescent="0.25">
      <c r="A572" s="12" t="str">
        <f t="shared" si="329"/>
        <v>ЩСд (S1)</v>
      </c>
      <c r="B572" s="13" t="s">
        <v>12</v>
      </c>
      <c r="C572" s="14" t="s">
        <v>180</v>
      </c>
      <c r="D572" s="12" t="s">
        <v>181</v>
      </c>
      <c r="E572" s="13">
        <v>3644</v>
      </c>
      <c r="F572" s="15">
        <f t="shared" si="330"/>
        <v>2186.4</v>
      </c>
      <c r="G572" s="15">
        <f t="shared" si="328"/>
        <v>10932</v>
      </c>
      <c r="H572" s="16">
        <v>5</v>
      </c>
      <c r="I572" s="17" t="s">
        <v>13</v>
      </c>
      <c r="J572" s="13" t="s">
        <v>17</v>
      </c>
      <c r="K572" s="12" t="str">
        <f>K557</f>
        <v>2853_01_01_S1_EM01_01_M3</v>
      </c>
      <c r="L572">
        <v>10932</v>
      </c>
    </row>
    <row r="573" spans="1:12" ht="21" customHeight="1" x14ac:dyDescent="0.25">
      <c r="A573" s="12" t="str">
        <f t="shared" si="329"/>
        <v>ЩСд (S1)</v>
      </c>
      <c r="B573" s="13" t="s">
        <v>12</v>
      </c>
      <c r="C573" s="14" t="s">
        <v>176</v>
      </c>
      <c r="D573" s="12" t="s">
        <v>177</v>
      </c>
      <c r="E573" s="13">
        <v>1130</v>
      </c>
      <c r="F573" s="15">
        <f t="shared" si="330"/>
        <v>678</v>
      </c>
      <c r="G573" s="15">
        <f t="shared" si="328"/>
        <v>4746</v>
      </c>
      <c r="H573" s="16">
        <v>7</v>
      </c>
      <c r="I573" s="17" t="s">
        <v>13</v>
      </c>
      <c r="J573" s="13" t="s">
        <v>17</v>
      </c>
      <c r="K573" s="12" t="str">
        <f>K570</f>
        <v>2853_01_01_S1_EM01_01_M3</v>
      </c>
      <c r="L573">
        <v>4746</v>
      </c>
    </row>
    <row r="574" spans="1:12" ht="24" customHeight="1" x14ac:dyDescent="0.25">
      <c r="A574" s="12" t="str">
        <f t="shared" si="329"/>
        <v>ЩСд (S1)</v>
      </c>
      <c r="B574" s="12" t="s">
        <v>10</v>
      </c>
      <c r="C574" s="18" t="s">
        <v>10</v>
      </c>
      <c r="D574" s="12" t="s">
        <v>10</v>
      </c>
      <c r="E574" s="12">
        <f ca="1">OFFSET(E574,1,2)</f>
        <v>4200</v>
      </c>
      <c r="F574" s="15">
        <f ca="1">E574</f>
        <v>4200</v>
      </c>
      <c r="G574" s="15">
        <f t="shared" ca="1" si="328"/>
        <v>4200</v>
      </c>
      <c r="H574" s="12">
        <v>1</v>
      </c>
      <c r="I574" s="12" t="s">
        <v>13</v>
      </c>
      <c r="J574" s="12" t="s">
        <v>10</v>
      </c>
      <c r="K574" s="12" t="str">
        <f>K571</f>
        <v>2853_01_01_S1_EM01_01_M3</v>
      </c>
      <c r="L574">
        <v>4200</v>
      </c>
    </row>
    <row r="575" spans="1:12" ht="21" customHeight="1" x14ac:dyDescent="0.25">
      <c r="A575" s="12" t="str">
        <f t="shared" si="329"/>
        <v>ЩСд (S1)</v>
      </c>
      <c r="B575" s="12" t="s">
        <v>11</v>
      </c>
      <c r="C575" s="18" t="s">
        <v>11</v>
      </c>
      <c r="D575" s="12" t="s">
        <v>11</v>
      </c>
      <c r="E575" s="12">
        <v>0.7</v>
      </c>
      <c r="F575" s="15">
        <v>100</v>
      </c>
      <c r="G575" s="15">
        <f t="shared" si="328"/>
        <v>4200</v>
      </c>
      <c r="H575" s="12">
        <f>60*E575</f>
        <v>42</v>
      </c>
      <c r="I575" s="12" t="s">
        <v>13</v>
      </c>
      <c r="J575" s="12" t="s">
        <v>11</v>
      </c>
      <c r="K575" s="12" t="str">
        <f t="shared" ref="K575:K576" si="332">K574</f>
        <v>2853_01_01_S1_EM01_01_M3</v>
      </c>
      <c r="L575">
        <v>4200</v>
      </c>
    </row>
    <row r="576" spans="1:12" ht="30" customHeight="1" x14ac:dyDescent="0.25">
      <c r="A576" s="12" t="str">
        <f t="shared" si="329"/>
        <v>ЩСд (S1)</v>
      </c>
      <c r="B576" s="19"/>
      <c r="C576" s="20"/>
      <c r="D576" s="21"/>
      <c r="E576" s="23"/>
      <c r="F576" s="25"/>
      <c r="G576" s="24">
        <f ca="1">SUM(G570:G575)</f>
        <v>33121.199999999997</v>
      </c>
      <c r="H576" s="20"/>
      <c r="I576" s="22"/>
      <c r="J576" s="20"/>
      <c r="K576" s="12" t="str">
        <f t="shared" si="332"/>
        <v>2853_01_01_S1_EM01_01_M3</v>
      </c>
      <c r="L576">
        <v>33121.199999999997</v>
      </c>
    </row>
    <row r="577" spans="1:12" ht="39.75" customHeight="1" x14ac:dyDescent="0.25">
      <c r="A577" s="5" t="str">
        <f>D577</f>
        <v>ЩР-М (S1)</v>
      </c>
      <c r="B577" s="6"/>
      <c r="C577" s="7"/>
      <c r="D577" s="6" t="s">
        <v>334</v>
      </c>
      <c r="E577" s="8"/>
      <c r="F577" s="8" t="s">
        <v>40</v>
      </c>
      <c r="G577" s="9"/>
      <c r="H577" s="10">
        <v>1</v>
      </c>
      <c r="I577" s="11" t="s">
        <v>7</v>
      </c>
      <c r="J577" s="6" t="s">
        <v>9</v>
      </c>
      <c r="K577" s="5" t="s">
        <v>196</v>
      </c>
    </row>
    <row r="578" spans="1:12" ht="21" customHeight="1" x14ac:dyDescent="0.25">
      <c r="A578" s="12" t="str">
        <f>A577</f>
        <v>ЩР-М (S1)</v>
      </c>
      <c r="B578" s="13" t="s">
        <v>8</v>
      </c>
      <c r="C578" s="14" t="s">
        <v>312</v>
      </c>
      <c r="D578" s="12" t="s">
        <v>313</v>
      </c>
      <c r="E578" s="13">
        <v>11700</v>
      </c>
      <c r="F578" s="15">
        <f>E578*0.6</f>
        <v>7020</v>
      </c>
      <c r="G578" s="15">
        <f t="shared" ref="G578:G584" si="333">H578*F578</f>
        <v>7020</v>
      </c>
      <c r="H578" s="16">
        <v>1</v>
      </c>
      <c r="I578" s="17" t="s">
        <v>13</v>
      </c>
      <c r="J578" s="13" t="s">
        <v>319</v>
      </c>
      <c r="K578" s="12" t="str">
        <f>K577</f>
        <v>2853_01_01_S1_EM01_01_M3</v>
      </c>
      <c r="L578">
        <v>7020</v>
      </c>
    </row>
    <row r="579" spans="1:12" ht="21" customHeight="1" x14ac:dyDescent="0.25">
      <c r="A579" s="12" t="str">
        <f t="shared" ref="A579" si="334">A578</f>
        <v>ЩР-М (S1)</v>
      </c>
      <c r="B579" s="13" t="s">
        <v>54</v>
      </c>
      <c r="C579" s="14" t="s">
        <v>55</v>
      </c>
      <c r="D579" s="12" t="s">
        <v>56</v>
      </c>
      <c r="E579" s="13">
        <v>3372</v>
      </c>
      <c r="F579" s="15">
        <f t="shared" ref="F579:F582" si="335">E579*0.6</f>
        <v>2023.1999999999998</v>
      </c>
      <c r="G579" s="15">
        <f t="shared" si="333"/>
        <v>2023.1999999999998</v>
      </c>
      <c r="H579" s="16">
        <v>1</v>
      </c>
      <c r="I579" s="17" t="s">
        <v>13</v>
      </c>
      <c r="J579" s="13" t="s">
        <v>17</v>
      </c>
      <c r="K579" s="12" t="str">
        <f t="shared" ref="K579" si="336">K578</f>
        <v>2853_01_01_S1_EM01_01_M3</v>
      </c>
      <c r="L579">
        <v>2023.1999999999998</v>
      </c>
    </row>
    <row r="580" spans="1:12" ht="21" customHeight="1" x14ac:dyDescent="0.25">
      <c r="A580" s="12" t="str">
        <f>A578</f>
        <v>ЩР-М (S1)</v>
      </c>
      <c r="B580" s="13" t="s">
        <v>21</v>
      </c>
      <c r="C580" s="14" t="s">
        <v>44</v>
      </c>
      <c r="D580" s="12" t="s">
        <v>45</v>
      </c>
      <c r="E580" s="13">
        <v>5104</v>
      </c>
      <c r="F580" s="15">
        <f t="shared" si="335"/>
        <v>3062.4</v>
      </c>
      <c r="G580" s="15">
        <f t="shared" si="333"/>
        <v>6124.8</v>
      </c>
      <c r="H580" s="16">
        <v>2</v>
      </c>
      <c r="I580" s="17" t="s">
        <v>13</v>
      </c>
      <c r="J580" s="13" t="s">
        <v>17</v>
      </c>
      <c r="K580" s="12" t="str">
        <f>K578</f>
        <v>2853_01_01_S1_EM01_01_M3</v>
      </c>
      <c r="L580">
        <v>6124.8</v>
      </c>
    </row>
    <row r="581" spans="1:12" ht="21" customHeight="1" x14ac:dyDescent="0.25">
      <c r="A581" s="12" t="str">
        <f>A579</f>
        <v>ЩР-М (S1)</v>
      </c>
      <c r="B581" s="13" t="s">
        <v>12</v>
      </c>
      <c r="C581" s="14" t="s">
        <v>50</v>
      </c>
      <c r="D581" s="12" t="s">
        <v>51</v>
      </c>
      <c r="E581" s="13">
        <v>783</v>
      </c>
      <c r="F581" s="15">
        <f t="shared" si="335"/>
        <v>469.79999999999995</v>
      </c>
      <c r="G581" s="15">
        <f t="shared" si="333"/>
        <v>1409.3999999999999</v>
      </c>
      <c r="H581" s="16">
        <v>3</v>
      </c>
      <c r="I581" s="17" t="s">
        <v>13</v>
      </c>
      <c r="J581" s="13" t="s">
        <v>17</v>
      </c>
      <c r="K581" s="12" t="str">
        <f>K579</f>
        <v>2853_01_01_S1_EM01_01_M3</v>
      </c>
      <c r="L581">
        <v>1409.3999999999999</v>
      </c>
    </row>
    <row r="582" spans="1:12" ht="21" customHeight="1" x14ac:dyDescent="0.25">
      <c r="A582" s="12" t="str">
        <f>A578</f>
        <v>ЩР-М (S1)</v>
      </c>
      <c r="B582" s="13" t="s">
        <v>182</v>
      </c>
      <c r="C582" s="14" t="s">
        <v>178</v>
      </c>
      <c r="D582" s="12" t="s">
        <v>179</v>
      </c>
      <c r="E582" s="13">
        <v>5354</v>
      </c>
      <c r="F582" s="15">
        <f t="shared" si="335"/>
        <v>3212.4</v>
      </c>
      <c r="G582" s="15">
        <f t="shared" si="333"/>
        <v>3212.4</v>
      </c>
      <c r="H582" s="16">
        <v>1</v>
      </c>
      <c r="I582" s="17" t="s">
        <v>13</v>
      </c>
      <c r="J582" s="13" t="s">
        <v>17</v>
      </c>
      <c r="K582" s="12" t="str">
        <f>K578</f>
        <v>2853_01_01_S1_EM01_01_M3</v>
      </c>
      <c r="L582">
        <v>3212.4</v>
      </c>
    </row>
    <row r="583" spans="1:12" ht="24" customHeight="1" x14ac:dyDescent="0.25">
      <c r="A583" s="12" t="str">
        <f>A581</f>
        <v>ЩР-М (S1)</v>
      </c>
      <c r="B583" s="12" t="s">
        <v>10</v>
      </c>
      <c r="C583" s="18" t="s">
        <v>10</v>
      </c>
      <c r="D583" s="12" t="s">
        <v>10</v>
      </c>
      <c r="E583" s="12">
        <f ca="1">OFFSET(E583,1,2)</f>
        <v>4200</v>
      </c>
      <c r="F583" s="15">
        <f ca="1">E583</f>
        <v>4200</v>
      </c>
      <c r="G583" s="15">
        <f t="shared" ca="1" si="333"/>
        <v>4200</v>
      </c>
      <c r="H583" s="12">
        <v>1</v>
      </c>
      <c r="I583" s="12" t="s">
        <v>13</v>
      </c>
      <c r="J583" s="12" t="s">
        <v>10</v>
      </c>
      <c r="K583" s="12" t="str">
        <f>K579</f>
        <v>2853_01_01_S1_EM01_01_M3</v>
      </c>
      <c r="L583">
        <v>4200</v>
      </c>
    </row>
    <row r="584" spans="1:12" ht="21" customHeight="1" x14ac:dyDescent="0.25">
      <c r="A584" s="12" t="str">
        <f t="shared" ref="A584:A585" si="337">A583</f>
        <v>ЩР-М (S1)</v>
      </c>
      <c r="B584" s="12" t="s">
        <v>11</v>
      </c>
      <c r="C584" s="18" t="s">
        <v>11</v>
      </c>
      <c r="D584" s="12" t="s">
        <v>11</v>
      </c>
      <c r="E584" s="12">
        <v>0.7</v>
      </c>
      <c r="F584" s="15">
        <v>100</v>
      </c>
      <c r="G584" s="15">
        <f t="shared" si="333"/>
        <v>4200</v>
      </c>
      <c r="H584" s="12">
        <f>60*E584</f>
        <v>42</v>
      </c>
      <c r="I584" s="12" t="s">
        <v>13</v>
      </c>
      <c r="J584" s="12" t="s">
        <v>11</v>
      </c>
      <c r="K584" s="12" t="str">
        <f t="shared" ref="K584:K585" si="338">K583</f>
        <v>2853_01_01_S1_EM01_01_M3</v>
      </c>
      <c r="L584">
        <v>4200</v>
      </c>
    </row>
    <row r="585" spans="1:12" ht="30" customHeight="1" x14ac:dyDescent="0.25">
      <c r="A585" s="12" t="str">
        <f t="shared" si="337"/>
        <v>ЩР-М (S1)</v>
      </c>
      <c r="B585" s="19"/>
      <c r="C585" s="20"/>
      <c r="D585" s="21"/>
      <c r="E585" s="23"/>
      <c r="F585" s="25"/>
      <c r="G585" s="24">
        <f ca="1">SUM(G578:G584)</f>
        <v>28189.800000000003</v>
      </c>
      <c r="H585" s="20"/>
      <c r="I585" s="22"/>
      <c r="J585" s="20"/>
      <c r="K585" s="12" t="str">
        <f t="shared" si="338"/>
        <v>2853_01_01_S1_EM01_01_M3</v>
      </c>
      <c r="L585">
        <v>28189.800000000003</v>
      </c>
    </row>
    <row r="586" spans="1:12" ht="39.75" customHeight="1" x14ac:dyDescent="0.25">
      <c r="A586" s="5" t="str">
        <f>D586</f>
        <v>ЩР-1.1 (S1)</v>
      </c>
      <c r="B586" s="6"/>
      <c r="C586" s="7"/>
      <c r="D586" s="6" t="s">
        <v>335</v>
      </c>
      <c r="E586" s="8"/>
      <c r="F586" s="8" t="s">
        <v>40</v>
      </c>
      <c r="G586" s="9"/>
      <c r="H586" s="10">
        <v>1</v>
      </c>
      <c r="I586" s="11" t="s">
        <v>7</v>
      </c>
      <c r="J586" s="6" t="s">
        <v>9</v>
      </c>
      <c r="K586" s="5" t="s">
        <v>196</v>
      </c>
    </row>
    <row r="587" spans="1:12" ht="21" customHeight="1" x14ac:dyDescent="0.25">
      <c r="A587" s="12" t="str">
        <f>A586</f>
        <v>ЩР-1.1 (S1)</v>
      </c>
      <c r="B587" s="13" t="s">
        <v>8</v>
      </c>
      <c r="C587" s="14" t="s">
        <v>471</v>
      </c>
      <c r="D587" s="12" t="s">
        <v>472</v>
      </c>
      <c r="E587" s="13">
        <v>10620</v>
      </c>
      <c r="F587" s="15">
        <f t="shared" ref="F587:F588" si="339">E587*0.6</f>
        <v>6372</v>
      </c>
      <c r="G587" s="15">
        <f t="shared" ref="G587:G590" si="340">H587*F587</f>
        <v>6372</v>
      </c>
      <c r="H587" s="16">
        <v>1</v>
      </c>
      <c r="I587" s="17" t="s">
        <v>13</v>
      </c>
      <c r="J587" s="13" t="s">
        <v>16</v>
      </c>
      <c r="K587" s="12" t="str">
        <f>K586</f>
        <v>2853_01_01_S1_EM01_01_M3</v>
      </c>
      <c r="L587">
        <v>6372</v>
      </c>
    </row>
    <row r="588" spans="1:12" ht="21" customHeight="1" x14ac:dyDescent="0.25">
      <c r="A588" s="12" t="str">
        <f t="shared" ref="A588:A591" si="341">A587</f>
        <v>ЩР-1.1 (S1)</v>
      </c>
      <c r="B588" s="13" t="s">
        <v>54</v>
      </c>
      <c r="C588" s="14" t="s">
        <v>57</v>
      </c>
      <c r="D588" s="12" t="s">
        <v>58</v>
      </c>
      <c r="E588" s="13">
        <v>3372</v>
      </c>
      <c r="F588" s="15">
        <f t="shared" si="339"/>
        <v>2023.1999999999998</v>
      </c>
      <c r="G588" s="15">
        <f t="shared" si="340"/>
        <v>2023.1999999999998</v>
      </c>
      <c r="H588" s="16">
        <v>1</v>
      </c>
      <c r="I588" s="17" t="s">
        <v>13</v>
      </c>
      <c r="J588" s="13" t="s">
        <v>17</v>
      </c>
      <c r="K588" s="12" t="str">
        <f t="shared" ref="K588" si="342">K587</f>
        <v>2853_01_01_S1_EM01_01_M3</v>
      </c>
      <c r="L588">
        <v>2023.1999999999998</v>
      </c>
    </row>
    <row r="589" spans="1:12" ht="24" customHeight="1" x14ac:dyDescent="0.25">
      <c r="A589" s="12" t="str">
        <f t="shared" si="341"/>
        <v>ЩР-1.1 (S1)</v>
      </c>
      <c r="B589" s="12" t="s">
        <v>10</v>
      </c>
      <c r="C589" s="18" t="s">
        <v>10</v>
      </c>
      <c r="D589" s="12" t="s">
        <v>10</v>
      </c>
      <c r="E589" s="12">
        <f ca="1">OFFSET(E589,1,2)</f>
        <v>60</v>
      </c>
      <c r="F589" s="15">
        <f ca="1">E589</f>
        <v>60</v>
      </c>
      <c r="G589" s="15">
        <f t="shared" ca="1" si="340"/>
        <v>60</v>
      </c>
      <c r="H589" s="12">
        <v>1</v>
      </c>
      <c r="I589" s="12" t="s">
        <v>13</v>
      </c>
      <c r="J589" s="12" t="s">
        <v>10</v>
      </c>
      <c r="K589" s="12" t="str">
        <f>K588</f>
        <v>2853_01_01_S1_EM01_01_M3</v>
      </c>
      <c r="L589">
        <v>60</v>
      </c>
    </row>
    <row r="590" spans="1:12" ht="21" customHeight="1" x14ac:dyDescent="0.25">
      <c r="A590" s="12" t="str">
        <f t="shared" si="341"/>
        <v>ЩР-1.1 (S1)</v>
      </c>
      <c r="B590" s="12" t="s">
        <v>11</v>
      </c>
      <c r="C590" s="18" t="s">
        <v>11</v>
      </c>
      <c r="D590" s="12" t="s">
        <v>11</v>
      </c>
      <c r="E590" s="12">
        <v>0.01</v>
      </c>
      <c r="F590" s="15">
        <v>100</v>
      </c>
      <c r="G590" s="15">
        <f t="shared" si="340"/>
        <v>60</v>
      </c>
      <c r="H590" s="12">
        <f>60*E590</f>
        <v>0.6</v>
      </c>
      <c r="I590" s="12" t="s">
        <v>13</v>
      </c>
      <c r="J590" s="12" t="s">
        <v>11</v>
      </c>
      <c r="K590" s="12" t="str">
        <f t="shared" ref="K590:K591" si="343">K589</f>
        <v>2853_01_01_S1_EM01_01_M3</v>
      </c>
      <c r="L590">
        <v>60</v>
      </c>
    </row>
    <row r="591" spans="1:12" ht="30" customHeight="1" x14ac:dyDescent="0.25">
      <c r="A591" s="12" t="str">
        <f t="shared" si="341"/>
        <v>ЩР-1.1 (S1)</v>
      </c>
      <c r="B591" s="19"/>
      <c r="C591" s="20"/>
      <c r="D591" s="21"/>
      <c r="E591" s="23"/>
      <c r="F591" s="25"/>
      <c r="G591" s="24">
        <f ca="1">SUM(G587:G590)</f>
        <v>8515.2000000000007</v>
      </c>
      <c r="H591" s="20"/>
      <c r="I591" s="22"/>
      <c r="J591" s="20"/>
      <c r="K591" s="12" t="str">
        <f t="shared" si="343"/>
        <v>2853_01_01_S1_EM01_01_M3</v>
      </c>
      <c r="L591">
        <v>8515.2000000000007</v>
      </c>
    </row>
    <row r="592" spans="1:12" ht="39.75" customHeight="1" x14ac:dyDescent="0.25">
      <c r="A592" s="5" t="str">
        <f>D592</f>
        <v>ЩР-1.2 (S1)</v>
      </c>
      <c r="B592" s="6"/>
      <c r="C592" s="7"/>
      <c r="D592" s="6" t="s">
        <v>336</v>
      </c>
      <c r="E592" s="8"/>
      <c r="F592" s="8" t="s">
        <v>40</v>
      </c>
      <c r="G592" s="9"/>
      <c r="H592" s="10">
        <v>1</v>
      </c>
      <c r="I592" s="11" t="s">
        <v>7</v>
      </c>
      <c r="J592" s="6" t="s">
        <v>9</v>
      </c>
      <c r="K592" s="5" t="s">
        <v>196</v>
      </c>
    </row>
    <row r="593" spans="1:12" ht="21" customHeight="1" x14ac:dyDescent="0.25">
      <c r="A593" s="12" t="str">
        <f>A592</f>
        <v>ЩР-1.2 (S1)</v>
      </c>
      <c r="B593" s="13" t="s">
        <v>8</v>
      </c>
      <c r="C593" s="14" t="s">
        <v>471</v>
      </c>
      <c r="D593" s="12" t="s">
        <v>472</v>
      </c>
      <c r="E593" s="13">
        <v>10620</v>
      </c>
      <c r="F593" s="15">
        <f t="shared" ref="F593:F594" si="344">E593*0.6</f>
        <v>6372</v>
      </c>
      <c r="G593" s="15">
        <f t="shared" ref="G593:G596" si="345">H593*F593</f>
        <v>6372</v>
      </c>
      <c r="H593" s="16">
        <v>1</v>
      </c>
      <c r="I593" s="17" t="s">
        <v>13</v>
      </c>
      <c r="J593" s="13" t="s">
        <v>16</v>
      </c>
      <c r="K593" s="12" t="str">
        <f>K592</f>
        <v>2853_01_01_S1_EM01_01_M3</v>
      </c>
      <c r="L593">
        <v>6372</v>
      </c>
    </row>
    <row r="594" spans="1:12" ht="21" customHeight="1" x14ac:dyDescent="0.25">
      <c r="A594" s="12" t="str">
        <f t="shared" ref="A594:A597" si="346">A593</f>
        <v>ЩР-1.2 (S1)</v>
      </c>
      <c r="B594" s="13" t="s">
        <v>54</v>
      </c>
      <c r="C594" s="14" t="s">
        <v>119</v>
      </c>
      <c r="D594" s="12" t="s">
        <v>120</v>
      </c>
      <c r="E594" s="13">
        <v>4217</v>
      </c>
      <c r="F594" s="15">
        <f t="shared" si="344"/>
        <v>2530.1999999999998</v>
      </c>
      <c r="G594" s="15">
        <f t="shared" si="345"/>
        <v>2530.1999999999998</v>
      </c>
      <c r="H594" s="16">
        <v>1</v>
      </c>
      <c r="I594" s="17" t="s">
        <v>13</v>
      </c>
      <c r="J594" s="13" t="s">
        <v>17</v>
      </c>
      <c r="K594" s="12" t="str">
        <f t="shared" ref="K594" si="347">K593</f>
        <v>2853_01_01_S1_EM01_01_M3</v>
      </c>
      <c r="L594">
        <v>2530.1999999999998</v>
      </c>
    </row>
    <row r="595" spans="1:12" ht="24" customHeight="1" x14ac:dyDescent="0.25">
      <c r="A595" s="12" t="str">
        <f t="shared" si="346"/>
        <v>ЩР-1.2 (S1)</v>
      </c>
      <c r="B595" s="12" t="s">
        <v>10</v>
      </c>
      <c r="C595" s="18" t="s">
        <v>10</v>
      </c>
      <c r="D595" s="12" t="s">
        <v>10</v>
      </c>
      <c r="E595" s="12">
        <f ca="1">OFFSET(E595,1,2)</f>
        <v>60</v>
      </c>
      <c r="F595" s="15">
        <f ca="1">E595</f>
        <v>60</v>
      </c>
      <c r="G595" s="15">
        <f t="shared" ca="1" si="345"/>
        <v>60</v>
      </c>
      <c r="H595" s="12">
        <v>1</v>
      </c>
      <c r="I595" s="12" t="s">
        <v>13</v>
      </c>
      <c r="J595" s="12" t="s">
        <v>10</v>
      </c>
      <c r="K595" s="12" t="str">
        <f>K594</f>
        <v>2853_01_01_S1_EM01_01_M3</v>
      </c>
      <c r="L595">
        <v>60</v>
      </c>
    </row>
    <row r="596" spans="1:12" ht="21" customHeight="1" x14ac:dyDescent="0.25">
      <c r="A596" s="12" t="str">
        <f t="shared" si="346"/>
        <v>ЩР-1.2 (S1)</v>
      </c>
      <c r="B596" s="12" t="s">
        <v>11</v>
      </c>
      <c r="C596" s="18" t="s">
        <v>11</v>
      </c>
      <c r="D596" s="12" t="s">
        <v>11</v>
      </c>
      <c r="E596" s="12">
        <v>0.01</v>
      </c>
      <c r="F596" s="15">
        <v>100</v>
      </c>
      <c r="G596" s="15">
        <f t="shared" si="345"/>
        <v>60</v>
      </c>
      <c r="H596" s="12">
        <f>60*E596</f>
        <v>0.6</v>
      </c>
      <c r="I596" s="12" t="s">
        <v>13</v>
      </c>
      <c r="J596" s="12" t="s">
        <v>11</v>
      </c>
      <c r="K596" s="12" t="str">
        <f t="shared" ref="K596:K597" si="348">K595</f>
        <v>2853_01_01_S1_EM01_01_M3</v>
      </c>
      <c r="L596">
        <v>60</v>
      </c>
    </row>
    <row r="597" spans="1:12" ht="30" customHeight="1" x14ac:dyDescent="0.25">
      <c r="A597" s="12" t="str">
        <f t="shared" si="346"/>
        <v>ЩР-1.2 (S1)</v>
      </c>
      <c r="B597" s="19"/>
      <c r="C597" s="20"/>
      <c r="D597" s="21"/>
      <c r="E597" s="23"/>
      <c r="F597" s="25"/>
      <c r="G597" s="24">
        <f ca="1">SUM(G593:G596)</f>
        <v>9022.2000000000007</v>
      </c>
      <c r="H597" s="20"/>
      <c r="I597" s="22"/>
      <c r="J597" s="20"/>
      <c r="K597" s="12" t="str">
        <f t="shared" si="348"/>
        <v>2853_01_01_S1_EM01_01_M3</v>
      </c>
      <c r="L597">
        <v>9022.2000000000007</v>
      </c>
    </row>
    <row r="598" spans="1:12" ht="39.75" customHeight="1" x14ac:dyDescent="0.25">
      <c r="A598" s="5" t="str">
        <f>D598</f>
        <v>ЩР-М (S1)</v>
      </c>
      <c r="B598" s="6"/>
      <c r="C598" s="7"/>
      <c r="D598" s="6" t="s">
        <v>334</v>
      </c>
      <c r="E598" s="8"/>
      <c r="F598" s="8" t="s">
        <v>40</v>
      </c>
      <c r="G598" s="9"/>
      <c r="H598" s="10">
        <v>1</v>
      </c>
      <c r="I598" s="11" t="s">
        <v>7</v>
      </c>
      <c r="J598" s="6" t="s">
        <v>9</v>
      </c>
      <c r="K598" s="5" t="s">
        <v>196</v>
      </c>
    </row>
    <row r="599" spans="1:12" ht="21" customHeight="1" x14ac:dyDescent="0.25">
      <c r="A599" s="12" t="str">
        <f>A598</f>
        <v>ЩР-М (S1)</v>
      </c>
      <c r="B599" s="13" t="s">
        <v>8</v>
      </c>
      <c r="C599" s="14" t="s">
        <v>471</v>
      </c>
      <c r="D599" s="12" t="s">
        <v>472</v>
      </c>
      <c r="E599" s="13">
        <v>10620</v>
      </c>
      <c r="F599" s="15">
        <f t="shared" ref="F599:F600" si="349">E599*0.6</f>
        <v>6372</v>
      </c>
      <c r="G599" s="15">
        <f t="shared" ref="G599:G602" si="350">H599*F599</f>
        <v>6372</v>
      </c>
      <c r="H599" s="16">
        <v>1</v>
      </c>
      <c r="I599" s="17" t="s">
        <v>13</v>
      </c>
      <c r="J599" s="13" t="s">
        <v>16</v>
      </c>
      <c r="K599" s="12" t="str">
        <f>K598</f>
        <v>2853_01_01_S1_EM01_01_M3</v>
      </c>
      <c r="L599">
        <v>6372</v>
      </c>
    </row>
    <row r="600" spans="1:12" ht="21" customHeight="1" x14ac:dyDescent="0.25">
      <c r="A600" s="12" t="str">
        <f t="shared" ref="A600:A603" si="351">A599</f>
        <v>ЩР-М (S1)</v>
      </c>
      <c r="B600" s="13" t="s">
        <v>54</v>
      </c>
      <c r="C600" s="14" t="s">
        <v>127</v>
      </c>
      <c r="D600" s="12" t="s">
        <v>128</v>
      </c>
      <c r="E600" s="13">
        <v>3372</v>
      </c>
      <c r="F600" s="15">
        <f t="shared" si="349"/>
        <v>2023.1999999999998</v>
      </c>
      <c r="G600" s="15">
        <f t="shared" si="350"/>
        <v>2023.1999999999998</v>
      </c>
      <c r="H600" s="16">
        <v>1</v>
      </c>
      <c r="I600" s="17" t="s">
        <v>13</v>
      </c>
      <c r="J600" s="13" t="s">
        <v>17</v>
      </c>
      <c r="K600" s="12" t="str">
        <f t="shared" ref="K600" si="352">K599</f>
        <v>2853_01_01_S1_EM01_01_M3</v>
      </c>
      <c r="L600">
        <v>2023.1999999999998</v>
      </c>
    </row>
    <row r="601" spans="1:12" ht="24" customHeight="1" x14ac:dyDescent="0.25">
      <c r="A601" s="12" t="str">
        <f t="shared" si="351"/>
        <v>ЩР-М (S1)</v>
      </c>
      <c r="B601" s="12" t="s">
        <v>10</v>
      </c>
      <c r="C601" s="18" t="s">
        <v>10</v>
      </c>
      <c r="D601" s="12" t="s">
        <v>10</v>
      </c>
      <c r="E601" s="12">
        <f ca="1">OFFSET(E601,1,2)</f>
        <v>60</v>
      </c>
      <c r="F601" s="15">
        <f ca="1">E601</f>
        <v>60</v>
      </c>
      <c r="G601" s="15">
        <f t="shared" ca="1" si="350"/>
        <v>60</v>
      </c>
      <c r="H601" s="12">
        <v>1</v>
      </c>
      <c r="I601" s="12" t="s">
        <v>13</v>
      </c>
      <c r="J601" s="12" t="s">
        <v>10</v>
      </c>
      <c r="K601" s="12" t="str">
        <f>K600</f>
        <v>2853_01_01_S1_EM01_01_M3</v>
      </c>
      <c r="L601">
        <v>60</v>
      </c>
    </row>
    <row r="602" spans="1:12" ht="21" customHeight="1" x14ac:dyDescent="0.25">
      <c r="A602" s="12" t="str">
        <f t="shared" si="351"/>
        <v>ЩР-М (S1)</v>
      </c>
      <c r="B602" s="12" t="s">
        <v>11</v>
      </c>
      <c r="C602" s="18" t="s">
        <v>11</v>
      </c>
      <c r="D602" s="12" t="s">
        <v>11</v>
      </c>
      <c r="E602" s="12">
        <v>0.01</v>
      </c>
      <c r="F602" s="15">
        <v>100</v>
      </c>
      <c r="G602" s="15">
        <f t="shared" si="350"/>
        <v>60</v>
      </c>
      <c r="H602" s="12">
        <f>60*E602</f>
        <v>0.6</v>
      </c>
      <c r="I602" s="12" t="s">
        <v>13</v>
      </c>
      <c r="J602" s="12" t="s">
        <v>11</v>
      </c>
      <c r="K602" s="12" t="str">
        <f t="shared" ref="K602:K603" si="353">K601</f>
        <v>2853_01_01_S1_EM01_01_M3</v>
      </c>
      <c r="L602">
        <v>60</v>
      </c>
    </row>
    <row r="603" spans="1:12" ht="30" customHeight="1" x14ac:dyDescent="0.25">
      <c r="A603" s="12" t="str">
        <f t="shared" si="351"/>
        <v>ЩР-М (S1)</v>
      </c>
      <c r="B603" s="19"/>
      <c r="C603" s="20"/>
      <c r="D603" s="21"/>
      <c r="E603" s="23"/>
      <c r="F603" s="25"/>
      <c r="G603" s="24">
        <f ca="1">SUM(G599:G602)</f>
        <v>8515.2000000000007</v>
      </c>
      <c r="H603" s="20"/>
      <c r="I603" s="22"/>
      <c r="J603" s="20"/>
      <c r="K603" s="12" t="str">
        <f t="shared" si="353"/>
        <v>2853_01_01_S1_EM01_01_M3</v>
      </c>
      <c r="L603">
        <v>8515.2000000000007</v>
      </c>
    </row>
    <row r="604" spans="1:12" ht="39.75" customHeight="1" x14ac:dyDescent="0.25">
      <c r="A604" s="5" t="str">
        <f>D604</f>
        <v>ЩР-6.2 (S1)</v>
      </c>
      <c r="B604" s="6"/>
      <c r="C604" s="7"/>
      <c r="D604" s="6" t="s">
        <v>337</v>
      </c>
      <c r="E604" s="8"/>
      <c r="F604" s="8" t="s">
        <v>40</v>
      </c>
      <c r="G604" s="9"/>
      <c r="H604" s="10">
        <v>1</v>
      </c>
      <c r="I604" s="11" t="s">
        <v>7</v>
      </c>
      <c r="J604" s="6" t="s">
        <v>9</v>
      </c>
      <c r="K604" s="5" t="s">
        <v>196</v>
      </c>
    </row>
    <row r="605" spans="1:12" ht="21" customHeight="1" x14ac:dyDescent="0.25">
      <c r="A605" s="12" t="str">
        <f>A604</f>
        <v>ЩР-6.2 (S1)</v>
      </c>
      <c r="B605" s="13" t="s">
        <v>8</v>
      </c>
      <c r="C605" s="14" t="s">
        <v>471</v>
      </c>
      <c r="D605" s="12" t="s">
        <v>472</v>
      </c>
      <c r="E605" s="13">
        <v>10620</v>
      </c>
      <c r="F605" s="15">
        <f t="shared" ref="F605:F606" si="354">E605*0.6</f>
        <v>6372</v>
      </c>
      <c r="G605" s="15">
        <f t="shared" ref="G605:G608" si="355">H605*F605</f>
        <v>6372</v>
      </c>
      <c r="H605" s="16">
        <v>1</v>
      </c>
      <c r="I605" s="17" t="s">
        <v>13</v>
      </c>
      <c r="J605" s="13" t="s">
        <v>16</v>
      </c>
      <c r="K605" s="12" t="str">
        <f>K604</f>
        <v>2853_01_01_S1_EM01_01_M3</v>
      </c>
      <c r="L605">
        <v>6372</v>
      </c>
    </row>
    <row r="606" spans="1:12" ht="21" customHeight="1" x14ac:dyDescent="0.25">
      <c r="A606" s="12" t="str">
        <f t="shared" ref="A606:A609" si="356">A605</f>
        <v>ЩР-6.2 (S1)</v>
      </c>
      <c r="B606" s="13" t="s">
        <v>54</v>
      </c>
      <c r="C606" s="14" t="s">
        <v>129</v>
      </c>
      <c r="D606" s="12" t="s">
        <v>130</v>
      </c>
      <c r="E606" s="13">
        <v>4439</v>
      </c>
      <c r="F606" s="15">
        <f t="shared" si="354"/>
        <v>2663.4</v>
      </c>
      <c r="G606" s="15">
        <f t="shared" si="355"/>
        <v>2663.4</v>
      </c>
      <c r="H606" s="16">
        <v>1</v>
      </c>
      <c r="I606" s="17" t="s">
        <v>13</v>
      </c>
      <c r="J606" s="13" t="s">
        <v>17</v>
      </c>
      <c r="K606" s="12" t="str">
        <f t="shared" ref="K606" si="357">K605</f>
        <v>2853_01_01_S1_EM01_01_M3</v>
      </c>
      <c r="L606">
        <v>2663.4</v>
      </c>
    </row>
    <row r="607" spans="1:12" ht="24" customHeight="1" x14ac:dyDescent="0.25">
      <c r="A607" s="12" t="str">
        <f t="shared" si="356"/>
        <v>ЩР-6.2 (S1)</v>
      </c>
      <c r="B607" s="12" t="s">
        <v>10</v>
      </c>
      <c r="C607" s="18" t="s">
        <v>10</v>
      </c>
      <c r="D607" s="12" t="s">
        <v>10</v>
      </c>
      <c r="E607" s="12">
        <f ca="1">OFFSET(E607,1,2)</f>
        <v>60</v>
      </c>
      <c r="F607" s="15">
        <f ca="1">E607</f>
        <v>60</v>
      </c>
      <c r="G607" s="15">
        <f t="shared" ca="1" si="355"/>
        <v>60</v>
      </c>
      <c r="H607" s="12">
        <v>1</v>
      </c>
      <c r="I607" s="12" t="s">
        <v>13</v>
      </c>
      <c r="J607" s="12" t="s">
        <v>10</v>
      </c>
      <c r="K607" s="12" t="str">
        <f>K606</f>
        <v>2853_01_01_S1_EM01_01_M3</v>
      </c>
      <c r="L607">
        <v>60</v>
      </c>
    </row>
    <row r="608" spans="1:12" ht="21" customHeight="1" x14ac:dyDescent="0.25">
      <c r="A608" s="12" t="str">
        <f t="shared" si="356"/>
        <v>ЩР-6.2 (S1)</v>
      </c>
      <c r="B608" s="12" t="s">
        <v>11</v>
      </c>
      <c r="C608" s="18" t="s">
        <v>11</v>
      </c>
      <c r="D608" s="12" t="s">
        <v>11</v>
      </c>
      <c r="E608" s="12">
        <v>0.01</v>
      </c>
      <c r="F608" s="15">
        <v>100</v>
      </c>
      <c r="G608" s="15">
        <f t="shared" si="355"/>
        <v>60</v>
      </c>
      <c r="H608" s="12">
        <f>60*E608</f>
        <v>0.6</v>
      </c>
      <c r="I608" s="12" t="s">
        <v>13</v>
      </c>
      <c r="J608" s="12" t="s">
        <v>11</v>
      </c>
      <c r="K608" s="12" t="str">
        <f t="shared" ref="K608:K609" si="358">K607</f>
        <v>2853_01_01_S1_EM01_01_M3</v>
      </c>
      <c r="L608">
        <v>60</v>
      </c>
    </row>
    <row r="609" spans="1:12" ht="30" customHeight="1" x14ac:dyDescent="0.25">
      <c r="A609" s="12" t="str">
        <f t="shared" si="356"/>
        <v>ЩР-6.2 (S1)</v>
      </c>
      <c r="B609" s="19"/>
      <c r="C609" s="20"/>
      <c r="D609" s="21"/>
      <c r="E609" s="23"/>
      <c r="F609" s="25"/>
      <c r="G609" s="24">
        <f ca="1">SUM(G605:G608)</f>
        <v>9155.4</v>
      </c>
      <c r="H609" s="20"/>
      <c r="I609" s="22"/>
      <c r="J609" s="20"/>
      <c r="K609" s="12" t="str">
        <f t="shared" si="358"/>
        <v>2853_01_01_S1_EM01_01_M3</v>
      </c>
      <c r="L609">
        <v>9155.4</v>
      </c>
    </row>
    <row r="610" spans="1:12" ht="39.75" customHeight="1" x14ac:dyDescent="0.25">
      <c r="A610" s="5" t="str">
        <f>D610</f>
        <v>ЩЭ-5 (S1)</v>
      </c>
      <c r="B610" s="6"/>
      <c r="C610" s="7"/>
      <c r="D610" s="6" t="s">
        <v>338</v>
      </c>
      <c r="E610" s="8"/>
      <c r="F610" s="8" t="s">
        <v>40</v>
      </c>
      <c r="G610" s="9"/>
      <c r="H610" s="10">
        <v>8</v>
      </c>
      <c r="I610" s="11" t="s">
        <v>7</v>
      </c>
      <c r="J610" s="6" t="s">
        <v>9</v>
      </c>
      <c r="K610" s="5" t="s">
        <v>196</v>
      </c>
    </row>
    <row r="611" spans="1:12" ht="21" customHeight="1" x14ac:dyDescent="0.25">
      <c r="A611" s="12" t="str">
        <f>A610</f>
        <v>ЩЭ-5 (S1)</v>
      </c>
      <c r="B611" s="13" t="s">
        <v>8</v>
      </c>
      <c r="C611" s="14" t="s">
        <v>467</v>
      </c>
      <c r="D611" s="12" t="s">
        <v>460</v>
      </c>
      <c r="E611" s="13">
        <v>89000</v>
      </c>
      <c r="F611" s="15">
        <f>E611*0.6</f>
        <v>53400</v>
      </c>
      <c r="G611" s="15">
        <f t="shared" ref="G611:G620" si="359">H611*F611</f>
        <v>53400</v>
      </c>
      <c r="H611" s="16">
        <v>1</v>
      </c>
      <c r="I611" s="17" t="s">
        <v>13</v>
      </c>
      <c r="J611" s="13" t="s">
        <v>16</v>
      </c>
      <c r="K611" s="12" t="str">
        <f>K610</f>
        <v>2853_01_01_S1_EM01_01_M3</v>
      </c>
      <c r="L611">
        <v>53400</v>
      </c>
    </row>
    <row r="612" spans="1:12" ht="21" customHeight="1" x14ac:dyDescent="0.25">
      <c r="A612" s="12" t="str">
        <f>A610</f>
        <v>ЩЭ-5 (S1)</v>
      </c>
      <c r="B612" s="13" t="s">
        <v>54</v>
      </c>
      <c r="C612" s="14" t="s">
        <v>192</v>
      </c>
      <c r="D612" s="12" t="s">
        <v>193</v>
      </c>
      <c r="E612" s="13">
        <v>2824</v>
      </c>
      <c r="F612" s="15">
        <f t="shared" ref="F612:F615" si="360">E612*0.6</f>
        <v>1694.3999999999999</v>
      </c>
      <c r="G612" s="15">
        <f t="shared" si="359"/>
        <v>1694.3999999999999</v>
      </c>
      <c r="H612" s="16">
        <v>1</v>
      </c>
      <c r="I612" s="17" t="s">
        <v>13</v>
      </c>
      <c r="J612" s="13" t="s">
        <v>17</v>
      </c>
      <c r="K612" s="12" t="str">
        <f>K610</f>
        <v>2853_01_01_S1_EM01_01_M3</v>
      </c>
      <c r="L612">
        <v>1694.3999999999999</v>
      </c>
    </row>
    <row r="613" spans="1:12" ht="21" customHeight="1" x14ac:dyDescent="0.25">
      <c r="A613" s="12" t="str">
        <f>A611</f>
        <v>ЩЭ-5 (S1)</v>
      </c>
      <c r="B613" s="13" t="s">
        <v>54</v>
      </c>
      <c r="C613" s="14" t="s">
        <v>267</v>
      </c>
      <c r="D613" s="12" t="s">
        <v>268</v>
      </c>
      <c r="E613" s="13">
        <v>1129</v>
      </c>
      <c r="F613" s="15">
        <f t="shared" si="360"/>
        <v>677.4</v>
      </c>
      <c r="G613" s="15">
        <f t="shared" si="359"/>
        <v>2709.6</v>
      </c>
      <c r="H613" s="16">
        <v>4</v>
      </c>
      <c r="I613" s="17" t="s">
        <v>13</v>
      </c>
      <c r="J613" s="13" t="s">
        <v>17</v>
      </c>
      <c r="K613" s="12" t="str">
        <f>K611</f>
        <v>2853_01_01_S1_EM01_01_M3</v>
      </c>
      <c r="L613">
        <v>2709.6</v>
      </c>
    </row>
    <row r="614" spans="1:12" ht="21" customHeight="1" x14ac:dyDescent="0.25">
      <c r="A614" s="12" t="str">
        <f>A612</f>
        <v>ЩЭ-5 (S1)</v>
      </c>
      <c r="B614" s="13" t="s">
        <v>21</v>
      </c>
      <c r="C614" s="14" t="s">
        <v>269</v>
      </c>
      <c r="D614" s="12" t="s">
        <v>270</v>
      </c>
      <c r="E614" s="13">
        <v>5919</v>
      </c>
      <c r="F614" s="15">
        <f t="shared" si="360"/>
        <v>3551.4</v>
      </c>
      <c r="G614" s="15">
        <f t="shared" si="359"/>
        <v>3551.4</v>
      </c>
      <c r="H614" s="16">
        <v>1</v>
      </c>
      <c r="I614" s="17" t="s">
        <v>13</v>
      </c>
      <c r="J614" s="13" t="s">
        <v>17</v>
      </c>
      <c r="K614" s="12" t="str">
        <f>K612</f>
        <v>2853_01_01_S1_EM01_01_M3</v>
      </c>
      <c r="L614">
        <v>3551.4</v>
      </c>
    </row>
    <row r="615" spans="1:12" ht="21" customHeight="1" x14ac:dyDescent="0.25">
      <c r="A615" s="12" t="str">
        <f>A613</f>
        <v>ЩЭ-5 (S1)</v>
      </c>
      <c r="B615" s="13" t="s">
        <v>21</v>
      </c>
      <c r="C615" s="14" t="s">
        <v>185</v>
      </c>
      <c r="D615" s="12" t="s">
        <v>186</v>
      </c>
      <c r="E615" s="13">
        <v>9380</v>
      </c>
      <c r="F615" s="15">
        <f t="shared" si="360"/>
        <v>5628</v>
      </c>
      <c r="G615" s="15">
        <f t="shared" si="359"/>
        <v>22512</v>
      </c>
      <c r="H615" s="16">
        <v>4</v>
      </c>
      <c r="I615" s="17" t="s">
        <v>13</v>
      </c>
      <c r="J615" s="13" t="s">
        <v>17</v>
      </c>
      <c r="K615" s="12" t="str">
        <f>K613</f>
        <v>2853_01_01_S1_EM01_01_M3</v>
      </c>
      <c r="L615">
        <v>22512</v>
      </c>
    </row>
    <row r="616" spans="1:12" ht="22.5" customHeight="1" x14ac:dyDescent="0.25">
      <c r="A616" s="12" t="str">
        <f t="shared" ref="A616" si="361">A615</f>
        <v>ЩЭ-5 (S1)</v>
      </c>
      <c r="B616" s="13" t="s">
        <v>18</v>
      </c>
      <c r="C616" s="14" t="s">
        <v>294</v>
      </c>
      <c r="D616" s="12" t="s">
        <v>295</v>
      </c>
      <c r="E616" s="13">
        <v>90000</v>
      </c>
      <c r="F616" s="15">
        <f t="shared" ref="F616" si="362">E616</f>
        <v>90000</v>
      </c>
      <c r="G616" s="15">
        <f t="shared" si="359"/>
        <v>0</v>
      </c>
      <c r="H616" s="16">
        <v>0</v>
      </c>
      <c r="I616" s="17" t="s">
        <v>13</v>
      </c>
      <c r="J616" s="13" t="s">
        <v>24</v>
      </c>
      <c r="K616" s="12" t="str">
        <f t="shared" ref="K616" si="363">K615</f>
        <v>2853_01_01_S1_EM01_01_M3</v>
      </c>
      <c r="L616">
        <v>0</v>
      </c>
    </row>
    <row r="617" spans="1:12" ht="22.5" customHeight="1" x14ac:dyDescent="0.25">
      <c r="A617" s="12" t="str">
        <f t="shared" ref="A617" si="364">A615</f>
        <v>ЩЭ-5 (S1)</v>
      </c>
      <c r="B617" s="13" t="s">
        <v>18</v>
      </c>
      <c r="C617" s="14" t="s">
        <v>292</v>
      </c>
      <c r="D617" s="12" t="s">
        <v>293</v>
      </c>
      <c r="E617" s="13">
        <v>90000</v>
      </c>
      <c r="F617" s="15">
        <f t="shared" ref="F617" si="365">E617</f>
        <v>90000</v>
      </c>
      <c r="G617" s="15">
        <f t="shared" si="359"/>
        <v>0</v>
      </c>
      <c r="H617" s="16">
        <v>0</v>
      </c>
      <c r="I617" s="17" t="s">
        <v>13</v>
      </c>
      <c r="J617" s="13" t="s">
        <v>24</v>
      </c>
      <c r="K617" s="12" t="str">
        <f t="shared" ref="K617" si="366">K615</f>
        <v>2853_01_01_S1_EM01_01_M3</v>
      </c>
      <c r="L617">
        <v>0</v>
      </c>
    </row>
    <row r="618" spans="1:12" ht="22.5" customHeight="1" x14ac:dyDescent="0.25">
      <c r="A618" s="12" t="str">
        <f t="shared" ref="A618:A621" si="367">A617</f>
        <v>ЩЭ-5 (S1)</v>
      </c>
      <c r="B618" s="13" t="s">
        <v>204</v>
      </c>
      <c r="C618" s="14" t="s">
        <v>284</v>
      </c>
      <c r="D618" s="12" t="s">
        <v>285</v>
      </c>
      <c r="E618" s="13">
        <v>1738</v>
      </c>
      <c r="F618" s="15">
        <f>E618*0.6</f>
        <v>1042.8</v>
      </c>
      <c r="G618" s="15">
        <f t="shared" si="359"/>
        <v>1042.8</v>
      </c>
      <c r="H618" s="16">
        <v>1</v>
      </c>
      <c r="I618" s="17" t="s">
        <v>13</v>
      </c>
      <c r="J618" s="13" t="s">
        <v>17</v>
      </c>
      <c r="K618" s="12" t="str">
        <f t="shared" ref="K618:K620" si="368">K617</f>
        <v>2853_01_01_S1_EM01_01_M3</v>
      </c>
      <c r="L618">
        <v>1042.8</v>
      </c>
    </row>
    <row r="619" spans="1:12" ht="24" customHeight="1" x14ac:dyDescent="0.25">
      <c r="A619" s="12" t="str">
        <f>A617</f>
        <v>ЩЭ-5 (S1)</v>
      </c>
      <c r="B619" s="12" t="s">
        <v>10</v>
      </c>
      <c r="C619" s="18" t="s">
        <v>10</v>
      </c>
      <c r="D619" s="12" t="s">
        <v>10</v>
      </c>
      <c r="E619" s="12">
        <f ca="1">OFFSET(E619,1,2)</f>
        <v>18000</v>
      </c>
      <c r="F619" s="15">
        <f ca="1">E619</f>
        <v>18000</v>
      </c>
      <c r="G619" s="15">
        <f t="shared" ca="1" si="359"/>
        <v>18000</v>
      </c>
      <c r="H619" s="12">
        <v>1</v>
      </c>
      <c r="I619" s="12" t="s">
        <v>13</v>
      </c>
      <c r="J619" s="12" t="s">
        <v>10</v>
      </c>
      <c r="K619" s="12" t="str">
        <f>K617</f>
        <v>2853_01_01_S1_EM01_01_M3</v>
      </c>
      <c r="L619">
        <v>18000</v>
      </c>
    </row>
    <row r="620" spans="1:12" ht="21" customHeight="1" x14ac:dyDescent="0.25">
      <c r="A620" s="12" t="str">
        <f t="shared" si="367"/>
        <v>ЩЭ-5 (S1)</v>
      </c>
      <c r="B620" s="12" t="s">
        <v>11</v>
      </c>
      <c r="C620" s="18" t="s">
        <v>11</v>
      </c>
      <c r="D620" s="12" t="s">
        <v>11</v>
      </c>
      <c r="E620" s="12">
        <v>3</v>
      </c>
      <c r="F620" s="15">
        <v>100</v>
      </c>
      <c r="G620" s="15">
        <f t="shared" si="359"/>
        <v>18000</v>
      </c>
      <c r="H620" s="12">
        <f>60*E620</f>
        <v>180</v>
      </c>
      <c r="I620" s="12" t="s">
        <v>13</v>
      </c>
      <c r="J620" s="12" t="s">
        <v>11</v>
      </c>
      <c r="K620" s="12" t="str">
        <f t="shared" si="368"/>
        <v>2853_01_01_S1_EM01_01_M3</v>
      </c>
      <c r="L620">
        <v>18000</v>
      </c>
    </row>
    <row r="621" spans="1:12" ht="30" customHeight="1" x14ac:dyDescent="0.25">
      <c r="A621" s="12" t="str">
        <f t="shared" si="367"/>
        <v>ЩЭ-5 (S1)</v>
      </c>
      <c r="B621" s="19"/>
      <c r="C621" s="20"/>
      <c r="D621" s="21"/>
      <c r="E621" s="23"/>
      <c r="F621" s="25"/>
      <c r="G621" s="24">
        <f ca="1">SUM(G611:G620)</f>
        <v>120910.2</v>
      </c>
      <c r="H621" s="20"/>
      <c r="I621" s="22"/>
      <c r="J621" s="20"/>
      <c r="K621" s="12" t="str">
        <f t="shared" ref="K621" si="369">K620</f>
        <v>2853_01_01_S1_EM01_01_M3</v>
      </c>
      <c r="L621">
        <v>120910.2</v>
      </c>
    </row>
    <row r="622" spans="1:12" ht="39.75" customHeight="1" x14ac:dyDescent="0.25">
      <c r="A622" s="5" t="str">
        <f>D622</f>
        <v>ЩК1 (S1)</v>
      </c>
      <c r="B622" s="6"/>
      <c r="C622" s="7"/>
      <c r="D622" s="6" t="s">
        <v>339</v>
      </c>
      <c r="E622" s="8"/>
      <c r="F622" s="8" t="s">
        <v>40</v>
      </c>
      <c r="G622" s="9"/>
      <c r="H622" s="10">
        <v>32</v>
      </c>
      <c r="I622" s="11" t="s">
        <v>7</v>
      </c>
      <c r="J622" s="6" t="s">
        <v>9</v>
      </c>
      <c r="K622" s="5" t="s">
        <v>196</v>
      </c>
    </row>
    <row r="623" spans="1:12" ht="21" customHeight="1" x14ac:dyDescent="0.25">
      <c r="A623" s="12" t="str">
        <f>A622</f>
        <v>ЩК1 (S1)</v>
      </c>
      <c r="B623" s="13" t="s">
        <v>8</v>
      </c>
      <c r="C623" s="14" t="s">
        <v>308</v>
      </c>
      <c r="D623" s="12" t="s">
        <v>309</v>
      </c>
      <c r="E623" s="13">
        <v>10050</v>
      </c>
      <c r="F623" s="15">
        <f t="shared" ref="F623:F628" si="370">E623*0.6</f>
        <v>6030</v>
      </c>
      <c r="G623" s="15">
        <f t="shared" ref="G623:G630" si="371">H623*F623</f>
        <v>6030</v>
      </c>
      <c r="H623" s="16">
        <v>1</v>
      </c>
      <c r="I623" s="17" t="s">
        <v>13</v>
      </c>
      <c r="J623" s="13" t="s">
        <v>16</v>
      </c>
      <c r="K623" s="12" t="str">
        <f>K622</f>
        <v>2853_01_01_S1_EM01_01_M3</v>
      </c>
      <c r="L623">
        <v>6030</v>
      </c>
    </row>
    <row r="624" spans="1:12" ht="21" customHeight="1" x14ac:dyDescent="0.25">
      <c r="A624" s="12" t="str">
        <f t="shared" ref="A624:A631" si="372">A623</f>
        <v>ЩК1 (S1)</v>
      </c>
      <c r="B624" s="13" t="s">
        <v>54</v>
      </c>
      <c r="C624" s="14" t="s">
        <v>183</v>
      </c>
      <c r="D624" s="12" t="s">
        <v>184</v>
      </c>
      <c r="E624" s="13">
        <v>2249</v>
      </c>
      <c r="F624" s="15">
        <f t="shared" si="370"/>
        <v>1349.3999999999999</v>
      </c>
      <c r="G624" s="15">
        <f t="shared" si="371"/>
        <v>1349.3999999999999</v>
      </c>
      <c r="H624" s="16">
        <v>1</v>
      </c>
      <c r="I624" s="17" t="s">
        <v>13</v>
      </c>
      <c r="J624" s="13" t="s">
        <v>17</v>
      </c>
      <c r="K624" s="12" t="str">
        <f t="shared" ref="K624:K631" si="373">K623</f>
        <v>2853_01_01_S1_EM01_01_M3</v>
      </c>
      <c r="L624">
        <v>1349.3999999999999</v>
      </c>
    </row>
    <row r="625" spans="1:12" ht="21" customHeight="1" x14ac:dyDescent="0.25">
      <c r="A625" s="12" t="str">
        <f t="shared" si="372"/>
        <v>ЩК1 (S1)</v>
      </c>
      <c r="B625" s="13" t="s">
        <v>21</v>
      </c>
      <c r="C625" s="14" t="s">
        <v>187</v>
      </c>
      <c r="D625" s="12" t="s">
        <v>188</v>
      </c>
      <c r="E625" s="13">
        <v>5632</v>
      </c>
      <c r="F625" s="15">
        <f t="shared" si="370"/>
        <v>3379.2</v>
      </c>
      <c r="G625" s="15">
        <f t="shared" si="371"/>
        <v>3379.2</v>
      </c>
      <c r="H625" s="16">
        <v>1</v>
      </c>
      <c r="I625" s="17" t="s">
        <v>13</v>
      </c>
      <c r="J625" s="13" t="s">
        <v>17</v>
      </c>
      <c r="K625" s="12" t="str">
        <f t="shared" si="373"/>
        <v>2853_01_01_S1_EM01_01_M3</v>
      </c>
      <c r="L625">
        <v>3379.2</v>
      </c>
    </row>
    <row r="626" spans="1:12" ht="21" customHeight="1" x14ac:dyDescent="0.25">
      <c r="A626" s="12" t="str">
        <f t="shared" ref="A626" si="374">A625</f>
        <v>ЩК1 (S1)</v>
      </c>
      <c r="B626" s="13" t="s">
        <v>191</v>
      </c>
      <c r="C626" s="14" t="s">
        <v>189</v>
      </c>
      <c r="D626" s="12" t="s">
        <v>190</v>
      </c>
      <c r="E626" s="13">
        <v>7795</v>
      </c>
      <c r="F626" s="15">
        <f t="shared" si="370"/>
        <v>4677</v>
      </c>
      <c r="G626" s="15">
        <f t="shared" si="371"/>
        <v>4677</v>
      </c>
      <c r="H626" s="16">
        <v>1</v>
      </c>
      <c r="I626" s="17" t="s">
        <v>13</v>
      </c>
      <c r="J626" s="13" t="s">
        <v>17</v>
      </c>
      <c r="K626" s="12" t="str">
        <f t="shared" ref="K626" si="375">K625</f>
        <v>2853_01_01_S1_EM01_01_M3</v>
      </c>
      <c r="L626">
        <v>4677</v>
      </c>
    </row>
    <row r="627" spans="1:12" ht="21" customHeight="1" x14ac:dyDescent="0.25">
      <c r="A627" s="12" t="str">
        <f>A622</f>
        <v>ЩК1 (S1)</v>
      </c>
      <c r="B627" s="13" t="s">
        <v>12</v>
      </c>
      <c r="C627" s="14" t="s">
        <v>125</v>
      </c>
      <c r="D627" s="12" t="s">
        <v>126</v>
      </c>
      <c r="E627" s="13">
        <v>796</v>
      </c>
      <c r="F627" s="15">
        <f t="shared" si="370"/>
        <v>477.59999999999997</v>
      </c>
      <c r="G627" s="15">
        <f t="shared" si="371"/>
        <v>1910.3999999999999</v>
      </c>
      <c r="H627" s="16">
        <v>4</v>
      </c>
      <c r="I627" s="17" t="s">
        <v>13</v>
      </c>
      <c r="J627" s="13" t="s">
        <v>17</v>
      </c>
      <c r="K627" s="12" t="str">
        <f>K622</f>
        <v>2853_01_01_S1_EM01_01_M3</v>
      </c>
      <c r="L627">
        <v>1910.3999999999999</v>
      </c>
    </row>
    <row r="628" spans="1:12" ht="21" customHeight="1" x14ac:dyDescent="0.25">
      <c r="A628" s="12" t="str">
        <f>A623</f>
        <v>ЩК1 (S1)</v>
      </c>
      <c r="B628" s="13" t="s">
        <v>12</v>
      </c>
      <c r="C628" s="14" t="s">
        <v>36</v>
      </c>
      <c r="D628" s="12" t="s">
        <v>37</v>
      </c>
      <c r="E628" s="13">
        <v>783</v>
      </c>
      <c r="F628" s="15">
        <f t="shared" si="370"/>
        <v>469.79999999999995</v>
      </c>
      <c r="G628" s="15">
        <f t="shared" si="371"/>
        <v>469.79999999999995</v>
      </c>
      <c r="H628" s="16">
        <v>1</v>
      </c>
      <c r="I628" s="17" t="s">
        <v>13</v>
      </c>
      <c r="J628" s="13" t="s">
        <v>17</v>
      </c>
      <c r="K628" s="12" t="str">
        <f>K623</f>
        <v>2853_01_01_S1_EM01_01_M3</v>
      </c>
      <c r="L628">
        <v>469.79999999999995</v>
      </c>
    </row>
    <row r="629" spans="1:12" ht="24" customHeight="1" x14ac:dyDescent="0.25">
      <c r="A629" s="12" t="str">
        <f t="shared" si="372"/>
        <v>ЩК1 (S1)</v>
      </c>
      <c r="B629" s="12" t="s">
        <v>10</v>
      </c>
      <c r="C629" s="18" t="s">
        <v>10</v>
      </c>
      <c r="D629" s="12" t="s">
        <v>10</v>
      </c>
      <c r="E629" s="12">
        <f ca="1">OFFSET(E629,1,2)</f>
        <v>4200</v>
      </c>
      <c r="F629" s="15">
        <f ca="1">E629</f>
        <v>4200</v>
      </c>
      <c r="G629" s="15">
        <f t="shared" ca="1" si="371"/>
        <v>4200</v>
      </c>
      <c r="H629" s="12">
        <v>1</v>
      </c>
      <c r="I629" s="12" t="s">
        <v>13</v>
      </c>
      <c r="J629" s="12" t="s">
        <v>10</v>
      </c>
      <c r="K629" s="12" t="str">
        <f t="shared" si="373"/>
        <v>2853_01_01_S1_EM01_01_M3</v>
      </c>
      <c r="L629">
        <v>4200</v>
      </c>
    </row>
    <row r="630" spans="1:12" ht="21" customHeight="1" x14ac:dyDescent="0.25">
      <c r="A630" s="12" t="str">
        <f t="shared" si="372"/>
        <v>ЩК1 (S1)</v>
      </c>
      <c r="B630" s="12" t="s">
        <v>11</v>
      </c>
      <c r="C630" s="18" t="s">
        <v>11</v>
      </c>
      <c r="D630" s="12" t="s">
        <v>11</v>
      </c>
      <c r="E630" s="12">
        <v>0.7</v>
      </c>
      <c r="F630" s="15">
        <v>100</v>
      </c>
      <c r="G630" s="15">
        <f t="shared" si="371"/>
        <v>4200</v>
      </c>
      <c r="H630" s="12">
        <f>60*E630</f>
        <v>42</v>
      </c>
      <c r="I630" s="12" t="s">
        <v>13</v>
      </c>
      <c r="J630" s="12" t="s">
        <v>11</v>
      </c>
      <c r="K630" s="12" t="str">
        <f t="shared" si="373"/>
        <v>2853_01_01_S1_EM01_01_M3</v>
      </c>
      <c r="L630">
        <v>4200</v>
      </c>
    </row>
    <row r="631" spans="1:12" ht="30" customHeight="1" x14ac:dyDescent="0.25">
      <c r="A631" s="12" t="str">
        <f t="shared" si="372"/>
        <v>ЩК1 (S1)</v>
      </c>
      <c r="B631" s="19"/>
      <c r="C631" s="20"/>
      <c r="D631" s="21"/>
      <c r="E631" s="23"/>
      <c r="F631" s="25"/>
      <c r="G631" s="24">
        <f ca="1">SUM(G623:G630)</f>
        <v>26215.8</v>
      </c>
      <c r="H631" s="20"/>
      <c r="I631" s="22"/>
      <c r="J631" s="20"/>
      <c r="K631" s="12" t="str">
        <f t="shared" si="373"/>
        <v>2853_01_01_S1_EM01_01_M3</v>
      </c>
      <c r="L631">
        <v>26215.8</v>
      </c>
    </row>
    <row r="632" spans="1:12" ht="39.75" customHeight="1" x14ac:dyDescent="0.25">
      <c r="A632" s="5" t="str">
        <f>D632</f>
        <v>ЩК2 (S1)</v>
      </c>
      <c r="B632" s="6"/>
      <c r="C632" s="7"/>
      <c r="D632" s="6" t="s">
        <v>340</v>
      </c>
      <c r="E632" s="8"/>
      <c r="F632" s="8" t="s">
        <v>40</v>
      </c>
      <c r="G632" s="9"/>
      <c r="H632" s="10">
        <v>8</v>
      </c>
      <c r="I632" s="11" t="s">
        <v>7</v>
      </c>
      <c r="J632" s="6" t="s">
        <v>9</v>
      </c>
      <c r="K632" s="5" t="s">
        <v>196</v>
      </c>
    </row>
    <row r="633" spans="1:12" ht="21" customHeight="1" x14ac:dyDescent="0.25">
      <c r="A633" s="12" t="str">
        <f>A632</f>
        <v>ЩК2 (S1)</v>
      </c>
      <c r="B633" s="13" t="s">
        <v>8</v>
      </c>
      <c r="C633" s="14" t="s">
        <v>308</v>
      </c>
      <c r="D633" s="12" t="s">
        <v>309</v>
      </c>
      <c r="E633" s="13">
        <v>10050</v>
      </c>
      <c r="F633" s="15">
        <f t="shared" ref="F633:F639" si="376">E633*0.6</f>
        <v>6030</v>
      </c>
      <c r="G633" s="15">
        <f t="shared" ref="G633:G641" si="377">H633*F633</f>
        <v>6030</v>
      </c>
      <c r="H633" s="16">
        <v>1</v>
      </c>
      <c r="I633" s="17" t="s">
        <v>13</v>
      </c>
      <c r="J633" s="13" t="s">
        <v>16</v>
      </c>
      <c r="K633" s="12" t="str">
        <f>K632</f>
        <v>2853_01_01_S1_EM01_01_M3</v>
      </c>
      <c r="L633">
        <v>6030</v>
      </c>
    </row>
    <row r="634" spans="1:12" ht="21" customHeight="1" x14ac:dyDescent="0.25">
      <c r="A634" s="12" t="str">
        <f t="shared" ref="A634" si="378">A633</f>
        <v>ЩК2 (S1)</v>
      </c>
      <c r="B634" s="13" t="s">
        <v>54</v>
      </c>
      <c r="C634" s="14" t="s">
        <v>192</v>
      </c>
      <c r="D634" s="12" t="s">
        <v>193</v>
      </c>
      <c r="E634" s="13">
        <v>2824</v>
      </c>
      <c r="F634" s="15">
        <f t="shared" si="376"/>
        <v>1694.3999999999999</v>
      </c>
      <c r="G634" s="15">
        <f t="shared" si="377"/>
        <v>1694.3999999999999</v>
      </c>
      <c r="H634" s="16">
        <v>1</v>
      </c>
      <c r="I634" s="17" t="s">
        <v>13</v>
      </c>
      <c r="J634" s="13" t="s">
        <v>17</v>
      </c>
      <c r="K634" s="12" t="str">
        <f t="shared" ref="K634" si="379">K633</f>
        <v>2853_01_01_S1_EM01_01_M3</v>
      </c>
      <c r="L634">
        <v>1694.3999999999999</v>
      </c>
    </row>
    <row r="635" spans="1:12" ht="21" customHeight="1" x14ac:dyDescent="0.25">
      <c r="A635" s="12" t="str">
        <f>A633</f>
        <v>ЩК2 (S1)</v>
      </c>
      <c r="B635" s="13" t="s">
        <v>21</v>
      </c>
      <c r="C635" s="14" t="s">
        <v>194</v>
      </c>
      <c r="D635" s="12" t="s">
        <v>195</v>
      </c>
      <c r="E635" s="13">
        <v>5556</v>
      </c>
      <c r="F635" s="15">
        <f t="shared" si="376"/>
        <v>3333.6</v>
      </c>
      <c r="G635" s="15">
        <f t="shared" si="377"/>
        <v>3333.6</v>
      </c>
      <c r="H635" s="16">
        <v>1</v>
      </c>
      <c r="I635" s="17" t="s">
        <v>13</v>
      </c>
      <c r="J635" s="13" t="s">
        <v>17</v>
      </c>
      <c r="K635" s="12" t="str">
        <f>K633</f>
        <v>2853_01_01_S1_EM01_01_M3</v>
      </c>
      <c r="L635">
        <v>3333.6</v>
      </c>
    </row>
    <row r="636" spans="1:12" ht="21" customHeight="1" x14ac:dyDescent="0.25">
      <c r="A636" s="12" t="str">
        <f>A634</f>
        <v>ЩК2 (S1)</v>
      </c>
      <c r="B636" s="13" t="s">
        <v>21</v>
      </c>
      <c r="C636" s="14" t="s">
        <v>187</v>
      </c>
      <c r="D636" s="12" t="s">
        <v>188</v>
      </c>
      <c r="E636" s="13">
        <v>5632</v>
      </c>
      <c r="F636" s="15">
        <f t="shared" si="376"/>
        <v>3379.2</v>
      </c>
      <c r="G636" s="15">
        <f t="shared" si="377"/>
        <v>3379.2</v>
      </c>
      <c r="H636" s="16">
        <v>1</v>
      </c>
      <c r="I636" s="17" t="s">
        <v>13</v>
      </c>
      <c r="J636" s="13" t="s">
        <v>17</v>
      </c>
      <c r="K636" s="12" t="str">
        <f>K634</f>
        <v>2853_01_01_S1_EM01_01_M3</v>
      </c>
      <c r="L636">
        <v>3379.2</v>
      </c>
    </row>
    <row r="637" spans="1:12" ht="21" customHeight="1" x14ac:dyDescent="0.25">
      <c r="A637" s="12" t="str">
        <f t="shared" ref="A637" si="380">A636</f>
        <v>ЩК2 (S1)</v>
      </c>
      <c r="B637" s="13" t="s">
        <v>191</v>
      </c>
      <c r="C637" s="14" t="s">
        <v>189</v>
      </c>
      <c r="D637" s="12" t="s">
        <v>190</v>
      </c>
      <c r="E637" s="13">
        <v>7795</v>
      </c>
      <c r="F637" s="15">
        <f t="shared" si="376"/>
        <v>4677</v>
      </c>
      <c r="G637" s="15">
        <f t="shared" si="377"/>
        <v>4677</v>
      </c>
      <c r="H637" s="16">
        <v>1</v>
      </c>
      <c r="I637" s="17" t="s">
        <v>13</v>
      </c>
      <c r="J637" s="13" t="s">
        <v>17</v>
      </c>
      <c r="K637" s="12" t="str">
        <f t="shared" ref="K637" si="381">K636</f>
        <v>2853_01_01_S1_EM01_01_M3</v>
      </c>
      <c r="L637">
        <v>4677</v>
      </c>
    </row>
    <row r="638" spans="1:12" ht="21" customHeight="1" x14ac:dyDescent="0.25">
      <c r="A638" s="12" t="str">
        <f>A632</f>
        <v>ЩК2 (S1)</v>
      </c>
      <c r="B638" s="13" t="s">
        <v>12</v>
      </c>
      <c r="C638" s="14" t="s">
        <v>125</v>
      </c>
      <c r="D638" s="12" t="s">
        <v>126</v>
      </c>
      <c r="E638" s="13">
        <v>796</v>
      </c>
      <c r="F638" s="15">
        <f t="shared" si="376"/>
        <v>477.59999999999997</v>
      </c>
      <c r="G638" s="15">
        <f t="shared" si="377"/>
        <v>1910.3999999999999</v>
      </c>
      <c r="H638" s="16">
        <v>4</v>
      </c>
      <c r="I638" s="17" t="s">
        <v>13</v>
      </c>
      <c r="J638" s="13" t="s">
        <v>17</v>
      </c>
      <c r="K638" s="12" t="str">
        <f>K632</f>
        <v>2853_01_01_S1_EM01_01_M3</v>
      </c>
      <c r="L638">
        <v>1910.3999999999999</v>
      </c>
    </row>
    <row r="639" spans="1:12" ht="21" customHeight="1" x14ac:dyDescent="0.25">
      <c r="A639" s="12" t="str">
        <f>A633</f>
        <v>ЩК2 (S1)</v>
      </c>
      <c r="B639" s="13" t="s">
        <v>12</v>
      </c>
      <c r="C639" s="14" t="s">
        <v>36</v>
      </c>
      <c r="D639" s="12" t="s">
        <v>37</v>
      </c>
      <c r="E639" s="13">
        <v>783</v>
      </c>
      <c r="F639" s="15">
        <f t="shared" si="376"/>
        <v>469.79999999999995</v>
      </c>
      <c r="G639" s="15">
        <f t="shared" si="377"/>
        <v>469.79999999999995</v>
      </c>
      <c r="H639" s="16">
        <v>1</v>
      </c>
      <c r="I639" s="17" t="s">
        <v>13</v>
      </c>
      <c r="J639" s="13" t="s">
        <v>17</v>
      </c>
      <c r="K639" s="12" t="str">
        <f>K633</f>
        <v>2853_01_01_S1_EM01_01_M3</v>
      </c>
      <c r="L639">
        <v>469.79999999999995</v>
      </c>
    </row>
    <row r="640" spans="1:12" ht="24" customHeight="1" x14ac:dyDescent="0.25">
      <c r="A640" s="12" t="str">
        <f t="shared" ref="A640:A642" si="382">A639</f>
        <v>ЩК2 (S1)</v>
      </c>
      <c r="B640" s="12" t="s">
        <v>10</v>
      </c>
      <c r="C640" s="18" t="s">
        <v>10</v>
      </c>
      <c r="D640" s="12" t="s">
        <v>10</v>
      </c>
      <c r="E640" s="12">
        <f ca="1">OFFSET(E640,1,2)</f>
        <v>4200</v>
      </c>
      <c r="F640" s="15">
        <f ca="1">E640</f>
        <v>4200</v>
      </c>
      <c r="G640" s="15">
        <f t="shared" ca="1" si="377"/>
        <v>4200</v>
      </c>
      <c r="H640" s="12">
        <v>1</v>
      </c>
      <c r="I640" s="12" t="s">
        <v>13</v>
      </c>
      <c r="J640" s="12" t="s">
        <v>10</v>
      </c>
      <c r="K640" s="12" t="str">
        <f t="shared" ref="K640:K642" si="383">K639</f>
        <v>2853_01_01_S1_EM01_01_M3</v>
      </c>
      <c r="L640">
        <v>4200</v>
      </c>
    </row>
    <row r="641" spans="1:12" ht="21" customHeight="1" x14ac:dyDescent="0.25">
      <c r="A641" s="12" t="str">
        <f t="shared" si="382"/>
        <v>ЩК2 (S1)</v>
      </c>
      <c r="B641" s="12" t="s">
        <v>11</v>
      </c>
      <c r="C641" s="18" t="s">
        <v>11</v>
      </c>
      <c r="D641" s="12" t="s">
        <v>11</v>
      </c>
      <c r="E641" s="12">
        <v>0.7</v>
      </c>
      <c r="F641" s="15">
        <v>100</v>
      </c>
      <c r="G641" s="15">
        <f t="shared" si="377"/>
        <v>4200</v>
      </c>
      <c r="H641" s="12">
        <f>60*E641</f>
        <v>42</v>
      </c>
      <c r="I641" s="12" t="s">
        <v>13</v>
      </c>
      <c r="J641" s="12" t="s">
        <v>11</v>
      </c>
      <c r="K641" s="12" t="str">
        <f t="shared" si="383"/>
        <v>2853_01_01_S1_EM01_01_M3</v>
      </c>
      <c r="L641">
        <v>4200</v>
      </c>
    </row>
    <row r="642" spans="1:12" ht="30" customHeight="1" x14ac:dyDescent="0.25">
      <c r="A642" s="12" t="str">
        <f t="shared" si="382"/>
        <v>ЩК2 (S1)</v>
      </c>
      <c r="B642" s="19"/>
      <c r="C642" s="20"/>
      <c r="D642" s="21"/>
      <c r="E642" s="23"/>
      <c r="F642" s="25"/>
      <c r="G642" s="24">
        <f ca="1">SUM(G633:G641)</f>
        <v>29894.400000000001</v>
      </c>
      <c r="H642" s="20"/>
      <c r="I642" s="22"/>
      <c r="J642" s="20"/>
      <c r="K642" s="12" t="str">
        <f t="shared" si="383"/>
        <v>2853_01_01_S1_EM01_01_M3</v>
      </c>
      <c r="L642">
        <v>29894.400000000001</v>
      </c>
    </row>
    <row r="643" spans="1:12" ht="39.75" customHeight="1" x14ac:dyDescent="0.25">
      <c r="A643" s="5" t="str">
        <f>D643</f>
        <v>ЯТП-0,25-23УЗ (S1)</v>
      </c>
      <c r="B643" s="6"/>
      <c r="C643" s="7"/>
      <c r="D643" s="6" t="s">
        <v>407</v>
      </c>
      <c r="E643" s="8"/>
      <c r="F643" s="8"/>
      <c r="G643" s="9"/>
      <c r="H643" s="10">
        <v>1</v>
      </c>
      <c r="I643" s="11" t="s">
        <v>7</v>
      </c>
      <c r="J643" s="6" t="s">
        <v>9</v>
      </c>
      <c r="K643" s="5" t="s">
        <v>196</v>
      </c>
    </row>
    <row r="644" spans="1:12" ht="39.75" customHeight="1" x14ac:dyDescent="0.25">
      <c r="A644" s="5" t="str">
        <f>D644</f>
        <v>ЩО-2бл. (S2)</v>
      </c>
      <c r="B644" s="6"/>
      <c r="C644" s="7"/>
      <c r="D644" s="6" t="s">
        <v>341</v>
      </c>
      <c r="E644" s="8"/>
      <c r="F644" s="8" t="s">
        <v>40</v>
      </c>
      <c r="G644" s="9"/>
      <c r="H644" s="10">
        <v>1</v>
      </c>
      <c r="I644" s="11" t="s">
        <v>7</v>
      </c>
      <c r="J644" s="6" t="s">
        <v>9</v>
      </c>
      <c r="K644" s="5" t="s">
        <v>197</v>
      </c>
    </row>
    <row r="645" spans="1:12" ht="21" customHeight="1" x14ac:dyDescent="0.25">
      <c r="A645" s="12" t="str">
        <f>A644</f>
        <v>ЩО-2бл. (S2)</v>
      </c>
      <c r="B645" s="13" t="s">
        <v>8</v>
      </c>
      <c r="C645" s="14" t="s">
        <v>312</v>
      </c>
      <c r="D645" s="12" t="s">
        <v>313</v>
      </c>
      <c r="E645" s="13">
        <v>11700</v>
      </c>
      <c r="F645" s="15">
        <f>E645*0.6</f>
        <v>7020</v>
      </c>
      <c r="G645" s="15">
        <f t="shared" ref="G645:G650" si="384">H645*F645</f>
        <v>7020</v>
      </c>
      <c r="H645" s="16">
        <v>1</v>
      </c>
      <c r="I645" s="17" t="s">
        <v>13</v>
      </c>
      <c r="J645" s="13" t="s">
        <v>319</v>
      </c>
      <c r="K645" s="12" t="str">
        <f>K644</f>
        <v>2853_01_01_S2_EM01_01_M3</v>
      </c>
      <c r="L645">
        <v>7020</v>
      </c>
    </row>
    <row r="646" spans="1:12" ht="21" customHeight="1" x14ac:dyDescent="0.25">
      <c r="A646" s="12" t="str">
        <f t="shared" ref="A646:A651" si="385">A645</f>
        <v>ЩО-2бл. (S2)</v>
      </c>
      <c r="B646" s="13" t="s">
        <v>54</v>
      </c>
      <c r="C646" s="14" t="s">
        <v>55</v>
      </c>
      <c r="D646" s="12" t="s">
        <v>56</v>
      </c>
      <c r="E646" s="13">
        <v>3372</v>
      </c>
      <c r="F646" s="15">
        <f t="shared" ref="F646:F647" si="386">E646*0.6</f>
        <v>2023.1999999999998</v>
      </c>
      <c r="G646" s="15">
        <f t="shared" si="384"/>
        <v>2023.1999999999998</v>
      </c>
      <c r="H646" s="16">
        <v>1</v>
      </c>
      <c r="I646" s="17" t="s">
        <v>13</v>
      </c>
      <c r="J646" s="13" t="s">
        <v>17</v>
      </c>
      <c r="K646" s="12" t="str">
        <f t="shared" ref="K646:K651" si="387">K645</f>
        <v>2853_01_01_S2_EM01_01_M3</v>
      </c>
      <c r="L646">
        <v>2023.1999999999998</v>
      </c>
    </row>
    <row r="647" spans="1:12" ht="21" customHeight="1" x14ac:dyDescent="0.25">
      <c r="A647" s="12" t="str">
        <f t="shared" si="385"/>
        <v>ЩО-2бл. (S2)</v>
      </c>
      <c r="B647" s="13" t="s">
        <v>12</v>
      </c>
      <c r="C647" s="14" t="s">
        <v>19</v>
      </c>
      <c r="D647" s="12" t="s">
        <v>20</v>
      </c>
      <c r="E647" s="13">
        <v>975</v>
      </c>
      <c r="F647" s="15">
        <f t="shared" si="386"/>
        <v>585</v>
      </c>
      <c r="G647" s="15">
        <f t="shared" si="384"/>
        <v>4095</v>
      </c>
      <c r="H647" s="16">
        <v>7</v>
      </c>
      <c r="I647" s="17" t="s">
        <v>13</v>
      </c>
      <c r="J647" s="13" t="s">
        <v>17</v>
      </c>
      <c r="K647" s="12" t="str">
        <f t="shared" si="387"/>
        <v>2853_01_01_S2_EM01_01_M3</v>
      </c>
      <c r="L647">
        <v>4095</v>
      </c>
    </row>
    <row r="648" spans="1:12" ht="22.5" customHeight="1" x14ac:dyDescent="0.25">
      <c r="A648" s="12" t="str">
        <f>A646</f>
        <v>ЩО-2бл. (S2)</v>
      </c>
      <c r="B648" s="13" t="s">
        <v>206</v>
      </c>
      <c r="C648" s="12" t="s">
        <v>233</v>
      </c>
      <c r="D648" s="12" t="s">
        <v>481</v>
      </c>
      <c r="E648" s="13">
        <v>6500</v>
      </c>
      <c r="F648" s="15">
        <f t="shared" ref="F648" si="388">E648</f>
        <v>6500</v>
      </c>
      <c r="G648" s="15">
        <f t="shared" si="384"/>
        <v>6500</v>
      </c>
      <c r="H648" s="16">
        <v>1</v>
      </c>
      <c r="I648" s="17" t="s">
        <v>13</v>
      </c>
      <c r="J648" s="13" t="s">
        <v>24</v>
      </c>
      <c r="K648" s="12" t="str">
        <f>K646</f>
        <v>2853_01_01_S2_EM01_01_M3</v>
      </c>
      <c r="L648">
        <v>6500</v>
      </c>
    </row>
    <row r="649" spans="1:12" ht="24" customHeight="1" x14ac:dyDescent="0.25">
      <c r="A649" s="12" t="str">
        <f>A647</f>
        <v>ЩО-2бл. (S2)</v>
      </c>
      <c r="B649" s="12" t="s">
        <v>10</v>
      </c>
      <c r="C649" s="18" t="s">
        <v>10</v>
      </c>
      <c r="D649" s="12" t="s">
        <v>10</v>
      </c>
      <c r="E649" s="12">
        <f ca="1">OFFSET(E649,1,2)</f>
        <v>3000</v>
      </c>
      <c r="F649" s="15">
        <f ca="1">E649</f>
        <v>3000</v>
      </c>
      <c r="G649" s="15">
        <f t="shared" ca="1" si="384"/>
        <v>3000</v>
      </c>
      <c r="H649" s="12">
        <v>1</v>
      </c>
      <c r="I649" s="12" t="s">
        <v>13</v>
      </c>
      <c r="J649" s="12" t="s">
        <v>10</v>
      </c>
      <c r="K649" s="12" t="str">
        <f>K647</f>
        <v>2853_01_01_S2_EM01_01_M3</v>
      </c>
      <c r="L649">
        <v>3000</v>
      </c>
    </row>
    <row r="650" spans="1:12" ht="21" customHeight="1" x14ac:dyDescent="0.25">
      <c r="A650" s="12" t="str">
        <f t="shared" si="385"/>
        <v>ЩО-2бл. (S2)</v>
      </c>
      <c r="B650" s="12" t="s">
        <v>11</v>
      </c>
      <c r="C650" s="18" t="s">
        <v>11</v>
      </c>
      <c r="D650" s="12" t="s">
        <v>11</v>
      </c>
      <c r="E650" s="12">
        <v>0.5</v>
      </c>
      <c r="F650" s="15">
        <v>100</v>
      </c>
      <c r="G650" s="15">
        <f t="shared" si="384"/>
        <v>3000</v>
      </c>
      <c r="H650" s="12">
        <f>60*E650</f>
        <v>30</v>
      </c>
      <c r="I650" s="12" t="s">
        <v>13</v>
      </c>
      <c r="J650" s="12" t="s">
        <v>11</v>
      </c>
      <c r="K650" s="12" t="str">
        <f t="shared" si="387"/>
        <v>2853_01_01_S2_EM01_01_M3</v>
      </c>
      <c r="L650">
        <v>3000</v>
      </c>
    </row>
    <row r="651" spans="1:12" ht="30" customHeight="1" x14ac:dyDescent="0.25">
      <c r="A651" s="12" t="str">
        <f t="shared" si="385"/>
        <v>ЩО-2бл. (S2)</v>
      </c>
      <c r="B651" s="19"/>
      <c r="C651" s="20"/>
      <c r="D651" s="21"/>
      <c r="E651" s="23"/>
      <c r="F651" s="25"/>
      <c r="G651" s="24">
        <f ca="1">SUM(G645:G650)</f>
        <v>25638.2</v>
      </c>
      <c r="H651" s="20"/>
      <c r="I651" s="22"/>
      <c r="J651" s="20"/>
      <c r="K651" s="12" t="str">
        <f t="shared" si="387"/>
        <v>2853_01_01_S2_EM01_01_M3</v>
      </c>
      <c r="L651">
        <v>25638.2</v>
      </c>
    </row>
    <row r="652" spans="1:12" ht="39.75" customHeight="1" x14ac:dyDescent="0.25">
      <c r="A652" s="5" t="str">
        <f>D652</f>
        <v>ЩАО-2бл. (S2)</v>
      </c>
      <c r="B652" s="6"/>
      <c r="C652" s="7"/>
      <c r="D652" s="6" t="s">
        <v>342</v>
      </c>
      <c r="E652" s="8"/>
      <c r="F652" s="8" t="s">
        <v>40</v>
      </c>
      <c r="G652" s="9"/>
      <c r="H652" s="10">
        <v>1</v>
      </c>
      <c r="I652" s="11" t="s">
        <v>7</v>
      </c>
      <c r="J652" s="6" t="s">
        <v>9</v>
      </c>
      <c r="K652" s="5" t="s">
        <v>197</v>
      </c>
    </row>
    <row r="653" spans="1:12" ht="21" customHeight="1" x14ac:dyDescent="0.25">
      <c r="A653" s="12" t="str">
        <f>A652</f>
        <v>ЩАО-2бл. (S2)</v>
      </c>
      <c r="B653" s="13" t="s">
        <v>8</v>
      </c>
      <c r="C653" s="14" t="s">
        <v>312</v>
      </c>
      <c r="D653" s="12" t="s">
        <v>313</v>
      </c>
      <c r="E653" s="13">
        <v>11700</v>
      </c>
      <c r="F653" s="15">
        <f>E653*0.6</f>
        <v>7020</v>
      </c>
      <c r="G653" s="15">
        <f t="shared" ref="G653:G658" si="389">H653*F653</f>
        <v>7020</v>
      </c>
      <c r="H653" s="16">
        <v>1</v>
      </c>
      <c r="I653" s="17" t="s">
        <v>13</v>
      </c>
      <c r="J653" s="13" t="s">
        <v>319</v>
      </c>
      <c r="K653" s="12" t="str">
        <f>K652</f>
        <v>2853_01_01_S2_EM01_01_M3</v>
      </c>
      <c r="L653">
        <v>7020</v>
      </c>
    </row>
    <row r="654" spans="1:12" ht="21" customHeight="1" x14ac:dyDescent="0.25">
      <c r="A654" s="12" t="str">
        <f t="shared" ref="A654:A659" si="390">A653</f>
        <v>ЩАО-2бл. (S2)</v>
      </c>
      <c r="B654" s="13" t="s">
        <v>54</v>
      </c>
      <c r="C654" s="14" t="s">
        <v>55</v>
      </c>
      <c r="D654" s="12" t="s">
        <v>56</v>
      </c>
      <c r="E654" s="13">
        <v>3372</v>
      </c>
      <c r="F654" s="15">
        <f t="shared" ref="F654:F655" si="391">E654*0.6</f>
        <v>2023.1999999999998</v>
      </c>
      <c r="G654" s="15">
        <f t="shared" si="389"/>
        <v>2023.1999999999998</v>
      </c>
      <c r="H654" s="16">
        <v>1</v>
      </c>
      <c r="I654" s="17" t="s">
        <v>13</v>
      </c>
      <c r="J654" s="13" t="s">
        <v>17</v>
      </c>
      <c r="K654" s="12" t="str">
        <f t="shared" ref="K654:K659" si="392">K653</f>
        <v>2853_01_01_S2_EM01_01_M3</v>
      </c>
      <c r="L654">
        <v>2023.1999999999998</v>
      </c>
    </row>
    <row r="655" spans="1:12" ht="21" customHeight="1" x14ac:dyDescent="0.25">
      <c r="A655" s="12" t="str">
        <f t="shared" si="390"/>
        <v>ЩАО-2бл. (S2)</v>
      </c>
      <c r="B655" s="13" t="s">
        <v>12</v>
      </c>
      <c r="C655" s="14" t="s">
        <v>19</v>
      </c>
      <c r="D655" s="12" t="s">
        <v>20</v>
      </c>
      <c r="E655" s="13">
        <v>975</v>
      </c>
      <c r="F655" s="15">
        <f t="shared" si="391"/>
        <v>585</v>
      </c>
      <c r="G655" s="15">
        <f t="shared" si="389"/>
        <v>2925</v>
      </c>
      <c r="H655" s="16">
        <v>5</v>
      </c>
      <c r="I655" s="17" t="s">
        <v>13</v>
      </c>
      <c r="J655" s="13" t="s">
        <v>17</v>
      </c>
      <c r="K655" s="12" t="str">
        <f t="shared" si="392"/>
        <v>2853_01_01_S2_EM01_01_M3</v>
      </c>
      <c r="L655">
        <v>2925</v>
      </c>
    </row>
    <row r="656" spans="1:12" ht="22.5" customHeight="1" x14ac:dyDescent="0.25">
      <c r="A656" s="12" t="str">
        <f>A654</f>
        <v>ЩАО-2бл. (S2)</v>
      </c>
      <c r="B656" s="13" t="s">
        <v>206</v>
      </c>
      <c r="C656" s="12" t="s">
        <v>233</v>
      </c>
      <c r="D656" s="12" t="s">
        <v>481</v>
      </c>
      <c r="E656" s="13">
        <v>6500</v>
      </c>
      <c r="F656" s="15">
        <f t="shared" ref="F656" si="393">E656</f>
        <v>6500</v>
      </c>
      <c r="G656" s="15">
        <f t="shared" si="389"/>
        <v>6500</v>
      </c>
      <c r="H656" s="16">
        <v>1</v>
      </c>
      <c r="I656" s="17" t="s">
        <v>13</v>
      </c>
      <c r="J656" s="13" t="s">
        <v>24</v>
      </c>
      <c r="K656" s="12" t="str">
        <f>K654</f>
        <v>2853_01_01_S2_EM01_01_M3</v>
      </c>
      <c r="L656">
        <v>6500</v>
      </c>
    </row>
    <row r="657" spans="1:12" ht="24" customHeight="1" x14ac:dyDescent="0.25">
      <c r="A657" s="12" t="str">
        <f>A655</f>
        <v>ЩАО-2бл. (S2)</v>
      </c>
      <c r="B657" s="12" t="s">
        <v>10</v>
      </c>
      <c r="C657" s="18" t="s">
        <v>10</v>
      </c>
      <c r="D657" s="12" t="s">
        <v>10</v>
      </c>
      <c r="E657" s="12">
        <f ca="1">OFFSET(E657,1,2)</f>
        <v>4200</v>
      </c>
      <c r="F657" s="15">
        <f ca="1">E657</f>
        <v>4200</v>
      </c>
      <c r="G657" s="15">
        <f t="shared" ca="1" si="389"/>
        <v>4200</v>
      </c>
      <c r="H657" s="12">
        <v>1</v>
      </c>
      <c r="I657" s="12" t="s">
        <v>13</v>
      </c>
      <c r="J657" s="12" t="s">
        <v>10</v>
      </c>
      <c r="K657" s="12" t="str">
        <f>K655</f>
        <v>2853_01_01_S2_EM01_01_M3</v>
      </c>
      <c r="L657">
        <v>4200</v>
      </c>
    </row>
    <row r="658" spans="1:12" ht="21" customHeight="1" x14ac:dyDescent="0.25">
      <c r="A658" s="12" t="str">
        <f t="shared" si="390"/>
        <v>ЩАО-2бл. (S2)</v>
      </c>
      <c r="B658" s="12" t="s">
        <v>11</v>
      </c>
      <c r="C658" s="18" t="s">
        <v>11</v>
      </c>
      <c r="D658" s="12" t="s">
        <v>11</v>
      </c>
      <c r="E658" s="12">
        <v>0.7</v>
      </c>
      <c r="F658" s="15">
        <v>100</v>
      </c>
      <c r="G658" s="15">
        <f t="shared" si="389"/>
        <v>4200</v>
      </c>
      <c r="H658" s="12">
        <f>60*E658</f>
        <v>42</v>
      </c>
      <c r="I658" s="12" t="s">
        <v>13</v>
      </c>
      <c r="J658" s="12" t="s">
        <v>11</v>
      </c>
      <c r="K658" s="12" t="str">
        <f t="shared" si="392"/>
        <v>2853_01_01_S2_EM01_01_M3</v>
      </c>
      <c r="L658">
        <v>4200</v>
      </c>
    </row>
    <row r="659" spans="1:12" ht="30" customHeight="1" x14ac:dyDescent="0.25">
      <c r="A659" s="12" t="str">
        <f t="shared" si="390"/>
        <v>ЩАО-2бл. (S2)</v>
      </c>
      <c r="B659" s="19"/>
      <c r="C659" s="20"/>
      <c r="D659" s="21"/>
      <c r="E659" s="23"/>
      <c r="F659" s="25"/>
      <c r="G659" s="24">
        <f ca="1">SUM(G653:G658)</f>
        <v>26868.2</v>
      </c>
      <c r="H659" s="20"/>
      <c r="I659" s="22"/>
      <c r="J659" s="20"/>
      <c r="K659" s="12" t="str">
        <f t="shared" si="392"/>
        <v>2853_01_01_S2_EM01_01_M3</v>
      </c>
      <c r="L659">
        <v>26868.2</v>
      </c>
    </row>
    <row r="660" spans="1:12" ht="39.75" customHeight="1" x14ac:dyDescent="0.25">
      <c r="A660" s="5" t="str">
        <f>D660</f>
        <v>ЩСС-2бл. (S2)</v>
      </c>
      <c r="B660" s="6"/>
      <c r="C660" s="7"/>
      <c r="D660" s="6" t="s">
        <v>343</v>
      </c>
      <c r="E660" s="8"/>
      <c r="F660" s="8" t="s">
        <v>40</v>
      </c>
      <c r="G660" s="9"/>
      <c r="H660" s="10">
        <v>1</v>
      </c>
      <c r="I660" s="11" t="s">
        <v>7</v>
      </c>
      <c r="J660" s="6" t="s">
        <v>9</v>
      </c>
      <c r="K660" s="5" t="s">
        <v>197</v>
      </c>
    </row>
    <row r="661" spans="1:12" ht="21" customHeight="1" x14ac:dyDescent="0.25">
      <c r="A661" s="12" t="str">
        <f>A660</f>
        <v>ЩСС-2бл. (S2)</v>
      </c>
      <c r="B661" s="13" t="s">
        <v>8</v>
      </c>
      <c r="C661" s="14" t="s">
        <v>314</v>
      </c>
      <c r="D661" s="12" t="s">
        <v>315</v>
      </c>
      <c r="E661" s="13">
        <v>8990</v>
      </c>
      <c r="F661" s="15">
        <f>E661*0.6</f>
        <v>5394</v>
      </c>
      <c r="G661" s="15">
        <f t="shared" ref="G661:G666" si="394">H661*F661</f>
        <v>5394</v>
      </c>
      <c r="H661" s="16">
        <v>1</v>
      </c>
      <c r="I661" s="17" t="s">
        <v>13</v>
      </c>
      <c r="J661" s="13" t="s">
        <v>319</v>
      </c>
      <c r="K661" s="12" t="str">
        <f>K660</f>
        <v>2853_01_01_S2_EM01_01_M3</v>
      </c>
      <c r="L661">
        <v>5394</v>
      </c>
    </row>
    <row r="662" spans="1:12" ht="21" customHeight="1" x14ac:dyDescent="0.25">
      <c r="A662" s="12" t="str">
        <f t="shared" ref="A662:A667" si="395">A661</f>
        <v>ЩСС-2бл. (S2)</v>
      </c>
      <c r="B662" s="13" t="s">
        <v>54</v>
      </c>
      <c r="C662" s="14" t="s">
        <v>55</v>
      </c>
      <c r="D662" s="12" t="s">
        <v>56</v>
      </c>
      <c r="E662" s="13">
        <v>3372</v>
      </c>
      <c r="F662" s="15">
        <f t="shared" ref="F662:F664" si="396">E662*0.6</f>
        <v>2023.1999999999998</v>
      </c>
      <c r="G662" s="15">
        <f t="shared" si="394"/>
        <v>2023.1999999999998</v>
      </c>
      <c r="H662" s="16">
        <v>1</v>
      </c>
      <c r="I662" s="17" t="s">
        <v>13</v>
      </c>
      <c r="J662" s="13" t="s">
        <v>17</v>
      </c>
      <c r="K662" s="12" t="str">
        <f t="shared" ref="K662:K667" si="397">K661</f>
        <v>2853_01_01_S2_EM01_01_M3</v>
      </c>
      <c r="L662">
        <v>2023.1999999999998</v>
      </c>
    </row>
    <row r="663" spans="1:12" ht="21" customHeight="1" x14ac:dyDescent="0.25">
      <c r="A663" s="12" t="str">
        <f>A661</f>
        <v>ЩСС-2бл. (S2)</v>
      </c>
      <c r="B663" s="13" t="s">
        <v>21</v>
      </c>
      <c r="C663" s="14" t="s">
        <v>174</v>
      </c>
      <c r="D663" s="12" t="s">
        <v>175</v>
      </c>
      <c r="E663" s="13">
        <v>5719</v>
      </c>
      <c r="F663" s="15">
        <f t="shared" si="396"/>
        <v>3431.4</v>
      </c>
      <c r="G663" s="15">
        <f t="shared" si="394"/>
        <v>10294.200000000001</v>
      </c>
      <c r="H663" s="16">
        <v>3</v>
      </c>
      <c r="I663" s="17" t="s">
        <v>13</v>
      </c>
      <c r="J663" s="13" t="s">
        <v>17</v>
      </c>
      <c r="K663" s="12" t="str">
        <f>K661</f>
        <v>2853_01_01_S2_EM01_01_M3</v>
      </c>
      <c r="L663">
        <v>10294.200000000001</v>
      </c>
    </row>
    <row r="664" spans="1:12" ht="21" customHeight="1" x14ac:dyDescent="0.25">
      <c r="A664" s="12" t="str">
        <f>A661</f>
        <v>ЩСС-2бл. (S2)</v>
      </c>
      <c r="B664" s="13" t="s">
        <v>12</v>
      </c>
      <c r="C664" s="14" t="s">
        <v>50</v>
      </c>
      <c r="D664" s="12" t="s">
        <v>51</v>
      </c>
      <c r="E664" s="13">
        <v>783</v>
      </c>
      <c r="F664" s="15">
        <f t="shared" si="396"/>
        <v>469.79999999999995</v>
      </c>
      <c r="G664" s="15">
        <f t="shared" si="394"/>
        <v>469.79999999999995</v>
      </c>
      <c r="H664" s="16">
        <v>1</v>
      </c>
      <c r="I664" s="17" t="s">
        <v>13</v>
      </c>
      <c r="J664" s="13" t="s">
        <v>17</v>
      </c>
      <c r="K664" s="12" t="str">
        <f>K661</f>
        <v>2853_01_01_S2_EM01_01_M3</v>
      </c>
      <c r="L664">
        <v>469.79999999999995</v>
      </c>
    </row>
    <row r="665" spans="1:12" ht="24" customHeight="1" x14ac:dyDescent="0.25">
      <c r="A665" s="12" t="str">
        <f t="shared" si="395"/>
        <v>ЩСС-2бл. (S2)</v>
      </c>
      <c r="B665" s="12" t="s">
        <v>10</v>
      </c>
      <c r="C665" s="18" t="s">
        <v>10</v>
      </c>
      <c r="D665" s="12" t="s">
        <v>10</v>
      </c>
      <c r="E665" s="12">
        <f ca="1">OFFSET(E665,1,2)</f>
        <v>3000</v>
      </c>
      <c r="F665" s="15">
        <f ca="1">E665</f>
        <v>3000</v>
      </c>
      <c r="G665" s="15">
        <f t="shared" ca="1" si="394"/>
        <v>3000</v>
      </c>
      <c r="H665" s="12">
        <v>1</v>
      </c>
      <c r="I665" s="12" t="s">
        <v>13</v>
      </c>
      <c r="J665" s="12" t="s">
        <v>10</v>
      </c>
      <c r="K665" s="12" t="str">
        <f t="shared" si="397"/>
        <v>2853_01_01_S2_EM01_01_M3</v>
      </c>
      <c r="L665">
        <v>3000</v>
      </c>
    </row>
    <row r="666" spans="1:12" ht="21" customHeight="1" x14ac:dyDescent="0.25">
      <c r="A666" s="12" t="str">
        <f t="shared" si="395"/>
        <v>ЩСС-2бл. (S2)</v>
      </c>
      <c r="B666" s="12" t="s">
        <v>11</v>
      </c>
      <c r="C666" s="18" t="s">
        <v>11</v>
      </c>
      <c r="D666" s="12" t="s">
        <v>11</v>
      </c>
      <c r="E666" s="12">
        <v>0.5</v>
      </c>
      <c r="F666" s="15">
        <v>100</v>
      </c>
      <c r="G666" s="15">
        <f t="shared" si="394"/>
        <v>3000</v>
      </c>
      <c r="H666" s="12">
        <f>60*E666</f>
        <v>30</v>
      </c>
      <c r="I666" s="12" t="s">
        <v>13</v>
      </c>
      <c r="J666" s="12" t="s">
        <v>11</v>
      </c>
      <c r="K666" s="12" t="str">
        <f t="shared" si="397"/>
        <v>2853_01_01_S2_EM01_01_M3</v>
      </c>
      <c r="L666">
        <v>3000</v>
      </c>
    </row>
    <row r="667" spans="1:12" ht="30" customHeight="1" x14ac:dyDescent="0.25">
      <c r="A667" s="12" t="str">
        <f t="shared" si="395"/>
        <v>ЩСС-2бл. (S2)</v>
      </c>
      <c r="B667" s="19"/>
      <c r="C667" s="20"/>
      <c r="D667" s="21"/>
      <c r="E667" s="23"/>
      <c r="F667" s="25"/>
      <c r="G667" s="24">
        <f ca="1">SUM(G661:G666)</f>
        <v>24181.200000000001</v>
      </c>
      <c r="H667" s="20"/>
      <c r="I667" s="22"/>
      <c r="J667" s="20"/>
      <c r="K667" s="12" t="str">
        <f t="shared" si="397"/>
        <v>2853_01_01_S2_EM01_01_M3</v>
      </c>
      <c r="L667">
        <v>24181.200000000001</v>
      </c>
    </row>
    <row r="668" spans="1:12" ht="39.75" customHeight="1" x14ac:dyDescent="0.25">
      <c r="A668" s="5" t="str">
        <f>D668</f>
        <v>ЩС-2бл.  (S2)</v>
      </c>
      <c r="B668" s="6"/>
      <c r="C668" s="7"/>
      <c r="D668" s="6" t="s">
        <v>344</v>
      </c>
      <c r="E668" s="8"/>
      <c r="F668" s="8" t="s">
        <v>40</v>
      </c>
      <c r="G668" s="9"/>
      <c r="H668" s="10">
        <v>1</v>
      </c>
      <c r="I668" s="11" t="s">
        <v>7</v>
      </c>
      <c r="J668" s="6" t="s">
        <v>9</v>
      </c>
      <c r="K668" s="5" t="s">
        <v>197</v>
      </c>
    </row>
    <row r="669" spans="1:12" ht="21" customHeight="1" x14ac:dyDescent="0.25">
      <c r="A669" s="12" t="str">
        <f>A668</f>
        <v>ЩС-2бл.  (S2)</v>
      </c>
      <c r="B669" s="13" t="s">
        <v>8</v>
      </c>
      <c r="C669" s="14" t="s">
        <v>312</v>
      </c>
      <c r="D669" s="12" t="s">
        <v>313</v>
      </c>
      <c r="E669" s="13">
        <v>11700</v>
      </c>
      <c r="F669" s="15">
        <f>E669*0.6</f>
        <v>7020</v>
      </c>
      <c r="G669" s="15">
        <f t="shared" ref="G669:G677" si="398">H669*F669</f>
        <v>7020</v>
      </c>
      <c r="H669" s="16">
        <v>1</v>
      </c>
      <c r="I669" s="17" t="s">
        <v>13</v>
      </c>
      <c r="J669" s="13" t="s">
        <v>319</v>
      </c>
      <c r="K669" s="12" t="str">
        <f>K668</f>
        <v>2853_01_01_S2_EM01_01_M3</v>
      </c>
      <c r="L669">
        <v>7020</v>
      </c>
    </row>
    <row r="670" spans="1:12" ht="21" customHeight="1" x14ac:dyDescent="0.25">
      <c r="A670" s="12" t="str">
        <f t="shared" ref="A670" si="399">A669</f>
        <v>ЩС-2бл.  (S2)</v>
      </c>
      <c r="B670" s="13" t="s">
        <v>54</v>
      </c>
      <c r="C670" s="14" t="s">
        <v>57</v>
      </c>
      <c r="D670" s="12" t="s">
        <v>58</v>
      </c>
      <c r="E670" s="13">
        <v>3372</v>
      </c>
      <c r="F670" s="15">
        <f t="shared" ref="F670:F675" si="400">E670*0.6</f>
        <v>2023.1999999999998</v>
      </c>
      <c r="G670" s="15">
        <f t="shared" si="398"/>
        <v>2023.1999999999998</v>
      </c>
      <c r="H670" s="16">
        <v>1</v>
      </c>
      <c r="I670" s="17" t="s">
        <v>13</v>
      </c>
      <c r="J670" s="13" t="s">
        <v>17</v>
      </c>
      <c r="K670" s="12" t="str">
        <f t="shared" ref="K670" si="401">K669</f>
        <v>2853_01_01_S2_EM01_01_M3</v>
      </c>
      <c r="L670">
        <v>2023.1999999999998</v>
      </c>
    </row>
    <row r="671" spans="1:12" ht="21" customHeight="1" x14ac:dyDescent="0.25">
      <c r="A671" s="12" t="str">
        <f>A669</f>
        <v>ЩС-2бл.  (S2)</v>
      </c>
      <c r="B671" s="13" t="s">
        <v>21</v>
      </c>
      <c r="C671" s="14" t="s">
        <v>44</v>
      </c>
      <c r="D671" s="12" t="s">
        <v>45</v>
      </c>
      <c r="E671" s="13">
        <v>5104</v>
      </c>
      <c r="F671" s="15">
        <f t="shared" si="400"/>
        <v>3062.4</v>
      </c>
      <c r="G671" s="15">
        <f t="shared" si="398"/>
        <v>6124.8</v>
      </c>
      <c r="H671" s="16">
        <v>2</v>
      </c>
      <c r="I671" s="17" t="s">
        <v>13</v>
      </c>
      <c r="J671" s="13" t="s">
        <v>17</v>
      </c>
      <c r="K671" s="12" t="str">
        <f>K669</f>
        <v>2853_01_01_S2_EM01_01_M3</v>
      </c>
      <c r="L671">
        <v>6124.8</v>
      </c>
    </row>
    <row r="672" spans="1:12" ht="21" customHeight="1" x14ac:dyDescent="0.25">
      <c r="A672" s="12" t="str">
        <f t="shared" ref="A672" si="402">A671</f>
        <v>ЩС-2бл.  (S2)</v>
      </c>
      <c r="B672" s="13" t="s">
        <v>12</v>
      </c>
      <c r="C672" s="14" t="s">
        <v>176</v>
      </c>
      <c r="D672" s="12" t="s">
        <v>177</v>
      </c>
      <c r="E672" s="13">
        <v>1130</v>
      </c>
      <c r="F672" s="15">
        <f t="shared" si="400"/>
        <v>678</v>
      </c>
      <c r="G672" s="15">
        <f t="shared" si="398"/>
        <v>2034</v>
      </c>
      <c r="H672" s="16">
        <v>3</v>
      </c>
      <c r="I672" s="17" t="s">
        <v>13</v>
      </c>
      <c r="J672" s="13" t="s">
        <v>17</v>
      </c>
      <c r="K672" s="12" t="str">
        <f>K669</f>
        <v>2853_01_01_S2_EM01_01_M3</v>
      </c>
      <c r="L672">
        <v>2034</v>
      </c>
    </row>
    <row r="673" spans="1:12" ht="21" customHeight="1" x14ac:dyDescent="0.25">
      <c r="A673" s="12" t="str">
        <f>A669</f>
        <v>ЩС-2бл.  (S2)</v>
      </c>
      <c r="B673" s="13" t="s">
        <v>12</v>
      </c>
      <c r="C673" s="14" t="s">
        <v>36</v>
      </c>
      <c r="D673" s="12" t="s">
        <v>37</v>
      </c>
      <c r="E673" s="13">
        <v>783</v>
      </c>
      <c r="F673" s="15">
        <f t="shared" si="400"/>
        <v>469.79999999999995</v>
      </c>
      <c r="G673" s="15">
        <f t="shared" si="398"/>
        <v>469.79999999999995</v>
      </c>
      <c r="H673" s="16">
        <v>1</v>
      </c>
      <c r="I673" s="17" t="s">
        <v>13</v>
      </c>
      <c r="J673" s="13" t="s">
        <v>17</v>
      </c>
      <c r="K673" s="12" t="str">
        <f>K669</f>
        <v>2853_01_01_S2_EM01_01_M3</v>
      </c>
      <c r="L673">
        <v>469.79999999999995</v>
      </c>
    </row>
    <row r="674" spans="1:12" ht="21" customHeight="1" x14ac:dyDescent="0.25">
      <c r="A674" s="12" t="str">
        <f>A670</f>
        <v>ЩС-2бл.  (S2)</v>
      </c>
      <c r="B674" s="13" t="s">
        <v>12</v>
      </c>
      <c r="C674" s="14" t="s">
        <v>50</v>
      </c>
      <c r="D674" s="12" t="s">
        <v>51</v>
      </c>
      <c r="E674" s="13">
        <v>783</v>
      </c>
      <c r="F674" s="15">
        <f t="shared" si="400"/>
        <v>469.79999999999995</v>
      </c>
      <c r="G674" s="15">
        <f t="shared" si="398"/>
        <v>469.79999999999995</v>
      </c>
      <c r="H674" s="16">
        <v>1</v>
      </c>
      <c r="I674" s="17" t="s">
        <v>13</v>
      </c>
      <c r="J674" s="13" t="s">
        <v>17</v>
      </c>
      <c r="K674" s="12" t="str">
        <f>K670</f>
        <v>2853_01_01_S2_EM01_01_M3</v>
      </c>
      <c r="L674">
        <v>469.79999999999995</v>
      </c>
    </row>
    <row r="675" spans="1:12" ht="21" customHeight="1" x14ac:dyDescent="0.25">
      <c r="A675" s="12" t="str">
        <f>A671</f>
        <v>ЩС-2бл.  (S2)</v>
      </c>
      <c r="B675" s="13" t="s">
        <v>182</v>
      </c>
      <c r="C675" s="14" t="s">
        <v>178</v>
      </c>
      <c r="D675" s="12" t="s">
        <v>179</v>
      </c>
      <c r="E675" s="13">
        <v>5354</v>
      </c>
      <c r="F675" s="15">
        <f t="shared" si="400"/>
        <v>3212.4</v>
      </c>
      <c r="G675" s="15">
        <f t="shared" si="398"/>
        <v>3212.4</v>
      </c>
      <c r="H675" s="16">
        <v>1</v>
      </c>
      <c r="I675" s="17" t="s">
        <v>13</v>
      </c>
      <c r="J675" s="13" t="s">
        <v>17</v>
      </c>
      <c r="K675" s="12" t="str">
        <f>K671</f>
        <v>2853_01_01_S2_EM01_01_M3</v>
      </c>
      <c r="L675">
        <v>3212.4</v>
      </c>
    </row>
    <row r="676" spans="1:12" ht="24" customHeight="1" x14ac:dyDescent="0.25">
      <c r="A676" s="12" t="str">
        <f>A670</f>
        <v>ЩС-2бл.  (S2)</v>
      </c>
      <c r="B676" s="12" t="s">
        <v>10</v>
      </c>
      <c r="C676" s="18" t="s">
        <v>10</v>
      </c>
      <c r="D676" s="12" t="s">
        <v>10</v>
      </c>
      <c r="E676" s="12">
        <f ca="1">OFFSET(E676,1,2)</f>
        <v>4200</v>
      </c>
      <c r="F676" s="15">
        <f ca="1">E676</f>
        <v>4200</v>
      </c>
      <c r="G676" s="15">
        <f t="shared" ca="1" si="398"/>
        <v>4200</v>
      </c>
      <c r="H676" s="12">
        <v>1</v>
      </c>
      <c r="I676" s="12" t="s">
        <v>13</v>
      </c>
      <c r="J676" s="12" t="s">
        <v>10</v>
      </c>
      <c r="K676" s="12" t="str">
        <f>K670</f>
        <v>2853_01_01_S2_EM01_01_M3</v>
      </c>
      <c r="L676">
        <v>4200</v>
      </c>
    </row>
    <row r="677" spans="1:12" ht="21" customHeight="1" x14ac:dyDescent="0.25">
      <c r="A677" s="12" t="str">
        <f t="shared" ref="A677:A678" si="403">A676</f>
        <v>ЩС-2бл.  (S2)</v>
      </c>
      <c r="B677" s="12" t="s">
        <v>11</v>
      </c>
      <c r="C677" s="18" t="s">
        <v>11</v>
      </c>
      <c r="D677" s="12" t="s">
        <v>11</v>
      </c>
      <c r="E677" s="12">
        <v>0.7</v>
      </c>
      <c r="F677" s="15">
        <v>100</v>
      </c>
      <c r="G677" s="15">
        <f t="shared" si="398"/>
        <v>4200</v>
      </c>
      <c r="H677" s="12">
        <f>60*E677</f>
        <v>42</v>
      </c>
      <c r="I677" s="12" t="s">
        <v>13</v>
      </c>
      <c r="J677" s="12" t="s">
        <v>11</v>
      </c>
      <c r="K677" s="12" t="str">
        <f t="shared" ref="K677:K678" si="404">K676</f>
        <v>2853_01_01_S2_EM01_01_M3</v>
      </c>
      <c r="L677">
        <v>4200</v>
      </c>
    </row>
    <row r="678" spans="1:12" ht="30" customHeight="1" x14ac:dyDescent="0.25">
      <c r="A678" s="12" t="str">
        <f t="shared" si="403"/>
        <v>ЩС-2бл.  (S2)</v>
      </c>
      <c r="B678" s="19"/>
      <c r="C678" s="20"/>
      <c r="D678" s="21"/>
      <c r="E678" s="23"/>
      <c r="F678" s="25"/>
      <c r="G678" s="24">
        <f ca="1">SUM(G669:G677)</f>
        <v>29754</v>
      </c>
      <c r="H678" s="20"/>
      <c r="I678" s="22"/>
      <c r="J678" s="20"/>
      <c r="K678" s="12" t="str">
        <f t="shared" si="404"/>
        <v>2853_01_01_S2_EM01_01_M3</v>
      </c>
      <c r="L678">
        <v>29754</v>
      </c>
    </row>
    <row r="679" spans="1:12" ht="39.75" customHeight="1" x14ac:dyDescent="0.25">
      <c r="A679" s="5" t="str">
        <f>D679</f>
        <v>ЩР-2.1 (S2)</v>
      </c>
      <c r="B679" s="6"/>
      <c r="C679" s="7"/>
      <c r="D679" s="6" t="s">
        <v>345</v>
      </c>
      <c r="E679" s="8"/>
      <c r="F679" s="8" t="s">
        <v>40</v>
      </c>
      <c r="G679" s="9"/>
      <c r="H679" s="10">
        <v>1</v>
      </c>
      <c r="I679" s="11" t="s">
        <v>7</v>
      </c>
      <c r="J679" s="6" t="s">
        <v>9</v>
      </c>
      <c r="K679" s="5" t="s">
        <v>196</v>
      </c>
    </row>
    <row r="680" spans="1:12" ht="20.25" customHeight="1" x14ac:dyDescent="0.25">
      <c r="A680" s="12" t="str">
        <f>A679</f>
        <v>ЩР-2.1 (S2)</v>
      </c>
      <c r="B680" s="13" t="s">
        <v>8</v>
      </c>
      <c r="C680" s="14" t="s">
        <v>471</v>
      </c>
      <c r="D680" s="12" t="s">
        <v>472</v>
      </c>
      <c r="E680" s="13">
        <v>10620</v>
      </c>
      <c r="F680" s="15">
        <f t="shared" ref="F680:F681" si="405">E680*0.6</f>
        <v>6372</v>
      </c>
      <c r="G680" s="15">
        <f t="shared" ref="G680:G683" si="406">H680*F680</f>
        <v>6372</v>
      </c>
      <c r="H680" s="16">
        <v>1</v>
      </c>
      <c r="I680" s="17" t="s">
        <v>13</v>
      </c>
      <c r="J680" s="13" t="s">
        <v>16</v>
      </c>
      <c r="K680" s="12" t="str">
        <f>K679</f>
        <v>2853_01_01_S1_EM01_01_M3</v>
      </c>
      <c r="L680">
        <v>6372</v>
      </c>
    </row>
    <row r="681" spans="1:12" ht="21" customHeight="1" x14ac:dyDescent="0.25">
      <c r="A681" s="12" t="str">
        <f t="shared" ref="A681:A684" si="407">A680</f>
        <v>ЩР-2.1 (S2)</v>
      </c>
      <c r="B681" s="13" t="s">
        <v>54</v>
      </c>
      <c r="C681" s="14" t="s">
        <v>127</v>
      </c>
      <c r="D681" s="12" t="s">
        <v>128</v>
      </c>
      <c r="E681" s="13">
        <v>3372</v>
      </c>
      <c r="F681" s="15">
        <f t="shared" si="405"/>
        <v>2023.1999999999998</v>
      </c>
      <c r="G681" s="15">
        <f t="shared" si="406"/>
        <v>2023.1999999999998</v>
      </c>
      <c r="H681" s="16">
        <v>1</v>
      </c>
      <c r="I681" s="17" t="s">
        <v>13</v>
      </c>
      <c r="J681" s="13" t="s">
        <v>17</v>
      </c>
      <c r="K681" s="12" t="str">
        <f t="shared" ref="K681:K684" si="408">K680</f>
        <v>2853_01_01_S1_EM01_01_M3</v>
      </c>
      <c r="L681">
        <v>2023.1999999999998</v>
      </c>
    </row>
    <row r="682" spans="1:12" ht="24" customHeight="1" x14ac:dyDescent="0.25">
      <c r="A682" s="12" t="str">
        <f t="shared" si="407"/>
        <v>ЩР-2.1 (S2)</v>
      </c>
      <c r="B682" s="12" t="s">
        <v>10</v>
      </c>
      <c r="C682" s="18" t="s">
        <v>10</v>
      </c>
      <c r="D682" s="12" t="s">
        <v>10</v>
      </c>
      <c r="E682" s="12">
        <f ca="1">OFFSET(E682,1,2)</f>
        <v>60</v>
      </c>
      <c r="F682" s="15">
        <f ca="1">E682</f>
        <v>60</v>
      </c>
      <c r="G682" s="15">
        <f t="shared" ca="1" si="406"/>
        <v>60</v>
      </c>
      <c r="H682" s="12">
        <v>1</v>
      </c>
      <c r="I682" s="12" t="s">
        <v>13</v>
      </c>
      <c r="J682" s="12" t="s">
        <v>10</v>
      </c>
      <c r="K682" s="12" t="str">
        <f t="shared" si="408"/>
        <v>2853_01_01_S1_EM01_01_M3</v>
      </c>
      <c r="L682">
        <v>60</v>
      </c>
    </row>
    <row r="683" spans="1:12" ht="21" customHeight="1" x14ac:dyDescent="0.25">
      <c r="A683" s="12" t="str">
        <f t="shared" si="407"/>
        <v>ЩР-2.1 (S2)</v>
      </c>
      <c r="B683" s="12" t="s">
        <v>11</v>
      </c>
      <c r="C683" s="18" t="s">
        <v>11</v>
      </c>
      <c r="D683" s="12" t="s">
        <v>11</v>
      </c>
      <c r="E683" s="12">
        <v>0.01</v>
      </c>
      <c r="F683" s="15">
        <v>100</v>
      </c>
      <c r="G683" s="15">
        <f t="shared" si="406"/>
        <v>60</v>
      </c>
      <c r="H683" s="12">
        <f>60*E683</f>
        <v>0.6</v>
      </c>
      <c r="I683" s="12" t="s">
        <v>13</v>
      </c>
      <c r="J683" s="12" t="s">
        <v>11</v>
      </c>
      <c r="K683" s="12" t="str">
        <f t="shared" si="408"/>
        <v>2853_01_01_S1_EM01_01_M3</v>
      </c>
      <c r="L683">
        <v>60</v>
      </c>
    </row>
    <row r="684" spans="1:12" ht="30" customHeight="1" x14ac:dyDescent="0.25">
      <c r="A684" s="12" t="str">
        <f t="shared" si="407"/>
        <v>ЩР-2.1 (S2)</v>
      </c>
      <c r="B684" s="19"/>
      <c r="C684" s="20"/>
      <c r="D684" s="21"/>
      <c r="E684" s="23"/>
      <c r="F684" s="25"/>
      <c r="G684" s="24">
        <f ca="1">SUM(G680:G683)</f>
        <v>8515.2000000000007</v>
      </c>
      <c r="H684" s="20"/>
      <c r="I684" s="22"/>
      <c r="J684" s="20"/>
      <c r="K684" s="12" t="str">
        <f t="shared" si="408"/>
        <v>2853_01_01_S1_EM01_01_M3</v>
      </c>
      <c r="L684">
        <v>8515.2000000000007</v>
      </c>
    </row>
    <row r="685" spans="1:12" ht="39.75" customHeight="1" x14ac:dyDescent="0.25">
      <c r="A685" s="5" t="str">
        <f>D685</f>
        <v>ЩР-2.2 (S2)</v>
      </c>
      <c r="B685" s="6"/>
      <c r="C685" s="7"/>
      <c r="D685" s="6" t="s">
        <v>346</v>
      </c>
      <c r="E685" s="8"/>
      <c r="F685" s="8" t="s">
        <v>40</v>
      </c>
      <c r="G685" s="9"/>
      <c r="H685" s="10">
        <v>1</v>
      </c>
      <c r="I685" s="11" t="s">
        <v>7</v>
      </c>
      <c r="J685" s="6" t="s">
        <v>9</v>
      </c>
      <c r="K685" s="5" t="s">
        <v>196</v>
      </c>
    </row>
    <row r="686" spans="1:12" ht="21" customHeight="1" x14ac:dyDescent="0.25">
      <c r="A686" s="12" t="str">
        <f>A685</f>
        <v>ЩР-2.2 (S2)</v>
      </c>
      <c r="B686" s="13" t="s">
        <v>8</v>
      </c>
      <c r="C686" s="14" t="s">
        <v>471</v>
      </c>
      <c r="D686" s="12" t="s">
        <v>472</v>
      </c>
      <c r="E686" s="13">
        <v>10620</v>
      </c>
      <c r="F686" s="15">
        <f t="shared" ref="F686:F687" si="409">E686*0.6</f>
        <v>6372</v>
      </c>
      <c r="G686" s="15">
        <f t="shared" ref="G686:G689" si="410">H686*F686</f>
        <v>6372</v>
      </c>
      <c r="H686" s="16">
        <v>1</v>
      </c>
      <c r="I686" s="17" t="s">
        <v>13</v>
      </c>
      <c r="J686" s="13" t="s">
        <v>16</v>
      </c>
      <c r="K686" s="12" t="str">
        <f>K685</f>
        <v>2853_01_01_S1_EM01_01_M3</v>
      </c>
      <c r="L686">
        <v>6372</v>
      </c>
    </row>
    <row r="687" spans="1:12" ht="21" customHeight="1" x14ac:dyDescent="0.25">
      <c r="A687" s="12" t="str">
        <f>A685</f>
        <v>ЩР-2.2 (S2)</v>
      </c>
      <c r="B687" s="13" t="s">
        <v>54</v>
      </c>
      <c r="C687" s="14" t="s">
        <v>57</v>
      </c>
      <c r="D687" s="12" t="s">
        <v>58</v>
      </c>
      <c r="E687" s="13">
        <v>3372</v>
      </c>
      <c r="F687" s="15">
        <f t="shared" si="409"/>
        <v>2023.1999999999998</v>
      </c>
      <c r="G687" s="15">
        <f t="shared" si="410"/>
        <v>2023.1999999999998</v>
      </c>
      <c r="H687" s="16">
        <v>1</v>
      </c>
      <c r="I687" s="17" t="s">
        <v>13</v>
      </c>
      <c r="J687" s="13" t="s">
        <v>17</v>
      </c>
      <c r="K687" s="12" t="str">
        <f t="shared" ref="K687" si="411">K685</f>
        <v>2853_01_01_S1_EM01_01_M3</v>
      </c>
      <c r="L687">
        <v>2023.1999999999998</v>
      </c>
    </row>
    <row r="688" spans="1:12" ht="24" customHeight="1" x14ac:dyDescent="0.25">
      <c r="A688" s="12" t="str">
        <f t="shared" ref="A688:A690" si="412">A687</f>
        <v>ЩР-2.2 (S2)</v>
      </c>
      <c r="B688" s="12" t="s">
        <v>10</v>
      </c>
      <c r="C688" s="18" t="s">
        <v>10</v>
      </c>
      <c r="D688" s="12" t="s">
        <v>10</v>
      </c>
      <c r="E688" s="12">
        <f ca="1">OFFSET(E688,1,2)</f>
        <v>60</v>
      </c>
      <c r="F688" s="15">
        <f ca="1">E688</f>
        <v>60</v>
      </c>
      <c r="G688" s="15">
        <f t="shared" ca="1" si="410"/>
        <v>60</v>
      </c>
      <c r="H688" s="12">
        <v>1</v>
      </c>
      <c r="I688" s="12" t="s">
        <v>13</v>
      </c>
      <c r="J688" s="12" t="s">
        <v>10</v>
      </c>
      <c r="K688" s="12" t="str">
        <f>K687</f>
        <v>2853_01_01_S1_EM01_01_M3</v>
      </c>
      <c r="L688">
        <v>60</v>
      </c>
    </row>
    <row r="689" spans="1:12" ht="21" customHeight="1" x14ac:dyDescent="0.25">
      <c r="A689" s="12" t="str">
        <f t="shared" si="412"/>
        <v>ЩР-2.2 (S2)</v>
      </c>
      <c r="B689" s="12" t="s">
        <v>11</v>
      </c>
      <c r="C689" s="18" t="s">
        <v>11</v>
      </c>
      <c r="D689" s="12" t="s">
        <v>11</v>
      </c>
      <c r="E689" s="12">
        <v>0.01</v>
      </c>
      <c r="F689" s="15">
        <v>100</v>
      </c>
      <c r="G689" s="15">
        <f t="shared" si="410"/>
        <v>60</v>
      </c>
      <c r="H689" s="12">
        <f>60*E689</f>
        <v>0.6</v>
      </c>
      <c r="I689" s="12" t="s">
        <v>13</v>
      </c>
      <c r="J689" s="12" t="s">
        <v>11</v>
      </c>
      <c r="K689" s="12" t="str">
        <f t="shared" ref="K689:K690" si="413">K688</f>
        <v>2853_01_01_S1_EM01_01_M3</v>
      </c>
      <c r="L689">
        <v>60</v>
      </c>
    </row>
    <row r="690" spans="1:12" ht="30" customHeight="1" x14ac:dyDescent="0.25">
      <c r="A690" s="12" t="str">
        <f t="shared" si="412"/>
        <v>ЩР-2.2 (S2)</v>
      </c>
      <c r="B690" s="19"/>
      <c r="C690" s="20"/>
      <c r="D690" s="21"/>
      <c r="E690" s="23"/>
      <c r="F690" s="25"/>
      <c r="G690" s="24">
        <f ca="1">SUM(G686:G689)</f>
        <v>8515.2000000000007</v>
      </c>
      <c r="H690" s="20"/>
      <c r="I690" s="22"/>
      <c r="J690" s="20"/>
      <c r="K690" s="12" t="str">
        <f t="shared" si="413"/>
        <v>2853_01_01_S1_EM01_01_M3</v>
      </c>
      <c r="L690">
        <v>8515.2000000000007</v>
      </c>
    </row>
    <row r="691" spans="1:12" ht="39.75" customHeight="1" x14ac:dyDescent="0.25">
      <c r="A691" s="5" t="str">
        <f>D691</f>
        <v>ЩР-2.3 (S2)</v>
      </c>
      <c r="B691" s="6"/>
      <c r="C691" s="7"/>
      <c r="D691" s="6" t="s">
        <v>347</v>
      </c>
      <c r="E691" s="8"/>
      <c r="F691" s="8" t="s">
        <v>40</v>
      </c>
      <c r="G691" s="9"/>
      <c r="H691" s="10">
        <v>1</v>
      </c>
      <c r="I691" s="11" t="s">
        <v>7</v>
      </c>
      <c r="J691" s="6" t="s">
        <v>9</v>
      </c>
      <c r="K691" s="5" t="s">
        <v>196</v>
      </c>
    </row>
    <row r="692" spans="1:12" ht="21" customHeight="1" x14ac:dyDescent="0.25">
      <c r="A692" s="12" t="str">
        <f>A691</f>
        <v>ЩР-2.3 (S2)</v>
      </c>
      <c r="B692" s="13" t="s">
        <v>8</v>
      </c>
      <c r="C692" s="14" t="s">
        <v>471</v>
      </c>
      <c r="D692" s="12" t="s">
        <v>472</v>
      </c>
      <c r="E692" s="13">
        <v>10620</v>
      </c>
      <c r="F692" s="15">
        <f t="shared" ref="F692:F693" si="414">E692*0.6</f>
        <v>6372</v>
      </c>
      <c r="G692" s="15">
        <f t="shared" ref="G692:G695" si="415">H692*F692</f>
        <v>6372</v>
      </c>
      <c r="H692" s="16">
        <v>1</v>
      </c>
      <c r="I692" s="17" t="s">
        <v>13</v>
      </c>
      <c r="J692" s="13" t="s">
        <v>16</v>
      </c>
      <c r="K692" s="12" t="str">
        <f>K691</f>
        <v>2853_01_01_S1_EM01_01_M3</v>
      </c>
      <c r="L692">
        <v>6372</v>
      </c>
    </row>
    <row r="693" spans="1:12" ht="21" customHeight="1" x14ac:dyDescent="0.25">
      <c r="A693" s="12" t="str">
        <f t="shared" ref="A693:A696" si="416">A692</f>
        <v>ЩР-2.3 (S2)</v>
      </c>
      <c r="B693" s="13" t="s">
        <v>54</v>
      </c>
      <c r="C693" s="14" t="s">
        <v>119</v>
      </c>
      <c r="D693" s="12" t="s">
        <v>120</v>
      </c>
      <c r="E693" s="13">
        <v>4217</v>
      </c>
      <c r="F693" s="15">
        <f t="shared" si="414"/>
        <v>2530.1999999999998</v>
      </c>
      <c r="G693" s="15">
        <f t="shared" si="415"/>
        <v>2530.1999999999998</v>
      </c>
      <c r="H693" s="16">
        <v>1</v>
      </c>
      <c r="I693" s="17" t="s">
        <v>13</v>
      </c>
      <c r="J693" s="13" t="s">
        <v>17</v>
      </c>
      <c r="K693" s="12" t="str">
        <f t="shared" ref="K693:K696" si="417">K692</f>
        <v>2853_01_01_S1_EM01_01_M3</v>
      </c>
      <c r="L693">
        <v>2530.1999999999998</v>
      </c>
    </row>
    <row r="694" spans="1:12" ht="24" customHeight="1" x14ac:dyDescent="0.25">
      <c r="A694" s="12" t="str">
        <f t="shared" si="416"/>
        <v>ЩР-2.3 (S2)</v>
      </c>
      <c r="B694" s="12" t="s">
        <v>10</v>
      </c>
      <c r="C694" s="18" t="s">
        <v>10</v>
      </c>
      <c r="D694" s="12" t="s">
        <v>10</v>
      </c>
      <c r="E694" s="12">
        <f ca="1">OFFSET(E694,1,2)</f>
        <v>60</v>
      </c>
      <c r="F694" s="15">
        <f ca="1">E694</f>
        <v>60</v>
      </c>
      <c r="G694" s="15">
        <f t="shared" ca="1" si="415"/>
        <v>60</v>
      </c>
      <c r="H694" s="12">
        <v>1</v>
      </c>
      <c r="I694" s="12" t="s">
        <v>13</v>
      </c>
      <c r="J694" s="12" t="s">
        <v>10</v>
      </c>
      <c r="K694" s="12" t="str">
        <f t="shared" si="417"/>
        <v>2853_01_01_S1_EM01_01_M3</v>
      </c>
      <c r="L694">
        <v>60</v>
      </c>
    </row>
    <row r="695" spans="1:12" ht="21" customHeight="1" x14ac:dyDescent="0.25">
      <c r="A695" s="12" t="str">
        <f t="shared" si="416"/>
        <v>ЩР-2.3 (S2)</v>
      </c>
      <c r="B695" s="12" t="s">
        <v>11</v>
      </c>
      <c r="C695" s="18" t="s">
        <v>11</v>
      </c>
      <c r="D695" s="12" t="s">
        <v>11</v>
      </c>
      <c r="E695" s="12">
        <v>0.01</v>
      </c>
      <c r="F695" s="15">
        <v>100</v>
      </c>
      <c r="G695" s="15">
        <f t="shared" si="415"/>
        <v>60</v>
      </c>
      <c r="H695" s="12">
        <f>60*E695</f>
        <v>0.6</v>
      </c>
      <c r="I695" s="12" t="s">
        <v>13</v>
      </c>
      <c r="J695" s="12" t="s">
        <v>11</v>
      </c>
      <c r="K695" s="12" t="str">
        <f t="shared" si="417"/>
        <v>2853_01_01_S1_EM01_01_M3</v>
      </c>
      <c r="L695">
        <v>60</v>
      </c>
    </row>
    <row r="696" spans="1:12" ht="30" customHeight="1" x14ac:dyDescent="0.25">
      <c r="A696" s="12" t="str">
        <f t="shared" si="416"/>
        <v>ЩР-2.3 (S2)</v>
      </c>
      <c r="B696" s="19"/>
      <c r="C696" s="20"/>
      <c r="D696" s="21"/>
      <c r="E696" s="23"/>
      <c r="F696" s="25"/>
      <c r="G696" s="24">
        <f ca="1">SUM(G692:G695)</f>
        <v>9022.2000000000007</v>
      </c>
      <c r="H696" s="20"/>
      <c r="I696" s="22"/>
      <c r="J696" s="20"/>
      <c r="K696" s="12" t="str">
        <f t="shared" si="417"/>
        <v>2853_01_01_S1_EM01_01_M3</v>
      </c>
      <c r="L696">
        <v>9022.2000000000007</v>
      </c>
    </row>
    <row r="697" spans="1:12" ht="39.75" customHeight="1" x14ac:dyDescent="0.25">
      <c r="A697" s="5" t="str">
        <f>D697</f>
        <v>ЩЭ-6 (S2)</v>
      </c>
      <c r="B697" s="6"/>
      <c r="C697" s="7"/>
      <c r="D697" s="6" t="s">
        <v>348</v>
      </c>
      <c r="E697" s="8"/>
      <c r="F697" s="8" t="s">
        <v>40</v>
      </c>
      <c r="G697" s="9"/>
      <c r="H697" s="10">
        <v>8</v>
      </c>
      <c r="I697" s="11" t="s">
        <v>7</v>
      </c>
      <c r="J697" s="6" t="s">
        <v>9</v>
      </c>
      <c r="K697" s="5" t="s">
        <v>197</v>
      </c>
    </row>
    <row r="698" spans="1:12" ht="21" customHeight="1" x14ac:dyDescent="0.25">
      <c r="A698" s="12" t="str">
        <f>A697</f>
        <v>ЩЭ-6 (S2)</v>
      </c>
      <c r="B698" s="13" t="s">
        <v>8</v>
      </c>
      <c r="C698" s="14" t="s">
        <v>467</v>
      </c>
      <c r="D698" s="12" t="s">
        <v>460</v>
      </c>
      <c r="E698" s="13">
        <v>89000</v>
      </c>
      <c r="F698" s="15">
        <f t="shared" ref="F698:F703" si="418">E698*0.6</f>
        <v>53400</v>
      </c>
      <c r="G698" s="15">
        <f t="shared" ref="G698:G707" si="419">H698*F698</f>
        <v>53400</v>
      </c>
      <c r="H698" s="16">
        <v>1</v>
      </c>
      <c r="I698" s="17" t="s">
        <v>13</v>
      </c>
      <c r="J698" s="13" t="s">
        <v>16</v>
      </c>
      <c r="K698" s="12" t="str">
        <f>K697</f>
        <v>2853_01_01_S2_EM01_01_M3</v>
      </c>
      <c r="L698">
        <v>53400</v>
      </c>
    </row>
    <row r="699" spans="1:12" ht="21" customHeight="1" x14ac:dyDescent="0.25">
      <c r="A699" s="12" t="str">
        <f t="shared" ref="A699:A708" si="420">A698</f>
        <v>ЩЭ-6 (S2)</v>
      </c>
      <c r="B699" s="13" t="s">
        <v>54</v>
      </c>
      <c r="C699" s="14" t="s">
        <v>192</v>
      </c>
      <c r="D699" s="12" t="s">
        <v>193</v>
      </c>
      <c r="E699" s="13">
        <v>2824</v>
      </c>
      <c r="F699" s="15">
        <f t="shared" si="418"/>
        <v>1694.3999999999999</v>
      </c>
      <c r="G699" s="15">
        <f t="shared" si="419"/>
        <v>1694.3999999999999</v>
      </c>
      <c r="H699" s="16">
        <v>1</v>
      </c>
      <c r="I699" s="17" t="s">
        <v>13</v>
      </c>
      <c r="J699" s="13" t="s">
        <v>17</v>
      </c>
      <c r="K699" s="12" t="str">
        <f t="shared" ref="K699:K708" si="421">K698</f>
        <v>2853_01_01_S2_EM01_01_M3</v>
      </c>
      <c r="L699">
        <v>1694.3999999999999</v>
      </c>
    </row>
    <row r="700" spans="1:12" ht="21" customHeight="1" x14ac:dyDescent="0.25">
      <c r="A700" s="12" t="str">
        <f t="shared" si="420"/>
        <v>ЩЭ-6 (S2)</v>
      </c>
      <c r="B700" s="13" t="s">
        <v>21</v>
      </c>
      <c r="C700" s="14" t="s">
        <v>198</v>
      </c>
      <c r="D700" s="12" t="s">
        <v>199</v>
      </c>
      <c r="E700" s="13">
        <v>6215</v>
      </c>
      <c r="F700" s="15">
        <f t="shared" si="418"/>
        <v>3729</v>
      </c>
      <c r="G700" s="15">
        <f t="shared" si="419"/>
        <v>3729</v>
      </c>
      <c r="H700" s="16">
        <v>1</v>
      </c>
      <c r="I700" s="17" t="s">
        <v>13</v>
      </c>
      <c r="J700" s="13" t="s">
        <v>17</v>
      </c>
      <c r="K700" s="12" t="str">
        <f t="shared" si="421"/>
        <v>2853_01_01_S2_EM01_01_M3</v>
      </c>
      <c r="L700">
        <v>3729</v>
      </c>
    </row>
    <row r="701" spans="1:12" ht="21" customHeight="1" x14ac:dyDescent="0.25">
      <c r="A701" s="12" t="str">
        <f t="shared" si="420"/>
        <v>ЩЭ-6 (S2)</v>
      </c>
      <c r="B701" s="13" t="s">
        <v>54</v>
      </c>
      <c r="C701" s="14" t="s">
        <v>267</v>
      </c>
      <c r="D701" s="12" t="s">
        <v>268</v>
      </c>
      <c r="E701" s="13">
        <v>1129</v>
      </c>
      <c r="F701" s="15">
        <f t="shared" si="418"/>
        <v>677.4</v>
      </c>
      <c r="G701" s="15">
        <f t="shared" si="419"/>
        <v>3387</v>
      </c>
      <c r="H701" s="16">
        <v>5</v>
      </c>
      <c r="I701" s="17" t="s">
        <v>13</v>
      </c>
      <c r="J701" s="13" t="s">
        <v>17</v>
      </c>
      <c r="K701" s="12" t="str">
        <f t="shared" si="421"/>
        <v>2853_01_01_S2_EM01_01_M3</v>
      </c>
      <c r="L701">
        <v>3387</v>
      </c>
    </row>
    <row r="702" spans="1:12" ht="21" customHeight="1" x14ac:dyDescent="0.25">
      <c r="A702" s="12" t="str">
        <f t="shared" si="420"/>
        <v>ЩЭ-6 (S2)</v>
      </c>
      <c r="B702" s="13" t="s">
        <v>21</v>
      </c>
      <c r="C702" s="14" t="s">
        <v>185</v>
      </c>
      <c r="D702" s="12" t="s">
        <v>186</v>
      </c>
      <c r="E702" s="13">
        <v>9380</v>
      </c>
      <c r="F702" s="15">
        <f t="shared" si="418"/>
        <v>5628</v>
      </c>
      <c r="G702" s="15">
        <f t="shared" si="419"/>
        <v>28140</v>
      </c>
      <c r="H702" s="16">
        <v>5</v>
      </c>
      <c r="I702" s="17" t="s">
        <v>13</v>
      </c>
      <c r="J702" s="13" t="s">
        <v>17</v>
      </c>
      <c r="K702" s="12" t="str">
        <f t="shared" si="421"/>
        <v>2853_01_01_S2_EM01_01_M3</v>
      </c>
      <c r="L702">
        <v>28140</v>
      </c>
    </row>
    <row r="703" spans="1:12" ht="22.5" customHeight="1" x14ac:dyDescent="0.25">
      <c r="A703" s="12" t="str">
        <f t="shared" si="420"/>
        <v>ЩЭ-6 (S2)</v>
      </c>
      <c r="B703" s="13" t="s">
        <v>204</v>
      </c>
      <c r="C703" s="14" t="s">
        <v>284</v>
      </c>
      <c r="D703" s="12" t="s">
        <v>285</v>
      </c>
      <c r="E703" s="13">
        <v>1738</v>
      </c>
      <c r="F703" s="15">
        <f t="shared" si="418"/>
        <v>1042.8</v>
      </c>
      <c r="G703" s="15">
        <f t="shared" si="419"/>
        <v>1042.8</v>
      </c>
      <c r="H703" s="16">
        <v>1</v>
      </c>
      <c r="I703" s="17" t="s">
        <v>13</v>
      </c>
      <c r="J703" s="13" t="s">
        <v>17</v>
      </c>
      <c r="K703" s="12" t="str">
        <f t="shared" si="421"/>
        <v>2853_01_01_S2_EM01_01_M3</v>
      </c>
      <c r="L703">
        <v>1042.8</v>
      </c>
    </row>
    <row r="704" spans="1:12" ht="22.5" customHeight="1" x14ac:dyDescent="0.25">
      <c r="A704" s="12" t="str">
        <f t="shared" si="420"/>
        <v>ЩЭ-6 (S2)</v>
      </c>
      <c r="B704" s="13" t="s">
        <v>18</v>
      </c>
      <c r="C704" s="14" t="s">
        <v>294</v>
      </c>
      <c r="D704" s="12" t="s">
        <v>295</v>
      </c>
      <c r="E704" s="13">
        <v>90000</v>
      </c>
      <c r="F704" s="15">
        <f t="shared" ref="F704:F705" si="422">E704</f>
        <v>90000</v>
      </c>
      <c r="G704" s="15">
        <f t="shared" si="419"/>
        <v>0</v>
      </c>
      <c r="H704" s="16">
        <v>0</v>
      </c>
      <c r="I704" s="17" t="s">
        <v>13</v>
      </c>
      <c r="J704" s="13" t="s">
        <v>24</v>
      </c>
      <c r="K704" s="12" t="str">
        <f t="shared" si="421"/>
        <v>2853_01_01_S2_EM01_01_M3</v>
      </c>
      <c r="L704">
        <v>0</v>
      </c>
    </row>
    <row r="705" spans="1:12" ht="22.5" customHeight="1" x14ac:dyDescent="0.25">
      <c r="A705" s="12" t="str">
        <f t="shared" ref="A705" si="423">A703</f>
        <v>ЩЭ-6 (S2)</v>
      </c>
      <c r="B705" s="13" t="s">
        <v>18</v>
      </c>
      <c r="C705" s="14" t="s">
        <v>292</v>
      </c>
      <c r="D705" s="12" t="s">
        <v>293</v>
      </c>
      <c r="E705" s="13">
        <v>90000</v>
      </c>
      <c r="F705" s="15">
        <f t="shared" si="422"/>
        <v>90000</v>
      </c>
      <c r="G705" s="15">
        <f t="shared" si="419"/>
        <v>0</v>
      </c>
      <c r="H705" s="16">
        <v>0</v>
      </c>
      <c r="I705" s="17" t="s">
        <v>13</v>
      </c>
      <c r="J705" s="13" t="s">
        <v>24</v>
      </c>
      <c r="K705" s="12" t="str">
        <f t="shared" ref="K705" si="424">K703</f>
        <v>2853_01_01_S2_EM01_01_M3</v>
      </c>
      <c r="L705">
        <v>0</v>
      </c>
    </row>
    <row r="706" spans="1:12" ht="24" customHeight="1" x14ac:dyDescent="0.25">
      <c r="A706" s="12" t="str">
        <f t="shared" si="420"/>
        <v>ЩЭ-6 (S2)</v>
      </c>
      <c r="B706" s="12" t="s">
        <v>10</v>
      </c>
      <c r="C706" s="18" t="s">
        <v>10</v>
      </c>
      <c r="D706" s="12" t="s">
        <v>10</v>
      </c>
      <c r="E706" s="12">
        <f ca="1">OFFSET(E706,1,2)</f>
        <v>27000</v>
      </c>
      <c r="F706" s="15">
        <f ca="1">E706</f>
        <v>27000</v>
      </c>
      <c r="G706" s="15">
        <f t="shared" ca="1" si="419"/>
        <v>27000</v>
      </c>
      <c r="H706" s="12">
        <v>1</v>
      </c>
      <c r="I706" s="12" t="s">
        <v>13</v>
      </c>
      <c r="J706" s="12" t="s">
        <v>10</v>
      </c>
      <c r="K706" s="12" t="str">
        <f t="shared" si="421"/>
        <v>2853_01_01_S2_EM01_01_M3</v>
      </c>
      <c r="L706">
        <v>27000</v>
      </c>
    </row>
    <row r="707" spans="1:12" ht="21" customHeight="1" x14ac:dyDescent="0.25">
      <c r="A707" s="12" t="str">
        <f t="shared" si="420"/>
        <v>ЩЭ-6 (S2)</v>
      </c>
      <c r="B707" s="12" t="s">
        <v>11</v>
      </c>
      <c r="C707" s="18" t="s">
        <v>11</v>
      </c>
      <c r="D707" s="12" t="s">
        <v>11</v>
      </c>
      <c r="E707" s="12">
        <v>4.5</v>
      </c>
      <c r="F707" s="15">
        <v>100</v>
      </c>
      <c r="G707" s="15">
        <f t="shared" si="419"/>
        <v>27000</v>
      </c>
      <c r="H707" s="12">
        <f>60*E707</f>
        <v>270</v>
      </c>
      <c r="I707" s="12" t="s">
        <v>13</v>
      </c>
      <c r="J707" s="12" t="s">
        <v>11</v>
      </c>
      <c r="K707" s="12" t="str">
        <f t="shared" si="421"/>
        <v>2853_01_01_S2_EM01_01_M3</v>
      </c>
      <c r="L707">
        <v>27000</v>
      </c>
    </row>
    <row r="708" spans="1:12" ht="30" customHeight="1" x14ac:dyDescent="0.25">
      <c r="A708" s="12" t="str">
        <f t="shared" si="420"/>
        <v>ЩЭ-6 (S2)</v>
      </c>
      <c r="B708" s="19"/>
      <c r="C708" s="20"/>
      <c r="D708" s="21"/>
      <c r="E708" s="23"/>
      <c r="F708" s="25"/>
      <c r="G708" s="24">
        <f ca="1">SUM(G701:G707)</f>
        <v>86569.8</v>
      </c>
      <c r="H708" s="20"/>
      <c r="I708" s="22"/>
      <c r="J708" s="20"/>
      <c r="K708" s="12" t="str">
        <f t="shared" si="421"/>
        <v>2853_01_01_S2_EM01_01_M3</v>
      </c>
      <c r="L708">
        <v>86569.8</v>
      </c>
    </row>
    <row r="709" spans="1:12" ht="39.75" customHeight="1" x14ac:dyDescent="0.25">
      <c r="A709" s="5" t="str">
        <f>D709</f>
        <v>ЩК1 (S2)</v>
      </c>
      <c r="B709" s="6"/>
      <c r="C709" s="7"/>
      <c r="D709" s="6" t="s">
        <v>349</v>
      </c>
      <c r="E709" s="8"/>
      <c r="F709" s="8" t="s">
        <v>40</v>
      </c>
      <c r="G709" s="9"/>
      <c r="H709" s="10">
        <v>48</v>
      </c>
      <c r="I709" s="11" t="s">
        <v>7</v>
      </c>
      <c r="J709" s="6" t="s">
        <v>9</v>
      </c>
      <c r="K709" s="5" t="s">
        <v>197</v>
      </c>
    </row>
    <row r="710" spans="1:12" ht="21" customHeight="1" x14ac:dyDescent="0.25">
      <c r="A710" s="12" t="str">
        <f>A709</f>
        <v>ЩК1 (S2)</v>
      </c>
      <c r="B710" s="13" t="s">
        <v>8</v>
      </c>
      <c r="C710" s="14" t="s">
        <v>308</v>
      </c>
      <c r="D710" s="12" t="s">
        <v>309</v>
      </c>
      <c r="E710" s="13">
        <v>10050</v>
      </c>
      <c r="F710" s="15">
        <f t="shared" ref="F710:F715" si="425">E710*0.6</f>
        <v>6030</v>
      </c>
      <c r="G710" s="15">
        <f t="shared" ref="G710:G717" si="426">H710*F710</f>
        <v>6030</v>
      </c>
      <c r="H710" s="16">
        <v>1</v>
      </c>
      <c r="I710" s="17" t="s">
        <v>13</v>
      </c>
      <c r="J710" s="13" t="s">
        <v>16</v>
      </c>
      <c r="K710" s="12" t="str">
        <f>K709</f>
        <v>2853_01_01_S2_EM01_01_M3</v>
      </c>
      <c r="L710">
        <v>6030</v>
      </c>
    </row>
    <row r="711" spans="1:12" ht="21" customHeight="1" x14ac:dyDescent="0.25">
      <c r="A711" s="12" t="str">
        <f t="shared" ref="A711:A713" si="427">A710</f>
        <v>ЩК1 (S2)</v>
      </c>
      <c r="B711" s="13" t="s">
        <v>54</v>
      </c>
      <c r="C711" s="14" t="s">
        <v>183</v>
      </c>
      <c r="D711" s="12" t="s">
        <v>184</v>
      </c>
      <c r="E711" s="13">
        <v>2249</v>
      </c>
      <c r="F711" s="15">
        <f t="shared" si="425"/>
        <v>1349.3999999999999</v>
      </c>
      <c r="G711" s="15">
        <f t="shared" si="426"/>
        <v>1349.3999999999999</v>
      </c>
      <c r="H711" s="16">
        <v>1</v>
      </c>
      <c r="I711" s="17" t="s">
        <v>13</v>
      </c>
      <c r="J711" s="13" t="s">
        <v>17</v>
      </c>
      <c r="K711" s="12" t="str">
        <f t="shared" ref="K711:K713" si="428">K710</f>
        <v>2853_01_01_S2_EM01_01_M3</v>
      </c>
      <c r="L711">
        <v>1349.3999999999999</v>
      </c>
    </row>
    <row r="712" spans="1:12" ht="21" customHeight="1" x14ac:dyDescent="0.25">
      <c r="A712" s="12" t="str">
        <f t="shared" si="427"/>
        <v>ЩК1 (S2)</v>
      </c>
      <c r="B712" s="13" t="s">
        <v>21</v>
      </c>
      <c r="C712" s="14" t="s">
        <v>187</v>
      </c>
      <c r="D712" s="12" t="s">
        <v>188</v>
      </c>
      <c r="E712" s="13">
        <v>5632</v>
      </c>
      <c r="F712" s="15">
        <f t="shared" si="425"/>
        <v>3379.2</v>
      </c>
      <c r="G712" s="15">
        <f t="shared" si="426"/>
        <v>3379.2</v>
      </c>
      <c r="H712" s="16">
        <v>1</v>
      </c>
      <c r="I712" s="17" t="s">
        <v>13</v>
      </c>
      <c r="J712" s="13" t="s">
        <v>17</v>
      </c>
      <c r="K712" s="12" t="str">
        <f t="shared" si="428"/>
        <v>2853_01_01_S2_EM01_01_M3</v>
      </c>
      <c r="L712">
        <v>3379.2</v>
      </c>
    </row>
    <row r="713" spans="1:12" ht="21" customHeight="1" x14ac:dyDescent="0.25">
      <c r="A713" s="12" t="str">
        <f t="shared" si="427"/>
        <v>ЩК1 (S2)</v>
      </c>
      <c r="B713" s="13" t="s">
        <v>191</v>
      </c>
      <c r="C713" s="14" t="s">
        <v>189</v>
      </c>
      <c r="D713" s="12" t="s">
        <v>190</v>
      </c>
      <c r="E713" s="13">
        <v>7795</v>
      </c>
      <c r="F713" s="15">
        <f t="shared" si="425"/>
        <v>4677</v>
      </c>
      <c r="G713" s="15">
        <f t="shared" si="426"/>
        <v>4677</v>
      </c>
      <c r="H713" s="16">
        <v>1</v>
      </c>
      <c r="I713" s="17" t="s">
        <v>13</v>
      </c>
      <c r="J713" s="13" t="s">
        <v>17</v>
      </c>
      <c r="K713" s="12" t="str">
        <f t="shared" si="428"/>
        <v>2853_01_01_S2_EM01_01_M3</v>
      </c>
      <c r="L713">
        <v>4677</v>
      </c>
    </row>
    <row r="714" spans="1:12" ht="21" customHeight="1" x14ac:dyDescent="0.25">
      <c r="A714" s="12" t="str">
        <f>A709</f>
        <v>ЩК1 (S2)</v>
      </c>
      <c r="B714" s="13" t="s">
        <v>12</v>
      </c>
      <c r="C714" s="14" t="s">
        <v>125</v>
      </c>
      <c r="D714" s="12" t="s">
        <v>126</v>
      </c>
      <c r="E714" s="13">
        <v>796</v>
      </c>
      <c r="F714" s="15">
        <f t="shared" si="425"/>
        <v>477.59999999999997</v>
      </c>
      <c r="G714" s="15">
        <f t="shared" si="426"/>
        <v>1432.8</v>
      </c>
      <c r="H714" s="16">
        <v>3</v>
      </c>
      <c r="I714" s="17" t="s">
        <v>13</v>
      </c>
      <c r="J714" s="13" t="s">
        <v>17</v>
      </c>
      <c r="K714" s="12" t="str">
        <f>K709</f>
        <v>2853_01_01_S2_EM01_01_M3</v>
      </c>
      <c r="L714">
        <v>1432.8</v>
      </c>
    </row>
    <row r="715" spans="1:12" ht="21" customHeight="1" x14ac:dyDescent="0.25">
      <c r="A715" s="12" t="str">
        <f>A710</f>
        <v>ЩК1 (S2)</v>
      </c>
      <c r="B715" s="13" t="s">
        <v>12</v>
      </c>
      <c r="C715" s="14" t="s">
        <v>36</v>
      </c>
      <c r="D715" s="12" t="s">
        <v>37</v>
      </c>
      <c r="E715" s="13">
        <v>783</v>
      </c>
      <c r="F715" s="15">
        <f t="shared" si="425"/>
        <v>469.79999999999995</v>
      </c>
      <c r="G715" s="15">
        <f t="shared" si="426"/>
        <v>469.79999999999995</v>
      </c>
      <c r="H715" s="16">
        <v>1</v>
      </c>
      <c r="I715" s="17" t="s">
        <v>13</v>
      </c>
      <c r="J715" s="13" t="s">
        <v>17</v>
      </c>
      <c r="K715" s="12" t="str">
        <f>K710</f>
        <v>2853_01_01_S2_EM01_01_M3</v>
      </c>
      <c r="L715">
        <v>469.79999999999995</v>
      </c>
    </row>
    <row r="716" spans="1:12" ht="24" customHeight="1" x14ac:dyDescent="0.25">
      <c r="A716" s="12" t="str">
        <f t="shared" ref="A716:A718" si="429">A715</f>
        <v>ЩК1 (S2)</v>
      </c>
      <c r="B716" s="12" t="s">
        <v>10</v>
      </c>
      <c r="C716" s="18" t="s">
        <v>10</v>
      </c>
      <c r="D716" s="12" t="s">
        <v>10</v>
      </c>
      <c r="E716" s="12">
        <f ca="1">OFFSET(E716,1,2)</f>
        <v>4200</v>
      </c>
      <c r="F716" s="15">
        <f ca="1">E716</f>
        <v>4200</v>
      </c>
      <c r="G716" s="15">
        <f t="shared" ca="1" si="426"/>
        <v>4200</v>
      </c>
      <c r="H716" s="12">
        <v>1</v>
      </c>
      <c r="I716" s="12" t="s">
        <v>13</v>
      </c>
      <c r="J716" s="12" t="s">
        <v>10</v>
      </c>
      <c r="K716" s="12" t="str">
        <f t="shared" ref="K716:K718" si="430">K715</f>
        <v>2853_01_01_S2_EM01_01_M3</v>
      </c>
      <c r="L716">
        <v>4200</v>
      </c>
    </row>
    <row r="717" spans="1:12" ht="21" customHeight="1" x14ac:dyDescent="0.25">
      <c r="A717" s="12" t="str">
        <f t="shared" si="429"/>
        <v>ЩК1 (S2)</v>
      </c>
      <c r="B717" s="12" t="s">
        <v>11</v>
      </c>
      <c r="C717" s="18" t="s">
        <v>11</v>
      </c>
      <c r="D717" s="12" t="s">
        <v>11</v>
      </c>
      <c r="E717" s="12">
        <v>0.7</v>
      </c>
      <c r="F717" s="15">
        <v>100</v>
      </c>
      <c r="G717" s="15">
        <f t="shared" si="426"/>
        <v>4200</v>
      </c>
      <c r="H717" s="12">
        <f>60*E717</f>
        <v>42</v>
      </c>
      <c r="I717" s="12" t="s">
        <v>13</v>
      </c>
      <c r="J717" s="12" t="s">
        <v>11</v>
      </c>
      <c r="K717" s="12" t="str">
        <f t="shared" si="430"/>
        <v>2853_01_01_S2_EM01_01_M3</v>
      </c>
      <c r="L717">
        <v>4200</v>
      </c>
    </row>
    <row r="718" spans="1:12" ht="30" customHeight="1" x14ac:dyDescent="0.25">
      <c r="A718" s="12" t="str">
        <f t="shared" si="429"/>
        <v>ЩК1 (S2)</v>
      </c>
      <c r="B718" s="19"/>
      <c r="C718" s="20"/>
      <c r="D718" s="21"/>
      <c r="E718" s="23"/>
      <c r="F718" s="25"/>
      <c r="G718" s="24">
        <f ca="1">SUM(G710:G717)</f>
        <v>25738.199999999997</v>
      </c>
      <c r="H718" s="20"/>
      <c r="I718" s="22"/>
      <c r="J718" s="20"/>
      <c r="K718" s="12" t="str">
        <f t="shared" si="430"/>
        <v>2853_01_01_S2_EM01_01_M3</v>
      </c>
      <c r="L718">
        <v>25738.199999999997</v>
      </c>
    </row>
    <row r="719" spans="1:12" ht="39.75" customHeight="1" x14ac:dyDescent="0.25">
      <c r="A719" s="5" t="str">
        <f>D719</f>
        <v>ЩК2 (S2)</v>
      </c>
      <c r="B719" s="6"/>
      <c r="C719" s="7"/>
      <c r="D719" s="6" t="s">
        <v>350</v>
      </c>
      <c r="E719" s="8"/>
      <c r="F719" s="8" t="s">
        <v>40</v>
      </c>
      <c r="G719" s="9"/>
      <c r="H719" s="10">
        <v>16</v>
      </c>
      <c r="I719" s="11" t="s">
        <v>7</v>
      </c>
      <c r="J719" s="6" t="s">
        <v>9</v>
      </c>
      <c r="K719" s="5" t="s">
        <v>197</v>
      </c>
    </row>
    <row r="720" spans="1:12" ht="21" customHeight="1" x14ac:dyDescent="0.25">
      <c r="A720" s="12" t="str">
        <f>A719</f>
        <v>ЩК2 (S2)</v>
      </c>
      <c r="B720" s="13" t="s">
        <v>8</v>
      </c>
      <c r="C720" s="14" t="s">
        <v>308</v>
      </c>
      <c r="D720" s="12" t="s">
        <v>309</v>
      </c>
      <c r="E720" s="13">
        <v>10050</v>
      </c>
      <c r="F720" s="15">
        <f t="shared" ref="F720:F726" si="431">E720*0.6</f>
        <v>6030</v>
      </c>
      <c r="G720" s="15">
        <f t="shared" ref="G720:G728" si="432">H720*F720</f>
        <v>6030</v>
      </c>
      <c r="H720" s="16">
        <v>1</v>
      </c>
      <c r="I720" s="17" t="s">
        <v>13</v>
      </c>
      <c r="J720" s="13" t="s">
        <v>16</v>
      </c>
      <c r="K720" s="12" t="str">
        <f>K719</f>
        <v>2853_01_01_S2_EM01_01_M3</v>
      </c>
      <c r="L720">
        <v>6030</v>
      </c>
    </row>
    <row r="721" spans="1:12" ht="21" customHeight="1" x14ac:dyDescent="0.25">
      <c r="A721" s="12" t="str">
        <f t="shared" ref="A721" si="433">A720</f>
        <v>ЩК2 (S2)</v>
      </c>
      <c r="B721" s="13" t="s">
        <v>54</v>
      </c>
      <c r="C721" s="14" t="s">
        <v>192</v>
      </c>
      <c r="D721" s="12" t="s">
        <v>193</v>
      </c>
      <c r="E721" s="13">
        <v>2824</v>
      </c>
      <c r="F721" s="15">
        <f t="shared" si="431"/>
        <v>1694.3999999999999</v>
      </c>
      <c r="G721" s="15">
        <f t="shared" si="432"/>
        <v>1694.3999999999999</v>
      </c>
      <c r="H721" s="16">
        <v>1</v>
      </c>
      <c r="I721" s="17" t="s">
        <v>13</v>
      </c>
      <c r="J721" s="13" t="s">
        <v>17</v>
      </c>
      <c r="K721" s="12" t="str">
        <f t="shared" ref="K721" si="434">K720</f>
        <v>2853_01_01_S2_EM01_01_M3</v>
      </c>
      <c r="L721">
        <v>1694.3999999999999</v>
      </c>
    </row>
    <row r="722" spans="1:12" ht="21" customHeight="1" x14ac:dyDescent="0.25">
      <c r="A722" s="12" t="str">
        <f>A720</f>
        <v>ЩК2 (S2)</v>
      </c>
      <c r="B722" s="13" t="s">
        <v>21</v>
      </c>
      <c r="C722" s="14" t="s">
        <v>194</v>
      </c>
      <c r="D722" s="12" t="s">
        <v>195</v>
      </c>
      <c r="E722" s="13">
        <v>5556</v>
      </c>
      <c r="F722" s="15">
        <f t="shared" si="431"/>
        <v>3333.6</v>
      </c>
      <c r="G722" s="15">
        <f t="shared" si="432"/>
        <v>3333.6</v>
      </c>
      <c r="H722" s="16">
        <v>1</v>
      </c>
      <c r="I722" s="17" t="s">
        <v>13</v>
      </c>
      <c r="J722" s="13" t="s">
        <v>17</v>
      </c>
      <c r="K722" s="12" t="str">
        <f>K720</f>
        <v>2853_01_01_S2_EM01_01_M3</v>
      </c>
      <c r="L722">
        <v>3333.6</v>
      </c>
    </row>
    <row r="723" spans="1:12" ht="21" customHeight="1" x14ac:dyDescent="0.25">
      <c r="A723" s="12" t="str">
        <f>A721</f>
        <v>ЩК2 (S2)</v>
      </c>
      <c r="B723" s="13" t="s">
        <v>21</v>
      </c>
      <c r="C723" s="14" t="s">
        <v>187</v>
      </c>
      <c r="D723" s="12" t="s">
        <v>188</v>
      </c>
      <c r="E723" s="13">
        <v>5632</v>
      </c>
      <c r="F723" s="15">
        <f t="shared" si="431"/>
        <v>3379.2</v>
      </c>
      <c r="G723" s="15">
        <f t="shared" si="432"/>
        <v>3379.2</v>
      </c>
      <c r="H723" s="16">
        <v>1</v>
      </c>
      <c r="I723" s="17" t="s">
        <v>13</v>
      </c>
      <c r="J723" s="13" t="s">
        <v>17</v>
      </c>
      <c r="K723" s="12" t="str">
        <f>K721</f>
        <v>2853_01_01_S2_EM01_01_M3</v>
      </c>
      <c r="L723">
        <v>3379.2</v>
      </c>
    </row>
    <row r="724" spans="1:12" ht="21" customHeight="1" x14ac:dyDescent="0.25">
      <c r="A724" s="12" t="str">
        <f t="shared" ref="A724" si="435">A723</f>
        <v>ЩК2 (S2)</v>
      </c>
      <c r="B724" s="13" t="s">
        <v>191</v>
      </c>
      <c r="C724" s="14" t="s">
        <v>189</v>
      </c>
      <c r="D724" s="12" t="s">
        <v>190</v>
      </c>
      <c r="E724" s="13">
        <v>7795</v>
      </c>
      <c r="F724" s="15">
        <f t="shared" si="431"/>
        <v>4677</v>
      </c>
      <c r="G724" s="15">
        <f t="shared" si="432"/>
        <v>4677</v>
      </c>
      <c r="H724" s="16">
        <v>1</v>
      </c>
      <c r="I724" s="17" t="s">
        <v>13</v>
      </c>
      <c r="J724" s="13" t="s">
        <v>17</v>
      </c>
      <c r="K724" s="12" t="str">
        <f t="shared" ref="K724" si="436">K723</f>
        <v>2853_01_01_S2_EM01_01_M3</v>
      </c>
      <c r="L724">
        <v>4677</v>
      </c>
    </row>
    <row r="725" spans="1:12" ht="21" customHeight="1" x14ac:dyDescent="0.25">
      <c r="A725" s="12" t="str">
        <f>A719</f>
        <v>ЩК2 (S2)</v>
      </c>
      <c r="B725" s="13" t="s">
        <v>12</v>
      </c>
      <c r="C725" s="14" t="s">
        <v>125</v>
      </c>
      <c r="D725" s="12" t="s">
        <v>126</v>
      </c>
      <c r="E725" s="13">
        <v>796</v>
      </c>
      <c r="F725" s="15">
        <f t="shared" si="431"/>
        <v>477.59999999999997</v>
      </c>
      <c r="G725" s="15">
        <f t="shared" si="432"/>
        <v>1910.3999999999999</v>
      </c>
      <c r="H725" s="16">
        <v>4</v>
      </c>
      <c r="I725" s="17" t="s">
        <v>13</v>
      </c>
      <c r="J725" s="13" t="s">
        <v>17</v>
      </c>
      <c r="K725" s="12" t="str">
        <f>K719</f>
        <v>2853_01_01_S2_EM01_01_M3</v>
      </c>
      <c r="L725">
        <v>1910.3999999999999</v>
      </c>
    </row>
    <row r="726" spans="1:12" ht="21" customHeight="1" x14ac:dyDescent="0.25">
      <c r="A726" s="12" t="str">
        <f>A720</f>
        <v>ЩК2 (S2)</v>
      </c>
      <c r="B726" s="13" t="s">
        <v>12</v>
      </c>
      <c r="C726" s="14" t="s">
        <v>36</v>
      </c>
      <c r="D726" s="12" t="s">
        <v>37</v>
      </c>
      <c r="E726" s="13">
        <v>783</v>
      </c>
      <c r="F726" s="15">
        <f t="shared" si="431"/>
        <v>469.79999999999995</v>
      </c>
      <c r="G726" s="15">
        <f t="shared" si="432"/>
        <v>469.79999999999995</v>
      </c>
      <c r="H726" s="16">
        <v>1</v>
      </c>
      <c r="I726" s="17" t="s">
        <v>13</v>
      </c>
      <c r="J726" s="13" t="s">
        <v>17</v>
      </c>
      <c r="K726" s="12" t="str">
        <f>K720</f>
        <v>2853_01_01_S2_EM01_01_M3</v>
      </c>
      <c r="L726">
        <v>469.79999999999995</v>
      </c>
    </row>
    <row r="727" spans="1:12" ht="24" customHeight="1" x14ac:dyDescent="0.25">
      <c r="A727" s="12" t="str">
        <f t="shared" ref="A727:A729" si="437">A726</f>
        <v>ЩК2 (S2)</v>
      </c>
      <c r="B727" s="12" t="s">
        <v>10</v>
      </c>
      <c r="C727" s="18" t="s">
        <v>10</v>
      </c>
      <c r="D727" s="12" t="s">
        <v>10</v>
      </c>
      <c r="E727" s="12">
        <f ca="1">OFFSET(E727,1,2)</f>
        <v>4200</v>
      </c>
      <c r="F727" s="15">
        <f ca="1">E727</f>
        <v>4200</v>
      </c>
      <c r="G727" s="15">
        <f t="shared" ca="1" si="432"/>
        <v>4200</v>
      </c>
      <c r="H727" s="12">
        <v>1</v>
      </c>
      <c r="I727" s="12" t="s">
        <v>13</v>
      </c>
      <c r="J727" s="12" t="s">
        <v>10</v>
      </c>
      <c r="K727" s="12" t="str">
        <f t="shared" ref="K727:K729" si="438">K726</f>
        <v>2853_01_01_S2_EM01_01_M3</v>
      </c>
      <c r="L727">
        <v>4200</v>
      </c>
    </row>
    <row r="728" spans="1:12" ht="21" customHeight="1" x14ac:dyDescent="0.25">
      <c r="A728" s="12" t="str">
        <f t="shared" si="437"/>
        <v>ЩК2 (S2)</v>
      </c>
      <c r="B728" s="12" t="s">
        <v>11</v>
      </c>
      <c r="C728" s="18" t="s">
        <v>11</v>
      </c>
      <c r="D728" s="12" t="s">
        <v>11</v>
      </c>
      <c r="E728" s="12">
        <v>0.7</v>
      </c>
      <c r="F728" s="15">
        <v>100</v>
      </c>
      <c r="G728" s="15">
        <f t="shared" si="432"/>
        <v>4200</v>
      </c>
      <c r="H728" s="12">
        <f>60*E728</f>
        <v>42</v>
      </c>
      <c r="I728" s="12" t="s">
        <v>13</v>
      </c>
      <c r="J728" s="12" t="s">
        <v>11</v>
      </c>
      <c r="K728" s="12" t="str">
        <f t="shared" si="438"/>
        <v>2853_01_01_S2_EM01_01_M3</v>
      </c>
      <c r="L728">
        <v>4200</v>
      </c>
    </row>
    <row r="729" spans="1:12" ht="30" customHeight="1" x14ac:dyDescent="0.25">
      <c r="A729" s="12" t="str">
        <f t="shared" si="437"/>
        <v>ЩК2 (S2)</v>
      </c>
      <c r="B729" s="19"/>
      <c r="C729" s="20"/>
      <c r="D729" s="21"/>
      <c r="E729" s="23"/>
      <c r="F729" s="25"/>
      <c r="G729" s="24">
        <f ca="1">SUM(G720:G728)</f>
        <v>29894.400000000001</v>
      </c>
      <c r="H729" s="20"/>
      <c r="I729" s="22"/>
      <c r="J729" s="20"/>
      <c r="K729" s="12" t="str">
        <f t="shared" si="438"/>
        <v>2853_01_01_S2_EM01_01_M3</v>
      </c>
      <c r="L729">
        <v>29894.400000000001</v>
      </c>
    </row>
    <row r="730" spans="1:12" ht="39.75" customHeight="1" x14ac:dyDescent="0.25">
      <c r="A730" s="5" t="str">
        <f>D730</f>
        <v>ЯТП-0,25-23УЗ (S2)</v>
      </c>
      <c r="B730" s="6"/>
      <c r="C730" s="7"/>
      <c r="D730" s="6" t="s">
        <v>408</v>
      </c>
      <c r="E730" s="8"/>
      <c r="F730" s="8"/>
      <c r="G730" s="9"/>
      <c r="H730" s="10">
        <v>1</v>
      </c>
      <c r="I730" s="11" t="s">
        <v>7</v>
      </c>
      <c r="J730" s="6" t="s">
        <v>9</v>
      </c>
      <c r="K730" s="5" t="s">
        <v>197</v>
      </c>
    </row>
    <row r="731" spans="1:12" ht="39.75" customHeight="1" x14ac:dyDescent="0.25">
      <c r="A731" s="5" t="str">
        <f>D731</f>
        <v>ЩО-3бл. (S3)</v>
      </c>
      <c r="B731" s="6"/>
      <c r="C731" s="7"/>
      <c r="D731" s="6" t="s">
        <v>351</v>
      </c>
      <c r="E731" s="8"/>
      <c r="F731" s="8" t="s">
        <v>40</v>
      </c>
      <c r="G731" s="9"/>
      <c r="H731" s="10">
        <v>1</v>
      </c>
      <c r="I731" s="11" t="s">
        <v>7</v>
      </c>
      <c r="J731" s="6" t="s">
        <v>9</v>
      </c>
      <c r="K731" s="5" t="s">
        <v>200</v>
      </c>
    </row>
    <row r="732" spans="1:12" ht="21" customHeight="1" x14ac:dyDescent="0.25">
      <c r="A732" s="12" t="str">
        <f>A731</f>
        <v>ЩО-3бл. (S3)</v>
      </c>
      <c r="B732" s="13" t="s">
        <v>8</v>
      </c>
      <c r="C732" s="14" t="s">
        <v>312</v>
      </c>
      <c r="D732" s="12" t="s">
        <v>313</v>
      </c>
      <c r="E732" s="13">
        <v>11700</v>
      </c>
      <c r="F732" s="15">
        <f>E732*0.6</f>
        <v>7020</v>
      </c>
      <c r="G732" s="15">
        <f t="shared" ref="G732:G737" si="439">H732*F732</f>
        <v>7020</v>
      </c>
      <c r="H732" s="16">
        <v>1</v>
      </c>
      <c r="I732" s="17" t="s">
        <v>13</v>
      </c>
      <c r="J732" s="13" t="s">
        <v>319</v>
      </c>
      <c r="K732" s="12" t="str">
        <f>K731</f>
        <v>2853_01_01_S3_EM01_01_M3</v>
      </c>
      <c r="L732">
        <v>7020</v>
      </c>
    </row>
    <row r="733" spans="1:12" ht="21" customHeight="1" x14ac:dyDescent="0.25">
      <c r="A733" s="12" t="str">
        <f t="shared" ref="A733:A738" si="440">A732</f>
        <v>ЩО-3бл. (S3)</v>
      </c>
      <c r="B733" s="13" t="s">
        <v>54</v>
      </c>
      <c r="C733" s="14" t="s">
        <v>55</v>
      </c>
      <c r="D733" s="12" t="s">
        <v>56</v>
      </c>
      <c r="E733" s="13">
        <v>3372</v>
      </c>
      <c r="F733" s="15">
        <f t="shared" ref="F733:F734" si="441">E733*0.6</f>
        <v>2023.1999999999998</v>
      </c>
      <c r="G733" s="15">
        <f t="shared" si="439"/>
        <v>2023.1999999999998</v>
      </c>
      <c r="H733" s="16">
        <v>1</v>
      </c>
      <c r="I733" s="17" t="s">
        <v>13</v>
      </c>
      <c r="J733" s="13" t="s">
        <v>17</v>
      </c>
      <c r="K733" s="12" t="str">
        <f t="shared" ref="K733:K738" si="442">K732</f>
        <v>2853_01_01_S3_EM01_01_M3</v>
      </c>
      <c r="L733">
        <v>2023.1999999999998</v>
      </c>
    </row>
    <row r="734" spans="1:12" ht="21" customHeight="1" x14ac:dyDescent="0.25">
      <c r="A734" s="12" t="str">
        <f t="shared" si="440"/>
        <v>ЩО-3бл. (S3)</v>
      </c>
      <c r="B734" s="13" t="s">
        <v>12</v>
      </c>
      <c r="C734" s="14" t="s">
        <v>19</v>
      </c>
      <c r="D734" s="12" t="s">
        <v>20</v>
      </c>
      <c r="E734" s="13">
        <v>975</v>
      </c>
      <c r="F734" s="15">
        <f t="shared" si="441"/>
        <v>585</v>
      </c>
      <c r="G734" s="15">
        <f t="shared" si="439"/>
        <v>3510</v>
      </c>
      <c r="H734" s="16">
        <v>6</v>
      </c>
      <c r="I734" s="17" t="s">
        <v>13</v>
      </c>
      <c r="J734" s="13" t="s">
        <v>17</v>
      </c>
      <c r="K734" s="12" t="str">
        <f t="shared" si="442"/>
        <v>2853_01_01_S3_EM01_01_M3</v>
      </c>
      <c r="L734">
        <v>3510</v>
      </c>
    </row>
    <row r="735" spans="1:12" ht="21" customHeight="1" x14ac:dyDescent="0.25">
      <c r="A735" s="12" t="str">
        <f>A732</f>
        <v>ЩО-3бл. (S3)</v>
      </c>
      <c r="B735" s="13" t="s">
        <v>206</v>
      </c>
      <c r="C735" s="12" t="s">
        <v>233</v>
      </c>
      <c r="D735" s="12" t="s">
        <v>481</v>
      </c>
      <c r="E735" s="13">
        <v>6500</v>
      </c>
      <c r="F735" s="15">
        <f t="shared" ref="F735" si="443">E735</f>
        <v>6500</v>
      </c>
      <c r="G735" s="15">
        <f t="shared" si="439"/>
        <v>6500</v>
      </c>
      <c r="H735" s="16">
        <v>1</v>
      </c>
      <c r="I735" s="17" t="s">
        <v>13</v>
      </c>
      <c r="J735" s="13" t="s">
        <v>24</v>
      </c>
      <c r="K735" s="12" t="str">
        <f>K732</f>
        <v>2853_01_01_S3_EM01_01_M3</v>
      </c>
      <c r="L735">
        <v>6500</v>
      </c>
    </row>
    <row r="736" spans="1:12" ht="24" customHeight="1" x14ac:dyDescent="0.25">
      <c r="A736" s="12" t="str">
        <f>A734</f>
        <v>ЩО-3бл. (S3)</v>
      </c>
      <c r="B736" s="12" t="s">
        <v>10</v>
      </c>
      <c r="C736" s="18" t="s">
        <v>10</v>
      </c>
      <c r="D736" s="12" t="s">
        <v>10</v>
      </c>
      <c r="E736" s="12">
        <f ca="1">OFFSET(E736,1,2)</f>
        <v>3000</v>
      </c>
      <c r="F736" s="15">
        <f ca="1">E736</f>
        <v>3000</v>
      </c>
      <c r="G736" s="15">
        <f t="shared" ca="1" si="439"/>
        <v>3000</v>
      </c>
      <c r="H736" s="12">
        <v>1</v>
      </c>
      <c r="I736" s="12" t="s">
        <v>13</v>
      </c>
      <c r="J736" s="12" t="s">
        <v>10</v>
      </c>
      <c r="K736" s="12" t="str">
        <f>K734</f>
        <v>2853_01_01_S3_EM01_01_M3</v>
      </c>
      <c r="L736">
        <v>3000</v>
      </c>
    </row>
    <row r="737" spans="1:12" ht="21" customHeight="1" x14ac:dyDescent="0.25">
      <c r="A737" s="12" t="str">
        <f t="shared" si="440"/>
        <v>ЩО-3бл. (S3)</v>
      </c>
      <c r="B737" s="12" t="s">
        <v>11</v>
      </c>
      <c r="C737" s="18" t="s">
        <v>11</v>
      </c>
      <c r="D737" s="12" t="s">
        <v>11</v>
      </c>
      <c r="E737" s="12">
        <v>0.5</v>
      </c>
      <c r="F737" s="15">
        <v>100</v>
      </c>
      <c r="G737" s="15">
        <f t="shared" si="439"/>
        <v>3000</v>
      </c>
      <c r="H737" s="12">
        <f>60*E737</f>
        <v>30</v>
      </c>
      <c r="I737" s="12" t="s">
        <v>13</v>
      </c>
      <c r="J737" s="12" t="s">
        <v>11</v>
      </c>
      <c r="K737" s="12" t="str">
        <f t="shared" si="442"/>
        <v>2853_01_01_S3_EM01_01_M3</v>
      </c>
      <c r="L737">
        <v>3000</v>
      </c>
    </row>
    <row r="738" spans="1:12" ht="30" customHeight="1" x14ac:dyDescent="0.25">
      <c r="A738" s="12" t="str">
        <f t="shared" si="440"/>
        <v>ЩО-3бл. (S3)</v>
      </c>
      <c r="B738" s="19"/>
      <c r="C738" s="20"/>
      <c r="D738" s="21"/>
      <c r="E738" s="23"/>
      <c r="F738" s="25"/>
      <c r="G738" s="24">
        <f ca="1">SUM(G732:G737)</f>
        <v>25053.200000000001</v>
      </c>
      <c r="H738" s="20"/>
      <c r="I738" s="22"/>
      <c r="J738" s="20"/>
      <c r="K738" s="12" t="str">
        <f t="shared" si="442"/>
        <v>2853_01_01_S3_EM01_01_M3</v>
      </c>
      <c r="L738">
        <v>25053.200000000001</v>
      </c>
    </row>
    <row r="739" spans="1:12" ht="39.75" customHeight="1" x14ac:dyDescent="0.25">
      <c r="A739" s="5" t="str">
        <f>D739</f>
        <v>ЩАО-3бл.с Фотореле  (S3)</v>
      </c>
      <c r="B739" s="6"/>
      <c r="C739" s="7"/>
      <c r="D739" s="6" t="s">
        <v>498</v>
      </c>
      <c r="E739" s="8"/>
      <c r="F739" s="8" t="s">
        <v>40</v>
      </c>
      <c r="G739" s="9"/>
      <c r="H739" s="10">
        <v>1</v>
      </c>
      <c r="I739" s="11" t="s">
        <v>7</v>
      </c>
      <c r="J739" s="6" t="s">
        <v>9</v>
      </c>
      <c r="K739" s="5" t="s">
        <v>200</v>
      </c>
    </row>
    <row r="740" spans="1:12" ht="21" customHeight="1" x14ac:dyDescent="0.25">
      <c r="A740" s="12" t="str">
        <f>A739</f>
        <v>ЩАО-3бл.с Фотореле  (S3)</v>
      </c>
      <c r="B740" s="13" t="s">
        <v>8</v>
      </c>
      <c r="C740" s="14" t="s">
        <v>312</v>
      </c>
      <c r="D740" s="12" t="s">
        <v>313</v>
      </c>
      <c r="E740" s="13">
        <v>11700</v>
      </c>
      <c r="F740" s="15">
        <f>E740*0.6</f>
        <v>7020</v>
      </c>
      <c r="G740" s="15">
        <f t="shared" ref="G740:G745" si="444">H740*F740</f>
        <v>7020</v>
      </c>
      <c r="H740" s="16">
        <v>1</v>
      </c>
      <c r="I740" s="17" t="s">
        <v>13</v>
      </c>
      <c r="J740" s="13" t="s">
        <v>319</v>
      </c>
      <c r="K740" s="12" t="str">
        <f>K739</f>
        <v>2853_01_01_S3_EM01_01_M3</v>
      </c>
      <c r="L740">
        <v>7020</v>
      </c>
    </row>
    <row r="741" spans="1:12" ht="21" customHeight="1" x14ac:dyDescent="0.25">
      <c r="A741" s="12" t="str">
        <f t="shared" ref="A741:A746" si="445">A740</f>
        <v>ЩАО-3бл.с Фотореле  (S3)</v>
      </c>
      <c r="B741" s="13" t="s">
        <v>54</v>
      </c>
      <c r="C741" s="14" t="s">
        <v>55</v>
      </c>
      <c r="D741" s="12" t="s">
        <v>56</v>
      </c>
      <c r="E741" s="13">
        <v>3372</v>
      </c>
      <c r="F741" s="15">
        <f t="shared" ref="F741:F742" si="446">E741*0.6</f>
        <v>2023.1999999999998</v>
      </c>
      <c r="G741" s="15">
        <f t="shared" si="444"/>
        <v>2023.1999999999998</v>
      </c>
      <c r="H741" s="16">
        <v>1</v>
      </c>
      <c r="I741" s="17" t="s">
        <v>13</v>
      </c>
      <c r="J741" s="13" t="s">
        <v>17</v>
      </c>
      <c r="K741" s="12" t="str">
        <f t="shared" ref="K741:K746" si="447">K740</f>
        <v>2853_01_01_S3_EM01_01_M3</v>
      </c>
      <c r="L741">
        <v>2023.1999999999998</v>
      </c>
    </row>
    <row r="742" spans="1:12" ht="21" customHeight="1" x14ac:dyDescent="0.25">
      <c r="A742" s="12" t="str">
        <f t="shared" si="445"/>
        <v>ЩАО-3бл.с Фотореле  (S3)</v>
      </c>
      <c r="B742" s="13" t="s">
        <v>12</v>
      </c>
      <c r="C742" s="14" t="s">
        <v>19</v>
      </c>
      <c r="D742" s="12" t="s">
        <v>20</v>
      </c>
      <c r="E742" s="13">
        <v>975</v>
      </c>
      <c r="F742" s="15">
        <f t="shared" si="446"/>
        <v>585</v>
      </c>
      <c r="G742" s="15">
        <f t="shared" si="444"/>
        <v>2925</v>
      </c>
      <c r="H742" s="16">
        <v>5</v>
      </c>
      <c r="I742" s="17" t="s">
        <v>13</v>
      </c>
      <c r="J742" s="13" t="s">
        <v>17</v>
      </c>
      <c r="K742" s="12" t="str">
        <f t="shared" si="447"/>
        <v>2853_01_01_S3_EM01_01_M3</v>
      </c>
      <c r="L742">
        <v>2925</v>
      </c>
    </row>
    <row r="743" spans="1:12" ht="21" customHeight="1" x14ac:dyDescent="0.25">
      <c r="A743" s="12" t="str">
        <f>A740</f>
        <v>ЩАО-3бл.с Фотореле  (S3)</v>
      </c>
      <c r="B743" s="13" t="s">
        <v>206</v>
      </c>
      <c r="C743" s="12" t="s">
        <v>233</v>
      </c>
      <c r="D743" s="12" t="s">
        <v>481</v>
      </c>
      <c r="E743" s="13">
        <v>6500</v>
      </c>
      <c r="F743" s="15">
        <f t="shared" ref="F743" si="448">E743</f>
        <v>6500</v>
      </c>
      <c r="G743" s="15">
        <f t="shared" si="444"/>
        <v>6500</v>
      </c>
      <c r="H743" s="16">
        <v>1</v>
      </c>
      <c r="I743" s="17" t="s">
        <v>13</v>
      </c>
      <c r="J743" s="13" t="s">
        <v>24</v>
      </c>
      <c r="K743" s="12" t="str">
        <f>K740</f>
        <v>2853_01_01_S3_EM01_01_M3</v>
      </c>
      <c r="L743">
        <v>6500</v>
      </c>
    </row>
    <row r="744" spans="1:12" ht="24" customHeight="1" x14ac:dyDescent="0.25">
      <c r="A744" s="12" t="str">
        <f>A742</f>
        <v>ЩАО-3бл.с Фотореле  (S3)</v>
      </c>
      <c r="B744" s="12" t="s">
        <v>10</v>
      </c>
      <c r="C744" s="18" t="s">
        <v>10</v>
      </c>
      <c r="D744" s="12" t="s">
        <v>10</v>
      </c>
      <c r="E744" s="12">
        <f ca="1">OFFSET(E744,1,2)</f>
        <v>4200</v>
      </c>
      <c r="F744" s="15">
        <f ca="1">E744</f>
        <v>4200</v>
      </c>
      <c r="G744" s="15">
        <f t="shared" ca="1" si="444"/>
        <v>4200</v>
      </c>
      <c r="H744" s="12">
        <v>1</v>
      </c>
      <c r="I744" s="12" t="s">
        <v>13</v>
      </c>
      <c r="J744" s="12" t="s">
        <v>10</v>
      </c>
      <c r="K744" s="12" t="str">
        <f>K742</f>
        <v>2853_01_01_S3_EM01_01_M3</v>
      </c>
      <c r="L744">
        <v>4200</v>
      </c>
    </row>
    <row r="745" spans="1:12" ht="21" customHeight="1" x14ac:dyDescent="0.25">
      <c r="A745" s="12" t="str">
        <f t="shared" si="445"/>
        <v>ЩАО-3бл.с Фотореле  (S3)</v>
      </c>
      <c r="B745" s="12" t="s">
        <v>11</v>
      </c>
      <c r="C745" s="18" t="s">
        <v>11</v>
      </c>
      <c r="D745" s="12" t="s">
        <v>11</v>
      </c>
      <c r="E745" s="12">
        <v>0.7</v>
      </c>
      <c r="F745" s="15">
        <v>100</v>
      </c>
      <c r="G745" s="15">
        <f t="shared" si="444"/>
        <v>4200</v>
      </c>
      <c r="H745" s="12">
        <f>60*E745</f>
        <v>42</v>
      </c>
      <c r="I745" s="12" t="s">
        <v>13</v>
      </c>
      <c r="J745" s="12" t="s">
        <v>11</v>
      </c>
      <c r="K745" s="12" t="str">
        <f t="shared" si="447"/>
        <v>2853_01_01_S3_EM01_01_M3</v>
      </c>
      <c r="L745">
        <v>4200</v>
      </c>
    </row>
    <row r="746" spans="1:12" ht="30" customHeight="1" x14ac:dyDescent="0.25">
      <c r="A746" s="12" t="str">
        <f t="shared" si="445"/>
        <v>ЩАО-3бл.с Фотореле  (S3)</v>
      </c>
      <c r="B746" s="19"/>
      <c r="C746" s="20"/>
      <c r="D746" s="21"/>
      <c r="E746" s="23"/>
      <c r="F746" s="25"/>
      <c r="G746" s="24">
        <f ca="1">SUM(G740:G745)</f>
        <v>26868.2</v>
      </c>
      <c r="H746" s="20"/>
      <c r="I746" s="22"/>
      <c r="J746" s="20"/>
      <c r="K746" s="12" t="str">
        <f t="shared" si="447"/>
        <v>2853_01_01_S3_EM01_01_M3</v>
      </c>
      <c r="L746">
        <v>26868.2</v>
      </c>
    </row>
    <row r="747" spans="1:12" ht="39.75" customHeight="1" x14ac:dyDescent="0.25">
      <c r="A747" s="5" t="str">
        <f>D747</f>
        <v>ЩСС-3бл. (S3)</v>
      </c>
      <c r="B747" s="6"/>
      <c r="C747" s="7"/>
      <c r="D747" s="6" t="s">
        <v>352</v>
      </c>
      <c r="E747" s="8"/>
      <c r="F747" s="8" t="s">
        <v>40</v>
      </c>
      <c r="G747" s="9"/>
      <c r="H747" s="10">
        <v>1</v>
      </c>
      <c r="I747" s="11" t="s">
        <v>7</v>
      </c>
      <c r="J747" s="6" t="s">
        <v>9</v>
      </c>
      <c r="K747" s="5" t="s">
        <v>200</v>
      </c>
    </row>
    <row r="748" spans="1:12" ht="21" customHeight="1" x14ac:dyDescent="0.25">
      <c r="A748" s="12" t="str">
        <f>A747</f>
        <v>ЩСС-3бл. (S3)</v>
      </c>
      <c r="B748" s="13" t="s">
        <v>8</v>
      </c>
      <c r="C748" s="14" t="s">
        <v>314</v>
      </c>
      <c r="D748" s="12" t="s">
        <v>315</v>
      </c>
      <c r="E748" s="13">
        <v>8990</v>
      </c>
      <c r="F748" s="15">
        <f>E748*0.6</f>
        <v>5394</v>
      </c>
      <c r="G748" s="15">
        <f t="shared" ref="G748:G753" si="449">H748*F748</f>
        <v>5394</v>
      </c>
      <c r="H748" s="16">
        <v>1</v>
      </c>
      <c r="I748" s="17" t="s">
        <v>13</v>
      </c>
      <c r="J748" s="13" t="s">
        <v>319</v>
      </c>
      <c r="K748" s="12" t="str">
        <f>K747</f>
        <v>2853_01_01_S3_EM01_01_M3</v>
      </c>
      <c r="L748">
        <v>5394</v>
      </c>
    </row>
    <row r="749" spans="1:12" ht="21" customHeight="1" x14ac:dyDescent="0.25">
      <c r="A749" s="12" t="str">
        <f t="shared" ref="A749:A754" si="450">A748</f>
        <v>ЩСС-3бл. (S3)</v>
      </c>
      <c r="B749" s="13" t="s">
        <v>54</v>
      </c>
      <c r="C749" s="14" t="s">
        <v>55</v>
      </c>
      <c r="D749" s="12" t="s">
        <v>56</v>
      </c>
      <c r="E749" s="13">
        <v>3372</v>
      </c>
      <c r="F749" s="15">
        <f t="shared" ref="F749:F751" si="451">E749*0.6</f>
        <v>2023.1999999999998</v>
      </c>
      <c r="G749" s="15">
        <f t="shared" si="449"/>
        <v>2023.1999999999998</v>
      </c>
      <c r="H749" s="16">
        <v>1</v>
      </c>
      <c r="I749" s="17" t="s">
        <v>13</v>
      </c>
      <c r="J749" s="13" t="s">
        <v>17</v>
      </c>
      <c r="K749" s="12" t="str">
        <f t="shared" ref="K749:K754" si="452">K748</f>
        <v>2853_01_01_S3_EM01_01_M3</v>
      </c>
      <c r="L749">
        <v>2023.1999999999998</v>
      </c>
    </row>
    <row r="750" spans="1:12" ht="21" customHeight="1" x14ac:dyDescent="0.25">
      <c r="A750" s="12" t="str">
        <f>A748</f>
        <v>ЩСС-3бл. (S3)</v>
      </c>
      <c r="B750" s="13" t="s">
        <v>21</v>
      </c>
      <c r="C750" s="14" t="s">
        <v>174</v>
      </c>
      <c r="D750" s="12" t="s">
        <v>175</v>
      </c>
      <c r="E750" s="13">
        <v>5719</v>
      </c>
      <c r="F750" s="15">
        <f t="shared" si="451"/>
        <v>3431.4</v>
      </c>
      <c r="G750" s="15">
        <f t="shared" si="449"/>
        <v>10294.200000000001</v>
      </c>
      <c r="H750" s="16">
        <v>3</v>
      </c>
      <c r="I750" s="17" t="s">
        <v>13</v>
      </c>
      <c r="J750" s="13" t="s">
        <v>17</v>
      </c>
      <c r="K750" s="12" t="str">
        <f>K748</f>
        <v>2853_01_01_S3_EM01_01_M3</v>
      </c>
      <c r="L750">
        <v>10294.200000000001</v>
      </c>
    </row>
    <row r="751" spans="1:12" ht="21" customHeight="1" x14ac:dyDescent="0.25">
      <c r="A751" s="12" t="str">
        <f>A748</f>
        <v>ЩСС-3бл. (S3)</v>
      </c>
      <c r="B751" s="13" t="s">
        <v>12</v>
      </c>
      <c r="C751" s="14" t="s">
        <v>50</v>
      </c>
      <c r="D751" s="12" t="s">
        <v>51</v>
      </c>
      <c r="E751" s="13">
        <v>783</v>
      </c>
      <c r="F751" s="15">
        <f t="shared" si="451"/>
        <v>469.79999999999995</v>
      </c>
      <c r="G751" s="15">
        <f t="shared" si="449"/>
        <v>469.79999999999995</v>
      </c>
      <c r="H751" s="16">
        <v>1</v>
      </c>
      <c r="I751" s="17" t="s">
        <v>13</v>
      </c>
      <c r="J751" s="13" t="s">
        <v>17</v>
      </c>
      <c r="K751" s="12" t="str">
        <f>K748</f>
        <v>2853_01_01_S3_EM01_01_M3</v>
      </c>
      <c r="L751">
        <v>469.79999999999995</v>
      </c>
    </row>
    <row r="752" spans="1:12" ht="24" customHeight="1" x14ac:dyDescent="0.25">
      <c r="A752" s="12" t="str">
        <f t="shared" si="450"/>
        <v>ЩСС-3бл. (S3)</v>
      </c>
      <c r="B752" s="12" t="s">
        <v>10</v>
      </c>
      <c r="C752" s="18" t="s">
        <v>10</v>
      </c>
      <c r="D752" s="12" t="s">
        <v>10</v>
      </c>
      <c r="E752" s="12">
        <f ca="1">OFFSET(E752,1,2)</f>
        <v>3000</v>
      </c>
      <c r="F752" s="15">
        <f ca="1">E752</f>
        <v>3000</v>
      </c>
      <c r="G752" s="15">
        <f t="shared" ca="1" si="449"/>
        <v>3000</v>
      </c>
      <c r="H752" s="12">
        <v>1</v>
      </c>
      <c r="I752" s="12" t="s">
        <v>13</v>
      </c>
      <c r="J752" s="12" t="s">
        <v>10</v>
      </c>
      <c r="K752" s="12" t="str">
        <f t="shared" si="452"/>
        <v>2853_01_01_S3_EM01_01_M3</v>
      </c>
      <c r="L752">
        <v>3000</v>
      </c>
    </row>
    <row r="753" spans="1:12" ht="21" customHeight="1" x14ac:dyDescent="0.25">
      <c r="A753" s="12" t="str">
        <f t="shared" si="450"/>
        <v>ЩСС-3бл. (S3)</v>
      </c>
      <c r="B753" s="12" t="s">
        <v>11</v>
      </c>
      <c r="C753" s="18" t="s">
        <v>11</v>
      </c>
      <c r="D753" s="12" t="s">
        <v>11</v>
      </c>
      <c r="E753" s="12">
        <v>0.5</v>
      </c>
      <c r="F753" s="15">
        <v>100</v>
      </c>
      <c r="G753" s="15">
        <f t="shared" si="449"/>
        <v>3000</v>
      </c>
      <c r="H753" s="12">
        <f>60*E753</f>
        <v>30</v>
      </c>
      <c r="I753" s="12" t="s">
        <v>13</v>
      </c>
      <c r="J753" s="12" t="s">
        <v>11</v>
      </c>
      <c r="K753" s="12" t="str">
        <f t="shared" si="452"/>
        <v>2853_01_01_S3_EM01_01_M3</v>
      </c>
      <c r="L753">
        <v>3000</v>
      </c>
    </row>
    <row r="754" spans="1:12" ht="30" customHeight="1" x14ac:dyDescent="0.25">
      <c r="A754" s="12" t="str">
        <f t="shared" si="450"/>
        <v>ЩСС-3бл. (S3)</v>
      </c>
      <c r="B754" s="19"/>
      <c r="C754" s="20"/>
      <c r="D754" s="21"/>
      <c r="E754" s="23"/>
      <c r="F754" s="25"/>
      <c r="G754" s="24">
        <f ca="1">SUM(G748:G753)</f>
        <v>24181.200000000001</v>
      </c>
      <c r="H754" s="20"/>
      <c r="I754" s="22"/>
      <c r="J754" s="20"/>
      <c r="K754" s="12" t="str">
        <f t="shared" si="452"/>
        <v>2853_01_01_S3_EM01_01_M3</v>
      </c>
      <c r="L754">
        <v>24181.200000000001</v>
      </c>
    </row>
    <row r="755" spans="1:12" ht="39.75" customHeight="1" x14ac:dyDescent="0.25">
      <c r="A755" s="5" t="str">
        <f>D755</f>
        <v>ЩС-3бл.  (S3)</v>
      </c>
      <c r="B755" s="6"/>
      <c r="C755" s="7"/>
      <c r="D755" s="6" t="s">
        <v>353</v>
      </c>
      <c r="E755" s="8"/>
      <c r="F755" s="8" t="s">
        <v>40</v>
      </c>
      <c r="G755" s="9"/>
      <c r="H755" s="10">
        <v>1</v>
      </c>
      <c r="I755" s="11" t="s">
        <v>7</v>
      </c>
      <c r="J755" s="6" t="s">
        <v>9</v>
      </c>
      <c r="K755" s="5" t="s">
        <v>200</v>
      </c>
    </row>
    <row r="756" spans="1:12" ht="21" customHeight="1" x14ac:dyDescent="0.25">
      <c r="A756" s="12" t="str">
        <f>A755</f>
        <v>ЩС-3бл.  (S3)</v>
      </c>
      <c r="B756" s="13" t="s">
        <v>8</v>
      </c>
      <c r="C756" s="14" t="s">
        <v>316</v>
      </c>
      <c r="D756" s="12" t="s">
        <v>317</v>
      </c>
      <c r="E756" s="13">
        <v>14900</v>
      </c>
      <c r="F756" s="15">
        <f>E756*0.6</f>
        <v>8940</v>
      </c>
      <c r="G756" s="15">
        <f t="shared" ref="G756:G764" si="453">H756*F756</f>
        <v>8940</v>
      </c>
      <c r="H756" s="16">
        <v>1</v>
      </c>
      <c r="I756" s="17" t="s">
        <v>13</v>
      </c>
      <c r="J756" s="13" t="s">
        <v>319</v>
      </c>
      <c r="K756" s="12" t="str">
        <f>K755</f>
        <v>2853_01_01_S3_EM01_01_M3</v>
      </c>
      <c r="L756">
        <v>8940</v>
      </c>
    </row>
    <row r="757" spans="1:12" ht="21" customHeight="1" x14ac:dyDescent="0.25">
      <c r="A757" s="12" t="str">
        <f t="shared" ref="A757" si="454">A756</f>
        <v>ЩС-3бл.  (S3)</v>
      </c>
      <c r="B757" s="13" t="s">
        <v>54</v>
      </c>
      <c r="C757" s="14" t="s">
        <v>57</v>
      </c>
      <c r="D757" s="12" t="s">
        <v>58</v>
      </c>
      <c r="E757" s="13">
        <v>3372</v>
      </c>
      <c r="F757" s="15">
        <f t="shared" ref="F757:F762" si="455">E757*0.6</f>
        <v>2023.1999999999998</v>
      </c>
      <c r="G757" s="15">
        <f t="shared" si="453"/>
        <v>2023.1999999999998</v>
      </c>
      <c r="H757" s="16">
        <v>1</v>
      </c>
      <c r="I757" s="17" t="s">
        <v>13</v>
      </c>
      <c r="J757" s="13" t="s">
        <v>17</v>
      </c>
      <c r="K757" s="12" t="str">
        <f t="shared" ref="K757" si="456">K756</f>
        <v>2853_01_01_S3_EM01_01_M3</v>
      </c>
      <c r="L757">
        <v>2023.1999999999998</v>
      </c>
    </row>
    <row r="758" spans="1:12" ht="21" customHeight="1" x14ac:dyDescent="0.25">
      <c r="A758" s="12" t="str">
        <f>A756</f>
        <v>ЩС-3бл.  (S3)</v>
      </c>
      <c r="B758" s="13" t="s">
        <v>21</v>
      </c>
      <c r="C758" s="14" t="s">
        <v>44</v>
      </c>
      <c r="D758" s="12" t="s">
        <v>45</v>
      </c>
      <c r="E758" s="13">
        <v>5104</v>
      </c>
      <c r="F758" s="15">
        <f t="shared" si="455"/>
        <v>3062.4</v>
      </c>
      <c r="G758" s="15">
        <f t="shared" si="453"/>
        <v>9187.2000000000007</v>
      </c>
      <c r="H758" s="16">
        <v>3</v>
      </c>
      <c r="I758" s="17" t="s">
        <v>13</v>
      </c>
      <c r="J758" s="13" t="s">
        <v>17</v>
      </c>
      <c r="K758" s="12" t="str">
        <f>K756</f>
        <v>2853_01_01_S3_EM01_01_M3</v>
      </c>
      <c r="L758">
        <v>9187.2000000000007</v>
      </c>
    </row>
    <row r="759" spans="1:12" ht="21" customHeight="1" x14ac:dyDescent="0.25">
      <c r="A759" s="12" t="str">
        <f>A757</f>
        <v>ЩС-3бл.  (S3)</v>
      </c>
      <c r="B759" s="13" t="s">
        <v>21</v>
      </c>
      <c r="C759" s="14" t="s">
        <v>174</v>
      </c>
      <c r="D759" s="12" t="s">
        <v>175</v>
      </c>
      <c r="E759" s="13">
        <v>5719</v>
      </c>
      <c r="F759" s="15">
        <f t="shared" si="455"/>
        <v>3431.4</v>
      </c>
      <c r="G759" s="15">
        <f t="shared" si="453"/>
        <v>10294.200000000001</v>
      </c>
      <c r="H759" s="16">
        <v>3</v>
      </c>
      <c r="I759" s="17" t="s">
        <v>13</v>
      </c>
      <c r="J759" s="13" t="s">
        <v>17</v>
      </c>
      <c r="K759" s="12" t="str">
        <f>K757</f>
        <v>2853_01_01_S3_EM01_01_M3</v>
      </c>
      <c r="L759">
        <v>10294.200000000001</v>
      </c>
    </row>
    <row r="760" spans="1:12" ht="21" customHeight="1" x14ac:dyDescent="0.25">
      <c r="A760" s="12" t="str">
        <f>A756</f>
        <v>ЩС-3бл.  (S3)</v>
      </c>
      <c r="B760" s="13" t="s">
        <v>12</v>
      </c>
      <c r="C760" s="14" t="s">
        <v>36</v>
      </c>
      <c r="D760" s="12" t="s">
        <v>37</v>
      </c>
      <c r="E760" s="13">
        <v>783</v>
      </c>
      <c r="F760" s="15">
        <f t="shared" si="455"/>
        <v>469.79999999999995</v>
      </c>
      <c r="G760" s="15">
        <f t="shared" si="453"/>
        <v>469.79999999999995</v>
      </c>
      <c r="H760" s="16">
        <v>1</v>
      </c>
      <c r="I760" s="17" t="s">
        <v>13</v>
      </c>
      <c r="J760" s="13" t="s">
        <v>17</v>
      </c>
      <c r="K760" s="12" t="str">
        <f>K756</f>
        <v>2853_01_01_S3_EM01_01_M3</v>
      </c>
      <c r="L760">
        <v>469.79999999999995</v>
      </c>
    </row>
    <row r="761" spans="1:12" ht="21" customHeight="1" x14ac:dyDescent="0.25">
      <c r="A761" s="12" t="str">
        <f>A757</f>
        <v>ЩС-3бл.  (S3)</v>
      </c>
      <c r="B761" s="13" t="s">
        <v>12</v>
      </c>
      <c r="C761" s="14" t="s">
        <v>50</v>
      </c>
      <c r="D761" s="12" t="s">
        <v>51</v>
      </c>
      <c r="E761" s="13">
        <v>783</v>
      </c>
      <c r="F761" s="15">
        <f t="shared" si="455"/>
        <v>469.79999999999995</v>
      </c>
      <c r="G761" s="15">
        <f t="shared" si="453"/>
        <v>469.79999999999995</v>
      </c>
      <c r="H761" s="16">
        <v>1</v>
      </c>
      <c r="I761" s="17" t="s">
        <v>13</v>
      </c>
      <c r="J761" s="13" t="s">
        <v>17</v>
      </c>
      <c r="K761" s="12" t="str">
        <f>K757</f>
        <v>2853_01_01_S3_EM01_01_M3</v>
      </c>
      <c r="L761">
        <v>469.79999999999995</v>
      </c>
    </row>
    <row r="762" spans="1:12" ht="21" customHeight="1" x14ac:dyDescent="0.25">
      <c r="A762" s="12" t="str">
        <f>A758</f>
        <v>ЩС-3бл.  (S3)</v>
      </c>
      <c r="B762" s="13" t="s">
        <v>182</v>
      </c>
      <c r="C762" s="14" t="s">
        <v>178</v>
      </c>
      <c r="D762" s="12" t="s">
        <v>179</v>
      </c>
      <c r="E762" s="13">
        <v>5354</v>
      </c>
      <c r="F762" s="15">
        <f t="shared" si="455"/>
        <v>3212.4</v>
      </c>
      <c r="G762" s="15">
        <f t="shared" si="453"/>
        <v>3212.4</v>
      </c>
      <c r="H762" s="16">
        <v>1</v>
      </c>
      <c r="I762" s="17" t="s">
        <v>13</v>
      </c>
      <c r="J762" s="13" t="s">
        <v>17</v>
      </c>
      <c r="K762" s="12" t="str">
        <f>K758</f>
        <v>2853_01_01_S3_EM01_01_M3</v>
      </c>
      <c r="L762">
        <v>3212.4</v>
      </c>
    </row>
    <row r="763" spans="1:12" ht="24" customHeight="1" x14ac:dyDescent="0.25">
      <c r="A763" s="12" t="str">
        <f>A757</f>
        <v>ЩС-3бл.  (S3)</v>
      </c>
      <c r="B763" s="12" t="s">
        <v>10</v>
      </c>
      <c r="C763" s="18" t="s">
        <v>10</v>
      </c>
      <c r="D763" s="12" t="s">
        <v>10</v>
      </c>
      <c r="E763" s="12">
        <f ca="1">OFFSET(E763,1,2)</f>
        <v>6000</v>
      </c>
      <c r="F763" s="15">
        <f ca="1">E763</f>
        <v>6000</v>
      </c>
      <c r="G763" s="15">
        <f t="shared" ca="1" si="453"/>
        <v>6000</v>
      </c>
      <c r="H763" s="12">
        <v>1</v>
      </c>
      <c r="I763" s="12" t="s">
        <v>13</v>
      </c>
      <c r="J763" s="12" t="s">
        <v>10</v>
      </c>
      <c r="K763" s="12" t="str">
        <f>K757</f>
        <v>2853_01_01_S3_EM01_01_M3</v>
      </c>
      <c r="L763">
        <v>6000</v>
      </c>
    </row>
    <row r="764" spans="1:12" ht="21" customHeight="1" x14ac:dyDescent="0.25">
      <c r="A764" s="12" t="str">
        <f t="shared" ref="A764:A765" si="457">A763</f>
        <v>ЩС-3бл.  (S3)</v>
      </c>
      <c r="B764" s="12" t="s">
        <v>11</v>
      </c>
      <c r="C764" s="18" t="s">
        <v>11</v>
      </c>
      <c r="D764" s="12" t="s">
        <v>11</v>
      </c>
      <c r="E764" s="12">
        <v>1</v>
      </c>
      <c r="F764" s="15">
        <v>100</v>
      </c>
      <c r="G764" s="15">
        <f t="shared" si="453"/>
        <v>6000</v>
      </c>
      <c r="H764" s="12">
        <f>60*E764</f>
        <v>60</v>
      </c>
      <c r="I764" s="12" t="s">
        <v>13</v>
      </c>
      <c r="J764" s="12" t="s">
        <v>11</v>
      </c>
      <c r="K764" s="12" t="str">
        <f t="shared" ref="K764:K765" si="458">K763</f>
        <v>2853_01_01_S3_EM01_01_M3</v>
      </c>
      <c r="L764">
        <v>6000</v>
      </c>
    </row>
    <row r="765" spans="1:12" ht="30" customHeight="1" x14ac:dyDescent="0.25">
      <c r="A765" s="12" t="str">
        <f t="shared" si="457"/>
        <v>ЩС-3бл.  (S3)</v>
      </c>
      <c r="B765" s="19"/>
      <c r="C765" s="20"/>
      <c r="D765" s="21"/>
      <c r="E765" s="23"/>
      <c r="F765" s="25"/>
      <c r="G765" s="24">
        <f ca="1">SUM(G756:G764)</f>
        <v>46596.6</v>
      </c>
      <c r="H765" s="20"/>
      <c r="I765" s="22"/>
      <c r="J765" s="20"/>
      <c r="K765" s="12" t="str">
        <f t="shared" si="458"/>
        <v>2853_01_01_S3_EM01_01_M3</v>
      </c>
      <c r="L765">
        <v>46596.6</v>
      </c>
    </row>
    <row r="766" spans="1:12" ht="39.75" customHeight="1" x14ac:dyDescent="0.25">
      <c r="A766" s="5" t="str">
        <f>D766</f>
        <v>ЩУкот (S3)</v>
      </c>
      <c r="B766" s="6"/>
      <c r="C766" s="7"/>
      <c r="D766" s="6" t="s">
        <v>354</v>
      </c>
      <c r="E766" s="8"/>
      <c r="F766" s="8" t="s">
        <v>40</v>
      </c>
      <c r="G766" s="9"/>
      <c r="H766" s="10">
        <v>1</v>
      </c>
      <c r="I766" s="11" t="s">
        <v>7</v>
      </c>
      <c r="J766" s="6" t="s">
        <v>9</v>
      </c>
      <c r="K766" s="5" t="s">
        <v>200</v>
      </c>
    </row>
    <row r="767" spans="1:12" ht="21" customHeight="1" x14ac:dyDescent="0.25">
      <c r="A767" s="12" t="str">
        <f>A766</f>
        <v>ЩУкот (S3)</v>
      </c>
      <c r="B767" s="13" t="s">
        <v>8</v>
      </c>
      <c r="C767" s="14" t="s">
        <v>310</v>
      </c>
      <c r="D767" s="12" t="s">
        <v>311</v>
      </c>
      <c r="E767" s="13">
        <v>65570</v>
      </c>
      <c r="F767" s="15">
        <f t="shared" ref="F767:F774" si="459">E767*0.6</f>
        <v>39342</v>
      </c>
      <c r="G767" s="15">
        <f t="shared" ref="G767:G776" si="460">H767*F767</f>
        <v>39342</v>
      </c>
      <c r="H767" s="16">
        <v>1</v>
      </c>
      <c r="I767" s="17" t="s">
        <v>13</v>
      </c>
      <c r="J767" s="13" t="s">
        <v>16</v>
      </c>
      <c r="K767" s="12" t="str">
        <f>K766</f>
        <v>2853_01_01_S3_EM01_01_M3</v>
      </c>
      <c r="L767">
        <v>39342</v>
      </c>
    </row>
    <row r="768" spans="1:12" ht="21" customHeight="1" x14ac:dyDescent="0.25">
      <c r="A768" s="12" t="str">
        <f t="shared" ref="A768:A777" si="461">A767</f>
        <v>ЩУкот (S3)</v>
      </c>
      <c r="B768" s="13" t="s">
        <v>54</v>
      </c>
      <c r="C768" s="14" t="s">
        <v>57</v>
      </c>
      <c r="D768" s="12" t="s">
        <v>58</v>
      </c>
      <c r="E768" s="13">
        <v>3372</v>
      </c>
      <c r="F768" s="15">
        <f t="shared" si="459"/>
        <v>2023.1999999999998</v>
      </c>
      <c r="G768" s="15">
        <f t="shared" si="460"/>
        <v>2023.1999999999998</v>
      </c>
      <c r="H768" s="16">
        <v>1</v>
      </c>
      <c r="I768" s="17" t="s">
        <v>13</v>
      </c>
      <c r="J768" s="13" t="s">
        <v>17</v>
      </c>
      <c r="K768" s="12" t="str">
        <f t="shared" ref="K768:K777" si="462">K767</f>
        <v>2853_01_01_S3_EM01_01_M3</v>
      </c>
      <c r="L768">
        <v>2023.1999999999998</v>
      </c>
    </row>
    <row r="769" spans="1:12" ht="21" customHeight="1" x14ac:dyDescent="0.25">
      <c r="A769" s="12" t="str">
        <f t="shared" si="461"/>
        <v>ЩУкот (S3)</v>
      </c>
      <c r="B769" s="13" t="s">
        <v>12</v>
      </c>
      <c r="C769" s="14" t="s">
        <v>214</v>
      </c>
      <c r="D769" s="12" t="s">
        <v>215</v>
      </c>
      <c r="E769" s="13">
        <v>3604</v>
      </c>
      <c r="F769" s="15">
        <f t="shared" si="459"/>
        <v>2162.4</v>
      </c>
      <c r="G769" s="15">
        <f t="shared" si="460"/>
        <v>4324.8</v>
      </c>
      <c r="H769" s="16">
        <v>2</v>
      </c>
      <c r="I769" s="17" t="s">
        <v>13</v>
      </c>
      <c r="J769" s="13" t="s">
        <v>17</v>
      </c>
      <c r="K769" s="12" t="str">
        <f t="shared" si="462"/>
        <v>2853_01_01_S3_EM01_01_M3</v>
      </c>
      <c r="L769">
        <v>4324.8</v>
      </c>
    </row>
    <row r="770" spans="1:12" ht="21" customHeight="1" x14ac:dyDescent="0.25">
      <c r="A770" s="12" t="str">
        <f t="shared" si="461"/>
        <v>ЩУкот (S3)</v>
      </c>
      <c r="B770" s="13" t="s">
        <v>12</v>
      </c>
      <c r="C770" s="14" t="s">
        <v>216</v>
      </c>
      <c r="D770" s="12" t="s">
        <v>217</v>
      </c>
      <c r="E770" s="13">
        <v>1099</v>
      </c>
      <c r="F770" s="15">
        <f t="shared" si="459"/>
        <v>659.4</v>
      </c>
      <c r="G770" s="15">
        <f t="shared" si="460"/>
        <v>1318.8</v>
      </c>
      <c r="H770" s="16">
        <v>2</v>
      </c>
      <c r="I770" s="17" t="s">
        <v>13</v>
      </c>
      <c r="J770" s="13" t="s">
        <v>17</v>
      </c>
      <c r="K770" s="12" t="str">
        <f t="shared" si="462"/>
        <v>2853_01_01_S3_EM01_01_M3</v>
      </c>
      <c r="L770">
        <v>1318.8</v>
      </c>
    </row>
    <row r="771" spans="1:12" ht="21" customHeight="1" x14ac:dyDescent="0.25">
      <c r="A771" s="12" t="str">
        <f t="shared" si="461"/>
        <v>ЩУкот (S3)</v>
      </c>
      <c r="B771" s="13" t="s">
        <v>12</v>
      </c>
      <c r="C771" s="14" t="s">
        <v>180</v>
      </c>
      <c r="D771" s="12" t="s">
        <v>181</v>
      </c>
      <c r="E771" s="13">
        <v>3644</v>
      </c>
      <c r="F771" s="15">
        <f t="shared" si="459"/>
        <v>2186.4</v>
      </c>
      <c r="G771" s="15">
        <f t="shared" si="460"/>
        <v>4372.8</v>
      </c>
      <c r="H771" s="16">
        <v>2</v>
      </c>
      <c r="I771" s="17" t="s">
        <v>13</v>
      </c>
      <c r="J771" s="13" t="s">
        <v>17</v>
      </c>
      <c r="K771" s="12" t="str">
        <f t="shared" si="462"/>
        <v>2853_01_01_S3_EM01_01_M3</v>
      </c>
      <c r="L771">
        <v>4372.8</v>
      </c>
    </row>
    <row r="772" spans="1:12" ht="21" customHeight="1" x14ac:dyDescent="0.25">
      <c r="A772" s="12" t="str">
        <f t="shared" si="461"/>
        <v>ЩУкот (S3)</v>
      </c>
      <c r="B772" s="13" t="s">
        <v>12</v>
      </c>
      <c r="C772" s="14" t="s">
        <v>176</v>
      </c>
      <c r="D772" s="12" t="s">
        <v>177</v>
      </c>
      <c r="E772" s="13">
        <v>1130</v>
      </c>
      <c r="F772" s="15">
        <f t="shared" si="459"/>
        <v>678</v>
      </c>
      <c r="G772" s="15">
        <f t="shared" si="460"/>
        <v>1356</v>
      </c>
      <c r="H772" s="16">
        <v>2</v>
      </c>
      <c r="I772" s="17" t="s">
        <v>13</v>
      </c>
      <c r="J772" s="13" t="s">
        <v>17</v>
      </c>
      <c r="K772" s="12" t="str">
        <f t="shared" si="462"/>
        <v>2853_01_01_S3_EM01_01_M3</v>
      </c>
      <c r="L772">
        <v>1356</v>
      </c>
    </row>
    <row r="773" spans="1:12" ht="21" customHeight="1" x14ac:dyDescent="0.25">
      <c r="A773" s="12" t="str">
        <f t="shared" si="461"/>
        <v>ЩУкот (S3)</v>
      </c>
      <c r="B773" s="13" t="s">
        <v>12</v>
      </c>
      <c r="C773" s="14" t="s">
        <v>19</v>
      </c>
      <c r="D773" s="12" t="s">
        <v>20</v>
      </c>
      <c r="E773" s="13">
        <v>975</v>
      </c>
      <c r="F773" s="15">
        <f t="shared" si="459"/>
        <v>585</v>
      </c>
      <c r="G773" s="15">
        <f t="shared" si="460"/>
        <v>11115</v>
      </c>
      <c r="H773" s="16">
        <v>19</v>
      </c>
      <c r="I773" s="17" t="s">
        <v>13</v>
      </c>
      <c r="J773" s="13" t="s">
        <v>17</v>
      </c>
      <c r="K773" s="12" t="str">
        <f t="shared" si="462"/>
        <v>2853_01_01_S3_EM01_01_M3</v>
      </c>
      <c r="L773">
        <v>11115</v>
      </c>
    </row>
    <row r="774" spans="1:12" ht="21" customHeight="1" x14ac:dyDescent="0.25">
      <c r="A774" s="12" t="str">
        <f t="shared" si="461"/>
        <v>ЩУкот (S3)</v>
      </c>
      <c r="B774" s="13" t="s">
        <v>182</v>
      </c>
      <c r="C774" s="14" t="s">
        <v>178</v>
      </c>
      <c r="D774" s="12" t="s">
        <v>179</v>
      </c>
      <c r="E774" s="13">
        <v>5354</v>
      </c>
      <c r="F774" s="15">
        <f t="shared" si="459"/>
        <v>3212.4</v>
      </c>
      <c r="G774" s="15">
        <f t="shared" si="460"/>
        <v>3212.4</v>
      </c>
      <c r="H774" s="16">
        <v>1</v>
      </c>
      <c r="I774" s="17" t="s">
        <v>13</v>
      </c>
      <c r="J774" s="13" t="s">
        <v>17</v>
      </c>
      <c r="K774" s="12" t="str">
        <f t="shared" si="462"/>
        <v>2853_01_01_S3_EM01_01_M3</v>
      </c>
      <c r="L774">
        <v>3212.4</v>
      </c>
    </row>
    <row r="775" spans="1:12" ht="24" customHeight="1" x14ac:dyDescent="0.25">
      <c r="A775" s="12" t="str">
        <f t="shared" si="461"/>
        <v>ЩУкот (S3)</v>
      </c>
      <c r="B775" s="12" t="s">
        <v>10</v>
      </c>
      <c r="C775" s="18" t="s">
        <v>10</v>
      </c>
      <c r="D775" s="12" t="s">
        <v>10</v>
      </c>
      <c r="E775" s="12">
        <f ca="1">OFFSET(E775,1,2)</f>
        <v>18000</v>
      </c>
      <c r="F775" s="15">
        <f ca="1">E775</f>
        <v>18000</v>
      </c>
      <c r="G775" s="15">
        <f t="shared" ca="1" si="460"/>
        <v>18000</v>
      </c>
      <c r="H775" s="12">
        <v>1</v>
      </c>
      <c r="I775" s="12" t="s">
        <v>13</v>
      </c>
      <c r="J775" s="12" t="s">
        <v>10</v>
      </c>
      <c r="K775" s="12" t="str">
        <f t="shared" si="462"/>
        <v>2853_01_01_S3_EM01_01_M3</v>
      </c>
      <c r="L775">
        <v>18000</v>
      </c>
    </row>
    <row r="776" spans="1:12" ht="21" customHeight="1" x14ac:dyDescent="0.25">
      <c r="A776" s="12" t="str">
        <f t="shared" si="461"/>
        <v>ЩУкот (S3)</v>
      </c>
      <c r="B776" s="12" t="s">
        <v>11</v>
      </c>
      <c r="C776" s="18" t="s">
        <v>11</v>
      </c>
      <c r="D776" s="12" t="s">
        <v>11</v>
      </c>
      <c r="E776" s="12">
        <v>3</v>
      </c>
      <c r="F776" s="15">
        <v>100</v>
      </c>
      <c r="G776" s="15">
        <f t="shared" si="460"/>
        <v>18000</v>
      </c>
      <c r="H776" s="12">
        <f>60*E776</f>
        <v>180</v>
      </c>
      <c r="I776" s="12" t="s">
        <v>13</v>
      </c>
      <c r="J776" s="12" t="s">
        <v>11</v>
      </c>
      <c r="K776" s="12" t="str">
        <f t="shared" si="462"/>
        <v>2853_01_01_S3_EM01_01_M3</v>
      </c>
      <c r="L776">
        <v>18000</v>
      </c>
    </row>
    <row r="777" spans="1:12" ht="30" customHeight="1" x14ac:dyDescent="0.25">
      <c r="A777" s="12" t="str">
        <f t="shared" si="461"/>
        <v>ЩУкот (S3)</v>
      </c>
      <c r="B777" s="19"/>
      <c r="C777" s="20"/>
      <c r="D777" s="21"/>
      <c r="E777" s="23"/>
      <c r="F777" s="25"/>
      <c r="G777" s="24">
        <f ca="1">SUM(G767:G776)</f>
        <v>103065</v>
      </c>
      <c r="H777" s="20"/>
      <c r="I777" s="22"/>
      <c r="J777" s="20"/>
      <c r="K777" s="12" t="str">
        <f t="shared" si="462"/>
        <v>2853_01_01_S3_EM01_01_M3</v>
      </c>
      <c r="L777">
        <v>103065</v>
      </c>
    </row>
    <row r="778" spans="1:12" ht="39.75" customHeight="1" x14ac:dyDescent="0.25">
      <c r="A778" s="5" t="str">
        <f>D778</f>
        <v>ЩЭ-4 (S3)</v>
      </c>
      <c r="B778" s="6"/>
      <c r="C778" s="7"/>
      <c r="D778" s="6" t="s">
        <v>355</v>
      </c>
      <c r="E778" s="8"/>
      <c r="F778" s="8" t="s">
        <v>40</v>
      </c>
      <c r="G778" s="9"/>
      <c r="H778" s="10">
        <v>8</v>
      </c>
      <c r="I778" s="11" t="s">
        <v>7</v>
      </c>
      <c r="J778" s="6" t="s">
        <v>9</v>
      </c>
      <c r="K778" s="5" t="s">
        <v>200</v>
      </c>
    </row>
    <row r="779" spans="1:12" ht="21" customHeight="1" x14ac:dyDescent="0.25">
      <c r="A779" s="12" t="str">
        <f>A778</f>
        <v>ЩЭ-4 (S3)</v>
      </c>
      <c r="B779" s="13" t="s">
        <v>8</v>
      </c>
      <c r="C779" s="14" t="s">
        <v>467</v>
      </c>
      <c r="D779" s="12" t="s">
        <v>460</v>
      </c>
      <c r="E779" s="13">
        <v>89000</v>
      </c>
      <c r="F779" s="15">
        <f t="shared" ref="F779:F784" si="463">E779*0.6</f>
        <v>53400</v>
      </c>
      <c r="G779" s="15">
        <f t="shared" ref="G779:G788" si="464">H779*F779</f>
        <v>53400</v>
      </c>
      <c r="H779" s="16">
        <v>1</v>
      </c>
      <c r="I779" s="17" t="s">
        <v>13</v>
      </c>
      <c r="J779" s="13" t="s">
        <v>16</v>
      </c>
      <c r="K779" s="12" t="str">
        <f>K778</f>
        <v>2853_01_01_S3_EM01_01_M3</v>
      </c>
      <c r="L779">
        <v>53400</v>
      </c>
    </row>
    <row r="780" spans="1:12" ht="21" customHeight="1" x14ac:dyDescent="0.25">
      <c r="A780" s="12" t="str">
        <f t="shared" ref="A780:A789" si="465">A779</f>
        <v>ЩЭ-4 (S3)</v>
      </c>
      <c r="B780" s="13" t="s">
        <v>54</v>
      </c>
      <c r="C780" s="14" t="s">
        <v>192</v>
      </c>
      <c r="D780" s="12" t="s">
        <v>193</v>
      </c>
      <c r="E780" s="13">
        <v>2824</v>
      </c>
      <c r="F780" s="15">
        <f t="shared" si="463"/>
        <v>1694.3999999999999</v>
      </c>
      <c r="G780" s="15">
        <f t="shared" si="464"/>
        <v>1694.3999999999999</v>
      </c>
      <c r="H780" s="16">
        <v>1</v>
      </c>
      <c r="I780" s="17" t="s">
        <v>13</v>
      </c>
      <c r="J780" s="13" t="s">
        <v>17</v>
      </c>
      <c r="K780" s="12" t="str">
        <f t="shared" ref="K780:K789" si="466">K779</f>
        <v>2853_01_01_S3_EM01_01_M3</v>
      </c>
      <c r="L780">
        <v>1694.3999999999999</v>
      </c>
    </row>
    <row r="781" spans="1:12" ht="21" customHeight="1" x14ac:dyDescent="0.25">
      <c r="A781" s="12" t="str">
        <f t="shared" si="465"/>
        <v>ЩЭ-4 (S3)</v>
      </c>
      <c r="B781" s="13" t="s">
        <v>21</v>
      </c>
      <c r="C781" s="14" t="s">
        <v>198</v>
      </c>
      <c r="D781" s="12" t="s">
        <v>199</v>
      </c>
      <c r="E781" s="13">
        <v>6215</v>
      </c>
      <c r="F781" s="15">
        <f t="shared" si="463"/>
        <v>3729</v>
      </c>
      <c r="G781" s="15">
        <f t="shared" si="464"/>
        <v>3729</v>
      </c>
      <c r="H781" s="16">
        <v>1</v>
      </c>
      <c r="I781" s="17" t="s">
        <v>13</v>
      </c>
      <c r="J781" s="13" t="s">
        <v>17</v>
      </c>
      <c r="K781" s="12" t="str">
        <f t="shared" si="466"/>
        <v>2853_01_01_S3_EM01_01_M3</v>
      </c>
      <c r="L781">
        <v>3729</v>
      </c>
    </row>
    <row r="782" spans="1:12" ht="21" customHeight="1" x14ac:dyDescent="0.25">
      <c r="A782" s="12" t="str">
        <f t="shared" si="465"/>
        <v>ЩЭ-4 (S3)</v>
      </c>
      <c r="B782" s="13" t="s">
        <v>54</v>
      </c>
      <c r="C782" s="14" t="s">
        <v>183</v>
      </c>
      <c r="D782" s="12" t="s">
        <v>184</v>
      </c>
      <c r="E782" s="13">
        <v>2249</v>
      </c>
      <c r="F782" s="15">
        <f t="shared" si="463"/>
        <v>1349.3999999999999</v>
      </c>
      <c r="G782" s="15">
        <f t="shared" si="464"/>
        <v>4048.2</v>
      </c>
      <c r="H782" s="16">
        <v>3</v>
      </c>
      <c r="I782" s="17" t="s">
        <v>13</v>
      </c>
      <c r="J782" s="13" t="s">
        <v>17</v>
      </c>
      <c r="K782" s="12" t="str">
        <f t="shared" si="466"/>
        <v>2853_01_01_S3_EM01_01_M3</v>
      </c>
      <c r="L782">
        <v>4048.2</v>
      </c>
    </row>
    <row r="783" spans="1:12" ht="21" customHeight="1" x14ac:dyDescent="0.25">
      <c r="A783" s="12" t="str">
        <f t="shared" si="465"/>
        <v>ЩЭ-4 (S3)</v>
      </c>
      <c r="B783" s="13" t="s">
        <v>21</v>
      </c>
      <c r="C783" s="14" t="s">
        <v>185</v>
      </c>
      <c r="D783" s="12" t="s">
        <v>186</v>
      </c>
      <c r="E783" s="13">
        <v>9380</v>
      </c>
      <c r="F783" s="15">
        <f t="shared" si="463"/>
        <v>5628</v>
      </c>
      <c r="G783" s="15">
        <f t="shared" si="464"/>
        <v>16884</v>
      </c>
      <c r="H783" s="16">
        <v>3</v>
      </c>
      <c r="I783" s="17" t="s">
        <v>13</v>
      </c>
      <c r="J783" s="13" t="s">
        <v>17</v>
      </c>
      <c r="K783" s="12" t="str">
        <f t="shared" si="466"/>
        <v>2853_01_01_S3_EM01_01_M3</v>
      </c>
      <c r="L783">
        <v>16884</v>
      </c>
    </row>
    <row r="784" spans="1:12" ht="22.5" customHeight="1" x14ac:dyDescent="0.25">
      <c r="A784" s="12" t="str">
        <f t="shared" si="465"/>
        <v>ЩЭ-4 (S3)</v>
      </c>
      <c r="B784" s="13" t="s">
        <v>204</v>
      </c>
      <c r="C784" s="14" t="s">
        <v>284</v>
      </c>
      <c r="D784" s="12" t="s">
        <v>285</v>
      </c>
      <c r="E784" s="13">
        <v>1738</v>
      </c>
      <c r="F784" s="15">
        <f t="shared" si="463"/>
        <v>1042.8</v>
      </c>
      <c r="G784" s="15">
        <f t="shared" si="464"/>
        <v>1042.8</v>
      </c>
      <c r="H784" s="16">
        <v>1</v>
      </c>
      <c r="I784" s="17" t="s">
        <v>13</v>
      </c>
      <c r="J784" s="13" t="s">
        <v>17</v>
      </c>
      <c r="K784" s="12" t="str">
        <f t="shared" si="466"/>
        <v>2853_01_01_S3_EM01_01_M3</v>
      </c>
      <c r="L784">
        <v>1042.8</v>
      </c>
    </row>
    <row r="785" spans="1:12" ht="22.5" customHeight="1" x14ac:dyDescent="0.25">
      <c r="A785" s="12" t="str">
        <f t="shared" si="465"/>
        <v>ЩЭ-4 (S3)</v>
      </c>
      <c r="B785" s="13" t="s">
        <v>18</v>
      </c>
      <c r="C785" s="14" t="s">
        <v>294</v>
      </c>
      <c r="D785" s="12" t="s">
        <v>295</v>
      </c>
      <c r="E785" s="13">
        <v>90000</v>
      </c>
      <c r="F785" s="15">
        <f t="shared" ref="F785:F786" si="467">E785</f>
        <v>90000</v>
      </c>
      <c r="G785" s="15">
        <f t="shared" si="464"/>
        <v>0</v>
      </c>
      <c r="H785" s="16">
        <v>0</v>
      </c>
      <c r="I785" s="17" t="s">
        <v>13</v>
      </c>
      <c r="J785" s="13" t="s">
        <v>24</v>
      </c>
      <c r="K785" s="12" t="str">
        <f t="shared" si="466"/>
        <v>2853_01_01_S3_EM01_01_M3</v>
      </c>
      <c r="L785">
        <v>0</v>
      </c>
    </row>
    <row r="786" spans="1:12" ht="22.5" customHeight="1" x14ac:dyDescent="0.25">
      <c r="A786" s="12" t="str">
        <f t="shared" si="465"/>
        <v>ЩЭ-4 (S3)</v>
      </c>
      <c r="B786" s="13" t="s">
        <v>18</v>
      </c>
      <c r="C786" s="14" t="s">
        <v>292</v>
      </c>
      <c r="D786" s="12" t="s">
        <v>293</v>
      </c>
      <c r="E786" s="13">
        <v>90000</v>
      </c>
      <c r="F786" s="15">
        <f t="shared" si="467"/>
        <v>90000</v>
      </c>
      <c r="G786" s="15">
        <f t="shared" si="464"/>
        <v>0</v>
      </c>
      <c r="H786" s="16">
        <v>0</v>
      </c>
      <c r="I786" s="17" t="s">
        <v>13</v>
      </c>
      <c r="J786" s="13" t="s">
        <v>24</v>
      </c>
      <c r="K786" s="12" t="str">
        <f t="shared" si="466"/>
        <v>2853_01_01_S3_EM01_01_M3</v>
      </c>
      <c r="L786">
        <v>0</v>
      </c>
    </row>
    <row r="787" spans="1:12" ht="24" customHeight="1" x14ac:dyDescent="0.25">
      <c r="A787" s="12" t="str">
        <f t="shared" si="465"/>
        <v>ЩЭ-4 (S3)</v>
      </c>
      <c r="B787" s="12" t="s">
        <v>10</v>
      </c>
      <c r="C787" s="18" t="s">
        <v>10</v>
      </c>
      <c r="D787" s="12" t="s">
        <v>10</v>
      </c>
      <c r="E787" s="12">
        <f ca="1">OFFSET(E787,1,2)</f>
        <v>27000</v>
      </c>
      <c r="F787" s="15">
        <f ca="1">E787</f>
        <v>27000</v>
      </c>
      <c r="G787" s="15">
        <f t="shared" ca="1" si="464"/>
        <v>27000</v>
      </c>
      <c r="H787" s="12">
        <v>1</v>
      </c>
      <c r="I787" s="12" t="s">
        <v>13</v>
      </c>
      <c r="J787" s="12" t="s">
        <v>10</v>
      </c>
      <c r="K787" s="12" t="str">
        <f t="shared" si="466"/>
        <v>2853_01_01_S3_EM01_01_M3</v>
      </c>
      <c r="L787">
        <v>27000</v>
      </c>
    </row>
    <row r="788" spans="1:12" ht="21" customHeight="1" x14ac:dyDescent="0.25">
      <c r="A788" s="12" t="str">
        <f t="shared" si="465"/>
        <v>ЩЭ-4 (S3)</v>
      </c>
      <c r="B788" s="12" t="s">
        <v>11</v>
      </c>
      <c r="C788" s="18" t="s">
        <v>11</v>
      </c>
      <c r="D788" s="12" t="s">
        <v>11</v>
      </c>
      <c r="E788" s="12">
        <v>4.5</v>
      </c>
      <c r="F788" s="15">
        <v>100</v>
      </c>
      <c r="G788" s="15">
        <f t="shared" si="464"/>
        <v>27000</v>
      </c>
      <c r="H788" s="12">
        <f>60*E788</f>
        <v>270</v>
      </c>
      <c r="I788" s="12" t="s">
        <v>13</v>
      </c>
      <c r="J788" s="12" t="s">
        <v>11</v>
      </c>
      <c r="K788" s="12" t="str">
        <f t="shared" si="466"/>
        <v>2853_01_01_S3_EM01_01_M3</v>
      </c>
      <c r="L788">
        <v>27000</v>
      </c>
    </row>
    <row r="789" spans="1:12" ht="30" customHeight="1" x14ac:dyDescent="0.25">
      <c r="A789" s="12" t="str">
        <f t="shared" si="465"/>
        <v>ЩЭ-4 (S3)</v>
      </c>
      <c r="B789" s="19"/>
      <c r="C789" s="20"/>
      <c r="D789" s="21"/>
      <c r="E789" s="23"/>
      <c r="F789" s="25"/>
      <c r="G789" s="24">
        <f ca="1">SUM(G782:G788)</f>
        <v>75975</v>
      </c>
      <c r="H789" s="20"/>
      <c r="I789" s="22"/>
      <c r="J789" s="20"/>
      <c r="K789" s="12" t="str">
        <f t="shared" si="466"/>
        <v>2853_01_01_S3_EM01_01_M3</v>
      </c>
      <c r="L789">
        <v>75975</v>
      </c>
    </row>
    <row r="790" spans="1:12" ht="39.75" customHeight="1" x14ac:dyDescent="0.25">
      <c r="A790" s="5" t="str">
        <f>D790</f>
        <v>ЩК1 (S3)</v>
      </c>
      <c r="B790" s="6"/>
      <c r="C790" s="7"/>
      <c r="D790" s="6" t="s">
        <v>356</v>
      </c>
      <c r="E790" s="8"/>
      <c r="F790" s="8" t="s">
        <v>40</v>
      </c>
      <c r="G790" s="9"/>
      <c r="H790" s="10">
        <v>24</v>
      </c>
      <c r="I790" s="11" t="s">
        <v>7</v>
      </c>
      <c r="J790" s="6" t="s">
        <v>9</v>
      </c>
      <c r="K790" s="5" t="s">
        <v>200</v>
      </c>
    </row>
    <row r="791" spans="1:12" ht="21" customHeight="1" x14ac:dyDescent="0.25">
      <c r="A791" s="12" t="str">
        <f>A790</f>
        <v>ЩК1 (S3)</v>
      </c>
      <c r="B791" s="13" t="s">
        <v>8</v>
      </c>
      <c r="C791" s="14" t="s">
        <v>308</v>
      </c>
      <c r="D791" s="12" t="s">
        <v>309</v>
      </c>
      <c r="E791" s="13">
        <v>10050</v>
      </c>
      <c r="F791" s="15">
        <f t="shared" ref="F791:F796" si="468">E791*0.6</f>
        <v>6030</v>
      </c>
      <c r="G791" s="15">
        <f t="shared" ref="G791:G798" si="469">H791*F791</f>
        <v>6030</v>
      </c>
      <c r="H791" s="16">
        <v>1</v>
      </c>
      <c r="I791" s="17" t="s">
        <v>13</v>
      </c>
      <c r="J791" s="13" t="s">
        <v>16</v>
      </c>
      <c r="K791" s="12" t="str">
        <f>K790</f>
        <v>2853_01_01_S3_EM01_01_M3</v>
      </c>
      <c r="L791">
        <v>6030</v>
      </c>
    </row>
    <row r="792" spans="1:12" ht="21" customHeight="1" x14ac:dyDescent="0.25">
      <c r="A792" s="12" t="str">
        <f t="shared" ref="A792:A794" si="470">A791</f>
        <v>ЩК1 (S3)</v>
      </c>
      <c r="B792" s="13" t="s">
        <v>54</v>
      </c>
      <c r="C792" s="14" t="s">
        <v>183</v>
      </c>
      <c r="D792" s="12" t="s">
        <v>184</v>
      </c>
      <c r="E792" s="13">
        <v>2249</v>
      </c>
      <c r="F792" s="15">
        <f t="shared" si="468"/>
        <v>1349.3999999999999</v>
      </c>
      <c r="G792" s="15">
        <f t="shared" si="469"/>
        <v>1349.3999999999999</v>
      </c>
      <c r="H792" s="16">
        <v>1</v>
      </c>
      <c r="I792" s="17" t="s">
        <v>13</v>
      </c>
      <c r="J792" s="13" t="s">
        <v>17</v>
      </c>
      <c r="K792" s="12" t="str">
        <f t="shared" ref="K792:K794" si="471">K791</f>
        <v>2853_01_01_S3_EM01_01_M3</v>
      </c>
      <c r="L792">
        <v>1349.3999999999999</v>
      </c>
    </row>
    <row r="793" spans="1:12" ht="21" customHeight="1" x14ac:dyDescent="0.25">
      <c r="A793" s="12" t="str">
        <f t="shared" si="470"/>
        <v>ЩК1 (S3)</v>
      </c>
      <c r="B793" s="13" t="s">
        <v>21</v>
      </c>
      <c r="C793" s="14" t="s">
        <v>187</v>
      </c>
      <c r="D793" s="12" t="s">
        <v>188</v>
      </c>
      <c r="E793" s="13">
        <v>5632</v>
      </c>
      <c r="F793" s="15">
        <f t="shared" si="468"/>
        <v>3379.2</v>
      </c>
      <c r="G793" s="15">
        <f t="shared" si="469"/>
        <v>3379.2</v>
      </c>
      <c r="H793" s="16">
        <v>1</v>
      </c>
      <c r="I793" s="17" t="s">
        <v>13</v>
      </c>
      <c r="J793" s="13" t="s">
        <v>17</v>
      </c>
      <c r="K793" s="12" t="str">
        <f t="shared" si="471"/>
        <v>2853_01_01_S3_EM01_01_M3</v>
      </c>
      <c r="L793">
        <v>3379.2</v>
      </c>
    </row>
    <row r="794" spans="1:12" ht="21" customHeight="1" x14ac:dyDescent="0.25">
      <c r="A794" s="12" t="str">
        <f t="shared" si="470"/>
        <v>ЩК1 (S3)</v>
      </c>
      <c r="B794" s="13" t="s">
        <v>191</v>
      </c>
      <c r="C794" s="14" t="s">
        <v>189</v>
      </c>
      <c r="D794" s="12" t="s">
        <v>190</v>
      </c>
      <c r="E794" s="13">
        <v>7795</v>
      </c>
      <c r="F794" s="15">
        <f t="shared" si="468"/>
        <v>4677</v>
      </c>
      <c r="G794" s="15">
        <f t="shared" si="469"/>
        <v>4677</v>
      </c>
      <c r="H794" s="16">
        <v>1</v>
      </c>
      <c r="I794" s="17" t="s">
        <v>13</v>
      </c>
      <c r="J794" s="13" t="s">
        <v>17</v>
      </c>
      <c r="K794" s="12" t="str">
        <f t="shared" si="471"/>
        <v>2853_01_01_S3_EM01_01_M3</v>
      </c>
      <c r="L794">
        <v>4677</v>
      </c>
    </row>
    <row r="795" spans="1:12" ht="21" customHeight="1" x14ac:dyDescent="0.25">
      <c r="A795" s="12" t="str">
        <f>A790</f>
        <v>ЩК1 (S3)</v>
      </c>
      <c r="B795" s="13" t="s">
        <v>12</v>
      </c>
      <c r="C795" s="14" t="s">
        <v>125</v>
      </c>
      <c r="D795" s="12" t="s">
        <v>126</v>
      </c>
      <c r="E795" s="13">
        <v>796</v>
      </c>
      <c r="F795" s="15">
        <f t="shared" si="468"/>
        <v>477.59999999999997</v>
      </c>
      <c r="G795" s="15">
        <f t="shared" si="469"/>
        <v>1910.3999999999999</v>
      </c>
      <c r="H795" s="16">
        <v>4</v>
      </c>
      <c r="I795" s="17" t="s">
        <v>13</v>
      </c>
      <c r="J795" s="13" t="s">
        <v>17</v>
      </c>
      <c r="K795" s="12" t="str">
        <f>K790</f>
        <v>2853_01_01_S3_EM01_01_M3</v>
      </c>
      <c r="L795">
        <v>1910.3999999999999</v>
      </c>
    </row>
    <row r="796" spans="1:12" ht="21" customHeight="1" x14ac:dyDescent="0.25">
      <c r="A796" s="12" t="str">
        <f>A791</f>
        <v>ЩК1 (S3)</v>
      </c>
      <c r="B796" s="13" t="s">
        <v>12</v>
      </c>
      <c r="C796" s="14" t="s">
        <v>36</v>
      </c>
      <c r="D796" s="12" t="s">
        <v>37</v>
      </c>
      <c r="E796" s="13">
        <v>783</v>
      </c>
      <c r="F796" s="15">
        <f t="shared" si="468"/>
        <v>469.79999999999995</v>
      </c>
      <c r="G796" s="15">
        <f t="shared" si="469"/>
        <v>469.79999999999995</v>
      </c>
      <c r="H796" s="16">
        <v>1</v>
      </c>
      <c r="I796" s="17" t="s">
        <v>13</v>
      </c>
      <c r="J796" s="13" t="s">
        <v>17</v>
      </c>
      <c r="K796" s="12" t="str">
        <f>K791</f>
        <v>2853_01_01_S3_EM01_01_M3</v>
      </c>
      <c r="L796">
        <v>469.79999999999995</v>
      </c>
    </row>
    <row r="797" spans="1:12" ht="24" customHeight="1" x14ac:dyDescent="0.25">
      <c r="A797" s="12" t="str">
        <f t="shared" ref="A797:A799" si="472">A796</f>
        <v>ЩК1 (S3)</v>
      </c>
      <c r="B797" s="12" t="s">
        <v>10</v>
      </c>
      <c r="C797" s="18" t="s">
        <v>10</v>
      </c>
      <c r="D797" s="12" t="s">
        <v>10</v>
      </c>
      <c r="E797" s="12">
        <f ca="1">OFFSET(E797,1,2)</f>
        <v>4200</v>
      </c>
      <c r="F797" s="15">
        <f ca="1">E797</f>
        <v>4200</v>
      </c>
      <c r="G797" s="15">
        <f t="shared" ca="1" si="469"/>
        <v>4200</v>
      </c>
      <c r="H797" s="12">
        <v>1</v>
      </c>
      <c r="I797" s="12" t="s">
        <v>13</v>
      </c>
      <c r="J797" s="12" t="s">
        <v>10</v>
      </c>
      <c r="K797" s="12" t="str">
        <f t="shared" ref="K797:K799" si="473">K796</f>
        <v>2853_01_01_S3_EM01_01_M3</v>
      </c>
      <c r="L797">
        <v>4200</v>
      </c>
    </row>
    <row r="798" spans="1:12" ht="21" customHeight="1" x14ac:dyDescent="0.25">
      <c r="A798" s="12" t="str">
        <f t="shared" si="472"/>
        <v>ЩК1 (S3)</v>
      </c>
      <c r="B798" s="12" t="s">
        <v>11</v>
      </c>
      <c r="C798" s="18" t="s">
        <v>11</v>
      </c>
      <c r="D798" s="12" t="s">
        <v>11</v>
      </c>
      <c r="E798" s="12">
        <v>0.7</v>
      </c>
      <c r="F798" s="15">
        <v>100</v>
      </c>
      <c r="G798" s="15">
        <f t="shared" si="469"/>
        <v>4200</v>
      </c>
      <c r="H798" s="12">
        <f>60*E798</f>
        <v>42</v>
      </c>
      <c r="I798" s="12" t="s">
        <v>13</v>
      </c>
      <c r="J798" s="12" t="s">
        <v>11</v>
      </c>
      <c r="K798" s="12" t="str">
        <f t="shared" si="473"/>
        <v>2853_01_01_S3_EM01_01_M3</v>
      </c>
      <c r="L798">
        <v>4200</v>
      </c>
    </row>
    <row r="799" spans="1:12" ht="30" customHeight="1" x14ac:dyDescent="0.25">
      <c r="A799" s="12" t="str">
        <f t="shared" si="472"/>
        <v>ЩК1 (S3)</v>
      </c>
      <c r="B799" s="19"/>
      <c r="C799" s="20"/>
      <c r="D799" s="21"/>
      <c r="E799" s="23"/>
      <c r="F799" s="25"/>
      <c r="G799" s="24">
        <f ca="1">SUM(G791:G798)</f>
        <v>26215.8</v>
      </c>
      <c r="H799" s="20"/>
      <c r="I799" s="22"/>
      <c r="J799" s="20"/>
      <c r="K799" s="12" t="str">
        <f t="shared" si="473"/>
        <v>2853_01_01_S3_EM01_01_M3</v>
      </c>
      <c r="L799">
        <v>26215.8</v>
      </c>
    </row>
    <row r="800" spans="1:12" ht="39.75" customHeight="1" x14ac:dyDescent="0.25">
      <c r="A800" s="5" t="str">
        <f>D800</f>
        <v>ЩК2 (S3)</v>
      </c>
      <c r="B800" s="6"/>
      <c r="C800" s="7"/>
      <c r="D800" s="6" t="s">
        <v>357</v>
      </c>
      <c r="E800" s="8"/>
      <c r="F800" s="8" t="s">
        <v>40</v>
      </c>
      <c r="G800" s="9"/>
      <c r="H800" s="10">
        <v>8</v>
      </c>
      <c r="I800" s="11" t="s">
        <v>7</v>
      </c>
      <c r="J800" s="6" t="s">
        <v>9</v>
      </c>
      <c r="K800" s="5" t="s">
        <v>200</v>
      </c>
    </row>
    <row r="801" spans="1:12" ht="21" customHeight="1" x14ac:dyDescent="0.25">
      <c r="A801" s="12" t="str">
        <f>A800</f>
        <v>ЩК2 (S3)</v>
      </c>
      <c r="B801" s="13" t="s">
        <v>8</v>
      </c>
      <c r="C801" s="14" t="s">
        <v>308</v>
      </c>
      <c r="D801" s="12" t="s">
        <v>309</v>
      </c>
      <c r="E801" s="13">
        <v>10050</v>
      </c>
      <c r="F801" s="15">
        <f t="shared" ref="F801:F807" si="474">E801*0.6</f>
        <v>6030</v>
      </c>
      <c r="G801" s="15">
        <f t="shared" ref="G801:G809" si="475">H801*F801</f>
        <v>6030</v>
      </c>
      <c r="H801" s="16">
        <v>1</v>
      </c>
      <c r="I801" s="17" t="s">
        <v>13</v>
      </c>
      <c r="J801" s="13" t="s">
        <v>16</v>
      </c>
      <c r="K801" s="12" t="str">
        <f>K800</f>
        <v>2853_01_01_S3_EM01_01_M3</v>
      </c>
      <c r="L801">
        <v>6030</v>
      </c>
    </row>
    <row r="802" spans="1:12" ht="21" customHeight="1" x14ac:dyDescent="0.25">
      <c r="A802" s="12" t="str">
        <f t="shared" ref="A802" si="476">A801</f>
        <v>ЩК2 (S3)</v>
      </c>
      <c r="B802" s="13" t="s">
        <v>54</v>
      </c>
      <c r="C802" s="14" t="s">
        <v>192</v>
      </c>
      <c r="D802" s="12" t="s">
        <v>193</v>
      </c>
      <c r="E802" s="13">
        <v>2824</v>
      </c>
      <c r="F802" s="15">
        <f t="shared" si="474"/>
        <v>1694.3999999999999</v>
      </c>
      <c r="G802" s="15">
        <f t="shared" si="475"/>
        <v>1694.3999999999999</v>
      </c>
      <c r="H802" s="16">
        <v>1</v>
      </c>
      <c r="I802" s="17" t="s">
        <v>13</v>
      </c>
      <c r="J802" s="13" t="s">
        <v>17</v>
      </c>
      <c r="K802" s="12" t="str">
        <f t="shared" ref="K802" si="477">K801</f>
        <v>2853_01_01_S3_EM01_01_M3</v>
      </c>
      <c r="L802">
        <v>1694.3999999999999</v>
      </c>
    </row>
    <row r="803" spans="1:12" ht="21" customHeight="1" x14ac:dyDescent="0.25">
      <c r="A803" s="12" t="str">
        <f>A801</f>
        <v>ЩК2 (S3)</v>
      </c>
      <c r="B803" s="13" t="s">
        <v>21</v>
      </c>
      <c r="C803" s="14" t="s">
        <v>194</v>
      </c>
      <c r="D803" s="12" t="s">
        <v>195</v>
      </c>
      <c r="E803" s="13">
        <v>5556</v>
      </c>
      <c r="F803" s="15">
        <f t="shared" si="474"/>
        <v>3333.6</v>
      </c>
      <c r="G803" s="15">
        <f t="shared" si="475"/>
        <v>3333.6</v>
      </c>
      <c r="H803" s="16">
        <v>1</v>
      </c>
      <c r="I803" s="17" t="s">
        <v>13</v>
      </c>
      <c r="J803" s="13" t="s">
        <v>17</v>
      </c>
      <c r="K803" s="12" t="str">
        <f>K801</f>
        <v>2853_01_01_S3_EM01_01_M3</v>
      </c>
      <c r="L803">
        <v>3333.6</v>
      </c>
    </row>
    <row r="804" spans="1:12" ht="21" customHeight="1" x14ac:dyDescent="0.25">
      <c r="A804" s="12" t="str">
        <f>A802</f>
        <v>ЩК2 (S3)</v>
      </c>
      <c r="B804" s="13" t="s">
        <v>21</v>
      </c>
      <c r="C804" s="14" t="s">
        <v>187</v>
      </c>
      <c r="D804" s="12" t="s">
        <v>188</v>
      </c>
      <c r="E804" s="13">
        <v>5632</v>
      </c>
      <c r="F804" s="15">
        <f t="shared" si="474"/>
        <v>3379.2</v>
      </c>
      <c r="G804" s="15">
        <f t="shared" si="475"/>
        <v>3379.2</v>
      </c>
      <c r="H804" s="16">
        <v>1</v>
      </c>
      <c r="I804" s="17" t="s">
        <v>13</v>
      </c>
      <c r="J804" s="13" t="s">
        <v>17</v>
      </c>
      <c r="K804" s="12" t="str">
        <f>K802</f>
        <v>2853_01_01_S3_EM01_01_M3</v>
      </c>
      <c r="L804">
        <v>3379.2</v>
      </c>
    </row>
    <row r="805" spans="1:12" ht="21" customHeight="1" x14ac:dyDescent="0.25">
      <c r="A805" s="12" t="str">
        <f t="shared" ref="A805" si="478">A804</f>
        <v>ЩК2 (S3)</v>
      </c>
      <c r="B805" s="13" t="s">
        <v>191</v>
      </c>
      <c r="C805" s="14" t="s">
        <v>189</v>
      </c>
      <c r="D805" s="12" t="s">
        <v>190</v>
      </c>
      <c r="E805" s="13">
        <v>7795</v>
      </c>
      <c r="F805" s="15">
        <f t="shared" si="474"/>
        <v>4677</v>
      </c>
      <c r="G805" s="15">
        <f t="shared" si="475"/>
        <v>4677</v>
      </c>
      <c r="H805" s="16">
        <v>1</v>
      </c>
      <c r="I805" s="17" t="s">
        <v>13</v>
      </c>
      <c r="J805" s="13" t="s">
        <v>17</v>
      </c>
      <c r="K805" s="12" t="str">
        <f t="shared" ref="K805" si="479">K804</f>
        <v>2853_01_01_S3_EM01_01_M3</v>
      </c>
      <c r="L805">
        <v>4677</v>
      </c>
    </row>
    <row r="806" spans="1:12" ht="21" customHeight="1" x14ac:dyDescent="0.25">
      <c r="A806" s="12" t="str">
        <f>A800</f>
        <v>ЩК2 (S3)</v>
      </c>
      <c r="B806" s="13" t="s">
        <v>12</v>
      </c>
      <c r="C806" s="14" t="s">
        <v>125</v>
      </c>
      <c r="D806" s="12" t="s">
        <v>126</v>
      </c>
      <c r="E806" s="13">
        <v>796</v>
      </c>
      <c r="F806" s="15">
        <f t="shared" si="474"/>
        <v>477.59999999999997</v>
      </c>
      <c r="G806" s="15">
        <f t="shared" si="475"/>
        <v>1910.3999999999999</v>
      </c>
      <c r="H806" s="16">
        <v>4</v>
      </c>
      <c r="I806" s="17" t="s">
        <v>13</v>
      </c>
      <c r="J806" s="13" t="s">
        <v>17</v>
      </c>
      <c r="K806" s="12" t="str">
        <f>K800</f>
        <v>2853_01_01_S3_EM01_01_M3</v>
      </c>
      <c r="L806">
        <v>1910.3999999999999</v>
      </c>
    </row>
    <row r="807" spans="1:12" ht="21" customHeight="1" x14ac:dyDescent="0.25">
      <c r="A807" s="12" t="str">
        <f>A801</f>
        <v>ЩК2 (S3)</v>
      </c>
      <c r="B807" s="13" t="s">
        <v>12</v>
      </c>
      <c r="C807" s="14" t="s">
        <v>36</v>
      </c>
      <c r="D807" s="12" t="s">
        <v>37</v>
      </c>
      <c r="E807" s="13">
        <v>783</v>
      </c>
      <c r="F807" s="15">
        <f t="shared" si="474"/>
        <v>469.79999999999995</v>
      </c>
      <c r="G807" s="15">
        <f t="shared" si="475"/>
        <v>469.79999999999995</v>
      </c>
      <c r="H807" s="16">
        <v>1</v>
      </c>
      <c r="I807" s="17" t="s">
        <v>13</v>
      </c>
      <c r="J807" s="13" t="s">
        <v>17</v>
      </c>
      <c r="K807" s="12" t="str">
        <f>K801</f>
        <v>2853_01_01_S3_EM01_01_M3</v>
      </c>
      <c r="L807">
        <v>469.79999999999995</v>
      </c>
    </row>
    <row r="808" spans="1:12" ht="24" customHeight="1" x14ac:dyDescent="0.25">
      <c r="A808" s="12" t="str">
        <f t="shared" ref="A808:A810" si="480">A807</f>
        <v>ЩК2 (S3)</v>
      </c>
      <c r="B808" s="12" t="s">
        <v>10</v>
      </c>
      <c r="C808" s="18" t="s">
        <v>10</v>
      </c>
      <c r="D808" s="12" t="s">
        <v>10</v>
      </c>
      <c r="E808" s="12">
        <f ca="1">OFFSET(E808,1,2)</f>
        <v>4200</v>
      </c>
      <c r="F808" s="15">
        <f ca="1">E808</f>
        <v>4200</v>
      </c>
      <c r="G808" s="15">
        <f t="shared" ca="1" si="475"/>
        <v>4200</v>
      </c>
      <c r="H808" s="12">
        <v>1</v>
      </c>
      <c r="I808" s="12" t="s">
        <v>13</v>
      </c>
      <c r="J808" s="12" t="s">
        <v>10</v>
      </c>
      <c r="K808" s="12" t="str">
        <f t="shared" ref="K808:K810" si="481">K807</f>
        <v>2853_01_01_S3_EM01_01_M3</v>
      </c>
      <c r="L808">
        <v>4200</v>
      </c>
    </row>
    <row r="809" spans="1:12" ht="21" customHeight="1" x14ac:dyDescent="0.25">
      <c r="A809" s="12" t="str">
        <f t="shared" si="480"/>
        <v>ЩК2 (S3)</v>
      </c>
      <c r="B809" s="12" t="s">
        <v>11</v>
      </c>
      <c r="C809" s="18" t="s">
        <v>11</v>
      </c>
      <c r="D809" s="12" t="s">
        <v>11</v>
      </c>
      <c r="E809" s="12">
        <v>0.7</v>
      </c>
      <c r="F809" s="15">
        <v>100</v>
      </c>
      <c r="G809" s="15">
        <f t="shared" si="475"/>
        <v>4200</v>
      </c>
      <c r="H809" s="12">
        <f>60*E809</f>
        <v>42</v>
      </c>
      <c r="I809" s="12" t="s">
        <v>13</v>
      </c>
      <c r="J809" s="12" t="s">
        <v>11</v>
      </c>
      <c r="K809" s="12" t="str">
        <f t="shared" si="481"/>
        <v>2853_01_01_S3_EM01_01_M3</v>
      </c>
      <c r="L809">
        <v>4200</v>
      </c>
    </row>
    <row r="810" spans="1:12" ht="30" customHeight="1" x14ac:dyDescent="0.25">
      <c r="A810" s="12" t="str">
        <f t="shared" si="480"/>
        <v>ЩК2 (S3)</v>
      </c>
      <c r="B810" s="19"/>
      <c r="C810" s="20"/>
      <c r="D810" s="21"/>
      <c r="E810" s="23"/>
      <c r="F810" s="25"/>
      <c r="G810" s="24">
        <f ca="1">SUM(G801:G809)</f>
        <v>29894.400000000001</v>
      </c>
      <c r="H810" s="20"/>
      <c r="I810" s="22"/>
      <c r="J810" s="20"/>
      <c r="K810" s="12" t="str">
        <f t="shared" si="481"/>
        <v>2853_01_01_S3_EM01_01_M3</v>
      </c>
      <c r="L810">
        <v>29894.400000000001</v>
      </c>
    </row>
    <row r="811" spans="1:12" ht="39.75" customHeight="1" x14ac:dyDescent="0.25">
      <c r="A811" s="5" t="str">
        <f>D811</f>
        <v>ЩР-3.1, ЩР-3.2 (S3)</v>
      </c>
      <c r="B811" s="6"/>
      <c r="C811" s="7"/>
      <c r="D811" s="6" t="s">
        <v>358</v>
      </c>
      <c r="E811" s="8"/>
      <c r="F811" s="8" t="s">
        <v>40</v>
      </c>
      <c r="G811" s="9"/>
      <c r="H811" s="10">
        <v>2</v>
      </c>
      <c r="I811" s="11" t="s">
        <v>7</v>
      </c>
      <c r="J811" s="6" t="s">
        <v>9</v>
      </c>
      <c r="K811" s="5" t="s">
        <v>196</v>
      </c>
    </row>
    <row r="812" spans="1:12" ht="20.25" customHeight="1" x14ac:dyDescent="0.25">
      <c r="A812" s="12" t="str">
        <f>A811</f>
        <v>ЩР-3.1, ЩР-3.2 (S3)</v>
      </c>
      <c r="B812" s="13" t="s">
        <v>8</v>
      </c>
      <c r="C812" s="14" t="s">
        <v>471</v>
      </c>
      <c r="D812" s="12" t="s">
        <v>472</v>
      </c>
      <c r="E812" s="13">
        <v>10620</v>
      </c>
      <c r="F812" s="15">
        <f t="shared" ref="F812:F813" si="482">E812*0.6</f>
        <v>6372</v>
      </c>
      <c r="G812" s="15">
        <f t="shared" ref="G812:G815" si="483">H812*F812</f>
        <v>6372</v>
      </c>
      <c r="H812" s="16">
        <v>1</v>
      </c>
      <c r="I812" s="17" t="s">
        <v>13</v>
      </c>
      <c r="J812" s="13" t="s">
        <v>16</v>
      </c>
      <c r="K812" s="12" t="str">
        <f>K811</f>
        <v>2853_01_01_S1_EM01_01_M3</v>
      </c>
      <c r="L812">
        <v>6372</v>
      </c>
    </row>
    <row r="813" spans="1:12" ht="21" customHeight="1" x14ac:dyDescent="0.25">
      <c r="A813" s="12" t="str">
        <f t="shared" ref="A813:A816" si="484">A812</f>
        <v>ЩР-3.1, ЩР-3.2 (S3)</v>
      </c>
      <c r="B813" s="13" t="s">
        <v>54</v>
      </c>
      <c r="C813" s="14" t="s">
        <v>127</v>
      </c>
      <c r="D813" s="12" t="s">
        <v>128</v>
      </c>
      <c r="E813" s="13">
        <v>3372</v>
      </c>
      <c r="F813" s="15">
        <f t="shared" si="482"/>
        <v>2023.1999999999998</v>
      </c>
      <c r="G813" s="15">
        <f t="shared" si="483"/>
        <v>2023.1999999999998</v>
      </c>
      <c r="H813" s="16">
        <v>1</v>
      </c>
      <c r="I813" s="17" t="s">
        <v>13</v>
      </c>
      <c r="J813" s="13" t="s">
        <v>17</v>
      </c>
      <c r="K813" s="12" t="str">
        <f t="shared" ref="K813:K816" si="485">K812</f>
        <v>2853_01_01_S1_EM01_01_M3</v>
      </c>
      <c r="L813">
        <v>2023.1999999999998</v>
      </c>
    </row>
    <row r="814" spans="1:12" ht="24" customHeight="1" x14ac:dyDescent="0.25">
      <c r="A814" s="12" t="str">
        <f t="shared" si="484"/>
        <v>ЩР-3.1, ЩР-3.2 (S3)</v>
      </c>
      <c r="B814" s="12" t="s">
        <v>10</v>
      </c>
      <c r="C814" s="18" t="s">
        <v>10</v>
      </c>
      <c r="D814" s="12" t="s">
        <v>10</v>
      </c>
      <c r="E814" s="12">
        <f ca="1">OFFSET(E814,1,2)</f>
        <v>60</v>
      </c>
      <c r="F814" s="15">
        <f ca="1">E814</f>
        <v>60</v>
      </c>
      <c r="G814" s="15">
        <f t="shared" ca="1" si="483"/>
        <v>60</v>
      </c>
      <c r="H814" s="12">
        <v>1</v>
      </c>
      <c r="I814" s="12" t="s">
        <v>13</v>
      </c>
      <c r="J814" s="12" t="s">
        <v>10</v>
      </c>
      <c r="K814" s="12" t="str">
        <f t="shared" si="485"/>
        <v>2853_01_01_S1_EM01_01_M3</v>
      </c>
      <c r="L814">
        <v>60</v>
      </c>
    </row>
    <row r="815" spans="1:12" ht="21" customHeight="1" x14ac:dyDescent="0.25">
      <c r="A815" s="12" t="str">
        <f t="shared" si="484"/>
        <v>ЩР-3.1, ЩР-3.2 (S3)</v>
      </c>
      <c r="B815" s="12" t="s">
        <v>11</v>
      </c>
      <c r="C815" s="18" t="s">
        <v>11</v>
      </c>
      <c r="D815" s="12" t="s">
        <v>11</v>
      </c>
      <c r="E815" s="12">
        <v>0.01</v>
      </c>
      <c r="F815" s="15">
        <v>100</v>
      </c>
      <c r="G815" s="15">
        <f t="shared" si="483"/>
        <v>60</v>
      </c>
      <c r="H815" s="12">
        <f>60*E815</f>
        <v>0.6</v>
      </c>
      <c r="I815" s="12" t="s">
        <v>13</v>
      </c>
      <c r="J815" s="12" t="s">
        <v>11</v>
      </c>
      <c r="K815" s="12" t="str">
        <f t="shared" si="485"/>
        <v>2853_01_01_S1_EM01_01_M3</v>
      </c>
      <c r="L815">
        <v>60</v>
      </c>
    </row>
    <row r="816" spans="1:12" ht="30" customHeight="1" x14ac:dyDescent="0.25">
      <c r="A816" s="12" t="str">
        <f t="shared" si="484"/>
        <v>ЩР-3.1, ЩР-3.2 (S3)</v>
      </c>
      <c r="B816" s="19"/>
      <c r="C816" s="20"/>
      <c r="D816" s="21"/>
      <c r="E816" s="23"/>
      <c r="F816" s="25"/>
      <c r="G816" s="24">
        <f ca="1">SUM(G812:G815)</f>
        <v>8515.2000000000007</v>
      </c>
      <c r="H816" s="20"/>
      <c r="I816" s="22"/>
      <c r="J816" s="20"/>
      <c r="K816" s="12" t="str">
        <f t="shared" si="485"/>
        <v>2853_01_01_S1_EM01_01_M3</v>
      </c>
      <c r="L816">
        <v>8515.2000000000007</v>
      </c>
    </row>
    <row r="817" spans="1:12" ht="39.75" customHeight="1" x14ac:dyDescent="0.25">
      <c r="A817" s="5" t="str">
        <f>D817</f>
        <v>ЩР-3.3 (S3)</v>
      </c>
      <c r="B817" s="6"/>
      <c r="C817" s="7"/>
      <c r="D817" s="6" t="s">
        <v>359</v>
      </c>
      <c r="E817" s="8"/>
      <c r="F817" s="8" t="s">
        <v>40</v>
      </c>
      <c r="G817" s="9"/>
      <c r="H817" s="10">
        <v>1</v>
      </c>
      <c r="I817" s="11" t="s">
        <v>7</v>
      </c>
      <c r="J817" s="6" t="s">
        <v>9</v>
      </c>
      <c r="K817" s="5" t="s">
        <v>196</v>
      </c>
    </row>
    <row r="818" spans="1:12" ht="21" customHeight="1" x14ac:dyDescent="0.25">
      <c r="A818" s="12" t="str">
        <f>A817</f>
        <v>ЩР-3.3 (S3)</v>
      </c>
      <c r="B818" s="13" t="s">
        <v>8</v>
      </c>
      <c r="C818" s="14" t="s">
        <v>471</v>
      </c>
      <c r="D818" s="12" t="s">
        <v>472</v>
      </c>
      <c r="E818" s="13">
        <v>10620</v>
      </c>
      <c r="F818" s="15">
        <f t="shared" ref="F818:F819" si="486">E818*0.6</f>
        <v>6372</v>
      </c>
      <c r="G818" s="15">
        <f t="shared" ref="G818:G821" si="487">H818*F818</f>
        <v>6372</v>
      </c>
      <c r="H818" s="16">
        <v>1</v>
      </c>
      <c r="I818" s="17" t="s">
        <v>13</v>
      </c>
      <c r="J818" s="13" t="s">
        <v>16</v>
      </c>
      <c r="K818" s="12" t="str">
        <f>K817</f>
        <v>2853_01_01_S1_EM01_01_M3</v>
      </c>
      <c r="L818">
        <v>6372</v>
      </c>
    </row>
    <row r="819" spans="1:12" ht="21" customHeight="1" x14ac:dyDescent="0.25">
      <c r="A819" s="12" t="str">
        <f>A817</f>
        <v>ЩР-3.3 (S3)</v>
      </c>
      <c r="B819" s="13" t="s">
        <v>54</v>
      </c>
      <c r="C819" s="14" t="s">
        <v>57</v>
      </c>
      <c r="D819" s="12" t="s">
        <v>58</v>
      </c>
      <c r="E819" s="13">
        <v>3372</v>
      </c>
      <c r="F819" s="15">
        <f t="shared" si="486"/>
        <v>2023.1999999999998</v>
      </c>
      <c r="G819" s="15">
        <f t="shared" si="487"/>
        <v>2023.1999999999998</v>
      </c>
      <c r="H819" s="16">
        <v>1</v>
      </c>
      <c r="I819" s="17" t="s">
        <v>13</v>
      </c>
      <c r="J819" s="13" t="s">
        <v>17</v>
      </c>
      <c r="K819" s="12" t="str">
        <f t="shared" ref="K819" si="488">K817</f>
        <v>2853_01_01_S1_EM01_01_M3</v>
      </c>
      <c r="L819">
        <v>2023.1999999999998</v>
      </c>
    </row>
    <row r="820" spans="1:12" ht="24" customHeight="1" x14ac:dyDescent="0.25">
      <c r="A820" s="12" t="str">
        <f t="shared" ref="A820:A822" si="489">A819</f>
        <v>ЩР-3.3 (S3)</v>
      </c>
      <c r="B820" s="12" t="s">
        <v>10</v>
      </c>
      <c r="C820" s="18" t="s">
        <v>10</v>
      </c>
      <c r="D820" s="12" t="s">
        <v>10</v>
      </c>
      <c r="E820" s="12">
        <f ca="1">OFFSET(E820,1,2)</f>
        <v>60</v>
      </c>
      <c r="F820" s="15">
        <f ca="1">E820</f>
        <v>60</v>
      </c>
      <c r="G820" s="15">
        <f t="shared" ca="1" si="487"/>
        <v>60</v>
      </c>
      <c r="H820" s="12">
        <v>1</v>
      </c>
      <c r="I820" s="12" t="s">
        <v>13</v>
      </c>
      <c r="J820" s="12" t="s">
        <v>10</v>
      </c>
      <c r="K820" s="12" t="str">
        <f>K819</f>
        <v>2853_01_01_S1_EM01_01_M3</v>
      </c>
      <c r="L820">
        <v>60</v>
      </c>
    </row>
    <row r="821" spans="1:12" ht="21" customHeight="1" x14ac:dyDescent="0.25">
      <c r="A821" s="12" t="str">
        <f t="shared" si="489"/>
        <v>ЩР-3.3 (S3)</v>
      </c>
      <c r="B821" s="12" t="s">
        <v>11</v>
      </c>
      <c r="C821" s="18" t="s">
        <v>11</v>
      </c>
      <c r="D821" s="12" t="s">
        <v>11</v>
      </c>
      <c r="E821" s="12">
        <v>0.01</v>
      </c>
      <c r="F821" s="15">
        <v>100</v>
      </c>
      <c r="G821" s="15">
        <f t="shared" si="487"/>
        <v>60</v>
      </c>
      <c r="H821" s="12">
        <f>60*E821</f>
        <v>0.6</v>
      </c>
      <c r="I821" s="12" t="s">
        <v>13</v>
      </c>
      <c r="J821" s="12" t="s">
        <v>11</v>
      </c>
      <c r="K821" s="12" t="str">
        <f t="shared" ref="K821:K822" si="490">K820</f>
        <v>2853_01_01_S1_EM01_01_M3</v>
      </c>
      <c r="L821">
        <v>60</v>
      </c>
    </row>
    <row r="822" spans="1:12" ht="30" customHeight="1" x14ac:dyDescent="0.25">
      <c r="A822" s="12" t="str">
        <f t="shared" si="489"/>
        <v>ЩР-3.3 (S3)</v>
      </c>
      <c r="B822" s="19"/>
      <c r="C822" s="20"/>
      <c r="D822" s="21"/>
      <c r="E822" s="23"/>
      <c r="F822" s="25"/>
      <c r="G822" s="24">
        <f ca="1">SUM(G818:G821)</f>
        <v>8515.2000000000007</v>
      </c>
      <c r="H822" s="20"/>
      <c r="I822" s="22"/>
      <c r="J822" s="20"/>
      <c r="K822" s="12" t="str">
        <f t="shared" si="490"/>
        <v>2853_01_01_S1_EM01_01_M3</v>
      </c>
      <c r="L822">
        <v>8515.2000000000007</v>
      </c>
    </row>
    <row r="823" spans="1:12" ht="39.75" customHeight="1" x14ac:dyDescent="0.25">
      <c r="A823" s="5" t="str">
        <f>D823</f>
        <v>ЯТП-0,25-23УЗ (ЯТП 220/36В)  (S3)</v>
      </c>
      <c r="B823" s="6"/>
      <c r="C823" s="7"/>
      <c r="D823" s="6" t="s">
        <v>406</v>
      </c>
      <c r="E823" s="8"/>
      <c r="F823" s="8"/>
      <c r="G823" s="9"/>
      <c r="H823" s="10">
        <v>3</v>
      </c>
      <c r="I823" s="11" t="s">
        <v>7</v>
      </c>
      <c r="J823" s="6" t="s">
        <v>9</v>
      </c>
      <c r="K823" s="5" t="s">
        <v>200</v>
      </c>
    </row>
    <row r="824" spans="1:12" ht="39.75" customHeight="1" x14ac:dyDescent="0.25">
      <c r="A824" s="5" t="str">
        <f>D824</f>
        <v>ЯТП-0,25-23УЗ (ЯТП 220/12В)  (S3)</v>
      </c>
      <c r="B824" s="6"/>
      <c r="C824" s="7"/>
      <c r="D824" s="6" t="s">
        <v>405</v>
      </c>
      <c r="E824" s="8"/>
      <c r="F824" s="8"/>
      <c r="G824" s="9"/>
      <c r="H824" s="10">
        <v>1</v>
      </c>
      <c r="I824" s="11" t="s">
        <v>7</v>
      </c>
      <c r="J824" s="6" t="s">
        <v>9</v>
      </c>
      <c r="K824" s="5" t="s">
        <v>200</v>
      </c>
    </row>
    <row r="825" spans="1:12" ht="39.75" customHeight="1" x14ac:dyDescent="0.25">
      <c r="A825" s="5" t="str">
        <f>D825</f>
        <v>ВЩ-2 (ВРУ1-11-10) (S4)</v>
      </c>
      <c r="B825" s="6"/>
      <c r="C825" s="7"/>
      <c r="D825" s="6" t="s">
        <v>360</v>
      </c>
      <c r="E825" s="8"/>
      <c r="F825" s="8" t="s">
        <v>40</v>
      </c>
      <c r="G825" s="9"/>
      <c r="H825" s="10">
        <v>1</v>
      </c>
      <c r="I825" s="11" t="s">
        <v>7</v>
      </c>
      <c r="J825" s="6" t="s">
        <v>9</v>
      </c>
      <c r="K825" s="5" t="s">
        <v>218</v>
      </c>
    </row>
    <row r="826" spans="1:12" ht="21" customHeight="1" x14ac:dyDescent="0.25">
      <c r="A826" s="12" t="str">
        <f>A825</f>
        <v>ВЩ-2 (ВРУ1-11-10) (S4)</v>
      </c>
      <c r="B826" s="13" t="s">
        <v>8</v>
      </c>
      <c r="C826" s="14" t="s">
        <v>38</v>
      </c>
      <c r="D826" s="12" t="s">
        <v>39</v>
      </c>
      <c r="E826" s="13">
        <v>155000</v>
      </c>
      <c r="F826" s="15">
        <f>E826*0.6</f>
        <v>93000</v>
      </c>
      <c r="G826" s="15">
        <f t="shared" ref="G826:G838" si="491">H826*F826</f>
        <v>93000</v>
      </c>
      <c r="H826" s="16">
        <v>1</v>
      </c>
      <c r="I826" s="17" t="s">
        <v>13</v>
      </c>
      <c r="J826" s="13" t="s">
        <v>16</v>
      </c>
      <c r="K826" s="12" t="str">
        <f>K825</f>
        <v>2853_01_01_S4_EM01_01_M3</v>
      </c>
      <c r="L826">
        <v>93000</v>
      </c>
    </row>
    <row r="827" spans="1:12" ht="21" customHeight="1" x14ac:dyDescent="0.25">
      <c r="A827" s="12" t="str">
        <f>A825</f>
        <v>ВЩ-2 (ВРУ1-11-10) (S4)</v>
      </c>
      <c r="B827" s="13" t="s">
        <v>25</v>
      </c>
      <c r="C827" s="14" t="s">
        <v>82</v>
      </c>
      <c r="D827" s="12" t="s">
        <v>83</v>
      </c>
      <c r="E827" s="13">
        <v>5523</v>
      </c>
      <c r="F827" s="15">
        <f>E827</f>
        <v>5523</v>
      </c>
      <c r="G827" s="15">
        <f t="shared" si="491"/>
        <v>16569</v>
      </c>
      <c r="H827" s="16">
        <v>3</v>
      </c>
      <c r="I827" s="17" t="s">
        <v>13</v>
      </c>
      <c r="J827" s="13" t="s">
        <v>24</v>
      </c>
      <c r="K827" s="12" t="str">
        <f>K825</f>
        <v>2853_01_01_S4_EM01_01_M3</v>
      </c>
      <c r="L827">
        <v>16569</v>
      </c>
    </row>
    <row r="828" spans="1:12" ht="21" customHeight="1" x14ac:dyDescent="0.25">
      <c r="A828" s="12" t="str">
        <f>A826</f>
        <v>ВЩ-2 (ВРУ1-11-10) (S4)</v>
      </c>
      <c r="B828" s="13" t="s">
        <v>25</v>
      </c>
      <c r="C828" s="14" t="s">
        <v>143</v>
      </c>
      <c r="D828" s="12" t="s">
        <v>144</v>
      </c>
      <c r="E828" s="13">
        <v>6018</v>
      </c>
      <c r="F828" s="15">
        <f>E828</f>
        <v>6018</v>
      </c>
      <c r="G828" s="15">
        <f t="shared" si="491"/>
        <v>18054</v>
      </c>
      <c r="H828" s="16">
        <v>3</v>
      </c>
      <c r="I828" s="17" t="s">
        <v>13</v>
      </c>
      <c r="J828" s="13" t="s">
        <v>24</v>
      </c>
      <c r="K828" s="12" t="str">
        <f>K826</f>
        <v>2853_01_01_S4_EM01_01_M3</v>
      </c>
      <c r="L828">
        <v>18054</v>
      </c>
    </row>
    <row r="829" spans="1:12" ht="21" customHeight="1" x14ac:dyDescent="0.25">
      <c r="A829" s="12" t="str">
        <f t="shared" ref="A829:A839" si="492">A828</f>
        <v>ВЩ-2 (ВРУ1-11-10) (S4)</v>
      </c>
      <c r="B829" s="13" t="s">
        <v>29</v>
      </c>
      <c r="C829" s="14" t="s">
        <v>145</v>
      </c>
      <c r="D829" s="12" t="s">
        <v>146</v>
      </c>
      <c r="E829" s="13">
        <v>21950</v>
      </c>
      <c r="F829" s="15">
        <f>E829</f>
        <v>21950</v>
      </c>
      <c r="G829" s="15">
        <f t="shared" si="491"/>
        <v>43900</v>
      </c>
      <c r="H829" s="16">
        <v>2</v>
      </c>
      <c r="I829" s="17" t="s">
        <v>13</v>
      </c>
      <c r="J829" s="13" t="s">
        <v>24</v>
      </c>
      <c r="K829" s="12" t="str">
        <f t="shared" ref="K829:K839" si="493">K828</f>
        <v>2853_01_01_S4_EM01_01_M3</v>
      </c>
      <c r="L829">
        <v>43900</v>
      </c>
    </row>
    <row r="830" spans="1:12" ht="21" customHeight="1" x14ac:dyDescent="0.25">
      <c r="A830" s="12" t="str">
        <f t="shared" si="492"/>
        <v>ВЩ-2 (ВРУ1-11-10) (S4)</v>
      </c>
      <c r="B830" s="13" t="s">
        <v>30</v>
      </c>
      <c r="C830" s="14" t="s">
        <v>147</v>
      </c>
      <c r="D830" s="12" t="s">
        <v>148</v>
      </c>
      <c r="E830" s="13">
        <v>3288</v>
      </c>
      <c r="F830" s="15">
        <f t="shared" ref="F830:F834" si="494">E830*0.6</f>
        <v>1972.8</v>
      </c>
      <c r="G830" s="15">
        <f t="shared" si="491"/>
        <v>5918.4</v>
      </c>
      <c r="H830" s="16">
        <v>3</v>
      </c>
      <c r="I830" s="17" t="s">
        <v>13</v>
      </c>
      <c r="J830" s="13" t="s">
        <v>17</v>
      </c>
      <c r="K830" s="12" t="str">
        <f t="shared" si="493"/>
        <v>2853_01_01_S4_EM01_01_M3</v>
      </c>
      <c r="L830">
        <v>5918.4</v>
      </c>
    </row>
    <row r="831" spans="1:12" ht="21" customHeight="1" x14ac:dyDescent="0.25">
      <c r="A831" s="12" t="str">
        <f t="shared" si="492"/>
        <v>ВЩ-2 (ВРУ1-11-10) (S4)</v>
      </c>
      <c r="B831" s="13" t="s">
        <v>30</v>
      </c>
      <c r="C831" s="14" t="s">
        <v>149</v>
      </c>
      <c r="D831" s="12" t="s">
        <v>150</v>
      </c>
      <c r="E831" s="13">
        <v>3302</v>
      </c>
      <c r="F831" s="15">
        <f t="shared" si="494"/>
        <v>1981.1999999999998</v>
      </c>
      <c r="G831" s="15">
        <f t="shared" si="491"/>
        <v>5943.5999999999995</v>
      </c>
      <c r="H831" s="16">
        <v>3</v>
      </c>
      <c r="I831" s="17" t="s">
        <v>13</v>
      </c>
      <c r="J831" s="13" t="s">
        <v>17</v>
      </c>
      <c r="K831" s="12" t="str">
        <f t="shared" si="493"/>
        <v>2853_01_01_S4_EM01_01_M3</v>
      </c>
      <c r="L831">
        <v>5943.5999999999995</v>
      </c>
    </row>
    <row r="832" spans="1:12" ht="21" customHeight="1" x14ac:dyDescent="0.25">
      <c r="A832" s="12" t="str">
        <f t="shared" ref="A832" si="495">A831</f>
        <v>ВЩ-2 (ВРУ1-11-10) (S4)</v>
      </c>
      <c r="B832" s="13" t="s">
        <v>30</v>
      </c>
      <c r="C832" s="14" t="s">
        <v>149</v>
      </c>
      <c r="D832" s="12" t="s">
        <v>150</v>
      </c>
      <c r="E832" s="13">
        <v>3302</v>
      </c>
      <c r="F832" s="15">
        <f t="shared" si="494"/>
        <v>1981.1999999999998</v>
      </c>
      <c r="G832" s="15">
        <f t="shared" si="491"/>
        <v>5943.5999999999995</v>
      </c>
      <c r="H832" s="16">
        <v>3</v>
      </c>
      <c r="I832" s="17" t="s">
        <v>13</v>
      </c>
      <c r="J832" s="13" t="s">
        <v>17</v>
      </c>
      <c r="K832" s="12" t="str">
        <f t="shared" ref="K832" si="496">K831</f>
        <v>2853_01_01_S4_EM01_01_M3</v>
      </c>
      <c r="L832">
        <v>5943.5999999999995</v>
      </c>
    </row>
    <row r="833" spans="1:12" ht="21" customHeight="1" x14ac:dyDescent="0.25">
      <c r="A833" s="12" t="str">
        <f>A831</f>
        <v>ВЩ-2 (ВРУ1-11-10) (S4)</v>
      </c>
      <c r="B833" s="13" t="s">
        <v>30</v>
      </c>
      <c r="C833" s="14" t="s">
        <v>151</v>
      </c>
      <c r="D833" s="12" t="s">
        <v>152</v>
      </c>
      <c r="E833" s="13">
        <v>4750</v>
      </c>
      <c r="F833" s="15">
        <f t="shared" si="494"/>
        <v>2850</v>
      </c>
      <c r="G833" s="15">
        <f t="shared" si="491"/>
        <v>17100</v>
      </c>
      <c r="H833" s="16">
        <v>6</v>
      </c>
      <c r="I833" s="17" t="s">
        <v>13</v>
      </c>
      <c r="J833" s="13" t="s">
        <v>17</v>
      </c>
      <c r="K833" s="12" t="str">
        <f>K831</f>
        <v>2853_01_01_S4_EM01_01_M3</v>
      </c>
      <c r="L833">
        <v>17100</v>
      </c>
    </row>
    <row r="834" spans="1:12" ht="21" customHeight="1" x14ac:dyDescent="0.25">
      <c r="A834" s="12" t="str">
        <f t="shared" si="492"/>
        <v>ВЩ-2 (ВРУ1-11-10) (S4)</v>
      </c>
      <c r="B834" s="13" t="s">
        <v>12</v>
      </c>
      <c r="C834" s="14" t="s">
        <v>19</v>
      </c>
      <c r="D834" s="12" t="s">
        <v>20</v>
      </c>
      <c r="E834" s="13">
        <v>975</v>
      </c>
      <c r="F834" s="15">
        <f t="shared" si="494"/>
        <v>585</v>
      </c>
      <c r="G834" s="15">
        <f t="shared" si="491"/>
        <v>1170</v>
      </c>
      <c r="H834" s="16">
        <v>2</v>
      </c>
      <c r="I834" s="17" t="s">
        <v>13</v>
      </c>
      <c r="J834" s="13" t="s">
        <v>17</v>
      </c>
      <c r="K834" s="12" t="str">
        <f t="shared" si="493"/>
        <v>2853_01_01_S4_EM01_01_M3</v>
      </c>
      <c r="L834">
        <v>1170</v>
      </c>
    </row>
    <row r="835" spans="1:12" ht="22.5" customHeight="1" x14ac:dyDescent="0.25">
      <c r="A835" s="12" t="str">
        <f t="shared" si="492"/>
        <v>ВЩ-2 (ВРУ1-11-10) (S4)</v>
      </c>
      <c r="B835" s="13" t="s">
        <v>18</v>
      </c>
      <c r="C835" s="14" t="s">
        <v>290</v>
      </c>
      <c r="D835" s="12" t="s">
        <v>291</v>
      </c>
      <c r="E835" s="13">
        <v>90000</v>
      </c>
      <c r="F835" s="15">
        <f t="shared" ref="F835:F836" si="497">E835</f>
        <v>90000</v>
      </c>
      <c r="G835" s="15">
        <f t="shared" si="491"/>
        <v>0</v>
      </c>
      <c r="H835" s="16">
        <v>0</v>
      </c>
      <c r="I835" s="17" t="s">
        <v>13</v>
      </c>
      <c r="J835" s="13" t="s">
        <v>24</v>
      </c>
      <c r="K835" s="12" t="str">
        <f t="shared" si="493"/>
        <v>2853_01_01_S4_EM01_01_M3</v>
      </c>
      <c r="L835">
        <v>0</v>
      </c>
    </row>
    <row r="836" spans="1:12" ht="21" customHeight="1" x14ac:dyDescent="0.25">
      <c r="A836" s="12" t="str">
        <f t="shared" si="492"/>
        <v>ВЩ-2 (ВРУ1-11-10) (S4)</v>
      </c>
      <c r="B836" s="13" t="s">
        <v>28</v>
      </c>
      <c r="C836" s="14"/>
      <c r="D836" s="12" t="s">
        <v>28</v>
      </c>
      <c r="E836" s="13">
        <v>1000</v>
      </c>
      <c r="F836" s="15">
        <f t="shared" si="497"/>
        <v>1000</v>
      </c>
      <c r="G836" s="15">
        <f t="shared" si="491"/>
        <v>1000</v>
      </c>
      <c r="H836" s="16">
        <v>1</v>
      </c>
      <c r="I836" s="17" t="s">
        <v>13</v>
      </c>
      <c r="J836" s="13" t="s">
        <v>24</v>
      </c>
      <c r="K836" s="12" t="str">
        <f t="shared" si="493"/>
        <v>2853_01_01_S4_EM01_01_M3</v>
      </c>
      <c r="L836">
        <v>1000</v>
      </c>
    </row>
    <row r="837" spans="1:12" ht="24" customHeight="1" x14ac:dyDescent="0.25">
      <c r="A837" s="12" t="str">
        <f t="shared" si="492"/>
        <v>ВЩ-2 (ВРУ1-11-10) (S4)</v>
      </c>
      <c r="B837" s="12" t="s">
        <v>10</v>
      </c>
      <c r="C837" s="18" t="s">
        <v>10</v>
      </c>
      <c r="D837" s="12" t="s">
        <v>10</v>
      </c>
      <c r="E837" s="12">
        <f ca="1">OFFSET(E837,1,2)</f>
        <v>54000</v>
      </c>
      <c r="F837" s="15">
        <f ca="1">E837</f>
        <v>54000</v>
      </c>
      <c r="G837" s="15">
        <f t="shared" ca="1" si="491"/>
        <v>54000</v>
      </c>
      <c r="H837" s="12">
        <v>1</v>
      </c>
      <c r="I837" s="12" t="s">
        <v>13</v>
      </c>
      <c r="J837" s="12" t="s">
        <v>10</v>
      </c>
      <c r="K837" s="12" t="str">
        <f t="shared" si="493"/>
        <v>2853_01_01_S4_EM01_01_M3</v>
      </c>
      <c r="L837">
        <v>54000</v>
      </c>
    </row>
    <row r="838" spans="1:12" ht="21" customHeight="1" x14ac:dyDescent="0.25">
      <c r="A838" s="12" t="str">
        <f t="shared" si="492"/>
        <v>ВЩ-2 (ВРУ1-11-10) (S4)</v>
      </c>
      <c r="B838" s="12" t="s">
        <v>11</v>
      </c>
      <c r="C838" s="18" t="s">
        <v>11</v>
      </c>
      <c r="D838" s="12" t="s">
        <v>11</v>
      </c>
      <c r="E838" s="12">
        <v>9</v>
      </c>
      <c r="F838" s="15">
        <v>100</v>
      </c>
      <c r="G838" s="15">
        <f t="shared" si="491"/>
        <v>54000</v>
      </c>
      <c r="H838" s="12">
        <f>60*E838</f>
        <v>540</v>
      </c>
      <c r="I838" s="12" t="s">
        <v>13</v>
      </c>
      <c r="J838" s="12" t="s">
        <v>11</v>
      </c>
      <c r="K838" s="12" t="str">
        <f t="shared" si="493"/>
        <v>2853_01_01_S4_EM01_01_M3</v>
      </c>
      <c r="L838">
        <v>54000</v>
      </c>
    </row>
    <row r="839" spans="1:12" ht="30" customHeight="1" x14ac:dyDescent="0.25">
      <c r="A839" s="12" t="str">
        <f t="shared" si="492"/>
        <v>ВЩ-2 (ВРУ1-11-10) (S4)</v>
      </c>
      <c r="B839" s="19"/>
      <c r="C839" s="20"/>
      <c r="D839" s="21"/>
      <c r="E839" s="23"/>
      <c r="F839" s="25"/>
      <c r="G839" s="24">
        <f ca="1">SUM(G826:G838)</f>
        <v>316598.59999999998</v>
      </c>
      <c r="H839" s="20"/>
      <c r="I839" s="22"/>
      <c r="J839" s="20"/>
      <c r="K839" s="12" t="str">
        <f t="shared" si="493"/>
        <v>2853_01_01_S4_EM01_01_M3</v>
      </c>
      <c r="L839">
        <v>316598.59999999998</v>
      </c>
    </row>
    <row r="840" spans="1:12" ht="39.75" customHeight="1" x14ac:dyDescent="0.25">
      <c r="A840" s="5" t="str">
        <f>D840</f>
        <v>РЩ-2 (ВРУ1-инд-5-00-ухл4) (S4)</v>
      </c>
      <c r="B840" s="6"/>
      <c r="C840" s="7"/>
      <c r="D840" s="6" t="s">
        <v>361</v>
      </c>
      <c r="E840" s="8"/>
      <c r="F840" s="8" t="s">
        <v>40</v>
      </c>
      <c r="G840" s="9"/>
      <c r="H840" s="10">
        <v>1</v>
      </c>
      <c r="I840" s="11" t="s">
        <v>7</v>
      </c>
      <c r="J840" s="6" t="s">
        <v>9</v>
      </c>
      <c r="K840" s="5" t="s">
        <v>218</v>
      </c>
    </row>
    <row r="841" spans="1:12" ht="21" customHeight="1" x14ac:dyDescent="0.25">
      <c r="A841" s="12" t="str">
        <f>A840</f>
        <v>РЩ-2 (ВРУ1-инд-5-00-ухл4) (S4)</v>
      </c>
      <c r="B841" s="13" t="s">
        <v>8</v>
      </c>
      <c r="C841" s="14" t="s">
        <v>461</v>
      </c>
      <c r="D841" s="12" t="s">
        <v>462</v>
      </c>
      <c r="E841" s="13">
        <v>140000</v>
      </c>
      <c r="F841" s="15">
        <f t="shared" ref="F841:F849" si="498">E841*0.6</f>
        <v>84000</v>
      </c>
      <c r="G841" s="15">
        <f t="shared" ref="G841:G852" si="499">H841*F841</f>
        <v>84000</v>
      </c>
      <c r="H841" s="16">
        <v>1</v>
      </c>
      <c r="I841" s="17" t="s">
        <v>13</v>
      </c>
      <c r="J841" s="13" t="s">
        <v>16</v>
      </c>
      <c r="K841" s="12" t="str">
        <f>K840</f>
        <v>2853_01_01_S4_EM01_01_M3</v>
      </c>
      <c r="L841">
        <v>84000</v>
      </c>
    </row>
    <row r="842" spans="1:12" ht="21" customHeight="1" x14ac:dyDescent="0.25">
      <c r="A842" s="12" t="str">
        <f t="shared" ref="A842:A853" si="500">A841</f>
        <v>РЩ-2 (ВРУ1-инд-5-00-ухл4) (S4)</v>
      </c>
      <c r="B842" s="13" t="s">
        <v>33</v>
      </c>
      <c r="C842" s="14" t="s">
        <v>153</v>
      </c>
      <c r="D842" s="12" t="s">
        <v>154</v>
      </c>
      <c r="E842" s="13">
        <v>33910</v>
      </c>
      <c r="F842" s="15">
        <f t="shared" si="498"/>
        <v>20346</v>
      </c>
      <c r="G842" s="15">
        <f t="shared" si="499"/>
        <v>20346</v>
      </c>
      <c r="H842" s="16">
        <v>1</v>
      </c>
      <c r="I842" s="17" t="s">
        <v>13</v>
      </c>
      <c r="J842" s="13" t="s">
        <v>17</v>
      </c>
      <c r="K842" s="12" t="str">
        <f t="shared" ref="K842:K853" si="501">K841</f>
        <v>2853_01_01_S4_EM01_01_M3</v>
      </c>
      <c r="L842">
        <v>20346</v>
      </c>
    </row>
    <row r="843" spans="1:12" ht="21" customHeight="1" x14ac:dyDescent="0.25">
      <c r="A843" s="12" t="str">
        <f t="shared" si="500"/>
        <v>РЩ-2 (ВРУ1-инд-5-00-ухл4) (S4)</v>
      </c>
      <c r="B843" s="13" t="s">
        <v>33</v>
      </c>
      <c r="C843" s="14" t="s">
        <v>22</v>
      </c>
      <c r="D843" s="12" t="s">
        <v>23</v>
      </c>
      <c r="E843" s="13">
        <v>19443</v>
      </c>
      <c r="F843" s="15">
        <f t="shared" si="498"/>
        <v>11665.8</v>
      </c>
      <c r="G843" s="15">
        <f t="shared" si="499"/>
        <v>23331.599999999999</v>
      </c>
      <c r="H843" s="16">
        <v>2</v>
      </c>
      <c r="I843" s="17" t="s">
        <v>13</v>
      </c>
      <c r="J843" s="13" t="s">
        <v>17</v>
      </c>
      <c r="K843" s="12" t="str">
        <f t="shared" si="501"/>
        <v>2853_01_01_S4_EM01_01_M3</v>
      </c>
      <c r="L843">
        <v>23331.599999999999</v>
      </c>
    </row>
    <row r="844" spans="1:12" ht="21" customHeight="1" x14ac:dyDescent="0.25">
      <c r="A844" s="12" t="str">
        <f t="shared" si="500"/>
        <v>РЩ-2 (ВРУ1-инд-5-00-ухл4) (S4)</v>
      </c>
      <c r="B844" s="13" t="s">
        <v>33</v>
      </c>
      <c r="C844" s="14" t="s">
        <v>157</v>
      </c>
      <c r="D844" s="12" t="s">
        <v>158</v>
      </c>
      <c r="E844" s="13">
        <v>19700</v>
      </c>
      <c r="F844" s="15">
        <f t="shared" si="498"/>
        <v>11820</v>
      </c>
      <c r="G844" s="15">
        <f t="shared" si="499"/>
        <v>59100</v>
      </c>
      <c r="H844" s="16">
        <v>5</v>
      </c>
      <c r="I844" s="17" t="s">
        <v>13</v>
      </c>
      <c r="J844" s="13" t="s">
        <v>17</v>
      </c>
      <c r="K844" s="12" t="str">
        <f t="shared" si="501"/>
        <v>2853_01_01_S4_EM01_01_M3</v>
      </c>
      <c r="L844">
        <v>59100</v>
      </c>
    </row>
    <row r="845" spans="1:12" ht="21" customHeight="1" x14ac:dyDescent="0.25">
      <c r="A845" s="12" t="str">
        <f t="shared" si="500"/>
        <v>РЩ-2 (ВРУ1-инд-5-00-ухл4) (S4)</v>
      </c>
      <c r="B845" s="13" t="s">
        <v>12</v>
      </c>
      <c r="C845" s="14" t="s">
        <v>27</v>
      </c>
      <c r="D845" s="12" t="s">
        <v>26</v>
      </c>
      <c r="E845" s="13">
        <v>2606</v>
      </c>
      <c r="F845" s="15">
        <f t="shared" si="498"/>
        <v>1563.6</v>
      </c>
      <c r="G845" s="15">
        <f t="shared" si="499"/>
        <v>4690.7999999999993</v>
      </c>
      <c r="H845" s="16">
        <v>3</v>
      </c>
      <c r="I845" s="17" t="s">
        <v>13</v>
      </c>
      <c r="J845" s="13" t="s">
        <v>17</v>
      </c>
      <c r="K845" s="12" t="str">
        <f t="shared" si="501"/>
        <v>2853_01_01_S4_EM01_01_M3</v>
      </c>
      <c r="L845">
        <v>4690.7999999999993</v>
      </c>
    </row>
    <row r="846" spans="1:12" ht="21" customHeight="1" x14ac:dyDescent="0.25">
      <c r="A846" s="12" t="str">
        <f t="shared" si="500"/>
        <v>РЩ-2 (ВРУ1-инд-5-00-ухл4) (S4)</v>
      </c>
      <c r="B846" s="13" t="s">
        <v>12</v>
      </c>
      <c r="C846" s="14" t="s">
        <v>159</v>
      </c>
      <c r="D846" s="12" t="s">
        <v>160</v>
      </c>
      <c r="E846" s="13">
        <v>2429</v>
      </c>
      <c r="F846" s="15">
        <f t="shared" si="498"/>
        <v>1457.3999999999999</v>
      </c>
      <c r="G846" s="15">
        <f t="shared" si="499"/>
        <v>2914.7999999999997</v>
      </c>
      <c r="H846" s="16">
        <v>2</v>
      </c>
      <c r="I846" s="17" t="s">
        <v>13</v>
      </c>
      <c r="J846" s="13" t="s">
        <v>17</v>
      </c>
      <c r="K846" s="12" t="str">
        <f t="shared" si="501"/>
        <v>2853_01_01_S4_EM01_01_M3</v>
      </c>
      <c r="L846">
        <v>2914.7999999999997</v>
      </c>
    </row>
    <row r="847" spans="1:12" ht="21" customHeight="1" x14ac:dyDescent="0.25">
      <c r="A847" s="12" t="str">
        <f t="shared" si="500"/>
        <v>РЩ-2 (ВРУ1-инд-5-00-ухл4) (S4)</v>
      </c>
      <c r="B847" s="13" t="s">
        <v>12</v>
      </c>
      <c r="C847" s="14" t="s">
        <v>34</v>
      </c>
      <c r="D847" s="12" t="s">
        <v>35</v>
      </c>
      <c r="E847" s="13">
        <v>2337</v>
      </c>
      <c r="F847" s="15">
        <f t="shared" si="498"/>
        <v>1402.2</v>
      </c>
      <c r="G847" s="15">
        <f t="shared" si="499"/>
        <v>4206.6000000000004</v>
      </c>
      <c r="H847" s="16">
        <v>3</v>
      </c>
      <c r="I847" s="17" t="s">
        <v>13</v>
      </c>
      <c r="J847" s="13" t="s">
        <v>17</v>
      </c>
      <c r="K847" s="12" t="str">
        <f t="shared" si="501"/>
        <v>2853_01_01_S4_EM01_01_M3</v>
      </c>
      <c r="L847">
        <v>4206.6000000000004</v>
      </c>
    </row>
    <row r="848" spans="1:12" ht="21" customHeight="1" x14ac:dyDescent="0.25">
      <c r="A848" s="12" t="str">
        <f t="shared" si="500"/>
        <v>РЩ-2 (ВРУ1-инд-5-00-ухл4) (S4)</v>
      </c>
      <c r="B848" s="13" t="s">
        <v>12</v>
      </c>
      <c r="C848" s="14" t="s">
        <v>36</v>
      </c>
      <c r="D848" s="12" t="s">
        <v>37</v>
      </c>
      <c r="E848" s="13">
        <v>783</v>
      </c>
      <c r="F848" s="15">
        <f t="shared" si="498"/>
        <v>469.79999999999995</v>
      </c>
      <c r="G848" s="15">
        <f t="shared" si="499"/>
        <v>1879.1999999999998</v>
      </c>
      <c r="H848" s="16">
        <v>4</v>
      </c>
      <c r="I848" s="17" t="s">
        <v>13</v>
      </c>
      <c r="J848" s="13" t="s">
        <v>17</v>
      </c>
      <c r="K848" s="12" t="str">
        <f t="shared" si="501"/>
        <v>2853_01_01_S4_EM01_01_M3</v>
      </c>
      <c r="L848">
        <v>1879.1999999999998</v>
      </c>
    </row>
    <row r="849" spans="1:12" ht="21" customHeight="1" x14ac:dyDescent="0.25">
      <c r="A849" s="12" t="str">
        <f t="shared" ref="A849" si="502">A848</f>
        <v>РЩ-2 (ВРУ1-инд-5-00-ухл4) (S4)</v>
      </c>
      <c r="B849" s="13" t="s">
        <v>54</v>
      </c>
      <c r="C849" s="14" t="s">
        <v>131</v>
      </c>
      <c r="D849" s="12" t="s">
        <v>132</v>
      </c>
      <c r="E849" s="13">
        <v>4334</v>
      </c>
      <c r="F849" s="15">
        <f t="shared" si="498"/>
        <v>2600.4</v>
      </c>
      <c r="G849" s="15">
        <f t="shared" si="499"/>
        <v>2600.4</v>
      </c>
      <c r="H849" s="16">
        <v>1</v>
      </c>
      <c r="I849" s="17" t="s">
        <v>13</v>
      </c>
      <c r="J849" s="13" t="s">
        <v>17</v>
      </c>
      <c r="K849" s="12" t="str">
        <f t="shared" si="501"/>
        <v>2853_01_01_S4_EM01_01_M3</v>
      </c>
      <c r="L849">
        <v>2600.4</v>
      </c>
    </row>
    <row r="850" spans="1:12" ht="22.5" customHeight="1" x14ac:dyDescent="0.25">
      <c r="A850" s="12" t="str">
        <f>A848</f>
        <v>РЩ-2 (ВРУ1-инд-5-00-ухл4) (S4)</v>
      </c>
      <c r="B850" s="13" t="s">
        <v>18</v>
      </c>
      <c r="C850" s="14" t="s">
        <v>294</v>
      </c>
      <c r="D850" s="12" t="s">
        <v>295</v>
      </c>
      <c r="E850" s="13">
        <v>90000</v>
      </c>
      <c r="F850" s="15">
        <f t="shared" ref="F850" si="503">E850</f>
        <v>90000</v>
      </c>
      <c r="G850" s="15">
        <f t="shared" si="499"/>
        <v>0</v>
      </c>
      <c r="H850" s="16">
        <v>0</v>
      </c>
      <c r="I850" s="17" t="s">
        <v>13</v>
      </c>
      <c r="J850" s="13" t="s">
        <v>24</v>
      </c>
      <c r="K850" s="12" t="str">
        <f t="shared" si="501"/>
        <v>2853_01_01_S4_EM01_01_M3</v>
      </c>
      <c r="L850">
        <v>0</v>
      </c>
    </row>
    <row r="851" spans="1:12" ht="24" customHeight="1" x14ac:dyDescent="0.25">
      <c r="A851" s="12" t="str">
        <f t="shared" si="500"/>
        <v>РЩ-2 (ВРУ1-инд-5-00-ухл4) (S4)</v>
      </c>
      <c r="B851" s="12" t="s">
        <v>10</v>
      </c>
      <c r="C851" s="18" t="s">
        <v>10</v>
      </c>
      <c r="D851" s="12" t="s">
        <v>10</v>
      </c>
      <c r="E851" s="12">
        <f ca="1">OFFSET(E851,1,2)</f>
        <v>54000</v>
      </c>
      <c r="F851" s="15">
        <f ca="1">E851</f>
        <v>54000</v>
      </c>
      <c r="G851" s="15">
        <f t="shared" ca="1" si="499"/>
        <v>54000</v>
      </c>
      <c r="H851" s="12">
        <v>1</v>
      </c>
      <c r="I851" s="12" t="s">
        <v>13</v>
      </c>
      <c r="J851" s="12" t="s">
        <v>10</v>
      </c>
      <c r="K851" s="12" t="str">
        <f t="shared" si="501"/>
        <v>2853_01_01_S4_EM01_01_M3</v>
      </c>
      <c r="L851">
        <v>54000</v>
      </c>
    </row>
    <row r="852" spans="1:12" ht="21" customHeight="1" x14ac:dyDescent="0.25">
      <c r="A852" s="12" t="str">
        <f t="shared" si="500"/>
        <v>РЩ-2 (ВРУ1-инд-5-00-ухл4) (S4)</v>
      </c>
      <c r="B852" s="12" t="s">
        <v>11</v>
      </c>
      <c r="C852" s="18" t="s">
        <v>11</v>
      </c>
      <c r="D852" s="12" t="s">
        <v>11</v>
      </c>
      <c r="E852" s="12">
        <v>9</v>
      </c>
      <c r="F852" s="15">
        <v>100</v>
      </c>
      <c r="G852" s="15">
        <f t="shared" si="499"/>
        <v>54000</v>
      </c>
      <c r="H852" s="12">
        <f>60*E852</f>
        <v>540</v>
      </c>
      <c r="I852" s="12" t="s">
        <v>13</v>
      </c>
      <c r="J852" s="12" t="s">
        <v>11</v>
      </c>
      <c r="K852" s="12" t="str">
        <f t="shared" si="501"/>
        <v>2853_01_01_S4_EM01_01_M3</v>
      </c>
      <c r="L852">
        <v>54000</v>
      </c>
    </row>
    <row r="853" spans="1:12" ht="30" customHeight="1" x14ac:dyDescent="0.25">
      <c r="A853" s="12" t="str">
        <f t="shared" si="500"/>
        <v>РЩ-2 (ВРУ1-инд-5-00-ухл4) (S4)</v>
      </c>
      <c r="B853" s="19"/>
      <c r="C853" s="20"/>
      <c r="D853" s="21"/>
      <c r="E853" s="23"/>
      <c r="F853" s="25"/>
      <c r="G853" s="24">
        <f ca="1">SUM(G841:G852)</f>
        <v>311069.40000000002</v>
      </c>
      <c r="H853" s="20"/>
      <c r="I853" s="22"/>
      <c r="J853" s="20"/>
      <c r="K853" s="12" t="str">
        <f t="shared" si="501"/>
        <v>2853_01_01_S4_EM01_01_M3</v>
      </c>
      <c r="L853">
        <v>311069.40000000002</v>
      </c>
    </row>
    <row r="854" spans="1:12" ht="39.75" customHeight="1" x14ac:dyDescent="0.25">
      <c r="A854" s="5" t="str">
        <f>D854</f>
        <v>АВР-2 (S4)</v>
      </c>
      <c r="B854" s="6"/>
      <c r="C854" s="7"/>
      <c r="D854" s="6" t="s">
        <v>362</v>
      </c>
      <c r="E854" s="8"/>
      <c r="F854" s="8" t="s">
        <v>40</v>
      </c>
      <c r="G854" s="9"/>
      <c r="H854" s="10">
        <v>1</v>
      </c>
      <c r="I854" s="11" t="s">
        <v>7</v>
      </c>
      <c r="J854" s="6" t="s">
        <v>9</v>
      </c>
      <c r="K854" s="5" t="s">
        <v>218</v>
      </c>
      <c r="L854" s="29">
        <f t="shared" ref="L854:L875" si="504">G854</f>
        <v>0</v>
      </c>
    </row>
    <row r="855" spans="1:12" ht="21" customHeight="1" x14ac:dyDescent="0.25">
      <c r="A855" s="12" t="str">
        <f>A854</f>
        <v>АВР-2 (S4)</v>
      </c>
      <c r="B855" s="13" t="s">
        <v>8</v>
      </c>
      <c r="C855" s="14" t="s">
        <v>465</v>
      </c>
      <c r="D855" s="12" t="s">
        <v>466</v>
      </c>
      <c r="E855" s="13">
        <v>166830</v>
      </c>
      <c r="F855" s="15">
        <f>E855*0.6</f>
        <v>100098</v>
      </c>
      <c r="G855" s="15">
        <f t="shared" ref="G855:G874" si="505">H855*F855</f>
        <v>100098</v>
      </c>
      <c r="H855" s="16">
        <v>1</v>
      </c>
      <c r="I855" s="17" t="s">
        <v>13</v>
      </c>
      <c r="J855" s="13" t="s">
        <v>16</v>
      </c>
      <c r="K855" s="12" t="str">
        <f>K854</f>
        <v>2853_01_01_S4_EM01_01_M3</v>
      </c>
      <c r="L855" s="29">
        <f t="shared" si="504"/>
        <v>100098</v>
      </c>
    </row>
    <row r="856" spans="1:12" ht="21" customHeight="1" x14ac:dyDescent="0.25">
      <c r="A856" s="12" t="str">
        <f t="shared" ref="A856" si="506">A855</f>
        <v>АВР-2 (S4)</v>
      </c>
      <c r="B856" s="13" t="s">
        <v>25</v>
      </c>
      <c r="C856" s="14" t="s">
        <v>46</v>
      </c>
      <c r="D856" s="12" t="s">
        <v>47</v>
      </c>
      <c r="E856" s="13">
        <v>6018</v>
      </c>
      <c r="F856" s="15">
        <f>E856</f>
        <v>6018</v>
      </c>
      <c r="G856" s="15">
        <f t="shared" si="505"/>
        <v>24072</v>
      </c>
      <c r="H856" s="16">
        <v>4</v>
      </c>
      <c r="I856" s="17" t="s">
        <v>13</v>
      </c>
      <c r="J856" s="13" t="s">
        <v>24</v>
      </c>
      <c r="K856" s="12" t="str">
        <f t="shared" ref="K856" si="507">K855</f>
        <v>2853_01_01_S4_EM01_01_M3</v>
      </c>
      <c r="L856" s="29">
        <f t="shared" si="504"/>
        <v>24072</v>
      </c>
    </row>
    <row r="857" spans="1:12" ht="21" customHeight="1" x14ac:dyDescent="0.25">
      <c r="A857" s="12" t="str">
        <f>A855</f>
        <v>АВР-2 (S4)</v>
      </c>
      <c r="B857" s="13" t="s">
        <v>33</v>
      </c>
      <c r="C857" s="14" t="s">
        <v>31</v>
      </c>
      <c r="D857" s="12" t="s">
        <v>32</v>
      </c>
      <c r="E857" s="13">
        <v>19418</v>
      </c>
      <c r="F857" s="15">
        <f t="shared" ref="F857:F859" si="508">E857*0.6</f>
        <v>11650.8</v>
      </c>
      <c r="G857" s="15">
        <f t="shared" si="505"/>
        <v>34952.399999999994</v>
      </c>
      <c r="H857" s="16">
        <v>3</v>
      </c>
      <c r="I857" s="17" t="s">
        <v>13</v>
      </c>
      <c r="J857" s="13" t="s">
        <v>17</v>
      </c>
      <c r="K857" s="12" t="str">
        <f>K855</f>
        <v>2853_01_01_S4_EM01_01_M3</v>
      </c>
      <c r="L857" s="29">
        <f t="shared" si="504"/>
        <v>34952.399999999994</v>
      </c>
    </row>
    <row r="858" spans="1:12" ht="21" customHeight="1" x14ac:dyDescent="0.25">
      <c r="A858" s="12" t="str">
        <f t="shared" ref="A858:A875" si="509">A856</f>
        <v>АВР-2 (S4)</v>
      </c>
      <c r="B858" s="13" t="s">
        <v>484</v>
      </c>
      <c r="C858" s="14" t="s">
        <v>494</v>
      </c>
      <c r="D858" s="12" t="s">
        <v>495</v>
      </c>
      <c r="E858" s="13">
        <v>39983</v>
      </c>
      <c r="F858" s="15">
        <f t="shared" si="508"/>
        <v>23989.8</v>
      </c>
      <c r="G858" s="15">
        <f t="shared" si="505"/>
        <v>71969.399999999994</v>
      </c>
      <c r="H858" s="16">
        <v>3</v>
      </c>
      <c r="I858" s="17" t="s">
        <v>13</v>
      </c>
      <c r="J858" s="13" t="s">
        <v>17</v>
      </c>
      <c r="K858" s="12" t="str">
        <f t="shared" ref="K858:K875" si="510">K856</f>
        <v>2853_01_01_S4_EM01_01_M3</v>
      </c>
      <c r="L858" s="29">
        <f t="shared" si="504"/>
        <v>71969.399999999994</v>
      </c>
    </row>
    <row r="859" spans="1:12" ht="21" customHeight="1" x14ac:dyDescent="0.25">
      <c r="A859" s="12" t="str">
        <f t="shared" si="509"/>
        <v>АВР-2 (S4)</v>
      </c>
      <c r="B859" s="13" t="s">
        <v>485</v>
      </c>
      <c r="C859" s="14" t="s">
        <v>496</v>
      </c>
      <c r="D859" s="12" t="s">
        <v>497</v>
      </c>
      <c r="E859" s="13">
        <v>2177</v>
      </c>
      <c r="F859" s="15">
        <f t="shared" si="508"/>
        <v>1306.2</v>
      </c>
      <c r="G859" s="15">
        <f t="shared" si="505"/>
        <v>3918.6000000000004</v>
      </c>
      <c r="H859" s="16">
        <v>3</v>
      </c>
      <c r="I859" s="17" t="s">
        <v>13</v>
      </c>
      <c r="J859" s="13" t="s">
        <v>17</v>
      </c>
      <c r="K859" s="12" t="str">
        <f t="shared" si="510"/>
        <v>2853_01_01_S4_EM01_01_M3</v>
      </c>
      <c r="L859" s="29">
        <f t="shared" si="504"/>
        <v>3918.6000000000004</v>
      </c>
    </row>
    <row r="860" spans="1:12" ht="21" customHeight="1" x14ac:dyDescent="0.25">
      <c r="A860" s="12" t="str">
        <f t="shared" si="509"/>
        <v>АВР-2 (S4)</v>
      </c>
      <c r="B860" s="13" t="s">
        <v>486</v>
      </c>
      <c r="C860" s="14" t="s">
        <v>487</v>
      </c>
      <c r="D860" s="13" t="s">
        <v>488</v>
      </c>
      <c r="E860" s="13">
        <v>78000</v>
      </c>
      <c r="F860" s="15">
        <f>E860</f>
        <v>78000</v>
      </c>
      <c r="G860" s="15">
        <f t="shared" si="505"/>
        <v>78000</v>
      </c>
      <c r="H860" s="16">
        <v>1</v>
      </c>
      <c r="I860" s="17" t="s">
        <v>13</v>
      </c>
      <c r="J860" s="13" t="s">
        <v>489</v>
      </c>
      <c r="K860" s="12" t="str">
        <f t="shared" si="510"/>
        <v>2853_01_01_S4_EM01_01_M3</v>
      </c>
      <c r="L860" s="29">
        <f t="shared" si="504"/>
        <v>78000</v>
      </c>
    </row>
    <row r="861" spans="1:12" ht="21" customHeight="1" x14ac:dyDescent="0.25">
      <c r="A861" s="12" t="str">
        <f t="shared" si="509"/>
        <v>АВР-2 (S4)</v>
      </c>
      <c r="B861" s="13" t="s">
        <v>54</v>
      </c>
      <c r="C861" s="14" t="s">
        <v>131</v>
      </c>
      <c r="D861" s="12" t="s">
        <v>132</v>
      </c>
      <c r="E861" s="13">
        <v>4334</v>
      </c>
      <c r="F861" s="15">
        <f t="shared" ref="F861:F868" si="511">E861*0.6</f>
        <v>2600.4</v>
      </c>
      <c r="G861" s="15">
        <f t="shared" si="505"/>
        <v>2600.4</v>
      </c>
      <c r="H861" s="16">
        <v>1</v>
      </c>
      <c r="I861" s="17" t="s">
        <v>13</v>
      </c>
      <c r="J861" s="13" t="s">
        <v>17</v>
      </c>
      <c r="K861" s="12" t="str">
        <f t="shared" si="510"/>
        <v>2853_01_01_S4_EM01_01_M3</v>
      </c>
      <c r="L861" s="29">
        <f t="shared" si="504"/>
        <v>2600.4</v>
      </c>
    </row>
    <row r="862" spans="1:12" ht="21" customHeight="1" x14ac:dyDescent="0.25">
      <c r="A862" s="12" t="str">
        <f t="shared" si="509"/>
        <v>АВР-2 (S4)</v>
      </c>
      <c r="B862" s="13" t="s">
        <v>54</v>
      </c>
      <c r="C862" s="14" t="s">
        <v>127</v>
      </c>
      <c r="D862" s="12" t="s">
        <v>128</v>
      </c>
      <c r="E862" s="13">
        <v>3372</v>
      </c>
      <c r="F862" s="15">
        <f t="shared" si="511"/>
        <v>2023.1999999999998</v>
      </c>
      <c r="G862" s="15">
        <f t="shared" si="505"/>
        <v>4046.3999999999996</v>
      </c>
      <c r="H862" s="16">
        <v>2</v>
      </c>
      <c r="I862" s="17" t="s">
        <v>13</v>
      </c>
      <c r="J862" s="13" t="s">
        <v>17</v>
      </c>
      <c r="K862" s="12" t="str">
        <f t="shared" si="510"/>
        <v>2853_01_01_S4_EM01_01_M3</v>
      </c>
      <c r="L862" s="29">
        <f t="shared" si="504"/>
        <v>4046.3999999999996</v>
      </c>
    </row>
    <row r="863" spans="1:12" ht="21" customHeight="1" x14ac:dyDescent="0.25">
      <c r="A863" s="12" t="str">
        <f t="shared" si="509"/>
        <v>АВР-2 (S4)</v>
      </c>
      <c r="B863" s="13" t="s">
        <v>54</v>
      </c>
      <c r="C863" s="14" t="s">
        <v>57</v>
      </c>
      <c r="D863" s="12" t="s">
        <v>58</v>
      </c>
      <c r="E863" s="13">
        <v>3372</v>
      </c>
      <c r="F863" s="15">
        <f t="shared" si="511"/>
        <v>2023.1999999999998</v>
      </c>
      <c r="G863" s="15">
        <f t="shared" si="505"/>
        <v>2023.1999999999998</v>
      </c>
      <c r="H863" s="16">
        <v>1</v>
      </c>
      <c r="I863" s="17" t="s">
        <v>13</v>
      </c>
      <c r="J863" s="13" t="s">
        <v>17</v>
      </c>
      <c r="K863" s="12" t="str">
        <f t="shared" si="510"/>
        <v>2853_01_01_S4_EM01_01_M3</v>
      </c>
      <c r="L863" s="29">
        <f t="shared" si="504"/>
        <v>2023.1999999999998</v>
      </c>
    </row>
    <row r="864" spans="1:12" ht="21" customHeight="1" x14ac:dyDescent="0.25">
      <c r="A864" s="12" t="str">
        <f t="shared" si="509"/>
        <v>АВР-2 (S4)</v>
      </c>
      <c r="B864" s="13" t="s">
        <v>12</v>
      </c>
      <c r="C864" s="14" t="s">
        <v>121</v>
      </c>
      <c r="D864" s="12" t="s">
        <v>122</v>
      </c>
      <c r="E864" s="13">
        <v>3172</v>
      </c>
      <c r="F864" s="15">
        <f t="shared" si="511"/>
        <v>1903.1999999999998</v>
      </c>
      <c r="G864" s="15">
        <f t="shared" si="505"/>
        <v>1903.1999999999998</v>
      </c>
      <c r="H864" s="16">
        <v>1</v>
      </c>
      <c r="I864" s="17" t="s">
        <v>13</v>
      </c>
      <c r="J864" s="13" t="s">
        <v>17</v>
      </c>
      <c r="K864" s="12" t="str">
        <f t="shared" si="510"/>
        <v>2853_01_01_S4_EM01_01_M3</v>
      </c>
      <c r="L864" s="29">
        <f t="shared" si="504"/>
        <v>1903.1999999999998</v>
      </c>
    </row>
    <row r="865" spans="1:12" ht="21" customHeight="1" x14ac:dyDescent="0.25">
      <c r="A865" s="12" t="str">
        <f t="shared" si="509"/>
        <v>АВР-2 (S4)</v>
      </c>
      <c r="B865" s="13" t="s">
        <v>12</v>
      </c>
      <c r="C865" s="14" t="s">
        <v>219</v>
      </c>
      <c r="D865" s="12" t="s">
        <v>220</v>
      </c>
      <c r="E865" s="13">
        <v>3604</v>
      </c>
      <c r="F865" s="15">
        <f t="shared" si="511"/>
        <v>2162.4</v>
      </c>
      <c r="G865" s="15">
        <f t="shared" si="505"/>
        <v>2162.4</v>
      </c>
      <c r="H865" s="16">
        <v>1</v>
      </c>
      <c r="I865" s="17" t="s">
        <v>13</v>
      </c>
      <c r="J865" s="13" t="s">
        <v>17</v>
      </c>
      <c r="K865" s="12" t="str">
        <f t="shared" si="510"/>
        <v>2853_01_01_S4_EM01_01_M3</v>
      </c>
      <c r="L865" s="29">
        <f t="shared" si="504"/>
        <v>2162.4</v>
      </c>
    </row>
    <row r="866" spans="1:12" ht="21" customHeight="1" x14ac:dyDescent="0.25">
      <c r="A866" s="12" t="str">
        <f t="shared" si="509"/>
        <v>АВР-2 (S4)</v>
      </c>
      <c r="B866" s="13" t="s">
        <v>12</v>
      </c>
      <c r="C866" s="14" t="s">
        <v>34</v>
      </c>
      <c r="D866" s="12" t="s">
        <v>35</v>
      </c>
      <c r="E866" s="13">
        <v>2337</v>
      </c>
      <c r="F866" s="15">
        <f t="shared" si="511"/>
        <v>1402.2</v>
      </c>
      <c r="G866" s="15">
        <f t="shared" si="505"/>
        <v>8413.2000000000007</v>
      </c>
      <c r="H866" s="16">
        <v>6</v>
      </c>
      <c r="I866" s="17" t="s">
        <v>13</v>
      </c>
      <c r="J866" s="13" t="s">
        <v>17</v>
      </c>
      <c r="K866" s="12" t="str">
        <f t="shared" si="510"/>
        <v>2853_01_01_S4_EM01_01_M3</v>
      </c>
      <c r="L866" s="29">
        <f t="shared" si="504"/>
        <v>8413.2000000000007</v>
      </c>
    </row>
    <row r="867" spans="1:12" ht="21" customHeight="1" x14ac:dyDescent="0.25">
      <c r="A867" s="12" t="str">
        <f t="shared" si="509"/>
        <v>АВР-2 (S4)</v>
      </c>
      <c r="B867" s="13" t="s">
        <v>12</v>
      </c>
      <c r="C867" s="14" t="s">
        <v>27</v>
      </c>
      <c r="D867" s="12" t="s">
        <v>26</v>
      </c>
      <c r="E867" s="13">
        <v>2606</v>
      </c>
      <c r="F867" s="15">
        <f t="shared" si="511"/>
        <v>1563.6</v>
      </c>
      <c r="G867" s="15">
        <f t="shared" si="505"/>
        <v>3127.2</v>
      </c>
      <c r="H867" s="16">
        <v>2</v>
      </c>
      <c r="I867" s="17" t="s">
        <v>13</v>
      </c>
      <c r="J867" s="13" t="s">
        <v>17</v>
      </c>
      <c r="K867" s="12" t="str">
        <f t="shared" si="510"/>
        <v>2853_01_01_S4_EM01_01_M3</v>
      </c>
      <c r="L867" s="29">
        <f t="shared" si="504"/>
        <v>3127.2</v>
      </c>
    </row>
    <row r="868" spans="1:12" ht="21" customHeight="1" x14ac:dyDescent="0.25">
      <c r="A868" s="12" t="str">
        <f t="shared" si="509"/>
        <v>АВР-2 (S4)</v>
      </c>
      <c r="B868" s="13" t="s">
        <v>12</v>
      </c>
      <c r="C868" s="14" t="s">
        <v>161</v>
      </c>
      <c r="D868" s="12" t="s">
        <v>162</v>
      </c>
      <c r="E868" s="13">
        <v>3604</v>
      </c>
      <c r="F868" s="15">
        <f t="shared" si="511"/>
        <v>2162.4</v>
      </c>
      <c r="G868" s="15">
        <f t="shared" si="505"/>
        <v>6487.2000000000007</v>
      </c>
      <c r="H868" s="16">
        <v>3</v>
      </c>
      <c r="I868" s="17" t="s">
        <v>13</v>
      </c>
      <c r="J868" s="13" t="s">
        <v>17</v>
      </c>
      <c r="K868" s="12" t="str">
        <f t="shared" si="510"/>
        <v>2853_01_01_S4_EM01_01_M3</v>
      </c>
      <c r="L868" s="29">
        <f t="shared" si="504"/>
        <v>6487.2000000000007</v>
      </c>
    </row>
    <row r="869" spans="1:12" ht="22.5" customHeight="1" x14ac:dyDescent="0.25">
      <c r="A869" s="12" t="str">
        <f t="shared" si="509"/>
        <v>АВР-2 (S4)</v>
      </c>
      <c r="B869" s="13" t="s">
        <v>18</v>
      </c>
      <c r="C869" s="14" t="s">
        <v>294</v>
      </c>
      <c r="D869" s="12" t="s">
        <v>295</v>
      </c>
      <c r="E869" s="13">
        <v>90000</v>
      </c>
      <c r="F869" s="15">
        <f t="shared" ref="F869" si="512">E869</f>
        <v>90000</v>
      </c>
      <c r="G869" s="15">
        <f t="shared" si="505"/>
        <v>0</v>
      </c>
      <c r="H869" s="16">
        <v>0</v>
      </c>
      <c r="I869" s="17" t="s">
        <v>13</v>
      </c>
      <c r="J869" s="13" t="s">
        <v>24</v>
      </c>
      <c r="K869" s="12" t="str">
        <f t="shared" si="510"/>
        <v>2853_01_01_S4_EM01_01_M3</v>
      </c>
      <c r="L869" s="29">
        <f t="shared" si="504"/>
        <v>0</v>
      </c>
    </row>
    <row r="870" spans="1:12" ht="22.5" customHeight="1" x14ac:dyDescent="0.25">
      <c r="A870" s="12" t="str">
        <f t="shared" si="509"/>
        <v>АВР-2 (S4)</v>
      </c>
      <c r="B870" s="13" t="s">
        <v>18</v>
      </c>
      <c r="C870" s="14" t="s">
        <v>292</v>
      </c>
      <c r="D870" s="12" t="s">
        <v>293</v>
      </c>
      <c r="E870" s="13">
        <v>90000</v>
      </c>
      <c r="F870" s="15">
        <f t="shared" ref="F870:F872" si="513">E870</f>
        <v>90000</v>
      </c>
      <c r="G870" s="15">
        <f t="shared" si="505"/>
        <v>0</v>
      </c>
      <c r="H870" s="16">
        <v>0</v>
      </c>
      <c r="I870" s="17" t="s">
        <v>13</v>
      </c>
      <c r="J870" s="13" t="s">
        <v>24</v>
      </c>
      <c r="K870" s="12" t="str">
        <f t="shared" si="510"/>
        <v>2853_01_01_S4_EM01_01_M3</v>
      </c>
      <c r="L870" s="29">
        <f t="shared" si="504"/>
        <v>0</v>
      </c>
    </row>
    <row r="871" spans="1:12" ht="22.5" customHeight="1" x14ac:dyDescent="0.25">
      <c r="A871" s="12" t="str">
        <f t="shared" si="509"/>
        <v>АВР-2 (S4)</v>
      </c>
      <c r="B871" s="13" t="s">
        <v>18</v>
      </c>
      <c r="C871" s="14" t="s">
        <v>290</v>
      </c>
      <c r="D871" s="12" t="s">
        <v>291</v>
      </c>
      <c r="E871" s="13">
        <v>90000</v>
      </c>
      <c r="F871" s="15">
        <f t="shared" si="513"/>
        <v>90000</v>
      </c>
      <c r="G871" s="15">
        <f t="shared" si="505"/>
        <v>0</v>
      </c>
      <c r="H871" s="16">
        <v>0</v>
      </c>
      <c r="I871" s="17" t="s">
        <v>13</v>
      </c>
      <c r="J871" s="13" t="s">
        <v>24</v>
      </c>
      <c r="K871" s="12" t="str">
        <f t="shared" si="510"/>
        <v>2853_01_01_S4_EM01_01_M3</v>
      </c>
      <c r="L871" s="29">
        <f t="shared" si="504"/>
        <v>0</v>
      </c>
    </row>
    <row r="872" spans="1:12" ht="21" customHeight="1" x14ac:dyDescent="0.25">
      <c r="A872" s="12" t="str">
        <f t="shared" si="509"/>
        <v>АВР-2 (S4)</v>
      </c>
      <c r="B872" s="13" t="s">
        <v>28</v>
      </c>
      <c r="C872" s="14"/>
      <c r="D872" s="12" t="s">
        <v>28</v>
      </c>
      <c r="E872" s="13">
        <v>1000</v>
      </c>
      <c r="F872" s="15">
        <f t="shared" si="513"/>
        <v>1000</v>
      </c>
      <c r="G872" s="15">
        <f t="shared" si="505"/>
        <v>1000</v>
      </c>
      <c r="H872" s="16">
        <v>1</v>
      </c>
      <c r="I872" s="17" t="s">
        <v>13</v>
      </c>
      <c r="J872" s="13" t="s">
        <v>24</v>
      </c>
      <c r="K872" s="12" t="str">
        <f t="shared" si="510"/>
        <v>2853_01_01_S4_EM01_01_M3</v>
      </c>
      <c r="L872" s="29">
        <f t="shared" si="504"/>
        <v>1000</v>
      </c>
    </row>
    <row r="873" spans="1:12" ht="24" customHeight="1" x14ac:dyDescent="0.25">
      <c r="A873" s="12" t="str">
        <f t="shared" si="509"/>
        <v>АВР-2 (S4)</v>
      </c>
      <c r="B873" s="12" t="s">
        <v>10</v>
      </c>
      <c r="C873" s="18" t="s">
        <v>10</v>
      </c>
      <c r="D873" s="12" t="s">
        <v>10</v>
      </c>
      <c r="E873" s="12">
        <v>55000</v>
      </c>
      <c r="F873" s="15">
        <f>E873</f>
        <v>55000</v>
      </c>
      <c r="G873" s="15">
        <f t="shared" si="505"/>
        <v>55000</v>
      </c>
      <c r="H873" s="12">
        <v>1</v>
      </c>
      <c r="I873" s="12" t="s">
        <v>13</v>
      </c>
      <c r="J873" s="12" t="s">
        <v>10</v>
      </c>
      <c r="K873" s="12" t="str">
        <f t="shared" si="510"/>
        <v>2853_01_01_S4_EM01_01_M3</v>
      </c>
      <c r="L873" s="29">
        <f t="shared" si="504"/>
        <v>55000</v>
      </c>
    </row>
    <row r="874" spans="1:12" ht="21" customHeight="1" x14ac:dyDescent="0.25">
      <c r="A874" s="12" t="str">
        <f t="shared" si="509"/>
        <v>АВР-2 (S4)</v>
      </c>
      <c r="B874" s="12" t="s">
        <v>11</v>
      </c>
      <c r="C874" s="18" t="s">
        <v>11</v>
      </c>
      <c r="D874" s="12" t="s">
        <v>11</v>
      </c>
      <c r="E874" s="12">
        <v>8</v>
      </c>
      <c r="F874" s="15">
        <v>100</v>
      </c>
      <c r="G874" s="15">
        <f t="shared" si="505"/>
        <v>48000</v>
      </c>
      <c r="H874" s="12">
        <f>60*E874</f>
        <v>480</v>
      </c>
      <c r="I874" s="12" t="s">
        <v>13</v>
      </c>
      <c r="J874" s="12" t="s">
        <v>11</v>
      </c>
      <c r="K874" s="12" t="str">
        <f t="shared" si="510"/>
        <v>2853_01_01_S4_EM01_01_M3</v>
      </c>
      <c r="L874" s="29">
        <f t="shared" si="504"/>
        <v>48000</v>
      </c>
    </row>
    <row r="875" spans="1:12" ht="30" customHeight="1" x14ac:dyDescent="0.25">
      <c r="A875" s="12" t="str">
        <f t="shared" si="509"/>
        <v>АВР-2 (S4)</v>
      </c>
      <c r="B875" s="19"/>
      <c r="C875" s="20"/>
      <c r="D875" s="21"/>
      <c r="E875" s="23"/>
      <c r="F875" s="25"/>
      <c r="G875" s="24">
        <f>SUM(G855:G874)</f>
        <v>447773.60000000015</v>
      </c>
      <c r="H875" s="20"/>
      <c r="I875" s="22"/>
      <c r="J875" s="20"/>
      <c r="K875" s="12" t="str">
        <f t="shared" si="510"/>
        <v>2853_01_01_S4_EM01_01_M3</v>
      </c>
      <c r="L875" s="29">
        <f t="shared" si="504"/>
        <v>447773.60000000015</v>
      </c>
    </row>
    <row r="876" spans="1:12" ht="39.75" customHeight="1" x14ac:dyDescent="0.25">
      <c r="A876" s="5" t="str">
        <f>D876</f>
        <v>ВЩоф-3 (ВРУ1-ИНД тип2-00 ухл4) (S4)</v>
      </c>
      <c r="B876" s="6"/>
      <c r="C876" s="7"/>
      <c r="D876" s="6" t="s">
        <v>363</v>
      </c>
      <c r="E876" s="8"/>
      <c r="F876" s="8" t="s">
        <v>40</v>
      </c>
      <c r="G876" s="9"/>
      <c r="H876" s="10">
        <v>1</v>
      </c>
      <c r="I876" s="11" t="s">
        <v>7</v>
      </c>
      <c r="J876" s="6" t="s">
        <v>9</v>
      </c>
      <c r="K876" s="5" t="s">
        <v>218</v>
      </c>
    </row>
    <row r="877" spans="1:12" ht="21" customHeight="1" x14ac:dyDescent="0.25">
      <c r="A877" s="12" t="str">
        <f>A876</f>
        <v>ВЩоф-3 (ВРУ1-ИНД тип2-00 ухл4) (S4)</v>
      </c>
      <c r="B877" s="13" t="s">
        <v>8</v>
      </c>
      <c r="C877" s="14" t="s">
        <v>461</v>
      </c>
      <c r="D877" s="12" t="s">
        <v>462</v>
      </c>
      <c r="E877" s="13">
        <v>140000</v>
      </c>
      <c r="F877" s="15">
        <f>E877*0.6</f>
        <v>84000</v>
      </c>
      <c r="G877" s="15">
        <f t="shared" ref="G877:G886" si="514">H877*F877</f>
        <v>84000</v>
      </c>
      <c r="H877" s="16">
        <v>1</v>
      </c>
      <c r="I877" s="17" t="s">
        <v>13</v>
      </c>
      <c r="J877" s="13" t="s">
        <v>16</v>
      </c>
      <c r="K877" s="12" t="str">
        <f>K876</f>
        <v>2853_01_01_S4_EM01_01_M3</v>
      </c>
      <c r="L877">
        <v>84000</v>
      </c>
    </row>
    <row r="878" spans="1:12" ht="21" customHeight="1" x14ac:dyDescent="0.25">
      <c r="A878" s="12" t="str">
        <f t="shared" ref="A878:A887" si="515">A877</f>
        <v>ВЩоф-3 (ВРУ1-ИНД тип2-00 ухл4) (S4)</v>
      </c>
      <c r="B878" s="13" t="s">
        <v>25</v>
      </c>
      <c r="C878" s="14" t="s">
        <v>172</v>
      </c>
      <c r="D878" s="12" t="s">
        <v>173</v>
      </c>
      <c r="E878" s="13">
        <v>5523</v>
      </c>
      <c r="F878" s="15">
        <f>E878</f>
        <v>5523</v>
      </c>
      <c r="G878" s="15">
        <f t="shared" si="514"/>
        <v>16569</v>
      </c>
      <c r="H878" s="16">
        <v>3</v>
      </c>
      <c r="I878" s="17" t="s">
        <v>13</v>
      </c>
      <c r="J878" s="13" t="s">
        <v>24</v>
      </c>
      <c r="K878" s="12" t="str">
        <f t="shared" ref="K878:K887" si="516">K877</f>
        <v>2853_01_01_S4_EM01_01_M3</v>
      </c>
      <c r="L878">
        <v>16569</v>
      </c>
    </row>
    <row r="879" spans="1:12" ht="21" customHeight="1" x14ac:dyDescent="0.25">
      <c r="A879" s="12" t="str">
        <f t="shared" si="515"/>
        <v>ВЩоф-3 (ВРУ1-ИНД тип2-00 ухл4) (S4)</v>
      </c>
      <c r="B879" s="13" t="s">
        <v>54</v>
      </c>
      <c r="C879" s="14" t="s">
        <v>479</v>
      </c>
      <c r="D879" s="12" t="s">
        <v>480</v>
      </c>
      <c r="E879" s="13">
        <v>90421</v>
      </c>
      <c r="F879" s="15">
        <f t="shared" ref="F879:F882" si="517">E879*0.6</f>
        <v>54252.6</v>
      </c>
      <c r="G879" s="15">
        <f t="shared" si="514"/>
        <v>54252.6</v>
      </c>
      <c r="H879" s="16">
        <v>1</v>
      </c>
      <c r="I879" s="17" t="s">
        <v>13</v>
      </c>
      <c r="J879" s="13" t="s">
        <v>17</v>
      </c>
      <c r="K879" s="12" t="str">
        <f t="shared" si="516"/>
        <v>2853_01_01_S4_EM01_01_M3</v>
      </c>
      <c r="L879">
        <v>54252.6</v>
      </c>
    </row>
    <row r="880" spans="1:12" ht="21" customHeight="1" x14ac:dyDescent="0.25">
      <c r="A880" s="12" t="str">
        <f t="shared" si="515"/>
        <v>ВЩоф-3 (ВРУ1-ИНД тип2-00 ухл4) (S4)</v>
      </c>
      <c r="B880" s="13" t="s">
        <v>30</v>
      </c>
      <c r="C880" s="14" t="s">
        <v>84</v>
      </c>
      <c r="D880" s="12" t="s">
        <v>85</v>
      </c>
      <c r="E880" s="13">
        <v>4969</v>
      </c>
      <c r="F880" s="15">
        <f t="shared" si="517"/>
        <v>2981.4</v>
      </c>
      <c r="G880" s="15">
        <f t="shared" si="514"/>
        <v>8944.2000000000007</v>
      </c>
      <c r="H880" s="16">
        <v>3</v>
      </c>
      <c r="I880" s="17" t="s">
        <v>13</v>
      </c>
      <c r="J880" s="13" t="s">
        <v>17</v>
      </c>
      <c r="K880" s="12" t="str">
        <f t="shared" si="516"/>
        <v>2853_01_01_S4_EM01_01_M3</v>
      </c>
      <c r="L880">
        <v>8944.2000000000007</v>
      </c>
    </row>
    <row r="881" spans="1:12" ht="21" customHeight="1" x14ac:dyDescent="0.25">
      <c r="A881" s="12" t="str">
        <f t="shared" si="515"/>
        <v>ВЩоф-3 (ВРУ1-ИНД тип2-00 ухл4) (S4)</v>
      </c>
      <c r="B881" s="13" t="s">
        <v>30</v>
      </c>
      <c r="C881" s="14" t="s">
        <v>86</v>
      </c>
      <c r="D881" s="12" t="s">
        <v>87</v>
      </c>
      <c r="E881" s="13">
        <v>7443</v>
      </c>
      <c r="F881" s="15">
        <f t="shared" si="517"/>
        <v>4465.8</v>
      </c>
      <c r="G881" s="15">
        <f t="shared" si="514"/>
        <v>13397.400000000001</v>
      </c>
      <c r="H881" s="16">
        <v>3</v>
      </c>
      <c r="I881" s="17" t="s">
        <v>13</v>
      </c>
      <c r="J881" s="13" t="s">
        <v>17</v>
      </c>
      <c r="K881" s="12" t="str">
        <f t="shared" si="516"/>
        <v>2853_01_01_S4_EM01_01_M3</v>
      </c>
      <c r="L881">
        <v>13397.400000000001</v>
      </c>
    </row>
    <row r="882" spans="1:12" ht="21" customHeight="1" x14ac:dyDescent="0.25">
      <c r="A882" s="12" t="str">
        <f t="shared" si="515"/>
        <v>ВЩоф-3 (ВРУ1-ИНД тип2-00 ухл4) (S4)</v>
      </c>
      <c r="B882" s="13" t="s">
        <v>12</v>
      </c>
      <c r="C882" s="14" t="s">
        <v>19</v>
      </c>
      <c r="D882" s="12" t="s">
        <v>20</v>
      </c>
      <c r="E882" s="13">
        <v>975</v>
      </c>
      <c r="F882" s="15">
        <f t="shared" si="517"/>
        <v>585</v>
      </c>
      <c r="G882" s="15">
        <f t="shared" si="514"/>
        <v>585</v>
      </c>
      <c r="H882" s="16">
        <v>1</v>
      </c>
      <c r="I882" s="17" t="s">
        <v>13</v>
      </c>
      <c r="J882" s="13" t="s">
        <v>17</v>
      </c>
      <c r="K882" s="12" t="str">
        <f t="shared" si="516"/>
        <v>2853_01_01_S4_EM01_01_M3</v>
      </c>
      <c r="L882">
        <v>585</v>
      </c>
    </row>
    <row r="883" spans="1:12" ht="22.5" customHeight="1" x14ac:dyDescent="0.25">
      <c r="A883" s="12" t="str">
        <f t="shared" si="515"/>
        <v>ВЩоф-3 (ВРУ1-ИНД тип2-00 ухл4) (S4)</v>
      </c>
      <c r="B883" s="13" t="s">
        <v>18</v>
      </c>
      <c r="C883" s="14" t="s">
        <v>290</v>
      </c>
      <c r="D883" s="12" t="s">
        <v>291</v>
      </c>
      <c r="E883" s="13">
        <v>90000</v>
      </c>
      <c r="F883" s="15">
        <f t="shared" ref="F883:F884" si="518">E883</f>
        <v>90000</v>
      </c>
      <c r="G883" s="15">
        <f t="shared" si="514"/>
        <v>0</v>
      </c>
      <c r="H883" s="16">
        <v>0</v>
      </c>
      <c r="I883" s="17" t="s">
        <v>13</v>
      </c>
      <c r="J883" s="13" t="s">
        <v>24</v>
      </c>
      <c r="K883" s="12" t="str">
        <f t="shared" si="516"/>
        <v>2853_01_01_S4_EM01_01_M3</v>
      </c>
      <c r="L883">
        <v>0</v>
      </c>
    </row>
    <row r="884" spans="1:12" ht="21" customHeight="1" x14ac:dyDescent="0.25">
      <c r="A884" s="12" t="str">
        <f t="shared" si="515"/>
        <v>ВЩоф-3 (ВРУ1-ИНД тип2-00 ухл4) (S4)</v>
      </c>
      <c r="B884" s="13" t="s">
        <v>28</v>
      </c>
      <c r="C884" s="14"/>
      <c r="D884" s="12" t="s">
        <v>28</v>
      </c>
      <c r="E884" s="13">
        <v>1000</v>
      </c>
      <c r="F884" s="15">
        <f t="shared" si="518"/>
        <v>1000</v>
      </c>
      <c r="G884" s="15">
        <f t="shared" si="514"/>
        <v>1000</v>
      </c>
      <c r="H884" s="16">
        <v>1</v>
      </c>
      <c r="I884" s="17" t="s">
        <v>13</v>
      </c>
      <c r="J884" s="13" t="s">
        <v>24</v>
      </c>
      <c r="K884" s="12" t="str">
        <f t="shared" si="516"/>
        <v>2853_01_01_S4_EM01_01_M3</v>
      </c>
      <c r="L884">
        <v>1000</v>
      </c>
    </row>
    <row r="885" spans="1:12" ht="24" customHeight="1" x14ac:dyDescent="0.25">
      <c r="A885" s="12" t="str">
        <f t="shared" si="515"/>
        <v>ВЩоф-3 (ВРУ1-ИНД тип2-00 ухл4) (S4)</v>
      </c>
      <c r="B885" s="12" t="s">
        <v>10</v>
      </c>
      <c r="C885" s="18" t="s">
        <v>10</v>
      </c>
      <c r="D885" s="12" t="s">
        <v>10</v>
      </c>
      <c r="E885" s="12">
        <f ca="1">OFFSET(E885,1,2)</f>
        <v>24000</v>
      </c>
      <c r="F885" s="15">
        <f ca="1">E885</f>
        <v>24000</v>
      </c>
      <c r="G885" s="15">
        <f t="shared" ca="1" si="514"/>
        <v>24000</v>
      </c>
      <c r="H885" s="12">
        <v>1</v>
      </c>
      <c r="I885" s="12" t="s">
        <v>13</v>
      </c>
      <c r="J885" s="12" t="s">
        <v>10</v>
      </c>
      <c r="K885" s="12" t="str">
        <f t="shared" si="516"/>
        <v>2853_01_01_S4_EM01_01_M3</v>
      </c>
      <c r="L885">
        <v>24000</v>
      </c>
    </row>
    <row r="886" spans="1:12" ht="21" customHeight="1" x14ac:dyDescent="0.25">
      <c r="A886" s="12" t="str">
        <f t="shared" si="515"/>
        <v>ВЩоф-3 (ВРУ1-ИНД тип2-00 ухл4) (S4)</v>
      </c>
      <c r="B886" s="12" t="s">
        <v>11</v>
      </c>
      <c r="C886" s="18" t="s">
        <v>11</v>
      </c>
      <c r="D886" s="12" t="s">
        <v>11</v>
      </c>
      <c r="E886" s="12">
        <v>4</v>
      </c>
      <c r="F886" s="15">
        <v>100</v>
      </c>
      <c r="G886" s="15">
        <f t="shared" si="514"/>
        <v>24000</v>
      </c>
      <c r="H886" s="12">
        <f>60*E886</f>
        <v>240</v>
      </c>
      <c r="I886" s="12" t="s">
        <v>13</v>
      </c>
      <c r="J886" s="12" t="s">
        <v>11</v>
      </c>
      <c r="K886" s="12" t="str">
        <f t="shared" si="516"/>
        <v>2853_01_01_S4_EM01_01_M3</v>
      </c>
      <c r="L886">
        <v>24000</v>
      </c>
    </row>
    <row r="887" spans="1:12" ht="30" customHeight="1" x14ac:dyDescent="0.25">
      <c r="A887" s="12" t="str">
        <f t="shared" si="515"/>
        <v>ВЩоф-3 (ВРУ1-ИНД тип2-00 ухл4) (S4)</v>
      </c>
      <c r="B887" s="19"/>
      <c r="C887" s="20"/>
      <c r="D887" s="21"/>
      <c r="E887" s="23"/>
      <c r="F887" s="25"/>
      <c r="G887" s="24">
        <f ca="1">SUM(G877:G886)</f>
        <v>226748.2</v>
      </c>
      <c r="H887" s="20"/>
      <c r="I887" s="22"/>
      <c r="J887" s="20"/>
      <c r="K887" s="12" t="str">
        <f t="shared" si="516"/>
        <v>2853_01_01_S4_EM01_01_M3</v>
      </c>
      <c r="L887">
        <v>226748.2</v>
      </c>
    </row>
    <row r="888" spans="1:12" ht="39.75" customHeight="1" x14ac:dyDescent="0.25">
      <c r="A888" s="5" t="str">
        <f>D888</f>
        <v>РЩоф-3 (ВРУ1-50-00-ухл4) (S4)</v>
      </c>
      <c r="B888" s="6"/>
      <c r="C888" s="7"/>
      <c r="D888" s="6" t="s">
        <v>364</v>
      </c>
      <c r="E888" s="8"/>
      <c r="F888" s="8" t="s">
        <v>40</v>
      </c>
      <c r="G888" s="9"/>
      <c r="H888" s="10">
        <v>1</v>
      </c>
      <c r="I888" s="11" t="s">
        <v>7</v>
      </c>
      <c r="J888" s="6" t="s">
        <v>9</v>
      </c>
      <c r="K888" s="5" t="s">
        <v>218</v>
      </c>
    </row>
    <row r="889" spans="1:12" ht="21" customHeight="1" x14ac:dyDescent="0.25">
      <c r="A889" s="12" t="str">
        <f>A888</f>
        <v>РЩоф-3 (ВРУ1-50-00-ухл4) (S4)</v>
      </c>
      <c r="B889" s="13" t="s">
        <v>8</v>
      </c>
      <c r="C889" s="14" t="s">
        <v>38</v>
      </c>
      <c r="D889" s="12" t="s">
        <v>39</v>
      </c>
      <c r="E889" s="13">
        <v>155000</v>
      </c>
      <c r="F889" s="15">
        <f t="shared" ref="F889:F893" si="519">E889*0.6</f>
        <v>93000</v>
      </c>
      <c r="G889" s="15">
        <f t="shared" ref="G889:G895" si="520">H889*F889</f>
        <v>93000</v>
      </c>
      <c r="H889" s="16">
        <v>1</v>
      </c>
      <c r="I889" s="17" t="s">
        <v>13</v>
      </c>
      <c r="J889" s="13" t="s">
        <v>16</v>
      </c>
      <c r="K889" s="12" t="str">
        <f>K888</f>
        <v>2853_01_01_S4_EM01_01_M3</v>
      </c>
      <c r="L889">
        <v>93000</v>
      </c>
    </row>
    <row r="890" spans="1:12" ht="21" customHeight="1" x14ac:dyDescent="0.25">
      <c r="A890" s="12" t="str">
        <f t="shared" ref="A890:A896" si="521">A889</f>
        <v>РЩоф-3 (ВРУ1-50-00-ухл4) (S4)</v>
      </c>
      <c r="B890" s="13" t="s">
        <v>33</v>
      </c>
      <c r="C890" s="14" t="s">
        <v>167</v>
      </c>
      <c r="D890" s="12" t="s">
        <v>168</v>
      </c>
      <c r="E890" s="13">
        <v>18263</v>
      </c>
      <c r="F890" s="15">
        <f t="shared" si="519"/>
        <v>10957.8</v>
      </c>
      <c r="G890" s="15">
        <f t="shared" si="520"/>
        <v>10957.8</v>
      </c>
      <c r="H890" s="16">
        <v>1</v>
      </c>
      <c r="I890" s="17" t="s">
        <v>13</v>
      </c>
      <c r="J890" s="13" t="s">
        <v>17</v>
      </c>
      <c r="K890" s="12" t="str">
        <f t="shared" ref="K890:K896" si="522">K889</f>
        <v>2853_01_01_S4_EM01_01_M3</v>
      </c>
      <c r="L890">
        <v>10957.8</v>
      </c>
    </row>
    <row r="891" spans="1:12" ht="21" customHeight="1" x14ac:dyDescent="0.25">
      <c r="A891" s="12" t="str">
        <f t="shared" si="521"/>
        <v>РЩоф-3 (ВРУ1-50-00-ухл4) (S4)</v>
      </c>
      <c r="B891" s="13" t="s">
        <v>33</v>
      </c>
      <c r="C891" s="14" t="s">
        <v>137</v>
      </c>
      <c r="D891" s="12" t="s">
        <v>138</v>
      </c>
      <c r="E891" s="13">
        <v>19295</v>
      </c>
      <c r="F891" s="15">
        <f t="shared" si="519"/>
        <v>11577</v>
      </c>
      <c r="G891" s="15">
        <f t="shared" si="520"/>
        <v>46308</v>
      </c>
      <c r="H891" s="16">
        <v>4</v>
      </c>
      <c r="I891" s="17" t="s">
        <v>13</v>
      </c>
      <c r="J891" s="13" t="s">
        <v>17</v>
      </c>
      <c r="K891" s="12" t="str">
        <f t="shared" si="522"/>
        <v>2853_01_01_S4_EM01_01_M3</v>
      </c>
      <c r="L891">
        <v>46308</v>
      </c>
    </row>
    <row r="892" spans="1:12" ht="21" customHeight="1" x14ac:dyDescent="0.25">
      <c r="A892" s="12" t="str">
        <f t="shared" si="521"/>
        <v>РЩоф-3 (ВРУ1-50-00-ухл4) (S4)</v>
      </c>
      <c r="B892" s="13" t="s">
        <v>33</v>
      </c>
      <c r="C892" s="14" t="s">
        <v>169</v>
      </c>
      <c r="D892" s="12" t="s">
        <v>170</v>
      </c>
      <c r="E892" s="13">
        <v>20174</v>
      </c>
      <c r="F892" s="15">
        <f t="shared" si="519"/>
        <v>12104.4</v>
      </c>
      <c r="G892" s="15">
        <f t="shared" si="520"/>
        <v>12104.4</v>
      </c>
      <c r="H892" s="16">
        <v>1</v>
      </c>
      <c r="I892" s="17" t="s">
        <v>13</v>
      </c>
      <c r="J892" s="13" t="s">
        <v>17</v>
      </c>
      <c r="K892" s="12" t="str">
        <f t="shared" si="522"/>
        <v>2853_01_01_S4_EM01_01_M3</v>
      </c>
      <c r="L892">
        <v>12104.4</v>
      </c>
    </row>
    <row r="893" spans="1:12" ht="21" customHeight="1" x14ac:dyDescent="0.25">
      <c r="A893" s="12" t="str">
        <f t="shared" si="521"/>
        <v>РЩоф-3 (ВРУ1-50-00-ухл4) (S4)</v>
      </c>
      <c r="B893" s="13" t="s">
        <v>33</v>
      </c>
      <c r="C893" s="14" t="s">
        <v>157</v>
      </c>
      <c r="D893" s="12" t="s">
        <v>158</v>
      </c>
      <c r="E893" s="13">
        <v>19700</v>
      </c>
      <c r="F893" s="15">
        <f t="shared" si="519"/>
        <v>11820</v>
      </c>
      <c r="G893" s="15">
        <f t="shared" si="520"/>
        <v>23640</v>
      </c>
      <c r="H893" s="16">
        <v>2</v>
      </c>
      <c r="I893" s="17" t="s">
        <v>13</v>
      </c>
      <c r="J893" s="13" t="s">
        <v>17</v>
      </c>
      <c r="K893" s="12" t="str">
        <f t="shared" si="522"/>
        <v>2853_01_01_S4_EM01_01_M3</v>
      </c>
      <c r="L893">
        <v>23640</v>
      </c>
    </row>
    <row r="894" spans="1:12" ht="24" customHeight="1" x14ac:dyDescent="0.25">
      <c r="A894" s="12" t="str">
        <f t="shared" si="521"/>
        <v>РЩоф-3 (ВРУ1-50-00-ухл4) (S4)</v>
      </c>
      <c r="B894" s="12" t="s">
        <v>10</v>
      </c>
      <c r="C894" s="18" t="s">
        <v>10</v>
      </c>
      <c r="D894" s="12" t="s">
        <v>10</v>
      </c>
      <c r="E894" s="12">
        <f ca="1">OFFSET(E894,1,2)</f>
        <v>27000</v>
      </c>
      <c r="F894" s="15">
        <f ca="1">E894</f>
        <v>27000</v>
      </c>
      <c r="G894" s="15">
        <f t="shared" ca="1" si="520"/>
        <v>27000</v>
      </c>
      <c r="H894" s="12">
        <v>1</v>
      </c>
      <c r="I894" s="12" t="s">
        <v>13</v>
      </c>
      <c r="J894" s="12" t="s">
        <v>10</v>
      </c>
      <c r="K894" s="12" t="str">
        <f t="shared" si="522"/>
        <v>2853_01_01_S4_EM01_01_M3</v>
      </c>
      <c r="L894">
        <v>27000</v>
      </c>
    </row>
    <row r="895" spans="1:12" ht="21" customHeight="1" x14ac:dyDescent="0.25">
      <c r="A895" s="12" t="str">
        <f t="shared" si="521"/>
        <v>РЩоф-3 (ВРУ1-50-00-ухл4) (S4)</v>
      </c>
      <c r="B895" s="12" t="s">
        <v>11</v>
      </c>
      <c r="C895" s="18" t="s">
        <v>11</v>
      </c>
      <c r="D895" s="12" t="s">
        <v>11</v>
      </c>
      <c r="E895" s="12">
        <v>4.5</v>
      </c>
      <c r="F895" s="15">
        <v>100</v>
      </c>
      <c r="G895" s="15">
        <f t="shared" si="520"/>
        <v>27000</v>
      </c>
      <c r="H895" s="12">
        <f>60*E895</f>
        <v>270</v>
      </c>
      <c r="I895" s="12" t="s">
        <v>13</v>
      </c>
      <c r="J895" s="12" t="s">
        <v>11</v>
      </c>
      <c r="K895" s="12" t="str">
        <f t="shared" si="522"/>
        <v>2853_01_01_S4_EM01_01_M3</v>
      </c>
      <c r="L895">
        <v>27000</v>
      </c>
    </row>
    <row r="896" spans="1:12" ht="30" customHeight="1" x14ac:dyDescent="0.25">
      <c r="A896" s="12" t="str">
        <f t="shared" si="521"/>
        <v>РЩоф-3 (ВРУ1-50-00-ухл4) (S4)</v>
      </c>
      <c r="B896" s="19"/>
      <c r="C896" s="20"/>
      <c r="D896" s="21"/>
      <c r="E896" s="23"/>
      <c r="F896" s="25"/>
      <c r="G896" s="24">
        <f ca="1">SUM(G889:G895)</f>
        <v>240010.19999999998</v>
      </c>
      <c r="H896" s="20"/>
      <c r="I896" s="22"/>
      <c r="J896" s="20"/>
      <c r="K896" s="12" t="str">
        <f t="shared" si="522"/>
        <v>2853_01_01_S4_EM01_01_M3</v>
      </c>
      <c r="L896">
        <v>240010.19999999998</v>
      </c>
    </row>
    <row r="897" spans="1:12" ht="39.75" customHeight="1" x14ac:dyDescent="0.25">
      <c r="A897" s="5" t="str">
        <f>D897</f>
        <v>ЩМПоф.-3.2 (ЩМП-120.80.40 УХЛ1 IP66) (S4)</v>
      </c>
      <c r="B897" s="6"/>
      <c r="C897" s="7"/>
      <c r="D897" s="6" t="s">
        <v>365</v>
      </c>
      <c r="E897" s="8"/>
      <c r="F897" s="8" t="s">
        <v>40</v>
      </c>
      <c r="G897" s="9"/>
      <c r="H897" s="10">
        <v>1</v>
      </c>
      <c r="I897" s="11" t="s">
        <v>7</v>
      </c>
      <c r="J897" s="6" t="s">
        <v>9</v>
      </c>
      <c r="K897" s="5" t="s">
        <v>218</v>
      </c>
    </row>
    <row r="898" spans="1:12" ht="21" customHeight="1" x14ac:dyDescent="0.25">
      <c r="A898" s="12" t="str">
        <f>A897</f>
        <v>ЩМПоф.-3.2 (ЩМП-120.80.40 УХЛ1 IP66) (S4)</v>
      </c>
      <c r="B898" s="13" t="s">
        <v>8</v>
      </c>
      <c r="C898" s="14" t="s">
        <v>470</v>
      </c>
      <c r="D898" s="12" t="s">
        <v>458</v>
      </c>
      <c r="E898" s="13">
        <v>68500</v>
      </c>
      <c r="F898" s="15">
        <f>E898*0.6</f>
        <v>41100</v>
      </c>
      <c r="G898" s="15">
        <f t="shared" ref="G898:G907" si="523">H898*F898</f>
        <v>41100</v>
      </c>
      <c r="H898" s="16">
        <v>1</v>
      </c>
      <c r="I898" s="17" t="s">
        <v>13</v>
      </c>
      <c r="J898" s="13" t="s">
        <v>16</v>
      </c>
      <c r="K898" s="12" t="str">
        <f>K897</f>
        <v>2853_01_01_S4_EM01_01_M3</v>
      </c>
      <c r="L898">
        <v>41100</v>
      </c>
    </row>
    <row r="899" spans="1:12" ht="21" customHeight="1" x14ac:dyDescent="0.25">
      <c r="A899" s="12" t="str">
        <f t="shared" ref="A899:A908" si="524">A898</f>
        <v>ЩМПоф.-3.2 (ЩМП-120.80.40 УХЛ1 IP66) (S4)</v>
      </c>
      <c r="B899" s="13" t="s">
        <v>25</v>
      </c>
      <c r="C899" s="14" t="s">
        <v>288</v>
      </c>
      <c r="D899" s="12" t="s">
        <v>289</v>
      </c>
      <c r="E899" s="13">
        <v>6018</v>
      </c>
      <c r="F899" s="15">
        <f>E899</f>
        <v>6018</v>
      </c>
      <c r="G899" s="15">
        <f t="shared" si="523"/>
        <v>18054</v>
      </c>
      <c r="H899" s="16">
        <v>3</v>
      </c>
      <c r="I899" s="17" t="s">
        <v>13</v>
      </c>
      <c r="J899" s="13" t="s">
        <v>24</v>
      </c>
      <c r="K899" s="12" t="str">
        <f t="shared" ref="K899:K908" si="525">K898</f>
        <v>2853_01_01_S4_EM01_01_M3</v>
      </c>
      <c r="L899">
        <v>18054</v>
      </c>
    </row>
    <row r="900" spans="1:12" ht="21" customHeight="1" x14ac:dyDescent="0.25">
      <c r="A900" s="12" t="str">
        <f t="shared" si="524"/>
        <v>ЩМПоф.-3.2 (ЩМП-120.80.40 УХЛ1 IP66) (S4)</v>
      </c>
      <c r="B900" s="13" t="s">
        <v>12</v>
      </c>
      <c r="C900" s="14">
        <v>296831</v>
      </c>
      <c r="D900" s="12" t="s">
        <v>171</v>
      </c>
      <c r="E900" s="13">
        <v>2807</v>
      </c>
      <c r="F900" s="15">
        <f t="shared" ref="F900:F903" si="526">E900*0.6</f>
        <v>1684.2</v>
      </c>
      <c r="G900" s="15">
        <f t="shared" si="523"/>
        <v>1684.2</v>
      </c>
      <c r="H900" s="16">
        <v>1</v>
      </c>
      <c r="I900" s="17" t="s">
        <v>13</v>
      </c>
      <c r="J900" s="13" t="s">
        <v>17</v>
      </c>
      <c r="K900" s="12" t="str">
        <f t="shared" si="525"/>
        <v>2853_01_01_S4_EM01_01_M3</v>
      </c>
      <c r="L900">
        <v>1684.2</v>
      </c>
    </row>
    <row r="901" spans="1:12" ht="21" customHeight="1" x14ac:dyDescent="0.25">
      <c r="A901" s="12" t="str">
        <f t="shared" si="524"/>
        <v>ЩМПоф.-3.2 (ЩМП-120.80.40 УХЛ1 IP66) (S4)</v>
      </c>
      <c r="B901" s="13" t="s">
        <v>12</v>
      </c>
      <c r="C901" s="14" t="s">
        <v>159</v>
      </c>
      <c r="D901" s="12" t="s">
        <v>160</v>
      </c>
      <c r="E901" s="13">
        <v>2429</v>
      </c>
      <c r="F901" s="15">
        <f t="shared" si="526"/>
        <v>1457.3999999999999</v>
      </c>
      <c r="G901" s="15">
        <f t="shared" si="523"/>
        <v>1457.3999999999999</v>
      </c>
      <c r="H901" s="16">
        <v>1</v>
      </c>
      <c r="I901" s="17" t="s">
        <v>13</v>
      </c>
      <c r="J901" s="13" t="s">
        <v>17</v>
      </c>
      <c r="K901" s="12" t="str">
        <f t="shared" si="525"/>
        <v>2853_01_01_S4_EM01_01_M3</v>
      </c>
      <c r="L901">
        <v>1457.3999999999999</v>
      </c>
    </row>
    <row r="902" spans="1:12" ht="21" customHeight="1" x14ac:dyDescent="0.25">
      <c r="A902" s="12" t="str">
        <f t="shared" si="524"/>
        <v>ЩМПоф.-3.2 (ЩМП-120.80.40 УХЛ1 IP66) (S4)</v>
      </c>
      <c r="B902" s="13" t="s">
        <v>54</v>
      </c>
      <c r="C902" s="14" t="s">
        <v>119</v>
      </c>
      <c r="D902" s="12" t="s">
        <v>120</v>
      </c>
      <c r="E902" s="13">
        <v>4217</v>
      </c>
      <c r="F902" s="15">
        <f t="shared" si="526"/>
        <v>2530.1999999999998</v>
      </c>
      <c r="G902" s="15">
        <f t="shared" si="523"/>
        <v>5060.3999999999996</v>
      </c>
      <c r="H902" s="16">
        <v>2</v>
      </c>
      <c r="I902" s="17" t="s">
        <v>13</v>
      </c>
      <c r="J902" s="13" t="s">
        <v>17</v>
      </c>
      <c r="K902" s="12" t="str">
        <f t="shared" si="525"/>
        <v>2853_01_01_S4_EM01_01_M3</v>
      </c>
      <c r="L902">
        <v>5060.3999999999996</v>
      </c>
    </row>
    <row r="903" spans="1:12" ht="21" customHeight="1" x14ac:dyDescent="0.25">
      <c r="A903" s="12" t="str">
        <f t="shared" si="524"/>
        <v>ЩМПоф.-3.2 (ЩМП-120.80.40 УХЛ1 IP66) (S4)</v>
      </c>
      <c r="B903" s="13" t="s">
        <v>54</v>
      </c>
      <c r="C903" s="14" t="s">
        <v>57</v>
      </c>
      <c r="D903" s="12" t="s">
        <v>58</v>
      </c>
      <c r="E903" s="13">
        <v>3372</v>
      </c>
      <c r="F903" s="15">
        <f t="shared" si="526"/>
        <v>2023.1999999999998</v>
      </c>
      <c r="G903" s="15">
        <f t="shared" si="523"/>
        <v>2023.1999999999998</v>
      </c>
      <c r="H903" s="16">
        <v>1</v>
      </c>
      <c r="I903" s="17" t="s">
        <v>13</v>
      </c>
      <c r="J903" s="13" t="s">
        <v>17</v>
      </c>
      <c r="K903" s="12" t="str">
        <f t="shared" si="525"/>
        <v>2853_01_01_S4_EM01_01_M3</v>
      </c>
      <c r="L903">
        <v>2023.1999999999998</v>
      </c>
    </row>
    <row r="904" spans="1:12" ht="22.5" customHeight="1" x14ac:dyDescent="0.25">
      <c r="A904" s="12" t="str">
        <f t="shared" si="524"/>
        <v>ЩМПоф.-3.2 (ЩМП-120.80.40 УХЛ1 IP66) (S4)</v>
      </c>
      <c r="B904" s="13" t="s">
        <v>18</v>
      </c>
      <c r="C904" s="14" t="s">
        <v>290</v>
      </c>
      <c r="D904" s="12" t="s">
        <v>291</v>
      </c>
      <c r="E904" s="13">
        <v>90000</v>
      </c>
      <c r="F904" s="15">
        <f t="shared" ref="F904:F905" si="527">E904</f>
        <v>90000</v>
      </c>
      <c r="G904" s="15">
        <f t="shared" si="523"/>
        <v>0</v>
      </c>
      <c r="H904" s="16">
        <v>0</v>
      </c>
      <c r="I904" s="17" t="s">
        <v>13</v>
      </c>
      <c r="J904" s="13" t="s">
        <v>24</v>
      </c>
      <c r="K904" s="12" t="str">
        <f t="shared" si="525"/>
        <v>2853_01_01_S4_EM01_01_M3</v>
      </c>
      <c r="L904">
        <v>0</v>
      </c>
    </row>
    <row r="905" spans="1:12" ht="22.5" customHeight="1" x14ac:dyDescent="0.25">
      <c r="A905" s="12" t="str">
        <f t="shared" si="524"/>
        <v>ЩМПоф.-3.2 (ЩМП-120.80.40 УХЛ1 IP66) (S4)</v>
      </c>
      <c r="B905" s="13" t="s">
        <v>18</v>
      </c>
      <c r="C905" s="14" t="s">
        <v>292</v>
      </c>
      <c r="D905" s="12" t="s">
        <v>293</v>
      </c>
      <c r="E905" s="13">
        <v>90000</v>
      </c>
      <c r="F905" s="15">
        <f t="shared" si="527"/>
        <v>90000</v>
      </c>
      <c r="G905" s="15">
        <f t="shared" si="523"/>
        <v>0</v>
      </c>
      <c r="H905" s="16">
        <v>0</v>
      </c>
      <c r="I905" s="17" t="s">
        <v>13</v>
      </c>
      <c r="J905" s="13" t="s">
        <v>24</v>
      </c>
      <c r="K905" s="12" t="str">
        <f t="shared" si="525"/>
        <v>2853_01_01_S4_EM01_01_M3</v>
      </c>
      <c r="L905">
        <v>0</v>
      </c>
    </row>
    <row r="906" spans="1:12" ht="24" customHeight="1" x14ac:dyDescent="0.25">
      <c r="A906" s="12" t="str">
        <f t="shared" si="524"/>
        <v>ЩМПоф.-3.2 (ЩМП-120.80.40 УХЛ1 IP66) (S4)</v>
      </c>
      <c r="B906" s="12" t="s">
        <v>10</v>
      </c>
      <c r="C906" s="18" t="s">
        <v>10</v>
      </c>
      <c r="D906" s="12" t="s">
        <v>10</v>
      </c>
      <c r="E906" s="12">
        <f ca="1">OFFSET(E906,1,2)</f>
        <v>18000</v>
      </c>
      <c r="F906" s="15">
        <f ca="1">E906</f>
        <v>18000</v>
      </c>
      <c r="G906" s="15">
        <f t="shared" ca="1" si="523"/>
        <v>18000</v>
      </c>
      <c r="H906" s="12">
        <v>1</v>
      </c>
      <c r="I906" s="12" t="s">
        <v>13</v>
      </c>
      <c r="J906" s="12" t="s">
        <v>10</v>
      </c>
      <c r="K906" s="12" t="str">
        <f t="shared" si="525"/>
        <v>2853_01_01_S4_EM01_01_M3</v>
      </c>
      <c r="L906">
        <v>18000</v>
      </c>
    </row>
    <row r="907" spans="1:12" ht="21" customHeight="1" x14ac:dyDescent="0.25">
      <c r="A907" s="12" t="str">
        <f t="shared" si="524"/>
        <v>ЩМПоф.-3.2 (ЩМП-120.80.40 УХЛ1 IP66) (S4)</v>
      </c>
      <c r="B907" s="12" t="s">
        <v>11</v>
      </c>
      <c r="C907" s="18" t="s">
        <v>11</v>
      </c>
      <c r="D907" s="12" t="s">
        <v>11</v>
      </c>
      <c r="E907" s="12">
        <v>3</v>
      </c>
      <c r="F907" s="15">
        <v>100</v>
      </c>
      <c r="G907" s="15">
        <f t="shared" si="523"/>
        <v>18000</v>
      </c>
      <c r="H907" s="12">
        <f>60*E907</f>
        <v>180</v>
      </c>
      <c r="I907" s="12" t="s">
        <v>13</v>
      </c>
      <c r="J907" s="12" t="s">
        <v>11</v>
      </c>
      <c r="K907" s="12" t="str">
        <f t="shared" si="525"/>
        <v>2853_01_01_S4_EM01_01_M3</v>
      </c>
      <c r="L907">
        <v>18000</v>
      </c>
    </row>
    <row r="908" spans="1:12" ht="30" customHeight="1" x14ac:dyDescent="0.25">
      <c r="A908" s="12" t="str">
        <f t="shared" si="524"/>
        <v>ЩМПоф.-3.2 (ЩМП-120.80.40 УХЛ1 IP66) (S4)</v>
      </c>
      <c r="B908" s="19"/>
      <c r="C908" s="20"/>
      <c r="D908" s="21"/>
      <c r="E908" s="23"/>
      <c r="F908" s="25"/>
      <c r="G908" s="24">
        <f ca="1">SUM(G898:G907)</f>
        <v>105379.2</v>
      </c>
      <c r="H908" s="20"/>
      <c r="I908" s="22"/>
      <c r="J908" s="20"/>
      <c r="K908" s="12" t="str">
        <f t="shared" si="525"/>
        <v>2853_01_01_S4_EM01_01_M3</v>
      </c>
      <c r="L908">
        <v>105379.2</v>
      </c>
    </row>
    <row r="909" spans="1:12" ht="39.75" customHeight="1" x14ac:dyDescent="0.25">
      <c r="A909" s="5" t="str">
        <f>D909</f>
        <v>ЩМПоф.-3.3 (ЩМП-120.80.40 УХЛ1 IP66) (S4)</v>
      </c>
      <c r="B909" s="6"/>
      <c r="C909" s="7"/>
      <c r="D909" s="6" t="s">
        <v>366</v>
      </c>
      <c r="E909" s="8"/>
      <c r="F909" s="8" t="s">
        <v>40</v>
      </c>
      <c r="G909" s="9"/>
      <c r="H909" s="10">
        <v>1</v>
      </c>
      <c r="I909" s="11" t="s">
        <v>7</v>
      </c>
      <c r="J909" s="6" t="s">
        <v>9</v>
      </c>
      <c r="K909" s="5" t="s">
        <v>218</v>
      </c>
    </row>
    <row r="910" spans="1:12" ht="21" customHeight="1" x14ac:dyDescent="0.25">
      <c r="A910" s="12" t="str">
        <f>A909</f>
        <v>ЩМПоф.-3.3 (ЩМП-120.80.40 УХЛ1 IP66) (S4)</v>
      </c>
      <c r="B910" s="13" t="s">
        <v>8</v>
      </c>
      <c r="C910" s="14" t="s">
        <v>470</v>
      </c>
      <c r="D910" s="12" t="s">
        <v>458</v>
      </c>
      <c r="E910" s="13">
        <v>68500</v>
      </c>
      <c r="F910" s="15">
        <f t="shared" ref="F910:F914" si="528">E910*0.6</f>
        <v>41100</v>
      </c>
      <c r="G910" s="15">
        <f t="shared" ref="G910:G918" si="529">H910*F910</f>
        <v>41100</v>
      </c>
      <c r="H910" s="16">
        <v>1</v>
      </c>
      <c r="I910" s="17" t="s">
        <v>13</v>
      </c>
      <c r="J910" s="13" t="s">
        <v>16</v>
      </c>
      <c r="K910" s="12" t="str">
        <f>K909</f>
        <v>2853_01_01_S4_EM01_01_M3</v>
      </c>
      <c r="L910">
        <v>41100</v>
      </c>
    </row>
    <row r="911" spans="1:12" ht="21" customHeight="1" x14ac:dyDescent="0.25">
      <c r="A911" s="12" t="str">
        <f t="shared" ref="A911" si="530">A910</f>
        <v>ЩМПоф.-3.3 (ЩМП-120.80.40 УХЛ1 IP66) (S4)</v>
      </c>
      <c r="B911" s="13" t="s">
        <v>25</v>
      </c>
      <c r="C911" s="14" t="s">
        <v>288</v>
      </c>
      <c r="D911" s="12" t="s">
        <v>289</v>
      </c>
      <c r="E911" s="13">
        <v>6018</v>
      </c>
      <c r="F911" s="15">
        <f>E911</f>
        <v>6018</v>
      </c>
      <c r="G911" s="15">
        <f t="shared" si="529"/>
        <v>18054</v>
      </c>
      <c r="H911" s="16">
        <v>3</v>
      </c>
      <c r="I911" s="17" t="s">
        <v>13</v>
      </c>
      <c r="J911" s="13" t="s">
        <v>24</v>
      </c>
      <c r="K911" s="12" t="str">
        <f t="shared" ref="K911" si="531">K910</f>
        <v>2853_01_01_S4_EM01_01_M3</v>
      </c>
      <c r="L911">
        <v>18054</v>
      </c>
    </row>
    <row r="912" spans="1:12" ht="21" customHeight="1" x14ac:dyDescent="0.25">
      <c r="A912" s="12" t="str">
        <f>A910</f>
        <v>ЩМПоф.-3.3 (ЩМП-120.80.40 УХЛ1 IP66) (S4)</v>
      </c>
      <c r="B912" s="13" t="s">
        <v>12</v>
      </c>
      <c r="C912" s="14" t="s">
        <v>27</v>
      </c>
      <c r="D912" s="12" t="s">
        <v>26</v>
      </c>
      <c r="E912" s="13">
        <v>2606</v>
      </c>
      <c r="F912" s="15">
        <f t="shared" si="528"/>
        <v>1563.6</v>
      </c>
      <c r="G912" s="15">
        <f t="shared" si="529"/>
        <v>1563.6</v>
      </c>
      <c r="H912" s="16">
        <v>1</v>
      </c>
      <c r="I912" s="17" t="s">
        <v>13</v>
      </c>
      <c r="J912" s="13" t="s">
        <v>17</v>
      </c>
      <c r="K912" s="12" t="str">
        <f>K910</f>
        <v>2853_01_01_S4_EM01_01_M3</v>
      </c>
      <c r="L912">
        <v>1563.6</v>
      </c>
    </row>
    <row r="913" spans="1:12" ht="21" customHeight="1" x14ac:dyDescent="0.25">
      <c r="A913" s="12" t="str">
        <f t="shared" ref="A913:A919" si="532">A912</f>
        <v>ЩМПоф.-3.3 (ЩМП-120.80.40 УХЛ1 IP66) (S4)</v>
      </c>
      <c r="B913" s="13" t="s">
        <v>54</v>
      </c>
      <c r="C913" s="14" t="s">
        <v>119</v>
      </c>
      <c r="D913" s="12" t="s">
        <v>120</v>
      </c>
      <c r="E913" s="13">
        <v>4217</v>
      </c>
      <c r="F913" s="15">
        <f t="shared" si="528"/>
        <v>2530.1999999999998</v>
      </c>
      <c r="G913" s="15">
        <f t="shared" si="529"/>
        <v>7590.5999999999995</v>
      </c>
      <c r="H913" s="16">
        <v>3</v>
      </c>
      <c r="I913" s="17" t="s">
        <v>13</v>
      </c>
      <c r="J913" s="13" t="s">
        <v>17</v>
      </c>
      <c r="K913" s="12" t="str">
        <f t="shared" ref="K913:K919" si="533">K912</f>
        <v>2853_01_01_S4_EM01_01_M3</v>
      </c>
      <c r="L913">
        <v>7590.5999999999995</v>
      </c>
    </row>
    <row r="914" spans="1:12" ht="21" customHeight="1" x14ac:dyDescent="0.25">
      <c r="A914" s="12" t="str">
        <f t="shared" si="532"/>
        <v>ЩМПоф.-3.3 (ЩМП-120.80.40 УХЛ1 IP66) (S4)</v>
      </c>
      <c r="B914" s="13" t="s">
        <v>54</v>
      </c>
      <c r="C914" s="14" t="s">
        <v>127</v>
      </c>
      <c r="D914" s="12" t="s">
        <v>128</v>
      </c>
      <c r="E914" s="13">
        <v>3372</v>
      </c>
      <c r="F914" s="15">
        <f t="shared" si="528"/>
        <v>2023.1999999999998</v>
      </c>
      <c r="G914" s="15">
        <f t="shared" si="529"/>
        <v>2023.1999999999998</v>
      </c>
      <c r="H914" s="16">
        <v>1</v>
      </c>
      <c r="I914" s="17" t="s">
        <v>13</v>
      </c>
      <c r="J914" s="13" t="s">
        <v>17</v>
      </c>
      <c r="K914" s="12" t="str">
        <f t="shared" si="533"/>
        <v>2853_01_01_S4_EM01_01_M3</v>
      </c>
      <c r="L914">
        <v>2023.1999999999998</v>
      </c>
    </row>
    <row r="915" spans="1:12" ht="22.5" customHeight="1" x14ac:dyDescent="0.25">
      <c r="A915" s="12" t="str">
        <f t="shared" si="532"/>
        <v>ЩМПоф.-3.3 (ЩМП-120.80.40 УХЛ1 IP66) (S4)</v>
      </c>
      <c r="B915" s="13" t="s">
        <v>18</v>
      </c>
      <c r="C915" s="14" t="s">
        <v>290</v>
      </c>
      <c r="D915" s="12" t="s">
        <v>291</v>
      </c>
      <c r="E915" s="13">
        <v>90000</v>
      </c>
      <c r="F915" s="15">
        <f t="shared" ref="F915" si="534">E915</f>
        <v>90000</v>
      </c>
      <c r="G915" s="15">
        <f t="shared" si="529"/>
        <v>0</v>
      </c>
      <c r="H915" s="16">
        <v>0</v>
      </c>
      <c r="I915" s="17" t="s">
        <v>13</v>
      </c>
      <c r="J915" s="13" t="s">
        <v>24</v>
      </c>
      <c r="K915" s="12" t="str">
        <f t="shared" si="533"/>
        <v>2853_01_01_S4_EM01_01_M3</v>
      </c>
      <c r="L915">
        <v>0</v>
      </c>
    </row>
    <row r="916" spans="1:12" ht="22.5" customHeight="1" x14ac:dyDescent="0.25">
      <c r="A916" s="12" t="str">
        <f t="shared" si="532"/>
        <v>ЩМПоф.-3.3 (ЩМП-120.80.40 УХЛ1 IP66) (S4)</v>
      </c>
      <c r="B916" s="13" t="s">
        <v>18</v>
      </c>
      <c r="C916" s="14" t="s">
        <v>292</v>
      </c>
      <c r="D916" s="12" t="s">
        <v>293</v>
      </c>
      <c r="E916" s="13">
        <v>90000</v>
      </c>
      <c r="F916" s="15">
        <f t="shared" ref="F916" si="535">E916</f>
        <v>90000</v>
      </c>
      <c r="G916" s="15">
        <f t="shared" si="529"/>
        <v>0</v>
      </c>
      <c r="H916" s="16">
        <v>0</v>
      </c>
      <c r="I916" s="17" t="s">
        <v>13</v>
      </c>
      <c r="J916" s="13" t="s">
        <v>24</v>
      </c>
      <c r="K916" s="12" t="str">
        <f t="shared" si="533"/>
        <v>2853_01_01_S4_EM01_01_M3</v>
      </c>
      <c r="L916">
        <v>0</v>
      </c>
    </row>
    <row r="917" spans="1:12" ht="24" customHeight="1" x14ac:dyDescent="0.25">
      <c r="A917" s="12" t="str">
        <f t="shared" si="532"/>
        <v>ЩМПоф.-3.3 (ЩМП-120.80.40 УХЛ1 IP66) (S4)</v>
      </c>
      <c r="B917" s="12" t="s">
        <v>10</v>
      </c>
      <c r="C917" s="18" t="s">
        <v>10</v>
      </c>
      <c r="D917" s="12" t="s">
        <v>10</v>
      </c>
      <c r="E917" s="12">
        <f ca="1">OFFSET(E917,1,2)</f>
        <v>24000</v>
      </c>
      <c r="F917" s="15">
        <f ca="1">E917</f>
        <v>24000</v>
      </c>
      <c r="G917" s="15">
        <f t="shared" ca="1" si="529"/>
        <v>24000</v>
      </c>
      <c r="H917" s="12">
        <v>1</v>
      </c>
      <c r="I917" s="12" t="s">
        <v>13</v>
      </c>
      <c r="J917" s="12" t="s">
        <v>10</v>
      </c>
      <c r="K917" s="12" t="str">
        <f t="shared" si="533"/>
        <v>2853_01_01_S4_EM01_01_M3</v>
      </c>
      <c r="L917">
        <v>24000</v>
      </c>
    </row>
    <row r="918" spans="1:12" ht="21" customHeight="1" x14ac:dyDescent="0.25">
      <c r="A918" s="12" t="str">
        <f t="shared" si="532"/>
        <v>ЩМПоф.-3.3 (ЩМП-120.80.40 УХЛ1 IP66) (S4)</v>
      </c>
      <c r="B918" s="12" t="s">
        <v>11</v>
      </c>
      <c r="C918" s="18" t="s">
        <v>11</v>
      </c>
      <c r="D918" s="12" t="s">
        <v>11</v>
      </c>
      <c r="E918" s="12">
        <v>4</v>
      </c>
      <c r="F918" s="15">
        <v>100</v>
      </c>
      <c r="G918" s="15">
        <f t="shared" si="529"/>
        <v>24000</v>
      </c>
      <c r="H918" s="12">
        <f>60*E918</f>
        <v>240</v>
      </c>
      <c r="I918" s="12" t="s">
        <v>13</v>
      </c>
      <c r="J918" s="12" t="s">
        <v>11</v>
      </c>
      <c r="K918" s="12" t="str">
        <f t="shared" si="533"/>
        <v>2853_01_01_S4_EM01_01_M3</v>
      </c>
      <c r="L918">
        <v>24000</v>
      </c>
    </row>
    <row r="919" spans="1:12" ht="30" customHeight="1" x14ac:dyDescent="0.25">
      <c r="A919" s="12" t="str">
        <f t="shared" si="532"/>
        <v>ЩМПоф.-3.3 (ЩМП-120.80.40 УХЛ1 IP66) (S4)</v>
      </c>
      <c r="B919" s="19"/>
      <c r="C919" s="20"/>
      <c r="D919" s="21"/>
      <c r="E919" s="23"/>
      <c r="F919" s="25"/>
      <c r="G919" s="24">
        <f ca="1">SUM(G910:G918)</f>
        <v>118331.4</v>
      </c>
      <c r="H919" s="20"/>
      <c r="I919" s="22"/>
      <c r="J919" s="20"/>
      <c r="K919" s="12" t="str">
        <f t="shared" si="533"/>
        <v>2853_01_01_S4_EM01_01_M3</v>
      </c>
      <c r="L919">
        <v>118331.4</v>
      </c>
    </row>
    <row r="920" spans="1:12" ht="39.75" customHeight="1" x14ac:dyDescent="0.25">
      <c r="A920" s="5" t="str">
        <f>D920</f>
        <v>ЩО-4бл. (S4)</v>
      </c>
      <c r="B920" s="6"/>
      <c r="C920" s="7"/>
      <c r="D920" s="6" t="s">
        <v>367</v>
      </c>
      <c r="E920" s="8"/>
      <c r="F920" s="8" t="s">
        <v>40</v>
      </c>
      <c r="G920" s="9"/>
      <c r="H920" s="10">
        <v>1</v>
      </c>
      <c r="I920" s="11" t="s">
        <v>7</v>
      </c>
      <c r="J920" s="6" t="s">
        <v>9</v>
      </c>
      <c r="K920" s="5" t="s">
        <v>218</v>
      </c>
    </row>
    <row r="921" spans="1:12" ht="21" customHeight="1" x14ac:dyDescent="0.25">
      <c r="A921" s="12" t="str">
        <f>A920</f>
        <v>ЩО-4бл. (S4)</v>
      </c>
      <c r="B921" s="13" t="s">
        <v>8</v>
      </c>
      <c r="C921" s="14" t="s">
        <v>312</v>
      </c>
      <c r="D921" s="12" t="s">
        <v>313</v>
      </c>
      <c r="E921" s="13">
        <v>11700</v>
      </c>
      <c r="F921" s="15">
        <f>E921*0.6</f>
        <v>7020</v>
      </c>
      <c r="G921" s="15">
        <f t="shared" ref="G921:G926" si="536">H921*F921</f>
        <v>7020</v>
      </c>
      <c r="H921" s="16">
        <v>1</v>
      </c>
      <c r="I921" s="17" t="s">
        <v>13</v>
      </c>
      <c r="J921" s="13" t="s">
        <v>319</v>
      </c>
      <c r="K921" s="12" t="str">
        <f>K920</f>
        <v>2853_01_01_S4_EM01_01_M3</v>
      </c>
      <c r="L921">
        <v>7020</v>
      </c>
    </row>
    <row r="922" spans="1:12" ht="21" customHeight="1" x14ac:dyDescent="0.25">
      <c r="A922" s="12" t="str">
        <f t="shared" ref="A922:A927" si="537">A921</f>
        <v>ЩО-4бл. (S4)</v>
      </c>
      <c r="B922" s="13" t="s">
        <v>54</v>
      </c>
      <c r="C922" s="14" t="s">
        <v>55</v>
      </c>
      <c r="D922" s="12" t="s">
        <v>56</v>
      </c>
      <c r="E922" s="13">
        <v>3372</v>
      </c>
      <c r="F922" s="15">
        <f t="shared" ref="F922:F923" si="538">E922*0.6</f>
        <v>2023.1999999999998</v>
      </c>
      <c r="G922" s="15">
        <f t="shared" si="536"/>
        <v>2023.1999999999998</v>
      </c>
      <c r="H922" s="16">
        <v>1</v>
      </c>
      <c r="I922" s="17" t="s">
        <v>13</v>
      </c>
      <c r="J922" s="13" t="s">
        <v>17</v>
      </c>
      <c r="K922" s="12" t="str">
        <f t="shared" ref="K922:K927" si="539">K921</f>
        <v>2853_01_01_S4_EM01_01_M3</v>
      </c>
      <c r="L922">
        <v>2023.1999999999998</v>
      </c>
    </row>
    <row r="923" spans="1:12" ht="21" customHeight="1" x14ac:dyDescent="0.25">
      <c r="A923" s="12" t="str">
        <f t="shared" si="537"/>
        <v>ЩО-4бл. (S4)</v>
      </c>
      <c r="B923" s="13" t="s">
        <v>12</v>
      </c>
      <c r="C923" s="14" t="s">
        <v>19</v>
      </c>
      <c r="D923" s="12" t="s">
        <v>20</v>
      </c>
      <c r="E923" s="13">
        <v>975</v>
      </c>
      <c r="F923" s="15">
        <f t="shared" si="538"/>
        <v>585</v>
      </c>
      <c r="G923" s="15">
        <f t="shared" si="536"/>
        <v>4095</v>
      </c>
      <c r="H923" s="16">
        <v>7</v>
      </c>
      <c r="I923" s="17" t="s">
        <v>13</v>
      </c>
      <c r="J923" s="13" t="s">
        <v>17</v>
      </c>
      <c r="K923" s="12" t="str">
        <f t="shared" si="539"/>
        <v>2853_01_01_S4_EM01_01_M3</v>
      </c>
      <c r="L923">
        <v>4095</v>
      </c>
    </row>
    <row r="924" spans="1:12" ht="21" customHeight="1" x14ac:dyDescent="0.25">
      <c r="A924" s="12" t="str">
        <f t="shared" si="537"/>
        <v>ЩО-4бл. (S4)</v>
      </c>
      <c r="B924" s="13" t="s">
        <v>206</v>
      </c>
      <c r="C924" s="12" t="s">
        <v>233</v>
      </c>
      <c r="D924" s="12" t="s">
        <v>481</v>
      </c>
      <c r="E924" s="13">
        <v>6500</v>
      </c>
      <c r="F924" s="15">
        <f>E924</f>
        <v>6500</v>
      </c>
      <c r="G924" s="15">
        <f t="shared" si="536"/>
        <v>6500</v>
      </c>
      <c r="H924" s="16">
        <v>1</v>
      </c>
      <c r="I924" s="17" t="s">
        <v>13</v>
      </c>
      <c r="J924" s="13" t="s">
        <v>24</v>
      </c>
      <c r="K924" s="12" t="str">
        <f t="shared" si="539"/>
        <v>2853_01_01_S4_EM01_01_M3</v>
      </c>
      <c r="L924">
        <v>6500</v>
      </c>
    </row>
    <row r="925" spans="1:12" ht="24" customHeight="1" x14ac:dyDescent="0.25">
      <c r="A925" s="12" t="str">
        <f>A923</f>
        <v>ЩО-4бл. (S4)</v>
      </c>
      <c r="B925" s="12" t="s">
        <v>10</v>
      </c>
      <c r="C925" s="18" t="s">
        <v>10</v>
      </c>
      <c r="D925" s="12" t="s">
        <v>10</v>
      </c>
      <c r="E925" s="12">
        <f ca="1">OFFSET(E925,1,2)</f>
        <v>3000</v>
      </c>
      <c r="F925" s="15">
        <f ca="1">E925</f>
        <v>3000</v>
      </c>
      <c r="G925" s="15">
        <f t="shared" ca="1" si="536"/>
        <v>3000</v>
      </c>
      <c r="H925" s="12">
        <v>1</v>
      </c>
      <c r="I925" s="12" t="s">
        <v>13</v>
      </c>
      <c r="J925" s="12" t="s">
        <v>10</v>
      </c>
      <c r="K925" s="12" t="str">
        <f>K923</f>
        <v>2853_01_01_S4_EM01_01_M3</v>
      </c>
      <c r="L925">
        <v>3000</v>
      </c>
    </row>
    <row r="926" spans="1:12" ht="21" customHeight="1" x14ac:dyDescent="0.25">
      <c r="A926" s="12" t="str">
        <f t="shared" si="537"/>
        <v>ЩО-4бл. (S4)</v>
      </c>
      <c r="B926" s="12" t="s">
        <v>11</v>
      </c>
      <c r="C926" s="18" t="s">
        <v>11</v>
      </c>
      <c r="D926" s="12" t="s">
        <v>11</v>
      </c>
      <c r="E926" s="12">
        <v>0.5</v>
      </c>
      <c r="F926" s="15">
        <v>100</v>
      </c>
      <c r="G926" s="15">
        <f t="shared" si="536"/>
        <v>3000</v>
      </c>
      <c r="H926" s="12">
        <f>60*E926</f>
        <v>30</v>
      </c>
      <c r="I926" s="12" t="s">
        <v>13</v>
      </c>
      <c r="J926" s="12" t="s">
        <v>11</v>
      </c>
      <c r="K926" s="12" t="str">
        <f t="shared" si="539"/>
        <v>2853_01_01_S4_EM01_01_M3</v>
      </c>
      <c r="L926">
        <v>3000</v>
      </c>
    </row>
    <row r="927" spans="1:12" ht="30" customHeight="1" x14ac:dyDescent="0.25">
      <c r="A927" s="12" t="str">
        <f t="shared" si="537"/>
        <v>ЩО-4бл. (S4)</v>
      </c>
      <c r="B927" s="19"/>
      <c r="C927" s="20"/>
      <c r="D927" s="21"/>
      <c r="E927" s="23"/>
      <c r="F927" s="25"/>
      <c r="G927" s="24">
        <f ca="1">SUM(G921:G926)</f>
        <v>25638.2</v>
      </c>
      <c r="H927" s="20"/>
      <c r="I927" s="22"/>
      <c r="J927" s="20"/>
      <c r="K927" s="12" t="str">
        <f t="shared" si="539"/>
        <v>2853_01_01_S4_EM01_01_M3</v>
      </c>
      <c r="L927">
        <v>25638.2</v>
      </c>
    </row>
    <row r="928" spans="1:12" ht="39.75" customHeight="1" x14ac:dyDescent="0.25">
      <c r="A928" s="5" t="str">
        <f>D928</f>
        <v>ЩАО-4бл. (S4)</v>
      </c>
      <c r="B928" s="6"/>
      <c r="C928" s="7"/>
      <c r="D928" s="6" t="s">
        <v>368</v>
      </c>
      <c r="E928" s="8"/>
      <c r="F928" s="8" t="s">
        <v>40</v>
      </c>
      <c r="G928" s="9"/>
      <c r="H928" s="10">
        <v>1</v>
      </c>
      <c r="I928" s="11" t="s">
        <v>7</v>
      </c>
      <c r="J928" s="6" t="s">
        <v>9</v>
      </c>
      <c r="K928" s="5" t="s">
        <v>218</v>
      </c>
    </row>
    <row r="929" spans="1:12" ht="21" customHeight="1" x14ac:dyDescent="0.25">
      <c r="A929" s="12" t="str">
        <f>A928</f>
        <v>ЩАО-4бл. (S4)</v>
      </c>
      <c r="B929" s="13" t="s">
        <v>8</v>
      </c>
      <c r="C929" s="14" t="s">
        <v>312</v>
      </c>
      <c r="D929" s="12" t="s">
        <v>313</v>
      </c>
      <c r="E929" s="13">
        <v>11700</v>
      </c>
      <c r="F929" s="15">
        <f>E929*0.6</f>
        <v>7020</v>
      </c>
      <c r="G929" s="15">
        <f t="shared" ref="G929:G934" si="540">H929*F929</f>
        <v>7020</v>
      </c>
      <c r="H929" s="16">
        <v>1</v>
      </c>
      <c r="I929" s="17" t="s">
        <v>13</v>
      </c>
      <c r="J929" s="13" t="s">
        <v>319</v>
      </c>
      <c r="K929" s="12" t="str">
        <f>K928</f>
        <v>2853_01_01_S4_EM01_01_M3</v>
      </c>
      <c r="L929">
        <v>7020</v>
      </c>
    </row>
    <row r="930" spans="1:12" ht="21" customHeight="1" x14ac:dyDescent="0.25">
      <c r="A930" s="12" t="str">
        <f t="shared" ref="A930:A935" si="541">A929</f>
        <v>ЩАО-4бл. (S4)</v>
      </c>
      <c r="B930" s="13" t="s">
        <v>54</v>
      </c>
      <c r="C930" s="14" t="s">
        <v>55</v>
      </c>
      <c r="D930" s="12" t="s">
        <v>56</v>
      </c>
      <c r="E930" s="13">
        <v>3372</v>
      </c>
      <c r="F930" s="15">
        <f t="shared" ref="F930:F931" si="542">E930*0.6</f>
        <v>2023.1999999999998</v>
      </c>
      <c r="G930" s="15">
        <f t="shared" si="540"/>
        <v>2023.1999999999998</v>
      </c>
      <c r="H930" s="16">
        <v>1</v>
      </c>
      <c r="I930" s="17" t="s">
        <v>13</v>
      </c>
      <c r="J930" s="13" t="s">
        <v>17</v>
      </c>
      <c r="K930" s="12" t="str">
        <f t="shared" ref="K930:K935" si="543">K929</f>
        <v>2853_01_01_S4_EM01_01_M3</v>
      </c>
      <c r="L930">
        <v>2023.1999999999998</v>
      </c>
    </row>
    <row r="931" spans="1:12" ht="21" customHeight="1" x14ac:dyDescent="0.25">
      <c r="A931" s="12" t="str">
        <f t="shared" si="541"/>
        <v>ЩАО-4бл. (S4)</v>
      </c>
      <c r="B931" s="13" t="s">
        <v>12</v>
      </c>
      <c r="C931" s="14" t="s">
        <v>19</v>
      </c>
      <c r="D931" s="12" t="s">
        <v>20</v>
      </c>
      <c r="E931" s="13">
        <v>975</v>
      </c>
      <c r="F931" s="15">
        <f t="shared" si="542"/>
        <v>585</v>
      </c>
      <c r="G931" s="15">
        <f t="shared" si="540"/>
        <v>3510</v>
      </c>
      <c r="H931" s="16">
        <v>6</v>
      </c>
      <c r="I931" s="17" t="s">
        <v>13</v>
      </c>
      <c r="J931" s="13" t="s">
        <v>17</v>
      </c>
      <c r="K931" s="12" t="str">
        <f t="shared" si="543"/>
        <v>2853_01_01_S4_EM01_01_M3</v>
      </c>
      <c r="L931">
        <v>3510</v>
      </c>
    </row>
    <row r="932" spans="1:12" ht="21" customHeight="1" x14ac:dyDescent="0.25">
      <c r="A932" s="12" t="str">
        <f t="shared" si="541"/>
        <v>ЩАО-4бл. (S4)</v>
      </c>
      <c r="B932" s="13" t="s">
        <v>206</v>
      </c>
      <c r="C932" s="12" t="s">
        <v>233</v>
      </c>
      <c r="D932" s="12" t="s">
        <v>481</v>
      </c>
      <c r="E932" s="13">
        <v>6500</v>
      </c>
      <c r="F932" s="15">
        <f>E932</f>
        <v>6500</v>
      </c>
      <c r="G932" s="15">
        <f t="shared" si="540"/>
        <v>6500</v>
      </c>
      <c r="H932" s="16">
        <v>1</v>
      </c>
      <c r="I932" s="17" t="s">
        <v>13</v>
      </c>
      <c r="J932" s="13" t="s">
        <v>24</v>
      </c>
      <c r="K932" s="12" t="str">
        <f t="shared" si="543"/>
        <v>2853_01_01_S4_EM01_01_M3</v>
      </c>
      <c r="L932">
        <v>6500</v>
      </c>
    </row>
    <row r="933" spans="1:12" ht="24" customHeight="1" x14ac:dyDescent="0.25">
      <c r="A933" s="12" t="str">
        <f>A931</f>
        <v>ЩАО-4бл. (S4)</v>
      </c>
      <c r="B933" s="12" t="s">
        <v>10</v>
      </c>
      <c r="C933" s="18" t="s">
        <v>10</v>
      </c>
      <c r="D933" s="12" t="s">
        <v>10</v>
      </c>
      <c r="E933" s="12">
        <f ca="1">OFFSET(E933,1,2)</f>
        <v>4200</v>
      </c>
      <c r="F933" s="15">
        <f ca="1">E933</f>
        <v>4200</v>
      </c>
      <c r="G933" s="15">
        <f t="shared" ca="1" si="540"/>
        <v>4200</v>
      </c>
      <c r="H933" s="12">
        <v>1</v>
      </c>
      <c r="I933" s="12" t="s">
        <v>13</v>
      </c>
      <c r="J933" s="12" t="s">
        <v>10</v>
      </c>
      <c r="K933" s="12" t="str">
        <f>K931</f>
        <v>2853_01_01_S4_EM01_01_M3</v>
      </c>
      <c r="L933">
        <v>4200</v>
      </c>
    </row>
    <row r="934" spans="1:12" ht="21" customHeight="1" x14ac:dyDescent="0.25">
      <c r="A934" s="12" t="str">
        <f t="shared" si="541"/>
        <v>ЩАО-4бл. (S4)</v>
      </c>
      <c r="B934" s="12" t="s">
        <v>11</v>
      </c>
      <c r="C934" s="18" t="s">
        <v>11</v>
      </c>
      <c r="D934" s="12" t="s">
        <v>11</v>
      </c>
      <c r="E934" s="12">
        <v>0.7</v>
      </c>
      <c r="F934" s="15">
        <v>100</v>
      </c>
      <c r="G934" s="15">
        <f t="shared" si="540"/>
        <v>4200</v>
      </c>
      <c r="H934" s="12">
        <f>60*E934</f>
        <v>42</v>
      </c>
      <c r="I934" s="12" t="s">
        <v>13</v>
      </c>
      <c r="J934" s="12" t="s">
        <v>11</v>
      </c>
      <c r="K934" s="12" t="str">
        <f t="shared" si="543"/>
        <v>2853_01_01_S4_EM01_01_M3</v>
      </c>
      <c r="L934">
        <v>4200</v>
      </c>
    </row>
    <row r="935" spans="1:12" ht="30" customHeight="1" x14ac:dyDescent="0.25">
      <c r="A935" s="12" t="str">
        <f t="shared" si="541"/>
        <v>ЩАО-4бл. (S4)</v>
      </c>
      <c r="B935" s="19"/>
      <c r="C935" s="20"/>
      <c r="D935" s="21"/>
      <c r="E935" s="23"/>
      <c r="F935" s="25"/>
      <c r="G935" s="24">
        <f ca="1">SUM(G929:G934)</f>
        <v>27453.200000000001</v>
      </c>
      <c r="H935" s="20"/>
      <c r="I935" s="22"/>
      <c r="J935" s="20"/>
      <c r="K935" s="12" t="str">
        <f t="shared" si="543"/>
        <v>2853_01_01_S4_EM01_01_M3</v>
      </c>
      <c r="L935">
        <v>27453.200000000001</v>
      </c>
    </row>
    <row r="936" spans="1:12" ht="39.75" customHeight="1" x14ac:dyDescent="0.25">
      <c r="A936" s="5" t="str">
        <f>D936</f>
        <v>ЩСС-4бл. (S4)</v>
      </c>
      <c r="B936" s="6"/>
      <c r="C936" s="7"/>
      <c r="D936" s="6" t="s">
        <v>369</v>
      </c>
      <c r="E936" s="8"/>
      <c r="F936" s="8" t="s">
        <v>40</v>
      </c>
      <c r="G936" s="9"/>
      <c r="H936" s="10">
        <v>1</v>
      </c>
      <c r="I936" s="11" t="s">
        <v>7</v>
      </c>
      <c r="J936" s="6" t="s">
        <v>9</v>
      </c>
      <c r="K936" s="5" t="s">
        <v>218</v>
      </c>
    </row>
    <row r="937" spans="1:12" ht="21" customHeight="1" x14ac:dyDescent="0.25">
      <c r="A937" s="12" t="str">
        <f>A936</f>
        <v>ЩСС-4бл. (S4)</v>
      </c>
      <c r="B937" s="13" t="s">
        <v>8</v>
      </c>
      <c r="C937" s="14" t="s">
        <v>314</v>
      </c>
      <c r="D937" s="12" t="s">
        <v>315</v>
      </c>
      <c r="E937" s="13">
        <v>8990</v>
      </c>
      <c r="F937" s="15">
        <f>E937*0.6</f>
        <v>5394</v>
      </c>
      <c r="G937" s="15">
        <f t="shared" ref="G937:G942" si="544">H937*F937</f>
        <v>5394</v>
      </c>
      <c r="H937" s="16">
        <v>1</v>
      </c>
      <c r="I937" s="17" t="s">
        <v>13</v>
      </c>
      <c r="J937" s="13" t="s">
        <v>319</v>
      </c>
      <c r="K937" s="12" t="str">
        <f>K936</f>
        <v>2853_01_01_S4_EM01_01_M3</v>
      </c>
      <c r="L937">
        <v>5394</v>
      </c>
    </row>
    <row r="938" spans="1:12" ht="21" customHeight="1" x14ac:dyDescent="0.25">
      <c r="A938" s="12" t="str">
        <f t="shared" ref="A938:A943" si="545">A937</f>
        <v>ЩСС-4бл. (S4)</v>
      </c>
      <c r="B938" s="13" t="s">
        <v>54</v>
      </c>
      <c r="C938" s="14" t="s">
        <v>55</v>
      </c>
      <c r="D938" s="12" t="s">
        <v>56</v>
      </c>
      <c r="E938" s="13">
        <v>3372</v>
      </c>
      <c r="F938" s="15">
        <f t="shared" ref="F938:F940" si="546">E938*0.6</f>
        <v>2023.1999999999998</v>
      </c>
      <c r="G938" s="15">
        <f t="shared" si="544"/>
        <v>2023.1999999999998</v>
      </c>
      <c r="H938" s="16">
        <v>1</v>
      </c>
      <c r="I938" s="17" t="s">
        <v>13</v>
      </c>
      <c r="J938" s="13" t="s">
        <v>17</v>
      </c>
      <c r="K938" s="12" t="str">
        <f t="shared" ref="K938:K943" si="547">K937</f>
        <v>2853_01_01_S4_EM01_01_M3</v>
      </c>
      <c r="L938">
        <v>2023.1999999999998</v>
      </c>
    </row>
    <row r="939" spans="1:12" ht="21" customHeight="1" x14ac:dyDescent="0.25">
      <c r="A939" s="12" t="str">
        <f>A937</f>
        <v>ЩСС-4бл. (S4)</v>
      </c>
      <c r="B939" s="13" t="s">
        <v>21</v>
      </c>
      <c r="C939" s="14" t="s">
        <v>174</v>
      </c>
      <c r="D939" s="12" t="s">
        <v>175</v>
      </c>
      <c r="E939" s="13">
        <v>5719</v>
      </c>
      <c r="F939" s="15">
        <f t="shared" si="546"/>
        <v>3431.4</v>
      </c>
      <c r="G939" s="15">
        <f t="shared" si="544"/>
        <v>10294.200000000001</v>
      </c>
      <c r="H939" s="16">
        <v>3</v>
      </c>
      <c r="I939" s="17" t="s">
        <v>13</v>
      </c>
      <c r="J939" s="13" t="s">
        <v>17</v>
      </c>
      <c r="K939" s="12" t="str">
        <f>K937</f>
        <v>2853_01_01_S4_EM01_01_M3</v>
      </c>
      <c r="L939">
        <v>10294.200000000001</v>
      </c>
    </row>
    <row r="940" spans="1:12" ht="21" customHeight="1" x14ac:dyDescent="0.25">
      <c r="A940" s="12" t="str">
        <f>A937</f>
        <v>ЩСС-4бл. (S4)</v>
      </c>
      <c r="B940" s="13" t="s">
        <v>12</v>
      </c>
      <c r="C940" s="14" t="s">
        <v>50</v>
      </c>
      <c r="D940" s="12" t="s">
        <v>51</v>
      </c>
      <c r="E940" s="13">
        <v>783</v>
      </c>
      <c r="F940" s="15">
        <f t="shared" si="546"/>
        <v>469.79999999999995</v>
      </c>
      <c r="G940" s="15">
        <f t="shared" si="544"/>
        <v>469.79999999999995</v>
      </c>
      <c r="H940" s="16">
        <v>1</v>
      </c>
      <c r="I940" s="17" t="s">
        <v>13</v>
      </c>
      <c r="J940" s="13" t="s">
        <v>17</v>
      </c>
      <c r="K940" s="12" t="str">
        <f>K937</f>
        <v>2853_01_01_S4_EM01_01_M3</v>
      </c>
      <c r="L940">
        <v>469.79999999999995</v>
      </c>
    </row>
    <row r="941" spans="1:12" ht="24" customHeight="1" x14ac:dyDescent="0.25">
      <c r="A941" s="12" t="str">
        <f t="shared" si="545"/>
        <v>ЩСС-4бл. (S4)</v>
      </c>
      <c r="B941" s="12" t="s">
        <v>10</v>
      </c>
      <c r="C941" s="18" t="s">
        <v>10</v>
      </c>
      <c r="D941" s="12" t="s">
        <v>10</v>
      </c>
      <c r="E941" s="12">
        <f ca="1">OFFSET(E941,1,2)</f>
        <v>3000</v>
      </c>
      <c r="F941" s="15">
        <f ca="1">E941</f>
        <v>3000</v>
      </c>
      <c r="G941" s="15">
        <f t="shared" ca="1" si="544"/>
        <v>3000</v>
      </c>
      <c r="H941" s="12">
        <v>1</v>
      </c>
      <c r="I941" s="12" t="s">
        <v>13</v>
      </c>
      <c r="J941" s="12" t="s">
        <v>10</v>
      </c>
      <c r="K941" s="12" t="str">
        <f t="shared" si="547"/>
        <v>2853_01_01_S4_EM01_01_M3</v>
      </c>
      <c r="L941">
        <v>3000</v>
      </c>
    </row>
    <row r="942" spans="1:12" ht="21" customHeight="1" x14ac:dyDescent="0.25">
      <c r="A942" s="12" t="str">
        <f t="shared" si="545"/>
        <v>ЩСС-4бл. (S4)</v>
      </c>
      <c r="B942" s="12" t="s">
        <v>11</v>
      </c>
      <c r="C942" s="18" t="s">
        <v>11</v>
      </c>
      <c r="D942" s="12" t="s">
        <v>11</v>
      </c>
      <c r="E942" s="12">
        <v>0.5</v>
      </c>
      <c r="F942" s="15">
        <v>100</v>
      </c>
      <c r="G942" s="15">
        <f t="shared" si="544"/>
        <v>3000</v>
      </c>
      <c r="H942" s="12">
        <f>60*E942</f>
        <v>30</v>
      </c>
      <c r="I942" s="12" t="s">
        <v>13</v>
      </c>
      <c r="J942" s="12" t="s">
        <v>11</v>
      </c>
      <c r="K942" s="12" t="str">
        <f t="shared" si="547"/>
        <v>2853_01_01_S4_EM01_01_M3</v>
      </c>
      <c r="L942">
        <v>3000</v>
      </c>
    </row>
    <row r="943" spans="1:12" ht="30" customHeight="1" x14ac:dyDescent="0.25">
      <c r="A943" s="12" t="str">
        <f t="shared" si="545"/>
        <v>ЩСС-4бл. (S4)</v>
      </c>
      <c r="B943" s="19"/>
      <c r="C943" s="20"/>
      <c r="D943" s="21"/>
      <c r="E943" s="23"/>
      <c r="F943" s="25"/>
      <c r="G943" s="24">
        <f ca="1">SUM(G937:G942)</f>
        <v>24181.200000000001</v>
      </c>
      <c r="H943" s="20"/>
      <c r="I943" s="22"/>
      <c r="J943" s="20"/>
      <c r="K943" s="12" t="str">
        <f t="shared" si="547"/>
        <v>2853_01_01_S4_EM01_01_M3</v>
      </c>
      <c r="L943">
        <v>24181.200000000001</v>
      </c>
    </row>
    <row r="944" spans="1:12" ht="39.75" customHeight="1" x14ac:dyDescent="0.25">
      <c r="A944" s="5" t="str">
        <f>D944</f>
        <v>ЩС-4бл.  (S4)</v>
      </c>
      <c r="B944" s="6"/>
      <c r="C944" s="7"/>
      <c r="D944" s="6" t="s">
        <v>370</v>
      </c>
      <c r="E944" s="8"/>
      <c r="F944" s="8" t="s">
        <v>40</v>
      </c>
      <c r="G944" s="9"/>
      <c r="H944" s="10">
        <v>1</v>
      </c>
      <c r="I944" s="11" t="s">
        <v>7</v>
      </c>
      <c r="J944" s="6" t="s">
        <v>9</v>
      </c>
      <c r="K944" s="5" t="s">
        <v>218</v>
      </c>
    </row>
    <row r="945" spans="1:12" ht="21" customHeight="1" x14ac:dyDescent="0.25">
      <c r="A945" s="12" t="str">
        <f>A944</f>
        <v>ЩС-4бл.  (S4)</v>
      </c>
      <c r="B945" s="13" t="s">
        <v>8</v>
      </c>
      <c r="C945" s="14" t="s">
        <v>316</v>
      </c>
      <c r="D945" s="12" t="s">
        <v>317</v>
      </c>
      <c r="E945" s="13">
        <v>14900</v>
      </c>
      <c r="F945" s="15">
        <f>E945*0.6</f>
        <v>8940</v>
      </c>
      <c r="G945" s="15">
        <f t="shared" ref="G945:G951" si="548">H945*F945</f>
        <v>8940</v>
      </c>
      <c r="H945" s="16">
        <v>1</v>
      </c>
      <c r="I945" s="17" t="s">
        <v>13</v>
      </c>
      <c r="J945" s="13" t="s">
        <v>319</v>
      </c>
      <c r="K945" s="12" t="str">
        <f>K944</f>
        <v>2853_01_01_S4_EM01_01_M3</v>
      </c>
      <c r="L945">
        <v>8940</v>
      </c>
    </row>
    <row r="946" spans="1:12" ht="21" customHeight="1" x14ac:dyDescent="0.25">
      <c r="A946" s="12" t="str">
        <f t="shared" ref="A946" si="549">A945</f>
        <v>ЩС-4бл.  (S4)</v>
      </c>
      <c r="B946" s="13" t="s">
        <v>54</v>
      </c>
      <c r="C946" s="14" t="s">
        <v>57</v>
      </c>
      <c r="D946" s="12" t="s">
        <v>58</v>
      </c>
      <c r="E946" s="13">
        <v>3372</v>
      </c>
      <c r="F946" s="15">
        <f t="shared" ref="F946:F949" si="550">E946*0.6</f>
        <v>2023.1999999999998</v>
      </c>
      <c r="G946" s="15">
        <f t="shared" si="548"/>
        <v>2023.1999999999998</v>
      </c>
      <c r="H946" s="16">
        <v>1</v>
      </c>
      <c r="I946" s="17" t="s">
        <v>13</v>
      </c>
      <c r="J946" s="13" t="s">
        <v>17</v>
      </c>
      <c r="K946" s="12" t="str">
        <f t="shared" ref="K946" si="551">K945</f>
        <v>2853_01_01_S4_EM01_01_M3</v>
      </c>
      <c r="L946">
        <v>2023.1999999999998</v>
      </c>
    </row>
    <row r="947" spans="1:12" ht="21" customHeight="1" x14ac:dyDescent="0.25">
      <c r="A947" s="12" t="str">
        <f>A945</f>
        <v>ЩС-4бл.  (S4)</v>
      </c>
      <c r="B947" s="13" t="s">
        <v>21</v>
      </c>
      <c r="C947" s="14" t="s">
        <v>44</v>
      </c>
      <c r="D947" s="12" t="s">
        <v>45</v>
      </c>
      <c r="E947" s="13">
        <v>5104</v>
      </c>
      <c r="F947" s="15">
        <f t="shared" si="550"/>
        <v>3062.4</v>
      </c>
      <c r="G947" s="15">
        <f t="shared" si="548"/>
        <v>6124.8</v>
      </c>
      <c r="H947" s="16">
        <v>2</v>
      </c>
      <c r="I947" s="17" t="s">
        <v>13</v>
      </c>
      <c r="J947" s="13" t="s">
        <v>17</v>
      </c>
      <c r="K947" s="12" t="str">
        <f>K945</f>
        <v>2853_01_01_S4_EM01_01_M3</v>
      </c>
      <c r="L947">
        <v>6124.8</v>
      </c>
    </row>
    <row r="948" spans="1:12" ht="21" customHeight="1" x14ac:dyDescent="0.25">
      <c r="A948" s="12" t="str">
        <f>A946</f>
        <v>ЩС-4бл.  (S4)</v>
      </c>
      <c r="B948" s="13" t="s">
        <v>12</v>
      </c>
      <c r="C948" s="14" t="s">
        <v>50</v>
      </c>
      <c r="D948" s="12" t="s">
        <v>51</v>
      </c>
      <c r="E948" s="13">
        <v>783</v>
      </c>
      <c r="F948" s="15">
        <f t="shared" si="550"/>
        <v>469.79999999999995</v>
      </c>
      <c r="G948" s="15">
        <f t="shared" si="548"/>
        <v>469.79999999999995</v>
      </c>
      <c r="H948" s="16">
        <v>1</v>
      </c>
      <c r="I948" s="17" t="s">
        <v>13</v>
      </c>
      <c r="J948" s="13" t="s">
        <v>17</v>
      </c>
      <c r="K948" s="12" t="str">
        <f>K946</f>
        <v>2853_01_01_S4_EM01_01_M3</v>
      </c>
      <c r="L948">
        <v>469.79999999999995</v>
      </c>
    </row>
    <row r="949" spans="1:12" ht="21" customHeight="1" x14ac:dyDescent="0.25">
      <c r="A949" s="12" t="str">
        <f>A947</f>
        <v>ЩС-4бл.  (S4)</v>
      </c>
      <c r="B949" s="13" t="s">
        <v>182</v>
      </c>
      <c r="C949" s="14" t="s">
        <v>178</v>
      </c>
      <c r="D949" s="12" t="s">
        <v>179</v>
      </c>
      <c r="E949" s="13">
        <v>5354</v>
      </c>
      <c r="F949" s="15">
        <f t="shared" si="550"/>
        <v>3212.4</v>
      </c>
      <c r="G949" s="15">
        <f t="shared" si="548"/>
        <v>3212.4</v>
      </c>
      <c r="H949" s="16">
        <v>1</v>
      </c>
      <c r="I949" s="17" t="s">
        <v>13</v>
      </c>
      <c r="J949" s="13" t="s">
        <v>17</v>
      </c>
      <c r="K949" s="12" t="str">
        <f>K947</f>
        <v>2853_01_01_S4_EM01_01_M3</v>
      </c>
      <c r="L949">
        <v>3212.4</v>
      </c>
    </row>
    <row r="950" spans="1:12" ht="24" customHeight="1" x14ac:dyDescent="0.25">
      <c r="A950" s="12" t="str">
        <f>A946</f>
        <v>ЩС-4бл.  (S4)</v>
      </c>
      <c r="B950" s="12" t="s">
        <v>10</v>
      </c>
      <c r="C950" s="18" t="s">
        <v>10</v>
      </c>
      <c r="D950" s="12" t="s">
        <v>10</v>
      </c>
      <c r="E950" s="12">
        <f ca="1">OFFSET(E950,1,2)</f>
        <v>6000</v>
      </c>
      <c r="F950" s="15">
        <f ca="1">E950</f>
        <v>6000</v>
      </c>
      <c r="G950" s="15">
        <f t="shared" ca="1" si="548"/>
        <v>6000</v>
      </c>
      <c r="H950" s="12">
        <v>1</v>
      </c>
      <c r="I950" s="12" t="s">
        <v>13</v>
      </c>
      <c r="J950" s="12" t="s">
        <v>10</v>
      </c>
      <c r="K950" s="12" t="str">
        <f>K946</f>
        <v>2853_01_01_S4_EM01_01_M3</v>
      </c>
      <c r="L950">
        <v>6000</v>
      </c>
    </row>
    <row r="951" spans="1:12" ht="21" customHeight="1" x14ac:dyDescent="0.25">
      <c r="A951" s="12" t="str">
        <f t="shared" ref="A951:A952" si="552">A950</f>
        <v>ЩС-4бл.  (S4)</v>
      </c>
      <c r="B951" s="12" t="s">
        <v>11</v>
      </c>
      <c r="C951" s="18" t="s">
        <v>11</v>
      </c>
      <c r="D951" s="12" t="s">
        <v>11</v>
      </c>
      <c r="E951" s="12">
        <v>1</v>
      </c>
      <c r="F951" s="15">
        <v>100</v>
      </c>
      <c r="G951" s="15">
        <f t="shared" si="548"/>
        <v>6000</v>
      </c>
      <c r="H951" s="12">
        <f>60*E951</f>
        <v>60</v>
      </c>
      <c r="I951" s="12" t="s">
        <v>13</v>
      </c>
      <c r="J951" s="12" t="s">
        <v>11</v>
      </c>
      <c r="K951" s="12" t="str">
        <f t="shared" ref="K951:K952" si="553">K950</f>
        <v>2853_01_01_S4_EM01_01_M3</v>
      </c>
      <c r="L951">
        <v>6000</v>
      </c>
    </row>
    <row r="952" spans="1:12" ht="30" customHeight="1" x14ac:dyDescent="0.25">
      <c r="A952" s="12" t="str">
        <f t="shared" si="552"/>
        <v>ЩС-4бл.  (S4)</v>
      </c>
      <c r="B952" s="19"/>
      <c r="C952" s="20"/>
      <c r="D952" s="21"/>
      <c r="E952" s="23"/>
      <c r="F952" s="25"/>
      <c r="G952" s="24">
        <f ca="1">SUM(G945:G951)</f>
        <v>32770.199999999997</v>
      </c>
      <c r="H952" s="20"/>
      <c r="I952" s="22"/>
      <c r="J952" s="20"/>
      <c r="K952" s="12" t="str">
        <f t="shared" si="553"/>
        <v>2853_01_01_S4_EM01_01_M3</v>
      </c>
      <c r="L952">
        <v>32770.199999999997</v>
      </c>
    </row>
    <row r="953" spans="1:12" ht="39.75" customHeight="1" x14ac:dyDescent="0.25">
      <c r="A953" s="5" t="str">
        <f>D953</f>
        <v>ЩСд (S4)</v>
      </c>
      <c r="B953" s="6"/>
      <c r="C953" s="7"/>
      <c r="D953" s="6" t="s">
        <v>371</v>
      </c>
      <c r="E953" s="8"/>
      <c r="F953" s="8" t="s">
        <v>40</v>
      </c>
      <c r="G953" s="9"/>
      <c r="H953" s="10">
        <v>1</v>
      </c>
      <c r="I953" s="11" t="s">
        <v>7</v>
      </c>
      <c r="J953" s="6" t="s">
        <v>9</v>
      </c>
      <c r="K953" s="5" t="s">
        <v>218</v>
      </c>
    </row>
    <row r="954" spans="1:12" ht="21" customHeight="1" x14ac:dyDescent="0.25">
      <c r="A954" s="12" t="str">
        <f>A953</f>
        <v>ЩСд (S4)</v>
      </c>
      <c r="B954" s="13" t="s">
        <v>8</v>
      </c>
      <c r="C954" s="14"/>
      <c r="D954" s="12" t="s">
        <v>457</v>
      </c>
      <c r="E954" s="13">
        <v>56000</v>
      </c>
      <c r="F954" s="15">
        <f>E954</f>
        <v>56000</v>
      </c>
      <c r="G954" s="15">
        <f t="shared" ref="G954:G959" si="554">H954*F954</f>
        <v>56000</v>
      </c>
      <c r="H954" s="16">
        <v>1</v>
      </c>
      <c r="I954" s="17" t="s">
        <v>13</v>
      </c>
      <c r="J954" s="13" t="s">
        <v>24</v>
      </c>
      <c r="K954" s="12" t="str">
        <f>K953</f>
        <v>2853_01_01_S4_EM01_01_M3</v>
      </c>
      <c r="L954">
        <v>56000</v>
      </c>
    </row>
    <row r="955" spans="1:12" ht="21" customHeight="1" x14ac:dyDescent="0.25">
      <c r="A955" s="12" t="str">
        <f t="shared" ref="A955:A960" si="555">A954</f>
        <v>ЩСд (S4)</v>
      </c>
      <c r="B955" s="13" t="s">
        <v>54</v>
      </c>
      <c r="C955" s="14" t="s">
        <v>57</v>
      </c>
      <c r="D955" s="12" t="s">
        <v>58</v>
      </c>
      <c r="E955" s="13">
        <v>3372</v>
      </c>
      <c r="F955" s="15">
        <f t="shared" ref="F955:F957" si="556">E955*0.6</f>
        <v>2023.1999999999998</v>
      </c>
      <c r="G955" s="15">
        <f t="shared" si="554"/>
        <v>2023.1999999999998</v>
      </c>
      <c r="H955" s="16">
        <v>1</v>
      </c>
      <c r="I955" s="17" t="s">
        <v>13</v>
      </c>
      <c r="J955" s="13" t="s">
        <v>17</v>
      </c>
      <c r="K955" s="12" t="str">
        <f t="shared" ref="K955" si="557">K954</f>
        <v>2853_01_01_S4_EM01_01_M3</v>
      </c>
      <c r="L955">
        <v>2023.1999999999998</v>
      </c>
    </row>
    <row r="956" spans="1:12" ht="21" customHeight="1" x14ac:dyDescent="0.25">
      <c r="A956" s="12" t="str">
        <f t="shared" si="555"/>
        <v>ЩСд (S4)</v>
      </c>
      <c r="B956" s="13" t="s">
        <v>12</v>
      </c>
      <c r="C956" s="14" t="s">
        <v>180</v>
      </c>
      <c r="D956" s="12" t="s">
        <v>181</v>
      </c>
      <c r="E956" s="13">
        <v>3644</v>
      </c>
      <c r="F956" s="15">
        <f t="shared" si="556"/>
        <v>2186.4</v>
      </c>
      <c r="G956" s="15">
        <f t="shared" si="554"/>
        <v>13118.400000000001</v>
      </c>
      <c r="H956" s="16">
        <v>6</v>
      </c>
      <c r="I956" s="17" t="s">
        <v>13</v>
      </c>
      <c r="J956" s="13" t="s">
        <v>17</v>
      </c>
      <c r="K956" s="12" t="str">
        <f>K941</f>
        <v>2853_01_01_S4_EM01_01_M3</v>
      </c>
      <c r="L956">
        <v>13118.400000000001</v>
      </c>
    </row>
    <row r="957" spans="1:12" ht="21" customHeight="1" x14ac:dyDescent="0.25">
      <c r="A957" s="12" t="str">
        <f t="shared" si="555"/>
        <v>ЩСд (S4)</v>
      </c>
      <c r="B957" s="13" t="s">
        <v>12</v>
      </c>
      <c r="C957" s="14" t="s">
        <v>176</v>
      </c>
      <c r="D957" s="12" t="s">
        <v>177</v>
      </c>
      <c r="E957" s="13">
        <v>1130</v>
      </c>
      <c r="F957" s="15">
        <f t="shared" si="556"/>
        <v>678</v>
      </c>
      <c r="G957" s="15">
        <f t="shared" si="554"/>
        <v>2034</v>
      </c>
      <c r="H957" s="16">
        <v>3</v>
      </c>
      <c r="I957" s="17" t="s">
        <v>13</v>
      </c>
      <c r="J957" s="13" t="s">
        <v>17</v>
      </c>
      <c r="K957" s="12" t="str">
        <f>K954</f>
        <v>2853_01_01_S4_EM01_01_M3</v>
      </c>
      <c r="L957">
        <v>2034</v>
      </c>
    </row>
    <row r="958" spans="1:12" ht="24" customHeight="1" x14ac:dyDescent="0.25">
      <c r="A958" s="12" t="str">
        <f t="shared" si="555"/>
        <v>ЩСд (S4)</v>
      </c>
      <c r="B958" s="12" t="s">
        <v>10</v>
      </c>
      <c r="C958" s="18" t="s">
        <v>10</v>
      </c>
      <c r="D958" s="12" t="s">
        <v>10</v>
      </c>
      <c r="E958" s="12">
        <f ca="1">OFFSET(E958,1,2)</f>
        <v>6000</v>
      </c>
      <c r="F958" s="15">
        <f ca="1">E958</f>
        <v>6000</v>
      </c>
      <c r="G958" s="15">
        <f t="shared" ca="1" si="554"/>
        <v>6000</v>
      </c>
      <c r="H958" s="12">
        <v>1</v>
      </c>
      <c r="I958" s="12" t="s">
        <v>13</v>
      </c>
      <c r="J958" s="12" t="s">
        <v>10</v>
      </c>
      <c r="K958" s="12" t="str">
        <f>K955</f>
        <v>2853_01_01_S4_EM01_01_M3</v>
      </c>
      <c r="L958">
        <v>6000</v>
      </c>
    </row>
    <row r="959" spans="1:12" ht="21" customHeight="1" x14ac:dyDescent="0.25">
      <c r="A959" s="12" t="str">
        <f t="shared" si="555"/>
        <v>ЩСд (S4)</v>
      </c>
      <c r="B959" s="12" t="s">
        <v>11</v>
      </c>
      <c r="C959" s="18" t="s">
        <v>11</v>
      </c>
      <c r="D959" s="12" t="s">
        <v>11</v>
      </c>
      <c r="E959" s="12">
        <v>1</v>
      </c>
      <c r="F959" s="15">
        <v>100</v>
      </c>
      <c r="G959" s="15">
        <f t="shared" si="554"/>
        <v>6000</v>
      </c>
      <c r="H959" s="12">
        <f>60*E959</f>
        <v>60</v>
      </c>
      <c r="I959" s="12" t="s">
        <v>13</v>
      </c>
      <c r="J959" s="12" t="s">
        <v>11</v>
      </c>
      <c r="K959" s="12" t="str">
        <f t="shared" ref="K959:K960" si="558">K958</f>
        <v>2853_01_01_S4_EM01_01_M3</v>
      </c>
      <c r="L959">
        <v>6000</v>
      </c>
    </row>
    <row r="960" spans="1:12" ht="30" customHeight="1" x14ac:dyDescent="0.25">
      <c r="A960" s="12" t="str">
        <f t="shared" si="555"/>
        <v>ЩСд (S4)</v>
      </c>
      <c r="B960" s="19"/>
      <c r="C960" s="20"/>
      <c r="D960" s="21"/>
      <c r="E960" s="23"/>
      <c r="F960" s="25"/>
      <c r="G960" s="24">
        <f ca="1">SUM(G954:G959)</f>
        <v>85175.6</v>
      </c>
      <c r="H960" s="20"/>
      <c r="I960" s="22"/>
      <c r="J960" s="20"/>
      <c r="K960" s="12" t="str">
        <f t="shared" si="558"/>
        <v>2853_01_01_S4_EM01_01_M3</v>
      </c>
      <c r="L960">
        <v>85175.6</v>
      </c>
    </row>
    <row r="961" spans="1:12" ht="39.75" customHeight="1" x14ac:dyDescent="0.25">
      <c r="A961" s="5" t="str">
        <f>D961</f>
        <v>ЩУкот (S4)</v>
      </c>
      <c r="B961" s="6"/>
      <c r="C961" s="7"/>
      <c r="D961" s="6" t="s">
        <v>372</v>
      </c>
      <c r="E961" s="8"/>
      <c r="F961" s="8" t="s">
        <v>40</v>
      </c>
      <c r="G961" s="30"/>
      <c r="H961" s="10">
        <v>1</v>
      </c>
      <c r="I961" s="11" t="s">
        <v>7</v>
      </c>
      <c r="J961" s="6" t="s">
        <v>9</v>
      </c>
      <c r="K961" s="5" t="s">
        <v>218</v>
      </c>
    </row>
    <row r="962" spans="1:12" ht="21" customHeight="1" x14ac:dyDescent="0.25">
      <c r="A962" s="12" t="str">
        <f>A961</f>
        <v>ЩУкот (S4)</v>
      </c>
      <c r="B962" s="13" t="s">
        <v>8</v>
      </c>
      <c r="C962" s="14" t="s">
        <v>310</v>
      </c>
      <c r="D962" s="12" t="s">
        <v>311</v>
      </c>
      <c r="E962" s="13">
        <v>65570</v>
      </c>
      <c r="F962" s="15">
        <f t="shared" ref="F962:F969" si="559">E962*0.6</f>
        <v>39342</v>
      </c>
      <c r="G962" s="15">
        <f t="shared" ref="G962:G971" si="560">H962*F962</f>
        <v>39342</v>
      </c>
      <c r="H962" s="16">
        <v>1</v>
      </c>
      <c r="I962" s="17" t="s">
        <v>13</v>
      </c>
      <c r="J962" s="13" t="s">
        <v>16</v>
      </c>
      <c r="K962" s="12" t="str">
        <f>K961</f>
        <v>2853_01_01_S4_EM01_01_M3</v>
      </c>
      <c r="L962">
        <v>39342</v>
      </c>
    </row>
    <row r="963" spans="1:12" ht="21" customHeight="1" x14ac:dyDescent="0.25">
      <c r="A963" s="12" t="str">
        <f t="shared" ref="A963:A972" si="561">A962</f>
        <v>ЩУкот (S4)</v>
      </c>
      <c r="B963" s="13" t="s">
        <v>54</v>
      </c>
      <c r="C963" s="14" t="s">
        <v>57</v>
      </c>
      <c r="D963" s="12" t="s">
        <v>58</v>
      </c>
      <c r="E963" s="13">
        <v>3372</v>
      </c>
      <c r="F963" s="15">
        <f t="shared" si="559"/>
        <v>2023.1999999999998</v>
      </c>
      <c r="G963" s="15">
        <f t="shared" si="560"/>
        <v>2023.1999999999998</v>
      </c>
      <c r="H963" s="16">
        <v>1</v>
      </c>
      <c r="I963" s="17" t="s">
        <v>13</v>
      </c>
      <c r="J963" s="13" t="s">
        <v>17</v>
      </c>
      <c r="K963" s="12" t="str">
        <f t="shared" ref="K963:K972" si="562">K962</f>
        <v>2853_01_01_S4_EM01_01_M3</v>
      </c>
      <c r="L963">
        <v>2023.1999999999998</v>
      </c>
    </row>
    <row r="964" spans="1:12" ht="21" customHeight="1" x14ac:dyDescent="0.25">
      <c r="A964" s="12" t="str">
        <f t="shared" si="561"/>
        <v>ЩУкот (S4)</v>
      </c>
      <c r="B964" s="13" t="s">
        <v>12</v>
      </c>
      <c r="C964" s="14" t="s">
        <v>214</v>
      </c>
      <c r="D964" s="12" t="s">
        <v>215</v>
      </c>
      <c r="E964" s="13">
        <v>3604</v>
      </c>
      <c r="F964" s="15">
        <f t="shared" si="559"/>
        <v>2162.4</v>
      </c>
      <c r="G964" s="15">
        <f t="shared" si="560"/>
        <v>4324.8</v>
      </c>
      <c r="H964" s="16">
        <v>2</v>
      </c>
      <c r="I964" s="17" t="s">
        <v>13</v>
      </c>
      <c r="J964" s="13" t="s">
        <v>17</v>
      </c>
      <c r="K964" s="12" t="str">
        <f t="shared" si="562"/>
        <v>2853_01_01_S4_EM01_01_M3</v>
      </c>
      <c r="L964">
        <v>4324.8</v>
      </c>
    </row>
    <row r="965" spans="1:12" ht="21" customHeight="1" x14ac:dyDescent="0.25">
      <c r="A965" s="12" t="str">
        <f t="shared" si="561"/>
        <v>ЩУкот (S4)</v>
      </c>
      <c r="B965" s="13" t="s">
        <v>12</v>
      </c>
      <c r="C965" s="14" t="s">
        <v>216</v>
      </c>
      <c r="D965" s="12" t="s">
        <v>217</v>
      </c>
      <c r="E965" s="13">
        <v>1099</v>
      </c>
      <c r="F965" s="15">
        <f t="shared" si="559"/>
        <v>659.4</v>
      </c>
      <c r="G965" s="15">
        <f t="shared" si="560"/>
        <v>1318.8</v>
      </c>
      <c r="H965" s="16">
        <v>2</v>
      </c>
      <c r="I965" s="17" t="s">
        <v>13</v>
      </c>
      <c r="J965" s="13" t="s">
        <v>17</v>
      </c>
      <c r="K965" s="12" t="str">
        <f t="shared" si="562"/>
        <v>2853_01_01_S4_EM01_01_M3</v>
      </c>
      <c r="L965">
        <v>1318.8</v>
      </c>
    </row>
    <row r="966" spans="1:12" ht="21" customHeight="1" x14ac:dyDescent="0.25">
      <c r="A966" s="12" t="str">
        <f t="shared" si="561"/>
        <v>ЩУкот (S4)</v>
      </c>
      <c r="B966" s="13" t="s">
        <v>12</v>
      </c>
      <c r="C966" s="14" t="s">
        <v>180</v>
      </c>
      <c r="D966" s="12" t="s">
        <v>181</v>
      </c>
      <c r="E966" s="13">
        <v>3644</v>
      </c>
      <c r="F966" s="15">
        <f t="shared" si="559"/>
        <v>2186.4</v>
      </c>
      <c r="G966" s="15">
        <f t="shared" si="560"/>
        <v>4372.8</v>
      </c>
      <c r="H966" s="16">
        <v>2</v>
      </c>
      <c r="I966" s="17" t="s">
        <v>13</v>
      </c>
      <c r="J966" s="13" t="s">
        <v>17</v>
      </c>
      <c r="K966" s="12" t="str">
        <f t="shared" si="562"/>
        <v>2853_01_01_S4_EM01_01_M3</v>
      </c>
      <c r="L966">
        <v>4372.8</v>
      </c>
    </row>
    <row r="967" spans="1:12" ht="21" customHeight="1" x14ac:dyDescent="0.25">
      <c r="A967" s="12" t="str">
        <f t="shared" si="561"/>
        <v>ЩУкот (S4)</v>
      </c>
      <c r="B967" s="13" t="s">
        <v>12</v>
      </c>
      <c r="C967" s="14" t="s">
        <v>176</v>
      </c>
      <c r="D967" s="12" t="s">
        <v>177</v>
      </c>
      <c r="E967" s="13">
        <v>1130</v>
      </c>
      <c r="F967" s="15">
        <f t="shared" si="559"/>
        <v>678</v>
      </c>
      <c r="G967" s="15">
        <f t="shared" si="560"/>
        <v>1356</v>
      </c>
      <c r="H967" s="16">
        <v>2</v>
      </c>
      <c r="I967" s="17" t="s">
        <v>13</v>
      </c>
      <c r="J967" s="13" t="s">
        <v>17</v>
      </c>
      <c r="K967" s="12" t="str">
        <f t="shared" si="562"/>
        <v>2853_01_01_S4_EM01_01_M3</v>
      </c>
      <c r="L967">
        <v>1356</v>
      </c>
    </row>
    <row r="968" spans="1:12" ht="21" customHeight="1" x14ac:dyDescent="0.25">
      <c r="A968" s="12" t="str">
        <f t="shared" si="561"/>
        <v>ЩУкот (S4)</v>
      </c>
      <c r="B968" s="13" t="s">
        <v>12</v>
      </c>
      <c r="C968" s="14" t="s">
        <v>19</v>
      </c>
      <c r="D968" s="12" t="s">
        <v>20</v>
      </c>
      <c r="E968" s="13">
        <v>975</v>
      </c>
      <c r="F968" s="15">
        <f t="shared" si="559"/>
        <v>585</v>
      </c>
      <c r="G968" s="15">
        <f t="shared" si="560"/>
        <v>11115</v>
      </c>
      <c r="H968" s="16">
        <v>19</v>
      </c>
      <c r="I968" s="17" t="s">
        <v>13</v>
      </c>
      <c r="J968" s="13" t="s">
        <v>17</v>
      </c>
      <c r="K968" s="12" t="str">
        <f t="shared" si="562"/>
        <v>2853_01_01_S4_EM01_01_M3</v>
      </c>
      <c r="L968">
        <v>11115</v>
      </c>
    </row>
    <row r="969" spans="1:12" ht="21" customHeight="1" x14ac:dyDescent="0.25">
      <c r="A969" s="12" t="str">
        <f t="shared" si="561"/>
        <v>ЩУкот (S4)</v>
      </c>
      <c r="B969" s="13" t="s">
        <v>182</v>
      </c>
      <c r="C969" s="14" t="s">
        <v>178</v>
      </c>
      <c r="D969" s="12" t="s">
        <v>179</v>
      </c>
      <c r="E969" s="13">
        <v>5354</v>
      </c>
      <c r="F969" s="15">
        <f t="shared" si="559"/>
        <v>3212.4</v>
      </c>
      <c r="G969" s="15">
        <f t="shared" si="560"/>
        <v>3212.4</v>
      </c>
      <c r="H969" s="16">
        <v>1</v>
      </c>
      <c r="I969" s="17" t="s">
        <v>13</v>
      </c>
      <c r="J969" s="13" t="s">
        <v>17</v>
      </c>
      <c r="K969" s="12" t="str">
        <f t="shared" si="562"/>
        <v>2853_01_01_S4_EM01_01_M3</v>
      </c>
      <c r="L969">
        <v>3212.4</v>
      </c>
    </row>
    <row r="970" spans="1:12" ht="24" customHeight="1" x14ac:dyDescent="0.25">
      <c r="A970" s="12" t="str">
        <f t="shared" si="561"/>
        <v>ЩУкот (S4)</v>
      </c>
      <c r="B970" s="12" t="s">
        <v>10</v>
      </c>
      <c r="C970" s="18" t="s">
        <v>10</v>
      </c>
      <c r="D970" s="12" t="s">
        <v>10</v>
      </c>
      <c r="E970" s="12">
        <f ca="1">OFFSET(E970,1,2)</f>
        <v>30000</v>
      </c>
      <c r="F970" s="15">
        <f ca="1">E970</f>
        <v>30000</v>
      </c>
      <c r="G970" s="15">
        <f t="shared" ca="1" si="560"/>
        <v>30000</v>
      </c>
      <c r="H970" s="12">
        <v>1</v>
      </c>
      <c r="I970" s="12" t="s">
        <v>13</v>
      </c>
      <c r="J970" s="12" t="s">
        <v>10</v>
      </c>
      <c r="K970" s="12" t="str">
        <f t="shared" si="562"/>
        <v>2853_01_01_S4_EM01_01_M3</v>
      </c>
      <c r="L970">
        <v>30000</v>
      </c>
    </row>
    <row r="971" spans="1:12" ht="21" customHeight="1" x14ac:dyDescent="0.25">
      <c r="A971" s="12" t="str">
        <f t="shared" si="561"/>
        <v>ЩУкот (S4)</v>
      </c>
      <c r="B971" s="12" t="s">
        <v>11</v>
      </c>
      <c r="C971" s="18" t="s">
        <v>11</v>
      </c>
      <c r="D971" s="12" t="s">
        <v>11</v>
      </c>
      <c r="E971" s="12">
        <v>5</v>
      </c>
      <c r="F971" s="15">
        <v>100</v>
      </c>
      <c r="G971" s="15">
        <f t="shared" si="560"/>
        <v>30000</v>
      </c>
      <c r="H971" s="12">
        <f>60*E971</f>
        <v>300</v>
      </c>
      <c r="I971" s="12" t="s">
        <v>13</v>
      </c>
      <c r="J971" s="12" t="s">
        <v>11</v>
      </c>
      <c r="K971" s="12" t="str">
        <f t="shared" si="562"/>
        <v>2853_01_01_S4_EM01_01_M3</v>
      </c>
      <c r="L971">
        <v>30000</v>
      </c>
    </row>
    <row r="972" spans="1:12" ht="30" customHeight="1" x14ac:dyDescent="0.25">
      <c r="A972" s="12" t="str">
        <f t="shared" si="561"/>
        <v>ЩУкот (S4)</v>
      </c>
      <c r="B972" s="19"/>
      <c r="C972" s="20"/>
      <c r="D972" s="21"/>
      <c r="E972" s="23"/>
      <c r="F972" s="25"/>
      <c r="G972" s="24">
        <f ca="1">SUM(G962:G971)</f>
        <v>127065</v>
      </c>
      <c r="H972" s="20"/>
      <c r="I972" s="22"/>
      <c r="J972" s="20"/>
      <c r="K972" s="12" t="str">
        <f t="shared" si="562"/>
        <v>2853_01_01_S4_EM01_01_M3</v>
      </c>
      <c r="L972">
        <v>127065</v>
      </c>
    </row>
    <row r="973" spans="1:12" ht="39.75" customHeight="1" x14ac:dyDescent="0.25">
      <c r="A973" s="5" t="str">
        <f>D973</f>
        <v>ЩЭ-4 (S4)</v>
      </c>
      <c r="B973" s="6"/>
      <c r="C973" s="7"/>
      <c r="D973" s="6" t="s">
        <v>373</v>
      </c>
      <c r="E973" s="8"/>
      <c r="F973" s="8" t="s">
        <v>40</v>
      </c>
      <c r="G973" s="9"/>
      <c r="H973" s="10">
        <v>1</v>
      </c>
      <c r="I973" s="11" t="s">
        <v>7</v>
      </c>
      <c r="J973" s="6" t="s">
        <v>9</v>
      </c>
      <c r="K973" s="5" t="s">
        <v>218</v>
      </c>
    </row>
    <row r="974" spans="1:12" ht="21" customHeight="1" x14ac:dyDescent="0.25">
      <c r="A974" s="12" t="str">
        <f>A973</f>
        <v>ЩЭ-4 (S4)</v>
      </c>
      <c r="B974" s="13" t="s">
        <v>8</v>
      </c>
      <c r="C974" s="14" t="s">
        <v>467</v>
      </c>
      <c r="D974" s="12" t="s">
        <v>460</v>
      </c>
      <c r="E974" s="13">
        <v>89000</v>
      </c>
      <c r="F974" s="15">
        <f t="shared" ref="F974:F977" si="563">E974*0.6</f>
        <v>53400</v>
      </c>
      <c r="G974" s="15">
        <f t="shared" ref="G974:G980" si="564">H974*F974</f>
        <v>53400</v>
      </c>
      <c r="H974" s="16">
        <v>1</v>
      </c>
      <c r="I974" s="17" t="s">
        <v>13</v>
      </c>
      <c r="J974" s="13" t="s">
        <v>16</v>
      </c>
      <c r="K974" s="12" t="str">
        <f>K973</f>
        <v>2853_01_01_S4_EM01_01_M3</v>
      </c>
      <c r="L974">
        <v>53400</v>
      </c>
    </row>
    <row r="975" spans="1:12" ht="21" customHeight="1" x14ac:dyDescent="0.25">
      <c r="A975" s="12" t="str">
        <f t="shared" ref="A975:A981" si="565">A974</f>
        <v>ЩЭ-4 (S4)</v>
      </c>
      <c r="B975" s="13" t="s">
        <v>54</v>
      </c>
      <c r="C975" s="14" t="s">
        <v>267</v>
      </c>
      <c r="D975" s="12" t="s">
        <v>268</v>
      </c>
      <c r="E975" s="13">
        <v>1129</v>
      </c>
      <c r="F975" s="15">
        <f t="shared" si="563"/>
        <v>677.4</v>
      </c>
      <c r="G975" s="15">
        <f t="shared" si="564"/>
        <v>2709.6</v>
      </c>
      <c r="H975" s="16">
        <v>4</v>
      </c>
      <c r="I975" s="17" t="s">
        <v>13</v>
      </c>
      <c r="J975" s="13" t="s">
        <v>17</v>
      </c>
      <c r="K975" s="12" t="str">
        <f t="shared" ref="K975:K981" si="566">K974</f>
        <v>2853_01_01_S4_EM01_01_M3</v>
      </c>
      <c r="L975">
        <v>2709.6</v>
      </c>
    </row>
    <row r="976" spans="1:12" ht="21" customHeight="1" x14ac:dyDescent="0.25">
      <c r="A976" s="12" t="str">
        <f t="shared" si="565"/>
        <v>ЩЭ-4 (S4)</v>
      </c>
      <c r="B976" s="13" t="s">
        <v>21</v>
      </c>
      <c r="C976" s="14" t="s">
        <v>185</v>
      </c>
      <c r="D976" s="12" t="s">
        <v>186</v>
      </c>
      <c r="E976" s="13">
        <v>9380</v>
      </c>
      <c r="F976" s="15">
        <f t="shared" si="563"/>
        <v>5628</v>
      </c>
      <c r="G976" s="15">
        <f t="shared" si="564"/>
        <v>22512</v>
      </c>
      <c r="H976" s="16">
        <v>4</v>
      </c>
      <c r="I976" s="17" t="s">
        <v>13</v>
      </c>
      <c r="J976" s="13" t="s">
        <v>17</v>
      </c>
      <c r="K976" s="12" t="str">
        <f t="shared" si="566"/>
        <v>2853_01_01_S4_EM01_01_M3</v>
      </c>
      <c r="L976">
        <v>22512</v>
      </c>
    </row>
    <row r="977" spans="1:12" ht="22.5" customHeight="1" x14ac:dyDescent="0.25">
      <c r="A977" s="12" t="str">
        <f t="shared" si="565"/>
        <v>ЩЭ-4 (S4)</v>
      </c>
      <c r="B977" s="13" t="s">
        <v>204</v>
      </c>
      <c r="C977" s="14" t="s">
        <v>284</v>
      </c>
      <c r="D977" s="12" t="s">
        <v>285</v>
      </c>
      <c r="E977" s="13">
        <v>1738</v>
      </c>
      <c r="F977" s="15">
        <f t="shared" si="563"/>
        <v>1042.8</v>
      </c>
      <c r="G977" s="15">
        <f t="shared" si="564"/>
        <v>1042.8</v>
      </c>
      <c r="H977" s="16">
        <v>1</v>
      </c>
      <c r="I977" s="17" t="s">
        <v>13</v>
      </c>
      <c r="J977" s="13" t="s">
        <v>17</v>
      </c>
      <c r="K977" s="12" t="str">
        <f t="shared" si="566"/>
        <v>2853_01_01_S4_EM01_01_M3</v>
      </c>
      <c r="L977">
        <v>1042.8</v>
      </c>
    </row>
    <row r="978" spans="1:12" ht="22.5" customHeight="1" x14ac:dyDescent="0.25">
      <c r="A978" s="12" t="str">
        <f t="shared" si="565"/>
        <v>ЩЭ-4 (S4)</v>
      </c>
      <c r="B978" s="13" t="s">
        <v>18</v>
      </c>
      <c r="C978" s="14" t="s">
        <v>292</v>
      </c>
      <c r="D978" s="12" t="s">
        <v>293</v>
      </c>
      <c r="E978" s="13">
        <v>90000</v>
      </c>
      <c r="F978" s="15">
        <f t="shared" ref="F978" si="567">E978</f>
        <v>90000</v>
      </c>
      <c r="G978" s="15">
        <f t="shared" si="564"/>
        <v>0</v>
      </c>
      <c r="H978" s="16">
        <v>0</v>
      </c>
      <c r="I978" s="17" t="s">
        <v>13</v>
      </c>
      <c r="J978" s="13" t="s">
        <v>24</v>
      </c>
      <c r="K978" s="12" t="str">
        <f t="shared" si="566"/>
        <v>2853_01_01_S4_EM01_01_M3</v>
      </c>
      <c r="L978">
        <v>0</v>
      </c>
    </row>
    <row r="979" spans="1:12" ht="24" customHeight="1" x14ac:dyDescent="0.25">
      <c r="A979" s="12" t="str">
        <f t="shared" si="565"/>
        <v>ЩЭ-4 (S4)</v>
      </c>
      <c r="B979" s="12" t="s">
        <v>10</v>
      </c>
      <c r="C979" s="18" t="s">
        <v>10</v>
      </c>
      <c r="D979" s="12" t="s">
        <v>10</v>
      </c>
      <c r="E979" s="12">
        <f ca="1">OFFSET(E979,1,2)</f>
        <v>27000</v>
      </c>
      <c r="F979" s="15">
        <f ca="1">E979</f>
        <v>27000</v>
      </c>
      <c r="G979" s="15">
        <f t="shared" ca="1" si="564"/>
        <v>27000</v>
      </c>
      <c r="H979" s="12">
        <v>1</v>
      </c>
      <c r="I979" s="12" t="s">
        <v>13</v>
      </c>
      <c r="J979" s="12" t="s">
        <v>10</v>
      </c>
      <c r="K979" s="12" t="str">
        <f t="shared" si="566"/>
        <v>2853_01_01_S4_EM01_01_M3</v>
      </c>
      <c r="L979">
        <v>27000</v>
      </c>
    </row>
    <row r="980" spans="1:12" ht="21" customHeight="1" x14ac:dyDescent="0.25">
      <c r="A980" s="12" t="str">
        <f t="shared" si="565"/>
        <v>ЩЭ-4 (S4)</v>
      </c>
      <c r="B980" s="12" t="s">
        <v>11</v>
      </c>
      <c r="C980" s="18" t="s">
        <v>11</v>
      </c>
      <c r="D980" s="12" t="s">
        <v>11</v>
      </c>
      <c r="E980" s="12">
        <v>4.5</v>
      </c>
      <c r="F980" s="15">
        <v>100</v>
      </c>
      <c r="G980" s="15">
        <f t="shared" si="564"/>
        <v>27000</v>
      </c>
      <c r="H980" s="12">
        <f>60*E980</f>
        <v>270</v>
      </c>
      <c r="I980" s="12" t="s">
        <v>13</v>
      </c>
      <c r="J980" s="12" t="s">
        <v>11</v>
      </c>
      <c r="K980" s="12" t="str">
        <f t="shared" si="566"/>
        <v>2853_01_01_S4_EM01_01_M3</v>
      </c>
      <c r="L980">
        <v>27000</v>
      </c>
    </row>
    <row r="981" spans="1:12" ht="30" customHeight="1" x14ac:dyDescent="0.25">
      <c r="A981" s="12" t="str">
        <f t="shared" si="565"/>
        <v>ЩЭ-4 (S4)</v>
      </c>
      <c r="B981" s="19"/>
      <c r="C981" s="20"/>
      <c r="D981" s="21"/>
      <c r="E981" s="23"/>
      <c r="F981" s="25"/>
      <c r="G981" s="24">
        <f ca="1">SUM(G975:G980)</f>
        <v>80264.399999999994</v>
      </c>
      <c r="H981" s="20"/>
      <c r="I981" s="22"/>
      <c r="J981" s="20"/>
      <c r="K981" s="12" t="str">
        <f t="shared" si="566"/>
        <v>2853_01_01_S4_EM01_01_M3</v>
      </c>
      <c r="L981">
        <v>80264.399999999994</v>
      </c>
    </row>
    <row r="982" spans="1:12" ht="39.75" customHeight="1" x14ac:dyDescent="0.25">
      <c r="A982" s="5" t="str">
        <f>D982</f>
        <v>ЩЭ-5 (S4)</v>
      </c>
      <c r="B982" s="6"/>
      <c r="C982" s="7"/>
      <c r="D982" s="6" t="s">
        <v>374</v>
      </c>
      <c r="E982" s="8"/>
      <c r="F982" s="8" t="s">
        <v>40</v>
      </c>
      <c r="G982" s="9"/>
      <c r="H982" s="10">
        <v>8</v>
      </c>
      <c r="I982" s="11" t="s">
        <v>7</v>
      </c>
      <c r="J982" s="6" t="s">
        <v>9</v>
      </c>
      <c r="K982" s="5" t="s">
        <v>218</v>
      </c>
    </row>
    <row r="983" spans="1:12" ht="21" customHeight="1" x14ac:dyDescent="0.25">
      <c r="A983" s="12" t="str">
        <f>A982</f>
        <v>ЩЭ-5 (S4)</v>
      </c>
      <c r="B983" s="13" t="s">
        <v>8</v>
      </c>
      <c r="C983" s="14" t="s">
        <v>467</v>
      </c>
      <c r="D983" s="12" t="s">
        <v>460</v>
      </c>
      <c r="E983" s="13">
        <v>89000</v>
      </c>
      <c r="F983" s="15">
        <f t="shared" ref="F983:F986" si="568">E983*0.6</f>
        <v>53400</v>
      </c>
      <c r="G983" s="15">
        <f t="shared" ref="G983:G989" si="569">H983*F983</f>
        <v>53400</v>
      </c>
      <c r="H983" s="16">
        <v>1</v>
      </c>
      <c r="I983" s="17" t="s">
        <v>13</v>
      </c>
      <c r="J983" s="13" t="s">
        <v>16</v>
      </c>
      <c r="K983" s="12" t="str">
        <f>K982</f>
        <v>2853_01_01_S4_EM01_01_M3</v>
      </c>
      <c r="L983">
        <v>53400</v>
      </c>
    </row>
    <row r="984" spans="1:12" ht="21" customHeight="1" x14ac:dyDescent="0.25">
      <c r="A984" s="12" t="str">
        <f t="shared" ref="A984:A990" si="570">A983</f>
        <v>ЩЭ-5 (S4)</v>
      </c>
      <c r="B984" s="13" t="s">
        <v>54</v>
      </c>
      <c r="C984" s="14" t="s">
        <v>267</v>
      </c>
      <c r="D984" s="12" t="s">
        <v>268</v>
      </c>
      <c r="E984" s="13">
        <v>1129</v>
      </c>
      <c r="F984" s="15">
        <f t="shared" si="568"/>
        <v>677.4</v>
      </c>
      <c r="G984" s="15">
        <f t="shared" si="569"/>
        <v>3387</v>
      </c>
      <c r="H984" s="16">
        <v>5</v>
      </c>
      <c r="I984" s="17" t="s">
        <v>13</v>
      </c>
      <c r="J984" s="13" t="s">
        <v>17</v>
      </c>
      <c r="K984" s="12" t="str">
        <f t="shared" ref="K984:K990" si="571">K983</f>
        <v>2853_01_01_S4_EM01_01_M3</v>
      </c>
      <c r="L984">
        <v>3387</v>
      </c>
    </row>
    <row r="985" spans="1:12" ht="21" customHeight="1" x14ac:dyDescent="0.25">
      <c r="A985" s="12" t="str">
        <f t="shared" si="570"/>
        <v>ЩЭ-5 (S4)</v>
      </c>
      <c r="B985" s="13" t="s">
        <v>21</v>
      </c>
      <c r="C985" s="14" t="s">
        <v>185</v>
      </c>
      <c r="D985" s="12" t="s">
        <v>186</v>
      </c>
      <c r="E985" s="13">
        <v>9380</v>
      </c>
      <c r="F985" s="15">
        <f t="shared" si="568"/>
        <v>5628</v>
      </c>
      <c r="G985" s="15">
        <f t="shared" si="569"/>
        <v>28140</v>
      </c>
      <c r="H985" s="16">
        <v>5</v>
      </c>
      <c r="I985" s="17" t="s">
        <v>13</v>
      </c>
      <c r="J985" s="13" t="s">
        <v>17</v>
      </c>
      <c r="K985" s="12" t="str">
        <f t="shared" si="571"/>
        <v>2853_01_01_S4_EM01_01_M3</v>
      </c>
      <c r="L985">
        <v>28140</v>
      </c>
    </row>
    <row r="986" spans="1:12" ht="22.5" customHeight="1" x14ac:dyDescent="0.25">
      <c r="A986" s="12" t="str">
        <f t="shared" si="570"/>
        <v>ЩЭ-5 (S4)</v>
      </c>
      <c r="B986" s="13" t="s">
        <v>204</v>
      </c>
      <c r="C986" s="14" t="s">
        <v>284</v>
      </c>
      <c r="D986" s="12" t="s">
        <v>285</v>
      </c>
      <c r="E986" s="13">
        <v>1738</v>
      </c>
      <c r="F986" s="15">
        <f t="shared" si="568"/>
        <v>1042.8</v>
      </c>
      <c r="G986" s="15">
        <f t="shared" si="569"/>
        <v>1042.8</v>
      </c>
      <c r="H986" s="16">
        <v>1</v>
      </c>
      <c r="I986" s="17" t="s">
        <v>13</v>
      </c>
      <c r="J986" s="13" t="s">
        <v>17</v>
      </c>
      <c r="K986" s="12" t="str">
        <f t="shared" si="571"/>
        <v>2853_01_01_S4_EM01_01_M3</v>
      </c>
      <c r="L986">
        <v>1042.8</v>
      </c>
    </row>
    <row r="987" spans="1:12" ht="22.5" customHeight="1" x14ac:dyDescent="0.25">
      <c r="A987" s="12" t="str">
        <f t="shared" si="570"/>
        <v>ЩЭ-5 (S4)</v>
      </c>
      <c r="B987" s="13" t="s">
        <v>18</v>
      </c>
      <c r="C987" s="14" t="s">
        <v>292</v>
      </c>
      <c r="D987" s="12" t="s">
        <v>293</v>
      </c>
      <c r="E987" s="13">
        <v>90000</v>
      </c>
      <c r="F987" s="15">
        <f t="shared" ref="F987" si="572">E987</f>
        <v>90000</v>
      </c>
      <c r="G987" s="15">
        <f t="shared" si="569"/>
        <v>0</v>
      </c>
      <c r="H987" s="16">
        <v>0</v>
      </c>
      <c r="I987" s="17" t="s">
        <v>13</v>
      </c>
      <c r="J987" s="13" t="s">
        <v>24</v>
      </c>
      <c r="K987" s="12" t="str">
        <f t="shared" si="571"/>
        <v>2853_01_01_S4_EM01_01_M3</v>
      </c>
      <c r="L987">
        <v>0</v>
      </c>
    </row>
    <row r="988" spans="1:12" ht="24" customHeight="1" x14ac:dyDescent="0.25">
      <c r="A988" s="12" t="str">
        <f t="shared" si="570"/>
        <v>ЩЭ-5 (S4)</v>
      </c>
      <c r="B988" s="12" t="s">
        <v>10</v>
      </c>
      <c r="C988" s="18" t="s">
        <v>10</v>
      </c>
      <c r="D988" s="12" t="s">
        <v>10</v>
      </c>
      <c r="E988" s="12">
        <f ca="1">OFFSET(E988,1,2)</f>
        <v>27000</v>
      </c>
      <c r="F988" s="15">
        <f ca="1">E988</f>
        <v>27000</v>
      </c>
      <c r="G988" s="15">
        <f t="shared" ca="1" si="569"/>
        <v>27000</v>
      </c>
      <c r="H988" s="12">
        <v>1</v>
      </c>
      <c r="I988" s="12" t="s">
        <v>13</v>
      </c>
      <c r="J988" s="12" t="s">
        <v>10</v>
      </c>
      <c r="K988" s="12" t="str">
        <f t="shared" si="571"/>
        <v>2853_01_01_S4_EM01_01_M3</v>
      </c>
      <c r="L988">
        <v>27000</v>
      </c>
    </row>
    <row r="989" spans="1:12" ht="21" customHeight="1" x14ac:dyDescent="0.25">
      <c r="A989" s="12" t="str">
        <f t="shared" si="570"/>
        <v>ЩЭ-5 (S4)</v>
      </c>
      <c r="B989" s="12" t="s">
        <v>11</v>
      </c>
      <c r="C989" s="18" t="s">
        <v>11</v>
      </c>
      <c r="D989" s="12" t="s">
        <v>11</v>
      </c>
      <c r="E989" s="12">
        <v>4.5</v>
      </c>
      <c r="F989" s="15">
        <v>100</v>
      </c>
      <c r="G989" s="15">
        <f t="shared" si="569"/>
        <v>27000</v>
      </c>
      <c r="H989" s="12">
        <f>60*E989</f>
        <v>270</v>
      </c>
      <c r="I989" s="12" t="s">
        <v>13</v>
      </c>
      <c r="J989" s="12" t="s">
        <v>11</v>
      </c>
      <c r="K989" s="12" t="str">
        <f t="shared" si="571"/>
        <v>2853_01_01_S4_EM01_01_M3</v>
      </c>
      <c r="L989">
        <v>27000</v>
      </c>
    </row>
    <row r="990" spans="1:12" ht="30" customHeight="1" x14ac:dyDescent="0.25">
      <c r="A990" s="12" t="str">
        <f t="shared" si="570"/>
        <v>ЩЭ-5 (S4)</v>
      </c>
      <c r="B990" s="19"/>
      <c r="C990" s="20"/>
      <c r="D990" s="21"/>
      <c r="E990" s="23"/>
      <c r="F990" s="25"/>
      <c r="G990" s="24">
        <f ca="1">SUM(G984:G989)</f>
        <v>86569.8</v>
      </c>
      <c r="H990" s="20"/>
      <c r="I990" s="22"/>
      <c r="J990" s="20"/>
      <c r="K990" s="12" t="str">
        <f t="shared" si="571"/>
        <v>2853_01_01_S4_EM01_01_M3</v>
      </c>
      <c r="L990">
        <v>86569.8</v>
      </c>
    </row>
    <row r="991" spans="1:12" ht="39.75" customHeight="1" x14ac:dyDescent="0.25">
      <c r="A991" s="5" t="str">
        <f>D991</f>
        <v>ЩК1 (S4)</v>
      </c>
      <c r="B991" s="6"/>
      <c r="C991" s="7"/>
      <c r="D991" s="6" t="s">
        <v>375</v>
      </c>
      <c r="E991" s="8"/>
      <c r="F991" s="8" t="s">
        <v>40</v>
      </c>
      <c r="G991" s="9"/>
      <c r="H991" s="10">
        <v>44</v>
      </c>
      <c r="I991" s="11" t="s">
        <v>7</v>
      </c>
      <c r="J991" s="6" t="s">
        <v>9</v>
      </c>
      <c r="K991" s="5" t="s">
        <v>218</v>
      </c>
    </row>
    <row r="992" spans="1:12" ht="21" customHeight="1" x14ac:dyDescent="0.25">
      <c r="A992" s="12" t="str">
        <f>A991</f>
        <v>ЩК1 (S4)</v>
      </c>
      <c r="B992" s="13" t="s">
        <v>8</v>
      </c>
      <c r="C992" s="14" t="s">
        <v>308</v>
      </c>
      <c r="D992" s="12" t="s">
        <v>309</v>
      </c>
      <c r="E992" s="13">
        <v>10050</v>
      </c>
      <c r="F992" s="15">
        <f t="shared" ref="F992:F996" si="573">E992*0.6</f>
        <v>6030</v>
      </c>
      <c r="G992" s="15">
        <f t="shared" ref="G992:G998" si="574">H992*F992</f>
        <v>6030</v>
      </c>
      <c r="H992" s="16">
        <v>1</v>
      </c>
      <c r="I992" s="17" t="s">
        <v>13</v>
      </c>
      <c r="J992" s="13" t="s">
        <v>16</v>
      </c>
      <c r="K992" s="12" t="str">
        <f>K991</f>
        <v>2853_01_01_S4_EM01_01_M3</v>
      </c>
      <c r="L992">
        <v>6030</v>
      </c>
    </row>
    <row r="993" spans="1:12" ht="21" customHeight="1" x14ac:dyDescent="0.25">
      <c r="A993" s="12" t="str">
        <f t="shared" ref="A993:A999" si="575">A992</f>
        <v>ЩК1 (S4)</v>
      </c>
      <c r="B993" s="13" t="s">
        <v>21</v>
      </c>
      <c r="C993" s="14" t="s">
        <v>187</v>
      </c>
      <c r="D993" s="12" t="s">
        <v>188</v>
      </c>
      <c r="E993" s="13">
        <v>5632</v>
      </c>
      <c r="F993" s="15">
        <f t="shared" si="573"/>
        <v>3379.2</v>
      </c>
      <c r="G993" s="15">
        <f t="shared" si="574"/>
        <v>3379.2</v>
      </c>
      <c r="H993" s="16">
        <v>1</v>
      </c>
      <c r="I993" s="17" t="s">
        <v>13</v>
      </c>
      <c r="J993" s="13" t="s">
        <v>17</v>
      </c>
      <c r="K993" s="12" t="str">
        <f t="shared" ref="K993:K999" si="576">K992</f>
        <v>2853_01_01_S4_EM01_01_M3</v>
      </c>
      <c r="L993">
        <v>3379.2</v>
      </c>
    </row>
    <row r="994" spans="1:12" ht="21" customHeight="1" x14ac:dyDescent="0.25">
      <c r="A994" s="12" t="str">
        <f t="shared" si="575"/>
        <v>ЩК1 (S4)</v>
      </c>
      <c r="B994" s="13" t="s">
        <v>191</v>
      </c>
      <c r="C994" s="14" t="s">
        <v>189</v>
      </c>
      <c r="D994" s="12" t="s">
        <v>190</v>
      </c>
      <c r="E994" s="13">
        <v>7795</v>
      </c>
      <c r="F994" s="15">
        <f t="shared" si="573"/>
        <v>4677</v>
      </c>
      <c r="G994" s="15">
        <f t="shared" si="574"/>
        <v>4677</v>
      </c>
      <c r="H994" s="16">
        <v>1</v>
      </c>
      <c r="I994" s="17" t="s">
        <v>13</v>
      </c>
      <c r="J994" s="13" t="s">
        <v>17</v>
      </c>
      <c r="K994" s="12" t="str">
        <f t="shared" si="576"/>
        <v>2853_01_01_S4_EM01_01_M3</v>
      </c>
      <c r="L994">
        <v>4677</v>
      </c>
    </row>
    <row r="995" spans="1:12" ht="21" customHeight="1" x14ac:dyDescent="0.25">
      <c r="A995" s="12" t="str">
        <f t="shared" si="575"/>
        <v>ЩК1 (S4)</v>
      </c>
      <c r="B995" s="13" t="s">
        <v>12</v>
      </c>
      <c r="C995" s="14" t="s">
        <v>125</v>
      </c>
      <c r="D995" s="12" t="s">
        <v>126</v>
      </c>
      <c r="E995" s="13">
        <v>796</v>
      </c>
      <c r="F995" s="15">
        <f t="shared" si="573"/>
        <v>477.59999999999997</v>
      </c>
      <c r="G995" s="15">
        <f t="shared" si="574"/>
        <v>1910.3999999999999</v>
      </c>
      <c r="H995" s="16">
        <v>4</v>
      </c>
      <c r="I995" s="17" t="s">
        <v>13</v>
      </c>
      <c r="J995" s="13" t="s">
        <v>17</v>
      </c>
      <c r="K995" s="12" t="str">
        <f t="shared" si="576"/>
        <v>2853_01_01_S4_EM01_01_M3</v>
      </c>
      <c r="L995">
        <v>1910.3999999999999</v>
      </c>
    </row>
    <row r="996" spans="1:12" ht="21" customHeight="1" x14ac:dyDescent="0.25">
      <c r="A996" s="12" t="str">
        <f t="shared" si="575"/>
        <v>ЩК1 (S4)</v>
      </c>
      <c r="B996" s="13" t="s">
        <v>12</v>
      </c>
      <c r="C996" s="14" t="s">
        <v>36</v>
      </c>
      <c r="D996" s="12" t="s">
        <v>37</v>
      </c>
      <c r="E996" s="13">
        <v>783</v>
      </c>
      <c r="F996" s="15">
        <f t="shared" si="573"/>
        <v>469.79999999999995</v>
      </c>
      <c r="G996" s="15">
        <f t="shared" si="574"/>
        <v>469.79999999999995</v>
      </c>
      <c r="H996" s="16">
        <v>1</v>
      </c>
      <c r="I996" s="17" t="s">
        <v>13</v>
      </c>
      <c r="J996" s="13" t="s">
        <v>17</v>
      </c>
      <c r="K996" s="12" t="str">
        <f t="shared" si="576"/>
        <v>2853_01_01_S4_EM01_01_M3</v>
      </c>
      <c r="L996">
        <v>469.79999999999995</v>
      </c>
    </row>
    <row r="997" spans="1:12" ht="24" customHeight="1" x14ac:dyDescent="0.25">
      <c r="A997" s="12" t="str">
        <f t="shared" si="575"/>
        <v>ЩК1 (S4)</v>
      </c>
      <c r="B997" s="12" t="s">
        <v>10</v>
      </c>
      <c r="C997" s="18" t="s">
        <v>10</v>
      </c>
      <c r="D997" s="12" t="s">
        <v>10</v>
      </c>
      <c r="E997" s="12">
        <f ca="1">OFFSET(E997,1,2)</f>
        <v>4200</v>
      </c>
      <c r="F997" s="15">
        <f ca="1">E997</f>
        <v>4200</v>
      </c>
      <c r="G997" s="15">
        <f t="shared" ca="1" si="574"/>
        <v>4200</v>
      </c>
      <c r="H997" s="12">
        <v>1</v>
      </c>
      <c r="I997" s="12" t="s">
        <v>13</v>
      </c>
      <c r="J997" s="12" t="s">
        <v>10</v>
      </c>
      <c r="K997" s="12" t="str">
        <f t="shared" si="576"/>
        <v>2853_01_01_S4_EM01_01_M3</v>
      </c>
      <c r="L997">
        <v>4200</v>
      </c>
    </row>
    <row r="998" spans="1:12" ht="21" customHeight="1" x14ac:dyDescent="0.25">
      <c r="A998" s="12" t="str">
        <f t="shared" si="575"/>
        <v>ЩК1 (S4)</v>
      </c>
      <c r="B998" s="12" t="s">
        <v>11</v>
      </c>
      <c r="C998" s="18" t="s">
        <v>11</v>
      </c>
      <c r="D998" s="12" t="s">
        <v>11</v>
      </c>
      <c r="E998" s="12">
        <v>0.7</v>
      </c>
      <c r="F998" s="15">
        <v>100</v>
      </c>
      <c r="G998" s="15">
        <f t="shared" si="574"/>
        <v>4200</v>
      </c>
      <c r="H998" s="12">
        <f>60*E998</f>
        <v>42</v>
      </c>
      <c r="I998" s="12" t="s">
        <v>13</v>
      </c>
      <c r="J998" s="12" t="s">
        <v>11</v>
      </c>
      <c r="K998" s="12" t="str">
        <f t="shared" si="576"/>
        <v>2853_01_01_S4_EM01_01_M3</v>
      </c>
      <c r="L998">
        <v>4200</v>
      </c>
    </row>
    <row r="999" spans="1:12" ht="30" customHeight="1" x14ac:dyDescent="0.25">
      <c r="A999" s="12" t="str">
        <f t="shared" si="575"/>
        <v>ЩК1 (S4)</v>
      </c>
      <c r="B999" s="19"/>
      <c r="C999" s="20"/>
      <c r="D999" s="21"/>
      <c r="E999" s="23"/>
      <c r="F999" s="25"/>
      <c r="G999" s="24">
        <f ca="1">SUM(G992:G998)</f>
        <v>24866.400000000001</v>
      </c>
      <c r="H999" s="20"/>
      <c r="I999" s="22"/>
      <c r="J999" s="20"/>
      <c r="K999" s="12" t="str">
        <f t="shared" si="576"/>
        <v>2853_01_01_S4_EM01_01_M3</v>
      </c>
      <c r="L999">
        <v>24866.400000000001</v>
      </c>
    </row>
    <row r="1000" spans="1:12" ht="39.75" customHeight="1" x14ac:dyDescent="0.25">
      <c r="A1000" s="5" t="str">
        <f>D1000</f>
        <v>ЩР-4.1 (S4)</v>
      </c>
      <c r="B1000" s="6"/>
      <c r="C1000" s="7"/>
      <c r="D1000" s="6" t="s">
        <v>376</v>
      </c>
      <c r="E1000" s="8"/>
      <c r="F1000" s="8" t="s">
        <v>40</v>
      </c>
      <c r="G1000" s="9"/>
      <c r="H1000" s="10">
        <v>1</v>
      </c>
      <c r="I1000" s="11" t="s">
        <v>7</v>
      </c>
      <c r="J1000" s="6" t="s">
        <v>9</v>
      </c>
      <c r="K1000" s="5" t="s">
        <v>218</v>
      </c>
    </row>
    <row r="1001" spans="1:12" ht="20.25" customHeight="1" x14ac:dyDescent="0.25">
      <c r="A1001" s="12" t="str">
        <f>A1000</f>
        <v>ЩР-4.1 (S4)</v>
      </c>
      <c r="B1001" s="13" t="s">
        <v>8</v>
      </c>
      <c r="C1001" s="14" t="s">
        <v>471</v>
      </c>
      <c r="D1001" s="12" t="s">
        <v>472</v>
      </c>
      <c r="E1001" s="13">
        <v>10620</v>
      </c>
      <c r="F1001" s="15">
        <f t="shared" ref="F1001:F1002" si="577">E1001*0.6</f>
        <v>6372</v>
      </c>
      <c r="G1001" s="15">
        <f t="shared" ref="G1001:G1004" si="578">H1001*F1001</f>
        <v>6372</v>
      </c>
      <c r="H1001" s="16">
        <v>1</v>
      </c>
      <c r="I1001" s="17" t="s">
        <v>13</v>
      </c>
      <c r="J1001" s="13" t="s">
        <v>16</v>
      </c>
      <c r="K1001" s="12" t="str">
        <f>K1000</f>
        <v>2853_01_01_S4_EM01_01_M3</v>
      </c>
      <c r="L1001">
        <v>6372</v>
      </c>
    </row>
    <row r="1002" spans="1:12" ht="21" customHeight="1" x14ac:dyDescent="0.25">
      <c r="A1002" s="12" t="str">
        <f t="shared" ref="A1002:A1005" si="579">A1001</f>
        <v>ЩР-4.1 (S4)</v>
      </c>
      <c r="B1002" s="13" t="s">
        <v>54</v>
      </c>
      <c r="C1002" s="14" t="s">
        <v>131</v>
      </c>
      <c r="D1002" s="12" t="s">
        <v>132</v>
      </c>
      <c r="E1002" s="13">
        <v>4334</v>
      </c>
      <c r="F1002" s="15">
        <f t="shared" si="577"/>
        <v>2600.4</v>
      </c>
      <c r="G1002" s="15">
        <f t="shared" si="578"/>
        <v>2600.4</v>
      </c>
      <c r="H1002" s="16">
        <v>1</v>
      </c>
      <c r="I1002" s="17" t="s">
        <v>13</v>
      </c>
      <c r="J1002" s="13" t="s">
        <v>17</v>
      </c>
      <c r="K1002" s="12" t="str">
        <f t="shared" ref="K1002:K1005" si="580">K1001</f>
        <v>2853_01_01_S4_EM01_01_M3</v>
      </c>
      <c r="L1002">
        <v>2600.4</v>
      </c>
    </row>
    <row r="1003" spans="1:12" ht="24" customHeight="1" x14ac:dyDescent="0.25">
      <c r="A1003" s="12" t="str">
        <f t="shared" si="579"/>
        <v>ЩР-4.1 (S4)</v>
      </c>
      <c r="B1003" s="12" t="s">
        <v>10</v>
      </c>
      <c r="C1003" s="18" t="s">
        <v>10</v>
      </c>
      <c r="D1003" s="12" t="s">
        <v>10</v>
      </c>
      <c r="E1003" s="12">
        <f ca="1">OFFSET(E1003,1,2)</f>
        <v>60</v>
      </c>
      <c r="F1003" s="15">
        <f ca="1">E1003</f>
        <v>60</v>
      </c>
      <c r="G1003" s="15">
        <f t="shared" ca="1" si="578"/>
        <v>60</v>
      </c>
      <c r="H1003" s="12">
        <v>1</v>
      </c>
      <c r="I1003" s="12" t="s">
        <v>13</v>
      </c>
      <c r="J1003" s="12" t="s">
        <v>10</v>
      </c>
      <c r="K1003" s="12" t="str">
        <f t="shared" si="580"/>
        <v>2853_01_01_S4_EM01_01_M3</v>
      </c>
      <c r="L1003">
        <v>60</v>
      </c>
    </row>
    <row r="1004" spans="1:12" ht="21" customHeight="1" x14ac:dyDescent="0.25">
      <c r="A1004" s="12" t="str">
        <f t="shared" si="579"/>
        <v>ЩР-4.1 (S4)</v>
      </c>
      <c r="B1004" s="12" t="s">
        <v>11</v>
      </c>
      <c r="C1004" s="18" t="s">
        <v>11</v>
      </c>
      <c r="D1004" s="12" t="s">
        <v>11</v>
      </c>
      <c r="E1004" s="12">
        <v>0.01</v>
      </c>
      <c r="F1004" s="15">
        <v>100</v>
      </c>
      <c r="G1004" s="15">
        <f t="shared" si="578"/>
        <v>60</v>
      </c>
      <c r="H1004" s="12">
        <f>60*E1004</f>
        <v>0.6</v>
      </c>
      <c r="I1004" s="12" t="s">
        <v>13</v>
      </c>
      <c r="J1004" s="12" t="s">
        <v>11</v>
      </c>
      <c r="K1004" s="12" t="str">
        <f t="shared" si="580"/>
        <v>2853_01_01_S4_EM01_01_M3</v>
      </c>
      <c r="L1004">
        <v>60</v>
      </c>
    </row>
    <row r="1005" spans="1:12" ht="30" customHeight="1" x14ac:dyDescent="0.25">
      <c r="A1005" s="12" t="str">
        <f t="shared" si="579"/>
        <v>ЩР-4.1 (S4)</v>
      </c>
      <c r="B1005" s="19"/>
      <c r="C1005" s="20"/>
      <c r="D1005" s="21"/>
      <c r="E1005" s="23"/>
      <c r="F1005" s="25"/>
      <c r="G1005" s="24">
        <f ca="1">SUM(G1001:G1004)</f>
        <v>9092.4</v>
      </c>
      <c r="H1005" s="20"/>
      <c r="I1005" s="22"/>
      <c r="J1005" s="20"/>
      <c r="K1005" s="12" t="str">
        <f t="shared" si="580"/>
        <v>2853_01_01_S4_EM01_01_M3</v>
      </c>
      <c r="L1005">
        <v>9092.4</v>
      </c>
    </row>
    <row r="1006" spans="1:12" ht="39.75" customHeight="1" x14ac:dyDescent="0.25">
      <c r="A1006" s="5" t="str">
        <f>D1006</f>
        <v>ЩР-4.2 (S4)</v>
      </c>
      <c r="B1006" s="6"/>
      <c r="C1006" s="7"/>
      <c r="D1006" s="6" t="s">
        <v>377</v>
      </c>
      <c r="E1006" s="8"/>
      <c r="F1006" s="8" t="s">
        <v>40</v>
      </c>
      <c r="G1006" s="9"/>
      <c r="H1006" s="10">
        <v>1</v>
      </c>
      <c r="I1006" s="11" t="s">
        <v>7</v>
      </c>
      <c r="J1006" s="6" t="s">
        <v>9</v>
      </c>
      <c r="K1006" s="5" t="s">
        <v>218</v>
      </c>
    </row>
    <row r="1007" spans="1:12" ht="21" customHeight="1" x14ac:dyDescent="0.25">
      <c r="A1007" s="12" t="str">
        <f>A1006</f>
        <v>ЩР-4.2 (S4)</v>
      </c>
      <c r="B1007" s="13" t="s">
        <v>8</v>
      </c>
      <c r="C1007" s="14" t="s">
        <v>471</v>
      </c>
      <c r="D1007" s="12" t="s">
        <v>472</v>
      </c>
      <c r="E1007" s="13">
        <v>10620</v>
      </c>
      <c r="F1007" s="15">
        <f t="shared" ref="F1007:F1008" si="581">E1007*0.6</f>
        <v>6372</v>
      </c>
      <c r="G1007" s="15">
        <f t="shared" ref="G1007:G1010" si="582">H1007*F1007</f>
        <v>6372</v>
      </c>
      <c r="H1007" s="16">
        <v>1</v>
      </c>
      <c r="I1007" s="17" t="s">
        <v>13</v>
      </c>
      <c r="J1007" s="13" t="s">
        <v>16</v>
      </c>
      <c r="K1007" s="12" t="str">
        <f>K1006</f>
        <v>2853_01_01_S4_EM01_01_M3</v>
      </c>
      <c r="L1007">
        <v>6372</v>
      </c>
    </row>
    <row r="1008" spans="1:12" ht="21" customHeight="1" x14ac:dyDescent="0.25">
      <c r="A1008" s="12" t="str">
        <f>A1006</f>
        <v>ЩР-4.2 (S4)</v>
      </c>
      <c r="B1008" s="13" t="s">
        <v>54</v>
      </c>
      <c r="C1008" s="14" t="s">
        <v>55</v>
      </c>
      <c r="D1008" s="12" t="s">
        <v>56</v>
      </c>
      <c r="E1008" s="13">
        <v>3372</v>
      </c>
      <c r="F1008" s="15">
        <f t="shared" si="581"/>
        <v>2023.1999999999998</v>
      </c>
      <c r="G1008" s="15">
        <f t="shared" si="582"/>
        <v>2023.1999999999998</v>
      </c>
      <c r="H1008" s="16">
        <v>1</v>
      </c>
      <c r="I1008" s="17" t="s">
        <v>13</v>
      </c>
      <c r="J1008" s="13" t="s">
        <v>17</v>
      </c>
      <c r="K1008" s="12" t="str">
        <f t="shared" ref="K1008" si="583">K1006</f>
        <v>2853_01_01_S4_EM01_01_M3</v>
      </c>
      <c r="L1008">
        <v>2023.1999999999998</v>
      </c>
    </row>
    <row r="1009" spans="1:12" ht="24" customHeight="1" x14ac:dyDescent="0.25">
      <c r="A1009" s="12" t="str">
        <f t="shared" ref="A1009:A1011" si="584">A1008</f>
        <v>ЩР-4.2 (S4)</v>
      </c>
      <c r="B1009" s="12" t="s">
        <v>10</v>
      </c>
      <c r="C1009" s="18" t="s">
        <v>10</v>
      </c>
      <c r="D1009" s="12" t="s">
        <v>10</v>
      </c>
      <c r="E1009" s="12">
        <f ca="1">OFFSET(E1009,1,2)</f>
        <v>60</v>
      </c>
      <c r="F1009" s="15">
        <f ca="1">E1009</f>
        <v>60</v>
      </c>
      <c r="G1009" s="15">
        <f t="shared" ca="1" si="582"/>
        <v>60</v>
      </c>
      <c r="H1009" s="12">
        <v>1</v>
      </c>
      <c r="I1009" s="12" t="s">
        <v>13</v>
      </c>
      <c r="J1009" s="12" t="s">
        <v>10</v>
      </c>
      <c r="K1009" s="12" t="str">
        <f>K1008</f>
        <v>2853_01_01_S4_EM01_01_M3</v>
      </c>
      <c r="L1009">
        <v>60</v>
      </c>
    </row>
    <row r="1010" spans="1:12" ht="21" customHeight="1" x14ac:dyDescent="0.25">
      <c r="A1010" s="12" t="str">
        <f t="shared" si="584"/>
        <v>ЩР-4.2 (S4)</v>
      </c>
      <c r="B1010" s="12" t="s">
        <v>11</v>
      </c>
      <c r="C1010" s="18" t="s">
        <v>11</v>
      </c>
      <c r="D1010" s="12" t="s">
        <v>11</v>
      </c>
      <c r="E1010" s="12">
        <v>0.01</v>
      </c>
      <c r="F1010" s="15">
        <v>100</v>
      </c>
      <c r="G1010" s="15">
        <f t="shared" si="582"/>
        <v>60</v>
      </c>
      <c r="H1010" s="12">
        <f>60*E1010</f>
        <v>0.6</v>
      </c>
      <c r="I1010" s="12" t="s">
        <v>13</v>
      </c>
      <c r="J1010" s="12" t="s">
        <v>11</v>
      </c>
      <c r="K1010" s="12" t="str">
        <f t="shared" ref="K1010:K1011" si="585">K1009</f>
        <v>2853_01_01_S4_EM01_01_M3</v>
      </c>
      <c r="L1010">
        <v>60</v>
      </c>
    </row>
    <row r="1011" spans="1:12" ht="30" customHeight="1" x14ac:dyDescent="0.25">
      <c r="A1011" s="12" t="str">
        <f t="shared" si="584"/>
        <v>ЩР-4.2 (S4)</v>
      </c>
      <c r="B1011" s="19"/>
      <c r="C1011" s="20"/>
      <c r="D1011" s="21"/>
      <c r="E1011" s="23"/>
      <c r="F1011" s="25"/>
      <c r="G1011" s="24">
        <f ca="1">SUM(G1007:G1010)</f>
        <v>8515.2000000000007</v>
      </c>
      <c r="H1011" s="20"/>
      <c r="I1011" s="22"/>
      <c r="J1011" s="20"/>
      <c r="K1011" s="12" t="str">
        <f t="shared" si="585"/>
        <v>2853_01_01_S4_EM01_01_M3</v>
      </c>
      <c r="L1011">
        <v>8515.2000000000007</v>
      </c>
    </row>
    <row r="1012" spans="1:12" ht="39.75" customHeight="1" x14ac:dyDescent="0.25">
      <c r="A1012" s="5" t="str">
        <f>D1012</f>
        <v>ЯТП-0,25-23УЗ (ЯТП 220/36В) (S5)</v>
      </c>
      <c r="B1012" s="6"/>
      <c r="C1012" s="7"/>
      <c r="D1012" s="6" t="s">
        <v>404</v>
      </c>
      <c r="E1012" s="8"/>
      <c r="F1012" s="8"/>
      <c r="G1012" s="9"/>
      <c r="H1012" s="10">
        <v>3</v>
      </c>
      <c r="I1012" s="11" t="s">
        <v>7</v>
      </c>
      <c r="J1012" s="6" t="s">
        <v>9</v>
      </c>
      <c r="K1012" s="5" t="s">
        <v>218</v>
      </c>
    </row>
    <row r="1013" spans="1:12" ht="39.75" customHeight="1" x14ac:dyDescent="0.25">
      <c r="A1013" s="5" t="str">
        <f>D1013</f>
        <v>ЩО-5бл.с Фотореле (S5)</v>
      </c>
      <c r="B1013" s="6"/>
      <c r="C1013" s="7"/>
      <c r="D1013" s="6" t="s">
        <v>500</v>
      </c>
      <c r="E1013" s="8"/>
      <c r="F1013" s="8" t="s">
        <v>40</v>
      </c>
      <c r="G1013" s="9"/>
      <c r="H1013" s="10">
        <v>1</v>
      </c>
      <c r="I1013" s="11" t="s">
        <v>7</v>
      </c>
      <c r="J1013" s="6" t="s">
        <v>9</v>
      </c>
      <c r="K1013" s="5" t="s">
        <v>221</v>
      </c>
    </row>
    <row r="1014" spans="1:12" ht="21" customHeight="1" x14ac:dyDescent="0.25">
      <c r="A1014" s="12" t="str">
        <f>A1013</f>
        <v>ЩО-5бл.с Фотореле (S5)</v>
      </c>
      <c r="B1014" s="13" t="s">
        <v>8</v>
      </c>
      <c r="C1014" s="14" t="s">
        <v>312</v>
      </c>
      <c r="D1014" s="12" t="s">
        <v>313</v>
      </c>
      <c r="E1014" s="13">
        <v>11700</v>
      </c>
      <c r="F1014" s="15">
        <f>E1014*0.6</f>
        <v>7020</v>
      </c>
      <c r="G1014" s="15">
        <f t="shared" ref="G1014:G1019" si="586">H1014*F1014</f>
        <v>7020</v>
      </c>
      <c r="H1014" s="16">
        <v>1</v>
      </c>
      <c r="I1014" s="17" t="s">
        <v>13</v>
      </c>
      <c r="J1014" s="13" t="s">
        <v>319</v>
      </c>
      <c r="K1014" s="12" t="str">
        <f>K1013</f>
        <v>2853_01_01_S5_EM01_01_M3</v>
      </c>
      <c r="L1014">
        <v>7020</v>
      </c>
    </row>
    <row r="1015" spans="1:12" ht="21" customHeight="1" x14ac:dyDescent="0.25">
      <c r="A1015" s="12" t="str">
        <f t="shared" ref="A1015:A1020" si="587">A1014</f>
        <v>ЩО-5бл.с Фотореле (S5)</v>
      </c>
      <c r="B1015" s="13" t="s">
        <v>54</v>
      </c>
      <c r="C1015" s="14" t="s">
        <v>55</v>
      </c>
      <c r="D1015" s="12" t="s">
        <v>56</v>
      </c>
      <c r="E1015" s="13">
        <v>3372</v>
      </c>
      <c r="F1015" s="15">
        <f t="shared" ref="F1015:F1016" si="588">E1015*0.6</f>
        <v>2023.1999999999998</v>
      </c>
      <c r="G1015" s="15">
        <f t="shared" si="586"/>
        <v>2023.1999999999998</v>
      </c>
      <c r="H1015" s="16">
        <v>1</v>
      </c>
      <c r="I1015" s="17" t="s">
        <v>13</v>
      </c>
      <c r="J1015" s="13" t="s">
        <v>17</v>
      </c>
      <c r="K1015" s="12" t="str">
        <f t="shared" ref="K1015:K1020" si="589">K1014</f>
        <v>2853_01_01_S5_EM01_01_M3</v>
      </c>
      <c r="L1015">
        <v>2023.1999999999998</v>
      </c>
    </row>
    <row r="1016" spans="1:12" ht="21" customHeight="1" x14ac:dyDescent="0.25">
      <c r="A1016" s="12" t="str">
        <f t="shared" si="587"/>
        <v>ЩО-5бл.с Фотореле (S5)</v>
      </c>
      <c r="B1016" s="13" t="s">
        <v>12</v>
      </c>
      <c r="C1016" s="14" t="s">
        <v>19</v>
      </c>
      <c r="D1016" s="12" t="s">
        <v>20</v>
      </c>
      <c r="E1016" s="13">
        <v>975</v>
      </c>
      <c r="F1016" s="15">
        <f t="shared" si="588"/>
        <v>585</v>
      </c>
      <c r="G1016" s="15">
        <f t="shared" si="586"/>
        <v>4095</v>
      </c>
      <c r="H1016" s="16">
        <v>7</v>
      </c>
      <c r="I1016" s="17" t="s">
        <v>13</v>
      </c>
      <c r="J1016" s="13" t="s">
        <v>17</v>
      </c>
      <c r="K1016" s="12" t="str">
        <f t="shared" si="589"/>
        <v>2853_01_01_S5_EM01_01_M3</v>
      </c>
      <c r="L1016">
        <v>4095</v>
      </c>
    </row>
    <row r="1017" spans="1:12" ht="21" customHeight="1" x14ac:dyDescent="0.25">
      <c r="A1017" s="12" t="str">
        <f t="shared" si="587"/>
        <v>ЩО-5бл.с Фотореле (S5)</v>
      </c>
      <c r="B1017" s="13" t="s">
        <v>206</v>
      </c>
      <c r="C1017" s="12" t="s">
        <v>233</v>
      </c>
      <c r="D1017" s="12" t="s">
        <v>481</v>
      </c>
      <c r="E1017" s="13">
        <v>6500</v>
      </c>
      <c r="F1017" s="15">
        <f t="shared" ref="F1017" si="590">E1017</f>
        <v>6500</v>
      </c>
      <c r="G1017" s="15">
        <f t="shared" si="586"/>
        <v>6500</v>
      </c>
      <c r="H1017" s="16">
        <v>1</v>
      </c>
      <c r="I1017" s="17" t="s">
        <v>13</v>
      </c>
      <c r="J1017" s="13" t="s">
        <v>24</v>
      </c>
      <c r="K1017" s="12" t="str">
        <f t="shared" si="589"/>
        <v>2853_01_01_S5_EM01_01_M3</v>
      </c>
      <c r="L1017">
        <v>6500</v>
      </c>
    </row>
    <row r="1018" spans="1:12" ht="24" customHeight="1" x14ac:dyDescent="0.25">
      <c r="A1018" s="12" t="str">
        <f>A1016</f>
        <v>ЩО-5бл.с Фотореле (S5)</v>
      </c>
      <c r="B1018" s="12" t="s">
        <v>10</v>
      </c>
      <c r="C1018" s="18" t="s">
        <v>10</v>
      </c>
      <c r="D1018" s="12" t="s">
        <v>10</v>
      </c>
      <c r="E1018" s="12">
        <f ca="1">OFFSET(E1018,1,2)</f>
        <v>12000</v>
      </c>
      <c r="F1018" s="15">
        <f ca="1">E1018</f>
        <v>12000</v>
      </c>
      <c r="G1018" s="15">
        <f t="shared" ca="1" si="586"/>
        <v>12000</v>
      </c>
      <c r="H1018" s="12">
        <v>1</v>
      </c>
      <c r="I1018" s="12" t="s">
        <v>13</v>
      </c>
      <c r="J1018" s="12" t="s">
        <v>10</v>
      </c>
      <c r="K1018" s="12" t="str">
        <f>K1016</f>
        <v>2853_01_01_S5_EM01_01_M3</v>
      </c>
      <c r="L1018">
        <v>12000</v>
      </c>
    </row>
    <row r="1019" spans="1:12" ht="21" customHeight="1" x14ac:dyDescent="0.25">
      <c r="A1019" s="12" t="str">
        <f t="shared" si="587"/>
        <v>ЩО-5бл.с Фотореле (S5)</v>
      </c>
      <c r="B1019" s="12" t="s">
        <v>11</v>
      </c>
      <c r="C1019" s="18" t="s">
        <v>11</v>
      </c>
      <c r="D1019" s="12" t="s">
        <v>11</v>
      </c>
      <c r="E1019" s="12">
        <v>2</v>
      </c>
      <c r="F1019" s="15">
        <v>100</v>
      </c>
      <c r="G1019" s="15">
        <f t="shared" si="586"/>
        <v>12000</v>
      </c>
      <c r="H1019" s="12">
        <f>60*E1019</f>
        <v>120</v>
      </c>
      <c r="I1019" s="12" t="s">
        <v>13</v>
      </c>
      <c r="J1019" s="12" t="s">
        <v>11</v>
      </c>
      <c r="K1019" s="12" t="str">
        <f t="shared" si="589"/>
        <v>2853_01_01_S5_EM01_01_M3</v>
      </c>
      <c r="L1019">
        <v>12000</v>
      </c>
    </row>
    <row r="1020" spans="1:12" ht="30" customHeight="1" x14ac:dyDescent="0.25">
      <c r="A1020" s="12" t="str">
        <f t="shared" si="587"/>
        <v>ЩО-5бл.с Фотореле (S5)</v>
      </c>
      <c r="B1020" s="19"/>
      <c r="C1020" s="20"/>
      <c r="D1020" s="21"/>
      <c r="E1020" s="23"/>
      <c r="F1020" s="25"/>
      <c r="G1020" s="24">
        <f ca="1">SUM(G1014:G1019)</f>
        <v>43638.2</v>
      </c>
      <c r="H1020" s="20"/>
      <c r="I1020" s="22"/>
      <c r="J1020" s="20"/>
      <c r="K1020" s="12" t="str">
        <f t="shared" si="589"/>
        <v>2853_01_01_S5_EM01_01_M3</v>
      </c>
      <c r="L1020">
        <v>43638.2</v>
      </c>
    </row>
    <row r="1021" spans="1:12" ht="39.75" customHeight="1" x14ac:dyDescent="0.25">
      <c r="A1021" s="5" t="str">
        <f>D1021</f>
        <v>ЩАО-5бл. (S5)</v>
      </c>
      <c r="B1021" s="6"/>
      <c r="C1021" s="7"/>
      <c r="D1021" s="6" t="s">
        <v>379</v>
      </c>
      <c r="E1021" s="8"/>
      <c r="F1021" s="8" t="s">
        <v>40</v>
      </c>
      <c r="G1021" s="9"/>
      <c r="H1021" s="10">
        <v>1</v>
      </c>
      <c r="I1021" s="11" t="s">
        <v>7</v>
      </c>
      <c r="J1021" s="6" t="s">
        <v>9</v>
      </c>
      <c r="K1021" s="5" t="s">
        <v>221</v>
      </c>
    </row>
    <row r="1022" spans="1:12" ht="21" customHeight="1" x14ac:dyDescent="0.25">
      <c r="A1022" s="12" t="str">
        <f>A1021</f>
        <v>ЩАО-5бл. (S5)</v>
      </c>
      <c r="B1022" s="13" t="s">
        <v>8</v>
      </c>
      <c r="C1022" s="14" t="s">
        <v>312</v>
      </c>
      <c r="D1022" s="12" t="s">
        <v>313</v>
      </c>
      <c r="E1022" s="13">
        <v>11700</v>
      </c>
      <c r="F1022" s="15">
        <f>E1022*0.6</f>
        <v>7020</v>
      </c>
      <c r="G1022" s="15">
        <f t="shared" ref="G1022:G1027" si="591">H1022*F1022</f>
        <v>7020</v>
      </c>
      <c r="H1022" s="16">
        <v>1</v>
      </c>
      <c r="I1022" s="17" t="s">
        <v>13</v>
      </c>
      <c r="J1022" s="13" t="s">
        <v>319</v>
      </c>
      <c r="K1022" s="12" t="str">
        <f>K1021</f>
        <v>2853_01_01_S5_EM01_01_M3</v>
      </c>
      <c r="L1022">
        <v>7020</v>
      </c>
    </row>
    <row r="1023" spans="1:12" ht="21" customHeight="1" x14ac:dyDescent="0.25">
      <c r="A1023" s="12" t="str">
        <f t="shared" ref="A1023:A1028" si="592">A1022</f>
        <v>ЩАО-5бл. (S5)</v>
      </c>
      <c r="B1023" s="13" t="s">
        <v>54</v>
      </c>
      <c r="C1023" s="14" t="s">
        <v>55</v>
      </c>
      <c r="D1023" s="12" t="s">
        <v>56</v>
      </c>
      <c r="E1023" s="13">
        <v>3372</v>
      </c>
      <c r="F1023" s="15">
        <f t="shared" ref="F1023:F1024" si="593">E1023*0.6</f>
        <v>2023.1999999999998</v>
      </c>
      <c r="G1023" s="15">
        <f t="shared" si="591"/>
        <v>2023.1999999999998</v>
      </c>
      <c r="H1023" s="16">
        <v>1</v>
      </c>
      <c r="I1023" s="17" t="s">
        <v>13</v>
      </c>
      <c r="J1023" s="13" t="s">
        <v>17</v>
      </c>
      <c r="K1023" s="12" t="str">
        <f t="shared" ref="K1023:K1028" si="594">K1022</f>
        <v>2853_01_01_S5_EM01_01_M3</v>
      </c>
      <c r="L1023">
        <v>2023.1999999999998</v>
      </c>
    </row>
    <row r="1024" spans="1:12" ht="21" customHeight="1" x14ac:dyDescent="0.25">
      <c r="A1024" s="12" t="str">
        <f t="shared" si="592"/>
        <v>ЩАО-5бл. (S5)</v>
      </c>
      <c r="B1024" s="13" t="s">
        <v>12</v>
      </c>
      <c r="C1024" s="14" t="s">
        <v>19</v>
      </c>
      <c r="D1024" s="12" t="s">
        <v>20</v>
      </c>
      <c r="E1024" s="13">
        <v>975</v>
      </c>
      <c r="F1024" s="15">
        <f t="shared" si="593"/>
        <v>585</v>
      </c>
      <c r="G1024" s="15">
        <f t="shared" si="591"/>
        <v>3510</v>
      </c>
      <c r="H1024" s="16">
        <v>6</v>
      </c>
      <c r="I1024" s="17" t="s">
        <v>13</v>
      </c>
      <c r="J1024" s="13" t="s">
        <v>17</v>
      </c>
      <c r="K1024" s="12" t="str">
        <f t="shared" si="594"/>
        <v>2853_01_01_S5_EM01_01_M3</v>
      </c>
      <c r="L1024">
        <v>3510</v>
      </c>
    </row>
    <row r="1025" spans="1:12" ht="21" customHeight="1" x14ac:dyDescent="0.25">
      <c r="A1025" s="12" t="str">
        <f t="shared" si="592"/>
        <v>ЩАО-5бл. (S5)</v>
      </c>
      <c r="B1025" s="13" t="s">
        <v>206</v>
      </c>
      <c r="C1025" s="12" t="s">
        <v>233</v>
      </c>
      <c r="D1025" s="12" t="s">
        <v>481</v>
      </c>
      <c r="E1025" s="13">
        <v>6500</v>
      </c>
      <c r="F1025" s="15">
        <f t="shared" ref="F1025" si="595">E1025</f>
        <v>6500</v>
      </c>
      <c r="G1025" s="15">
        <f t="shared" si="591"/>
        <v>6500</v>
      </c>
      <c r="H1025" s="16">
        <v>1</v>
      </c>
      <c r="I1025" s="17" t="s">
        <v>13</v>
      </c>
      <c r="J1025" s="13" t="s">
        <v>24</v>
      </c>
      <c r="K1025" s="12" t="str">
        <f t="shared" si="594"/>
        <v>2853_01_01_S5_EM01_01_M3</v>
      </c>
      <c r="L1025">
        <v>6500</v>
      </c>
    </row>
    <row r="1026" spans="1:12" ht="24" customHeight="1" x14ac:dyDescent="0.25">
      <c r="A1026" s="12" t="str">
        <f>A1024</f>
        <v>ЩАО-5бл. (S5)</v>
      </c>
      <c r="B1026" s="12" t="s">
        <v>10</v>
      </c>
      <c r="C1026" s="18" t="s">
        <v>10</v>
      </c>
      <c r="D1026" s="12" t="s">
        <v>10</v>
      </c>
      <c r="E1026" s="12">
        <f ca="1">OFFSET(E1026,1,2)</f>
        <v>4200</v>
      </c>
      <c r="F1026" s="15">
        <f ca="1">E1026</f>
        <v>4200</v>
      </c>
      <c r="G1026" s="15">
        <f t="shared" ca="1" si="591"/>
        <v>4200</v>
      </c>
      <c r="H1026" s="12">
        <v>1</v>
      </c>
      <c r="I1026" s="12" t="s">
        <v>13</v>
      </c>
      <c r="J1026" s="12" t="s">
        <v>10</v>
      </c>
      <c r="K1026" s="12" t="str">
        <f>K1024</f>
        <v>2853_01_01_S5_EM01_01_M3</v>
      </c>
      <c r="L1026">
        <v>4200</v>
      </c>
    </row>
    <row r="1027" spans="1:12" ht="21" customHeight="1" x14ac:dyDescent="0.25">
      <c r="A1027" s="12" t="str">
        <f t="shared" si="592"/>
        <v>ЩАО-5бл. (S5)</v>
      </c>
      <c r="B1027" s="12" t="s">
        <v>11</v>
      </c>
      <c r="C1027" s="18" t="s">
        <v>11</v>
      </c>
      <c r="D1027" s="12" t="s">
        <v>11</v>
      </c>
      <c r="E1027" s="12">
        <v>0.7</v>
      </c>
      <c r="F1027" s="15">
        <v>100</v>
      </c>
      <c r="G1027" s="15">
        <f t="shared" si="591"/>
        <v>4200</v>
      </c>
      <c r="H1027" s="12">
        <f>60*E1027</f>
        <v>42</v>
      </c>
      <c r="I1027" s="12" t="s">
        <v>13</v>
      </c>
      <c r="J1027" s="12" t="s">
        <v>11</v>
      </c>
      <c r="K1027" s="12" t="str">
        <f t="shared" si="594"/>
        <v>2853_01_01_S5_EM01_01_M3</v>
      </c>
      <c r="L1027">
        <v>4200</v>
      </c>
    </row>
    <row r="1028" spans="1:12" ht="30" customHeight="1" x14ac:dyDescent="0.25">
      <c r="A1028" s="12" t="str">
        <f t="shared" si="592"/>
        <v>ЩАО-5бл. (S5)</v>
      </c>
      <c r="B1028" s="19"/>
      <c r="C1028" s="20"/>
      <c r="D1028" s="21"/>
      <c r="E1028" s="23"/>
      <c r="F1028" s="25"/>
      <c r="G1028" s="24">
        <f ca="1">SUM(G1022:G1027)</f>
        <v>27453.200000000001</v>
      </c>
      <c r="H1028" s="20"/>
      <c r="I1028" s="22"/>
      <c r="J1028" s="20"/>
      <c r="K1028" s="12" t="str">
        <f t="shared" si="594"/>
        <v>2853_01_01_S5_EM01_01_M3</v>
      </c>
      <c r="L1028">
        <v>27453.200000000001</v>
      </c>
    </row>
    <row r="1029" spans="1:12" ht="39.75" customHeight="1" x14ac:dyDescent="0.25">
      <c r="A1029" s="5" t="str">
        <f>D1029</f>
        <v>ЩСС-5бл. (S5)</v>
      </c>
      <c r="B1029" s="6"/>
      <c r="C1029" s="7"/>
      <c r="D1029" s="6" t="s">
        <v>380</v>
      </c>
      <c r="E1029" s="8"/>
      <c r="F1029" s="8" t="s">
        <v>40</v>
      </c>
      <c r="G1029" s="9"/>
      <c r="H1029" s="10">
        <v>1</v>
      </c>
      <c r="I1029" s="11" t="s">
        <v>7</v>
      </c>
      <c r="J1029" s="6" t="s">
        <v>9</v>
      </c>
      <c r="K1029" s="5" t="s">
        <v>221</v>
      </c>
    </row>
    <row r="1030" spans="1:12" ht="21" customHeight="1" x14ac:dyDescent="0.25">
      <c r="A1030" s="12" t="str">
        <f>A1029</f>
        <v>ЩСС-5бл. (S5)</v>
      </c>
      <c r="B1030" s="13" t="s">
        <v>8</v>
      </c>
      <c r="C1030" s="14" t="s">
        <v>314</v>
      </c>
      <c r="D1030" s="12" t="s">
        <v>315</v>
      </c>
      <c r="E1030" s="13">
        <v>8990</v>
      </c>
      <c r="F1030" s="15">
        <f>E1030*0.6</f>
        <v>5394</v>
      </c>
      <c r="G1030" s="15">
        <f t="shared" ref="G1030:G1035" si="596">H1030*F1030</f>
        <v>5394</v>
      </c>
      <c r="H1030" s="16">
        <v>1</v>
      </c>
      <c r="I1030" s="17" t="s">
        <v>13</v>
      </c>
      <c r="J1030" s="13" t="s">
        <v>319</v>
      </c>
      <c r="K1030" s="12" t="str">
        <f>K1029</f>
        <v>2853_01_01_S5_EM01_01_M3</v>
      </c>
      <c r="L1030">
        <v>5394</v>
      </c>
    </row>
    <row r="1031" spans="1:12" ht="21" customHeight="1" x14ac:dyDescent="0.25">
      <c r="A1031" s="12" t="str">
        <f t="shared" ref="A1031:A1036" si="597">A1030</f>
        <v>ЩСС-5бл. (S5)</v>
      </c>
      <c r="B1031" s="13" t="s">
        <v>54</v>
      </c>
      <c r="C1031" s="14" t="s">
        <v>55</v>
      </c>
      <c r="D1031" s="12" t="s">
        <v>56</v>
      </c>
      <c r="E1031" s="13">
        <v>3372</v>
      </c>
      <c r="F1031" s="15">
        <f t="shared" ref="F1031:F1033" si="598">E1031*0.6</f>
        <v>2023.1999999999998</v>
      </c>
      <c r="G1031" s="15">
        <f t="shared" si="596"/>
        <v>2023.1999999999998</v>
      </c>
      <c r="H1031" s="16">
        <v>1</v>
      </c>
      <c r="I1031" s="17" t="s">
        <v>13</v>
      </c>
      <c r="J1031" s="13" t="s">
        <v>17</v>
      </c>
      <c r="K1031" s="12" t="str">
        <f t="shared" ref="K1031:K1036" si="599">K1030</f>
        <v>2853_01_01_S5_EM01_01_M3</v>
      </c>
      <c r="L1031">
        <v>2023.1999999999998</v>
      </c>
    </row>
    <row r="1032" spans="1:12" ht="21" customHeight="1" x14ac:dyDescent="0.25">
      <c r="A1032" s="12" t="str">
        <f>A1030</f>
        <v>ЩСС-5бл. (S5)</v>
      </c>
      <c r="B1032" s="13" t="s">
        <v>21</v>
      </c>
      <c r="C1032" s="14" t="s">
        <v>174</v>
      </c>
      <c r="D1032" s="12" t="s">
        <v>175</v>
      </c>
      <c r="E1032" s="13">
        <v>5719</v>
      </c>
      <c r="F1032" s="15">
        <f t="shared" si="598"/>
        <v>3431.4</v>
      </c>
      <c r="G1032" s="15">
        <f t="shared" si="596"/>
        <v>10294.200000000001</v>
      </c>
      <c r="H1032" s="16">
        <v>3</v>
      </c>
      <c r="I1032" s="17" t="s">
        <v>13</v>
      </c>
      <c r="J1032" s="13" t="s">
        <v>17</v>
      </c>
      <c r="K1032" s="12" t="str">
        <f>K1030</f>
        <v>2853_01_01_S5_EM01_01_M3</v>
      </c>
      <c r="L1032">
        <v>10294.200000000001</v>
      </c>
    </row>
    <row r="1033" spans="1:12" ht="21" customHeight="1" x14ac:dyDescent="0.25">
      <c r="A1033" s="12" t="str">
        <f>A1030</f>
        <v>ЩСС-5бл. (S5)</v>
      </c>
      <c r="B1033" s="13" t="s">
        <v>12</v>
      </c>
      <c r="C1033" s="14" t="s">
        <v>50</v>
      </c>
      <c r="D1033" s="12" t="s">
        <v>51</v>
      </c>
      <c r="E1033" s="13">
        <v>783</v>
      </c>
      <c r="F1033" s="15">
        <f t="shared" si="598"/>
        <v>469.79999999999995</v>
      </c>
      <c r="G1033" s="15">
        <f t="shared" si="596"/>
        <v>469.79999999999995</v>
      </c>
      <c r="H1033" s="16">
        <v>1</v>
      </c>
      <c r="I1033" s="17" t="s">
        <v>13</v>
      </c>
      <c r="J1033" s="13" t="s">
        <v>17</v>
      </c>
      <c r="K1033" s="12" t="str">
        <f>K1030</f>
        <v>2853_01_01_S5_EM01_01_M3</v>
      </c>
      <c r="L1033">
        <v>469.79999999999995</v>
      </c>
    </row>
    <row r="1034" spans="1:12" ht="24" customHeight="1" x14ac:dyDescent="0.25">
      <c r="A1034" s="12" t="str">
        <f t="shared" si="597"/>
        <v>ЩСС-5бл. (S5)</v>
      </c>
      <c r="B1034" s="12" t="s">
        <v>10</v>
      </c>
      <c r="C1034" s="18" t="s">
        <v>10</v>
      </c>
      <c r="D1034" s="12" t="s">
        <v>10</v>
      </c>
      <c r="E1034" s="12">
        <f ca="1">OFFSET(E1034,1,2)</f>
        <v>3000</v>
      </c>
      <c r="F1034" s="15">
        <f ca="1">E1034</f>
        <v>3000</v>
      </c>
      <c r="G1034" s="15">
        <f t="shared" ca="1" si="596"/>
        <v>3000</v>
      </c>
      <c r="H1034" s="12">
        <v>1</v>
      </c>
      <c r="I1034" s="12" t="s">
        <v>13</v>
      </c>
      <c r="J1034" s="12" t="s">
        <v>10</v>
      </c>
      <c r="K1034" s="12" t="str">
        <f t="shared" si="599"/>
        <v>2853_01_01_S5_EM01_01_M3</v>
      </c>
      <c r="L1034">
        <v>3000</v>
      </c>
    </row>
    <row r="1035" spans="1:12" ht="21" customHeight="1" x14ac:dyDescent="0.25">
      <c r="A1035" s="12" t="str">
        <f t="shared" si="597"/>
        <v>ЩСС-5бл. (S5)</v>
      </c>
      <c r="B1035" s="12" t="s">
        <v>11</v>
      </c>
      <c r="C1035" s="18" t="s">
        <v>11</v>
      </c>
      <c r="D1035" s="12" t="s">
        <v>11</v>
      </c>
      <c r="E1035" s="12">
        <v>0.5</v>
      </c>
      <c r="F1035" s="15">
        <v>100</v>
      </c>
      <c r="G1035" s="15">
        <f t="shared" si="596"/>
        <v>3000</v>
      </c>
      <c r="H1035" s="12">
        <f>60*E1035</f>
        <v>30</v>
      </c>
      <c r="I1035" s="12" t="s">
        <v>13</v>
      </c>
      <c r="J1035" s="12" t="s">
        <v>11</v>
      </c>
      <c r="K1035" s="12" t="str">
        <f t="shared" si="599"/>
        <v>2853_01_01_S5_EM01_01_M3</v>
      </c>
      <c r="L1035">
        <v>3000</v>
      </c>
    </row>
    <row r="1036" spans="1:12" ht="30" customHeight="1" x14ac:dyDescent="0.25">
      <c r="A1036" s="12" t="str">
        <f t="shared" si="597"/>
        <v>ЩСС-5бл. (S5)</v>
      </c>
      <c r="B1036" s="19"/>
      <c r="C1036" s="20"/>
      <c r="D1036" s="21"/>
      <c r="E1036" s="23"/>
      <c r="F1036" s="25"/>
      <c r="G1036" s="24">
        <f ca="1">SUM(G1030:G1035)</f>
        <v>24181.200000000001</v>
      </c>
      <c r="H1036" s="20"/>
      <c r="I1036" s="22"/>
      <c r="J1036" s="20"/>
      <c r="K1036" s="12" t="str">
        <f t="shared" si="599"/>
        <v>2853_01_01_S5_EM01_01_M3</v>
      </c>
      <c r="L1036">
        <v>24181.200000000001</v>
      </c>
    </row>
    <row r="1037" spans="1:12" ht="39.75" customHeight="1" x14ac:dyDescent="0.25">
      <c r="A1037" s="5" t="str">
        <f>D1037</f>
        <v>ЩС-5бл.  (S5)</v>
      </c>
      <c r="B1037" s="6"/>
      <c r="C1037" s="7"/>
      <c r="D1037" s="6" t="s">
        <v>381</v>
      </c>
      <c r="E1037" s="8"/>
      <c r="F1037" s="8" t="s">
        <v>40</v>
      </c>
      <c r="G1037" s="9"/>
      <c r="H1037" s="10">
        <v>1</v>
      </c>
      <c r="I1037" s="11" t="s">
        <v>7</v>
      </c>
      <c r="J1037" s="6" t="s">
        <v>9</v>
      </c>
      <c r="K1037" s="5" t="s">
        <v>221</v>
      </c>
    </row>
    <row r="1038" spans="1:12" ht="21" customHeight="1" x14ac:dyDescent="0.25">
      <c r="A1038" s="12" t="str">
        <f>A1037</f>
        <v>ЩС-5бл.  (S5)</v>
      </c>
      <c r="B1038" s="13" t="s">
        <v>8</v>
      </c>
      <c r="C1038" s="14" t="s">
        <v>316</v>
      </c>
      <c r="D1038" s="12" t="s">
        <v>317</v>
      </c>
      <c r="E1038" s="13">
        <v>14900</v>
      </c>
      <c r="F1038" s="15">
        <f>E1038*0.6</f>
        <v>8940</v>
      </c>
      <c r="G1038" s="15">
        <f t="shared" ref="G1038:G1044" si="600">H1038*F1038</f>
        <v>8940</v>
      </c>
      <c r="H1038" s="16">
        <v>1</v>
      </c>
      <c r="I1038" s="17" t="s">
        <v>13</v>
      </c>
      <c r="J1038" s="13" t="s">
        <v>319</v>
      </c>
      <c r="K1038" s="12" t="str">
        <f>K1037</f>
        <v>2853_01_01_S5_EM01_01_M3</v>
      </c>
      <c r="L1038">
        <v>8940</v>
      </c>
    </row>
    <row r="1039" spans="1:12" ht="21" customHeight="1" x14ac:dyDescent="0.25">
      <c r="A1039" s="12" t="str">
        <f t="shared" ref="A1039" si="601">A1038</f>
        <v>ЩС-5бл.  (S5)</v>
      </c>
      <c r="B1039" s="13" t="s">
        <v>54</v>
      </c>
      <c r="C1039" s="14" t="s">
        <v>57</v>
      </c>
      <c r="D1039" s="12" t="s">
        <v>58</v>
      </c>
      <c r="E1039" s="13">
        <v>3372</v>
      </c>
      <c r="F1039" s="15">
        <f t="shared" ref="F1039:F1042" si="602">E1039*0.6</f>
        <v>2023.1999999999998</v>
      </c>
      <c r="G1039" s="15">
        <f t="shared" si="600"/>
        <v>2023.1999999999998</v>
      </c>
      <c r="H1039" s="16">
        <v>1</v>
      </c>
      <c r="I1039" s="17" t="s">
        <v>13</v>
      </c>
      <c r="J1039" s="13" t="s">
        <v>17</v>
      </c>
      <c r="K1039" s="12" t="str">
        <f t="shared" ref="K1039" si="603">K1038</f>
        <v>2853_01_01_S5_EM01_01_M3</v>
      </c>
      <c r="L1039">
        <v>2023.1999999999998</v>
      </c>
    </row>
    <row r="1040" spans="1:12" ht="21" customHeight="1" x14ac:dyDescent="0.25">
      <c r="A1040" s="12" t="str">
        <f>A1038</f>
        <v>ЩС-5бл.  (S5)</v>
      </c>
      <c r="B1040" s="13" t="s">
        <v>21</v>
      </c>
      <c r="C1040" s="14" t="s">
        <v>44</v>
      </c>
      <c r="D1040" s="12" t="s">
        <v>45</v>
      </c>
      <c r="E1040" s="13">
        <v>5104</v>
      </c>
      <c r="F1040" s="15">
        <f t="shared" si="602"/>
        <v>3062.4</v>
      </c>
      <c r="G1040" s="15">
        <f t="shared" si="600"/>
        <v>9187.2000000000007</v>
      </c>
      <c r="H1040" s="16">
        <v>3</v>
      </c>
      <c r="I1040" s="17" t="s">
        <v>13</v>
      </c>
      <c r="J1040" s="13" t="s">
        <v>17</v>
      </c>
      <c r="K1040" s="12" t="str">
        <f>K1038</f>
        <v>2853_01_01_S5_EM01_01_M3</v>
      </c>
      <c r="L1040">
        <v>9187.2000000000007</v>
      </c>
    </row>
    <row r="1041" spans="1:12" ht="21" customHeight="1" x14ac:dyDescent="0.25">
      <c r="A1041" s="12" t="str">
        <f>A1039</f>
        <v>ЩС-5бл.  (S5)</v>
      </c>
      <c r="B1041" s="13" t="s">
        <v>12</v>
      </c>
      <c r="C1041" s="14" t="s">
        <v>50</v>
      </c>
      <c r="D1041" s="12" t="s">
        <v>51</v>
      </c>
      <c r="E1041" s="13">
        <v>783</v>
      </c>
      <c r="F1041" s="15">
        <f t="shared" si="602"/>
        <v>469.79999999999995</v>
      </c>
      <c r="G1041" s="15">
        <f t="shared" si="600"/>
        <v>469.79999999999995</v>
      </c>
      <c r="H1041" s="16">
        <v>1</v>
      </c>
      <c r="I1041" s="17" t="s">
        <v>13</v>
      </c>
      <c r="J1041" s="13" t="s">
        <v>17</v>
      </c>
      <c r="K1041" s="12" t="str">
        <f>K1039</f>
        <v>2853_01_01_S5_EM01_01_M3</v>
      </c>
      <c r="L1041">
        <v>469.79999999999995</v>
      </c>
    </row>
    <row r="1042" spans="1:12" ht="21" customHeight="1" x14ac:dyDescent="0.25">
      <c r="A1042" s="12" t="str">
        <f>A1040</f>
        <v>ЩС-5бл.  (S5)</v>
      </c>
      <c r="B1042" s="13" t="s">
        <v>182</v>
      </c>
      <c r="C1042" s="14" t="s">
        <v>178</v>
      </c>
      <c r="D1042" s="12" t="s">
        <v>179</v>
      </c>
      <c r="E1042" s="13">
        <v>5354</v>
      </c>
      <c r="F1042" s="15">
        <f t="shared" si="602"/>
        <v>3212.4</v>
      </c>
      <c r="G1042" s="15">
        <f t="shared" si="600"/>
        <v>3212.4</v>
      </c>
      <c r="H1042" s="16">
        <v>1</v>
      </c>
      <c r="I1042" s="17" t="s">
        <v>13</v>
      </c>
      <c r="J1042" s="13" t="s">
        <v>17</v>
      </c>
      <c r="K1042" s="12" t="str">
        <f>K1040</f>
        <v>2853_01_01_S5_EM01_01_M3</v>
      </c>
      <c r="L1042">
        <v>3212.4</v>
      </c>
    </row>
    <row r="1043" spans="1:12" ht="24" customHeight="1" x14ac:dyDescent="0.25">
      <c r="A1043" s="12" t="str">
        <f>A1039</f>
        <v>ЩС-5бл.  (S5)</v>
      </c>
      <c r="B1043" s="12" t="s">
        <v>10</v>
      </c>
      <c r="C1043" s="18" t="s">
        <v>10</v>
      </c>
      <c r="D1043" s="12" t="s">
        <v>10</v>
      </c>
      <c r="E1043" s="12">
        <f ca="1">OFFSET(E1043,1,2)</f>
        <v>4200</v>
      </c>
      <c r="F1043" s="15">
        <f ca="1">E1043</f>
        <v>4200</v>
      </c>
      <c r="G1043" s="15">
        <f t="shared" ca="1" si="600"/>
        <v>4200</v>
      </c>
      <c r="H1043" s="12">
        <v>1</v>
      </c>
      <c r="I1043" s="12" t="s">
        <v>13</v>
      </c>
      <c r="J1043" s="12" t="s">
        <v>10</v>
      </c>
      <c r="K1043" s="12" t="str">
        <f>K1039</f>
        <v>2853_01_01_S5_EM01_01_M3</v>
      </c>
      <c r="L1043">
        <v>4200</v>
      </c>
    </row>
    <row r="1044" spans="1:12" ht="21" customHeight="1" x14ac:dyDescent="0.25">
      <c r="A1044" s="12" t="str">
        <f t="shared" ref="A1044:A1045" si="604">A1043</f>
        <v>ЩС-5бл.  (S5)</v>
      </c>
      <c r="B1044" s="12" t="s">
        <v>11</v>
      </c>
      <c r="C1044" s="18" t="s">
        <v>11</v>
      </c>
      <c r="D1044" s="12" t="s">
        <v>11</v>
      </c>
      <c r="E1044" s="12">
        <v>0.7</v>
      </c>
      <c r="F1044" s="15">
        <v>100</v>
      </c>
      <c r="G1044" s="15">
        <f t="shared" si="600"/>
        <v>4200</v>
      </c>
      <c r="H1044" s="12">
        <f>60*E1044</f>
        <v>42</v>
      </c>
      <c r="I1044" s="12" t="s">
        <v>13</v>
      </c>
      <c r="J1044" s="12" t="s">
        <v>11</v>
      </c>
      <c r="K1044" s="12" t="str">
        <f t="shared" ref="K1044:K1045" si="605">K1043</f>
        <v>2853_01_01_S5_EM01_01_M3</v>
      </c>
      <c r="L1044">
        <v>4200</v>
      </c>
    </row>
    <row r="1045" spans="1:12" ht="30" customHeight="1" x14ac:dyDescent="0.25">
      <c r="A1045" s="12" t="str">
        <f t="shared" si="604"/>
        <v>ЩС-5бл.  (S5)</v>
      </c>
      <c r="B1045" s="19"/>
      <c r="C1045" s="20"/>
      <c r="D1045" s="21"/>
      <c r="E1045" s="23"/>
      <c r="F1045" s="25"/>
      <c r="G1045" s="24">
        <f ca="1">SUM(G1038:G1044)</f>
        <v>32232.600000000002</v>
      </c>
      <c r="H1045" s="20"/>
      <c r="I1045" s="22"/>
      <c r="J1045" s="20"/>
      <c r="K1045" s="12" t="str">
        <f t="shared" si="605"/>
        <v>2853_01_01_S5_EM01_01_M3</v>
      </c>
      <c r="L1045">
        <v>32232.600000000002</v>
      </c>
    </row>
    <row r="1046" spans="1:12" ht="39.75" customHeight="1" x14ac:dyDescent="0.25">
      <c r="A1046" s="5" t="str">
        <f>D1046</f>
        <v>ЩСН-5бл. (S5)</v>
      </c>
      <c r="B1046" s="6"/>
      <c r="C1046" s="7"/>
      <c r="D1046" s="6" t="s">
        <v>382</v>
      </c>
      <c r="E1046" s="8"/>
      <c r="F1046" s="8" t="s">
        <v>40</v>
      </c>
      <c r="G1046" s="9"/>
      <c r="H1046" s="10">
        <v>1</v>
      </c>
      <c r="I1046" s="11" t="s">
        <v>7</v>
      </c>
      <c r="J1046" s="6" t="s">
        <v>9</v>
      </c>
      <c r="K1046" s="5" t="s">
        <v>221</v>
      </c>
    </row>
    <row r="1047" spans="1:12" ht="21" customHeight="1" x14ac:dyDescent="0.25">
      <c r="A1047" s="12" t="str">
        <f>A1046</f>
        <v>ЩСН-5бл. (S5)</v>
      </c>
      <c r="B1047" s="13" t="s">
        <v>8</v>
      </c>
      <c r="C1047" s="14" t="s">
        <v>314</v>
      </c>
      <c r="D1047" s="12" t="s">
        <v>315</v>
      </c>
      <c r="E1047" s="13">
        <v>8990</v>
      </c>
      <c r="F1047" s="15">
        <f>E1047*0.6</f>
        <v>5394</v>
      </c>
      <c r="G1047" s="15">
        <f t="shared" ref="G1047:G1052" si="606">H1047*F1047</f>
        <v>5394</v>
      </c>
      <c r="H1047" s="16">
        <v>1</v>
      </c>
      <c r="I1047" s="17" t="s">
        <v>13</v>
      </c>
      <c r="J1047" s="13" t="s">
        <v>319</v>
      </c>
      <c r="K1047" s="12" t="str">
        <f>K1046</f>
        <v>2853_01_01_S5_EM01_01_M3</v>
      </c>
      <c r="L1047">
        <v>5394</v>
      </c>
    </row>
    <row r="1048" spans="1:12" ht="21" customHeight="1" x14ac:dyDescent="0.25">
      <c r="A1048" s="12" t="str">
        <f t="shared" ref="A1048:A1053" si="607">A1047</f>
        <v>ЩСН-5бл. (S5)</v>
      </c>
      <c r="B1048" s="13" t="s">
        <v>54</v>
      </c>
      <c r="C1048" s="14" t="s">
        <v>55</v>
      </c>
      <c r="D1048" s="12" t="s">
        <v>56</v>
      </c>
      <c r="E1048" s="13">
        <v>3372</v>
      </c>
      <c r="F1048" s="15">
        <f t="shared" ref="F1048:F1050" si="608">E1048*0.6</f>
        <v>2023.1999999999998</v>
      </c>
      <c r="G1048" s="15">
        <f t="shared" si="606"/>
        <v>2023.1999999999998</v>
      </c>
      <c r="H1048" s="16">
        <v>1</v>
      </c>
      <c r="I1048" s="17" t="s">
        <v>13</v>
      </c>
      <c r="J1048" s="13" t="s">
        <v>17</v>
      </c>
      <c r="K1048" s="12" t="str">
        <f t="shared" ref="K1048:K1053" si="609">K1047</f>
        <v>2853_01_01_S5_EM01_01_M3</v>
      </c>
      <c r="L1048">
        <v>2023.1999999999998</v>
      </c>
    </row>
    <row r="1049" spans="1:12" ht="21" customHeight="1" x14ac:dyDescent="0.25">
      <c r="A1049" s="12" t="str">
        <f>A1047</f>
        <v>ЩСН-5бл. (S5)</v>
      </c>
      <c r="B1049" s="13" t="s">
        <v>12</v>
      </c>
      <c r="C1049" s="14" t="s">
        <v>214</v>
      </c>
      <c r="D1049" s="12" t="s">
        <v>215</v>
      </c>
      <c r="E1049" s="13">
        <v>3604</v>
      </c>
      <c r="F1049" s="15">
        <f t="shared" si="608"/>
        <v>2162.4</v>
      </c>
      <c r="G1049" s="15">
        <f t="shared" si="606"/>
        <v>2162.4</v>
      </c>
      <c r="H1049" s="16">
        <v>1</v>
      </c>
      <c r="I1049" s="17" t="s">
        <v>13</v>
      </c>
      <c r="J1049" s="13" t="s">
        <v>17</v>
      </c>
      <c r="K1049" s="12" t="str">
        <f>K1047</f>
        <v>2853_01_01_S5_EM01_01_M3</v>
      </c>
      <c r="L1049">
        <v>2162.4</v>
      </c>
    </row>
    <row r="1050" spans="1:12" ht="21" customHeight="1" x14ac:dyDescent="0.25">
      <c r="A1050" s="12" t="str">
        <f t="shared" ref="A1050" si="610">A1049</f>
        <v>ЩСН-5бл. (S5)</v>
      </c>
      <c r="B1050" s="13" t="s">
        <v>12</v>
      </c>
      <c r="C1050" s="14" t="s">
        <v>19</v>
      </c>
      <c r="D1050" s="12" t="s">
        <v>20</v>
      </c>
      <c r="E1050" s="13">
        <v>975</v>
      </c>
      <c r="F1050" s="15">
        <f t="shared" si="608"/>
        <v>585</v>
      </c>
      <c r="G1050" s="15">
        <f t="shared" si="606"/>
        <v>1170</v>
      </c>
      <c r="H1050" s="16">
        <v>2</v>
      </c>
      <c r="I1050" s="17" t="s">
        <v>13</v>
      </c>
      <c r="J1050" s="13" t="s">
        <v>17</v>
      </c>
      <c r="K1050" s="12" t="str">
        <f t="shared" ref="K1050" si="611">K1049</f>
        <v>2853_01_01_S5_EM01_01_M3</v>
      </c>
      <c r="L1050">
        <v>1170</v>
      </c>
    </row>
    <row r="1051" spans="1:12" ht="24" customHeight="1" x14ac:dyDescent="0.25">
      <c r="A1051" s="12" t="str">
        <f t="shared" si="607"/>
        <v>ЩСН-5бл. (S5)</v>
      </c>
      <c r="B1051" s="12" t="s">
        <v>10</v>
      </c>
      <c r="C1051" s="18" t="s">
        <v>10</v>
      </c>
      <c r="D1051" s="12" t="s">
        <v>10</v>
      </c>
      <c r="E1051" s="12">
        <f ca="1">OFFSET(E1051,1,2)</f>
        <v>3000</v>
      </c>
      <c r="F1051" s="15">
        <f ca="1">E1051</f>
        <v>3000</v>
      </c>
      <c r="G1051" s="15">
        <f t="shared" ca="1" si="606"/>
        <v>3000</v>
      </c>
      <c r="H1051" s="12">
        <v>1</v>
      </c>
      <c r="I1051" s="12" t="s">
        <v>13</v>
      </c>
      <c r="J1051" s="12" t="s">
        <v>10</v>
      </c>
      <c r="K1051" s="12" t="str">
        <f t="shared" si="609"/>
        <v>2853_01_01_S5_EM01_01_M3</v>
      </c>
      <c r="L1051">
        <v>3000</v>
      </c>
    </row>
    <row r="1052" spans="1:12" ht="21" customHeight="1" x14ac:dyDescent="0.25">
      <c r="A1052" s="12" t="str">
        <f t="shared" si="607"/>
        <v>ЩСН-5бл. (S5)</v>
      </c>
      <c r="B1052" s="12" t="s">
        <v>11</v>
      </c>
      <c r="C1052" s="18" t="s">
        <v>11</v>
      </c>
      <c r="D1052" s="12" t="s">
        <v>11</v>
      </c>
      <c r="E1052" s="12">
        <v>0.5</v>
      </c>
      <c r="F1052" s="15">
        <v>100</v>
      </c>
      <c r="G1052" s="15">
        <f t="shared" si="606"/>
        <v>3000</v>
      </c>
      <c r="H1052" s="12">
        <f>60*E1052</f>
        <v>30</v>
      </c>
      <c r="I1052" s="12" t="s">
        <v>13</v>
      </c>
      <c r="J1052" s="12" t="s">
        <v>11</v>
      </c>
      <c r="K1052" s="12" t="str">
        <f t="shared" si="609"/>
        <v>2853_01_01_S5_EM01_01_M3</v>
      </c>
      <c r="L1052">
        <v>3000</v>
      </c>
    </row>
    <row r="1053" spans="1:12" ht="30" customHeight="1" x14ac:dyDescent="0.25">
      <c r="A1053" s="12" t="str">
        <f t="shared" si="607"/>
        <v>ЩСН-5бл. (S5)</v>
      </c>
      <c r="B1053" s="19"/>
      <c r="C1053" s="20"/>
      <c r="D1053" s="21"/>
      <c r="E1053" s="23"/>
      <c r="F1053" s="25"/>
      <c r="G1053" s="24">
        <f ca="1">SUM(G1047:G1052)</f>
        <v>16749.599999999999</v>
      </c>
      <c r="H1053" s="20"/>
      <c r="I1053" s="22"/>
      <c r="J1053" s="20"/>
      <c r="K1053" s="12" t="str">
        <f t="shared" si="609"/>
        <v>2853_01_01_S5_EM01_01_M3</v>
      </c>
      <c r="L1053">
        <v>16749.599999999999</v>
      </c>
    </row>
    <row r="1054" spans="1:12" ht="39.75" customHeight="1" x14ac:dyDescent="0.25">
      <c r="A1054" s="5" t="str">
        <f>D1054</f>
        <v>ЩЭ-4 (5бл)  (S5)</v>
      </c>
      <c r="B1054" s="6"/>
      <c r="C1054" s="7"/>
      <c r="D1054" s="6" t="s">
        <v>383</v>
      </c>
      <c r="E1054" s="8"/>
      <c r="F1054" s="8" t="s">
        <v>40</v>
      </c>
      <c r="G1054" s="9"/>
      <c r="H1054" s="10">
        <v>8</v>
      </c>
      <c r="I1054" s="11" t="s">
        <v>7</v>
      </c>
      <c r="J1054" s="6" t="s">
        <v>9</v>
      </c>
      <c r="K1054" s="5" t="s">
        <v>221</v>
      </c>
    </row>
    <row r="1055" spans="1:12" ht="21" customHeight="1" x14ac:dyDescent="0.25">
      <c r="A1055" s="12" t="str">
        <f>A1054</f>
        <v>ЩЭ-4 (5бл)  (S5)</v>
      </c>
      <c r="B1055" s="13" t="s">
        <v>8</v>
      </c>
      <c r="C1055" s="14" t="s">
        <v>467</v>
      </c>
      <c r="D1055" s="12" t="s">
        <v>460</v>
      </c>
      <c r="E1055" s="13">
        <v>89000</v>
      </c>
      <c r="F1055" s="15">
        <f t="shared" ref="F1055:F1058" si="612">E1055*0.6</f>
        <v>53400</v>
      </c>
      <c r="G1055" s="15">
        <f t="shared" ref="G1055:G1061" si="613">H1055*F1055</f>
        <v>53400</v>
      </c>
      <c r="H1055" s="16">
        <v>1</v>
      </c>
      <c r="I1055" s="17" t="s">
        <v>13</v>
      </c>
      <c r="J1055" s="13" t="s">
        <v>16</v>
      </c>
      <c r="K1055" s="12" t="str">
        <f>K1054</f>
        <v>2853_01_01_S5_EM01_01_M3</v>
      </c>
      <c r="L1055">
        <v>53400</v>
      </c>
    </row>
    <row r="1056" spans="1:12" ht="21" customHeight="1" x14ac:dyDescent="0.25">
      <c r="A1056" s="12" t="str">
        <f t="shared" ref="A1056:A1062" si="614">A1055</f>
        <v>ЩЭ-4 (5бл)  (S5)</v>
      </c>
      <c r="B1056" s="13" t="s">
        <v>54</v>
      </c>
      <c r="C1056" s="14" t="s">
        <v>271</v>
      </c>
      <c r="D1056" s="12" t="s">
        <v>272</v>
      </c>
      <c r="E1056" s="13">
        <v>1421</v>
      </c>
      <c r="F1056" s="15">
        <f t="shared" si="612"/>
        <v>852.6</v>
      </c>
      <c r="G1056" s="15">
        <f t="shared" si="613"/>
        <v>3410.4</v>
      </c>
      <c r="H1056" s="16">
        <v>4</v>
      </c>
      <c r="I1056" s="17" t="s">
        <v>13</v>
      </c>
      <c r="J1056" s="13" t="s">
        <v>17</v>
      </c>
      <c r="K1056" s="12" t="str">
        <f t="shared" ref="K1056:K1062" si="615">K1055</f>
        <v>2853_01_01_S5_EM01_01_M3</v>
      </c>
      <c r="L1056">
        <v>3410.4</v>
      </c>
    </row>
    <row r="1057" spans="1:12" ht="21" customHeight="1" x14ac:dyDescent="0.25">
      <c r="A1057" s="12" t="str">
        <f t="shared" si="614"/>
        <v>ЩЭ-4 (5бл)  (S5)</v>
      </c>
      <c r="B1057" s="13" t="s">
        <v>21</v>
      </c>
      <c r="C1057" s="14" t="s">
        <v>198</v>
      </c>
      <c r="D1057" s="12" t="s">
        <v>199</v>
      </c>
      <c r="E1057" s="13">
        <v>6215</v>
      </c>
      <c r="F1057" s="15">
        <f t="shared" si="612"/>
        <v>3729</v>
      </c>
      <c r="G1057" s="15">
        <f t="shared" si="613"/>
        <v>14916</v>
      </c>
      <c r="H1057" s="16">
        <v>4</v>
      </c>
      <c r="I1057" s="17" t="s">
        <v>13</v>
      </c>
      <c r="J1057" s="13" t="s">
        <v>17</v>
      </c>
      <c r="K1057" s="12" t="str">
        <f t="shared" si="615"/>
        <v>2853_01_01_S5_EM01_01_M3</v>
      </c>
      <c r="L1057">
        <v>14916</v>
      </c>
    </row>
    <row r="1058" spans="1:12" ht="22.5" customHeight="1" x14ac:dyDescent="0.25">
      <c r="A1058" s="12" t="str">
        <f t="shared" si="614"/>
        <v>ЩЭ-4 (5бл)  (S5)</v>
      </c>
      <c r="B1058" s="13" t="s">
        <v>204</v>
      </c>
      <c r="C1058" s="14" t="s">
        <v>284</v>
      </c>
      <c r="D1058" s="12" t="s">
        <v>285</v>
      </c>
      <c r="E1058" s="13">
        <v>1738</v>
      </c>
      <c r="F1058" s="15">
        <f t="shared" si="612"/>
        <v>1042.8</v>
      </c>
      <c r="G1058" s="15">
        <f t="shared" si="613"/>
        <v>1042.8</v>
      </c>
      <c r="H1058" s="16">
        <v>1</v>
      </c>
      <c r="I1058" s="17" t="s">
        <v>13</v>
      </c>
      <c r="J1058" s="13" t="s">
        <v>17</v>
      </c>
      <c r="K1058" s="12" t="str">
        <f t="shared" si="615"/>
        <v>2853_01_01_S5_EM01_01_M3</v>
      </c>
      <c r="L1058">
        <v>1042.8</v>
      </c>
    </row>
    <row r="1059" spans="1:12" ht="22.5" customHeight="1" x14ac:dyDescent="0.25">
      <c r="A1059" s="12" t="str">
        <f t="shared" si="614"/>
        <v>ЩЭ-4 (5бл)  (S5)</v>
      </c>
      <c r="B1059" s="13" t="s">
        <v>18</v>
      </c>
      <c r="C1059" s="14" t="s">
        <v>294</v>
      </c>
      <c r="D1059" s="12" t="s">
        <v>295</v>
      </c>
      <c r="E1059" s="13">
        <v>90000</v>
      </c>
      <c r="F1059" s="15">
        <f t="shared" ref="F1059" si="616">E1059</f>
        <v>90000</v>
      </c>
      <c r="G1059" s="15">
        <f t="shared" si="613"/>
        <v>0</v>
      </c>
      <c r="H1059" s="16">
        <v>0</v>
      </c>
      <c r="I1059" s="17" t="s">
        <v>13</v>
      </c>
      <c r="J1059" s="13" t="s">
        <v>24</v>
      </c>
      <c r="K1059" s="12" t="str">
        <f t="shared" si="615"/>
        <v>2853_01_01_S5_EM01_01_M3</v>
      </c>
      <c r="L1059">
        <v>0</v>
      </c>
    </row>
    <row r="1060" spans="1:12" ht="24" customHeight="1" x14ac:dyDescent="0.25">
      <c r="A1060" s="12" t="str">
        <f t="shared" si="614"/>
        <v>ЩЭ-4 (5бл)  (S5)</v>
      </c>
      <c r="B1060" s="12" t="s">
        <v>10</v>
      </c>
      <c r="C1060" s="18" t="s">
        <v>10</v>
      </c>
      <c r="D1060" s="12" t="s">
        <v>10</v>
      </c>
      <c r="E1060" s="12">
        <f ca="1">OFFSET(E1060,1,2)</f>
        <v>27000</v>
      </c>
      <c r="F1060" s="15">
        <f ca="1">E1060</f>
        <v>27000</v>
      </c>
      <c r="G1060" s="15">
        <f t="shared" ca="1" si="613"/>
        <v>27000</v>
      </c>
      <c r="H1060" s="12">
        <v>1</v>
      </c>
      <c r="I1060" s="12" t="s">
        <v>13</v>
      </c>
      <c r="J1060" s="12" t="s">
        <v>10</v>
      </c>
      <c r="K1060" s="12" t="str">
        <f t="shared" si="615"/>
        <v>2853_01_01_S5_EM01_01_M3</v>
      </c>
      <c r="L1060">
        <v>27000</v>
      </c>
    </row>
    <row r="1061" spans="1:12" ht="21" customHeight="1" x14ac:dyDescent="0.25">
      <c r="A1061" s="12" t="str">
        <f t="shared" si="614"/>
        <v>ЩЭ-4 (5бл)  (S5)</v>
      </c>
      <c r="B1061" s="12" t="s">
        <v>11</v>
      </c>
      <c r="C1061" s="18" t="s">
        <v>11</v>
      </c>
      <c r="D1061" s="12" t="s">
        <v>11</v>
      </c>
      <c r="E1061" s="12">
        <v>4.5</v>
      </c>
      <c r="F1061" s="15">
        <v>100</v>
      </c>
      <c r="G1061" s="15">
        <f t="shared" si="613"/>
        <v>27000</v>
      </c>
      <c r="H1061" s="12">
        <f>60*E1061</f>
        <v>270</v>
      </c>
      <c r="I1061" s="12" t="s">
        <v>13</v>
      </c>
      <c r="J1061" s="12" t="s">
        <v>11</v>
      </c>
      <c r="K1061" s="12" t="str">
        <f t="shared" si="615"/>
        <v>2853_01_01_S5_EM01_01_M3</v>
      </c>
      <c r="L1061">
        <v>27000</v>
      </c>
    </row>
    <row r="1062" spans="1:12" ht="30" customHeight="1" x14ac:dyDescent="0.25">
      <c r="A1062" s="12" t="str">
        <f t="shared" si="614"/>
        <v>ЩЭ-4 (5бл)  (S5)</v>
      </c>
      <c r="B1062" s="19"/>
      <c r="C1062" s="20"/>
      <c r="D1062" s="21"/>
      <c r="E1062" s="23"/>
      <c r="F1062" s="25"/>
      <c r="G1062" s="24">
        <f ca="1">SUM(G1058:G1061)</f>
        <v>55042.8</v>
      </c>
      <c r="H1062" s="20"/>
      <c r="I1062" s="22"/>
      <c r="J1062" s="20"/>
      <c r="K1062" s="12" t="str">
        <f t="shared" si="615"/>
        <v>2853_01_01_S5_EM01_01_M3</v>
      </c>
      <c r="L1062">
        <v>55042.8</v>
      </c>
    </row>
    <row r="1063" spans="1:12" ht="39.75" customHeight="1" x14ac:dyDescent="0.25">
      <c r="A1063" s="5" t="str">
        <f>D1063</f>
        <v>ЩК1 (S5)</v>
      </c>
      <c r="B1063" s="6"/>
      <c r="C1063" s="7"/>
      <c r="D1063" s="6" t="s">
        <v>384</v>
      </c>
      <c r="E1063" s="8"/>
      <c r="F1063" s="8" t="s">
        <v>40</v>
      </c>
      <c r="G1063" s="9"/>
      <c r="H1063" s="10">
        <v>32</v>
      </c>
      <c r="I1063" s="11" t="s">
        <v>7</v>
      </c>
      <c r="J1063" s="6" t="s">
        <v>9</v>
      </c>
      <c r="K1063" s="5" t="s">
        <v>221</v>
      </c>
    </row>
    <row r="1064" spans="1:12" ht="21" customHeight="1" x14ac:dyDescent="0.25">
      <c r="A1064" s="12" t="str">
        <f>A1063</f>
        <v>ЩК1 (S5)</v>
      </c>
      <c r="B1064" s="13" t="s">
        <v>8</v>
      </c>
      <c r="C1064" s="14" t="s">
        <v>308</v>
      </c>
      <c r="D1064" s="12" t="s">
        <v>309</v>
      </c>
      <c r="E1064" s="13">
        <v>10050</v>
      </c>
      <c r="F1064" s="15">
        <f t="shared" ref="F1064:F1069" si="617">E1064*0.6</f>
        <v>6030</v>
      </c>
      <c r="G1064" s="15">
        <f t="shared" ref="G1064:G1071" si="618">H1064*F1064</f>
        <v>6030</v>
      </c>
      <c r="H1064" s="16">
        <v>1</v>
      </c>
      <c r="I1064" s="17" t="s">
        <v>13</v>
      </c>
      <c r="J1064" s="13" t="s">
        <v>16</v>
      </c>
      <c r="K1064" s="12" t="str">
        <f>K1063</f>
        <v>2853_01_01_S5_EM01_01_M3</v>
      </c>
      <c r="L1064">
        <v>6030</v>
      </c>
    </row>
    <row r="1065" spans="1:12" ht="21" customHeight="1" x14ac:dyDescent="0.25">
      <c r="A1065" s="12" t="str">
        <f t="shared" ref="A1065:A1067" si="619">A1064</f>
        <v>ЩК1 (S5)</v>
      </c>
      <c r="B1065" s="13" t="s">
        <v>54</v>
      </c>
      <c r="C1065" s="14" t="s">
        <v>192</v>
      </c>
      <c r="D1065" s="12" t="s">
        <v>193</v>
      </c>
      <c r="E1065" s="13">
        <v>2824</v>
      </c>
      <c r="F1065" s="15">
        <f t="shared" si="617"/>
        <v>1694.3999999999999</v>
      </c>
      <c r="G1065" s="15">
        <f t="shared" si="618"/>
        <v>1694.3999999999999</v>
      </c>
      <c r="H1065" s="16">
        <v>1</v>
      </c>
      <c r="I1065" s="17" t="s">
        <v>13</v>
      </c>
      <c r="J1065" s="13" t="s">
        <v>17</v>
      </c>
      <c r="K1065" s="12" t="str">
        <f t="shared" ref="K1065:K1067" si="620">K1064</f>
        <v>2853_01_01_S5_EM01_01_M3</v>
      </c>
      <c r="L1065">
        <v>1694.3999999999999</v>
      </c>
    </row>
    <row r="1066" spans="1:12" ht="21" customHeight="1" x14ac:dyDescent="0.25">
      <c r="A1066" s="12" t="str">
        <f t="shared" si="619"/>
        <v>ЩК1 (S5)</v>
      </c>
      <c r="B1066" s="13" t="s">
        <v>191</v>
      </c>
      <c r="C1066" s="14" t="s">
        <v>273</v>
      </c>
      <c r="D1066" s="12" t="s">
        <v>274</v>
      </c>
      <c r="E1066" s="13">
        <v>7422</v>
      </c>
      <c r="F1066" s="15">
        <f t="shared" si="617"/>
        <v>4453.2</v>
      </c>
      <c r="G1066" s="15">
        <f t="shared" si="618"/>
        <v>4453.2</v>
      </c>
      <c r="H1066" s="16">
        <v>1</v>
      </c>
      <c r="I1066" s="17" t="s">
        <v>13</v>
      </c>
      <c r="J1066" s="13" t="s">
        <v>17</v>
      </c>
      <c r="K1066" s="12" t="str">
        <f t="shared" si="620"/>
        <v>2853_01_01_S5_EM01_01_M3</v>
      </c>
      <c r="L1066">
        <v>4453.2</v>
      </c>
    </row>
    <row r="1067" spans="1:12" ht="21" customHeight="1" x14ac:dyDescent="0.25">
      <c r="A1067" s="12" t="str">
        <f t="shared" si="619"/>
        <v>ЩК1 (S5)</v>
      </c>
      <c r="B1067" s="13" t="s">
        <v>191</v>
      </c>
      <c r="C1067" s="14" t="s">
        <v>189</v>
      </c>
      <c r="D1067" s="12" t="s">
        <v>190</v>
      </c>
      <c r="E1067" s="13">
        <v>7795</v>
      </c>
      <c r="F1067" s="15">
        <f t="shared" si="617"/>
        <v>4677</v>
      </c>
      <c r="G1067" s="15">
        <f t="shared" si="618"/>
        <v>4677</v>
      </c>
      <c r="H1067" s="16">
        <v>1</v>
      </c>
      <c r="I1067" s="17" t="s">
        <v>13</v>
      </c>
      <c r="J1067" s="13" t="s">
        <v>17</v>
      </c>
      <c r="K1067" s="12" t="str">
        <f t="shared" si="620"/>
        <v>2853_01_01_S5_EM01_01_M3</v>
      </c>
      <c r="L1067">
        <v>4677</v>
      </c>
    </row>
    <row r="1068" spans="1:12" ht="21" customHeight="1" x14ac:dyDescent="0.25">
      <c r="A1068" s="12" t="str">
        <f>A1063</f>
        <v>ЩК1 (S5)</v>
      </c>
      <c r="B1068" s="13" t="s">
        <v>12</v>
      </c>
      <c r="C1068" s="14" t="s">
        <v>125</v>
      </c>
      <c r="D1068" s="12" t="s">
        <v>126</v>
      </c>
      <c r="E1068" s="13">
        <v>796</v>
      </c>
      <c r="F1068" s="15">
        <f t="shared" si="617"/>
        <v>477.59999999999997</v>
      </c>
      <c r="G1068" s="15">
        <f t="shared" si="618"/>
        <v>1432.8</v>
      </c>
      <c r="H1068" s="16">
        <v>3</v>
      </c>
      <c r="I1068" s="17" t="s">
        <v>13</v>
      </c>
      <c r="J1068" s="13" t="s">
        <v>17</v>
      </c>
      <c r="K1068" s="12" t="str">
        <f>K1063</f>
        <v>2853_01_01_S5_EM01_01_M3</v>
      </c>
      <c r="L1068">
        <v>1432.8</v>
      </c>
    </row>
    <row r="1069" spans="1:12" ht="21" customHeight="1" x14ac:dyDescent="0.25">
      <c r="A1069" s="12" t="str">
        <f>A1064</f>
        <v>ЩК1 (S5)</v>
      </c>
      <c r="B1069" s="13" t="s">
        <v>12</v>
      </c>
      <c r="C1069" s="14" t="s">
        <v>36</v>
      </c>
      <c r="D1069" s="12" t="s">
        <v>37</v>
      </c>
      <c r="E1069" s="13">
        <v>783</v>
      </c>
      <c r="F1069" s="15">
        <f t="shared" si="617"/>
        <v>469.79999999999995</v>
      </c>
      <c r="G1069" s="15">
        <f t="shared" si="618"/>
        <v>469.79999999999995</v>
      </c>
      <c r="H1069" s="16">
        <v>1</v>
      </c>
      <c r="I1069" s="17" t="s">
        <v>13</v>
      </c>
      <c r="J1069" s="13" t="s">
        <v>17</v>
      </c>
      <c r="K1069" s="12" t="str">
        <f>K1064</f>
        <v>2853_01_01_S5_EM01_01_M3</v>
      </c>
      <c r="L1069">
        <v>469.79999999999995</v>
      </c>
    </row>
    <row r="1070" spans="1:12" ht="24" customHeight="1" x14ac:dyDescent="0.25">
      <c r="A1070" s="12" t="str">
        <f t="shared" ref="A1070:A1072" si="621">A1069</f>
        <v>ЩК1 (S5)</v>
      </c>
      <c r="B1070" s="12" t="s">
        <v>10</v>
      </c>
      <c r="C1070" s="18" t="s">
        <v>10</v>
      </c>
      <c r="D1070" s="12" t="s">
        <v>10</v>
      </c>
      <c r="E1070" s="12">
        <f ca="1">OFFSET(E1070,1,2)</f>
        <v>4200</v>
      </c>
      <c r="F1070" s="15">
        <f ca="1">E1070</f>
        <v>4200</v>
      </c>
      <c r="G1070" s="15">
        <f t="shared" ca="1" si="618"/>
        <v>4200</v>
      </c>
      <c r="H1070" s="12">
        <v>1</v>
      </c>
      <c r="I1070" s="12" t="s">
        <v>13</v>
      </c>
      <c r="J1070" s="12" t="s">
        <v>10</v>
      </c>
      <c r="K1070" s="12" t="str">
        <f t="shared" ref="K1070:K1072" si="622">K1069</f>
        <v>2853_01_01_S5_EM01_01_M3</v>
      </c>
      <c r="L1070">
        <v>4200</v>
      </c>
    </row>
    <row r="1071" spans="1:12" ht="21" customHeight="1" x14ac:dyDescent="0.25">
      <c r="A1071" s="12" t="str">
        <f t="shared" si="621"/>
        <v>ЩК1 (S5)</v>
      </c>
      <c r="B1071" s="12" t="s">
        <v>11</v>
      </c>
      <c r="C1071" s="18" t="s">
        <v>11</v>
      </c>
      <c r="D1071" s="12" t="s">
        <v>11</v>
      </c>
      <c r="E1071" s="12">
        <v>0.7</v>
      </c>
      <c r="F1071" s="15">
        <v>100</v>
      </c>
      <c r="G1071" s="15">
        <f t="shared" si="618"/>
        <v>4200</v>
      </c>
      <c r="H1071" s="12">
        <f>60*E1071</f>
        <v>42</v>
      </c>
      <c r="I1071" s="12" t="s">
        <v>13</v>
      </c>
      <c r="J1071" s="12" t="s">
        <v>11</v>
      </c>
      <c r="K1071" s="12" t="str">
        <f t="shared" si="622"/>
        <v>2853_01_01_S5_EM01_01_M3</v>
      </c>
      <c r="L1071">
        <v>4200</v>
      </c>
    </row>
    <row r="1072" spans="1:12" ht="30" customHeight="1" x14ac:dyDescent="0.25">
      <c r="A1072" s="12" t="str">
        <f t="shared" si="621"/>
        <v>ЩК1 (S5)</v>
      </c>
      <c r="B1072" s="19"/>
      <c r="C1072" s="20"/>
      <c r="D1072" s="21"/>
      <c r="E1072" s="23"/>
      <c r="F1072" s="25"/>
      <c r="G1072" s="24">
        <f ca="1">SUM(G1064:G1071)</f>
        <v>27157.199999999997</v>
      </c>
      <c r="H1072" s="20"/>
      <c r="I1072" s="22"/>
      <c r="J1072" s="20"/>
      <c r="K1072" s="12" t="str">
        <f t="shared" si="622"/>
        <v>2853_01_01_S5_EM01_01_M3</v>
      </c>
      <c r="L1072">
        <v>27157.199999999997</v>
      </c>
    </row>
    <row r="1073" spans="1:12" ht="39.75" customHeight="1" x14ac:dyDescent="0.25">
      <c r="A1073" s="5" t="str">
        <f>D1073</f>
        <v>ЩР-5.1, ЩР-5.2 (S5)</v>
      </c>
      <c r="B1073" s="6"/>
      <c r="C1073" s="7"/>
      <c r="D1073" s="6" t="s">
        <v>385</v>
      </c>
      <c r="E1073" s="8"/>
      <c r="F1073" s="8" t="s">
        <v>40</v>
      </c>
      <c r="G1073" s="9"/>
      <c r="H1073" s="10">
        <v>2</v>
      </c>
      <c r="I1073" s="11" t="s">
        <v>7</v>
      </c>
      <c r="J1073" s="6" t="s">
        <v>9</v>
      </c>
      <c r="K1073" s="5" t="s">
        <v>221</v>
      </c>
    </row>
    <row r="1074" spans="1:12" ht="20.25" customHeight="1" x14ac:dyDescent="0.25">
      <c r="A1074" s="12" t="str">
        <f>A1073</f>
        <v>ЩР-5.1, ЩР-5.2 (S5)</v>
      </c>
      <c r="B1074" s="13" t="s">
        <v>8</v>
      </c>
      <c r="C1074" s="14" t="s">
        <v>471</v>
      </c>
      <c r="D1074" s="12" t="s">
        <v>472</v>
      </c>
      <c r="E1074" s="13">
        <v>10620</v>
      </c>
      <c r="F1074" s="15">
        <f t="shared" ref="F1074:F1075" si="623">E1074*0.6</f>
        <v>6372</v>
      </c>
      <c r="G1074" s="15">
        <f t="shared" ref="G1074:G1077" si="624">H1074*F1074</f>
        <v>6372</v>
      </c>
      <c r="H1074" s="16">
        <v>1</v>
      </c>
      <c r="I1074" s="17" t="s">
        <v>13</v>
      </c>
      <c r="J1074" s="13" t="s">
        <v>16</v>
      </c>
      <c r="K1074" s="12" t="str">
        <f>K1073</f>
        <v>2853_01_01_S5_EM01_01_M3</v>
      </c>
      <c r="L1074">
        <v>6372</v>
      </c>
    </row>
    <row r="1075" spans="1:12" ht="21" customHeight="1" x14ac:dyDescent="0.25">
      <c r="A1075" s="12" t="str">
        <f t="shared" ref="A1075:A1078" si="625">A1074</f>
        <v>ЩР-5.1, ЩР-5.2 (S5)</v>
      </c>
      <c r="B1075" s="13" t="s">
        <v>54</v>
      </c>
      <c r="C1075" s="14" t="s">
        <v>119</v>
      </c>
      <c r="D1075" s="12" t="s">
        <v>120</v>
      </c>
      <c r="E1075" s="13">
        <v>4217</v>
      </c>
      <c r="F1075" s="15">
        <f t="shared" si="623"/>
        <v>2530.1999999999998</v>
      </c>
      <c r="G1075" s="15">
        <f t="shared" si="624"/>
        <v>2530.1999999999998</v>
      </c>
      <c r="H1075" s="16">
        <v>1</v>
      </c>
      <c r="I1075" s="17" t="s">
        <v>13</v>
      </c>
      <c r="J1075" s="13" t="s">
        <v>17</v>
      </c>
      <c r="K1075" s="12" t="str">
        <f t="shared" ref="K1075:K1078" si="626">K1074</f>
        <v>2853_01_01_S5_EM01_01_M3</v>
      </c>
      <c r="L1075">
        <v>2530.1999999999998</v>
      </c>
    </row>
    <row r="1076" spans="1:12" ht="24" customHeight="1" x14ac:dyDescent="0.25">
      <c r="A1076" s="12" t="str">
        <f t="shared" si="625"/>
        <v>ЩР-5.1, ЩР-5.2 (S5)</v>
      </c>
      <c r="B1076" s="12" t="s">
        <v>10</v>
      </c>
      <c r="C1076" s="18" t="s">
        <v>10</v>
      </c>
      <c r="D1076" s="12" t="s">
        <v>10</v>
      </c>
      <c r="E1076" s="12">
        <f ca="1">OFFSET(E1076,1,2)</f>
        <v>60</v>
      </c>
      <c r="F1076" s="15">
        <f ca="1">E1076</f>
        <v>60</v>
      </c>
      <c r="G1076" s="15">
        <f t="shared" ca="1" si="624"/>
        <v>60</v>
      </c>
      <c r="H1076" s="12">
        <v>1</v>
      </c>
      <c r="I1076" s="12" t="s">
        <v>13</v>
      </c>
      <c r="J1076" s="12" t="s">
        <v>10</v>
      </c>
      <c r="K1076" s="12" t="str">
        <f t="shared" si="626"/>
        <v>2853_01_01_S5_EM01_01_M3</v>
      </c>
      <c r="L1076">
        <v>60</v>
      </c>
    </row>
    <row r="1077" spans="1:12" ht="21" customHeight="1" x14ac:dyDescent="0.25">
      <c r="A1077" s="12" t="str">
        <f t="shared" si="625"/>
        <v>ЩР-5.1, ЩР-5.2 (S5)</v>
      </c>
      <c r="B1077" s="12" t="s">
        <v>11</v>
      </c>
      <c r="C1077" s="18" t="s">
        <v>11</v>
      </c>
      <c r="D1077" s="12" t="s">
        <v>11</v>
      </c>
      <c r="E1077" s="12">
        <v>0.01</v>
      </c>
      <c r="F1077" s="15">
        <v>100</v>
      </c>
      <c r="G1077" s="15">
        <f t="shared" si="624"/>
        <v>60</v>
      </c>
      <c r="H1077" s="12">
        <f>60*E1077</f>
        <v>0.6</v>
      </c>
      <c r="I1077" s="12" t="s">
        <v>13</v>
      </c>
      <c r="J1077" s="12" t="s">
        <v>11</v>
      </c>
      <c r="K1077" s="12" t="str">
        <f t="shared" si="626"/>
        <v>2853_01_01_S5_EM01_01_M3</v>
      </c>
      <c r="L1077">
        <v>60</v>
      </c>
    </row>
    <row r="1078" spans="1:12" ht="30" customHeight="1" x14ac:dyDescent="0.25">
      <c r="A1078" s="12" t="str">
        <f t="shared" si="625"/>
        <v>ЩР-5.1, ЩР-5.2 (S5)</v>
      </c>
      <c r="B1078" s="19"/>
      <c r="C1078" s="20"/>
      <c r="D1078" s="21"/>
      <c r="E1078" s="23"/>
      <c r="F1078" s="25"/>
      <c r="G1078" s="24">
        <f ca="1">SUM(G1074:G1077)</f>
        <v>9022.2000000000007</v>
      </c>
      <c r="H1078" s="20"/>
      <c r="I1078" s="22"/>
      <c r="J1078" s="20"/>
      <c r="K1078" s="12" t="str">
        <f t="shared" si="626"/>
        <v>2853_01_01_S5_EM01_01_M3</v>
      </c>
      <c r="L1078">
        <v>9022.2000000000007</v>
      </c>
    </row>
    <row r="1079" spans="1:12" ht="39.75" customHeight="1" x14ac:dyDescent="0.25">
      <c r="A1079" s="5" t="str">
        <f>D1079</f>
        <v>ЯТП-0,25-23УЗ  (S5)</v>
      </c>
      <c r="B1079" s="6"/>
      <c r="C1079" s="7"/>
      <c r="D1079" s="6" t="s">
        <v>403</v>
      </c>
      <c r="E1079" s="8"/>
      <c r="F1079" s="8"/>
      <c r="G1079" s="9"/>
      <c r="H1079" s="10">
        <v>1</v>
      </c>
      <c r="I1079" s="11" t="s">
        <v>7</v>
      </c>
      <c r="J1079" s="6" t="s">
        <v>9</v>
      </c>
      <c r="K1079" s="5" t="s">
        <v>221</v>
      </c>
    </row>
    <row r="1080" spans="1:12" ht="21" customHeight="1" x14ac:dyDescent="0.25">
      <c r="A1080" s="5" t="s">
        <v>222</v>
      </c>
      <c r="B1080" s="6"/>
      <c r="C1080" s="7"/>
      <c r="D1080" s="6" t="s">
        <v>277</v>
      </c>
      <c r="E1080" s="8"/>
      <c r="F1080" s="8"/>
      <c r="G1080" s="9"/>
      <c r="H1080" s="10">
        <v>1</v>
      </c>
      <c r="I1080" s="11" t="s">
        <v>7</v>
      </c>
      <c r="J1080" s="6" t="s">
        <v>9</v>
      </c>
      <c r="K1080" s="5" t="s">
        <v>234</v>
      </c>
    </row>
    <row r="1081" spans="1:12" ht="21" customHeight="1" x14ac:dyDescent="0.25">
      <c r="A1081" s="12" t="s">
        <v>222</v>
      </c>
      <c r="B1081" s="13" t="s">
        <v>8</v>
      </c>
      <c r="C1081" s="14" t="s">
        <v>252</v>
      </c>
      <c r="D1081" s="12" t="s">
        <v>253</v>
      </c>
      <c r="E1081" s="13">
        <v>30540</v>
      </c>
      <c r="F1081" s="15">
        <f t="shared" ref="F1081:F1092" si="627">E1081*0.6</f>
        <v>18324</v>
      </c>
      <c r="G1081" s="15">
        <f t="shared" ref="G1081:G1096" si="628">H1081*F1081</f>
        <v>18324</v>
      </c>
      <c r="H1081" s="16">
        <v>1</v>
      </c>
      <c r="I1081" s="17" t="s">
        <v>13</v>
      </c>
      <c r="J1081" s="13" t="s">
        <v>16</v>
      </c>
      <c r="K1081" s="12" t="str">
        <f>K1080</f>
        <v>2853_02_01_FO01_01_M3</v>
      </c>
      <c r="L1081">
        <v>18324</v>
      </c>
    </row>
    <row r="1082" spans="1:12" ht="21" customHeight="1" x14ac:dyDescent="0.25">
      <c r="A1082" s="12" t="str">
        <f t="shared" ref="A1082" si="629">A1081</f>
        <v>ШНО (ЯУО9601-3474УХЛ4)</v>
      </c>
      <c r="B1082" s="13" t="s">
        <v>54</v>
      </c>
      <c r="C1082" s="14" t="s">
        <v>57</v>
      </c>
      <c r="D1082" s="12" t="s">
        <v>58</v>
      </c>
      <c r="E1082" s="13">
        <v>3372</v>
      </c>
      <c r="F1082" s="15">
        <f t="shared" si="627"/>
        <v>2023.1999999999998</v>
      </c>
      <c r="G1082" s="15">
        <f t="shared" si="628"/>
        <v>2023.1999999999998</v>
      </c>
      <c r="H1082" s="16">
        <v>1</v>
      </c>
      <c r="I1082" s="17" t="s">
        <v>13</v>
      </c>
      <c r="J1082" s="13" t="s">
        <v>17</v>
      </c>
      <c r="K1082" s="12" t="str">
        <f t="shared" ref="K1082" si="630">K1081</f>
        <v>2853_02_01_FO01_01_M3</v>
      </c>
      <c r="L1082">
        <v>2023.1999999999998</v>
      </c>
    </row>
    <row r="1083" spans="1:12" ht="21" customHeight="1" x14ac:dyDescent="0.25">
      <c r="A1083" s="12" t="s">
        <v>222</v>
      </c>
      <c r="B1083" s="13" t="s">
        <v>205</v>
      </c>
      <c r="C1083" s="14" t="s">
        <v>235</v>
      </c>
      <c r="D1083" s="12" t="s">
        <v>236</v>
      </c>
      <c r="E1083" s="13">
        <v>13919</v>
      </c>
      <c r="F1083" s="15">
        <f t="shared" si="627"/>
        <v>8351.4</v>
      </c>
      <c r="G1083" s="15">
        <f t="shared" si="628"/>
        <v>8351.4</v>
      </c>
      <c r="H1083" s="16">
        <v>1</v>
      </c>
      <c r="I1083" s="17" t="s">
        <v>13</v>
      </c>
      <c r="J1083" s="13" t="s">
        <v>17</v>
      </c>
      <c r="K1083" s="12" t="str">
        <f t="shared" ref="K1083:K1097" si="631">K1082</f>
        <v>2853_02_01_FO01_01_M3</v>
      </c>
      <c r="L1083">
        <v>8351.4</v>
      </c>
    </row>
    <row r="1084" spans="1:12" ht="21" customHeight="1" x14ac:dyDescent="0.25">
      <c r="A1084" s="12" t="s">
        <v>222</v>
      </c>
      <c r="B1084" s="13" t="s">
        <v>12</v>
      </c>
      <c r="C1084" s="14" t="s">
        <v>201</v>
      </c>
      <c r="D1084" s="12" t="s">
        <v>202</v>
      </c>
      <c r="E1084" s="13">
        <v>2447</v>
      </c>
      <c r="F1084" s="15">
        <f t="shared" si="627"/>
        <v>1468.2</v>
      </c>
      <c r="G1084" s="15">
        <f t="shared" si="628"/>
        <v>4404.6000000000004</v>
      </c>
      <c r="H1084" s="16">
        <v>3</v>
      </c>
      <c r="I1084" s="17" t="s">
        <v>13</v>
      </c>
      <c r="J1084" s="13" t="s">
        <v>17</v>
      </c>
      <c r="K1084" s="12" t="str">
        <f t="shared" si="631"/>
        <v>2853_02_01_FO01_01_M3</v>
      </c>
      <c r="L1084">
        <v>4404.6000000000004</v>
      </c>
    </row>
    <row r="1085" spans="1:12" ht="21" customHeight="1" x14ac:dyDescent="0.25">
      <c r="A1085" s="12" t="s">
        <v>222</v>
      </c>
      <c r="B1085" s="13" t="s">
        <v>213</v>
      </c>
      <c r="C1085" s="26" t="s">
        <v>223</v>
      </c>
      <c r="D1085" s="12" t="s">
        <v>224</v>
      </c>
      <c r="E1085" s="27">
        <v>2449</v>
      </c>
      <c r="F1085" s="15">
        <f t="shared" si="627"/>
        <v>1469.3999999999999</v>
      </c>
      <c r="G1085" s="15">
        <f t="shared" si="628"/>
        <v>1469.3999999999999</v>
      </c>
      <c r="H1085" s="16">
        <v>1</v>
      </c>
      <c r="I1085" s="17" t="s">
        <v>13</v>
      </c>
      <c r="J1085" s="13" t="s">
        <v>17</v>
      </c>
      <c r="K1085" s="12" t="str">
        <f t="shared" si="631"/>
        <v>2853_02_01_FO01_01_M3</v>
      </c>
      <c r="L1085">
        <v>1469.3999999999999</v>
      </c>
    </row>
    <row r="1086" spans="1:12" ht="21" customHeight="1" x14ac:dyDescent="0.25">
      <c r="A1086" s="12" t="s">
        <v>222</v>
      </c>
      <c r="B1086" s="13" t="s">
        <v>208</v>
      </c>
      <c r="C1086" s="26" t="s">
        <v>209</v>
      </c>
      <c r="D1086" s="12" t="s">
        <v>210</v>
      </c>
      <c r="E1086" s="27">
        <v>589</v>
      </c>
      <c r="F1086" s="15">
        <f t="shared" si="627"/>
        <v>353.4</v>
      </c>
      <c r="G1086" s="15">
        <f t="shared" si="628"/>
        <v>353.4</v>
      </c>
      <c r="H1086" s="16">
        <v>1</v>
      </c>
      <c r="I1086" s="17" t="s">
        <v>13</v>
      </c>
      <c r="J1086" s="13" t="s">
        <v>17</v>
      </c>
      <c r="K1086" s="12" t="str">
        <f t="shared" si="631"/>
        <v>2853_02_01_FO01_01_M3</v>
      </c>
      <c r="L1086">
        <v>353.4</v>
      </c>
    </row>
    <row r="1087" spans="1:12" ht="21" customHeight="1" x14ac:dyDescent="0.25">
      <c r="A1087" s="12" t="s">
        <v>222</v>
      </c>
      <c r="B1087" s="13" t="s">
        <v>225</v>
      </c>
      <c r="C1087" s="14" t="s">
        <v>226</v>
      </c>
      <c r="D1087" s="12" t="s">
        <v>227</v>
      </c>
      <c r="E1087" s="13">
        <v>689</v>
      </c>
      <c r="F1087" s="15">
        <f t="shared" si="627"/>
        <v>413.4</v>
      </c>
      <c r="G1087" s="15">
        <f t="shared" si="628"/>
        <v>413.4</v>
      </c>
      <c r="H1087" s="16">
        <v>1</v>
      </c>
      <c r="I1087" s="17" t="s">
        <v>13</v>
      </c>
      <c r="J1087" s="13" t="s">
        <v>17</v>
      </c>
      <c r="K1087" s="12" t="str">
        <f t="shared" si="631"/>
        <v>2853_02_01_FO01_01_M3</v>
      </c>
      <c r="L1087">
        <v>413.4</v>
      </c>
    </row>
    <row r="1088" spans="1:12" ht="21" customHeight="1" x14ac:dyDescent="0.25">
      <c r="A1088" s="12" t="s">
        <v>222</v>
      </c>
      <c r="B1088" s="13" t="s">
        <v>225</v>
      </c>
      <c r="C1088" s="14" t="s">
        <v>228</v>
      </c>
      <c r="D1088" s="12" t="s">
        <v>229</v>
      </c>
      <c r="E1088" s="13">
        <v>689</v>
      </c>
      <c r="F1088" s="15">
        <f t="shared" si="627"/>
        <v>413.4</v>
      </c>
      <c r="G1088" s="15">
        <f t="shared" si="628"/>
        <v>413.4</v>
      </c>
      <c r="H1088" s="16">
        <v>1</v>
      </c>
      <c r="I1088" s="17" t="s">
        <v>13</v>
      </c>
      <c r="J1088" s="13" t="s">
        <v>17</v>
      </c>
      <c r="K1088" s="12" t="str">
        <f t="shared" si="631"/>
        <v>2853_02_01_FO01_01_M3</v>
      </c>
      <c r="L1088">
        <v>413.4</v>
      </c>
    </row>
    <row r="1089" spans="1:12" ht="21" customHeight="1" x14ac:dyDescent="0.25">
      <c r="A1089" s="12" t="s">
        <v>222</v>
      </c>
      <c r="B1089" s="13" t="s">
        <v>12</v>
      </c>
      <c r="C1089" s="14" t="s">
        <v>19</v>
      </c>
      <c r="D1089" s="12" t="s">
        <v>20</v>
      </c>
      <c r="E1089" s="13">
        <v>975</v>
      </c>
      <c r="F1089" s="15">
        <f t="shared" si="627"/>
        <v>585</v>
      </c>
      <c r="G1089" s="15">
        <f t="shared" si="628"/>
        <v>585</v>
      </c>
      <c r="H1089" s="16">
        <v>1</v>
      </c>
      <c r="I1089" s="17" t="s">
        <v>13</v>
      </c>
      <c r="J1089" s="13" t="s">
        <v>17</v>
      </c>
      <c r="K1089" s="12" t="str">
        <f t="shared" si="631"/>
        <v>2853_02_01_FO01_01_M3</v>
      </c>
      <c r="L1089">
        <v>585</v>
      </c>
    </row>
    <row r="1090" spans="1:12" ht="21" customHeight="1" x14ac:dyDescent="0.25">
      <c r="A1090" s="12" t="s">
        <v>222</v>
      </c>
      <c r="B1090" s="13" t="s">
        <v>203</v>
      </c>
      <c r="C1090" s="14" t="s">
        <v>211</v>
      </c>
      <c r="D1090" s="12" t="s">
        <v>212</v>
      </c>
      <c r="E1090" s="13">
        <v>4250</v>
      </c>
      <c r="F1090" s="15">
        <f t="shared" si="627"/>
        <v>2550</v>
      </c>
      <c r="G1090" s="15">
        <f t="shared" si="628"/>
        <v>2550</v>
      </c>
      <c r="H1090" s="16">
        <v>1</v>
      </c>
      <c r="I1090" s="17" t="s">
        <v>13</v>
      </c>
      <c r="J1090" s="13" t="s">
        <v>17</v>
      </c>
      <c r="K1090" s="12" t="str">
        <f t="shared" si="631"/>
        <v>2853_02_01_FO01_01_M3</v>
      </c>
      <c r="L1090">
        <v>2550</v>
      </c>
    </row>
    <row r="1091" spans="1:12" ht="21" customHeight="1" x14ac:dyDescent="0.25">
      <c r="A1091" s="12" t="str">
        <f>A1089</f>
        <v>ШНО (ЯУО9601-3474УХЛ4)</v>
      </c>
      <c r="B1091" s="13" t="s">
        <v>21</v>
      </c>
      <c r="C1091" s="14" t="s">
        <v>174</v>
      </c>
      <c r="D1091" s="12" t="s">
        <v>175</v>
      </c>
      <c r="E1091" s="13">
        <v>5719</v>
      </c>
      <c r="F1091" s="15">
        <f t="shared" si="627"/>
        <v>3431.4</v>
      </c>
      <c r="G1091" s="15">
        <f t="shared" si="628"/>
        <v>6862.8</v>
      </c>
      <c r="H1091" s="16">
        <v>2</v>
      </c>
      <c r="I1091" s="17" t="s">
        <v>13</v>
      </c>
      <c r="J1091" s="13" t="s">
        <v>17</v>
      </c>
      <c r="K1091" s="12" t="str">
        <f>K1089</f>
        <v>2853_02_01_FO01_01_M3</v>
      </c>
      <c r="L1091">
        <v>6862.8</v>
      </c>
    </row>
    <row r="1092" spans="1:12" ht="21" customHeight="1" x14ac:dyDescent="0.25">
      <c r="A1092" s="12" t="s">
        <v>222</v>
      </c>
      <c r="B1092" s="13" t="s">
        <v>230</v>
      </c>
      <c r="C1092" s="14" t="s">
        <v>231</v>
      </c>
      <c r="D1092" s="12" t="s">
        <v>232</v>
      </c>
      <c r="E1092" s="13">
        <v>18847</v>
      </c>
      <c r="F1092" s="15">
        <f t="shared" si="627"/>
        <v>11308.199999999999</v>
      </c>
      <c r="G1092" s="15">
        <f t="shared" si="628"/>
        <v>11308.199999999999</v>
      </c>
      <c r="H1092" s="16">
        <v>1</v>
      </c>
      <c r="I1092" s="17" t="s">
        <v>13</v>
      </c>
      <c r="J1092" s="13" t="s">
        <v>17</v>
      </c>
      <c r="K1092" s="12" t="str">
        <f>K1090</f>
        <v>2853_02_01_FO01_01_M3</v>
      </c>
      <c r="L1092">
        <v>11308.199999999999</v>
      </c>
    </row>
    <row r="1093" spans="1:12" ht="21" customHeight="1" x14ac:dyDescent="0.25">
      <c r="A1093" s="12" t="s">
        <v>222</v>
      </c>
      <c r="B1093" s="13" t="s">
        <v>206</v>
      </c>
      <c r="C1093" s="12" t="s">
        <v>233</v>
      </c>
      <c r="D1093" s="12" t="s">
        <v>481</v>
      </c>
      <c r="E1093" s="13">
        <v>6500</v>
      </c>
      <c r="F1093" s="15">
        <f t="shared" ref="F1093" si="632">E1093</f>
        <v>6500</v>
      </c>
      <c r="G1093" s="15">
        <f t="shared" si="628"/>
        <v>6500</v>
      </c>
      <c r="H1093" s="16">
        <v>1</v>
      </c>
      <c r="I1093" s="17" t="s">
        <v>13</v>
      </c>
      <c r="J1093" s="13" t="s">
        <v>24</v>
      </c>
      <c r="K1093" s="12" t="str">
        <f t="shared" si="631"/>
        <v>2853_02_01_FO01_01_M3</v>
      </c>
      <c r="L1093">
        <v>6500</v>
      </c>
    </row>
    <row r="1094" spans="1:12" ht="22.5" customHeight="1" x14ac:dyDescent="0.25">
      <c r="A1094" s="12" t="str">
        <f>A1092</f>
        <v>ШНО (ЯУО9601-3474УХЛ4)</v>
      </c>
      <c r="B1094" s="13" t="s">
        <v>18</v>
      </c>
      <c r="C1094" s="14" t="s">
        <v>292</v>
      </c>
      <c r="D1094" s="12" t="s">
        <v>293</v>
      </c>
      <c r="E1094" s="13">
        <v>90000</v>
      </c>
      <c r="F1094" s="15">
        <f t="shared" ref="F1094" si="633">E1094</f>
        <v>90000</v>
      </c>
      <c r="G1094" s="15">
        <f t="shared" si="628"/>
        <v>0</v>
      </c>
      <c r="H1094" s="16">
        <v>0</v>
      </c>
      <c r="I1094" s="17" t="s">
        <v>13</v>
      </c>
      <c r="J1094" s="13" t="s">
        <v>24</v>
      </c>
      <c r="K1094" s="12" t="str">
        <f>K1092</f>
        <v>2853_02_01_FO01_01_M3</v>
      </c>
      <c r="L1094">
        <v>0</v>
      </c>
    </row>
    <row r="1095" spans="1:12" ht="21" customHeight="1" x14ac:dyDescent="0.25">
      <c r="A1095" s="12" t="s">
        <v>222</v>
      </c>
      <c r="B1095" s="12" t="s">
        <v>10</v>
      </c>
      <c r="C1095" s="18" t="s">
        <v>10</v>
      </c>
      <c r="D1095" s="12" t="s">
        <v>10</v>
      </c>
      <c r="E1095" s="12">
        <f ca="1">OFFSET(E1095,1,2)</f>
        <v>42000</v>
      </c>
      <c r="F1095" s="15">
        <f ca="1">E1095</f>
        <v>42000</v>
      </c>
      <c r="G1095" s="15">
        <f t="shared" ca="1" si="628"/>
        <v>42000</v>
      </c>
      <c r="H1095" s="12">
        <v>1</v>
      </c>
      <c r="I1095" s="12" t="s">
        <v>13</v>
      </c>
      <c r="J1095" s="12" t="s">
        <v>10</v>
      </c>
      <c r="K1095" s="12" t="str">
        <f>K1093</f>
        <v>2853_02_01_FO01_01_M3</v>
      </c>
      <c r="L1095">
        <v>42000</v>
      </c>
    </row>
    <row r="1096" spans="1:12" ht="21" customHeight="1" x14ac:dyDescent="0.25">
      <c r="A1096" s="12" t="s">
        <v>222</v>
      </c>
      <c r="B1096" s="12" t="s">
        <v>11</v>
      </c>
      <c r="C1096" s="18" t="s">
        <v>11</v>
      </c>
      <c r="D1096" s="12" t="s">
        <v>11</v>
      </c>
      <c r="E1096" s="12">
        <v>7</v>
      </c>
      <c r="F1096" s="15">
        <v>100</v>
      </c>
      <c r="G1096" s="15">
        <f t="shared" si="628"/>
        <v>42000</v>
      </c>
      <c r="H1096" s="12">
        <f>60*E1096</f>
        <v>420</v>
      </c>
      <c r="I1096" s="12" t="s">
        <v>13</v>
      </c>
      <c r="J1096" s="12" t="s">
        <v>11</v>
      </c>
      <c r="K1096" s="12" t="str">
        <f t="shared" si="631"/>
        <v>2853_02_01_FO01_01_M3</v>
      </c>
      <c r="L1096">
        <v>42000</v>
      </c>
    </row>
    <row r="1097" spans="1:12" ht="21" customHeight="1" x14ac:dyDescent="0.25">
      <c r="A1097" s="12" t="s">
        <v>222</v>
      </c>
      <c r="B1097" s="19"/>
      <c r="C1097" s="20"/>
      <c r="D1097" s="21"/>
      <c r="E1097" s="23"/>
      <c r="F1097" s="25"/>
      <c r="G1097" s="24">
        <v>51424.800000000003</v>
      </c>
      <c r="H1097" s="20"/>
      <c r="I1097" s="22"/>
      <c r="J1097" s="20"/>
      <c r="K1097" s="12" t="str">
        <f t="shared" si="631"/>
        <v>2853_02_01_FO01_01_M3</v>
      </c>
      <c r="L1097">
        <v>51424.800000000003</v>
      </c>
    </row>
    <row r="1098" spans="1:12" ht="39.75" customHeight="1" x14ac:dyDescent="0.25">
      <c r="A1098" s="5" t="str">
        <f>D1098</f>
        <v>ЩР-1 (FO01)</v>
      </c>
      <c r="B1098" s="6"/>
      <c r="C1098" s="7"/>
      <c r="D1098" s="6" t="s">
        <v>275</v>
      </c>
      <c r="E1098" s="8"/>
      <c r="F1098" s="8" t="s">
        <v>40</v>
      </c>
      <c r="G1098" s="9"/>
      <c r="H1098" s="10">
        <v>1</v>
      </c>
      <c r="I1098" s="11" t="s">
        <v>7</v>
      </c>
      <c r="J1098" s="6" t="s">
        <v>9</v>
      </c>
      <c r="K1098" s="5" t="s">
        <v>234</v>
      </c>
    </row>
    <row r="1099" spans="1:12" ht="21" customHeight="1" x14ac:dyDescent="0.25">
      <c r="A1099" s="12" t="str">
        <f>A1098</f>
        <v>ЩР-1 (FO01)</v>
      </c>
      <c r="B1099" s="13" t="s">
        <v>8</v>
      </c>
      <c r="C1099" s="14" t="s">
        <v>314</v>
      </c>
      <c r="D1099" s="12" t="s">
        <v>315</v>
      </c>
      <c r="E1099" s="13">
        <v>8990</v>
      </c>
      <c r="F1099" s="15">
        <f t="shared" ref="F1099:F1101" si="634">E1099*0.6</f>
        <v>5394</v>
      </c>
      <c r="G1099" s="15">
        <f t="shared" ref="G1099:G1103" si="635">H1099*F1099</f>
        <v>5394</v>
      </c>
      <c r="H1099" s="16">
        <v>1</v>
      </c>
      <c r="I1099" s="17" t="s">
        <v>13</v>
      </c>
      <c r="J1099" s="13" t="s">
        <v>16</v>
      </c>
      <c r="K1099" s="12" t="str">
        <f>K1098</f>
        <v>2853_02_01_FO01_01_M3</v>
      </c>
      <c r="L1099">
        <v>5394</v>
      </c>
    </row>
    <row r="1100" spans="1:12" ht="21" customHeight="1" x14ac:dyDescent="0.25">
      <c r="A1100" s="12" t="str">
        <f t="shared" ref="A1100" si="636">A1099</f>
        <v>ЩР-1 (FO01)</v>
      </c>
      <c r="B1100" s="13" t="s">
        <v>54</v>
      </c>
      <c r="C1100" s="14" t="s">
        <v>55</v>
      </c>
      <c r="D1100" s="12" t="s">
        <v>56</v>
      </c>
      <c r="E1100" s="13">
        <v>3372</v>
      </c>
      <c r="F1100" s="15">
        <f t="shared" si="634"/>
        <v>2023.1999999999998</v>
      </c>
      <c r="G1100" s="15">
        <f t="shared" si="635"/>
        <v>2023.1999999999998</v>
      </c>
      <c r="H1100" s="16">
        <v>1</v>
      </c>
      <c r="I1100" s="17" t="s">
        <v>13</v>
      </c>
      <c r="J1100" s="13" t="s">
        <v>17</v>
      </c>
      <c r="K1100" s="12" t="str">
        <f t="shared" ref="K1100" si="637">K1099</f>
        <v>2853_02_01_FO01_01_M3</v>
      </c>
      <c r="L1100">
        <v>2023.1999999999998</v>
      </c>
    </row>
    <row r="1101" spans="1:12" ht="21" customHeight="1" x14ac:dyDescent="0.25">
      <c r="A1101" s="12" t="str">
        <f t="shared" ref="A1101:A1104" si="638">A1100</f>
        <v>ЩР-1 (FO01)</v>
      </c>
      <c r="B1101" s="13" t="s">
        <v>21</v>
      </c>
      <c r="C1101" s="14" t="s">
        <v>237</v>
      </c>
      <c r="D1101" s="12" t="s">
        <v>238</v>
      </c>
      <c r="E1101" s="13">
        <v>5884</v>
      </c>
      <c r="F1101" s="15">
        <f t="shared" si="634"/>
        <v>3530.4</v>
      </c>
      <c r="G1101" s="15">
        <f t="shared" si="635"/>
        <v>14121.6</v>
      </c>
      <c r="H1101" s="16">
        <v>4</v>
      </c>
      <c r="I1101" s="17" t="s">
        <v>13</v>
      </c>
      <c r="J1101" s="13" t="s">
        <v>17</v>
      </c>
      <c r="K1101" s="12" t="str">
        <f t="shared" ref="K1101:K1104" si="639">K1100</f>
        <v>2853_02_01_FO01_01_M3</v>
      </c>
      <c r="L1101">
        <v>14121.6</v>
      </c>
    </row>
    <row r="1102" spans="1:12" ht="24" customHeight="1" x14ac:dyDescent="0.25">
      <c r="A1102" s="12" t="str">
        <f t="shared" si="638"/>
        <v>ЩР-1 (FO01)</v>
      </c>
      <c r="B1102" s="12" t="s">
        <v>10</v>
      </c>
      <c r="C1102" s="18" t="s">
        <v>10</v>
      </c>
      <c r="D1102" s="12" t="s">
        <v>10</v>
      </c>
      <c r="E1102" s="12">
        <f ca="1">OFFSET(E1102,1,2)</f>
        <v>3000</v>
      </c>
      <c r="F1102" s="15">
        <f ca="1">E1102</f>
        <v>3000</v>
      </c>
      <c r="G1102" s="15">
        <f t="shared" ca="1" si="635"/>
        <v>3000</v>
      </c>
      <c r="H1102" s="12">
        <v>1</v>
      </c>
      <c r="I1102" s="12" t="s">
        <v>13</v>
      </c>
      <c r="J1102" s="12" t="s">
        <v>10</v>
      </c>
      <c r="K1102" s="12" t="str">
        <f t="shared" si="639"/>
        <v>2853_02_01_FO01_01_M3</v>
      </c>
      <c r="L1102">
        <v>3000</v>
      </c>
    </row>
    <row r="1103" spans="1:12" ht="21" customHeight="1" x14ac:dyDescent="0.25">
      <c r="A1103" s="12" t="str">
        <f t="shared" si="638"/>
        <v>ЩР-1 (FO01)</v>
      </c>
      <c r="B1103" s="12" t="s">
        <v>11</v>
      </c>
      <c r="C1103" s="18" t="s">
        <v>11</v>
      </c>
      <c r="D1103" s="12" t="s">
        <v>11</v>
      </c>
      <c r="E1103" s="12">
        <v>0.5</v>
      </c>
      <c r="F1103" s="15">
        <v>100</v>
      </c>
      <c r="G1103" s="15">
        <f t="shared" si="635"/>
        <v>3000</v>
      </c>
      <c r="H1103" s="12">
        <f>60*E1103</f>
        <v>30</v>
      </c>
      <c r="I1103" s="12" t="s">
        <v>13</v>
      </c>
      <c r="J1103" s="12" t="s">
        <v>11</v>
      </c>
      <c r="K1103" s="12" t="str">
        <f t="shared" si="639"/>
        <v>2853_02_01_FO01_01_M3</v>
      </c>
      <c r="L1103">
        <v>3000</v>
      </c>
    </row>
    <row r="1104" spans="1:12" ht="30" customHeight="1" x14ac:dyDescent="0.25">
      <c r="A1104" s="12" t="str">
        <f t="shared" si="638"/>
        <v>ЩР-1 (FO01)</v>
      </c>
      <c r="B1104" s="19"/>
      <c r="C1104" s="20"/>
      <c r="D1104" s="21"/>
      <c r="E1104" s="23"/>
      <c r="F1104" s="25"/>
      <c r="G1104" s="24">
        <f ca="1">SUM(G1099:G1103)</f>
        <v>27538.799999999999</v>
      </c>
      <c r="H1104" s="20"/>
      <c r="I1104" s="22"/>
      <c r="J1104" s="20"/>
      <c r="K1104" s="12" t="str">
        <f t="shared" si="639"/>
        <v>2853_02_01_FO01_01_M3</v>
      </c>
      <c r="L1104">
        <v>27538.799999999999</v>
      </c>
    </row>
    <row r="1105" spans="1:12" ht="39.75" customHeight="1" x14ac:dyDescent="0.25">
      <c r="A1105" s="5" t="str">
        <f>D1105</f>
        <v>ЩР-2 (FO01)</v>
      </c>
      <c r="B1105" s="6"/>
      <c r="C1105" s="7"/>
      <c r="D1105" s="6" t="s">
        <v>276</v>
      </c>
      <c r="E1105" s="8"/>
      <c r="F1105" s="8" t="s">
        <v>40</v>
      </c>
      <c r="G1105" s="9"/>
      <c r="H1105" s="10">
        <v>1</v>
      </c>
      <c r="I1105" s="11" t="s">
        <v>7</v>
      </c>
      <c r="J1105" s="6" t="s">
        <v>9</v>
      </c>
      <c r="K1105" s="5" t="s">
        <v>234</v>
      </c>
    </row>
    <row r="1106" spans="1:12" ht="21" customHeight="1" x14ac:dyDescent="0.25">
      <c r="A1106" s="12" t="str">
        <f>A1105</f>
        <v>ЩР-2 (FO01)</v>
      </c>
      <c r="B1106" s="13" t="s">
        <v>8</v>
      </c>
      <c r="C1106" s="14" t="s">
        <v>314</v>
      </c>
      <c r="D1106" s="12" t="s">
        <v>315</v>
      </c>
      <c r="E1106" s="13">
        <v>8990</v>
      </c>
      <c r="F1106" s="15">
        <f t="shared" ref="F1106:F1108" si="640">E1106*0.6</f>
        <v>5394</v>
      </c>
      <c r="G1106" s="15">
        <f t="shared" ref="G1106:G1110" si="641">H1106*F1106</f>
        <v>5394</v>
      </c>
      <c r="H1106" s="16">
        <v>1</v>
      </c>
      <c r="I1106" s="17" t="s">
        <v>13</v>
      </c>
      <c r="J1106" s="13" t="s">
        <v>16</v>
      </c>
      <c r="K1106" s="12" t="str">
        <f>K1105</f>
        <v>2853_02_01_FO01_01_M3</v>
      </c>
      <c r="L1106">
        <v>5394</v>
      </c>
    </row>
    <row r="1107" spans="1:12" ht="21" customHeight="1" x14ac:dyDescent="0.25">
      <c r="A1107" s="12" t="str">
        <f t="shared" ref="A1107:A1111" si="642">A1106</f>
        <v>ЩР-2 (FO01)</v>
      </c>
      <c r="B1107" s="13" t="s">
        <v>54</v>
      </c>
      <c r="C1107" s="14" t="s">
        <v>55</v>
      </c>
      <c r="D1107" s="12" t="s">
        <v>56</v>
      </c>
      <c r="E1107" s="13">
        <v>3372</v>
      </c>
      <c r="F1107" s="15">
        <f t="shared" si="640"/>
        <v>2023.1999999999998</v>
      </c>
      <c r="G1107" s="15">
        <f t="shared" si="641"/>
        <v>2023.1999999999998</v>
      </c>
      <c r="H1107" s="16">
        <v>1</v>
      </c>
      <c r="I1107" s="17" t="s">
        <v>13</v>
      </c>
      <c r="J1107" s="13" t="s">
        <v>17</v>
      </c>
      <c r="K1107" s="12" t="str">
        <f t="shared" ref="K1107:K1111" si="643">K1106</f>
        <v>2853_02_01_FO01_01_M3</v>
      </c>
      <c r="L1107">
        <v>2023.1999999999998</v>
      </c>
    </row>
    <row r="1108" spans="1:12" ht="21" customHeight="1" x14ac:dyDescent="0.25">
      <c r="A1108" s="12" t="str">
        <f t="shared" si="642"/>
        <v>ЩР-2 (FO01)</v>
      </c>
      <c r="B1108" s="13" t="s">
        <v>21</v>
      </c>
      <c r="C1108" s="14" t="s">
        <v>237</v>
      </c>
      <c r="D1108" s="12" t="s">
        <v>238</v>
      </c>
      <c r="E1108" s="13">
        <v>5884</v>
      </c>
      <c r="F1108" s="15">
        <f t="shared" si="640"/>
        <v>3530.4</v>
      </c>
      <c r="G1108" s="15">
        <f t="shared" si="641"/>
        <v>10591.2</v>
      </c>
      <c r="H1108" s="16">
        <v>3</v>
      </c>
      <c r="I1108" s="17" t="s">
        <v>13</v>
      </c>
      <c r="J1108" s="13" t="s">
        <v>17</v>
      </c>
      <c r="K1108" s="12" t="str">
        <f t="shared" si="643"/>
        <v>2853_02_01_FO01_01_M3</v>
      </c>
      <c r="L1108">
        <v>10591.2</v>
      </c>
    </row>
    <row r="1109" spans="1:12" ht="24" customHeight="1" x14ac:dyDescent="0.25">
      <c r="A1109" s="12" t="str">
        <f t="shared" si="642"/>
        <v>ЩР-2 (FO01)</v>
      </c>
      <c r="B1109" s="12" t="s">
        <v>10</v>
      </c>
      <c r="C1109" s="18" t="s">
        <v>10</v>
      </c>
      <c r="D1109" s="12" t="s">
        <v>10</v>
      </c>
      <c r="E1109" s="12">
        <f ca="1">OFFSET(E1109,1,2)</f>
        <v>3000</v>
      </c>
      <c r="F1109" s="15">
        <f ca="1">E1109</f>
        <v>3000</v>
      </c>
      <c r="G1109" s="15">
        <f t="shared" ca="1" si="641"/>
        <v>3000</v>
      </c>
      <c r="H1109" s="12">
        <v>1</v>
      </c>
      <c r="I1109" s="12" t="s">
        <v>13</v>
      </c>
      <c r="J1109" s="12" t="s">
        <v>10</v>
      </c>
      <c r="K1109" s="12" t="str">
        <f t="shared" si="643"/>
        <v>2853_02_01_FO01_01_M3</v>
      </c>
      <c r="L1109">
        <v>3000</v>
      </c>
    </row>
    <row r="1110" spans="1:12" ht="21" customHeight="1" x14ac:dyDescent="0.25">
      <c r="A1110" s="12" t="str">
        <f t="shared" si="642"/>
        <v>ЩР-2 (FO01)</v>
      </c>
      <c r="B1110" s="12" t="s">
        <v>11</v>
      </c>
      <c r="C1110" s="18" t="s">
        <v>11</v>
      </c>
      <c r="D1110" s="12" t="s">
        <v>11</v>
      </c>
      <c r="E1110" s="12">
        <v>0.5</v>
      </c>
      <c r="F1110" s="15">
        <v>100</v>
      </c>
      <c r="G1110" s="15">
        <f t="shared" si="641"/>
        <v>3000</v>
      </c>
      <c r="H1110" s="12">
        <f>60*E1110</f>
        <v>30</v>
      </c>
      <c r="I1110" s="12" t="s">
        <v>13</v>
      </c>
      <c r="J1110" s="12" t="s">
        <v>11</v>
      </c>
      <c r="K1110" s="12" t="str">
        <f t="shared" si="643"/>
        <v>2853_02_01_FO01_01_M3</v>
      </c>
      <c r="L1110">
        <v>3000</v>
      </c>
    </row>
    <row r="1111" spans="1:12" ht="30" customHeight="1" x14ac:dyDescent="0.25">
      <c r="A1111" s="12" t="str">
        <f t="shared" si="642"/>
        <v>ЩР-2 (FO01)</v>
      </c>
      <c r="B1111" s="19"/>
      <c r="C1111" s="20"/>
      <c r="D1111" s="21"/>
      <c r="E1111" s="23"/>
      <c r="F1111" s="25"/>
      <c r="G1111" s="24">
        <f ca="1">SUM(G1106:G1110)</f>
        <v>24008.400000000001</v>
      </c>
      <c r="H1111" s="20"/>
      <c r="I1111" s="22"/>
      <c r="J1111" s="20"/>
      <c r="K1111" s="12" t="str">
        <f t="shared" si="643"/>
        <v>2853_02_01_FO01_01_M3</v>
      </c>
      <c r="L1111">
        <v>24008.400000000001</v>
      </c>
    </row>
    <row r="1112" spans="1:12" ht="39.75" customHeight="1" x14ac:dyDescent="0.25">
      <c r="A1112" s="5" t="str">
        <f>D1112</f>
        <v>ВРЩ-п (ВРУ1-21-10) (P1)</v>
      </c>
      <c r="B1112" s="6"/>
      <c r="C1112" s="7"/>
      <c r="D1112" s="6" t="s">
        <v>386</v>
      </c>
      <c r="E1112" s="8"/>
      <c r="F1112" s="8" t="s">
        <v>40</v>
      </c>
      <c r="G1112" s="9"/>
      <c r="H1112" s="10">
        <v>1</v>
      </c>
      <c r="I1112" s="11" t="s">
        <v>7</v>
      </c>
      <c r="J1112" s="6" t="s">
        <v>9</v>
      </c>
      <c r="K1112" s="5" t="s">
        <v>243</v>
      </c>
    </row>
    <row r="1113" spans="1:12" ht="21" customHeight="1" x14ac:dyDescent="0.25">
      <c r="A1113" s="12" t="str">
        <f>A1112</f>
        <v>ВРЩ-п (ВРУ1-21-10) (P1)</v>
      </c>
      <c r="B1113" s="13" t="s">
        <v>8</v>
      </c>
      <c r="C1113" s="14" t="s">
        <v>38</v>
      </c>
      <c r="D1113" s="12" t="s">
        <v>39</v>
      </c>
      <c r="E1113" s="13">
        <v>155000</v>
      </c>
      <c r="F1113" s="15">
        <f>E1113*0.6</f>
        <v>93000</v>
      </c>
      <c r="G1113" s="15">
        <f t="shared" ref="G1113:G1129" si="644">H1113*F1113</f>
        <v>93000</v>
      </c>
      <c r="H1113" s="16">
        <v>1</v>
      </c>
      <c r="I1113" s="17" t="s">
        <v>13</v>
      </c>
      <c r="J1113" s="13" t="s">
        <v>16</v>
      </c>
      <c r="K1113" s="12" t="str">
        <f>K1112</f>
        <v>2853_02_01_P1_EM01_01_M3</v>
      </c>
      <c r="L1113">
        <v>93000</v>
      </c>
    </row>
    <row r="1114" spans="1:12" ht="21" customHeight="1" x14ac:dyDescent="0.25">
      <c r="A1114" s="12" t="str">
        <f t="shared" ref="A1114:A1130" si="645">A1113</f>
        <v>ВРЩ-п (ВРУ1-21-10) (P1)</v>
      </c>
      <c r="B1114" s="13" t="s">
        <v>25</v>
      </c>
      <c r="C1114" s="14" t="s">
        <v>46</v>
      </c>
      <c r="D1114" s="12" t="s">
        <v>47</v>
      </c>
      <c r="E1114" s="13">
        <v>6018</v>
      </c>
      <c r="F1114" s="15">
        <f>E1114</f>
        <v>6018</v>
      </c>
      <c r="G1114" s="15">
        <f t="shared" si="644"/>
        <v>36108</v>
      </c>
      <c r="H1114" s="16">
        <v>6</v>
      </c>
      <c r="I1114" s="17" t="s">
        <v>13</v>
      </c>
      <c r="J1114" s="13" t="s">
        <v>24</v>
      </c>
      <c r="K1114" s="12" t="str">
        <f t="shared" ref="K1114:K1130" si="646">K1113</f>
        <v>2853_02_01_P1_EM01_01_M3</v>
      </c>
      <c r="L1114">
        <v>36108</v>
      </c>
    </row>
    <row r="1115" spans="1:12" ht="21" customHeight="1" x14ac:dyDescent="0.25">
      <c r="A1115" s="12" t="str">
        <f t="shared" si="645"/>
        <v>ВРЩ-п (ВРУ1-21-10) (P1)</v>
      </c>
      <c r="B1115" s="13" t="s">
        <v>29</v>
      </c>
      <c r="C1115" s="14" t="s">
        <v>163</v>
      </c>
      <c r="D1115" s="12" t="s">
        <v>164</v>
      </c>
      <c r="E1115" s="13">
        <v>24948</v>
      </c>
      <c r="F1115" s="15">
        <f>E1115</f>
        <v>24948</v>
      </c>
      <c r="G1115" s="15">
        <f t="shared" si="644"/>
        <v>24948</v>
      </c>
      <c r="H1115" s="16">
        <v>1</v>
      </c>
      <c r="I1115" s="17" t="s">
        <v>13</v>
      </c>
      <c r="J1115" s="13" t="s">
        <v>24</v>
      </c>
      <c r="K1115" s="12" t="str">
        <f t="shared" si="646"/>
        <v>2853_02_01_P1_EM01_01_M3</v>
      </c>
      <c r="L1115">
        <v>24948</v>
      </c>
    </row>
    <row r="1116" spans="1:12" ht="21" customHeight="1" x14ac:dyDescent="0.25">
      <c r="A1116" s="12" t="str">
        <f t="shared" si="645"/>
        <v>ВРЩ-п (ВРУ1-21-10) (P1)</v>
      </c>
      <c r="B1116" s="13" t="s">
        <v>30</v>
      </c>
      <c r="C1116" s="14" t="s">
        <v>239</v>
      </c>
      <c r="D1116" s="12" t="s">
        <v>240</v>
      </c>
      <c r="E1116" s="13">
        <v>2225</v>
      </c>
      <c r="F1116" s="15">
        <f t="shared" ref="F1116:F1125" si="647">E1116*0.6</f>
        <v>1335</v>
      </c>
      <c r="G1116" s="15">
        <f t="shared" si="644"/>
        <v>4005</v>
      </c>
      <c r="H1116" s="16">
        <v>3</v>
      </c>
      <c r="I1116" s="17" t="s">
        <v>13</v>
      </c>
      <c r="J1116" s="13" t="s">
        <v>17</v>
      </c>
      <c r="K1116" s="12" t="str">
        <f t="shared" si="646"/>
        <v>2853_02_01_P1_EM01_01_M3</v>
      </c>
      <c r="L1116">
        <v>4005</v>
      </c>
    </row>
    <row r="1117" spans="1:12" ht="21" customHeight="1" x14ac:dyDescent="0.25">
      <c r="A1117" s="12" t="str">
        <f t="shared" si="645"/>
        <v>ВРЩ-п (ВРУ1-21-10) (P1)</v>
      </c>
      <c r="B1117" s="13" t="s">
        <v>30</v>
      </c>
      <c r="C1117" s="14" t="s">
        <v>151</v>
      </c>
      <c r="D1117" s="12" t="s">
        <v>152</v>
      </c>
      <c r="E1117" s="13">
        <v>4750</v>
      </c>
      <c r="F1117" s="15">
        <f t="shared" si="647"/>
        <v>2850</v>
      </c>
      <c r="G1117" s="15">
        <f t="shared" si="644"/>
        <v>8550</v>
      </c>
      <c r="H1117" s="16">
        <v>3</v>
      </c>
      <c r="I1117" s="17" t="s">
        <v>13</v>
      </c>
      <c r="J1117" s="13" t="s">
        <v>17</v>
      </c>
      <c r="K1117" s="12" t="str">
        <f t="shared" si="646"/>
        <v>2853_02_01_P1_EM01_01_M3</v>
      </c>
      <c r="L1117">
        <v>8550</v>
      </c>
    </row>
    <row r="1118" spans="1:12" ht="21" customHeight="1" x14ac:dyDescent="0.25">
      <c r="A1118" s="12" t="str">
        <f t="shared" si="645"/>
        <v>ВРЩ-п (ВРУ1-21-10) (P1)</v>
      </c>
      <c r="B1118" s="13" t="s">
        <v>33</v>
      </c>
      <c r="C1118" s="14" t="s">
        <v>22</v>
      </c>
      <c r="D1118" s="12" t="s">
        <v>23</v>
      </c>
      <c r="E1118" s="13">
        <v>19443</v>
      </c>
      <c r="F1118" s="15">
        <f t="shared" si="647"/>
        <v>11665.8</v>
      </c>
      <c r="G1118" s="15">
        <f t="shared" si="644"/>
        <v>11665.8</v>
      </c>
      <c r="H1118" s="16">
        <v>1</v>
      </c>
      <c r="I1118" s="17" t="s">
        <v>13</v>
      </c>
      <c r="J1118" s="13" t="s">
        <v>17</v>
      </c>
      <c r="K1118" s="12" t="str">
        <f t="shared" si="646"/>
        <v>2853_02_01_P1_EM01_01_M3</v>
      </c>
      <c r="L1118">
        <v>11665.8</v>
      </c>
    </row>
    <row r="1119" spans="1:12" ht="21" customHeight="1" x14ac:dyDescent="0.25">
      <c r="A1119" s="12" t="str">
        <f t="shared" si="645"/>
        <v>ВРЩ-п (ВРУ1-21-10) (P1)</v>
      </c>
      <c r="B1119" s="13" t="s">
        <v>33</v>
      </c>
      <c r="C1119" s="14" t="s">
        <v>31</v>
      </c>
      <c r="D1119" s="12" t="s">
        <v>32</v>
      </c>
      <c r="E1119" s="13">
        <v>19418</v>
      </c>
      <c r="F1119" s="15">
        <f t="shared" si="647"/>
        <v>11650.8</v>
      </c>
      <c r="G1119" s="15">
        <f t="shared" si="644"/>
        <v>11650.8</v>
      </c>
      <c r="H1119" s="16">
        <v>1</v>
      </c>
      <c r="I1119" s="17" t="s">
        <v>13</v>
      </c>
      <c r="J1119" s="13" t="s">
        <v>17</v>
      </c>
      <c r="K1119" s="12" t="str">
        <f t="shared" si="646"/>
        <v>2853_02_01_P1_EM01_01_M3</v>
      </c>
      <c r="L1119">
        <v>11650.8</v>
      </c>
    </row>
    <row r="1120" spans="1:12" ht="21" customHeight="1" x14ac:dyDescent="0.25">
      <c r="A1120" s="12" t="str">
        <f t="shared" si="645"/>
        <v>ВРЩ-п (ВРУ1-21-10) (P1)</v>
      </c>
      <c r="B1120" s="13" t="s">
        <v>33</v>
      </c>
      <c r="C1120" s="14" t="s">
        <v>169</v>
      </c>
      <c r="D1120" s="12" t="s">
        <v>170</v>
      </c>
      <c r="E1120" s="13">
        <v>20174</v>
      </c>
      <c r="F1120" s="15">
        <f t="shared" si="647"/>
        <v>12104.4</v>
      </c>
      <c r="G1120" s="15">
        <f t="shared" si="644"/>
        <v>12104.4</v>
      </c>
      <c r="H1120" s="16">
        <v>1</v>
      </c>
      <c r="I1120" s="17" t="s">
        <v>13</v>
      </c>
      <c r="J1120" s="13" t="s">
        <v>17</v>
      </c>
      <c r="K1120" s="12" t="str">
        <f t="shared" si="646"/>
        <v>2853_02_01_P1_EM01_01_M3</v>
      </c>
      <c r="L1120">
        <v>12104.4</v>
      </c>
    </row>
    <row r="1121" spans="1:12" ht="21" customHeight="1" x14ac:dyDescent="0.25">
      <c r="A1121" s="12" t="str">
        <f t="shared" si="645"/>
        <v>ВРЩ-п (ВРУ1-21-10) (P1)</v>
      </c>
      <c r="B1121" s="13" t="s">
        <v>33</v>
      </c>
      <c r="C1121" s="14" t="s">
        <v>157</v>
      </c>
      <c r="D1121" s="12" t="s">
        <v>158</v>
      </c>
      <c r="E1121" s="13">
        <v>19700</v>
      </c>
      <c r="F1121" s="15">
        <f t="shared" si="647"/>
        <v>11820</v>
      </c>
      <c r="G1121" s="15">
        <f t="shared" si="644"/>
        <v>23640</v>
      </c>
      <c r="H1121" s="16">
        <v>2</v>
      </c>
      <c r="I1121" s="17" t="s">
        <v>13</v>
      </c>
      <c r="J1121" s="13" t="s">
        <v>17</v>
      </c>
      <c r="K1121" s="12" t="str">
        <f t="shared" si="646"/>
        <v>2853_02_01_P1_EM01_01_M3</v>
      </c>
      <c r="L1121">
        <v>23640</v>
      </c>
    </row>
    <row r="1122" spans="1:12" ht="21" customHeight="1" x14ac:dyDescent="0.25">
      <c r="A1122" s="12" t="str">
        <f t="shared" si="645"/>
        <v>ВРЩ-п (ВРУ1-21-10) (P1)</v>
      </c>
      <c r="B1122" s="13" t="s">
        <v>33</v>
      </c>
      <c r="C1122" s="14" t="s">
        <v>155</v>
      </c>
      <c r="D1122" s="12" t="s">
        <v>156</v>
      </c>
      <c r="E1122" s="13">
        <v>18139</v>
      </c>
      <c r="F1122" s="15">
        <f t="shared" si="647"/>
        <v>10883.4</v>
      </c>
      <c r="G1122" s="15">
        <f t="shared" si="644"/>
        <v>21766.799999999999</v>
      </c>
      <c r="H1122" s="16">
        <v>2</v>
      </c>
      <c r="I1122" s="17" t="s">
        <v>13</v>
      </c>
      <c r="J1122" s="13" t="s">
        <v>17</v>
      </c>
      <c r="K1122" s="12" t="str">
        <f t="shared" si="646"/>
        <v>2853_02_01_P1_EM01_01_M3</v>
      </c>
      <c r="L1122">
        <v>21766.799999999999</v>
      </c>
    </row>
    <row r="1123" spans="1:12" ht="21" customHeight="1" x14ac:dyDescent="0.25">
      <c r="A1123" s="12" t="str">
        <f t="shared" si="645"/>
        <v>ВРЩ-п (ВРУ1-21-10) (P1)</v>
      </c>
      <c r="B1123" s="13" t="s">
        <v>33</v>
      </c>
      <c r="C1123" s="14" t="s">
        <v>241</v>
      </c>
      <c r="D1123" s="12" t="s">
        <v>242</v>
      </c>
      <c r="E1123" s="13">
        <v>17405</v>
      </c>
      <c r="F1123" s="15">
        <f t="shared" si="647"/>
        <v>10443</v>
      </c>
      <c r="G1123" s="15">
        <f t="shared" si="644"/>
        <v>10443</v>
      </c>
      <c r="H1123" s="16">
        <v>1</v>
      </c>
      <c r="I1123" s="17" t="s">
        <v>13</v>
      </c>
      <c r="J1123" s="13" t="s">
        <v>17</v>
      </c>
      <c r="K1123" s="12" t="str">
        <f t="shared" si="646"/>
        <v>2853_02_01_P1_EM01_01_M3</v>
      </c>
      <c r="L1123">
        <v>10443</v>
      </c>
    </row>
    <row r="1124" spans="1:12" ht="21" customHeight="1" x14ac:dyDescent="0.25">
      <c r="A1124" s="12" t="str">
        <f t="shared" si="645"/>
        <v>ВРЩ-п (ВРУ1-21-10) (P1)</v>
      </c>
      <c r="B1124" s="13" t="s">
        <v>12</v>
      </c>
      <c r="C1124" s="14" t="s">
        <v>125</v>
      </c>
      <c r="D1124" s="12" t="s">
        <v>126</v>
      </c>
      <c r="E1124" s="13">
        <v>796</v>
      </c>
      <c r="F1124" s="15">
        <f t="shared" si="647"/>
        <v>477.59999999999997</v>
      </c>
      <c r="G1124" s="15">
        <f t="shared" si="644"/>
        <v>477.59999999999997</v>
      </c>
      <c r="H1124" s="16">
        <v>1</v>
      </c>
      <c r="I1124" s="17" t="s">
        <v>13</v>
      </c>
      <c r="J1124" s="13" t="s">
        <v>17</v>
      </c>
      <c r="K1124" s="12" t="str">
        <f t="shared" si="646"/>
        <v>2853_02_01_P1_EM01_01_M3</v>
      </c>
      <c r="L1124">
        <v>477.59999999999997</v>
      </c>
    </row>
    <row r="1125" spans="1:12" ht="21" customHeight="1" x14ac:dyDescent="0.25">
      <c r="A1125" s="12" t="str">
        <f t="shared" si="645"/>
        <v>ВРЩ-п (ВРУ1-21-10) (P1)</v>
      </c>
      <c r="B1125" s="13" t="s">
        <v>12</v>
      </c>
      <c r="C1125" s="14" t="s">
        <v>19</v>
      </c>
      <c r="D1125" s="12" t="s">
        <v>20</v>
      </c>
      <c r="E1125" s="13">
        <v>975</v>
      </c>
      <c r="F1125" s="15">
        <f t="shared" si="647"/>
        <v>585</v>
      </c>
      <c r="G1125" s="15">
        <f t="shared" si="644"/>
        <v>1170</v>
      </c>
      <c r="H1125" s="16">
        <v>2</v>
      </c>
      <c r="I1125" s="17" t="s">
        <v>13</v>
      </c>
      <c r="J1125" s="13" t="s">
        <v>17</v>
      </c>
      <c r="K1125" s="12" t="str">
        <f t="shared" si="646"/>
        <v>2853_02_01_P1_EM01_01_M3</v>
      </c>
      <c r="L1125">
        <v>1170</v>
      </c>
    </row>
    <row r="1126" spans="1:12" ht="22.5" customHeight="1" x14ac:dyDescent="0.25">
      <c r="A1126" s="12" t="str">
        <f t="shared" si="645"/>
        <v>ВРЩ-п (ВРУ1-21-10) (P1)</v>
      </c>
      <c r="B1126" s="13" t="s">
        <v>18</v>
      </c>
      <c r="C1126" s="14" t="s">
        <v>290</v>
      </c>
      <c r="D1126" s="12" t="s">
        <v>291</v>
      </c>
      <c r="E1126" s="13">
        <v>90000</v>
      </c>
      <c r="F1126" s="15">
        <f t="shared" ref="F1126:F1127" si="648">E1126</f>
        <v>90000</v>
      </c>
      <c r="G1126" s="15">
        <f t="shared" si="644"/>
        <v>0</v>
      </c>
      <c r="H1126" s="16">
        <v>0</v>
      </c>
      <c r="I1126" s="17" t="s">
        <v>13</v>
      </c>
      <c r="J1126" s="13" t="s">
        <v>24</v>
      </c>
      <c r="K1126" s="12" t="str">
        <f t="shared" si="646"/>
        <v>2853_02_01_P1_EM01_01_M3</v>
      </c>
      <c r="L1126">
        <v>0</v>
      </c>
    </row>
    <row r="1127" spans="1:12" ht="21" customHeight="1" x14ac:dyDescent="0.25">
      <c r="A1127" s="12" t="str">
        <f t="shared" si="645"/>
        <v>ВРЩ-п (ВРУ1-21-10) (P1)</v>
      </c>
      <c r="B1127" s="13" t="s">
        <v>28</v>
      </c>
      <c r="C1127" s="14"/>
      <c r="D1127" s="12" t="s">
        <v>28</v>
      </c>
      <c r="E1127" s="13">
        <v>1000</v>
      </c>
      <c r="F1127" s="15">
        <f t="shared" si="648"/>
        <v>1000</v>
      </c>
      <c r="G1127" s="15">
        <f t="shared" si="644"/>
        <v>1000</v>
      </c>
      <c r="H1127" s="16">
        <v>1</v>
      </c>
      <c r="I1127" s="17" t="s">
        <v>13</v>
      </c>
      <c r="J1127" s="13" t="s">
        <v>24</v>
      </c>
      <c r="K1127" s="12" t="str">
        <f t="shared" si="646"/>
        <v>2853_02_01_P1_EM01_01_M3</v>
      </c>
      <c r="L1127">
        <v>1000</v>
      </c>
    </row>
    <row r="1128" spans="1:12" ht="24" customHeight="1" x14ac:dyDescent="0.25">
      <c r="A1128" s="12" t="str">
        <f t="shared" si="645"/>
        <v>ВРЩ-п (ВРУ1-21-10) (P1)</v>
      </c>
      <c r="B1128" s="12" t="s">
        <v>10</v>
      </c>
      <c r="C1128" s="18" t="s">
        <v>10</v>
      </c>
      <c r="D1128" s="12" t="s">
        <v>10</v>
      </c>
      <c r="E1128" s="12">
        <f ca="1">OFFSET(E1128,1,2)</f>
        <v>48000</v>
      </c>
      <c r="F1128" s="15">
        <f ca="1">E1128</f>
        <v>48000</v>
      </c>
      <c r="G1128" s="15">
        <f t="shared" ca="1" si="644"/>
        <v>48000</v>
      </c>
      <c r="H1128" s="12">
        <v>1</v>
      </c>
      <c r="I1128" s="12" t="s">
        <v>13</v>
      </c>
      <c r="J1128" s="12" t="s">
        <v>10</v>
      </c>
      <c r="K1128" s="12" t="str">
        <f t="shared" si="646"/>
        <v>2853_02_01_P1_EM01_01_M3</v>
      </c>
      <c r="L1128">
        <v>48000</v>
      </c>
    </row>
    <row r="1129" spans="1:12" ht="21" customHeight="1" x14ac:dyDescent="0.25">
      <c r="A1129" s="12" t="str">
        <f t="shared" si="645"/>
        <v>ВРЩ-п (ВРУ1-21-10) (P1)</v>
      </c>
      <c r="B1129" s="12" t="s">
        <v>11</v>
      </c>
      <c r="C1129" s="18" t="s">
        <v>11</v>
      </c>
      <c r="D1129" s="12" t="s">
        <v>11</v>
      </c>
      <c r="E1129" s="12">
        <v>8</v>
      </c>
      <c r="F1129" s="15">
        <v>100</v>
      </c>
      <c r="G1129" s="15">
        <f t="shared" si="644"/>
        <v>48000</v>
      </c>
      <c r="H1129" s="12">
        <f>60*E1129</f>
        <v>480</v>
      </c>
      <c r="I1129" s="12" t="s">
        <v>13</v>
      </c>
      <c r="J1129" s="12" t="s">
        <v>11</v>
      </c>
      <c r="K1129" s="12" t="str">
        <f t="shared" si="646"/>
        <v>2853_02_01_P1_EM01_01_M3</v>
      </c>
      <c r="L1129">
        <v>48000</v>
      </c>
    </row>
    <row r="1130" spans="1:12" ht="30" customHeight="1" x14ac:dyDescent="0.25">
      <c r="A1130" s="12" t="str">
        <f t="shared" si="645"/>
        <v>ВРЩ-п (ВРУ1-21-10) (P1)</v>
      </c>
      <c r="B1130" s="19"/>
      <c r="C1130" s="20"/>
      <c r="D1130" s="21"/>
      <c r="E1130" s="23"/>
      <c r="F1130" s="25"/>
      <c r="G1130" s="24">
        <f ca="1">SUM(G1113:G1129)</f>
        <v>356529.39999999997</v>
      </c>
      <c r="H1130" s="20"/>
      <c r="I1130" s="22"/>
      <c r="J1130" s="20"/>
      <c r="K1130" s="12" t="str">
        <f t="shared" si="646"/>
        <v>2853_02_01_P1_EM01_01_M3</v>
      </c>
      <c r="L1130">
        <v>356529.39999999997</v>
      </c>
    </row>
    <row r="1131" spans="1:12" ht="39.75" customHeight="1" x14ac:dyDescent="0.25">
      <c r="A1131" s="5" t="str">
        <f>D1131</f>
        <v>ЩМП-п2(ЩМП-80.80.40) (P1)</v>
      </c>
      <c r="B1131" s="6"/>
      <c r="C1131" s="7"/>
      <c r="D1131" s="6" t="s">
        <v>387</v>
      </c>
      <c r="E1131" s="8"/>
      <c r="F1131" s="8" t="s">
        <v>40</v>
      </c>
      <c r="G1131" s="9"/>
      <c r="H1131" s="10">
        <v>1</v>
      </c>
      <c r="I1131" s="11" t="s">
        <v>7</v>
      </c>
      <c r="J1131" s="6" t="s">
        <v>9</v>
      </c>
      <c r="K1131" s="5" t="s">
        <v>243</v>
      </c>
    </row>
    <row r="1132" spans="1:12" ht="21" customHeight="1" x14ac:dyDescent="0.25">
      <c r="A1132" s="12" t="str">
        <f>A1131</f>
        <v>ЩМП-п2(ЩМП-80.80.40) (P1)</v>
      </c>
      <c r="B1132" s="13" t="s">
        <v>8</v>
      </c>
      <c r="C1132" s="14" t="s">
        <v>470</v>
      </c>
      <c r="D1132" s="12" t="s">
        <v>459</v>
      </c>
      <c r="E1132" s="13">
        <v>58000</v>
      </c>
      <c r="F1132" s="15">
        <f t="shared" ref="F1132:F1136" si="649">E1132*0.6</f>
        <v>34800</v>
      </c>
      <c r="G1132" s="15">
        <f t="shared" ref="G1132:G1140" si="650">H1132*F1132</f>
        <v>34800</v>
      </c>
      <c r="H1132" s="16">
        <v>1</v>
      </c>
      <c r="I1132" s="17" t="s">
        <v>13</v>
      </c>
      <c r="J1132" s="13" t="s">
        <v>16</v>
      </c>
      <c r="K1132" s="12" t="str">
        <f>K1131</f>
        <v>2853_02_01_P1_EM01_01_M3</v>
      </c>
      <c r="L1132">
        <v>34800</v>
      </c>
    </row>
    <row r="1133" spans="1:12" ht="21" customHeight="1" x14ac:dyDescent="0.25">
      <c r="A1133" s="12" t="str">
        <f t="shared" ref="A1133:A1141" si="651">A1132</f>
        <v>ЩМП-п2(ЩМП-80.80.40) (P1)</v>
      </c>
      <c r="B1133" s="13" t="s">
        <v>12</v>
      </c>
      <c r="C1133" s="14" t="s">
        <v>159</v>
      </c>
      <c r="D1133" s="12" t="s">
        <v>160</v>
      </c>
      <c r="E1133" s="13">
        <v>2429</v>
      </c>
      <c r="F1133" s="15">
        <f t="shared" si="649"/>
        <v>1457.3999999999999</v>
      </c>
      <c r="G1133" s="15">
        <f t="shared" si="650"/>
        <v>2914.7999999999997</v>
      </c>
      <c r="H1133" s="16">
        <v>2</v>
      </c>
      <c r="I1133" s="17" t="s">
        <v>13</v>
      </c>
      <c r="J1133" s="13" t="s">
        <v>17</v>
      </c>
      <c r="K1133" s="12" t="str">
        <f t="shared" ref="K1133:K1141" si="652">K1132</f>
        <v>2853_02_01_P1_EM01_01_M3</v>
      </c>
      <c r="L1133">
        <v>2914.7999999999997</v>
      </c>
    </row>
    <row r="1134" spans="1:12" ht="21" customHeight="1" x14ac:dyDescent="0.25">
      <c r="A1134" s="12" t="str">
        <f t="shared" si="651"/>
        <v>ЩМП-п2(ЩМП-80.80.40) (P1)</v>
      </c>
      <c r="B1134" s="13" t="s">
        <v>12</v>
      </c>
      <c r="C1134" s="14" t="s">
        <v>36</v>
      </c>
      <c r="D1134" s="12" t="s">
        <v>37</v>
      </c>
      <c r="E1134" s="13">
        <v>783</v>
      </c>
      <c r="F1134" s="15">
        <f t="shared" si="649"/>
        <v>469.79999999999995</v>
      </c>
      <c r="G1134" s="15">
        <f t="shared" si="650"/>
        <v>469.79999999999995</v>
      </c>
      <c r="H1134" s="16">
        <v>1</v>
      </c>
      <c r="I1134" s="17" t="s">
        <v>13</v>
      </c>
      <c r="J1134" s="13" t="s">
        <v>17</v>
      </c>
      <c r="K1134" s="12" t="str">
        <f t="shared" si="652"/>
        <v>2853_02_01_P1_EM01_01_M3</v>
      </c>
      <c r="L1134">
        <v>469.79999999999995</v>
      </c>
    </row>
    <row r="1135" spans="1:12" ht="21" customHeight="1" x14ac:dyDescent="0.25">
      <c r="A1135" s="12" t="str">
        <f t="shared" si="651"/>
        <v>ЩМП-п2(ЩМП-80.80.40) (P1)</v>
      </c>
      <c r="B1135" s="13" t="s">
        <v>54</v>
      </c>
      <c r="C1135" s="14" t="s">
        <v>57</v>
      </c>
      <c r="D1135" s="12" t="s">
        <v>58</v>
      </c>
      <c r="E1135" s="13">
        <v>3372</v>
      </c>
      <c r="F1135" s="15">
        <f t="shared" si="649"/>
        <v>2023.1999999999998</v>
      </c>
      <c r="G1135" s="15">
        <f t="shared" si="650"/>
        <v>4046.3999999999996</v>
      </c>
      <c r="H1135" s="16">
        <v>2</v>
      </c>
      <c r="I1135" s="17" t="s">
        <v>13</v>
      </c>
      <c r="J1135" s="13" t="s">
        <v>17</v>
      </c>
      <c r="K1135" s="12" t="str">
        <f t="shared" si="652"/>
        <v>2853_02_01_P1_EM01_01_M3</v>
      </c>
      <c r="L1135">
        <v>4046.3999999999996</v>
      </c>
    </row>
    <row r="1136" spans="1:12" ht="21" customHeight="1" x14ac:dyDescent="0.25">
      <c r="A1136" s="12" t="str">
        <f t="shared" si="651"/>
        <v>ЩМП-п2(ЩМП-80.80.40) (P1)</v>
      </c>
      <c r="B1136" s="13" t="s">
        <v>54</v>
      </c>
      <c r="C1136" s="14" t="s">
        <v>246</v>
      </c>
      <c r="D1136" s="12" t="s">
        <v>247</v>
      </c>
      <c r="E1136" s="13">
        <v>1129</v>
      </c>
      <c r="F1136" s="15">
        <f t="shared" si="649"/>
        <v>677.4</v>
      </c>
      <c r="G1136" s="15">
        <f t="shared" si="650"/>
        <v>677.4</v>
      </c>
      <c r="H1136" s="16">
        <v>1</v>
      </c>
      <c r="I1136" s="17" t="s">
        <v>13</v>
      </c>
      <c r="J1136" s="13" t="s">
        <v>17</v>
      </c>
      <c r="K1136" s="12" t="str">
        <f t="shared" si="652"/>
        <v>2853_02_01_P1_EM01_01_M3</v>
      </c>
      <c r="L1136">
        <v>677.4</v>
      </c>
    </row>
    <row r="1137" spans="1:12" ht="22.5" customHeight="1" x14ac:dyDescent="0.25">
      <c r="A1137" s="12" t="str">
        <f>A1135</f>
        <v>ЩМП-п2(ЩМП-80.80.40) (P1)</v>
      </c>
      <c r="B1137" s="13" t="s">
        <v>18</v>
      </c>
      <c r="C1137" s="14" t="s">
        <v>296</v>
      </c>
      <c r="D1137" s="12" t="s">
        <v>297</v>
      </c>
      <c r="E1137" s="13">
        <v>50000</v>
      </c>
      <c r="F1137" s="15">
        <f t="shared" ref="F1137" si="653">E1137</f>
        <v>50000</v>
      </c>
      <c r="G1137" s="15">
        <f t="shared" si="650"/>
        <v>0</v>
      </c>
      <c r="H1137" s="16">
        <v>0</v>
      </c>
      <c r="I1137" s="17" t="s">
        <v>13</v>
      </c>
      <c r="J1137" s="13" t="s">
        <v>24</v>
      </c>
      <c r="K1137" s="12" t="str">
        <f>K1135</f>
        <v>2853_02_01_P1_EM01_01_M3</v>
      </c>
      <c r="L1137">
        <v>0</v>
      </c>
    </row>
    <row r="1138" spans="1:12" ht="22.5" customHeight="1" x14ac:dyDescent="0.25">
      <c r="A1138" s="12" t="str">
        <f t="shared" si="651"/>
        <v>ЩМП-п2(ЩМП-80.80.40) (P1)</v>
      </c>
      <c r="B1138" s="13" t="s">
        <v>18</v>
      </c>
      <c r="C1138" s="14" t="s">
        <v>292</v>
      </c>
      <c r="D1138" s="12" t="s">
        <v>293</v>
      </c>
      <c r="E1138" s="13">
        <v>90000</v>
      </c>
      <c r="F1138" s="15">
        <f t="shared" ref="F1138" si="654">E1138</f>
        <v>90000</v>
      </c>
      <c r="G1138" s="15">
        <f t="shared" si="650"/>
        <v>0</v>
      </c>
      <c r="H1138" s="16">
        <v>0</v>
      </c>
      <c r="I1138" s="17" t="s">
        <v>13</v>
      </c>
      <c r="J1138" s="13" t="s">
        <v>24</v>
      </c>
      <c r="K1138" s="12" t="str">
        <f t="shared" si="652"/>
        <v>2853_02_01_P1_EM01_01_M3</v>
      </c>
      <c r="L1138">
        <v>0</v>
      </c>
    </row>
    <row r="1139" spans="1:12" ht="24" customHeight="1" x14ac:dyDescent="0.25">
      <c r="A1139" s="12" t="str">
        <f t="shared" si="651"/>
        <v>ЩМП-п2(ЩМП-80.80.40) (P1)</v>
      </c>
      <c r="B1139" s="12" t="s">
        <v>10</v>
      </c>
      <c r="C1139" s="18" t="s">
        <v>10</v>
      </c>
      <c r="D1139" s="12" t="s">
        <v>10</v>
      </c>
      <c r="E1139" s="12">
        <f ca="1">OFFSET(E1139,1,2)</f>
        <v>15000</v>
      </c>
      <c r="F1139" s="15">
        <f ca="1">E1139</f>
        <v>15000</v>
      </c>
      <c r="G1139" s="15">
        <f t="shared" ca="1" si="650"/>
        <v>15000</v>
      </c>
      <c r="H1139" s="12">
        <v>1</v>
      </c>
      <c r="I1139" s="12" t="s">
        <v>13</v>
      </c>
      <c r="J1139" s="12" t="s">
        <v>10</v>
      </c>
      <c r="K1139" s="12" t="str">
        <f t="shared" si="652"/>
        <v>2853_02_01_P1_EM01_01_M3</v>
      </c>
      <c r="L1139">
        <v>15000</v>
      </c>
    </row>
    <row r="1140" spans="1:12" ht="21" customHeight="1" x14ac:dyDescent="0.25">
      <c r="A1140" s="12" t="str">
        <f t="shared" si="651"/>
        <v>ЩМП-п2(ЩМП-80.80.40) (P1)</v>
      </c>
      <c r="B1140" s="12" t="s">
        <v>11</v>
      </c>
      <c r="C1140" s="18" t="s">
        <v>11</v>
      </c>
      <c r="D1140" s="12" t="s">
        <v>11</v>
      </c>
      <c r="E1140" s="12">
        <v>2.5</v>
      </c>
      <c r="F1140" s="15">
        <v>100</v>
      </c>
      <c r="G1140" s="15">
        <f t="shared" si="650"/>
        <v>15000</v>
      </c>
      <c r="H1140" s="12">
        <f>60*E1140</f>
        <v>150</v>
      </c>
      <c r="I1140" s="12" t="s">
        <v>13</v>
      </c>
      <c r="J1140" s="12" t="s">
        <v>11</v>
      </c>
      <c r="K1140" s="12" t="str">
        <f t="shared" si="652"/>
        <v>2853_02_01_P1_EM01_01_M3</v>
      </c>
      <c r="L1140">
        <v>15000</v>
      </c>
    </row>
    <row r="1141" spans="1:12" ht="30" customHeight="1" x14ac:dyDescent="0.25">
      <c r="A1141" s="12" t="str">
        <f t="shared" si="651"/>
        <v>ЩМП-п2(ЩМП-80.80.40) (P1)</v>
      </c>
      <c r="B1141" s="19"/>
      <c r="C1141" s="20"/>
      <c r="D1141" s="21"/>
      <c r="E1141" s="23"/>
      <c r="F1141" s="25"/>
      <c r="G1141" s="24">
        <f ca="1">SUM(G1132:G1140)</f>
        <v>72908.400000000009</v>
      </c>
      <c r="H1141" s="20"/>
      <c r="I1141" s="22"/>
      <c r="J1141" s="20"/>
      <c r="K1141" s="12" t="str">
        <f t="shared" si="652"/>
        <v>2853_02_01_P1_EM01_01_M3</v>
      </c>
      <c r="L1141">
        <v>72908.400000000009</v>
      </c>
    </row>
    <row r="1142" spans="1:12" ht="39.75" customHeight="1" x14ac:dyDescent="0.25">
      <c r="A1142" s="5" t="str">
        <f>D1142</f>
        <v>АВР-п (P1)</v>
      </c>
      <c r="B1142" s="6"/>
      <c r="C1142" s="7"/>
      <c r="D1142" s="6" t="s">
        <v>388</v>
      </c>
      <c r="E1142" s="8"/>
      <c r="F1142" s="8" t="s">
        <v>40</v>
      </c>
      <c r="G1142" s="9"/>
      <c r="H1142" s="10">
        <v>1</v>
      </c>
      <c r="I1142" s="11" t="s">
        <v>7</v>
      </c>
      <c r="J1142" s="6" t="s">
        <v>9</v>
      </c>
      <c r="K1142" s="5" t="s">
        <v>243</v>
      </c>
      <c r="L1142" s="29">
        <f t="shared" ref="L1142:L1150" si="655">G1142</f>
        <v>0</v>
      </c>
    </row>
    <row r="1143" spans="1:12" ht="21" customHeight="1" x14ac:dyDescent="0.25">
      <c r="A1143" s="12" t="str">
        <f>A1142</f>
        <v>АВР-п (P1)</v>
      </c>
      <c r="B1143" s="13" t="s">
        <v>8</v>
      </c>
      <c r="C1143" s="14" t="s">
        <v>38</v>
      </c>
      <c r="D1143" s="12" t="s">
        <v>490</v>
      </c>
      <c r="E1143" s="13">
        <v>165000</v>
      </c>
      <c r="F1143" s="15">
        <f>E1143*0.6</f>
        <v>99000</v>
      </c>
      <c r="G1143" s="15">
        <f t="shared" ref="G1143:G1149" si="656">H1143*F1143</f>
        <v>198000</v>
      </c>
      <c r="H1143" s="16">
        <v>2</v>
      </c>
      <c r="I1143" s="17" t="s">
        <v>13</v>
      </c>
      <c r="J1143" s="13" t="s">
        <v>16</v>
      </c>
      <c r="K1143" s="12" t="str">
        <f>K1142</f>
        <v>2853_02_01_P1_EM01_01_M3</v>
      </c>
      <c r="L1143" s="29">
        <f t="shared" si="655"/>
        <v>198000</v>
      </c>
    </row>
    <row r="1144" spans="1:12" ht="21" customHeight="1" x14ac:dyDescent="0.25">
      <c r="A1144" s="12" t="str">
        <f t="shared" ref="A1144:A1150" si="657">A1143</f>
        <v>АВР-п (P1)</v>
      </c>
      <c r="B1144" s="13" t="s">
        <v>25</v>
      </c>
      <c r="C1144" s="14" t="s">
        <v>172</v>
      </c>
      <c r="D1144" s="12" t="s">
        <v>173</v>
      </c>
      <c r="E1144" s="13">
        <v>5523</v>
      </c>
      <c r="F1144" s="15">
        <f>E1144</f>
        <v>5523</v>
      </c>
      <c r="G1144" s="15">
        <f t="shared" si="656"/>
        <v>33138</v>
      </c>
      <c r="H1144" s="16">
        <v>6</v>
      </c>
      <c r="I1144" s="17" t="s">
        <v>13</v>
      </c>
      <c r="J1144" s="13" t="s">
        <v>24</v>
      </c>
      <c r="K1144" s="12" t="str">
        <f t="shared" ref="K1144:K1150" si="658">K1143</f>
        <v>2853_02_01_P1_EM01_01_M3</v>
      </c>
      <c r="L1144" s="29">
        <f t="shared" si="655"/>
        <v>33138</v>
      </c>
    </row>
    <row r="1145" spans="1:12" ht="21" customHeight="1" x14ac:dyDescent="0.25">
      <c r="A1145" s="12" t="str">
        <f t="shared" si="657"/>
        <v>АВР-п (P1)</v>
      </c>
      <c r="B1145" s="13" t="s">
        <v>43</v>
      </c>
      <c r="C1145" s="14" t="s">
        <v>244</v>
      </c>
      <c r="D1145" s="12" t="s">
        <v>245</v>
      </c>
      <c r="E1145" s="13">
        <v>558288</v>
      </c>
      <c r="F1145" s="15">
        <f>E1145*0.6</f>
        <v>334972.79999999999</v>
      </c>
      <c r="G1145" s="15">
        <f t="shared" si="656"/>
        <v>669945.59999999998</v>
      </c>
      <c r="H1145" s="16">
        <v>2</v>
      </c>
      <c r="I1145" s="17" t="s">
        <v>13</v>
      </c>
      <c r="J1145" s="13" t="s">
        <v>17</v>
      </c>
      <c r="K1145" s="12" t="str">
        <f t="shared" si="658"/>
        <v>2853_02_01_P1_EM01_01_M3</v>
      </c>
      <c r="L1145" s="29">
        <f t="shared" si="655"/>
        <v>669945.59999999998</v>
      </c>
    </row>
    <row r="1146" spans="1:12" ht="22.5" customHeight="1" x14ac:dyDescent="0.25">
      <c r="A1146" s="12" t="str">
        <f t="shared" si="657"/>
        <v>АВР-п (P1)</v>
      </c>
      <c r="B1146" s="13" t="s">
        <v>18</v>
      </c>
      <c r="C1146" s="14" t="s">
        <v>290</v>
      </c>
      <c r="D1146" s="12" t="s">
        <v>291</v>
      </c>
      <c r="E1146" s="13">
        <v>90000</v>
      </c>
      <c r="F1146" s="15">
        <f t="shared" ref="F1146:F1147" si="659">E1146</f>
        <v>90000</v>
      </c>
      <c r="G1146" s="15">
        <f t="shared" si="656"/>
        <v>0</v>
      </c>
      <c r="H1146" s="16">
        <v>0</v>
      </c>
      <c r="I1146" s="17" t="s">
        <v>13</v>
      </c>
      <c r="J1146" s="13" t="s">
        <v>24</v>
      </c>
      <c r="K1146" s="12" t="str">
        <f t="shared" si="658"/>
        <v>2853_02_01_P1_EM01_01_M3</v>
      </c>
      <c r="L1146" s="29">
        <f t="shared" si="655"/>
        <v>0</v>
      </c>
    </row>
    <row r="1147" spans="1:12" ht="21" customHeight="1" x14ac:dyDescent="0.25">
      <c r="A1147" s="12" t="str">
        <f t="shared" si="657"/>
        <v>АВР-п (P1)</v>
      </c>
      <c r="B1147" s="13" t="s">
        <v>28</v>
      </c>
      <c r="C1147" s="14"/>
      <c r="D1147" s="12" t="s">
        <v>28</v>
      </c>
      <c r="E1147" s="13">
        <v>1000</v>
      </c>
      <c r="F1147" s="15">
        <f t="shared" si="659"/>
        <v>1000</v>
      </c>
      <c r="G1147" s="15">
        <f t="shared" si="656"/>
        <v>1000</v>
      </c>
      <c r="H1147" s="16">
        <v>1</v>
      </c>
      <c r="I1147" s="17" t="s">
        <v>13</v>
      </c>
      <c r="J1147" s="13" t="s">
        <v>24</v>
      </c>
      <c r="K1147" s="12" t="str">
        <f t="shared" si="658"/>
        <v>2853_02_01_P1_EM01_01_M3</v>
      </c>
      <c r="L1147" s="29">
        <f t="shared" si="655"/>
        <v>1000</v>
      </c>
    </row>
    <row r="1148" spans="1:12" ht="24" customHeight="1" x14ac:dyDescent="0.25">
      <c r="A1148" s="12" t="str">
        <f t="shared" si="657"/>
        <v>АВР-п (P1)</v>
      </c>
      <c r="B1148" s="12" t="s">
        <v>10</v>
      </c>
      <c r="C1148" s="18" t="s">
        <v>10</v>
      </c>
      <c r="D1148" s="12" t="s">
        <v>10</v>
      </c>
      <c r="E1148" s="12">
        <v>70000</v>
      </c>
      <c r="F1148" s="15">
        <f>E1148</f>
        <v>70000</v>
      </c>
      <c r="G1148" s="15">
        <f t="shared" si="656"/>
        <v>70000</v>
      </c>
      <c r="H1148" s="12">
        <v>1</v>
      </c>
      <c r="I1148" s="12" t="s">
        <v>13</v>
      </c>
      <c r="J1148" s="12" t="s">
        <v>10</v>
      </c>
      <c r="K1148" s="12" t="str">
        <f t="shared" si="658"/>
        <v>2853_02_01_P1_EM01_01_M3</v>
      </c>
      <c r="L1148" s="29">
        <f t="shared" si="655"/>
        <v>70000</v>
      </c>
    </row>
    <row r="1149" spans="1:12" ht="21" customHeight="1" x14ac:dyDescent="0.25">
      <c r="A1149" s="12" t="str">
        <f t="shared" si="657"/>
        <v>АВР-п (P1)</v>
      </c>
      <c r="B1149" s="12" t="s">
        <v>11</v>
      </c>
      <c r="C1149" s="18" t="s">
        <v>11</v>
      </c>
      <c r="D1149" s="12" t="s">
        <v>11</v>
      </c>
      <c r="E1149" s="12">
        <v>12</v>
      </c>
      <c r="F1149" s="15">
        <v>100</v>
      </c>
      <c r="G1149" s="15">
        <f t="shared" si="656"/>
        <v>72000</v>
      </c>
      <c r="H1149" s="12">
        <f>60*E1149</f>
        <v>720</v>
      </c>
      <c r="I1149" s="12" t="s">
        <v>13</v>
      </c>
      <c r="J1149" s="12" t="s">
        <v>11</v>
      </c>
      <c r="K1149" s="12" t="str">
        <f t="shared" si="658"/>
        <v>2853_02_01_P1_EM01_01_M3</v>
      </c>
      <c r="L1149" s="29">
        <f t="shared" si="655"/>
        <v>72000</v>
      </c>
    </row>
    <row r="1150" spans="1:12" ht="30" customHeight="1" x14ac:dyDescent="0.25">
      <c r="A1150" s="12" t="str">
        <f t="shared" si="657"/>
        <v>АВР-п (P1)</v>
      </c>
      <c r="B1150" s="19"/>
      <c r="C1150" s="20"/>
      <c r="D1150" s="21"/>
      <c r="E1150" s="23"/>
      <c r="F1150" s="25"/>
      <c r="G1150" s="24">
        <f>SUM(G1143:G1149)</f>
        <v>1044083.6</v>
      </c>
      <c r="H1150" s="20"/>
      <c r="I1150" s="22"/>
      <c r="J1150" s="20"/>
      <c r="K1150" s="12" t="str">
        <f t="shared" si="658"/>
        <v>2853_02_01_P1_EM01_01_M3</v>
      </c>
      <c r="L1150" s="29">
        <f t="shared" si="655"/>
        <v>1044083.6</v>
      </c>
    </row>
    <row r="1151" spans="1:12" ht="39.75" customHeight="1" x14ac:dyDescent="0.25">
      <c r="A1151" s="5" t="str">
        <f>D1151</f>
        <v>ЩМП-п1 (ЩМП-80.80.40) (P1)</v>
      </c>
      <c r="B1151" s="6"/>
      <c r="C1151" s="7"/>
      <c r="D1151" s="6" t="s">
        <v>389</v>
      </c>
      <c r="E1151" s="8"/>
      <c r="F1151" s="8" t="s">
        <v>40</v>
      </c>
      <c r="G1151" s="9"/>
      <c r="H1151" s="10">
        <v>1</v>
      </c>
      <c r="I1151" s="11" t="s">
        <v>7</v>
      </c>
      <c r="J1151" s="6" t="s">
        <v>9</v>
      </c>
      <c r="K1151" s="5" t="s">
        <v>243</v>
      </c>
    </row>
    <row r="1152" spans="1:12" ht="21" customHeight="1" x14ac:dyDescent="0.25">
      <c r="A1152" s="12" t="str">
        <f>A1151</f>
        <v>ЩМП-п1 (ЩМП-80.80.40) (P1)</v>
      </c>
      <c r="B1152" s="13" t="s">
        <v>8</v>
      </c>
      <c r="C1152" s="14" t="s">
        <v>470</v>
      </c>
      <c r="D1152" s="12" t="s">
        <v>459</v>
      </c>
      <c r="E1152" s="13">
        <v>58000</v>
      </c>
      <c r="F1152" s="15">
        <f>E1152*0.6</f>
        <v>34800</v>
      </c>
      <c r="G1152" s="15">
        <f t="shared" ref="G1152:G1159" si="660">H1152*F1152</f>
        <v>34800</v>
      </c>
      <c r="H1152" s="16">
        <v>1</v>
      </c>
      <c r="I1152" s="17" t="s">
        <v>13</v>
      </c>
      <c r="J1152" s="13" t="s">
        <v>16</v>
      </c>
      <c r="K1152" s="12" t="str">
        <f>K1151</f>
        <v>2853_02_01_P1_EM01_01_M3</v>
      </c>
      <c r="L1152">
        <v>34800</v>
      </c>
    </row>
    <row r="1153" spans="1:12" ht="21" customHeight="1" x14ac:dyDescent="0.25">
      <c r="A1153" s="12" t="str">
        <f t="shared" ref="A1153:A1160" si="661">A1152</f>
        <v>ЩМП-п1 (ЩМП-80.80.40) (P1)</v>
      </c>
      <c r="B1153" s="13" t="s">
        <v>25</v>
      </c>
      <c r="C1153" s="14" t="s">
        <v>172</v>
      </c>
      <c r="D1153" s="12" t="s">
        <v>173</v>
      </c>
      <c r="E1153" s="13">
        <v>5523</v>
      </c>
      <c r="F1153" s="15">
        <f>E1153</f>
        <v>5523</v>
      </c>
      <c r="G1153" s="15">
        <f t="shared" si="660"/>
        <v>5523</v>
      </c>
      <c r="H1153" s="16">
        <v>1</v>
      </c>
      <c r="I1153" s="17" t="s">
        <v>13</v>
      </c>
      <c r="J1153" s="13" t="s">
        <v>24</v>
      </c>
      <c r="K1153" s="12" t="str">
        <f t="shared" ref="K1153:K1160" si="662">K1152</f>
        <v>2853_02_01_P1_EM01_01_M3</v>
      </c>
      <c r="L1153">
        <v>5523</v>
      </c>
    </row>
    <row r="1154" spans="1:12" ht="21" customHeight="1" x14ac:dyDescent="0.25">
      <c r="A1154" s="12" t="str">
        <f t="shared" si="661"/>
        <v>ЩМП-п1 (ЩМП-80.80.40) (P1)</v>
      </c>
      <c r="B1154" s="13" t="s">
        <v>33</v>
      </c>
      <c r="C1154" s="14" t="s">
        <v>153</v>
      </c>
      <c r="D1154" s="12" t="s">
        <v>154</v>
      </c>
      <c r="E1154" s="13">
        <v>33910</v>
      </c>
      <c r="F1154" s="15">
        <f t="shared" ref="F1154:F1157" si="663">E1154*0.6</f>
        <v>20346</v>
      </c>
      <c r="G1154" s="15">
        <f t="shared" si="660"/>
        <v>40692</v>
      </c>
      <c r="H1154" s="16">
        <v>2</v>
      </c>
      <c r="I1154" s="17" t="s">
        <v>13</v>
      </c>
      <c r="J1154" s="13" t="s">
        <v>17</v>
      </c>
      <c r="K1154" s="12" t="str">
        <f t="shared" si="662"/>
        <v>2853_02_01_P1_EM01_01_M3</v>
      </c>
      <c r="L1154">
        <v>40692</v>
      </c>
    </row>
    <row r="1155" spans="1:12" ht="21" customHeight="1" x14ac:dyDescent="0.25">
      <c r="A1155" s="12" t="str">
        <f t="shared" si="661"/>
        <v>ЩМП-п1 (ЩМП-80.80.40) (P1)</v>
      </c>
      <c r="B1155" s="13" t="s">
        <v>12</v>
      </c>
      <c r="C1155" s="14" t="s">
        <v>161</v>
      </c>
      <c r="D1155" s="12" t="s">
        <v>162</v>
      </c>
      <c r="E1155" s="13">
        <v>3604</v>
      </c>
      <c r="F1155" s="15">
        <f t="shared" si="663"/>
        <v>2162.4</v>
      </c>
      <c r="G1155" s="15">
        <f t="shared" si="660"/>
        <v>2162.4</v>
      </c>
      <c r="H1155" s="16">
        <v>1</v>
      </c>
      <c r="I1155" s="17" t="s">
        <v>13</v>
      </c>
      <c r="J1155" s="13" t="s">
        <v>17</v>
      </c>
      <c r="K1155" s="12" t="str">
        <f t="shared" si="662"/>
        <v>2853_02_01_P1_EM01_01_M3</v>
      </c>
      <c r="L1155">
        <v>2162.4</v>
      </c>
    </row>
    <row r="1156" spans="1:12" ht="21" customHeight="1" x14ac:dyDescent="0.25">
      <c r="A1156" s="12" t="str">
        <f t="shared" si="661"/>
        <v>ЩМП-п1 (ЩМП-80.80.40) (P1)</v>
      </c>
      <c r="B1156" s="13" t="s">
        <v>12</v>
      </c>
      <c r="C1156" s="14" t="s">
        <v>159</v>
      </c>
      <c r="D1156" s="12" t="s">
        <v>160</v>
      </c>
      <c r="E1156" s="13">
        <v>2429</v>
      </c>
      <c r="F1156" s="15">
        <f t="shared" si="663"/>
        <v>1457.3999999999999</v>
      </c>
      <c r="G1156" s="15">
        <f t="shared" si="660"/>
        <v>1457.3999999999999</v>
      </c>
      <c r="H1156" s="16">
        <v>1</v>
      </c>
      <c r="I1156" s="17" t="s">
        <v>13</v>
      </c>
      <c r="J1156" s="13" t="s">
        <v>17</v>
      </c>
      <c r="K1156" s="12" t="str">
        <f t="shared" si="662"/>
        <v>2853_02_01_P1_EM01_01_M3</v>
      </c>
      <c r="L1156">
        <v>1457.3999999999999</v>
      </c>
    </row>
    <row r="1157" spans="1:12" ht="21" customHeight="1" x14ac:dyDescent="0.25">
      <c r="A1157" s="12" t="str">
        <f t="shared" si="661"/>
        <v>ЩМП-п1 (ЩМП-80.80.40) (P1)</v>
      </c>
      <c r="B1157" s="13" t="s">
        <v>12</v>
      </c>
      <c r="C1157" s="14" t="s">
        <v>34</v>
      </c>
      <c r="D1157" s="12" t="s">
        <v>35</v>
      </c>
      <c r="E1157" s="13">
        <v>2337</v>
      </c>
      <c r="F1157" s="15">
        <f t="shared" si="663"/>
        <v>1402.2</v>
      </c>
      <c r="G1157" s="15">
        <f t="shared" si="660"/>
        <v>2804.4</v>
      </c>
      <c r="H1157" s="16">
        <v>2</v>
      </c>
      <c r="I1157" s="17" t="s">
        <v>13</v>
      </c>
      <c r="J1157" s="13" t="s">
        <v>17</v>
      </c>
      <c r="K1157" s="12" t="str">
        <f t="shared" si="662"/>
        <v>2853_02_01_P1_EM01_01_M3</v>
      </c>
      <c r="L1157">
        <v>2804.4</v>
      </c>
    </row>
    <row r="1158" spans="1:12" ht="24" customHeight="1" x14ac:dyDescent="0.25">
      <c r="A1158" s="12" t="str">
        <f t="shared" si="661"/>
        <v>ЩМП-п1 (ЩМП-80.80.40) (P1)</v>
      </c>
      <c r="B1158" s="12" t="s">
        <v>10</v>
      </c>
      <c r="C1158" s="18" t="s">
        <v>10</v>
      </c>
      <c r="D1158" s="12" t="s">
        <v>10</v>
      </c>
      <c r="E1158" s="12">
        <f ca="1">OFFSET(E1158,1,2)</f>
        <v>15000</v>
      </c>
      <c r="F1158" s="15">
        <f ca="1">E1158</f>
        <v>15000</v>
      </c>
      <c r="G1158" s="15">
        <f t="shared" ca="1" si="660"/>
        <v>15000</v>
      </c>
      <c r="H1158" s="12">
        <v>1</v>
      </c>
      <c r="I1158" s="12" t="s">
        <v>13</v>
      </c>
      <c r="J1158" s="12" t="s">
        <v>10</v>
      </c>
      <c r="K1158" s="12" t="str">
        <f t="shared" si="662"/>
        <v>2853_02_01_P1_EM01_01_M3</v>
      </c>
      <c r="L1158">
        <v>15000</v>
      </c>
    </row>
    <row r="1159" spans="1:12" ht="21" customHeight="1" x14ac:dyDescent="0.25">
      <c r="A1159" s="12" t="str">
        <f t="shared" si="661"/>
        <v>ЩМП-п1 (ЩМП-80.80.40) (P1)</v>
      </c>
      <c r="B1159" s="12" t="s">
        <v>11</v>
      </c>
      <c r="C1159" s="18" t="s">
        <v>11</v>
      </c>
      <c r="D1159" s="12" t="s">
        <v>11</v>
      </c>
      <c r="E1159" s="12">
        <v>2.5</v>
      </c>
      <c r="F1159" s="15">
        <v>100</v>
      </c>
      <c r="G1159" s="15">
        <f t="shared" si="660"/>
        <v>15000</v>
      </c>
      <c r="H1159" s="12">
        <f>60*E1159</f>
        <v>150</v>
      </c>
      <c r="I1159" s="12" t="s">
        <v>13</v>
      </c>
      <c r="J1159" s="12" t="s">
        <v>11</v>
      </c>
      <c r="K1159" s="12" t="str">
        <f t="shared" si="662"/>
        <v>2853_02_01_P1_EM01_01_M3</v>
      </c>
      <c r="L1159">
        <v>15000</v>
      </c>
    </row>
    <row r="1160" spans="1:12" ht="30" customHeight="1" x14ac:dyDescent="0.25">
      <c r="A1160" s="12" t="str">
        <f t="shared" si="661"/>
        <v>ЩМП-п1 (ЩМП-80.80.40) (P1)</v>
      </c>
      <c r="B1160" s="19"/>
      <c r="C1160" s="20"/>
      <c r="D1160" s="21"/>
      <c r="E1160" s="23"/>
      <c r="F1160" s="25"/>
      <c r="G1160" s="24">
        <f ca="1">SUM(G1152:G1159)</f>
        <v>117439.19999999998</v>
      </c>
      <c r="H1160" s="20"/>
      <c r="I1160" s="22"/>
      <c r="J1160" s="20"/>
      <c r="K1160" s="12" t="str">
        <f t="shared" si="662"/>
        <v>2853_02_01_P1_EM01_01_M3</v>
      </c>
      <c r="L1160">
        <v>117439.19999999998</v>
      </c>
    </row>
    <row r="1161" spans="1:12" ht="39.75" customHeight="1" x14ac:dyDescent="0.25">
      <c r="A1161" s="5" t="str">
        <f>D1161</f>
        <v>ЩО-P1 (P1)</v>
      </c>
      <c r="B1161" s="6"/>
      <c r="C1161" s="7"/>
      <c r="D1161" s="6" t="s">
        <v>390</v>
      </c>
      <c r="E1161" s="8"/>
      <c r="F1161" s="8" t="s">
        <v>40</v>
      </c>
      <c r="G1161" s="9"/>
      <c r="H1161" s="10">
        <v>1</v>
      </c>
      <c r="I1161" s="11" t="s">
        <v>7</v>
      </c>
      <c r="J1161" s="6" t="s">
        <v>9</v>
      </c>
      <c r="K1161" s="5" t="s">
        <v>243</v>
      </c>
    </row>
    <row r="1162" spans="1:12" ht="21" customHeight="1" x14ac:dyDescent="0.25">
      <c r="A1162" s="12" t="str">
        <f>A1161</f>
        <v>ЩО-P1 (P1)</v>
      </c>
      <c r="B1162" s="13" t="s">
        <v>8</v>
      </c>
      <c r="C1162" s="14" t="s">
        <v>312</v>
      </c>
      <c r="D1162" s="12" t="s">
        <v>313</v>
      </c>
      <c r="E1162" s="13">
        <v>11700</v>
      </c>
      <c r="F1162" s="15">
        <f>E1162*0.6</f>
        <v>7020</v>
      </c>
      <c r="G1162" s="15">
        <f t="shared" ref="G1162:G1167" si="664">H1162*F1162</f>
        <v>7020</v>
      </c>
      <c r="H1162" s="16">
        <v>1</v>
      </c>
      <c r="I1162" s="17" t="s">
        <v>13</v>
      </c>
      <c r="J1162" s="13" t="s">
        <v>319</v>
      </c>
      <c r="K1162" s="12" t="str">
        <f>K1161</f>
        <v>2853_02_01_P1_EM01_01_M3</v>
      </c>
      <c r="L1162">
        <v>7020</v>
      </c>
    </row>
    <row r="1163" spans="1:12" ht="21" customHeight="1" x14ac:dyDescent="0.25">
      <c r="A1163" s="12" t="str">
        <f t="shared" ref="A1163:A1168" si="665">A1162</f>
        <v>ЩО-P1 (P1)</v>
      </c>
      <c r="B1163" s="13" t="s">
        <v>54</v>
      </c>
      <c r="C1163" s="14" t="s">
        <v>55</v>
      </c>
      <c r="D1163" s="12" t="s">
        <v>56</v>
      </c>
      <c r="E1163" s="13">
        <v>3372</v>
      </c>
      <c r="F1163" s="15">
        <f t="shared" ref="F1163:F1164" si="666">E1163*0.6</f>
        <v>2023.1999999999998</v>
      </c>
      <c r="G1163" s="15">
        <f t="shared" si="664"/>
        <v>2023.1999999999998</v>
      </c>
      <c r="H1163" s="16">
        <v>1</v>
      </c>
      <c r="I1163" s="17" t="s">
        <v>13</v>
      </c>
      <c r="J1163" s="13" t="s">
        <v>17</v>
      </c>
      <c r="K1163" s="12" t="str">
        <f t="shared" ref="K1163:K1168" si="667">K1162</f>
        <v>2853_02_01_P1_EM01_01_M3</v>
      </c>
      <c r="L1163">
        <v>2023.1999999999998</v>
      </c>
    </row>
    <row r="1164" spans="1:12" ht="21" customHeight="1" x14ac:dyDescent="0.25">
      <c r="A1164" s="12" t="str">
        <f t="shared" si="665"/>
        <v>ЩО-P1 (P1)</v>
      </c>
      <c r="B1164" s="13" t="s">
        <v>12</v>
      </c>
      <c r="C1164" s="14" t="s">
        <v>19</v>
      </c>
      <c r="D1164" s="12" t="s">
        <v>20</v>
      </c>
      <c r="E1164" s="13">
        <v>975</v>
      </c>
      <c r="F1164" s="15">
        <f t="shared" si="666"/>
        <v>585</v>
      </c>
      <c r="G1164" s="15">
        <f t="shared" si="664"/>
        <v>4095</v>
      </c>
      <c r="H1164" s="16">
        <v>7</v>
      </c>
      <c r="I1164" s="17" t="s">
        <v>13</v>
      </c>
      <c r="J1164" s="13" t="s">
        <v>17</v>
      </c>
      <c r="K1164" s="12" t="str">
        <f t="shared" si="667"/>
        <v>2853_02_01_P1_EM01_01_M3</v>
      </c>
      <c r="L1164">
        <v>4095</v>
      </c>
    </row>
    <row r="1165" spans="1:12" ht="21" customHeight="1" x14ac:dyDescent="0.25">
      <c r="A1165" s="12" t="str">
        <f t="shared" si="665"/>
        <v>ЩО-P1 (P1)</v>
      </c>
      <c r="B1165" s="13" t="s">
        <v>206</v>
      </c>
      <c r="C1165" s="12" t="s">
        <v>233</v>
      </c>
      <c r="D1165" s="12" t="s">
        <v>481</v>
      </c>
      <c r="E1165" s="13">
        <v>6500</v>
      </c>
      <c r="F1165" s="15">
        <f t="shared" ref="F1165" si="668">E1165</f>
        <v>6500</v>
      </c>
      <c r="G1165" s="15">
        <f t="shared" si="664"/>
        <v>6500</v>
      </c>
      <c r="H1165" s="16">
        <v>1</v>
      </c>
      <c r="I1165" s="17" t="s">
        <v>13</v>
      </c>
      <c r="J1165" s="13" t="s">
        <v>24</v>
      </c>
      <c r="K1165" s="12" t="str">
        <f t="shared" si="667"/>
        <v>2853_02_01_P1_EM01_01_M3</v>
      </c>
      <c r="L1165">
        <v>6500</v>
      </c>
    </row>
    <row r="1166" spans="1:12" ht="24" customHeight="1" x14ac:dyDescent="0.25">
      <c r="A1166" s="12" t="str">
        <f>A1164</f>
        <v>ЩО-P1 (P1)</v>
      </c>
      <c r="B1166" s="12" t="s">
        <v>10</v>
      </c>
      <c r="C1166" s="18" t="s">
        <v>10</v>
      </c>
      <c r="D1166" s="12" t="s">
        <v>10</v>
      </c>
      <c r="E1166" s="12">
        <f ca="1">OFFSET(E1166,1,2)</f>
        <v>4200</v>
      </c>
      <c r="F1166" s="15">
        <f ca="1">E1166</f>
        <v>4200</v>
      </c>
      <c r="G1166" s="15">
        <f t="shared" ca="1" si="664"/>
        <v>4200</v>
      </c>
      <c r="H1166" s="12">
        <v>1</v>
      </c>
      <c r="I1166" s="12" t="s">
        <v>13</v>
      </c>
      <c r="J1166" s="12" t="s">
        <v>10</v>
      </c>
      <c r="K1166" s="12" t="str">
        <f>K1164</f>
        <v>2853_02_01_P1_EM01_01_M3</v>
      </c>
      <c r="L1166">
        <v>4200</v>
      </c>
    </row>
    <row r="1167" spans="1:12" ht="21" customHeight="1" x14ac:dyDescent="0.25">
      <c r="A1167" s="12" t="str">
        <f t="shared" si="665"/>
        <v>ЩО-P1 (P1)</v>
      </c>
      <c r="B1167" s="12" t="s">
        <v>11</v>
      </c>
      <c r="C1167" s="18" t="s">
        <v>11</v>
      </c>
      <c r="D1167" s="12" t="s">
        <v>11</v>
      </c>
      <c r="E1167" s="12">
        <v>0.7</v>
      </c>
      <c r="F1167" s="15">
        <v>100</v>
      </c>
      <c r="G1167" s="15">
        <f t="shared" si="664"/>
        <v>4200</v>
      </c>
      <c r="H1167" s="12">
        <f>60*E1167</f>
        <v>42</v>
      </c>
      <c r="I1167" s="12" t="s">
        <v>13</v>
      </c>
      <c r="J1167" s="12" t="s">
        <v>11</v>
      </c>
      <c r="K1167" s="12" t="str">
        <f t="shared" si="667"/>
        <v>2853_02_01_P1_EM01_01_M3</v>
      </c>
      <c r="L1167">
        <v>4200</v>
      </c>
    </row>
    <row r="1168" spans="1:12" ht="30" customHeight="1" x14ac:dyDescent="0.25">
      <c r="A1168" s="12" t="str">
        <f t="shared" si="665"/>
        <v>ЩО-P1 (P1)</v>
      </c>
      <c r="B1168" s="19"/>
      <c r="C1168" s="20"/>
      <c r="D1168" s="21"/>
      <c r="E1168" s="23"/>
      <c r="F1168" s="25"/>
      <c r="G1168" s="24">
        <f ca="1">SUM(G1162:G1167)</f>
        <v>28038.2</v>
      </c>
      <c r="H1168" s="20"/>
      <c r="I1168" s="22"/>
      <c r="J1168" s="20"/>
      <c r="K1168" s="12" t="str">
        <f t="shared" si="667"/>
        <v>2853_02_01_P1_EM01_01_M3</v>
      </c>
      <c r="L1168">
        <v>28038.2</v>
      </c>
    </row>
    <row r="1169" spans="1:12" ht="39.75" customHeight="1" x14ac:dyDescent="0.25">
      <c r="A1169" s="5" t="str">
        <f>D1169</f>
        <v>ЩАО-P1 (P1)</v>
      </c>
      <c r="B1169" s="6"/>
      <c r="C1169" s="7"/>
      <c r="D1169" s="6" t="s">
        <v>391</v>
      </c>
      <c r="E1169" s="8"/>
      <c r="F1169" s="8" t="s">
        <v>40</v>
      </c>
      <c r="G1169" s="9"/>
      <c r="H1169" s="10">
        <v>1</v>
      </c>
      <c r="I1169" s="11" t="s">
        <v>7</v>
      </c>
      <c r="J1169" s="6" t="s">
        <v>9</v>
      </c>
      <c r="K1169" s="5" t="s">
        <v>243</v>
      </c>
    </row>
    <row r="1170" spans="1:12" ht="21" customHeight="1" x14ac:dyDescent="0.25">
      <c r="A1170" s="12" t="str">
        <f>A1169</f>
        <v>ЩАО-P1 (P1)</v>
      </c>
      <c r="B1170" s="13" t="s">
        <v>8</v>
      </c>
      <c r="C1170" s="14" t="s">
        <v>312</v>
      </c>
      <c r="D1170" s="12" t="s">
        <v>313</v>
      </c>
      <c r="E1170" s="13">
        <v>11700</v>
      </c>
      <c r="F1170" s="15">
        <f>E1170*0.6</f>
        <v>7020</v>
      </c>
      <c r="G1170" s="15">
        <f t="shared" ref="G1170:G1174" si="669">H1170*F1170</f>
        <v>7020</v>
      </c>
      <c r="H1170" s="16">
        <v>1</v>
      </c>
      <c r="I1170" s="17" t="s">
        <v>13</v>
      </c>
      <c r="J1170" s="13" t="s">
        <v>319</v>
      </c>
      <c r="K1170" s="12" t="str">
        <f>K1169</f>
        <v>2853_02_01_P1_EM01_01_M3</v>
      </c>
      <c r="L1170">
        <v>7020</v>
      </c>
    </row>
    <row r="1171" spans="1:12" ht="21" customHeight="1" x14ac:dyDescent="0.25">
      <c r="A1171" s="12" t="str">
        <f t="shared" ref="A1171:A1175" si="670">A1170</f>
        <v>ЩАО-P1 (P1)</v>
      </c>
      <c r="B1171" s="13" t="s">
        <v>54</v>
      </c>
      <c r="C1171" s="14" t="s">
        <v>55</v>
      </c>
      <c r="D1171" s="12" t="s">
        <v>56</v>
      </c>
      <c r="E1171" s="13">
        <v>3372</v>
      </c>
      <c r="F1171" s="15">
        <f t="shared" ref="F1171:F1172" si="671">E1171*0.6</f>
        <v>2023.1999999999998</v>
      </c>
      <c r="G1171" s="15">
        <f t="shared" si="669"/>
        <v>2023.1999999999998</v>
      </c>
      <c r="H1171" s="16">
        <v>1</v>
      </c>
      <c r="I1171" s="17" t="s">
        <v>13</v>
      </c>
      <c r="J1171" s="13" t="s">
        <v>17</v>
      </c>
      <c r="K1171" s="12" t="str">
        <f t="shared" ref="K1171:K1175" si="672">K1170</f>
        <v>2853_02_01_P1_EM01_01_M3</v>
      </c>
      <c r="L1171">
        <v>2023.1999999999998</v>
      </c>
    </row>
    <row r="1172" spans="1:12" ht="21" customHeight="1" x14ac:dyDescent="0.25">
      <c r="A1172" s="12" t="str">
        <f t="shared" si="670"/>
        <v>ЩАО-P1 (P1)</v>
      </c>
      <c r="B1172" s="13" t="s">
        <v>12</v>
      </c>
      <c r="C1172" s="14" t="s">
        <v>19</v>
      </c>
      <c r="D1172" s="12" t="s">
        <v>20</v>
      </c>
      <c r="E1172" s="13">
        <v>975</v>
      </c>
      <c r="F1172" s="15">
        <f t="shared" si="671"/>
        <v>585</v>
      </c>
      <c r="G1172" s="15">
        <f t="shared" si="669"/>
        <v>3510</v>
      </c>
      <c r="H1172" s="16">
        <v>6</v>
      </c>
      <c r="I1172" s="17" t="s">
        <v>13</v>
      </c>
      <c r="J1172" s="13" t="s">
        <v>17</v>
      </c>
      <c r="K1172" s="12" t="str">
        <f t="shared" si="672"/>
        <v>2853_02_01_P1_EM01_01_M3</v>
      </c>
      <c r="L1172">
        <v>3510</v>
      </c>
    </row>
    <row r="1173" spans="1:12" ht="24" customHeight="1" x14ac:dyDescent="0.25">
      <c r="A1173" s="12" t="str">
        <f>A1172</f>
        <v>ЩАО-P1 (P1)</v>
      </c>
      <c r="B1173" s="12" t="s">
        <v>10</v>
      </c>
      <c r="C1173" s="18" t="s">
        <v>10</v>
      </c>
      <c r="D1173" s="12" t="s">
        <v>10</v>
      </c>
      <c r="E1173" s="12">
        <f ca="1">OFFSET(E1173,1,2)</f>
        <v>4200</v>
      </c>
      <c r="F1173" s="15">
        <f ca="1">E1173</f>
        <v>4200</v>
      </c>
      <c r="G1173" s="15">
        <f t="shared" ca="1" si="669"/>
        <v>4200</v>
      </c>
      <c r="H1173" s="12">
        <v>1</v>
      </c>
      <c r="I1173" s="12" t="s">
        <v>13</v>
      </c>
      <c r="J1173" s="12" t="s">
        <v>10</v>
      </c>
      <c r="K1173" s="12" t="str">
        <f>K1172</f>
        <v>2853_02_01_P1_EM01_01_M3</v>
      </c>
      <c r="L1173">
        <v>4200</v>
      </c>
    </row>
    <row r="1174" spans="1:12" ht="21" customHeight="1" x14ac:dyDescent="0.25">
      <c r="A1174" s="12" t="str">
        <f t="shared" si="670"/>
        <v>ЩАО-P1 (P1)</v>
      </c>
      <c r="B1174" s="12" t="s">
        <v>11</v>
      </c>
      <c r="C1174" s="18" t="s">
        <v>11</v>
      </c>
      <c r="D1174" s="12" t="s">
        <v>11</v>
      </c>
      <c r="E1174" s="12">
        <v>0.7</v>
      </c>
      <c r="F1174" s="15">
        <v>100</v>
      </c>
      <c r="G1174" s="15">
        <f t="shared" si="669"/>
        <v>4200</v>
      </c>
      <c r="H1174" s="12">
        <f>60*E1174</f>
        <v>42</v>
      </c>
      <c r="I1174" s="12" t="s">
        <v>13</v>
      </c>
      <c r="J1174" s="12" t="s">
        <v>11</v>
      </c>
      <c r="K1174" s="12" t="str">
        <f t="shared" si="672"/>
        <v>2853_02_01_P1_EM01_01_M3</v>
      </c>
      <c r="L1174">
        <v>4200</v>
      </c>
    </row>
    <row r="1175" spans="1:12" ht="30" customHeight="1" x14ac:dyDescent="0.25">
      <c r="A1175" s="12" t="str">
        <f t="shared" si="670"/>
        <v>ЩАО-P1 (P1)</v>
      </c>
      <c r="B1175" s="19"/>
      <c r="C1175" s="20"/>
      <c r="D1175" s="21"/>
      <c r="E1175" s="23"/>
      <c r="F1175" s="25"/>
      <c r="G1175" s="24">
        <f ca="1">SUM(G1170:G1174)</f>
        <v>20953.2</v>
      </c>
      <c r="H1175" s="20"/>
      <c r="I1175" s="22"/>
      <c r="J1175" s="20"/>
      <c r="K1175" s="12" t="str">
        <f t="shared" si="672"/>
        <v>2853_02_01_P1_EM01_01_M3</v>
      </c>
      <c r="L1175">
        <v>20953.2</v>
      </c>
    </row>
    <row r="1176" spans="1:12" ht="39.75" customHeight="1" x14ac:dyDescent="0.25">
      <c r="A1176" s="5" t="str">
        <f>D1176</f>
        <v>ЩСС-P1 (P1)</v>
      </c>
      <c r="B1176" s="6"/>
      <c r="C1176" s="7"/>
      <c r="D1176" s="6" t="s">
        <v>392</v>
      </c>
      <c r="E1176" s="8"/>
      <c r="F1176" s="8" t="s">
        <v>40</v>
      </c>
      <c r="G1176" s="9"/>
      <c r="H1176" s="10">
        <v>1</v>
      </c>
      <c r="I1176" s="11" t="s">
        <v>7</v>
      </c>
      <c r="J1176" s="6" t="s">
        <v>9</v>
      </c>
      <c r="K1176" s="5" t="s">
        <v>243</v>
      </c>
    </row>
    <row r="1177" spans="1:12" ht="21" customHeight="1" x14ac:dyDescent="0.25">
      <c r="A1177" s="12" t="str">
        <f>A1176</f>
        <v>ЩСС-P1 (P1)</v>
      </c>
      <c r="B1177" s="13" t="s">
        <v>8</v>
      </c>
      <c r="C1177" s="14" t="s">
        <v>312</v>
      </c>
      <c r="D1177" s="12" t="s">
        <v>313</v>
      </c>
      <c r="E1177" s="13">
        <v>11700</v>
      </c>
      <c r="F1177" s="15">
        <f>E1177*0.6</f>
        <v>7020</v>
      </c>
      <c r="G1177" s="15">
        <f t="shared" ref="G1177:G1183" si="673">H1177*F1177</f>
        <v>7020</v>
      </c>
      <c r="H1177" s="16">
        <v>1</v>
      </c>
      <c r="I1177" s="17" t="s">
        <v>13</v>
      </c>
      <c r="J1177" s="13" t="s">
        <v>319</v>
      </c>
      <c r="K1177" s="12" t="str">
        <f>K1176</f>
        <v>2853_02_01_P1_EM01_01_M3</v>
      </c>
      <c r="L1177">
        <v>7020</v>
      </c>
    </row>
    <row r="1178" spans="1:12" ht="21" customHeight="1" x14ac:dyDescent="0.25">
      <c r="A1178" s="12" t="str">
        <f t="shared" ref="A1178:A1184" si="674">A1177</f>
        <v>ЩСС-P1 (P1)</v>
      </c>
      <c r="B1178" s="13" t="s">
        <v>54</v>
      </c>
      <c r="C1178" s="14" t="s">
        <v>55</v>
      </c>
      <c r="D1178" s="12" t="s">
        <v>56</v>
      </c>
      <c r="E1178" s="13">
        <v>3372</v>
      </c>
      <c r="F1178" s="15">
        <f t="shared" ref="F1178:F1181" si="675">E1178*0.6</f>
        <v>2023.1999999999998</v>
      </c>
      <c r="G1178" s="15">
        <f t="shared" si="673"/>
        <v>2023.1999999999998</v>
      </c>
      <c r="H1178" s="16">
        <v>1</v>
      </c>
      <c r="I1178" s="17" t="s">
        <v>13</v>
      </c>
      <c r="J1178" s="13" t="s">
        <v>17</v>
      </c>
      <c r="K1178" s="12" t="str">
        <f t="shared" ref="K1178:K1184" si="676">K1177</f>
        <v>2853_02_01_P1_EM01_01_M3</v>
      </c>
      <c r="L1178">
        <v>2023.1999999999998</v>
      </c>
    </row>
    <row r="1179" spans="1:12" ht="21" customHeight="1" x14ac:dyDescent="0.25">
      <c r="A1179" s="12" t="str">
        <f>A1177</f>
        <v>ЩСС-P1 (P1)</v>
      </c>
      <c r="B1179" s="13" t="s">
        <v>21</v>
      </c>
      <c r="C1179" s="14" t="s">
        <v>174</v>
      </c>
      <c r="D1179" s="12" t="s">
        <v>175</v>
      </c>
      <c r="E1179" s="13">
        <v>5719</v>
      </c>
      <c r="F1179" s="15">
        <f t="shared" si="675"/>
        <v>3431.4</v>
      </c>
      <c r="G1179" s="15">
        <f t="shared" si="673"/>
        <v>10294.200000000001</v>
      </c>
      <c r="H1179" s="16">
        <v>3</v>
      </c>
      <c r="I1179" s="17" t="s">
        <v>13</v>
      </c>
      <c r="J1179" s="13" t="s">
        <v>17</v>
      </c>
      <c r="K1179" s="12" t="str">
        <f>K1177</f>
        <v>2853_02_01_P1_EM01_01_M3</v>
      </c>
      <c r="L1179">
        <v>10294.200000000001</v>
      </c>
    </row>
    <row r="1180" spans="1:12" ht="21" customHeight="1" x14ac:dyDescent="0.25">
      <c r="A1180" s="12" t="str">
        <f>A1177</f>
        <v>ЩСС-P1 (P1)</v>
      </c>
      <c r="B1180" s="13" t="s">
        <v>12</v>
      </c>
      <c r="C1180" s="14" t="s">
        <v>50</v>
      </c>
      <c r="D1180" s="12" t="s">
        <v>51</v>
      </c>
      <c r="E1180" s="13">
        <v>783</v>
      </c>
      <c r="F1180" s="15">
        <f t="shared" si="675"/>
        <v>469.79999999999995</v>
      </c>
      <c r="G1180" s="15">
        <f t="shared" si="673"/>
        <v>469.79999999999995</v>
      </c>
      <c r="H1180" s="16">
        <v>1</v>
      </c>
      <c r="I1180" s="17" t="s">
        <v>13</v>
      </c>
      <c r="J1180" s="13" t="s">
        <v>17</v>
      </c>
      <c r="K1180" s="12" t="str">
        <f>K1177</f>
        <v>2853_02_01_P1_EM01_01_M3</v>
      </c>
      <c r="L1180">
        <v>469.79999999999995</v>
      </c>
    </row>
    <row r="1181" spans="1:12" ht="21" customHeight="1" x14ac:dyDescent="0.25">
      <c r="A1181" s="12" t="str">
        <f t="shared" ref="A1181" si="677">A1180</f>
        <v>ЩСС-P1 (P1)</v>
      </c>
      <c r="B1181" s="13" t="s">
        <v>12</v>
      </c>
      <c r="C1181" s="14" t="s">
        <v>19</v>
      </c>
      <c r="D1181" s="12" t="s">
        <v>20</v>
      </c>
      <c r="E1181" s="13">
        <v>975</v>
      </c>
      <c r="F1181" s="15">
        <f t="shared" si="675"/>
        <v>585</v>
      </c>
      <c r="G1181" s="15">
        <f t="shared" si="673"/>
        <v>585</v>
      </c>
      <c r="H1181" s="16">
        <v>1</v>
      </c>
      <c r="I1181" s="17" t="s">
        <v>13</v>
      </c>
      <c r="J1181" s="13" t="s">
        <v>17</v>
      </c>
      <c r="K1181" s="12" t="str">
        <f t="shared" ref="K1181" si="678">K1180</f>
        <v>2853_02_01_P1_EM01_01_M3</v>
      </c>
      <c r="L1181">
        <v>585</v>
      </c>
    </row>
    <row r="1182" spans="1:12" ht="24" customHeight="1" x14ac:dyDescent="0.25">
      <c r="A1182" s="12" t="str">
        <f>A1180</f>
        <v>ЩСС-P1 (P1)</v>
      </c>
      <c r="B1182" s="12" t="s">
        <v>10</v>
      </c>
      <c r="C1182" s="18" t="s">
        <v>10</v>
      </c>
      <c r="D1182" s="12" t="s">
        <v>10</v>
      </c>
      <c r="E1182" s="12">
        <f ca="1">OFFSET(E1182,1,2)</f>
        <v>4200</v>
      </c>
      <c r="F1182" s="15">
        <f ca="1">E1182</f>
        <v>4200</v>
      </c>
      <c r="G1182" s="15">
        <f t="shared" ca="1" si="673"/>
        <v>4200</v>
      </c>
      <c r="H1182" s="12">
        <v>1</v>
      </c>
      <c r="I1182" s="12" t="s">
        <v>13</v>
      </c>
      <c r="J1182" s="12" t="s">
        <v>10</v>
      </c>
      <c r="K1182" s="12" t="str">
        <f>K1180</f>
        <v>2853_02_01_P1_EM01_01_M3</v>
      </c>
      <c r="L1182">
        <v>4200</v>
      </c>
    </row>
    <row r="1183" spans="1:12" ht="21" customHeight="1" x14ac:dyDescent="0.25">
      <c r="A1183" s="12" t="str">
        <f t="shared" si="674"/>
        <v>ЩСС-P1 (P1)</v>
      </c>
      <c r="B1183" s="12" t="s">
        <v>11</v>
      </c>
      <c r="C1183" s="18" t="s">
        <v>11</v>
      </c>
      <c r="D1183" s="12" t="s">
        <v>11</v>
      </c>
      <c r="E1183" s="12">
        <v>0.7</v>
      </c>
      <c r="F1183" s="15">
        <v>100</v>
      </c>
      <c r="G1183" s="15">
        <f t="shared" si="673"/>
        <v>4200</v>
      </c>
      <c r="H1183" s="12">
        <f>60*E1183</f>
        <v>42</v>
      </c>
      <c r="I1183" s="12" t="s">
        <v>13</v>
      </c>
      <c r="J1183" s="12" t="s">
        <v>11</v>
      </c>
      <c r="K1183" s="12" t="str">
        <f t="shared" si="676"/>
        <v>2853_02_01_P1_EM01_01_M3</v>
      </c>
      <c r="L1183">
        <v>4200</v>
      </c>
    </row>
    <row r="1184" spans="1:12" ht="30" customHeight="1" x14ac:dyDescent="0.25">
      <c r="A1184" s="12" t="str">
        <f t="shared" si="674"/>
        <v>ЩСС-P1 (P1)</v>
      </c>
      <c r="B1184" s="19"/>
      <c r="C1184" s="20"/>
      <c r="D1184" s="21"/>
      <c r="E1184" s="23"/>
      <c r="F1184" s="25"/>
      <c r="G1184" s="24">
        <f ca="1">SUM(G1177:G1183)</f>
        <v>28792.2</v>
      </c>
      <c r="H1184" s="20"/>
      <c r="I1184" s="22"/>
      <c r="J1184" s="20"/>
      <c r="K1184" s="12" t="str">
        <f t="shared" si="676"/>
        <v>2853_02_01_P1_EM01_01_M3</v>
      </c>
      <c r="L1184">
        <v>28792.2</v>
      </c>
    </row>
    <row r="1185" spans="1:12" ht="39.75" customHeight="1" x14ac:dyDescent="0.25">
      <c r="A1185" s="5" t="str">
        <f>D1185</f>
        <v>ЩРохр-P1 (P1)</v>
      </c>
      <c r="B1185" s="6"/>
      <c r="C1185" s="7"/>
      <c r="D1185" s="6" t="s">
        <v>393</v>
      </c>
      <c r="E1185" s="8"/>
      <c r="F1185" s="8" t="s">
        <v>40</v>
      </c>
      <c r="G1185" s="9"/>
      <c r="H1185" s="10">
        <v>1</v>
      </c>
      <c r="I1185" s="11" t="s">
        <v>7</v>
      </c>
      <c r="J1185" s="6" t="s">
        <v>9</v>
      </c>
      <c r="K1185" s="5" t="s">
        <v>243</v>
      </c>
    </row>
    <row r="1186" spans="1:12" ht="21" customHeight="1" x14ac:dyDescent="0.25">
      <c r="A1186" s="12" t="str">
        <f>A1185</f>
        <v>ЩРохр-P1 (P1)</v>
      </c>
      <c r="B1186" s="13" t="s">
        <v>8</v>
      </c>
      <c r="C1186" s="14" t="s">
        <v>314</v>
      </c>
      <c r="D1186" s="12" t="s">
        <v>315</v>
      </c>
      <c r="E1186" s="13">
        <v>8990</v>
      </c>
      <c r="F1186" s="15">
        <f>E1186*0.6</f>
        <v>5394</v>
      </c>
      <c r="G1186" s="15">
        <f t="shared" ref="G1186:G1191" si="679">H1186*F1186</f>
        <v>5394</v>
      </c>
      <c r="H1186" s="16">
        <v>1</v>
      </c>
      <c r="I1186" s="17" t="s">
        <v>13</v>
      </c>
      <c r="J1186" s="13" t="s">
        <v>319</v>
      </c>
      <c r="K1186" s="12" t="str">
        <f>K1185</f>
        <v>2853_02_01_P1_EM01_01_M3</v>
      </c>
      <c r="L1186">
        <v>5394</v>
      </c>
    </row>
    <row r="1187" spans="1:12" ht="21" customHeight="1" x14ac:dyDescent="0.25">
      <c r="A1187" s="12" t="str">
        <f t="shared" ref="A1187" si="680">A1186</f>
        <v>ЩРохр-P1 (P1)</v>
      </c>
      <c r="B1187" s="13" t="s">
        <v>54</v>
      </c>
      <c r="C1187" s="14" t="s">
        <v>57</v>
      </c>
      <c r="D1187" s="12" t="s">
        <v>58</v>
      </c>
      <c r="E1187" s="13">
        <v>3372</v>
      </c>
      <c r="F1187" s="15">
        <f t="shared" ref="F1187:F1189" si="681">E1187*0.6</f>
        <v>2023.1999999999998</v>
      </c>
      <c r="G1187" s="15">
        <f t="shared" si="679"/>
        <v>2023.1999999999998</v>
      </c>
      <c r="H1187" s="16">
        <v>1</v>
      </c>
      <c r="I1187" s="17" t="s">
        <v>13</v>
      </c>
      <c r="J1187" s="13" t="s">
        <v>17</v>
      </c>
      <c r="K1187" s="12" t="str">
        <f t="shared" ref="K1187" si="682">K1186</f>
        <v>2853_02_01_P1_EM01_01_M3</v>
      </c>
      <c r="L1187">
        <v>2023.1999999999998</v>
      </c>
    </row>
    <row r="1188" spans="1:12" ht="21" customHeight="1" x14ac:dyDescent="0.25">
      <c r="A1188" s="12" t="str">
        <f>A1186</f>
        <v>ЩРохр-P1 (P1)</v>
      </c>
      <c r="B1188" s="13" t="s">
        <v>21</v>
      </c>
      <c r="C1188" s="14" t="s">
        <v>44</v>
      </c>
      <c r="D1188" s="12" t="s">
        <v>45</v>
      </c>
      <c r="E1188" s="13">
        <v>5104</v>
      </c>
      <c r="F1188" s="15">
        <f t="shared" si="681"/>
        <v>3062.4</v>
      </c>
      <c r="G1188" s="15">
        <f t="shared" si="679"/>
        <v>6124.8</v>
      </c>
      <c r="H1188" s="16">
        <v>2</v>
      </c>
      <c r="I1188" s="17" t="s">
        <v>13</v>
      </c>
      <c r="J1188" s="13" t="s">
        <v>17</v>
      </c>
      <c r="K1188" s="12" t="str">
        <f>K1186</f>
        <v>2853_02_01_P1_EM01_01_M3</v>
      </c>
      <c r="L1188">
        <v>6124.8</v>
      </c>
    </row>
    <row r="1189" spans="1:12" ht="21" customHeight="1" x14ac:dyDescent="0.25">
      <c r="A1189" s="12" t="str">
        <f>A1186</f>
        <v>ЩРохр-P1 (P1)</v>
      </c>
      <c r="B1189" s="13" t="s">
        <v>12</v>
      </c>
      <c r="C1189" s="14" t="s">
        <v>50</v>
      </c>
      <c r="D1189" s="12" t="s">
        <v>51</v>
      </c>
      <c r="E1189" s="13">
        <v>783</v>
      </c>
      <c r="F1189" s="15">
        <f t="shared" si="681"/>
        <v>469.79999999999995</v>
      </c>
      <c r="G1189" s="15">
        <f t="shared" si="679"/>
        <v>1409.3999999999999</v>
      </c>
      <c r="H1189" s="16">
        <v>3</v>
      </c>
      <c r="I1189" s="17" t="s">
        <v>13</v>
      </c>
      <c r="J1189" s="13" t="s">
        <v>17</v>
      </c>
      <c r="K1189" s="12" t="str">
        <f>K1186</f>
        <v>2853_02_01_P1_EM01_01_M3</v>
      </c>
      <c r="L1189">
        <v>1409.3999999999999</v>
      </c>
    </row>
    <row r="1190" spans="1:12" ht="24" customHeight="1" x14ac:dyDescent="0.25">
      <c r="A1190" s="12" t="str">
        <f>A1189</f>
        <v>ЩРохр-P1 (P1)</v>
      </c>
      <c r="B1190" s="12" t="s">
        <v>10</v>
      </c>
      <c r="C1190" s="18" t="s">
        <v>10</v>
      </c>
      <c r="D1190" s="12" t="s">
        <v>10</v>
      </c>
      <c r="E1190" s="12">
        <f ca="1">OFFSET(E1190,1,2)</f>
        <v>3000</v>
      </c>
      <c r="F1190" s="15">
        <f ca="1">E1190</f>
        <v>3000</v>
      </c>
      <c r="G1190" s="15">
        <f t="shared" ca="1" si="679"/>
        <v>3000</v>
      </c>
      <c r="H1190" s="12">
        <v>1</v>
      </c>
      <c r="I1190" s="12" t="s">
        <v>13</v>
      </c>
      <c r="J1190" s="12" t="s">
        <v>10</v>
      </c>
      <c r="K1190" s="12" t="str">
        <f>K1189</f>
        <v>2853_02_01_P1_EM01_01_M3</v>
      </c>
      <c r="L1190">
        <v>3000</v>
      </c>
    </row>
    <row r="1191" spans="1:12" ht="21" customHeight="1" x14ac:dyDescent="0.25">
      <c r="A1191" s="12" t="str">
        <f t="shared" ref="A1191:A1192" si="683">A1190</f>
        <v>ЩРохр-P1 (P1)</v>
      </c>
      <c r="B1191" s="12" t="s">
        <v>11</v>
      </c>
      <c r="C1191" s="18" t="s">
        <v>11</v>
      </c>
      <c r="D1191" s="12" t="s">
        <v>11</v>
      </c>
      <c r="E1191" s="12">
        <v>0.5</v>
      </c>
      <c r="F1191" s="15">
        <v>100</v>
      </c>
      <c r="G1191" s="15">
        <f t="shared" si="679"/>
        <v>3000</v>
      </c>
      <c r="H1191" s="12">
        <f>60*E1191</f>
        <v>30</v>
      </c>
      <c r="I1191" s="12" t="s">
        <v>13</v>
      </c>
      <c r="J1191" s="12" t="s">
        <v>11</v>
      </c>
      <c r="K1191" s="12" t="str">
        <f t="shared" ref="K1191:K1192" si="684">K1190</f>
        <v>2853_02_01_P1_EM01_01_M3</v>
      </c>
      <c r="L1191">
        <v>3000</v>
      </c>
    </row>
    <row r="1192" spans="1:12" ht="30" customHeight="1" x14ac:dyDescent="0.25">
      <c r="A1192" s="12" t="str">
        <f t="shared" si="683"/>
        <v>ЩРохр-P1 (P1)</v>
      </c>
      <c r="B1192" s="19"/>
      <c r="C1192" s="20"/>
      <c r="D1192" s="21"/>
      <c r="E1192" s="23"/>
      <c r="F1192" s="25"/>
      <c r="G1192" s="24">
        <f ca="1">SUM(G1186:G1191)</f>
        <v>20951.400000000001</v>
      </c>
      <c r="H1192" s="20"/>
      <c r="I1192" s="22"/>
      <c r="J1192" s="20"/>
      <c r="K1192" s="12" t="str">
        <f t="shared" si="684"/>
        <v>2853_02_01_P1_EM01_01_M3</v>
      </c>
      <c r="L1192">
        <v>20951.400000000001</v>
      </c>
    </row>
    <row r="1193" spans="1:12" ht="39.75" customHeight="1" x14ac:dyDescent="0.25">
      <c r="A1193" s="5" t="str">
        <f>D1193</f>
        <v>ЩР-п (P1)</v>
      </c>
      <c r="B1193" s="6"/>
      <c r="C1193" s="7"/>
      <c r="D1193" s="6" t="s">
        <v>394</v>
      </c>
      <c r="E1193" s="8"/>
      <c r="F1193" s="8" t="s">
        <v>40</v>
      </c>
      <c r="G1193" s="9"/>
      <c r="H1193" s="10">
        <v>1</v>
      </c>
      <c r="I1193" s="11" t="s">
        <v>7</v>
      </c>
      <c r="J1193" s="6" t="s">
        <v>9</v>
      </c>
      <c r="K1193" s="5" t="s">
        <v>243</v>
      </c>
    </row>
    <row r="1194" spans="1:12" ht="21" customHeight="1" x14ac:dyDescent="0.25">
      <c r="A1194" s="12" t="str">
        <f>A1193</f>
        <v>ЩР-п (P1)</v>
      </c>
      <c r="B1194" s="13" t="s">
        <v>8</v>
      </c>
      <c r="C1194" s="14" t="s">
        <v>316</v>
      </c>
      <c r="D1194" s="12" t="s">
        <v>317</v>
      </c>
      <c r="E1194" s="13">
        <v>14900</v>
      </c>
      <c r="F1194" s="15">
        <f>E1194*0.6</f>
        <v>8940</v>
      </c>
      <c r="G1194" s="15">
        <f t="shared" ref="G1194:G1200" si="685">H1194*F1194</f>
        <v>8940</v>
      </c>
      <c r="H1194" s="16">
        <v>1</v>
      </c>
      <c r="I1194" s="17" t="s">
        <v>13</v>
      </c>
      <c r="J1194" s="13" t="s">
        <v>319</v>
      </c>
      <c r="K1194" s="12" t="str">
        <f>K1193</f>
        <v>2853_02_01_P1_EM01_01_M3</v>
      </c>
      <c r="L1194">
        <v>8940</v>
      </c>
    </row>
    <row r="1195" spans="1:12" ht="21" customHeight="1" x14ac:dyDescent="0.25">
      <c r="A1195" s="12" t="str">
        <f t="shared" ref="A1195" si="686">A1194</f>
        <v>ЩР-п (P1)</v>
      </c>
      <c r="B1195" s="13" t="s">
        <v>54</v>
      </c>
      <c r="C1195" s="14" t="s">
        <v>57</v>
      </c>
      <c r="D1195" s="12" t="s">
        <v>58</v>
      </c>
      <c r="E1195" s="13">
        <v>3372</v>
      </c>
      <c r="F1195" s="15">
        <f t="shared" ref="F1195:F1198" si="687">E1195*0.6</f>
        <v>2023.1999999999998</v>
      </c>
      <c r="G1195" s="15">
        <f t="shared" si="685"/>
        <v>2023.1999999999998</v>
      </c>
      <c r="H1195" s="16">
        <v>1</v>
      </c>
      <c r="I1195" s="17" t="s">
        <v>13</v>
      </c>
      <c r="J1195" s="13" t="s">
        <v>17</v>
      </c>
      <c r="K1195" s="12" t="str">
        <f t="shared" ref="K1195" si="688">K1194</f>
        <v>2853_02_01_P1_EM01_01_M3</v>
      </c>
      <c r="L1195">
        <v>2023.1999999999998</v>
      </c>
    </row>
    <row r="1196" spans="1:12" ht="21" customHeight="1" x14ac:dyDescent="0.25">
      <c r="A1196" s="12" t="str">
        <f>A1194</f>
        <v>ЩР-п (P1)</v>
      </c>
      <c r="B1196" s="13" t="s">
        <v>21</v>
      </c>
      <c r="C1196" s="14" t="s">
        <v>44</v>
      </c>
      <c r="D1196" s="12" t="s">
        <v>45</v>
      </c>
      <c r="E1196" s="13">
        <v>5104</v>
      </c>
      <c r="F1196" s="15">
        <f t="shared" si="687"/>
        <v>3062.4</v>
      </c>
      <c r="G1196" s="15">
        <f t="shared" si="685"/>
        <v>15312</v>
      </c>
      <c r="H1196" s="16">
        <v>5</v>
      </c>
      <c r="I1196" s="17" t="s">
        <v>13</v>
      </c>
      <c r="J1196" s="13" t="s">
        <v>17</v>
      </c>
      <c r="K1196" s="12" t="str">
        <f>K1194</f>
        <v>2853_02_01_P1_EM01_01_M3</v>
      </c>
      <c r="L1196">
        <v>15312</v>
      </c>
    </row>
    <row r="1197" spans="1:12" ht="21" customHeight="1" x14ac:dyDescent="0.25">
      <c r="A1197" s="12" t="str">
        <f>A1194</f>
        <v>ЩР-п (P1)</v>
      </c>
      <c r="B1197" s="13" t="s">
        <v>12</v>
      </c>
      <c r="C1197" s="14" t="s">
        <v>50</v>
      </c>
      <c r="D1197" s="12" t="s">
        <v>51</v>
      </c>
      <c r="E1197" s="13">
        <v>783</v>
      </c>
      <c r="F1197" s="15">
        <f t="shared" si="687"/>
        <v>469.79999999999995</v>
      </c>
      <c r="G1197" s="15">
        <f t="shared" si="685"/>
        <v>469.79999999999995</v>
      </c>
      <c r="H1197" s="16">
        <v>1</v>
      </c>
      <c r="I1197" s="17" t="s">
        <v>13</v>
      </c>
      <c r="J1197" s="13" t="s">
        <v>17</v>
      </c>
      <c r="K1197" s="12" t="str">
        <f>K1194</f>
        <v>2853_02_01_P1_EM01_01_M3</v>
      </c>
      <c r="L1197">
        <v>469.79999999999995</v>
      </c>
    </row>
    <row r="1198" spans="1:12" ht="21" customHeight="1" x14ac:dyDescent="0.25">
      <c r="A1198" s="12" t="str">
        <f>A1196</f>
        <v>ЩР-п (P1)</v>
      </c>
      <c r="B1198" s="13" t="s">
        <v>182</v>
      </c>
      <c r="C1198" s="14" t="s">
        <v>178</v>
      </c>
      <c r="D1198" s="12" t="s">
        <v>179</v>
      </c>
      <c r="E1198" s="13">
        <v>5354</v>
      </c>
      <c r="F1198" s="15">
        <f t="shared" si="687"/>
        <v>3212.4</v>
      </c>
      <c r="G1198" s="15">
        <f t="shared" si="685"/>
        <v>3212.4</v>
      </c>
      <c r="H1198" s="16">
        <v>1</v>
      </c>
      <c r="I1198" s="17" t="s">
        <v>13</v>
      </c>
      <c r="J1198" s="13" t="s">
        <v>17</v>
      </c>
      <c r="K1198" s="12" t="str">
        <f>K1196</f>
        <v>2853_02_01_P1_EM01_01_M3</v>
      </c>
      <c r="L1198">
        <v>3212.4</v>
      </c>
    </row>
    <row r="1199" spans="1:12" ht="24" customHeight="1" x14ac:dyDescent="0.25">
      <c r="A1199" s="12" t="str">
        <f>A1197</f>
        <v>ЩР-п (P1)</v>
      </c>
      <c r="B1199" s="12" t="s">
        <v>10</v>
      </c>
      <c r="C1199" s="18" t="s">
        <v>10</v>
      </c>
      <c r="D1199" s="12" t="s">
        <v>10</v>
      </c>
      <c r="E1199" s="12">
        <f ca="1">OFFSET(E1199,1,2)</f>
        <v>6000</v>
      </c>
      <c r="F1199" s="15">
        <f ca="1">E1199</f>
        <v>6000</v>
      </c>
      <c r="G1199" s="15">
        <f t="shared" ca="1" si="685"/>
        <v>6000</v>
      </c>
      <c r="H1199" s="12">
        <v>1</v>
      </c>
      <c r="I1199" s="12" t="s">
        <v>13</v>
      </c>
      <c r="J1199" s="12" t="s">
        <v>10</v>
      </c>
      <c r="K1199" s="12" t="str">
        <f>K1197</f>
        <v>2853_02_01_P1_EM01_01_M3</v>
      </c>
      <c r="L1199">
        <v>6000</v>
      </c>
    </row>
    <row r="1200" spans="1:12" ht="21" customHeight="1" x14ac:dyDescent="0.25">
      <c r="A1200" s="12" t="str">
        <f t="shared" ref="A1200:A1201" si="689">A1199</f>
        <v>ЩР-п (P1)</v>
      </c>
      <c r="B1200" s="12" t="s">
        <v>11</v>
      </c>
      <c r="C1200" s="18" t="s">
        <v>11</v>
      </c>
      <c r="D1200" s="12" t="s">
        <v>11</v>
      </c>
      <c r="E1200" s="12">
        <v>1</v>
      </c>
      <c r="F1200" s="15">
        <v>100</v>
      </c>
      <c r="G1200" s="15">
        <f t="shared" si="685"/>
        <v>6000</v>
      </c>
      <c r="H1200" s="12">
        <f>60*E1200</f>
        <v>60</v>
      </c>
      <c r="I1200" s="12" t="s">
        <v>13</v>
      </c>
      <c r="J1200" s="12" t="s">
        <v>11</v>
      </c>
      <c r="K1200" s="12" t="str">
        <f t="shared" ref="K1200:K1201" si="690">K1199</f>
        <v>2853_02_01_P1_EM01_01_M3</v>
      </c>
      <c r="L1200">
        <v>6000</v>
      </c>
    </row>
    <row r="1201" spans="1:12" ht="30" customHeight="1" x14ac:dyDescent="0.25">
      <c r="A1201" s="12" t="str">
        <f t="shared" si="689"/>
        <v>ЩР-п (P1)</v>
      </c>
      <c r="B1201" s="19"/>
      <c r="C1201" s="20"/>
      <c r="D1201" s="21"/>
      <c r="E1201" s="23"/>
      <c r="F1201" s="25"/>
      <c r="G1201" s="24">
        <f ca="1">SUM(G1194:G1200)</f>
        <v>41957.4</v>
      </c>
      <c r="H1201" s="20"/>
      <c r="I1201" s="22"/>
      <c r="J1201" s="20"/>
      <c r="K1201" s="12" t="str">
        <f t="shared" si="690"/>
        <v>2853_02_01_P1_EM01_01_M3</v>
      </c>
      <c r="L1201">
        <v>41957.4</v>
      </c>
    </row>
    <row r="1202" spans="1:12" ht="39.75" customHeight="1" x14ac:dyDescent="0.25">
      <c r="A1202" s="5" t="str">
        <f>D1202</f>
        <v>ЩСН-P1 (P1)</v>
      </c>
      <c r="B1202" s="6"/>
      <c r="C1202" s="7"/>
      <c r="D1202" s="6" t="s">
        <v>395</v>
      </c>
      <c r="E1202" s="8"/>
      <c r="F1202" s="8" t="s">
        <v>40</v>
      </c>
      <c r="G1202" s="9"/>
      <c r="H1202" s="10">
        <v>1</v>
      </c>
      <c r="I1202" s="11" t="s">
        <v>7</v>
      </c>
      <c r="J1202" s="6" t="s">
        <v>9</v>
      </c>
      <c r="K1202" s="5" t="s">
        <v>243</v>
      </c>
    </row>
    <row r="1203" spans="1:12" ht="21" customHeight="1" x14ac:dyDescent="0.25">
      <c r="A1203" s="12" t="str">
        <f>A1202</f>
        <v>ЩСН-P1 (P1)</v>
      </c>
      <c r="B1203" s="13" t="s">
        <v>8</v>
      </c>
      <c r="C1203" s="14" t="s">
        <v>316</v>
      </c>
      <c r="D1203" s="12" t="s">
        <v>317</v>
      </c>
      <c r="E1203" s="13">
        <v>14900</v>
      </c>
      <c r="F1203" s="15">
        <f>E1203*0.6</f>
        <v>8940</v>
      </c>
      <c r="G1203" s="15">
        <f t="shared" ref="G1203:G1207" si="691">H1203*F1203</f>
        <v>8940</v>
      </c>
      <c r="H1203" s="16">
        <v>1</v>
      </c>
      <c r="I1203" s="17" t="s">
        <v>13</v>
      </c>
      <c r="J1203" s="13" t="s">
        <v>319</v>
      </c>
      <c r="K1203" s="12" t="str">
        <f>K1202</f>
        <v>2853_02_01_P1_EM01_01_M3</v>
      </c>
      <c r="L1203">
        <v>8940</v>
      </c>
    </row>
    <row r="1204" spans="1:12" ht="21" customHeight="1" x14ac:dyDescent="0.25">
      <c r="A1204" s="12" t="str">
        <f t="shared" ref="A1204:A1208" si="692">A1203</f>
        <v>ЩСН-P1 (P1)</v>
      </c>
      <c r="B1204" s="13" t="s">
        <v>54</v>
      </c>
      <c r="C1204" s="14" t="s">
        <v>57</v>
      </c>
      <c r="D1204" s="12" t="s">
        <v>58</v>
      </c>
      <c r="E1204" s="13">
        <v>3372</v>
      </c>
      <c r="F1204" s="15">
        <f t="shared" ref="F1204:F1205" si="693">E1204*0.6</f>
        <v>2023.1999999999998</v>
      </c>
      <c r="G1204" s="15">
        <f t="shared" si="691"/>
        <v>2023.1999999999998</v>
      </c>
      <c r="H1204" s="16">
        <v>1</v>
      </c>
      <c r="I1204" s="17" t="s">
        <v>13</v>
      </c>
      <c r="J1204" s="13" t="s">
        <v>17</v>
      </c>
      <c r="K1204" s="12" t="str">
        <f t="shared" ref="K1204:K1208" si="694">K1203</f>
        <v>2853_02_01_P1_EM01_01_M3</v>
      </c>
      <c r="L1204">
        <v>2023.1999999999998</v>
      </c>
    </row>
    <row r="1205" spans="1:12" ht="21" customHeight="1" x14ac:dyDescent="0.25">
      <c r="A1205" s="12" t="str">
        <f t="shared" si="692"/>
        <v>ЩСН-P1 (P1)</v>
      </c>
      <c r="B1205" s="13" t="s">
        <v>21</v>
      </c>
      <c r="C1205" s="14" t="s">
        <v>44</v>
      </c>
      <c r="D1205" s="12" t="s">
        <v>45</v>
      </c>
      <c r="E1205" s="13">
        <v>5104</v>
      </c>
      <c r="F1205" s="15">
        <f t="shared" si="693"/>
        <v>3062.4</v>
      </c>
      <c r="G1205" s="15">
        <f t="shared" si="691"/>
        <v>24499.200000000001</v>
      </c>
      <c r="H1205" s="16">
        <v>8</v>
      </c>
      <c r="I1205" s="17" t="s">
        <v>13</v>
      </c>
      <c r="J1205" s="13" t="s">
        <v>17</v>
      </c>
      <c r="K1205" s="12" t="str">
        <f t="shared" si="694"/>
        <v>2853_02_01_P1_EM01_01_M3</v>
      </c>
      <c r="L1205">
        <v>24499.200000000001</v>
      </c>
    </row>
    <row r="1206" spans="1:12" ht="24" customHeight="1" x14ac:dyDescent="0.25">
      <c r="A1206" s="12" t="str">
        <f t="shared" si="692"/>
        <v>ЩСН-P1 (P1)</v>
      </c>
      <c r="B1206" s="12" t="s">
        <v>10</v>
      </c>
      <c r="C1206" s="18" t="s">
        <v>10</v>
      </c>
      <c r="D1206" s="12" t="s">
        <v>10</v>
      </c>
      <c r="E1206" s="12">
        <f ca="1">OFFSET(E1206,1,2)</f>
        <v>6000</v>
      </c>
      <c r="F1206" s="15">
        <f ca="1">E1206</f>
        <v>6000</v>
      </c>
      <c r="G1206" s="15">
        <f t="shared" ca="1" si="691"/>
        <v>6000</v>
      </c>
      <c r="H1206" s="12">
        <v>1</v>
      </c>
      <c r="I1206" s="12" t="s">
        <v>13</v>
      </c>
      <c r="J1206" s="12" t="s">
        <v>10</v>
      </c>
      <c r="K1206" s="12" t="str">
        <f t="shared" si="694"/>
        <v>2853_02_01_P1_EM01_01_M3</v>
      </c>
      <c r="L1206">
        <v>6000</v>
      </c>
    </row>
    <row r="1207" spans="1:12" ht="21" customHeight="1" x14ac:dyDescent="0.25">
      <c r="A1207" s="12" t="str">
        <f t="shared" si="692"/>
        <v>ЩСН-P1 (P1)</v>
      </c>
      <c r="B1207" s="12" t="s">
        <v>11</v>
      </c>
      <c r="C1207" s="18" t="s">
        <v>11</v>
      </c>
      <c r="D1207" s="12" t="s">
        <v>11</v>
      </c>
      <c r="E1207" s="12">
        <v>1</v>
      </c>
      <c r="F1207" s="15">
        <v>100</v>
      </c>
      <c r="G1207" s="15">
        <f t="shared" si="691"/>
        <v>6000</v>
      </c>
      <c r="H1207" s="12">
        <f>60*E1207</f>
        <v>60</v>
      </c>
      <c r="I1207" s="12" t="s">
        <v>13</v>
      </c>
      <c r="J1207" s="12" t="s">
        <v>11</v>
      </c>
      <c r="K1207" s="12" t="str">
        <f t="shared" si="694"/>
        <v>2853_02_01_P1_EM01_01_M3</v>
      </c>
      <c r="L1207">
        <v>6000</v>
      </c>
    </row>
    <row r="1208" spans="1:12" ht="30" customHeight="1" x14ac:dyDescent="0.25">
      <c r="A1208" s="12" t="str">
        <f t="shared" si="692"/>
        <v>ЩСН-P1 (P1)</v>
      </c>
      <c r="B1208" s="19"/>
      <c r="C1208" s="20"/>
      <c r="D1208" s="21"/>
      <c r="E1208" s="23"/>
      <c r="F1208" s="25"/>
      <c r="G1208" s="24">
        <f ca="1">SUM(G1203:G1207)</f>
        <v>47462.400000000001</v>
      </c>
      <c r="H1208" s="20"/>
      <c r="I1208" s="22"/>
      <c r="J1208" s="20"/>
      <c r="K1208" s="12" t="str">
        <f t="shared" si="694"/>
        <v>2853_02_01_P1_EM01_01_M3</v>
      </c>
      <c r="L1208">
        <v>47462.400000000001</v>
      </c>
    </row>
    <row r="1209" spans="1:12" ht="39.75" customHeight="1" x14ac:dyDescent="0.25">
      <c r="A1209" s="5" t="str">
        <f>D1209</f>
        <v>ЩС-JET (P1)</v>
      </c>
      <c r="B1209" s="6"/>
      <c r="C1209" s="7"/>
      <c r="D1209" s="6" t="s">
        <v>396</v>
      </c>
      <c r="E1209" s="8"/>
      <c r="F1209" s="8" t="s">
        <v>40</v>
      </c>
      <c r="G1209" s="9"/>
      <c r="H1209" s="10">
        <v>1</v>
      </c>
      <c r="I1209" s="11" t="s">
        <v>7</v>
      </c>
      <c r="J1209" s="6" t="s">
        <v>9</v>
      </c>
      <c r="K1209" s="5" t="s">
        <v>243</v>
      </c>
    </row>
    <row r="1210" spans="1:12" ht="21" customHeight="1" x14ac:dyDescent="0.25">
      <c r="A1210" s="12" t="str">
        <f>A1209</f>
        <v>ЩС-JET (P1)</v>
      </c>
      <c r="B1210" s="13" t="s">
        <v>8</v>
      </c>
      <c r="C1210" s="14" t="s">
        <v>316</v>
      </c>
      <c r="D1210" s="12" t="s">
        <v>317</v>
      </c>
      <c r="E1210" s="13">
        <v>14900</v>
      </c>
      <c r="F1210" s="15">
        <f>E1210*0.6</f>
        <v>8940</v>
      </c>
      <c r="G1210" s="15">
        <f t="shared" ref="G1210:G1213" si="695">H1210*F1210</f>
        <v>8940</v>
      </c>
      <c r="H1210" s="16">
        <v>1</v>
      </c>
      <c r="I1210" s="17" t="s">
        <v>13</v>
      </c>
      <c r="J1210" s="13" t="s">
        <v>319</v>
      </c>
      <c r="K1210" s="12" t="str">
        <f>K1209</f>
        <v>2853_02_01_P1_EM01_01_M3</v>
      </c>
      <c r="L1210">
        <v>8940</v>
      </c>
    </row>
    <row r="1211" spans="1:12" ht="21" customHeight="1" x14ac:dyDescent="0.25">
      <c r="A1211" s="12" t="str">
        <f t="shared" ref="A1211:A1214" si="696">A1210</f>
        <v>ЩС-JET (P1)</v>
      </c>
      <c r="B1211" s="13" t="s">
        <v>54</v>
      </c>
      <c r="C1211" s="14" t="s">
        <v>153</v>
      </c>
      <c r="D1211" s="12" t="s">
        <v>154</v>
      </c>
      <c r="E1211" s="13">
        <v>33910</v>
      </c>
      <c r="F1211" s="15">
        <f>E1211*0.6</f>
        <v>20346</v>
      </c>
      <c r="G1211" s="15">
        <f t="shared" si="695"/>
        <v>20346</v>
      </c>
      <c r="H1211" s="16">
        <v>1</v>
      </c>
      <c r="I1211" s="17" t="s">
        <v>13</v>
      </c>
      <c r="J1211" s="13" t="s">
        <v>17</v>
      </c>
      <c r="K1211" s="12" t="str">
        <f t="shared" ref="K1211:K1214" si="697">K1210</f>
        <v>2853_02_01_P1_EM01_01_M3</v>
      </c>
      <c r="L1211">
        <v>20346</v>
      </c>
    </row>
    <row r="1212" spans="1:12" ht="24" customHeight="1" x14ac:dyDescent="0.25">
      <c r="A1212" s="12" t="str">
        <f t="shared" si="696"/>
        <v>ЩС-JET (P1)</v>
      </c>
      <c r="B1212" s="12" t="s">
        <v>10</v>
      </c>
      <c r="C1212" s="18" t="s">
        <v>10</v>
      </c>
      <c r="D1212" s="12" t="s">
        <v>10</v>
      </c>
      <c r="E1212" s="12">
        <f ca="1">OFFSET(E1212,1,2)</f>
        <v>6000</v>
      </c>
      <c r="F1212" s="15">
        <f ca="1">E1212</f>
        <v>6000</v>
      </c>
      <c r="G1212" s="15">
        <f t="shared" ca="1" si="695"/>
        <v>6000</v>
      </c>
      <c r="H1212" s="12">
        <v>1</v>
      </c>
      <c r="I1212" s="12" t="s">
        <v>13</v>
      </c>
      <c r="J1212" s="12" t="s">
        <v>10</v>
      </c>
      <c r="K1212" s="12" t="str">
        <f t="shared" si="697"/>
        <v>2853_02_01_P1_EM01_01_M3</v>
      </c>
      <c r="L1212">
        <v>6000</v>
      </c>
    </row>
    <row r="1213" spans="1:12" ht="21" customHeight="1" x14ac:dyDescent="0.25">
      <c r="A1213" s="12" t="str">
        <f t="shared" si="696"/>
        <v>ЩС-JET (P1)</v>
      </c>
      <c r="B1213" s="12" t="s">
        <v>11</v>
      </c>
      <c r="C1213" s="18" t="s">
        <v>11</v>
      </c>
      <c r="D1213" s="12" t="s">
        <v>11</v>
      </c>
      <c r="E1213" s="12">
        <v>1</v>
      </c>
      <c r="F1213" s="15">
        <v>100</v>
      </c>
      <c r="G1213" s="15">
        <f t="shared" si="695"/>
        <v>6000</v>
      </c>
      <c r="H1213" s="12">
        <f>60*E1213</f>
        <v>60</v>
      </c>
      <c r="I1213" s="12" t="s">
        <v>13</v>
      </c>
      <c r="J1213" s="12" t="s">
        <v>11</v>
      </c>
      <c r="K1213" s="12" t="str">
        <f t="shared" si="697"/>
        <v>2853_02_01_P1_EM01_01_M3</v>
      </c>
      <c r="L1213">
        <v>6000</v>
      </c>
    </row>
    <row r="1214" spans="1:12" ht="30" customHeight="1" x14ac:dyDescent="0.25">
      <c r="A1214" s="12" t="str">
        <f t="shared" si="696"/>
        <v>ЩС-JET (P1)</v>
      </c>
      <c r="B1214" s="19"/>
      <c r="C1214" s="20"/>
      <c r="D1214" s="21"/>
      <c r="E1214" s="23"/>
      <c r="F1214" s="25"/>
      <c r="G1214" s="24">
        <f ca="1">SUM(G1210:G1213)</f>
        <v>41286</v>
      </c>
      <c r="H1214" s="20"/>
      <c r="I1214" s="22"/>
      <c r="J1214" s="20"/>
      <c r="K1214" s="12" t="str">
        <f t="shared" si="697"/>
        <v>2853_02_01_P1_EM01_01_M3</v>
      </c>
      <c r="L1214">
        <v>41286</v>
      </c>
    </row>
    <row r="1215" spans="1:12" ht="39.75" customHeight="1" x14ac:dyDescent="0.25">
      <c r="A1215" s="5" t="str">
        <f>D1215</f>
        <v>ЩС-АПТ (P1)</v>
      </c>
      <c r="B1215" s="6"/>
      <c r="C1215" s="7"/>
      <c r="D1215" s="6" t="s">
        <v>397</v>
      </c>
      <c r="E1215" s="8"/>
      <c r="F1215" s="8" t="s">
        <v>40</v>
      </c>
      <c r="G1215" s="9"/>
      <c r="H1215" s="10">
        <v>1</v>
      </c>
      <c r="I1215" s="11" t="s">
        <v>7</v>
      </c>
      <c r="J1215" s="6" t="s">
        <v>9</v>
      </c>
      <c r="K1215" s="5" t="s">
        <v>243</v>
      </c>
    </row>
    <row r="1216" spans="1:12" ht="21" customHeight="1" x14ac:dyDescent="0.25">
      <c r="A1216" s="12" t="str">
        <f>A1215</f>
        <v>ЩС-АПТ (P1)</v>
      </c>
      <c r="B1216" s="13" t="s">
        <v>8</v>
      </c>
      <c r="C1216" s="14" t="s">
        <v>501</v>
      </c>
      <c r="D1216" s="12" t="s">
        <v>502</v>
      </c>
      <c r="E1216" s="13">
        <v>53990</v>
      </c>
      <c r="F1216" s="15">
        <f>E1216*0.6</f>
        <v>32394</v>
      </c>
      <c r="G1216" s="15">
        <f t="shared" ref="G1216:G1222" si="698">H1216*F1216</f>
        <v>32394</v>
      </c>
      <c r="H1216" s="16">
        <v>1</v>
      </c>
      <c r="I1216" s="17" t="s">
        <v>13</v>
      </c>
      <c r="J1216" s="13" t="s">
        <v>319</v>
      </c>
      <c r="K1216" s="12" t="str">
        <f>K1215</f>
        <v>2853_02_01_P1_EM01_01_M3</v>
      </c>
      <c r="L1216">
        <v>32394</v>
      </c>
    </row>
    <row r="1217" spans="1:12" ht="21" customHeight="1" x14ac:dyDescent="0.25">
      <c r="A1217" s="12" t="str">
        <f t="shared" ref="A1217:A1223" si="699">A1216</f>
        <v>ЩС-АПТ (P1)</v>
      </c>
      <c r="B1217" s="13" t="s">
        <v>54</v>
      </c>
      <c r="C1217" s="14" t="s">
        <v>153</v>
      </c>
      <c r="D1217" s="12" t="s">
        <v>154</v>
      </c>
      <c r="E1217" s="13">
        <v>33910</v>
      </c>
      <c r="F1217" s="15">
        <f t="shared" ref="F1217:F1220" si="700">E1217*0.6</f>
        <v>20346</v>
      </c>
      <c r="G1217" s="15">
        <f t="shared" si="698"/>
        <v>20346</v>
      </c>
      <c r="H1217" s="16">
        <v>1</v>
      </c>
      <c r="I1217" s="17" t="s">
        <v>13</v>
      </c>
      <c r="J1217" s="13" t="s">
        <v>17</v>
      </c>
      <c r="K1217" s="12" t="str">
        <f t="shared" ref="K1217:K1223" si="701">K1216</f>
        <v>2853_02_01_P1_EM01_01_M3</v>
      </c>
      <c r="L1217">
        <v>20346</v>
      </c>
    </row>
    <row r="1218" spans="1:12" ht="21" customHeight="1" x14ac:dyDescent="0.25">
      <c r="A1218" s="12" t="str">
        <f t="shared" si="699"/>
        <v>ЩС-АПТ (P1)</v>
      </c>
      <c r="B1218" s="13" t="s">
        <v>33</v>
      </c>
      <c r="C1218" s="14" t="s">
        <v>248</v>
      </c>
      <c r="D1218" s="12" t="s">
        <v>249</v>
      </c>
      <c r="E1218" s="13">
        <v>19760</v>
      </c>
      <c r="F1218" s="15">
        <f t="shared" si="700"/>
        <v>11856</v>
      </c>
      <c r="G1218" s="15">
        <f t="shared" si="698"/>
        <v>11856</v>
      </c>
      <c r="H1218" s="16">
        <v>1</v>
      </c>
      <c r="I1218" s="17" t="s">
        <v>13</v>
      </c>
      <c r="J1218" s="13" t="s">
        <v>17</v>
      </c>
      <c r="K1218" s="12" t="str">
        <f t="shared" si="701"/>
        <v>2853_02_01_P1_EM01_01_M3</v>
      </c>
      <c r="L1218">
        <v>11856</v>
      </c>
    </row>
    <row r="1219" spans="1:12" ht="21" customHeight="1" x14ac:dyDescent="0.25">
      <c r="A1219" s="12" t="str">
        <f t="shared" si="699"/>
        <v>ЩС-АПТ (P1)</v>
      </c>
      <c r="B1219" s="13" t="s">
        <v>12</v>
      </c>
      <c r="C1219" s="14" t="s">
        <v>180</v>
      </c>
      <c r="D1219" s="12" t="s">
        <v>181</v>
      </c>
      <c r="E1219" s="13">
        <v>3644</v>
      </c>
      <c r="F1219" s="15">
        <f t="shared" si="700"/>
        <v>2186.4</v>
      </c>
      <c r="G1219" s="15">
        <f t="shared" si="698"/>
        <v>4372.8</v>
      </c>
      <c r="H1219" s="16">
        <v>2</v>
      </c>
      <c r="I1219" s="17" t="s">
        <v>13</v>
      </c>
      <c r="J1219" s="13" t="s">
        <v>17</v>
      </c>
      <c r="K1219" s="12" t="str">
        <f t="shared" si="701"/>
        <v>2853_02_01_P1_EM01_01_M3</v>
      </c>
      <c r="L1219">
        <v>4372.8</v>
      </c>
    </row>
    <row r="1220" spans="1:12" ht="21" customHeight="1" x14ac:dyDescent="0.25">
      <c r="A1220" s="12" t="str">
        <f t="shared" si="699"/>
        <v>ЩС-АПТ (P1)</v>
      </c>
      <c r="B1220" s="13" t="s">
        <v>12</v>
      </c>
      <c r="C1220" s="14" t="s">
        <v>219</v>
      </c>
      <c r="D1220" s="12" t="s">
        <v>220</v>
      </c>
      <c r="E1220" s="13">
        <v>3604</v>
      </c>
      <c r="F1220" s="15">
        <f t="shared" si="700"/>
        <v>2162.4</v>
      </c>
      <c r="G1220" s="15">
        <f t="shared" si="698"/>
        <v>2162.4</v>
      </c>
      <c r="H1220" s="16">
        <v>1</v>
      </c>
      <c r="I1220" s="17" t="s">
        <v>13</v>
      </c>
      <c r="J1220" s="13" t="s">
        <v>17</v>
      </c>
      <c r="K1220" s="12" t="str">
        <f t="shared" si="701"/>
        <v>2853_02_01_P1_EM01_01_M3</v>
      </c>
      <c r="L1220">
        <v>2162.4</v>
      </c>
    </row>
    <row r="1221" spans="1:12" ht="24" customHeight="1" x14ac:dyDescent="0.25">
      <c r="A1221" s="12" t="str">
        <f>A1217</f>
        <v>ЩС-АПТ (P1)</v>
      </c>
      <c r="B1221" s="12" t="s">
        <v>10</v>
      </c>
      <c r="C1221" s="18" t="s">
        <v>10</v>
      </c>
      <c r="D1221" s="12" t="s">
        <v>10</v>
      </c>
      <c r="E1221" s="12">
        <f ca="1">OFFSET(E1221,1,2)</f>
        <v>18000</v>
      </c>
      <c r="F1221" s="15">
        <f ca="1">E1221</f>
        <v>18000</v>
      </c>
      <c r="G1221" s="15">
        <f t="shared" ca="1" si="698"/>
        <v>18000</v>
      </c>
      <c r="H1221" s="12">
        <v>1</v>
      </c>
      <c r="I1221" s="12" t="s">
        <v>13</v>
      </c>
      <c r="J1221" s="12" t="s">
        <v>10</v>
      </c>
      <c r="K1221" s="12" t="str">
        <f>K1217</f>
        <v>2853_02_01_P1_EM01_01_M3</v>
      </c>
      <c r="L1221">
        <v>18000</v>
      </c>
    </row>
    <row r="1222" spans="1:12" ht="21" customHeight="1" x14ac:dyDescent="0.25">
      <c r="A1222" s="12" t="str">
        <f t="shared" si="699"/>
        <v>ЩС-АПТ (P1)</v>
      </c>
      <c r="B1222" s="12" t="s">
        <v>11</v>
      </c>
      <c r="C1222" s="18" t="s">
        <v>11</v>
      </c>
      <c r="D1222" s="12" t="s">
        <v>11</v>
      </c>
      <c r="E1222" s="12">
        <v>3</v>
      </c>
      <c r="F1222" s="15">
        <v>100</v>
      </c>
      <c r="G1222" s="15">
        <f t="shared" si="698"/>
        <v>18000</v>
      </c>
      <c r="H1222" s="12">
        <f>60*E1222</f>
        <v>180</v>
      </c>
      <c r="I1222" s="12" t="s">
        <v>13</v>
      </c>
      <c r="J1222" s="12" t="s">
        <v>11</v>
      </c>
      <c r="K1222" s="12" t="str">
        <f t="shared" si="701"/>
        <v>2853_02_01_P1_EM01_01_M3</v>
      </c>
      <c r="L1222">
        <v>18000</v>
      </c>
    </row>
    <row r="1223" spans="1:12" ht="30" customHeight="1" x14ac:dyDescent="0.25">
      <c r="A1223" s="12" t="str">
        <f t="shared" si="699"/>
        <v>ЩС-АПТ (P1)</v>
      </c>
      <c r="B1223" s="19"/>
      <c r="C1223" s="20"/>
      <c r="D1223" s="21"/>
      <c r="E1223" s="23"/>
      <c r="F1223" s="25"/>
      <c r="G1223" s="24">
        <f ca="1">SUM(G1216:G1222)</f>
        <v>107131.2</v>
      </c>
      <c r="H1223" s="20"/>
      <c r="I1223" s="22"/>
      <c r="J1223" s="20"/>
      <c r="K1223" s="12" t="str">
        <f t="shared" si="701"/>
        <v>2853_02_01_P1_EM01_01_M3</v>
      </c>
      <c r="L1223">
        <v>107131.2</v>
      </c>
    </row>
    <row r="1224" spans="1:12" ht="39.75" customHeight="1" x14ac:dyDescent="0.25">
      <c r="A1224" s="5" t="str">
        <f>D1224</f>
        <v>ЩС-1 (P1)  (P1)</v>
      </c>
      <c r="B1224" s="6"/>
      <c r="C1224" s="7"/>
      <c r="D1224" s="6" t="s">
        <v>398</v>
      </c>
      <c r="E1224" s="8"/>
      <c r="F1224" s="8" t="s">
        <v>40</v>
      </c>
      <c r="G1224" s="9"/>
      <c r="H1224" s="10">
        <v>1</v>
      </c>
      <c r="I1224" s="11" t="s">
        <v>7</v>
      </c>
      <c r="J1224" s="6" t="s">
        <v>9</v>
      </c>
      <c r="K1224" s="5" t="s">
        <v>243</v>
      </c>
    </row>
    <row r="1225" spans="1:12" ht="21" customHeight="1" x14ac:dyDescent="0.25">
      <c r="A1225" s="12" t="str">
        <f>A1224</f>
        <v>ЩС-1 (P1)  (P1)</v>
      </c>
      <c r="B1225" s="13" t="s">
        <v>8</v>
      </c>
      <c r="C1225" s="14" t="s">
        <v>316</v>
      </c>
      <c r="D1225" s="12" t="s">
        <v>317</v>
      </c>
      <c r="E1225" s="13">
        <v>14900</v>
      </c>
      <c r="F1225" s="15">
        <f>E1225*0.6</f>
        <v>8940</v>
      </c>
      <c r="G1225" s="15">
        <f t="shared" ref="G1225:G1229" si="702">H1225*F1225</f>
        <v>8940</v>
      </c>
      <c r="H1225" s="16">
        <v>1</v>
      </c>
      <c r="I1225" s="17" t="s">
        <v>13</v>
      </c>
      <c r="J1225" s="13" t="s">
        <v>319</v>
      </c>
      <c r="K1225" s="12" t="str">
        <f>K1224</f>
        <v>2853_02_01_P1_EM01_01_M3</v>
      </c>
      <c r="L1225">
        <v>8940</v>
      </c>
    </row>
    <row r="1226" spans="1:12" ht="21" customHeight="1" x14ac:dyDescent="0.25">
      <c r="A1226" s="12" t="str">
        <f t="shared" ref="A1226" si="703">A1225</f>
        <v>ЩС-1 (P1)  (P1)</v>
      </c>
      <c r="B1226" s="13" t="s">
        <v>54</v>
      </c>
      <c r="C1226" s="14" t="s">
        <v>57</v>
      </c>
      <c r="D1226" s="12" t="s">
        <v>58</v>
      </c>
      <c r="E1226" s="13">
        <v>3372</v>
      </c>
      <c r="F1226" s="15">
        <f t="shared" ref="F1226:F1227" si="704">E1226*0.6</f>
        <v>2023.1999999999998</v>
      </c>
      <c r="G1226" s="15">
        <f t="shared" si="702"/>
        <v>2023.1999999999998</v>
      </c>
      <c r="H1226" s="16">
        <v>1</v>
      </c>
      <c r="I1226" s="17" t="s">
        <v>13</v>
      </c>
      <c r="J1226" s="13" t="s">
        <v>17</v>
      </c>
      <c r="K1226" s="12" t="str">
        <f t="shared" ref="K1226" si="705">K1225</f>
        <v>2853_02_01_P1_EM01_01_M3</v>
      </c>
      <c r="L1226">
        <v>2023.1999999999998</v>
      </c>
    </row>
    <row r="1227" spans="1:12" ht="21" customHeight="1" x14ac:dyDescent="0.25">
      <c r="A1227" s="12" t="str">
        <f>A1226</f>
        <v>ЩС-1 (P1)  (P1)</v>
      </c>
      <c r="B1227" s="13" t="s">
        <v>12</v>
      </c>
      <c r="C1227" s="14" t="s">
        <v>50</v>
      </c>
      <c r="D1227" s="12" t="s">
        <v>51</v>
      </c>
      <c r="E1227" s="13">
        <v>783</v>
      </c>
      <c r="F1227" s="15">
        <f t="shared" si="704"/>
        <v>469.79999999999995</v>
      </c>
      <c r="G1227" s="15">
        <f t="shared" si="702"/>
        <v>1879.1999999999998</v>
      </c>
      <c r="H1227" s="16">
        <v>4</v>
      </c>
      <c r="I1227" s="17" t="s">
        <v>13</v>
      </c>
      <c r="J1227" s="13" t="s">
        <v>17</v>
      </c>
      <c r="K1227" s="12" t="str">
        <f>K1226</f>
        <v>2853_02_01_P1_EM01_01_M3</v>
      </c>
      <c r="L1227">
        <v>1879.1999999999998</v>
      </c>
    </row>
    <row r="1228" spans="1:12" ht="24" customHeight="1" x14ac:dyDescent="0.25">
      <c r="A1228" s="12" t="str">
        <f>A1226</f>
        <v>ЩС-1 (P1)  (P1)</v>
      </c>
      <c r="B1228" s="12" t="s">
        <v>10</v>
      </c>
      <c r="C1228" s="18" t="s">
        <v>10</v>
      </c>
      <c r="D1228" s="12" t="s">
        <v>10</v>
      </c>
      <c r="E1228" s="12">
        <f ca="1">OFFSET(E1228,1,2)</f>
        <v>4200</v>
      </c>
      <c r="F1228" s="15">
        <f ca="1">E1228</f>
        <v>4200</v>
      </c>
      <c r="G1228" s="15">
        <f t="shared" ca="1" si="702"/>
        <v>4200</v>
      </c>
      <c r="H1228" s="12">
        <v>1</v>
      </c>
      <c r="I1228" s="12" t="s">
        <v>13</v>
      </c>
      <c r="J1228" s="12" t="s">
        <v>10</v>
      </c>
      <c r="K1228" s="12" t="str">
        <f>K1226</f>
        <v>2853_02_01_P1_EM01_01_M3</v>
      </c>
      <c r="L1228">
        <v>4200</v>
      </c>
    </row>
    <row r="1229" spans="1:12" ht="21" customHeight="1" x14ac:dyDescent="0.25">
      <c r="A1229" s="12" t="str">
        <f t="shared" ref="A1229:A1230" si="706">A1228</f>
        <v>ЩС-1 (P1)  (P1)</v>
      </c>
      <c r="B1229" s="12" t="s">
        <v>11</v>
      </c>
      <c r="C1229" s="18" t="s">
        <v>11</v>
      </c>
      <c r="D1229" s="12" t="s">
        <v>11</v>
      </c>
      <c r="E1229" s="12">
        <v>0.7</v>
      </c>
      <c r="F1229" s="15">
        <v>100</v>
      </c>
      <c r="G1229" s="15">
        <f t="shared" si="702"/>
        <v>4200</v>
      </c>
      <c r="H1229" s="12">
        <f>60*E1229</f>
        <v>42</v>
      </c>
      <c r="I1229" s="12" t="s">
        <v>13</v>
      </c>
      <c r="J1229" s="12" t="s">
        <v>11</v>
      </c>
      <c r="K1229" s="12" t="str">
        <f t="shared" ref="K1229:K1230" si="707">K1228</f>
        <v>2853_02_01_P1_EM01_01_M3</v>
      </c>
      <c r="L1229">
        <v>4200</v>
      </c>
    </row>
    <row r="1230" spans="1:12" ht="30" customHeight="1" x14ac:dyDescent="0.25">
      <c r="A1230" s="12" t="str">
        <f t="shared" si="706"/>
        <v>ЩС-1 (P1)  (P1)</v>
      </c>
      <c r="B1230" s="19"/>
      <c r="C1230" s="20"/>
      <c r="D1230" s="21"/>
      <c r="E1230" s="23"/>
      <c r="F1230" s="25"/>
      <c r="G1230" s="24">
        <f ca="1">SUM(G1225:G1229)</f>
        <v>21242.400000000001</v>
      </c>
      <c r="H1230" s="20"/>
      <c r="I1230" s="22"/>
      <c r="J1230" s="20"/>
      <c r="K1230" s="12" t="str">
        <f t="shared" si="707"/>
        <v>2853_02_01_P1_EM01_01_M3</v>
      </c>
      <c r="L1230">
        <v>21242.400000000001</v>
      </c>
    </row>
    <row r="1231" spans="1:12" ht="39.75" customHeight="1" x14ac:dyDescent="0.25">
      <c r="A1231" s="5" t="str">
        <f>D1231</f>
        <v>ЩРсерв (P1)  (P1)</v>
      </c>
      <c r="B1231" s="6"/>
      <c r="C1231" s="7"/>
      <c r="D1231" s="6" t="s">
        <v>399</v>
      </c>
      <c r="E1231" s="8"/>
      <c r="F1231" s="8" t="s">
        <v>40</v>
      </c>
      <c r="G1231" s="9"/>
      <c r="H1231" s="10">
        <v>1</v>
      </c>
      <c r="I1231" s="11" t="s">
        <v>7</v>
      </c>
      <c r="J1231" s="6" t="s">
        <v>9</v>
      </c>
      <c r="K1231" s="5" t="s">
        <v>243</v>
      </c>
    </row>
    <row r="1232" spans="1:12" ht="21" customHeight="1" x14ac:dyDescent="0.25">
      <c r="A1232" s="12" t="str">
        <f>A1231</f>
        <v>ЩРсерв (P1)  (P1)</v>
      </c>
      <c r="B1232" s="13" t="s">
        <v>8</v>
      </c>
      <c r="C1232" s="14" t="s">
        <v>316</v>
      </c>
      <c r="D1232" s="12" t="s">
        <v>317</v>
      </c>
      <c r="E1232" s="13">
        <v>14900</v>
      </c>
      <c r="F1232" s="15">
        <f>E1232*0.6</f>
        <v>8940</v>
      </c>
      <c r="G1232" s="15">
        <f t="shared" ref="G1232:G1238" si="708">H1232*F1232</f>
        <v>8940</v>
      </c>
      <c r="H1232" s="16">
        <v>1</v>
      </c>
      <c r="I1232" s="17" t="s">
        <v>13</v>
      </c>
      <c r="J1232" s="13" t="s">
        <v>319</v>
      </c>
      <c r="K1232" s="12" t="str">
        <f>K1231</f>
        <v>2853_02_01_P1_EM01_01_M3</v>
      </c>
      <c r="L1232">
        <v>8940</v>
      </c>
    </row>
    <row r="1233" spans="1:12" ht="21" customHeight="1" x14ac:dyDescent="0.25">
      <c r="A1233" s="12" t="str">
        <f t="shared" ref="A1233" si="709">A1232</f>
        <v>ЩРсерв (P1)  (P1)</v>
      </c>
      <c r="B1233" s="13" t="s">
        <v>54</v>
      </c>
      <c r="C1233" s="14" t="s">
        <v>57</v>
      </c>
      <c r="D1233" s="12" t="s">
        <v>58</v>
      </c>
      <c r="E1233" s="13">
        <v>3372</v>
      </c>
      <c r="F1233" s="15">
        <f t="shared" ref="F1233:F1236" si="710">E1233*0.6</f>
        <v>2023.1999999999998</v>
      </c>
      <c r="G1233" s="15">
        <f t="shared" si="708"/>
        <v>2023.1999999999998</v>
      </c>
      <c r="H1233" s="16">
        <v>1</v>
      </c>
      <c r="I1233" s="17" t="s">
        <v>13</v>
      </c>
      <c r="J1233" s="13" t="s">
        <v>17</v>
      </c>
      <c r="K1233" s="12" t="str">
        <f t="shared" ref="K1233" si="711">K1232</f>
        <v>2853_02_01_P1_EM01_01_M3</v>
      </c>
      <c r="L1233">
        <v>2023.1999999999998</v>
      </c>
    </row>
    <row r="1234" spans="1:12" ht="21" customHeight="1" x14ac:dyDescent="0.25">
      <c r="A1234" s="12" t="str">
        <f>A1233</f>
        <v>ЩРсерв (P1)  (P1)</v>
      </c>
      <c r="B1234" s="13" t="s">
        <v>12</v>
      </c>
      <c r="C1234" s="14" t="s">
        <v>50</v>
      </c>
      <c r="D1234" s="12" t="s">
        <v>51</v>
      </c>
      <c r="E1234" s="13">
        <v>783</v>
      </c>
      <c r="F1234" s="15">
        <f t="shared" si="710"/>
        <v>469.79999999999995</v>
      </c>
      <c r="G1234" s="15">
        <f t="shared" si="708"/>
        <v>939.59999999999991</v>
      </c>
      <c r="H1234" s="16">
        <v>2</v>
      </c>
      <c r="I1234" s="17" t="s">
        <v>13</v>
      </c>
      <c r="J1234" s="13" t="s">
        <v>17</v>
      </c>
      <c r="K1234" s="12" t="str">
        <f>K1233</f>
        <v>2853_02_01_P1_EM01_01_M3</v>
      </c>
      <c r="L1234">
        <v>939.59999999999991</v>
      </c>
    </row>
    <row r="1235" spans="1:12" ht="21" customHeight="1" x14ac:dyDescent="0.25">
      <c r="A1235" s="12" t="str">
        <f t="shared" ref="A1235" si="712">A1234</f>
        <v>ЩРсерв (P1)  (P1)</v>
      </c>
      <c r="B1235" s="13" t="s">
        <v>21</v>
      </c>
      <c r="C1235" s="14" t="s">
        <v>44</v>
      </c>
      <c r="D1235" s="12" t="s">
        <v>45</v>
      </c>
      <c r="E1235" s="13">
        <v>5104</v>
      </c>
      <c r="F1235" s="15">
        <f t="shared" si="710"/>
        <v>3062.4</v>
      </c>
      <c r="G1235" s="15">
        <f t="shared" si="708"/>
        <v>6124.8</v>
      </c>
      <c r="H1235" s="16">
        <v>2</v>
      </c>
      <c r="I1235" s="17" t="s">
        <v>13</v>
      </c>
      <c r="J1235" s="13" t="s">
        <v>17</v>
      </c>
      <c r="K1235" s="12" t="str">
        <f t="shared" ref="K1235" si="713">K1234</f>
        <v>2853_02_01_P1_EM01_01_M3</v>
      </c>
      <c r="L1235">
        <v>6124.8</v>
      </c>
    </row>
    <row r="1236" spans="1:12" ht="21" customHeight="1" x14ac:dyDescent="0.25">
      <c r="A1236" s="12" t="str">
        <f>A1234</f>
        <v>ЩРсерв (P1)  (P1)</v>
      </c>
      <c r="B1236" s="13" t="s">
        <v>182</v>
      </c>
      <c r="C1236" s="14" t="s">
        <v>178</v>
      </c>
      <c r="D1236" s="12" t="s">
        <v>179</v>
      </c>
      <c r="E1236" s="13">
        <v>5354</v>
      </c>
      <c r="F1236" s="15">
        <f t="shared" si="710"/>
        <v>3212.4</v>
      </c>
      <c r="G1236" s="15">
        <f t="shared" si="708"/>
        <v>3212.4</v>
      </c>
      <c r="H1236" s="16">
        <v>1</v>
      </c>
      <c r="I1236" s="17" t="s">
        <v>13</v>
      </c>
      <c r="J1236" s="13" t="s">
        <v>17</v>
      </c>
      <c r="K1236" s="12" t="str">
        <f>K1234</f>
        <v>2853_02_01_P1_EM01_01_M3</v>
      </c>
      <c r="L1236">
        <v>3212.4</v>
      </c>
    </row>
    <row r="1237" spans="1:12" ht="24" customHeight="1" x14ac:dyDescent="0.25">
      <c r="A1237" s="12" t="str">
        <f>A1233</f>
        <v>ЩРсерв (P1)  (P1)</v>
      </c>
      <c r="B1237" s="12" t="s">
        <v>10</v>
      </c>
      <c r="C1237" s="18" t="s">
        <v>10</v>
      </c>
      <c r="D1237" s="12" t="s">
        <v>10</v>
      </c>
      <c r="E1237" s="12">
        <f ca="1">OFFSET(E1237,1,2)</f>
        <v>4200</v>
      </c>
      <c r="F1237" s="15">
        <f ca="1">E1237</f>
        <v>4200</v>
      </c>
      <c r="G1237" s="15">
        <f t="shared" ca="1" si="708"/>
        <v>4200</v>
      </c>
      <c r="H1237" s="12">
        <v>1</v>
      </c>
      <c r="I1237" s="12" t="s">
        <v>13</v>
      </c>
      <c r="J1237" s="12" t="s">
        <v>10</v>
      </c>
      <c r="K1237" s="12" t="str">
        <f>K1233</f>
        <v>2853_02_01_P1_EM01_01_M3</v>
      </c>
      <c r="L1237">
        <v>4200</v>
      </c>
    </row>
    <row r="1238" spans="1:12" ht="21" customHeight="1" x14ac:dyDescent="0.25">
      <c r="A1238" s="12" t="str">
        <f t="shared" ref="A1238:A1239" si="714">A1237</f>
        <v>ЩРсерв (P1)  (P1)</v>
      </c>
      <c r="B1238" s="12" t="s">
        <v>11</v>
      </c>
      <c r="C1238" s="18" t="s">
        <v>11</v>
      </c>
      <c r="D1238" s="12" t="s">
        <v>11</v>
      </c>
      <c r="E1238" s="12">
        <v>0.7</v>
      </c>
      <c r="F1238" s="15">
        <v>100</v>
      </c>
      <c r="G1238" s="15">
        <f t="shared" si="708"/>
        <v>4200</v>
      </c>
      <c r="H1238" s="12">
        <f>60*E1238</f>
        <v>42</v>
      </c>
      <c r="I1238" s="12" t="s">
        <v>13</v>
      </c>
      <c r="J1238" s="12" t="s">
        <v>11</v>
      </c>
      <c r="K1238" s="12" t="str">
        <f t="shared" ref="K1238:K1239" si="715">K1237</f>
        <v>2853_02_01_P1_EM01_01_M3</v>
      </c>
      <c r="L1238">
        <v>4200</v>
      </c>
    </row>
    <row r="1239" spans="1:12" ht="30" customHeight="1" x14ac:dyDescent="0.25">
      <c r="A1239" s="12" t="str">
        <f t="shared" si="714"/>
        <v>ЩРсерв (P1)  (P1)</v>
      </c>
      <c r="B1239" s="19"/>
      <c r="C1239" s="20"/>
      <c r="D1239" s="21"/>
      <c r="E1239" s="23"/>
      <c r="F1239" s="25"/>
      <c r="G1239" s="24">
        <f ca="1">SUM(G1232:G1238)</f>
        <v>29640.000000000004</v>
      </c>
      <c r="H1239" s="20"/>
      <c r="I1239" s="22"/>
      <c r="J1239" s="20"/>
      <c r="K1239" s="12" t="str">
        <f t="shared" si="715"/>
        <v>2853_02_01_P1_EM01_01_M3</v>
      </c>
      <c r="L1239">
        <v>29640.000000000004</v>
      </c>
    </row>
    <row r="1240" spans="1:12" ht="39.75" customHeight="1" x14ac:dyDescent="0.25">
      <c r="A1240" s="5" t="str">
        <f>D1240</f>
        <v>ЯТП-0,25-23УЗ (P1)</v>
      </c>
      <c r="B1240" s="6"/>
      <c r="C1240" s="7"/>
      <c r="D1240" s="6" t="s">
        <v>400</v>
      </c>
      <c r="E1240" s="8"/>
      <c r="F1240" s="8"/>
      <c r="G1240" s="9"/>
      <c r="H1240" s="10">
        <v>11</v>
      </c>
      <c r="I1240" s="11" t="s">
        <v>7</v>
      </c>
      <c r="J1240" s="6" t="s">
        <v>9</v>
      </c>
      <c r="K1240" s="5" t="s">
        <v>243</v>
      </c>
    </row>
    <row r="1241" spans="1:12" ht="39.75" customHeight="1" x14ac:dyDescent="0.25">
      <c r="A1241" s="5" t="str">
        <f>D1241</f>
        <v>КРМ-2 (УКМ-58 0,4-33-УЗ)  (P1)</v>
      </c>
      <c r="B1241" s="6"/>
      <c r="C1241" s="7"/>
      <c r="D1241" s="6" t="s">
        <v>402</v>
      </c>
      <c r="E1241" s="8"/>
      <c r="F1241" s="8"/>
      <c r="G1241" s="9"/>
      <c r="H1241" s="10">
        <v>1</v>
      </c>
      <c r="I1241" s="11" t="s">
        <v>7</v>
      </c>
      <c r="J1241" s="6" t="s">
        <v>9</v>
      </c>
      <c r="K1241" s="5" t="s">
        <v>243</v>
      </c>
    </row>
    <row r="1242" spans="1:12" ht="21" customHeight="1" x14ac:dyDescent="0.25">
      <c r="A1242" s="12" t="str">
        <f>A1241</f>
        <v>КРМ-2 (УКМ-58 0,4-33-УЗ)  (P1)</v>
      </c>
      <c r="B1242" s="13" t="s">
        <v>8</v>
      </c>
      <c r="C1242" s="14" t="s">
        <v>469</v>
      </c>
      <c r="D1242" s="12" t="s">
        <v>468</v>
      </c>
      <c r="E1242" s="13">
        <v>38650</v>
      </c>
      <c r="F1242" s="15">
        <f t="shared" ref="F1242:F1251" si="716">E1242*0.6</f>
        <v>23190</v>
      </c>
      <c r="G1242" s="15">
        <f t="shared" ref="G1242:G1253" si="717">H1242*F1242</f>
        <v>23190</v>
      </c>
      <c r="H1242" s="16">
        <v>1</v>
      </c>
      <c r="I1242" s="17" t="s">
        <v>13</v>
      </c>
      <c r="J1242" s="13" t="s">
        <v>16</v>
      </c>
      <c r="K1242" s="12" t="str">
        <f>K1241</f>
        <v>2853_02_01_P1_EM01_01_M3</v>
      </c>
      <c r="L1242">
        <v>23190</v>
      </c>
    </row>
    <row r="1243" spans="1:12" ht="21" customHeight="1" x14ac:dyDescent="0.25">
      <c r="A1243" s="12" t="str">
        <f t="shared" ref="A1243:A1254" si="718">A1242</f>
        <v>КРМ-2 (УКМ-58 0,4-33-УЗ)  (P1)</v>
      </c>
      <c r="B1243" s="13" t="s">
        <v>12</v>
      </c>
      <c r="C1243" s="26" t="s">
        <v>139</v>
      </c>
      <c r="D1243" s="12" t="s">
        <v>140</v>
      </c>
      <c r="E1243" s="27">
        <v>3641</v>
      </c>
      <c r="F1243" s="15">
        <f t="shared" si="716"/>
        <v>2184.6</v>
      </c>
      <c r="G1243" s="15">
        <f t="shared" si="717"/>
        <v>2184.6</v>
      </c>
      <c r="H1243" s="16">
        <v>1</v>
      </c>
      <c r="I1243" s="17" t="s">
        <v>13</v>
      </c>
      <c r="J1243" s="13" t="s">
        <v>17</v>
      </c>
      <c r="K1243" s="12" t="str">
        <f t="shared" ref="K1243:K1254" si="719">K1242</f>
        <v>2853_02_01_P1_EM01_01_M3</v>
      </c>
      <c r="L1243">
        <v>2184.6</v>
      </c>
    </row>
    <row r="1244" spans="1:12" ht="27.75" customHeight="1" x14ac:dyDescent="0.25">
      <c r="A1244" s="12" t="str">
        <f t="shared" si="718"/>
        <v>КРМ-2 (УКМ-58 0,4-33-УЗ)  (P1)</v>
      </c>
      <c r="B1244" s="13" t="s">
        <v>205</v>
      </c>
      <c r="C1244" s="14" t="s">
        <v>254</v>
      </c>
      <c r="D1244" s="12" t="s">
        <v>255</v>
      </c>
      <c r="E1244" s="13">
        <v>13217</v>
      </c>
      <c r="F1244" s="15">
        <f t="shared" si="716"/>
        <v>7930.2</v>
      </c>
      <c r="G1244" s="15">
        <f t="shared" si="717"/>
        <v>47581.2</v>
      </c>
      <c r="H1244" s="16">
        <v>6</v>
      </c>
      <c r="I1244" s="17" t="s">
        <v>13</v>
      </c>
      <c r="J1244" s="13" t="s">
        <v>17</v>
      </c>
      <c r="K1244" s="12" t="str">
        <f t="shared" si="719"/>
        <v>2853_02_01_P1_EM01_01_M3</v>
      </c>
      <c r="L1244">
        <v>47581.2</v>
      </c>
    </row>
    <row r="1245" spans="1:12" ht="21" customHeight="1" x14ac:dyDescent="0.25">
      <c r="A1245" s="12" t="str">
        <f t="shared" si="718"/>
        <v>КРМ-2 (УКМ-58 0,4-33-УЗ)  (P1)</v>
      </c>
      <c r="B1245" s="13" t="s">
        <v>12</v>
      </c>
      <c r="C1245" s="26" t="s">
        <v>34</v>
      </c>
      <c r="D1245" s="12" t="s">
        <v>35</v>
      </c>
      <c r="E1245" s="27">
        <v>2337</v>
      </c>
      <c r="F1245" s="15">
        <f t="shared" si="716"/>
        <v>1402.2</v>
      </c>
      <c r="G1245" s="15">
        <f t="shared" si="717"/>
        <v>8413.2000000000007</v>
      </c>
      <c r="H1245" s="16">
        <v>6</v>
      </c>
      <c r="I1245" s="17" t="s">
        <v>13</v>
      </c>
      <c r="J1245" s="13" t="s">
        <v>17</v>
      </c>
      <c r="K1245" s="12" t="str">
        <f t="shared" si="719"/>
        <v>2853_02_01_P1_EM01_01_M3</v>
      </c>
      <c r="L1245">
        <v>8413.2000000000007</v>
      </c>
    </row>
    <row r="1246" spans="1:12" ht="21" customHeight="1" x14ac:dyDescent="0.25">
      <c r="A1246" s="12" t="str">
        <f t="shared" si="718"/>
        <v>КРМ-2 (УКМ-58 0,4-33-УЗ)  (P1)</v>
      </c>
      <c r="B1246" s="13" t="s">
        <v>92</v>
      </c>
      <c r="C1246" s="26" t="s">
        <v>278</v>
      </c>
      <c r="D1246" s="12" t="s">
        <v>279</v>
      </c>
      <c r="E1246" s="27">
        <v>23408</v>
      </c>
      <c r="F1246" s="15">
        <f t="shared" si="716"/>
        <v>14044.8</v>
      </c>
      <c r="G1246" s="15">
        <f t="shared" si="717"/>
        <v>28089.599999999999</v>
      </c>
      <c r="H1246" s="16">
        <v>2</v>
      </c>
      <c r="I1246" s="17" t="s">
        <v>13</v>
      </c>
      <c r="J1246" s="13" t="s">
        <v>17</v>
      </c>
      <c r="K1246" s="12" t="str">
        <f t="shared" si="719"/>
        <v>2853_02_01_P1_EM01_01_M3</v>
      </c>
      <c r="L1246">
        <v>28089.599999999999</v>
      </c>
    </row>
    <row r="1247" spans="1:12" ht="21" customHeight="1" x14ac:dyDescent="0.25">
      <c r="A1247" s="12" t="str">
        <f t="shared" si="718"/>
        <v>КРМ-2 (УКМ-58 0,4-33-УЗ)  (P1)</v>
      </c>
      <c r="B1247" s="13" t="s">
        <v>92</v>
      </c>
      <c r="C1247" s="26" t="s">
        <v>280</v>
      </c>
      <c r="D1247" s="12" t="s">
        <v>281</v>
      </c>
      <c r="E1247" s="27">
        <v>30378</v>
      </c>
      <c r="F1247" s="15">
        <f t="shared" si="716"/>
        <v>18226.8</v>
      </c>
      <c r="G1247" s="15">
        <f t="shared" si="717"/>
        <v>18226.8</v>
      </c>
      <c r="H1247" s="16">
        <v>1</v>
      </c>
      <c r="I1247" s="17" t="s">
        <v>13</v>
      </c>
      <c r="J1247" s="13" t="s">
        <v>17</v>
      </c>
      <c r="K1247" s="12" t="str">
        <f t="shared" si="719"/>
        <v>2853_02_01_P1_EM01_01_M3</v>
      </c>
      <c r="L1247">
        <v>18226.8</v>
      </c>
    </row>
    <row r="1248" spans="1:12" ht="21" customHeight="1" x14ac:dyDescent="0.25">
      <c r="A1248" s="12" t="str">
        <f>A1246</f>
        <v>КРМ-2 (УКМ-58 0,4-33-УЗ)  (P1)</v>
      </c>
      <c r="B1248" s="13" t="s">
        <v>208</v>
      </c>
      <c r="C1248" s="26" t="s">
        <v>258</v>
      </c>
      <c r="D1248" s="12" t="s">
        <v>259</v>
      </c>
      <c r="E1248" s="27">
        <v>571</v>
      </c>
      <c r="F1248" s="15">
        <f t="shared" si="716"/>
        <v>342.59999999999997</v>
      </c>
      <c r="G1248" s="15">
        <f t="shared" si="717"/>
        <v>342.59999999999997</v>
      </c>
      <c r="H1248" s="16">
        <v>1</v>
      </c>
      <c r="I1248" s="17" t="s">
        <v>13</v>
      </c>
      <c r="J1248" s="13" t="s">
        <v>17</v>
      </c>
      <c r="K1248" s="12" t="str">
        <f>K1246</f>
        <v>2853_02_01_P1_EM01_01_M3</v>
      </c>
      <c r="L1248">
        <v>342.59999999999997</v>
      </c>
    </row>
    <row r="1249" spans="1:12" ht="21" customHeight="1" x14ac:dyDescent="0.25">
      <c r="A1249" s="12" t="str">
        <f t="shared" si="718"/>
        <v>КРМ-2 (УКМ-58 0,4-33-УЗ)  (P1)</v>
      </c>
      <c r="B1249" s="13" t="s">
        <v>12</v>
      </c>
      <c r="C1249" s="14" t="s">
        <v>260</v>
      </c>
      <c r="D1249" s="12" t="s">
        <v>261</v>
      </c>
      <c r="E1249" s="13">
        <v>1086</v>
      </c>
      <c r="F1249" s="15">
        <f t="shared" si="716"/>
        <v>651.6</v>
      </c>
      <c r="G1249" s="15">
        <f t="shared" si="717"/>
        <v>1303.2</v>
      </c>
      <c r="H1249" s="16">
        <v>2</v>
      </c>
      <c r="I1249" s="17" t="s">
        <v>13</v>
      </c>
      <c r="J1249" s="13" t="s">
        <v>17</v>
      </c>
      <c r="K1249" s="12" t="str">
        <f t="shared" si="719"/>
        <v>2853_02_01_P1_EM01_01_M3</v>
      </c>
      <c r="L1249">
        <v>1303.2</v>
      </c>
    </row>
    <row r="1250" spans="1:12" ht="21" customHeight="1" x14ac:dyDescent="0.25">
      <c r="A1250" s="12" t="str">
        <f t="shared" si="718"/>
        <v>КРМ-2 (УКМ-58 0,4-33-УЗ)  (P1)</v>
      </c>
      <c r="B1250" s="13" t="s">
        <v>262</v>
      </c>
      <c r="C1250" s="26" t="s">
        <v>263</v>
      </c>
      <c r="D1250" s="12" t="s">
        <v>264</v>
      </c>
      <c r="E1250" s="27">
        <v>70078</v>
      </c>
      <c r="F1250" s="15">
        <f t="shared" si="716"/>
        <v>42046.799999999996</v>
      </c>
      <c r="G1250" s="15">
        <f t="shared" si="717"/>
        <v>42046.799999999996</v>
      </c>
      <c r="H1250" s="16">
        <v>1</v>
      </c>
      <c r="I1250" s="17" t="s">
        <v>13</v>
      </c>
      <c r="J1250" s="13" t="s">
        <v>17</v>
      </c>
      <c r="K1250" s="12" t="str">
        <f t="shared" si="719"/>
        <v>2853_02_01_P1_EM01_01_M3</v>
      </c>
      <c r="L1250">
        <v>42046.799999999996</v>
      </c>
    </row>
    <row r="1251" spans="1:12" ht="21" customHeight="1" x14ac:dyDescent="0.25">
      <c r="A1251" s="12" t="str">
        <f t="shared" si="718"/>
        <v>КРМ-2 (УКМ-58 0,4-33-УЗ)  (P1)</v>
      </c>
      <c r="B1251" s="13" t="s">
        <v>213</v>
      </c>
      <c r="C1251" s="14" t="s">
        <v>265</v>
      </c>
      <c r="D1251" s="12" t="s">
        <v>266</v>
      </c>
      <c r="E1251" s="13">
        <v>1836</v>
      </c>
      <c r="F1251" s="15">
        <f t="shared" si="716"/>
        <v>1101.5999999999999</v>
      </c>
      <c r="G1251" s="15">
        <f t="shared" si="717"/>
        <v>1101.5999999999999</v>
      </c>
      <c r="H1251" s="16">
        <v>1</v>
      </c>
      <c r="I1251" s="17" t="s">
        <v>13</v>
      </c>
      <c r="J1251" s="13" t="s">
        <v>17</v>
      </c>
      <c r="K1251" s="12" t="str">
        <f t="shared" si="719"/>
        <v>2853_02_01_P1_EM01_01_M3</v>
      </c>
      <c r="L1251">
        <v>1101.5999999999999</v>
      </c>
    </row>
    <row r="1252" spans="1:12" ht="24" customHeight="1" x14ac:dyDescent="0.25">
      <c r="A1252" s="12" t="str">
        <f t="shared" si="718"/>
        <v>КРМ-2 (УКМ-58 0,4-33-УЗ)  (P1)</v>
      </c>
      <c r="B1252" s="12" t="s">
        <v>10</v>
      </c>
      <c r="C1252" s="18" t="s">
        <v>10</v>
      </c>
      <c r="D1252" s="12" t="s">
        <v>10</v>
      </c>
      <c r="E1252" s="12">
        <f ca="1">OFFSET(E1252,1,2)</f>
        <v>36000</v>
      </c>
      <c r="F1252" s="15">
        <f ca="1">E1252</f>
        <v>36000</v>
      </c>
      <c r="G1252" s="15">
        <f t="shared" ca="1" si="717"/>
        <v>36000</v>
      </c>
      <c r="H1252" s="12">
        <v>1</v>
      </c>
      <c r="I1252" s="12" t="s">
        <v>13</v>
      </c>
      <c r="J1252" s="12" t="s">
        <v>10</v>
      </c>
      <c r="K1252" s="12" t="str">
        <f t="shared" si="719"/>
        <v>2853_02_01_P1_EM01_01_M3</v>
      </c>
      <c r="L1252">
        <v>36000</v>
      </c>
    </row>
    <row r="1253" spans="1:12" ht="21" customHeight="1" x14ac:dyDescent="0.25">
      <c r="A1253" s="12" t="str">
        <f t="shared" si="718"/>
        <v>КРМ-2 (УКМ-58 0,4-33-УЗ)  (P1)</v>
      </c>
      <c r="B1253" s="12" t="s">
        <v>11</v>
      </c>
      <c r="C1253" s="18" t="s">
        <v>11</v>
      </c>
      <c r="D1253" s="12" t="s">
        <v>11</v>
      </c>
      <c r="E1253" s="12">
        <v>6</v>
      </c>
      <c r="F1253" s="15">
        <v>100</v>
      </c>
      <c r="G1253" s="15">
        <f t="shared" si="717"/>
        <v>36000</v>
      </c>
      <c r="H1253" s="12">
        <f>60*E1253</f>
        <v>360</v>
      </c>
      <c r="I1253" s="12" t="s">
        <v>13</v>
      </c>
      <c r="J1253" s="12" t="s">
        <v>11</v>
      </c>
      <c r="K1253" s="12" t="str">
        <f t="shared" si="719"/>
        <v>2853_02_01_P1_EM01_01_M3</v>
      </c>
      <c r="L1253">
        <v>36000</v>
      </c>
    </row>
    <row r="1254" spans="1:12" ht="30" customHeight="1" x14ac:dyDescent="0.25">
      <c r="A1254" s="12" t="str">
        <f t="shared" si="718"/>
        <v>КРМ-2 (УКМ-58 0,4-33-УЗ)  (P1)</v>
      </c>
      <c r="B1254" s="19"/>
      <c r="C1254" s="20"/>
      <c r="D1254" s="21"/>
      <c r="E1254" s="23"/>
      <c r="F1254" s="25"/>
      <c r="G1254" s="24">
        <f ca="1">SUM(G1242:G1253)</f>
        <v>244479.59999999998</v>
      </c>
      <c r="H1254" s="20"/>
      <c r="I1254" s="22"/>
      <c r="J1254" s="20"/>
      <c r="K1254" s="12" t="str">
        <f t="shared" si="719"/>
        <v>2853_02_01_P1_EM01_01_M3</v>
      </c>
      <c r="L1254">
        <v>244479.59999999998</v>
      </c>
    </row>
    <row r="1255" spans="1:12" ht="39.75" customHeight="1" x14ac:dyDescent="0.25">
      <c r="A1255" s="5" t="str">
        <f>D1255</f>
        <v>КРМ-1 (УКМ-58 0,4-12,5-УЗ)  (P1)</v>
      </c>
      <c r="B1255" s="6"/>
      <c r="C1255" s="7"/>
      <c r="D1255" s="6" t="s">
        <v>401</v>
      </c>
      <c r="E1255" s="8"/>
      <c r="F1255" s="8"/>
      <c r="G1255" s="9"/>
      <c r="H1255" s="10">
        <v>1</v>
      </c>
      <c r="I1255" s="11" t="s">
        <v>7</v>
      </c>
      <c r="J1255" s="6" t="s">
        <v>9</v>
      </c>
      <c r="K1255" s="5" t="s">
        <v>243</v>
      </c>
    </row>
    <row r="1256" spans="1:12" ht="21" customHeight="1" x14ac:dyDescent="0.25">
      <c r="A1256" s="12" t="str">
        <f>A1255</f>
        <v>КРМ-1 (УКМ-58 0,4-12,5-УЗ)  (P1)</v>
      </c>
      <c r="B1256" s="13" t="s">
        <v>8</v>
      </c>
      <c r="C1256" s="14" t="s">
        <v>469</v>
      </c>
      <c r="D1256" s="12" t="s">
        <v>468</v>
      </c>
      <c r="E1256" s="13">
        <v>38650</v>
      </c>
      <c r="F1256" s="15">
        <f t="shared" ref="F1256:F1265" si="720">E1256*0.6</f>
        <v>23190</v>
      </c>
      <c r="G1256" s="15">
        <f t="shared" ref="G1256:G1267" si="721">H1256*F1256</f>
        <v>23190</v>
      </c>
      <c r="H1256" s="16">
        <v>1</v>
      </c>
      <c r="I1256" s="17" t="s">
        <v>13</v>
      </c>
      <c r="J1256" s="13" t="s">
        <v>16</v>
      </c>
      <c r="K1256" s="12" t="str">
        <f>K1255</f>
        <v>2853_02_01_P1_EM01_01_M3</v>
      </c>
      <c r="L1256">
        <v>23190</v>
      </c>
    </row>
    <row r="1257" spans="1:12" ht="21" customHeight="1" x14ac:dyDescent="0.25">
      <c r="A1257" s="12" t="str">
        <f t="shared" ref="A1257:A1268" si="722">A1256</f>
        <v>КРМ-1 (УКМ-58 0,4-12,5-УЗ)  (P1)</v>
      </c>
      <c r="B1257" s="13" t="s">
        <v>12</v>
      </c>
      <c r="C1257" s="26" t="s">
        <v>139</v>
      </c>
      <c r="D1257" s="12" t="s">
        <v>140</v>
      </c>
      <c r="E1257" s="27">
        <v>3641</v>
      </c>
      <c r="F1257" s="15">
        <f t="shared" si="720"/>
        <v>2184.6</v>
      </c>
      <c r="G1257" s="15">
        <f t="shared" si="721"/>
        <v>2184.6</v>
      </c>
      <c r="H1257" s="16">
        <v>1</v>
      </c>
      <c r="I1257" s="17" t="s">
        <v>13</v>
      </c>
      <c r="J1257" s="13" t="s">
        <v>17</v>
      </c>
      <c r="K1257" s="12" t="str">
        <f t="shared" ref="K1257:K1268" si="723">K1256</f>
        <v>2853_02_01_P1_EM01_01_M3</v>
      </c>
      <c r="L1257">
        <v>2184.6</v>
      </c>
    </row>
    <row r="1258" spans="1:12" ht="27.75" customHeight="1" x14ac:dyDescent="0.25">
      <c r="A1258" s="12" t="str">
        <f t="shared" si="722"/>
        <v>КРМ-1 (УКМ-58 0,4-12,5-УЗ)  (P1)</v>
      </c>
      <c r="B1258" s="13" t="s">
        <v>205</v>
      </c>
      <c r="C1258" s="14" t="s">
        <v>254</v>
      </c>
      <c r="D1258" s="12" t="s">
        <v>255</v>
      </c>
      <c r="E1258" s="13">
        <v>13217</v>
      </c>
      <c r="F1258" s="15">
        <f t="shared" si="720"/>
        <v>7930.2</v>
      </c>
      <c r="G1258" s="15">
        <f t="shared" si="721"/>
        <v>47581.2</v>
      </c>
      <c r="H1258" s="16">
        <v>6</v>
      </c>
      <c r="I1258" s="17" t="s">
        <v>13</v>
      </c>
      <c r="J1258" s="13" t="s">
        <v>17</v>
      </c>
      <c r="K1258" s="12" t="str">
        <f t="shared" si="723"/>
        <v>2853_02_01_P1_EM01_01_M3</v>
      </c>
      <c r="L1258">
        <v>47581.2</v>
      </c>
    </row>
    <row r="1259" spans="1:12" ht="21" customHeight="1" x14ac:dyDescent="0.25">
      <c r="A1259" s="12" t="str">
        <f t="shared" si="722"/>
        <v>КРМ-1 (УКМ-58 0,4-12,5-УЗ)  (P1)</v>
      </c>
      <c r="B1259" s="13" t="s">
        <v>12</v>
      </c>
      <c r="C1259" s="26" t="s">
        <v>34</v>
      </c>
      <c r="D1259" s="12" t="s">
        <v>35</v>
      </c>
      <c r="E1259" s="27">
        <v>2337</v>
      </c>
      <c r="F1259" s="15">
        <f t="shared" si="720"/>
        <v>1402.2</v>
      </c>
      <c r="G1259" s="15">
        <f t="shared" si="721"/>
        <v>8413.2000000000007</v>
      </c>
      <c r="H1259" s="16">
        <v>6</v>
      </c>
      <c r="I1259" s="17" t="s">
        <v>13</v>
      </c>
      <c r="J1259" s="13" t="s">
        <v>17</v>
      </c>
      <c r="K1259" s="12" t="str">
        <f t="shared" si="723"/>
        <v>2853_02_01_P1_EM01_01_M3</v>
      </c>
      <c r="L1259">
        <v>8413.2000000000007</v>
      </c>
    </row>
    <row r="1260" spans="1:12" ht="21" customHeight="1" x14ac:dyDescent="0.25">
      <c r="A1260" s="12" t="str">
        <f t="shared" si="722"/>
        <v>КРМ-1 (УКМ-58 0,4-12,5-УЗ)  (P1)</v>
      </c>
      <c r="B1260" s="13" t="s">
        <v>92</v>
      </c>
      <c r="C1260" s="26" t="s">
        <v>256</v>
      </c>
      <c r="D1260" s="12" t="s">
        <v>257</v>
      </c>
      <c r="E1260" s="27">
        <v>17619</v>
      </c>
      <c r="F1260" s="15">
        <f t="shared" si="720"/>
        <v>10571.4</v>
      </c>
      <c r="G1260" s="15">
        <f t="shared" si="721"/>
        <v>10571.4</v>
      </c>
      <c r="H1260" s="16">
        <v>1</v>
      </c>
      <c r="I1260" s="17" t="s">
        <v>13</v>
      </c>
      <c r="J1260" s="13" t="s">
        <v>17</v>
      </c>
      <c r="K1260" s="12" t="str">
        <f t="shared" si="723"/>
        <v>2853_02_01_P1_EM01_01_M3</v>
      </c>
      <c r="L1260">
        <v>10571.4</v>
      </c>
    </row>
    <row r="1261" spans="1:12" ht="21" customHeight="1" x14ac:dyDescent="0.25">
      <c r="A1261" s="12" t="str">
        <f t="shared" si="722"/>
        <v>КРМ-1 (УКМ-58 0,4-12,5-УЗ)  (P1)</v>
      </c>
      <c r="B1261" s="13" t="s">
        <v>92</v>
      </c>
      <c r="C1261" s="26" t="s">
        <v>282</v>
      </c>
      <c r="D1261" s="12" t="s">
        <v>283</v>
      </c>
      <c r="E1261" s="27">
        <v>19489</v>
      </c>
      <c r="F1261" s="15">
        <f t="shared" si="720"/>
        <v>11693.4</v>
      </c>
      <c r="G1261" s="15">
        <f t="shared" si="721"/>
        <v>11693.4</v>
      </c>
      <c r="H1261" s="16">
        <v>1</v>
      </c>
      <c r="I1261" s="17" t="s">
        <v>13</v>
      </c>
      <c r="J1261" s="13" t="s">
        <v>17</v>
      </c>
      <c r="K1261" s="12" t="str">
        <f t="shared" si="723"/>
        <v>2853_02_01_P1_EM01_01_M3</v>
      </c>
      <c r="L1261">
        <v>11693.4</v>
      </c>
    </row>
    <row r="1262" spans="1:12" ht="21" customHeight="1" x14ac:dyDescent="0.25">
      <c r="A1262" s="12" t="str">
        <f>A1260</f>
        <v>КРМ-1 (УКМ-58 0,4-12,5-УЗ)  (P1)</v>
      </c>
      <c r="B1262" s="13" t="s">
        <v>208</v>
      </c>
      <c r="C1262" s="26" t="s">
        <v>258</v>
      </c>
      <c r="D1262" s="12" t="s">
        <v>259</v>
      </c>
      <c r="E1262" s="27">
        <v>571</v>
      </c>
      <c r="F1262" s="15">
        <f t="shared" si="720"/>
        <v>342.59999999999997</v>
      </c>
      <c r="G1262" s="15">
        <f t="shared" si="721"/>
        <v>342.59999999999997</v>
      </c>
      <c r="H1262" s="16">
        <v>1</v>
      </c>
      <c r="I1262" s="17" t="s">
        <v>13</v>
      </c>
      <c r="J1262" s="13" t="s">
        <v>17</v>
      </c>
      <c r="K1262" s="12" t="str">
        <f>K1260</f>
        <v>2853_02_01_P1_EM01_01_M3</v>
      </c>
      <c r="L1262">
        <v>342.59999999999997</v>
      </c>
    </row>
    <row r="1263" spans="1:12" ht="21" customHeight="1" x14ac:dyDescent="0.25">
      <c r="A1263" s="12" t="str">
        <f t="shared" si="722"/>
        <v>КРМ-1 (УКМ-58 0,4-12,5-УЗ)  (P1)</v>
      </c>
      <c r="B1263" s="13" t="s">
        <v>12</v>
      </c>
      <c r="C1263" s="14" t="s">
        <v>260</v>
      </c>
      <c r="D1263" s="12" t="s">
        <v>261</v>
      </c>
      <c r="E1263" s="13">
        <v>1086</v>
      </c>
      <c r="F1263" s="15">
        <f t="shared" si="720"/>
        <v>651.6</v>
      </c>
      <c r="G1263" s="15">
        <f t="shared" si="721"/>
        <v>1303.2</v>
      </c>
      <c r="H1263" s="16">
        <v>2</v>
      </c>
      <c r="I1263" s="17" t="s">
        <v>13</v>
      </c>
      <c r="J1263" s="13" t="s">
        <v>17</v>
      </c>
      <c r="K1263" s="12" t="str">
        <f t="shared" si="723"/>
        <v>2853_02_01_P1_EM01_01_M3</v>
      </c>
      <c r="L1263">
        <v>1303.2</v>
      </c>
    </row>
    <row r="1264" spans="1:12" ht="21" customHeight="1" x14ac:dyDescent="0.25">
      <c r="A1264" s="12" t="str">
        <f t="shared" si="722"/>
        <v>КРМ-1 (УКМ-58 0,4-12,5-УЗ)  (P1)</v>
      </c>
      <c r="B1264" s="13" t="s">
        <v>262</v>
      </c>
      <c r="C1264" s="26" t="s">
        <v>263</v>
      </c>
      <c r="D1264" s="12" t="s">
        <v>264</v>
      </c>
      <c r="E1264" s="27">
        <v>70078</v>
      </c>
      <c r="F1264" s="15">
        <f t="shared" si="720"/>
        <v>42046.799999999996</v>
      </c>
      <c r="G1264" s="15">
        <f t="shared" si="721"/>
        <v>42046.799999999996</v>
      </c>
      <c r="H1264" s="16">
        <v>1</v>
      </c>
      <c r="I1264" s="17" t="s">
        <v>13</v>
      </c>
      <c r="J1264" s="13" t="s">
        <v>17</v>
      </c>
      <c r="K1264" s="12" t="str">
        <f t="shared" si="723"/>
        <v>2853_02_01_P1_EM01_01_M3</v>
      </c>
      <c r="L1264">
        <v>42046.799999999996</v>
      </c>
    </row>
    <row r="1265" spans="1:12" ht="21" customHeight="1" x14ac:dyDescent="0.25">
      <c r="A1265" s="12" t="str">
        <f t="shared" si="722"/>
        <v>КРМ-1 (УКМ-58 0,4-12,5-УЗ)  (P1)</v>
      </c>
      <c r="B1265" s="13" t="s">
        <v>213</v>
      </c>
      <c r="C1265" s="14" t="s">
        <v>265</v>
      </c>
      <c r="D1265" s="12" t="s">
        <v>266</v>
      </c>
      <c r="E1265" s="13">
        <v>1836</v>
      </c>
      <c r="F1265" s="15">
        <f t="shared" si="720"/>
        <v>1101.5999999999999</v>
      </c>
      <c r="G1265" s="15">
        <f t="shared" si="721"/>
        <v>1101.5999999999999</v>
      </c>
      <c r="H1265" s="16">
        <v>1</v>
      </c>
      <c r="I1265" s="17" t="s">
        <v>13</v>
      </c>
      <c r="J1265" s="13" t="s">
        <v>17</v>
      </c>
      <c r="K1265" s="12" t="str">
        <f t="shared" si="723"/>
        <v>2853_02_01_P1_EM01_01_M3</v>
      </c>
      <c r="L1265">
        <v>1101.5999999999999</v>
      </c>
    </row>
    <row r="1266" spans="1:12" ht="24" customHeight="1" x14ac:dyDescent="0.25">
      <c r="A1266" s="12" t="str">
        <f t="shared" si="722"/>
        <v>КРМ-1 (УКМ-58 0,4-12,5-УЗ)  (P1)</v>
      </c>
      <c r="B1266" s="12" t="s">
        <v>10</v>
      </c>
      <c r="C1266" s="18" t="s">
        <v>10</v>
      </c>
      <c r="D1266" s="12" t="s">
        <v>10</v>
      </c>
      <c r="E1266" s="12">
        <f ca="1">OFFSET(E1266,1,2)</f>
        <v>36000</v>
      </c>
      <c r="F1266" s="15">
        <f ca="1">E1266</f>
        <v>36000</v>
      </c>
      <c r="G1266" s="15">
        <f t="shared" ca="1" si="721"/>
        <v>36000</v>
      </c>
      <c r="H1266" s="12">
        <v>1</v>
      </c>
      <c r="I1266" s="12" t="s">
        <v>13</v>
      </c>
      <c r="J1266" s="12" t="s">
        <v>10</v>
      </c>
      <c r="K1266" s="12" t="str">
        <f t="shared" si="723"/>
        <v>2853_02_01_P1_EM01_01_M3</v>
      </c>
      <c r="L1266">
        <v>36000</v>
      </c>
    </row>
    <row r="1267" spans="1:12" ht="21" customHeight="1" x14ac:dyDescent="0.25">
      <c r="A1267" s="12" t="str">
        <f t="shared" si="722"/>
        <v>КРМ-1 (УКМ-58 0,4-12,5-УЗ)  (P1)</v>
      </c>
      <c r="B1267" s="12" t="s">
        <v>11</v>
      </c>
      <c r="C1267" s="18" t="s">
        <v>11</v>
      </c>
      <c r="D1267" s="12" t="s">
        <v>11</v>
      </c>
      <c r="E1267" s="12">
        <v>6</v>
      </c>
      <c r="F1267" s="15">
        <v>100</v>
      </c>
      <c r="G1267" s="15">
        <f t="shared" si="721"/>
        <v>36000</v>
      </c>
      <c r="H1267" s="12">
        <f>60*E1267</f>
        <v>360</v>
      </c>
      <c r="I1267" s="12" t="s">
        <v>13</v>
      </c>
      <c r="J1267" s="12" t="s">
        <v>11</v>
      </c>
      <c r="K1267" s="12" t="str">
        <f t="shared" si="723"/>
        <v>2853_02_01_P1_EM01_01_M3</v>
      </c>
      <c r="L1267">
        <v>36000</v>
      </c>
    </row>
    <row r="1268" spans="1:12" ht="30" customHeight="1" x14ac:dyDescent="0.25">
      <c r="A1268" s="12" t="str">
        <f t="shared" si="722"/>
        <v>КРМ-1 (УКМ-58 0,4-12,5-УЗ)  (P1)</v>
      </c>
      <c r="B1268" s="19"/>
      <c r="C1268" s="20"/>
      <c r="D1268" s="21"/>
      <c r="E1268" s="23"/>
      <c r="F1268" s="25"/>
      <c r="G1268" s="24">
        <f ca="1">SUM(G1256:G1267)</f>
        <v>220427.99999999997</v>
      </c>
      <c r="H1268" s="20"/>
      <c r="I1268" s="22"/>
      <c r="J1268" s="20"/>
      <c r="K1268" s="12" t="str">
        <f t="shared" si="723"/>
        <v>2853_02_01_P1_EM01_01_M3</v>
      </c>
      <c r="L1268">
        <v>220427.99999999997</v>
      </c>
    </row>
  </sheetData>
  <autoFilter ref="A1:J1268" xr:uid="{0E2C231C-0991-4FBE-BD8E-9CD4D9BF51D9}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AD93-0FD7-460D-9D2B-78C05D640FDE}">
  <dimension ref="A1:L145"/>
  <sheetViews>
    <sheetView tabSelected="1" topLeftCell="B1" workbookViewId="0">
      <selection activeCell="F142" sqref="F142"/>
    </sheetView>
  </sheetViews>
  <sheetFormatPr defaultRowHeight="42.75" customHeight="1" x14ac:dyDescent="0.25"/>
  <cols>
    <col min="2" max="2" width="44.42578125" customWidth="1"/>
    <col min="3" max="3" width="11" customWidth="1"/>
    <col min="4" max="4" width="11.28515625" customWidth="1"/>
    <col min="5" max="5" width="17.85546875" customWidth="1"/>
  </cols>
  <sheetData>
    <row r="1" spans="1:12" ht="42.75" customHeight="1" x14ac:dyDescent="0.25">
      <c r="A1" s="2" t="s">
        <v>1</v>
      </c>
      <c r="B1" s="1" t="s">
        <v>14</v>
      </c>
      <c r="C1" s="1" t="s">
        <v>3</v>
      </c>
      <c r="D1" s="1" t="s">
        <v>3</v>
      </c>
      <c r="E1" s="3" t="s">
        <v>6</v>
      </c>
      <c r="F1" s="4" t="s">
        <v>15</v>
      </c>
      <c r="G1" s="4" t="s">
        <v>4</v>
      </c>
      <c r="H1" s="4" t="s">
        <v>5</v>
      </c>
      <c r="I1" s="1" t="s">
        <v>141</v>
      </c>
      <c r="J1" t="s">
        <v>6</v>
      </c>
      <c r="K1">
        <v>2.2999999999999998</v>
      </c>
    </row>
    <row r="2" spans="1:12" ht="42.75" customHeight="1" x14ac:dyDescent="0.25">
      <c r="A2" s="7"/>
      <c r="B2" s="6" t="s">
        <v>409</v>
      </c>
      <c r="C2" s="8">
        <f>ROUNDUP(K2,-3)</f>
        <v>699000</v>
      </c>
      <c r="D2" s="8">
        <f>0.65*C2</f>
        <v>454350</v>
      </c>
      <c r="E2" s="9">
        <f>D2*F2</f>
        <v>454350</v>
      </c>
      <c r="F2" s="10">
        <v>1</v>
      </c>
      <c r="G2" s="11" t="s">
        <v>7</v>
      </c>
      <c r="H2" s="6" t="s">
        <v>9</v>
      </c>
      <c r="I2" s="5" t="s">
        <v>142</v>
      </c>
      <c r="J2">
        <v>303665.19999999995</v>
      </c>
      <c r="K2">
        <f>2.3*J2</f>
        <v>698429.95999999985</v>
      </c>
      <c r="L2">
        <f>J2*F2</f>
        <v>303665.19999999995</v>
      </c>
    </row>
    <row r="3" spans="1:12" ht="42.75" customHeight="1" x14ac:dyDescent="0.25">
      <c r="A3" s="7"/>
      <c r="B3" s="6" t="s">
        <v>410</v>
      </c>
      <c r="C3" s="8">
        <f t="shared" ref="C3:C66" si="0">ROUNDUP(K3,-3)</f>
        <v>516000</v>
      </c>
      <c r="D3" s="8">
        <f t="shared" ref="D3:D66" si="1">0.65*C3</f>
        <v>335400</v>
      </c>
      <c r="E3" s="9">
        <f t="shared" ref="E3:E66" si="2">D3*F3</f>
        <v>335400</v>
      </c>
      <c r="F3" s="10">
        <v>1</v>
      </c>
      <c r="G3" s="11" t="s">
        <v>7</v>
      </c>
      <c r="H3" s="6" t="s">
        <v>9</v>
      </c>
      <c r="I3" s="5" t="s">
        <v>142</v>
      </c>
      <c r="J3">
        <v>224239.19999999998</v>
      </c>
      <c r="K3">
        <f t="shared" ref="K3:K66" si="3">2.3*J3</f>
        <v>515750.15999999992</v>
      </c>
      <c r="L3">
        <f t="shared" ref="L3:L66" si="4">J3*F3</f>
        <v>224239.19999999998</v>
      </c>
    </row>
    <row r="4" spans="1:12" ht="42.75" customHeight="1" x14ac:dyDescent="0.25">
      <c r="A4" s="7"/>
      <c r="B4" s="6" t="s">
        <v>411</v>
      </c>
      <c r="C4" s="8">
        <f t="shared" si="0"/>
        <v>378000</v>
      </c>
      <c r="D4" s="8">
        <f t="shared" si="1"/>
        <v>245700</v>
      </c>
      <c r="E4" s="9">
        <f t="shared" si="2"/>
        <v>245700</v>
      </c>
      <c r="F4" s="10">
        <v>1</v>
      </c>
      <c r="G4" s="11" t="s">
        <v>7</v>
      </c>
      <c r="H4" s="6" t="s">
        <v>9</v>
      </c>
      <c r="I4" s="5" t="s">
        <v>142</v>
      </c>
      <c r="J4">
        <v>164151</v>
      </c>
      <c r="K4">
        <f t="shared" si="3"/>
        <v>377547.3</v>
      </c>
      <c r="L4">
        <f t="shared" si="4"/>
        <v>164151</v>
      </c>
    </row>
    <row r="5" spans="1:12" ht="42.75" customHeight="1" x14ac:dyDescent="0.25">
      <c r="A5" s="7"/>
      <c r="B5" s="6" t="s">
        <v>412</v>
      </c>
      <c r="C5" s="8">
        <f t="shared" si="0"/>
        <v>505000</v>
      </c>
      <c r="D5" s="8">
        <f t="shared" si="1"/>
        <v>328250</v>
      </c>
      <c r="E5" s="9">
        <f t="shared" si="2"/>
        <v>328250</v>
      </c>
      <c r="F5" s="10">
        <v>1</v>
      </c>
      <c r="G5" s="11" t="s">
        <v>7</v>
      </c>
      <c r="H5" s="6" t="s">
        <v>9</v>
      </c>
      <c r="I5" s="5" t="s">
        <v>142</v>
      </c>
      <c r="J5">
        <v>219238.80000000002</v>
      </c>
      <c r="K5">
        <f t="shared" si="3"/>
        <v>504249.24</v>
      </c>
      <c r="L5">
        <f t="shared" si="4"/>
        <v>219238.80000000002</v>
      </c>
    </row>
    <row r="6" spans="1:12" ht="42.75" customHeight="1" x14ac:dyDescent="0.25">
      <c r="A6" s="7"/>
      <c r="B6" s="6" t="s">
        <v>413</v>
      </c>
      <c r="C6" s="8">
        <f t="shared" si="0"/>
        <v>759000</v>
      </c>
      <c r="D6" s="8">
        <f t="shared" si="1"/>
        <v>493350</v>
      </c>
      <c r="E6" s="9">
        <f t="shared" si="2"/>
        <v>493350</v>
      </c>
      <c r="F6" s="10">
        <v>1</v>
      </c>
      <c r="G6" s="11" t="s">
        <v>7</v>
      </c>
      <c r="H6" s="6" t="s">
        <v>9</v>
      </c>
      <c r="I6" s="5" t="s">
        <v>142</v>
      </c>
      <c r="J6">
        <v>329793.2</v>
      </c>
      <c r="K6">
        <f t="shared" si="3"/>
        <v>758524.36</v>
      </c>
      <c r="L6">
        <f t="shared" si="4"/>
        <v>329793.2</v>
      </c>
    </row>
    <row r="7" spans="1:12" ht="42.75" customHeight="1" x14ac:dyDescent="0.25">
      <c r="A7" s="7"/>
      <c r="B7" s="6" t="s">
        <v>414</v>
      </c>
      <c r="C7" s="8">
        <f t="shared" si="0"/>
        <v>393000</v>
      </c>
      <c r="D7" s="8">
        <f t="shared" si="1"/>
        <v>255450</v>
      </c>
      <c r="E7" s="9">
        <f t="shared" si="2"/>
        <v>255450</v>
      </c>
      <c r="F7" s="10">
        <v>1</v>
      </c>
      <c r="G7" s="11" t="s">
        <v>7</v>
      </c>
      <c r="H7" s="6" t="s">
        <v>9</v>
      </c>
      <c r="I7" s="5" t="s">
        <v>142</v>
      </c>
      <c r="J7">
        <v>170500.8</v>
      </c>
      <c r="K7">
        <f t="shared" si="3"/>
        <v>392151.83999999997</v>
      </c>
      <c r="L7">
        <f t="shared" si="4"/>
        <v>170500.8</v>
      </c>
    </row>
    <row r="8" spans="1:12" ht="42.75" customHeight="1" x14ac:dyDescent="0.25">
      <c r="A8" s="7"/>
      <c r="B8" s="6" t="s">
        <v>415</v>
      </c>
      <c r="C8" s="8">
        <f t="shared" si="0"/>
        <v>658000</v>
      </c>
      <c r="D8" s="8">
        <f t="shared" si="1"/>
        <v>427700</v>
      </c>
      <c r="E8" s="9">
        <f t="shared" si="2"/>
        <v>427700</v>
      </c>
      <c r="F8" s="10">
        <v>1</v>
      </c>
      <c r="G8" s="11" t="s">
        <v>7</v>
      </c>
      <c r="H8" s="6" t="s">
        <v>9</v>
      </c>
      <c r="I8" s="5" t="s">
        <v>142</v>
      </c>
      <c r="J8">
        <v>285665.19999999995</v>
      </c>
      <c r="K8">
        <f t="shared" si="3"/>
        <v>657029.95999999985</v>
      </c>
      <c r="L8">
        <f t="shared" si="4"/>
        <v>285665.19999999995</v>
      </c>
    </row>
    <row r="9" spans="1:12" ht="42.75" customHeight="1" x14ac:dyDescent="0.25">
      <c r="A9" s="7"/>
      <c r="B9" s="6" t="s">
        <v>416</v>
      </c>
      <c r="C9" s="8">
        <f t="shared" si="0"/>
        <v>607000</v>
      </c>
      <c r="D9" s="8">
        <f t="shared" si="1"/>
        <v>394550</v>
      </c>
      <c r="E9" s="9">
        <f t="shared" si="2"/>
        <v>394550</v>
      </c>
      <c r="F9" s="10">
        <v>1</v>
      </c>
      <c r="G9" s="11" t="s">
        <v>7</v>
      </c>
      <c r="H9" s="6" t="s">
        <v>9</v>
      </c>
      <c r="I9" s="5" t="s">
        <v>142</v>
      </c>
      <c r="J9">
        <v>263828.40000000002</v>
      </c>
      <c r="K9">
        <f t="shared" si="3"/>
        <v>606805.31999999995</v>
      </c>
      <c r="L9">
        <f t="shared" si="4"/>
        <v>263828.40000000002</v>
      </c>
    </row>
    <row r="10" spans="1:12" ht="42.75" customHeight="1" x14ac:dyDescent="0.25">
      <c r="A10" s="7"/>
      <c r="B10" s="6" t="s">
        <v>417</v>
      </c>
      <c r="C10" s="8">
        <f t="shared" si="0"/>
        <v>2592000</v>
      </c>
      <c r="D10" s="8">
        <f t="shared" si="1"/>
        <v>1684800</v>
      </c>
      <c r="E10" s="9">
        <f t="shared" si="2"/>
        <v>1684800</v>
      </c>
      <c r="F10" s="10">
        <v>1</v>
      </c>
      <c r="G10" s="11" t="s">
        <v>7</v>
      </c>
      <c r="H10" s="6" t="s">
        <v>9</v>
      </c>
      <c r="I10" s="5" t="s">
        <v>142</v>
      </c>
      <c r="J10">
        <v>1126924.3999999999</v>
      </c>
      <c r="K10">
        <f t="shared" si="3"/>
        <v>2591926.1199999996</v>
      </c>
      <c r="L10">
        <f t="shared" si="4"/>
        <v>1126924.3999999999</v>
      </c>
    </row>
    <row r="11" spans="1:12" ht="42.75" customHeight="1" x14ac:dyDescent="0.25">
      <c r="A11" s="7"/>
      <c r="B11" s="6" t="s">
        <v>418</v>
      </c>
      <c r="C11" s="8">
        <f t="shared" si="0"/>
        <v>649000</v>
      </c>
      <c r="D11" s="8">
        <f t="shared" si="1"/>
        <v>421850</v>
      </c>
      <c r="E11" s="9">
        <f t="shared" si="2"/>
        <v>421850</v>
      </c>
      <c r="F11" s="10">
        <v>1</v>
      </c>
      <c r="G11" s="11" t="s">
        <v>7</v>
      </c>
      <c r="H11" s="6" t="s">
        <v>9</v>
      </c>
      <c r="I11" s="5" t="s">
        <v>142</v>
      </c>
      <c r="J11">
        <v>281806.59999999998</v>
      </c>
      <c r="K11">
        <f t="shared" si="3"/>
        <v>648155.17999999993</v>
      </c>
      <c r="L11">
        <f t="shared" si="4"/>
        <v>281806.59999999998</v>
      </c>
    </row>
    <row r="12" spans="1:12" ht="42.75" customHeight="1" x14ac:dyDescent="0.25">
      <c r="A12" s="7"/>
      <c r="B12" s="6" t="s">
        <v>419</v>
      </c>
      <c r="C12" s="8">
        <f t="shared" si="0"/>
        <v>58000</v>
      </c>
      <c r="D12" s="8">
        <f t="shared" si="1"/>
        <v>37700</v>
      </c>
      <c r="E12" s="9">
        <f t="shared" si="2"/>
        <v>37700</v>
      </c>
      <c r="F12" s="10">
        <v>1</v>
      </c>
      <c r="G12" s="11" t="s">
        <v>7</v>
      </c>
      <c r="H12" s="6" t="s">
        <v>9</v>
      </c>
      <c r="I12" s="5" t="s">
        <v>142</v>
      </c>
      <c r="J12">
        <v>25115.4</v>
      </c>
      <c r="K12">
        <f t="shared" si="3"/>
        <v>57765.42</v>
      </c>
      <c r="L12">
        <f t="shared" si="4"/>
        <v>25115.4</v>
      </c>
    </row>
    <row r="13" spans="1:12" ht="42.75" customHeight="1" x14ac:dyDescent="0.25">
      <c r="A13" s="7"/>
      <c r="B13" s="6" t="s">
        <v>420</v>
      </c>
      <c r="C13" s="8">
        <f t="shared" si="0"/>
        <v>615000</v>
      </c>
      <c r="D13" s="8">
        <f t="shared" si="1"/>
        <v>399750</v>
      </c>
      <c r="E13" s="9">
        <f t="shared" si="2"/>
        <v>399750</v>
      </c>
      <c r="F13" s="10">
        <v>1</v>
      </c>
      <c r="G13" s="11" t="s">
        <v>7</v>
      </c>
      <c r="H13" s="6" t="s">
        <v>9</v>
      </c>
      <c r="I13" s="5" t="s">
        <v>142</v>
      </c>
      <c r="J13">
        <v>267384.59999999998</v>
      </c>
      <c r="K13">
        <f t="shared" si="3"/>
        <v>614984.57999999984</v>
      </c>
      <c r="L13">
        <f t="shared" si="4"/>
        <v>267384.59999999998</v>
      </c>
    </row>
    <row r="14" spans="1:12" ht="42.75" customHeight="1" x14ac:dyDescent="0.25">
      <c r="A14" s="7"/>
      <c r="B14" s="6" t="s">
        <v>421</v>
      </c>
      <c r="C14" s="8">
        <f t="shared" si="0"/>
        <v>62000</v>
      </c>
      <c r="D14" s="8">
        <f t="shared" si="1"/>
        <v>40300</v>
      </c>
      <c r="E14" s="9">
        <f t="shared" si="2"/>
        <v>40300</v>
      </c>
      <c r="F14" s="10">
        <v>1</v>
      </c>
      <c r="G14" s="11" t="s">
        <v>7</v>
      </c>
      <c r="H14" s="6" t="s">
        <v>9</v>
      </c>
      <c r="I14" s="5" t="s">
        <v>142</v>
      </c>
      <c r="J14">
        <v>26712</v>
      </c>
      <c r="K14">
        <f t="shared" si="3"/>
        <v>61437.599999999999</v>
      </c>
      <c r="L14">
        <f t="shared" si="4"/>
        <v>26712</v>
      </c>
    </row>
    <row r="15" spans="1:12" ht="42.75" customHeight="1" x14ac:dyDescent="0.25">
      <c r="A15" s="7"/>
      <c r="B15" s="6" t="s">
        <v>422</v>
      </c>
      <c r="C15" s="8">
        <f t="shared" si="0"/>
        <v>2601000</v>
      </c>
      <c r="D15" s="8">
        <f t="shared" si="1"/>
        <v>1690650</v>
      </c>
      <c r="E15" s="9">
        <f t="shared" si="2"/>
        <v>1690650</v>
      </c>
      <c r="F15" s="10">
        <v>1</v>
      </c>
      <c r="G15" s="11" t="s">
        <v>7</v>
      </c>
      <c r="H15" s="6" t="s">
        <v>9</v>
      </c>
      <c r="I15" s="5" t="s">
        <v>142</v>
      </c>
      <c r="J15">
        <v>1130639.6000000001</v>
      </c>
      <c r="K15">
        <f t="shared" si="3"/>
        <v>2600471.08</v>
      </c>
      <c r="L15">
        <f t="shared" si="4"/>
        <v>1130639.6000000001</v>
      </c>
    </row>
    <row r="16" spans="1:12" ht="42.75" customHeight="1" x14ac:dyDescent="0.25">
      <c r="A16" s="7"/>
      <c r="B16" s="6" t="s">
        <v>423</v>
      </c>
      <c r="C16" s="8">
        <f t="shared" si="0"/>
        <v>675000</v>
      </c>
      <c r="D16" s="8">
        <f t="shared" si="1"/>
        <v>438750</v>
      </c>
      <c r="E16" s="9">
        <f t="shared" si="2"/>
        <v>438750</v>
      </c>
      <c r="F16" s="10">
        <v>1</v>
      </c>
      <c r="G16" s="11" t="s">
        <v>7</v>
      </c>
      <c r="H16" s="6" t="s">
        <v>9</v>
      </c>
      <c r="I16" s="5" t="s">
        <v>142</v>
      </c>
      <c r="J16">
        <v>293123.80000000005</v>
      </c>
      <c r="K16">
        <f t="shared" si="3"/>
        <v>674184.74000000011</v>
      </c>
      <c r="L16">
        <f t="shared" si="4"/>
        <v>293123.80000000005</v>
      </c>
    </row>
    <row r="17" spans="1:12" ht="42.75" customHeight="1" x14ac:dyDescent="0.25">
      <c r="A17" s="7"/>
      <c r="B17" s="6" t="s">
        <v>424</v>
      </c>
      <c r="C17" s="8">
        <f t="shared" si="0"/>
        <v>224000</v>
      </c>
      <c r="D17" s="8">
        <f t="shared" si="1"/>
        <v>145600</v>
      </c>
      <c r="E17" s="9">
        <f t="shared" si="2"/>
        <v>145600</v>
      </c>
      <c r="F17" s="10">
        <v>1</v>
      </c>
      <c r="G17" s="11" t="s">
        <v>7</v>
      </c>
      <c r="H17" s="6" t="s">
        <v>9</v>
      </c>
      <c r="I17" s="5" t="s">
        <v>142</v>
      </c>
      <c r="J17">
        <v>97010.4</v>
      </c>
      <c r="K17">
        <f t="shared" si="3"/>
        <v>223123.91999999998</v>
      </c>
      <c r="L17">
        <f t="shared" si="4"/>
        <v>97010.4</v>
      </c>
    </row>
    <row r="18" spans="1:12" ht="42.75" customHeight="1" x14ac:dyDescent="0.25">
      <c r="A18" s="7"/>
      <c r="B18" s="6" t="s">
        <v>425</v>
      </c>
      <c r="C18" s="8">
        <f t="shared" si="0"/>
        <v>50000</v>
      </c>
      <c r="D18" s="8">
        <f t="shared" si="1"/>
        <v>32500</v>
      </c>
      <c r="E18" s="9">
        <f t="shared" si="2"/>
        <v>32500</v>
      </c>
      <c r="F18" s="10">
        <v>1</v>
      </c>
      <c r="G18" s="11" t="s">
        <v>7</v>
      </c>
      <c r="H18" s="6" t="s">
        <v>9</v>
      </c>
      <c r="I18" s="5" t="s">
        <v>142</v>
      </c>
      <c r="J18">
        <v>21538.2</v>
      </c>
      <c r="K18">
        <f t="shared" si="3"/>
        <v>49537.86</v>
      </c>
      <c r="L18">
        <f t="shared" si="4"/>
        <v>21538.2</v>
      </c>
    </row>
    <row r="19" spans="1:12" ht="42.75" customHeight="1" x14ac:dyDescent="0.25">
      <c r="A19" s="7"/>
      <c r="B19" s="6" t="s">
        <v>426</v>
      </c>
      <c r="C19" s="8">
        <f t="shared" si="0"/>
        <v>40000</v>
      </c>
      <c r="D19" s="8">
        <f t="shared" si="1"/>
        <v>26000</v>
      </c>
      <c r="E19" s="9">
        <f t="shared" si="2"/>
        <v>26000</v>
      </c>
      <c r="F19" s="10">
        <v>1</v>
      </c>
      <c r="G19" s="11" t="s">
        <v>7</v>
      </c>
      <c r="H19" s="6" t="s">
        <v>9</v>
      </c>
      <c r="I19" s="5" t="s">
        <v>142</v>
      </c>
      <c r="J19">
        <v>17004</v>
      </c>
      <c r="K19">
        <f t="shared" si="3"/>
        <v>39109.199999999997</v>
      </c>
      <c r="L19">
        <f t="shared" si="4"/>
        <v>17004</v>
      </c>
    </row>
    <row r="20" spans="1:12" ht="42.75" customHeight="1" x14ac:dyDescent="0.25">
      <c r="A20" s="7"/>
      <c r="B20" s="6" t="s">
        <v>427</v>
      </c>
      <c r="C20" s="8">
        <f t="shared" si="0"/>
        <v>36000</v>
      </c>
      <c r="D20" s="8">
        <f t="shared" si="1"/>
        <v>23400</v>
      </c>
      <c r="E20" s="9">
        <f t="shared" si="2"/>
        <v>23400</v>
      </c>
      <c r="F20" s="10">
        <v>1</v>
      </c>
      <c r="G20" s="11" t="s">
        <v>7</v>
      </c>
      <c r="H20" s="6" t="s">
        <v>9</v>
      </c>
      <c r="I20" s="5" t="s">
        <v>142</v>
      </c>
      <c r="J20">
        <v>15594.6</v>
      </c>
      <c r="K20">
        <f t="shared" si="3"/>
        <v>35867.579999999994</v>
      </c>
      <c r="L20">
        <f t="shared" si="4"/>
        <v>15594.6</v>
      </c>
    </row>
    <row r="21" spans="1:12" ht="42.75" customHeight="1" x14ac:dyDescent="0.25">
      <c r="A21" s="7"/>
      <c r="B21" s="6" t="s">
        <v>428</v>
      </c>
      <c r="C21" s="8">
        <f t="shared" si="0"/>
        <v>56000</v>
      </c>
      <c r="D21" s="8">
        <f t="shared" si="1"/>
        <v>36400</v>
      </c>
      <c r="E21" s="9">
        <f t="shared" si="2"/>
        <v>36400</v>
      </c>
      <c r="F21" s="10">
        <v>1</v>
      </c>
      <c r="G21" s="11" t="s">
        <v>7</v>
      </c>
      <c r="H21" s="6" t="s">
        <v>9</v>
      </c>
      <c r="I21" s="5" t="s">
        <v>142</v>
      </c>
      <c r="J21">
        <v>23938.2</v>
      </c>
      <c r="K21">
        <f t="shared" si="3"/>
        <v>55057.86</v>
      </c>
      <c r="L21">
        <f t="shared" si="4"/>
        <v>23938.2</v>
      </c>
    </row>
    <row r="22" spans="1:12" ht="42.75" customHeight="1" x14ac:dyDescent="0.25">
      <c r="A22" s="7"/>
      <c r="B22" s="6" t="s">
        <v>429</v>
      </c>
      <c r="C22" s="8">
        <f t="shared" si="0"/>
        <v>51000</v>
      </c>
      <c r="D22" s="8">
        <f t="shared" si="1"/>
        <v>33150</v>
      </c>
      <c r="E22" s="9">
        <f t="shared" si="2"/>
        <v>33150</v>
      </c>
      <c r="F22" s="10">
        <v>1</v>
      </c>
      <c r="G22" s="11" t="s">
        <v>7</v>
      </c>
      <c r="H22" s="6" t="s">
        <v>9</v>
      </c>
      <c r="I22" s="5" t="s">
        <v>142</v>
      </c>
      <c r="J22">
        <v>22059</v>
      </c>
      <c r="K22">
        <f t="shared" si="3"/>
        <v>50735.7</v>
      </c>
      <c r="L22">
        <f t="shared" si="4"/>
        <v>22059</v>
      </c>
    </row>
    <row r="23" spans="1:12" ht="42.75" customHeight="1" x14ac:dyDescent="0.25">
      <c r="A23" s="7"/>
      <c r="B23" s="6" t="s">
        <v>430</v>
      </c>
      <c r="C23" s="8">
        <f t="shared" si="0"/>
        <v>16000</v>
      </c>
      <c r="D23" s="8">
        <f t="shared" si="1"/>
        <v>10400</v>
      </c>
      <c r="E23" s="9">
        <f t="shared" si="2"/>
        <v>10400</v>
      </c>
      <c r="F23" s="10">
        <v>1</v>
      </c>
      <c r="G23" s="11" t="s">
        <v>7</v>
      </c>
      <c r="H23" s="6" t="s">
        <v>9</v>
      </c>
      <c r="I23" s="5" t="s">
        <v>142</v>
      </c>
      <c r="J23">
        <v>6559.8</v>
      </c>
      <c r="K23">
        <f t="shared" si="3"/>
        <v>15087.539999999999</v>
      </c>
      <c r="L23">
        <f t="shared" si="4"/>
        <v>6559.8</v>
      </c>
    </row>
    <row r="24" spans="1:12" ht="42.75" customHeight="1" x14ac:dyDescent="0.25">
      <c r="A24" s="7"/>
      <c r="B24" s="6" t="s">
        <v>431</v>
      </c>
      <c r="C24" s="8">
        <f t="shared" si="0"/>
        <v>34000</v>
      </c>
      <c r="D24" s="8">
        <f t="shared" si="1"/>
        <v>22100</v>
      </c>
      <c r="E24" s="9">
        <f t="shared" si="2"/>
        <v>22100</v>
      </c>
      <c r="F24" s="10">
        <v>1</v>
      </c>
      <c r="G24" s="11" t="s">
        <v>7</v>
      </c>
      <c r="H24" s="6" t="s">
        <v>9</v>
      </c>
      <c r="I24" s="5" t="s">
        <v>142</v>
      </c>
      <c r="J24">
        <v>14397</v>
      </c>
      <c r="K24">
        <f t="shared" si="3"/>
        <v>33113.1</v>
      </c>
      <c r="L24">
        <f t="shared" si="4"/>
        <v>14397</v>
      </c>
    </row>
    <row r="25" spans="1:12" ht="42.75" customHeight="1" x14ac:dyDescent="0.25">
      <c r="A25" s="7"/>
      <c r="B25" s="6" t="s">
        <v>456</v>
      </c>
      <c r="C25" s="8">
        <f t="shared" si="0"/>
        <v>60000</v>
      </c>
      <c r="D25" s="8">
        <f t="shared" si="1"/>
        <v>39000</v>
      </c>
      <c r="E25" s="9">
        <f t="shared" si="2"/>
        <v>39000</v>
      </c>
      <c r="F25" s="10">
        <v>1</v>
      </c>
      <c r="G25" s="11" t="s">
        <v>7</v>
      </c>
      <c r="H25" s="6" t="s">
        <v>9</v>
      </c>
      <c r="I25" s="5" t="s">
        <v>142</v>
      </c>
      <c r="J25">
        <v>25666.800000000003</v>
      </c>
      <c r="K25">
        <f t="shared" si="3"/>
        <v>59033.64</v>
      </c>
      <c r="L25">
        <f t="shared" si="4"/>
        <v>25666.800000000003</v>
      </c>
    </row>
    <row r="26" spans="1:12" ht="42.75" customHeight="1" x14ac:dyDescent="0.25">
      <c r="A26" s="7"/>
      <c r="B26" s="6" t="s">
        <v>432</v>
      </c>
      <c r="C26" s="8">
        <f t="shared" si="0"/>
        <v>64000</v>
      </c>
      <c r="D26" s="8">
        <f t="shared" si="1"/>
        <v>41600</v>
      </c>
      <c r="E26" s="9">
        <f t="shared" si="2"/>
        <v>41600</v>
      </c>
      <c r="F26" s="10">
        <v>1</v>
      </c>
      <c r="G26" s="11" t="s">
        <v>7</v>
      </c>
      <c r="H26" s="6" t="s">
        <v>9</v>
      </c>
      <c r="I26" s="5" t="s">
        <v>142</v>
      </c>
      <c r="J26">
        <v>27538.2</v>
      </c>
      <c r="K26">
        <f t="shared" si="3"/>
        <v>63337.859999999993</v>
      </c>
      <c r="L26">
        <f t="shared" si="4"/>
        <v>27538.2</v>
      </c>
    </row>
    <row r="27" spans="1:12" ht="42.75" customHeight="1" x14ac:dyDescent="0.25">
      <c r="A27" s="7"/>
      <c r="B27" s="6" t="s">
        <v>433</v>
      </c>
      <c r="C27" s="8">
        <f t="shared" si="0"/>
        <v>49000</v>
      </c>
      <c r="D27" s="8">
        <f t="shared" si="1"/>
        <v>31850</v>
      </c>
      <c r="E27" s="9">
        <f t="shared" si="2"/>
        <v>31850</v>
      </c>
      <c r="F27" s="10">
        <v>1</v>
      </c>
      <c r="G27" s="11" t="s">
        <v>7</v>
      </c>
      <c r="H27" s="6" t="s">
        <v>9</v>
      </c>
      <c r="I27" s="5" t="s">
        <v>142</v>
      </c>
      <c r="J27">
        <v>21119.4</v>
      </c>
      <c r="K27">
        <f t="shared" si="3"/>
        <v>48574.62</v>
      </c>
      <c r="L27">
        <f t="shared" si="4"/>
        <v>21119.4</v>
      </c>
    </row>
    <row r="28" spans="1:12" ht="42.75" customHeight="1" x14ac:dyDescent="0.25">
      <c r="A28" s="7"/>
      <c r="B28" s="6" t="s">
        <v>434</v>
      </c>
      <c r="C28" s="8">
        <f t="shared" si="0"/>
        <v>131000</v>
      </c>
      <c r="D28" s="8">
        <f t="shared" si="1"/>
        <v>85150</v>
      </c>
      <c r="E28" s="9">
        <f t="shared" si="2"/>
        <v>85150</v>
      </c>
      <c r="F28" s="10">
        <v>1</v>
      </c>
      <c r="G28" s="11" t="s">
        <v>7</v>
      </c>
      <c r="H28" s="6" t="s">
        <v>9</v>
      </c>
      <c r="I28" s="5" t="s">
        <v>142</v>
      </c>
      <c r="J28">
        <v>56793.600000000006</v>
      </c>
      <c r="K28">
        <f t="shared" si="3"/>
        <v>130625.28</v>
      </c>
      <c r="L28">
        <f t="shared" si="4"/>
        <v>56793.600000000006</v>
      </c>
    </row>
    <row r="29" spans="1:12" ht="42.75" customHeight="1" x14ac:dyDescent="0.25">
      <c r="A29" s="7"/>
      <c r="B29" s="6" t="s">
        <v>435</v>
      </c>
      <c r="C29" s="8">
        <f t="shared" si="0"/>
        <v>99000</v>
      </c>
      <c r="D29" s="8">
        <f t="shared" si="1"/>
        <v>64350</v>
      </c>
      <c r="E29" s="9">
        <f t="shared" si="2"/>
        <v>64350</v>
      </c>
      <c r="F29" s="10">
        <v>1</v>
      </c>
      <c r="G29" s="11" t="s">
        <v>7</v>
      </c>
      <c r="H29" s="6" t="s">
        <v>9</v>
      </c>
      <c r="I29" s="5" t="s">
        <v>142</v>
      </c>
      <c r="J29">
        <v>42968.4</v>
      </c>
      <c r="K29">
        <f t="shared" si="3"/>
        <v>98827.319999999992</v>
      </c>
      <c r="L29">
        <f t="shared" si="4"/>
        <v>42968.4</v>
      </c>
    </row>
    <row r="30" spans="1:12" ht="42.75" customHeight="1" x14ac:dyDescent="0.25">
      <c r="A30" s="7"/>
      <c r="B30" s="6" t="s">
        <v>436</v>
      </c>
      <c r="C30" s="8">
        <f t="shared" si="0"/>
        <v>99000</v>
      </c>
      <c r="D30" s="8">
        <f t="shared" si="1"/>
        <v>64350</v>
      </c>
      <c r="E30" s="9">
        <f t="shared" si="2"/>
        <v>64350</v>
      </c>
      <c r="F30" s="10">
        <v>1</v>
      </c>
      <c r="G30" s="11" t="s">
        <v>7</v>
      </c>
      <c r="H30" s="6" t="s">
        <v>9</v>
      </c>
      <c r="I30" s="5" t="s">
        <v>142</v>
      </c>
      <c r="J30">
        <v>42968.4</v>
      </c>
      <c r="K30">
        <f t="shared" si="3"/>
        <v>98827.319999999992</v>
      </c>
      <c r="L30">
        <f t="shared" si="4"/>
        <v>42968.4</v>
      </c>
    </row>
    <row r="31" spans="1:12" ht="42.75" customHeight="1" x14ac:dyDescent="0.25">
      <c r="A31" s="7"/>
      <c r="B31" s="6" t="s">
        <v>437</v>
      </c>
      <c r="C31" s="8">
        <f t="shared" si="0"/>
        <v>85000</v>
      </c>
      <c r="D31" s="8">
        <f t="shared" si="1"/>
        <v>55250</v>
      </c>
      <c r="E31" s="9">
        <f t="shared" si="2"/>
        <v>55250</v>
      </c>
      <c r="F31" s="10">
        <v>1</v>
      </c>
      <c r="G31" s="11" t="s">
        <v>7</v>
      </c>
      <c r="H31" s="6" t="s">
        <v>9</v>
      </c>
      <c r="I31" s="5" t="s">
        <v>142</v>
      </c>
      <c r="J31">
        <v>36843.600000000006</v>
      </c>
      <c r="K31">
        <f t="shared" si="3"/>
        <v>84740.280000000013</v>
      </c>
      <c r="L31">
        <f t="shared" si="4"/>
        <v>36843.600000000006</v>
      </c>
    </row>
    <row r="32" spans="1:12" ht="42.75" customHeight="1" x14ac:dyDescent="0.25">
      <c r="A32" s="7"/>
      <c r="B32" s="6" t="s">
        <v>438</v>
      </c>
      <c r="C32" s="8">
        <f t="shared" si="0"/>
        <v>71000</v>
      </c>
      <c r="D32" s="8">
        <f t="shared" si="1"/>
        <v>46150</v>
      </c>
      <c r="E32" s="9">
        <f t="shared" si="2"/>
        <v>46150</v>
      </c>
      <c r="F32" s="10">
        <v>1</v>
      </c>
      <c r="G32" s="11" t="s">
        <v>7</v>
      </c>
      <c r="H32" s="6" t="s">
        <v>9</v>
      </c>
      <c r="I32" s="5" t="s">
        <v>142</v>
      </c>
      <c r="J32">
        <v>30718.800000000003</v>
      </c>
      <c r="K32">
        <f t="shared" si="3"/>
        <v>70653.240000000005</v>
      </c>
      <c r="L32">
        <f t="shared" si="4"/>
        <v>30718.800000000003</v>
      </c>
    </row>
    <row r="33" spans="1:12" ht="42.75" customHeight="1" x14ac:dyDescent="0.25">
      <c r="A33" s="7"/>
      <c r="B33" s="6" t="s">
        <v>439</v>
      </c>
      <c r="C33" s="8">
        <f t="shared" si="0"/>
        <v>17000</v>
      </c>
      <c r="D33" s="8">
        <f t="shared" si="1"/>
        <v>11050</v>
      </c>
      <c r="E33" s="9">
        <f t="shared" si="2"/>
        <v>11050</v>
      </c>
      <c r="F33" s="10">
        <v>1</v>
      </c>
      <c r="G33" s="11" t="s">
        <v>7</v>
      </c>
      <c r="H33" s="6" t="s">
        <v>9</v>
      </c>
      <c r="I33" s="5" t="s">
        <v>142</v>
      </c>
      <c r="J33">
        <v>7246.2</v>
      </c>
      <c r="K33">
        <f t="shared" si="3"/>
        <v>16666.259999999998</v>
      </c>
      <c r="L33">
        <f t="shared" si="4"/>
        <v>7246.2</v>
      </c>
    </row>
    <row r="34" spans="1:12" ht="42.75" customHeight="1" x14ac:dyDescent="0.25">
      <c r="A34" s="7"/>
      <c r="B34" s="6" t="s">
        <v>440</v>
      </c>
      <c r="C34" s="8">
        <f t="shared" si="0"/>
        <v>16000</v>
      </c>
      <c r="D34" s="8">
        <f t="shared" si="1"/>
        <v>10400</v>
      </c>
      <c r="E34" s="9">
        <f t="shared" si="2"/>
        <v>31200</v>
      </c>
      <c r="F34" s="10">
        <v>3</v>
      </c>
      <c r="G34" s="11" t="s">
        <v>7</v>
      </c>
      <c r="H34" s="6" t="s">
        <v>9</v>
      </c>
      <c r="I34" s="5" t="s">
        <v>142</v>
      </c>
      <c r="J34">
        <v>6739.2</v>
      </c>
      <c r="K34">
        <f t="shared" si="3"/>
        <v>15500.159999999998</v>
      </c>
      <c r="L34">
        <f t="shared" si="4"/>
        <v>20217.599999999999</v>
      </c>
    </row>
    <row r="35" spans="1:12" ht="42.75" customHeight="1" x14ac:dyDescent="0.25">
      <c r="A35" s="7"/>
      <c r="B35" s="6" t="s">
        <v>441</v>
      </c>
      <c r="C35" s="8">
        <f t="shared" si="0"/>
        <v>17000</v>
      </c>
      <c r="D35" s="8">
        <f t="shared" si="1"/>
        <v>11050</v>
      </c>
      <c r="E35" s="9">
        <f t="shared" si="2"/>
        <v>44200</v>
      </c>
      <c r="F35" s="10">
        <v>4</v>
      </c>
      <c r="G35" s="11" t="s">
        <v>7</v>
      </c>
      <c r="H35" s="6" t="s">
        <v>9</v>
      </c>
      <c r="I35" s="5" t="s">
        <v>142</v>
      </c>
      <c r="J35">
        <v>7379.4</v>
      </c>
      <c r="K35">
        <f t="shared" si="3"/>
        <v>16972.62</v>
      </c>
      <c r="L35">
        <f t="shared" si="4"/>
        <v>29517.599999999999</v>
      </c>
    </row>
    <row r="36" spans="1:12" ht="42.75" customHeight="1" x14ac:dyDescent="0.25">
      <c r="A36" s="7"/>
      <c r="B36" s="6" t="s">
        <v>442</v>
      </c>
      <c r="C36" s="8">
        <f t="shared" si="0"/>
        <v>17000</v>
      </c>
      <c r="D36" s="8">
        <f t="shared" si="1"/>
        <v>11050</v>
      </c>
      <c r="E36" s="9">
        <f t="shared" si="2"/>
        <v>11050</v>
      </c>
      <c r="F36" s="10">
        <v>1</v>
      </c>
      <c r="G36" s="11" t="s">
        <v>7</v>
      </c>
      <c r="H36" s="6" t="s">
        <v>9</v>
      </c>
      <c r="I36" s="5" t="s">
        <v>142</v>
      </c>
      <c r="J36">
        <v>7316.4</v>
      </c>
      <c r="K36">
        <f t="shared" si="3"/>
        <v>16827.719999999998</v>
      </c>
      <c r="L36">
        <f t="shared" si="4"/>
        <v>7316.4</v>
      </c>
    </row>
    <row r="37" spans="1:12" ht="42.75" customHeight="1" x14ac:dyDescent="0.25">
      <c r="A37" s="7"/>
      <c r="B37" s="6" t="s">
        <v>443</v>
      </c>
      <c r="C37" s="8">
        <f t="shared" si="0"/>
        <v>18000</v>
      </c>
      <c r="D37" s="8">
        <f t="shared" si="1"/>
        <v>11700</v>
      </c>
      <c r="E37" s="9">
        <f t="shared" si="2"/>
        <v>46800</v>
      </c>
      <c r="F37" s="10">
        <v>4</v>
      </c>
      <c r="G37" s="11" t="s">
        <v>7</v>
      </c>
      <c r="H37" s="6" t="s">
        <v>9</v>
      </c>
      <c r="I37" s="5" t="s">
        <v>142</v>
      </c>
      <c r="J37">
        <v>7647.6</v>
      </c>
      <c r="K37">
        <f t="shared" si="3"/>
        <v>17589.48</v>
      </c>
      <c r="L37">
        <f t="shared" si="4"/>
        <v>30590.400000000001</v>
      </c>
    </row>
    <row r="38" spans="1:12" ht="42.75" customHeight="1" x14ac:dyDescent="0.25">
      <c r="A38" s="7"/>
      <c r="B38" s="6" t="s">
        <v>444</v>
      </c>
      <c r="C38" s="8">
        <f t="shared" si="0"/>
        <v>44000</v>
      </c>
      <c r="D38" s="8">
        <f t="shared" si="1"/>
        <v>28600</v>
      </c>
      <c r="E38" s="9">
        <f t="shared" si="2"/>
        <v>28600</v>
      </c>
      <c r="F38" s="10">
        <v>1</v>
      </c>
      <c r="G38" s="11" t="s">
        <v>7</v>
      </c>
      <c r="H38" s="6" t="s">
        <v>9</v>
      </c>
      <c r="I38" s="5" t="s">
        <v>142</v>
      </c>
      <c r="J38">
        <v>18736.8</v>
      </c>
      <c r="K38">
        <f t="shared" si="3"/>
        <v>43094.639999999992</v>
      </c>
      <c r="L38">
        <f t="shared" si="4"/>
        <v>18736.8</v>
      </c>
    </row>
    <row r="39" spans="1:12" ht="42.75" customHeight="1" x14ac:dyDescent="0.25">
      <c r="A39" s="7"/>
      <c r="B39" s="6" t="s">
        <v>445</v>
      </c>
      <c r="C39" s="8">
        <f t="shared" si="0"/>
        <v>40000</v>
      </c>
      <c r="D39" s="8">
        <f t="shared" si="1"/>
        <v>26000</v>
      </c>
      <c r="E39" s="9">
        <f t="shared" si="2"/>
        <v>26000</v>
      </c>
      <c r="F39" s="10">
        <v>1</v>
      </c>
      <c r="G39" s="11" t="s">
        <v>7</v>
      </c>
      <c r="H39" s="6" t="s">
        <v>9</v>
      </c>
      <c r="I39" s="5" t="s">
        <v>142</v>
      </c>
      <c r="J39">
        <v>17268.599999999999</v>
      </c>
      <c r="K39">
        <f t="shared" si="3"/>
        <v>39717.779999999992</v>
      </c>
      <c r="L39">
        <f t="shared" si="4"/>
        <v>17268.599999999999</v>
      </c>
    </row>
    <row r="40" spans="1:12" ht="42.75" customHeight="1" x14ac:dyDescent="0.25">
      <c r="A40" s="7"/>
      <c r="B40" s="6" t="s">
        <v>446</v>
      </c>
      <c r="C40" s="8">
        <f t="shared" si="0"/>
        <v>54000</v>
      </c>
      <c r="D40" s="8">
        <f t="shared" si="1"/>
        <v>35100</v>
      </c>
      <c r="E40" s="9">
        <f t="shared" si="2"/>
        <v>35100</v>
      </c>
      <c r="F40" s="10">
        <v>1</v>
      </c>
      <c r="G40" s="11" t="s">
        <v>7</v>
      </c>
      <c r="H40" s="6" t="s">
        <v>9</v>
      </c>
      <c r="I40" s="5" t="s">
        <v>142</v>
      </c>
      <c r="J40">
        <v>23284.2</v>
      </c>
      <c r="K40">
        <f t="shared" si="3"/>
        <v>53553.659999999996</v>
      </c>
      <c r="L40">
        <f t="shared" si="4"/>
        <v>23284.2</v>
      </c>
    </row>
    <row r="41" spans="1:12" ht="42.75" customHeight="1" x14ac:dyDescent="0.25">
      <c r="A41" s="7"/>
      <c r="B41" s="6" t="s">
        <v>447</v>
      </c>
      <c r="C41" s="8">
        <f t="shared" si="0"/>
        <v>54000</v>
      </c>
      <c r="D41" s="8">
        <f t="shared" si="1"/>
        <v>35100</v>
      </c>
      <c r="E41" s="9">
        <f t="shared" si="2"/>
        <v>35100</v>
      </c>
      <c r="F41" s="10">
        <v>1</v>
      </c>
      <c r="G41" s="11" t="s">
        <v>7</v>
      </c>
      <c r="H41" s="6" t="s">
        <v>9</v>
      </c>
      <c r="I41" s="5" t="s">
        <v>142</v>
      </c>
      <c r="J41">
        <v>23468.400000000001</v>
      </c>
      <c r="K41">
        <f t="shared" si="3"/>
        <v>53977.32</v>
      </c>
      <c r="L41">
        <f t="shared" si="4"/>
        <v>23468.400000000001</v>
      </c>
    </row>
    <row r="42" spans="1:12" ht="42.75" customHeight="1" x14ac:dyDescent="0.25">
      <c r="A42" s="7"/>
      <c r="B42" s="6" t="s">
        <v>448</v>
      </c>
      <c r="C42" s="8">
        <f t="shared" si="0"/>
        <v>81000</v>
      </c>
      <c r="D42" s="8">
        <f t="shared" si="1"/>
        <v>52650</v>
      </c>
      <c r="E42" s="9">
        <f t="shared" si="2"/>
        <v>52650</v>
      </c>
      <c r="F42" s="10">
        <v>1</v>
      </c>
      <c r="G42" s="11" t="s">
        <v>7</v>
      </c>
      <c r="H42" s="6" t="s">
        <v>9</v>
      </c>
      <c r="I42" s="5" t="s">
        <v>142</v>
      </c>
      <c r="J42">
        <v>35122.199999999997</v>
      </c>
      <c r="K42">
        <f t="shared" si="3"/>
        <v>80781.059999999983</v>
      </c>
      <c r="L42">
        <f t="shared" si="4"/>
        <v>35122.199999999997</v>
      </c>
    </row>
    <row r="43" spans="1:12" ht="42.75" customHeight="1" x14ac:dyDescent="0.25">
      <c r="A43" s="7"/>
      <c r="B43" s="6" t="s">
        <v>449</v>
      </c>
      <c r="C43" s="8">
        <f t="shared" si="0"/>
        <v>74000</v>
      </c>
      <c r="D43" s="8">
        <f t="shared" si="1"/>
        <v>48100</v>
      </c>
      <c r="E43" s="9">
        <f t="shared" si="2"/>
        <v>48100</v>
      </c>
      <c r="F43" s="10">
        <v>1</v>
      </c>
      <c r="G43" s="11" t="s">
        <v>7</v>
      </c>
      <c r="H43" s="6" t="s">
        <v>9</v>
      </c>
      <c r="I43" s="5" t="s">
        <v>142</v>
      </c>
      <c r="J43">
        <v>31921.200000000001</v>
      </c>
      <c r="K43">
        <f t="shared" si="3"/>
        <v>73418.759999999995</v>
      </c>
      <c r="L43">
        <f t="shared" si="4"/>
        <v>31921.200000000001</v>
      </c>
    </row>
    <row r="44" spans="1:12" ht="42.75" customHeight="1" x14ac:dyDescent="0.25">
      <c r="A44" s="7"/>
      <c r="B44" s="6" t="s">
        <v>450</v>
      </c>
      <c r="C44" s="8">
        <f t="shared" si="0"/>
        <v>91000</v>
      </c>
      <c r="D44" s="8">
        <f t="shared" si="1"/>
        <v>59150</v>
      </c>
      <c r="E44" s="9">
        <f t="shared" si="2"/>
        <v>59150</v>
      </c>
      <c r="F44" s="10">
        <v>1</v>
      </c>
      <c r="G44" s="11" t="s">
        <v>7</v>
      </c>
      <c r="H44" s="6" t="s">
        <v>9</v>
      </c>
      <c r="I44" s="5" t="s">
        <v>142</v>
      </c>
      <c r="J44">
        <v>39529.800000000003</v>
      </c>
      <c r="K44">
        <f t="shared" si="3"/>
        <v>90918.54</v>
      </c>
      <c r="L44">
        <f t="shared" si="4"/>
        <v>39529.800000000003</v>
      </c>
    </row>
    <row r="45" spans="1:12" ht="42.75" customHeight="1" x14ac:dyDescent="0.25">
      <c r="A45" s="7"/>
      <c r="B45" s="6" t="s">
        <v>451</v>
      </c>
      <c r="C45" s="8">
        <f t="shared" si="0"/>
        <v>126000</v>
      </c>
      <c r="D45" s="8">
        <f t="shared" si="1"/>
        <v>81900</v>
      </c>
      <c r="E45" s="9">
        <f t="shared" si="2"/>
        <v>81900</v>
      </c>
      <c r="F45" s="10">
        <v>1</v>
      </c>
      <c r="G45" s="11" t="s">
        <v>7</v>
      </c>
      <c r="H45" s="6" t="s">
        <v>9</v>
      </c>
      <c r="I45" s="5" t="s">
        <v>142</v>
      </c>
      <c r="J45">
        <v>54779.4</v>
      </c>
      <c r="K45">
        <f t="shared" si="3"/>
        <v>125992.62</v>
      </c>
      <c r="L45">
        <f t="shared" si="4"/>
        <v>54779.4</v>
      </c>
    </row>
    <row r="46" spans="1:12" ht="42.75" customHeight="1" x14ac:dyDescent="0.25">
      <c r="A46" s="7"/>
      <c r="B46" s="6" t="s">
        <v>452</v>
      </c>
      <c r="C46" s="8">
        <f t="shared" si="0"/>
        <v>83000</v>
      </c>
      <c r="D46" s="8">
        <f t="shared" si="1"/>
        <v>53950</v>
      </c>
      <c r="E46" s="9">
        <f t="shared" si="2"/>
        <v>53950</v>
      </c>
      <c r="F46" s="10">
        <v>1</v>
      </c>
      <c r="G46" s="11" t="s">
        <v>7</v>
      </c>
      <c r="H46" s="6" t="s">
        <v>9</v>
      </c>
      <c r="I46" s="5" t="s">
        <v>142</v>
      </c>
      <c r="J46">
        <v>35801.4</v>
      </c>
      <c r="K46">
        <f t="shared" si="3"/>
        <v>82343.22</v>
      </c>
      <c r="L46">
        <f t="shared" si="4"/>
        <v>35801.4</v>
      </c>
    </row>
    <row r="47" spans="1:12" ht="42.75" customHeight="1" x14ac:dyDescent="0.25">
      <c r="A47" s="7"/>
      <c r="B47" s="6" t="s">
        <v>453</v>
      </c>
      <c r="C47" s="8">
        <f t="shared" si="0"/>
        <v>68000</v>
      </c>
      <c r="D47" s="8">
        <f t="shared" si="1"/>
        <v>44200</v>
      </c>
      <c r="E47" s="9">
        <f t="shared" si="2"/>
        <v>44200</v>
      </c>
      <c r="F47" s="10">
        <v>1</v>
      </c>
      <c r="G47" s="11" t="s">
        <v>7</v>
      </c>
      <c r="H47" s="6" t="s">
        <v>9</v>
      </c>
      <c r="I47" s="5" t="s">
        <v>142</v>
      </c>
      <c r="J47">
        <v>29521.8</v>
      </c>
      <c r="K47">
        <f t="shared" si="3"/>
        <v>67900.14</v>
      </c>
      <c r="L47">
        <f t="shared" si="4"/>
        <v>29521.8</v>
      </c>
    </row>
    <row r="48" spans="1:12" ht="42.75" customHeight="1" x14ac:dyDescent="0.25">
      <c r="A48" s="7"/>
      <c r="B48" s="6" t="s">
        <v>454</v>
      </c>
      <c r="C48" s="8">
        <f t="shared" si="0"/>
        <v>602000</v>
      </c>
      <c r="D48" s="8">
        <f t="shared" si="1"/>
        <v>391300</v>
      </c>
      <c r="E48" s="9">
        <f t="shared" si="2"/>
        <v>391300</v>
      </c>
      <c r="F48" s="10">
        <v>1</v>
      </c>
      <c r="G48" s="11" t="s">
        <v>7</v>
      </c>
      <c r="H48" s="6" t="s">
        <v>9</v>
      </c>
      <c r="I48" s="5" t="s">
        <v>142</v>
      </c>
      <c r="J48">
        <v>261591.59999999998</v>
      </c>
      <c r="K48">
        <f t="shared" si="3"/>
        <v>601660.67999999993</v>
      </c>
      <c r="L48">
        <f t="shared" si="4"/>
        <v>261591.59999999998</v>
      </c>
    </row>
    <row r="49" spans="1:12" ht="42.75" customHeight="1" x14ac:dyDescent="0.25">
      <c r="A49" s="7"/>
      <c r="B49" s="6" t="s">
        <v>455</v>
      </c>
      <c r="C49" s="8">
        <f t="shared" si="0"/>
        <v>49000</v>
      </c>
      <c r="D49" s="8">
        <f t="shared" si="1"/>
        <v>31850</v>
      </c>
      <c r="E49" s="9">
        <f t="shared" si="2"/>
        <v>286650</v>
      </c>
      <c r="F49" s="10">
        <v>9</v>
      </c>
      <c r="G49" s="11" t="s">
        <v>7</v>
      </c>
      <c r="H49" s="6" t="s">
        <v>9</v>
      </c>
      <c r="I49" s="5" t="s">
        <v>142</v>
      </c>
      <c r="J49">
        <v>21000</v>
      </c>
      <c r="K49">
        <f t="shared" si="3"/>
        <v>48299.999999999993</v>
      </c>
      <c r="L49">
        <f t="shared" si="4"/>
        <v>189000</v>
      </c>
    </row>
    <row r="50" spans="1:12" ht="42.75" customHeight="1" x14ac:dyDescent="0.25">
      <c r="A50" s="7"/>
      <c r="B50" s="6" t="s">
        <v>320</v>
      </c>
      <c r="C50" s="8">
        <f t="shared" si="0"/>
        <v>725000</v>
      </c>
      <c r="D50" s="8">
        <f t="shared" si="1"/>
        <v>471250</v>
      </c>
      <c r="E50" s="9">
        <f t="shared" si="2"/>
        <v>471250</v>
      </c>
      <c r="F50" s="10">
        <v>1</v>
      </c>
      <c r="G50" s="11" t="s">
        <v>7</v>
      </c>
      <c r="H50" s="6" t="s">
        <v>9</v>
      </c>
      <c r="I50" s="5" t="s">
        <v>196</v>
      </c>
      <c r="J50">
        <v>315140</v>
      </c>
      <c r="K50">
        <f t="shared" si="3"/>
        <v>724822</v>
      </c>
      <c r="L50">
        <f t="shared" si="4"/>
        <v>315140</v>
      </c>
    </row>
    <row r="51" spans="1:12" ht="42.75" customHeight="1" x14ac:dyDescent="0.25">
      <c r="A51" s="7"/>
      <c r="B51" s="6" t="s">
        <v>321</v>
      </c>
      <c r="C51" s="8">
        <f t="shared" si="0"/>
        <v>749000</v>
      </c>
      <c r="D51" s="8">
        <f t="shared" si="1"/>
        <v>486850</v>
      </c>
      <c r="E51" s="9">
        <f t="shared" si="2"/>
        <v>486850</v>
      </c>
      <c r="F51" s="10">
        <v>1</v>
      </c>
      <c r="G51" s="11" t="s">
        <v>7</v>
      </c>
      <c r="H51" s="6" t="s">
        <v>9</v>
      </c>
      <c r="I51" s="5" t="s">
        <v>196</v>
      </c>
      <c r="J51">
        <v>325474.59999999998</v>
      </c>
      <c r="K51">
        <f t="shared" si="3"/>
        <v>748591.57999999984</v>
      </c>
      <c r="L51">
        <f t="shared" si="4"/>
        <v>325474.59999999998</v>
      </c>
    </row>
    <row r="52" spans="1:12" ht="42.75" customHeight="1" x14ac:dyDescent="0.25">
      <c r="A52" s="7"/>
      <c r="B52" s="6" t="s">
        <v>322</v>
      </c>
      <c r="C52" s="8">
        <f t="shared" si="0"/>
        <v>963000</v>
      </c>
      <c r="D52" s="8">
        <f t="shared" si="1"/>
        <v>625950</v>
      </c>
      <c r="E52" s="9">
        <f t="shared" si="2"/>
        <v>625950</v>
      </c>
      <c r="F52" s="10">
        <v>1</v>
      </c>
      <c r="G52" s="11" t="s">
        <v>7</v>
      </c>
      <c r="H52" s="6" t="s">
        <v>9</v>
      </c>
      <c r="I52" s="5" t="s">
        <v>196</v>
      </c>
      <c r="J52">
        <v>418695.2</v>
      </c>
      <c r="K52">
        <f t="shared" si="3"/>
        <v>962998.96</v>
      </c>
      <c r="L52">
        <f t="shared" si="4"/>
        <v>418695.2</v>
      </c>
    </row>
    <row r="53" spans="1:12" ht="42.75" customHeight="1" x14ac:dyDescent="0.25">
      <c r="A53" s="7"/>
      <c r="B53" s="6" t="s">
        <v>323</v>
      </c>
      <c r="C53" s="8">
        <f t="shared" si="0"/>
        <v>454000</v>
      </c>
      <c r="D53" s="8">
        <f t="shared" si="1"/>
        <v>295100</v>
      </c>
      <c r="E53" s="9">
        <f t="shared" si="2"/>
        <v>295100</v>
      </c>
      <c r="F53" s="10">
        <v>1</v>
      </c>
      <c r="G53" s="11" t="s">
        <v>7</v>
      </c>
      <c r="H53" s="6" t="s">
        <v>9</v>
      </c>
      <c r="I53" s="5" t="s">
        <v>196</v>
      </c>
      <c r="J53">
        <v>197281</v>
      </c>
      <c r="K53">
        <f t="shared" si="3"/>
        <v>453746.3</v>
      </c>
      <c r="L53">
        <f t="shared" si="4"/>
        <v>197281</v>
      </c>
    </row>
    <row r="54" spans="1:12" ht="42.75" customHeight="1" x14ac:dyDescent="0.25">
      <c r="A54" s="7"/>
      <c r="B54" s="6" t="s">
        <v>324</v>
      </c>
      <c r="C54" s="8">
        <f t="shared" si="0"/>
        <v>505000</v>
      </c>
      <c r="D54" s="8">
        <f t="shared" si="1"/>
        <v>328250</v>
      </c>
      <c r="E54" s="9">
        <f t="shared" si="2"/>
        <v>328250</v>
      </c>
      <c r="F54" s="10">
        <v>1</v>
      </c>
      <c r="G54" s="11" t="s">
        <v>7</v>
      </c>
      <c r="H54" s="6" t="s">
        <v>9</v>
      </c>
      <c r="I54" s="5" t="s">
        <v>196</v>
      </c>
      <c r="J54">
        <v>219279</v>
      </c>
      <c r="K54">
        <f t="shared" si="3"/>
        <v>504341.69999999995</v>
      </c>
      <c r="L54">
        <f t="shared" si="4"/>
        <v>219279</v>
      </c>
    </row>
    <row r="55" spans="1:12" ht="42.75" customHeight="1" x14ac:dyDescent="0.25">
      <c r="A55" s="7"/>
      <c r="B55" s="6" t="s">
        <v>325</v>
      </c>
      <c r="C55" s="8">
        <f t="shared" si="0"/>
        <v>281000</v>
      </c>
      <c r="D55" s="8">
        <f t="shared" si="1"/>
        <v>182650</v>
      </c>
      <c r="E55" s="9">
        <f t="shared" si="2"/>
        <v>182650</v>
      </c>
      <c r="F55" s="10">
        <v>1</v>
      </c>
      <c r="G55" s="11" t="s">
        <v>7</v>
      </c>
      <c r="H55" s="6" t="s">
        <v>9</v>
      </c>
      <c r="I55" s="5" t="s">
        <v>196</v>
      </c>
      <c r="J55">
        <v>121988.99999999999</v>
      </c>
      <c r="K55">
        <f t="shared" si="3"/>
        <v>280574.69999999995</v>
      </c>
      <c r="L55">
        <f t="shared" si="4"/>
        <v>121988.99999999999</v>
      </c>
    </row>
    <row r="56" spans="1:12" ht="42.75" customHeight="1" x14ac:dyDescent="0.25">
      <c r="A56" s="7"/>
      <c r="B56" s="6" t="s">
        <v>326</v>
      </c>
      <c r="C56" s="8">
        <f t="shared" si="0"/>
        <v>289000</v>
      </c>
      <c r="D56" s="8">
        <f t="shared" si="1"/>
        <v>187850</v>
      </c>
      <c r="E56" s="9">
        <f t="shared" si="2"/>
        <v>187850</v>
      </c>
      <c r="F56" s="10">
        <v>1</v>
      </c>
      <c r="G56" s="11" t="s">
        <v>7</v>
      </c>
      <c r="H56" s="6" t="s">
        <v>9</v>
      </c>
      <c r="I56" s="5" t="s">
        <v>196</v>
      </c>
      <c r="J56">
        <v>125228.4</v>
      </c>
      <c r="K56">
        <f t="shared" si="3"/>
        <v>288025.31999999995</v>
      </c>
      <c r="L56">
        <f t="shared" si="4"/>
        <v>125228.4</v>
      </c>
    </row>
    <row r="57" spans="1:12" ht="42.75" customHeight="1" x14ac:dyDescent="0.25">
      <c r="A57" s="7"/>
      <c r="B57" s="6" t="s">
        <v>327</v>
      </c>
      <c r="C57" s="8">
        <f t="shared" si="0"/>
        <v>434000</v>
      </c>
      <c r="D57" s="8">
        <f t="shared" si="1"/>
        <v>282100</v>
      </c>
      <c r="E57" s="9">
        <f t="shared" si="2"/>
        <v>282100</v>
      </c>
      <c r="F57" s="10">
        <v>1</v>
      </c>
      <c r="G57" s="11" t="s">
        <v>7</v>
      </c>
      <c r="H57" s="6" t="s">
        <v>9</v>
      </c>
      <c r="I57" s="5" t="s">
        <v>196</v>
      </c>
      <c r="J57">
        <v>188281</v>
      </c>
      <c r="K57">
        <f t="shared" si="3"/>
        <v>433046.3</v>
      </c>
      <c r="L57">
        <f t="shared" si="4"/>
        <v>188281</v>
      </c>
    </row>
    <row r="58" spans="1:12" ht="42.75" customHeight="1" x14ac:dyDescent="0.25">
      <c r="A58" s="7"/>
      <c r="B58" s="6" t="s">
        <v>328</v>
      </c>
      <c r="C58" s="8">
        <f t="shared" si="0"/>
        <v>222000</v>
      </c>
      <c r="D58" s="8">
        <f t="shared" si="1"/>
        <v>144300</v>
      </c>
      <c r="E58" s="9">
        <f t="shared" si="2"/>
        <v>144300</v>
      </c>
      <c r="F58" s="10">
        <v>1</v>
      </c>
      <c r="G58" s="11" t="s">
        <v>7</v>
      </c>
      <c r="H58" s="6" t="s">
        <v>9</v>
      </c>
      <c r="I58" s="5" t="s">
        <v>196</v>
      </c>
      <c r="J58">
        <v>96435.6</v>
      </c>
      <c r="K58">
        <f t="shared" si="3"/>
        <v>221801.88</v>
      </c>
      <c r="L58">
        <f t="shared" si="4"/>
        <v>96435.6</v>
      </c>
    </row>
    <row r="59" spans="1:12" ht="42.75" customHeight="1" x14ac:dyDescent="0.25">
      <c r="A59" s="7"/>
      <c r="B59" s="6" t="s">
        <v>329</v>
      </c>
      <c r="C59" s="8">
        <f t="shared" si="0"/>
        <v>58000</v>
      </c>
      <c r="D59" s="8">
        <f t="shared" si="1"/>
        <v>37700</v>
      </c>
      <c r="E59" s="9">
        <f t="shared" si="2"/>
        <v>37700</v>
      </c>
      <c r="F59" s="10">
        <v>1</v>
      </c>
      <c r="G59" s="11" t="s">
        <v>7</v>
      </c>
      <c r="H59" s="6" t="s">
        <v>9</v>
      </c>
      <c r="I59" s="5" t="s">
        <v>196</v>
      </c>
      <c r="J59">
        <v>25053.200000000001</v>
      </c>
      <c r="K59">
        <f t="shared" si="3"/>
        <v>57622.36</v>
      </c>
      <c r="L59">
        <f t="shared" si="4"/>
        <v>25053.200000000001</v>
      </c>
    </row>
    <row r="60" spans="1:12" ht="42.75" customHeight="1" x14ac:dyDescent="0.25">
      <c r="A60" s="7"/>
      <c r="B60" s="6" t="s">
        <v>330</v>
      </c>
      <c r="C60" s="8">
        <f t="shared" si="0"/>
        <v>53000</v>
      </c>
      <c r="D60" s="8">
        <f t="shared" si="1"/>
        <v>34450</v>
      </c>
      <c r="E60" s="9">
        <f t="shared" si="2"/>
        <v>34450</v>
      </c>
      <c r="F60" s="10">
        <v>1</v>
      </c>
      <c r="G60" s="11" t="s">
        <v>7</v>
      </c>
      <c r="H60" s="6" t="s">
        <v>9</v>
      </c>
      <c r="I60" s="5" t="s">
        <v>196</v>
      </c>
      <c r="J60">
        <v>22842.2</v>
      </c>
      <c r="K60">
        <f t="shared" si="3"/>
        <v>52537.06</v>
      </c>
      <c r="L60">
        <f t="shared" si="4"/>
        <v>22842.2</v>
      </c>
    </row>
    <row r="61" spans="1:12" ht="42.75" customHeight="1" x14ac:dyDescent="0.25">
      <c r="A61" s="7"/>
      <c r="B61" s="6" t="s">
        <v>331</v>
      </c>
      <c r="C61" s="8">
        <f t="shared" si="0"/>
        <v>56000</v>
      </c>
      <c r="D61" s="8">
        <f t="shared" si="1"/>
        <v>36400</v>
      </c>
      <c r="E61" s="9">
        <f t="shared" si="2"/>
        <v>36400</v>
      </c>
      <c r="F61" s="10">
        <v>1</v>
      </c>
      <c r="G61" s="11" t="s">
        <v>7</v>
      </c>
      <c r="H61" s="6" t="s">
        <v>9</v>
      </c>
      <c r="I61" s="5" t="s">
        <v>196</v>
      </c>
      <c r="J61">
        <v>24181.200000000001</v>
      </c>
      <c r="K61">
        <f t="shared" si="3"/>
        <v>55616.759999999995</v>
      </c>
      <c r="L61">
        <f t="shared" si="4"/>
        <v>24181.200000000001</v>
      </c>
    </row>
    <row r="62" spans="1:12" ht="42.75" customHeight="1" x14ac:dyDescent="0.25">
      <c r="A62" s="7"/>
      <c r="B62" s="6" t="s">
        <v>332</v>
      </c>
      <c r="C62" s="8">
        <f t="shared" si="0"/>
        <v>62000</v>
      </c>
      <c r="D62" s="8">
        <f t="shared" si="1"/>
        <v>40300</v>
      </c>
      <c r="E62" s="9">
        <f t="shared" si="2"/>
        <v>40300</v>
      </c>
      <c r="F62" s="10">
        <v>1</v>
      </c>
      <c r="G62" s="11" t="s">
        <v>7</v>
      </c>
      <c r="H62" s="6" t="s">
        <v>9</v>
      </c>
      <c r="I62" s="5" t="s">
        <v>196</v>
      </c>
      <c r="J62">
        <v>26676</v>
      </c>
      <c r="K62">
        <f t="shared" si="3"/>
        <v>61354.799999999996</v>
      </c>
      <c r="L62">
        <f t="shared" si="4"/>
        <v>26676</v>
      </c>
    </row>
    <row r="63" spans="1:12" ht="42.75" customHeight="1" x14ac:dyDescent="0.25">
      <c r="A63" s="7"/>
      <c r="B63" s="6" t="s">
        <v>333</v>
      </c>
      <c r="C63" s="8">
        <f t="shared" si="0"/>
        <v>77000</v>
      </c>
      <c r="D63" s="8">
        <f t="shared" si="1"/>
        <v>50050</v>
      </c>
      <c r="E63" s="9">
        <f t="shared" si="2"/>
        <v>50050</v>
      </c>
      <c r="F63" s="10">
        <v>1</v>
      </c>
      <c r="G63" s="11" t="s">
        <v>7</v>
      </c>
      <c r="H63" s="6" t="s">
        <v>9</v>
      </c>
      <c r="I63" s="5" t="s">
        <v>196</v>
      </c>
      <c r="J63">
        <v>33121.199999999997</v>
      </c>
      <c r="K63">
        <f t="shared" si="3"/>
        <v>76178.75999999998</v>
      </c>
      <c r="L63">
        <f t="shared" si="4"/>
        <v>33121.199999999997</v>
      </c>
    </row>
    <row r="64" spans="1:12" ht="42.75" customHeight="1" x14ac:dyDescent="0.25">
      <c r="A64" s="7"/>
      <c r="B64" s="6" t="s">
        <v>334</v>
      </c>
      <c r="C64" s="8">
        <f t="shared" si="0"/>
        <v>65000</v>
      </c>
      <c r="D64" s="8">
        <f t="shared" si="1"/>
        <v>42250</v>
      </c>
      <c r="E64" s="9">
        <f t="shared" si="2"/>
        <v>42250</v>
      </c>
      <c r="F64" s="10">
        <v>1</v>
      </c>
      <c r="G64" s="11" t="s">
        <v>7</v>
      </c>
      <c r="H64" s="6" t="s">
        <v>9</v>
      </c>
      <c r="I64" s="5" t="s">
        <v>196</v>
      </c>
      <c r="J64">
        <v>28189.800000000003</v>
      </c>
      <c r="K64">
        <f t="shared" si="3"/>
        <v>64836.54</v>
      </c>
      <c r="L64">
        <f t="shared" si="4"/>
        <v>28189.800000000003</v>
      </c>
    </row>
    <row r="65" spans="1:12" ht="42.75" customHeight="1" x14ac:dyDescent="0.25">
      <c r="A65" s="7"/>
      <c r="B65" s="6" t="s">
        <v>335</v>
      </c>
      <c r="C65" s="8">
        <f t="shared" si="0"/>
        <v>20000</v>
      </c>
      <c r="D65" s="8">
        <f t="shared" si="1"/>
        <v>13000</v>
      </c>
      <c r="E65" s="9">
        <f t="shared" si="2"/>
        <v>13000</v>
      </c>
      <c r="F65" s="10">
        <v>1</v>
      </c>
      <c r="G65" s="11" t="s">
        <v>7</v>
      </c>
      <c r="H65" s="6" t="s">
        <v>9</v>
      </c>
      <c r="I65" s="5" t="s">
        <v>196</v>
      </c>
      <c r="J65">
        <v>8515.2000000000007</v>
      </c>
      <c r="K65">
        <f t="shared" si="3"/>
        <v>19584.96</v>
      </c>
      <c r="L65">
        <f t="shared" si="4"/>
        <v>8515.2000000000007</v>
      </c>
    </row>
    <row r="66" spans="1:12" ht="42.75" customHeight="1" x14ac:dyDescent="0.25">
      <c r="A66" s="7"/>
      <c r="B66" s="6" t="s">
        <v>336</v>
      </c>
      <c r="C66" s="8">
        <f t="shared" si="0"/>
        <v>21000</v>
      </c>
      <c r="D66" s="8">
        <f t="shared" si="1"/>
        <v>13650</v>
      </c>
      <c r="E66" s="9">
        <f t="shared" si="2"/>
        <v>13650</v>
      </c>
      <c r="F66" s="10">
        <v>1</v>
      </c>
      <c r="G66" s="11" t="s">
        <v>7</v>
      </c>
      <c r="H66" s="6" t="s">
        <v>9</v>
      </c>
      <c r="I66" s="5" t="s">
        <v>196</v>
      </c>
      <c r="J66">
        <v>9022.2000000000007</v>
      </c>
      <c r="K66">
        <f t="shared" si="3"/>
        <v>20751.060000000001</v>
      </c>
      <c r="L66">
        <f t="shared" si="4"/>
        <v>9022.2000000000007</v>
      </c>
    </row>
    <row r="67" spans="1:12" ht="42.75" customHeight="1" x14ac:dyDescent="0.25">
      <c r="A67" s="7"/>
      <c r="B67" s="6" t="s">
        <v>334</v>
      </c>
      <c r="C67" s="8">
        <f t="shared" ref="C67:C130" si="5">ROUNDUP(K67,-3)</f>
        <v>20000</v>
      </c>
      <c r="D67" s="8">
        <f t="shared" ref="D67:D130" si="6">0.65*C67</f>
        <v>13000</v>
      </c>
      <c r="E67" s="9">
        <f t="shared" ref="E67:E130" si="7">D67*F67</f>
        <v>13000</v>
      </c>
      <c r="F67" s="10">
        <v>1</v>
      </c>
      <c r="G67" s="11" t="s">
        <v>7</v>
      </c>
      <c r="H67" s="6" t="s">
        <v>9</v>
      </c>
      <c r="I67" s="5" t="s">
        <v>196</v>
      </c>
      <c r="J67">
        <v>8515.2000000000007</v>
      </c>
      <c r="K67">
        <f t="shared" ref="K67:K130" si="8">2.3*J67</f>
        <v>19584.96</v>
      </c>
      <c r="L67">
        <f t="shared" ref="L67:L130" si="9">J67*F67</f>
        <v>8515.2000000000007</v>
      </c>
    </row>
    <row r="68" spans="1:12" ht="42.75" customHeight="1" x14ac:dyDescent="0.25">
      <c r="A68" s="7"/>
      <c r="B68" s="6" t="s">
        <v>337</v>
      </c>
      <c r="C68" s="8">
        <f t="shared" si="5"/>
        <v>22000</v>
      </c>
      <c r="D68" s="8">
        <f t="shared" si="6"/>
        <v>14300</v>
      </c>
      <c r="E68" s="9">
        <f t="shared" si="7"/>
        <v>14300</v>
      </c>
      <c r="F68" s="10">
        <v>1</v>
      </c>
      <c r="G68" s="11" t="s">
        <v>7</v>
      </c>
      <c r="H68" s="6" t="s">
        <v>9</v>
      </c>
      <c r="I68" s="5" t="s">
        <v>196</v>
      </c>
      <c r="J68">
        <v>9155.4</v>
      </c>
      <c r="K68">
        <f t="shared" si="8"/>
        <v>21057.42</v>
      </c>
      <c r="L68">
        <f t="shared" si="9"/>
        <v>9155.4</v>
      </c>
    </row>
    <row r="69" spans="1:12" ht="42.75" customHeight="1" x14ac:dyDescent="0.25">
      <c r="A69" s="7"/>
      <c r="B69" s="6" t="s">
        <v>338</v>
      </c>
      <c r="C69" s="8">
        <f t="shared" si="5"/>
        <v>279000</v>
      </c>
      <c r="D69" s="8">
        <f t="shared" si="6"/>
        <v>181350</v>
      </c>
      <c r="E69" s="9">
        <f t="shared" si="7"/>
        <v>1450800</v>
      </c>
      <c r="F69" s="10">
        <v>8</v>
      </c>
      <c r="G69" s="11" t="s">
        <v>7</v>
      </c>
      <c r="H69" s="6" t="s">
        <v>9</v>
      </c>
      <c r="I69" s="5" t="s">
        <v>196</v>
      </c>
      <c r="J69">
        <v>120910.2</v>
      </c>
      <c r="K69">
        <f t="shared" si="8"/>
        <v>278093.45999999996</v>
      </c>
      <c r="L69">
        <f t="shared" si="9"/>
        <v>967281.6</v>
      </c>
    </row>
    <row r="70" spans="1:12" ht="42.75" customHeight="1" x14ac:dyDescent="0.25">
      <c r="A70" s="7"/>
      <c r="B70" s="6" t="s">
        <v>339</v>
      </c>
      <c r="C70" s="8">
        <f t="shared" si="5"/>
        <v>61000</v>
      </c>
      <c r="D70" s="8">
        <f t="shared" si="6"/>
        <v>39650</v>
      </c>
      <c r="E70" s="9">
        <f t="shared" si="7"/>
        <v>1268800</v>
      </c>
      <c r="F70" s="10">
        <v>32</v>
      </c>
      <c r="G70" s="11" t="s">
        <v>7</v>
      </c>
      <c r="H70" s="6" t="s">
        <v>9</v>
      </c>
      <c r="I70" s="5" t="s">
        <v>196</v>
      </c>
      <c r="J70">
        <v>26215.8</v>
      </c>
      <c r="K70">
        <f t="shared" si="8"/>
        <v>60296.34</v>
      </c>
      <c r="L70">
        <f t="shared" si="9"/>
        <v>838905.6</v>
      </c>
    </row>
    <row r="71" spans="1:12" ht="42.75" customHeight="1" x14ac:dyDescent="0.25">
      <c r="A71" s="7"/>
      <c r="B71" s="6" t="s">
        <v>340</v>
      </c>
      <c r="C71" s="8">
        <f t="shared" si="5"/>
        <v>69000</v>
      </c>
      <c r="D71" s="8">
        <f t="shared" si="6"/>
        <v>44850</v>
      </c>
      <c r="E71" s="9">
        <f t="shared" si="7"/>
        <v>358800</v>
      </c>
      <c r="F71" s="10">
        <v>8</v>
      </c>
      <c r="G71" s="11" t="s">
        <v>7</v>
      </c>
      <c r="H71" s="6" t="s">
        <v>9</v>
      </c>
      <c r="I71" s="5" t="s">
        <v>196</v>
      </c>
      <c r="J71">
        <v>29894.400000000001</v>
      </c>
      <c r="K71">
        <f t="shared" si="8"/>
        <v>68757.119999999995</v>
      </c>
      <c r="L71">
        <f t="shared" si="9"/>
        <v>239155.20000000001</v>
      </c>
    </row>
    <row r="72" spans="1:12" ht="42.75" customHeight="1" x14ac:dyDescent="0.25">
      <c r="A72" s="7"/>
      <c r="B72" s="6" t="s">
        <v>407</v>
      </c>
      <c r="C72" s="8">
        <f t="shared" si="5"/>
        <v>49000</v>
      </c>
      <c r="D72" s="8">
        <f t="shared" si="6"/>
        <v>31850</v>
      </c>
      <c r="E72" s="9">
        <f t="shared" si="7"/>
        <v>31850</v>
      </c>
      <c r="F72" s="10">
        <v>1</v>
      </c>
      <c r="G72" s="11" t="s">
        <v>7</v>
      </c>
      <c r="H72" s="6" t="s">
        <v>9</v>
      </c>
      <c r="I72" s="5" t="s">
        <v>196</v>
      </c>
      <c r="J72">
        <v>21000</v>
      </c>
      <c r="K72">
        <f t="shared" si="8"/>
        <v>48299.999999999993</v>
      </c>
      <c r="L72">
        <f t="shared" si="9"/>
        <v>21000</v>
      </c>
    </row>
    <row r="73" spans="1:12" ht="42.75" customHeight="1" x14ac:dyDescent="0.25">
      <c r="A73" s="7"/>
      <c r="B73" s="6" t="s">
        <v>341</v>
      </c>
      <c r="C73" s="8">
        <f t="shared" si="5"/>
        <v>59000</v>
      </c>
      <c r="D73" s="8">
        <f t="shared" si="6"/>
        <v>38350</v>
      </c>
      <c r="E73" s="9">
        <f t="shared" si="7"/>
        <v>38350</v>
      </c>
      <c r="F73" s="10">
        <v>1</v>
      </c>
      <c r="G73" s="11" t="s">
        <v>7</v>
      </c>
      <c r="H73" s="6" t="s">
        <v>9</v>
      </c>
      <c r="I73" s="5" t="s">
        <v>197</v>
      </c>
      <c r="J73">
        <v>25638.2</v>
      </c>
      <c r="K73">
        <f t="shared" si="8"/>
        <v>58967.86</v>
      </c>
      <c r="L73">
        <f t="shared" si="9"/>
        <v>25638.2</v>
      </c>
    </row>
    <row r="74" spans="1:12" ht="42.75" customHeight="1" x14ac:dyDescent="0.25">
      <c r="A74" s="7"/>
      <c r="B74" s="6" t="s">
        <v>342</v>
      </c>
      <c r="C74" s="8">
        <f t="shared" si="5"/>
        <v>62000</v>
      </c>
      <c r="D74" s="8">
        <f t="shared" si="6"/>
        <v>40300</v>
      </c>
      <c r="E74" s="9">
        <f t="shared" si="7"/>
        <v>40300</v>
      </c>
      <c r="F74" s="10">
        <v>1</v>
      </c>
      <c r="G74" s="11" t="s">
        <v>7</v>
      </c>
      <c r="H74" s="6" t="s">
        <v>9</v>
      </c>
      <c r="I74" s="5" t="s">
        <v>197</v>
      </c>
      <c r="J74">
        <v>26868.2</v>
      </c>
      <c r="K74">
        <f t="shared" si="8"/>
        <v>61796.859999999993</v>
      </c>
      <c r="L74">
        <f t="shared" si="9"/>
        <v>26868.2</v>
      </c>
    </row>
    <row r="75" spans="1:12" ht="42.75" customHeight="1" x14ac:dyDescent="0.25">
      <c r="A75" s="7"/>
      <c r="B75" s="6" t="s">
        <v>343</v>
      </c>
      <c r="C75" s="8">
        <f t="shared" si="5"/>
        <v>56000</v>
      </c>
      <c r="D75" s="8">
        <f t="shared" si="6"/>
        <v>36400</v>
      </c>
      <c r="E75" s="9">
        <f t="shared" si="7"/>
        <v>36400</v>
      </c>
      <c r="F75" s="10">
        <v>1</v>
      </c>
      <c r="G75" s="11" t="s">
        <v>7</v>
      </c>
      <c r="H75" s="6" t="s">
        <v>9</v>
      </c>
      <c r="I75" s="5" t="s">
        <v>197</v>
      </c>
      <c r="J75">
        <v>24181.200000000001</v>
      </c>
      <c r="K75">
        <f t="shared" si="8"/>
        <v>55616.759999999995</v>
      </c>
      <c r="L75">
        <f t="shared" si="9"/>
        <v>24181.200000000001</v>
      </c>
    </row>
    <row r="76" spans="1:12" ht="42.75" customHeight="1" x14ac:dyDescent="0.25">
      <c r="A76" s="7"/>
      <c r="B76" s="6" t="s">
        <v>344</v>
      </c>
      <c r="C76" s="8">
        <f t="shared" si="5"/>
        <v>69000</v>
      </c>
      <c r="D76" s="8">
        <f t="shared" si="6"/>
        <v>44850</v>
      </c>
      <c r="E76" s="9">
        <f t="shared" si="7"/>
        <v>44850</v>
      </c>
      <c r="F76" s="10">
        <v>1</v>
      </c>
      <c r="G76" s="11" t="s">
        <v>7</v>
      </c>
      <c r="H76" s="6" t="s">
        <v>9</v>
      </c>
      <c r="I76" s="5" t="s">
        <v>197</v>
      </c>
      <c r="J76">
        <v>29754</v>
      </c>
      <c r="K76">
        <f t="shared" si="8"/>
        <v>68434.2</v>
      </c>
      <c r="L76">
        <f t="shared" si="9"/>
        <v>29754</v>
      </c>
    </row>
    <row r="77" spans="1:12" ht="42.75" customHeight="1" x14ac:dyDescent="0.25">
      <c r="A77" s="7"/>
      <c r="B77" s="6" t="s">
        <v>345</v>
      </c>
      <c r="C77" s="8">
        <f t="shared" si="5"/>
        <v>20000</v>
      </c>
      <c r="D77" s="8">
        <f t="shared" si="6"/>
        <v>13000</v>
      </c>
      <c r="E77" s="9">
        <f t="shared" si="7"/>
        <v>13000</v>
      </c>
      <c r="F77" s="10">
        <v>1</v>
      </c>
      <c r="G77" s="11" t="s">
        <v>7</v>
      </c>
      <c r="H77" s="6" t="s">
        <v>9</v>
      </c>
      <c r="I77" s="5" t="s">
        <v>196</v>
      </c>
      <c r="J77">
        <v>8515.2000000000007</v>
      </c>
      <c r="K77">
        <f t="shared" si="8"/>
        <v>19584.96</v>
      </c>
      <c r="L77">
        <f t="shared" si="9"/>
        <v>8515.2000000000007</v>
      </c>
    </row>
    <row r="78" spans="1:12" ht="42.75" customHeight="1" x14ac:dyDescent="0.25">
      <c r="A78" s="7"/>
      <c r="B78" s="6" t="s">
        <v>346</v>
      </c>
      <c r="C78" s="8">
        <f t="shared" si="5"/>
        <v>20000</v>
      </c>
      <c r="D78" s="8">
        <f t="shared" si="6"/>
        <v>13000</v>
      </c>
      <c r="E78" s="9">
        <f t="shared" si="7"/>
        <v>13000</v>
      </c>
      <c r="F78" s="10">
        <v>1</v>
      </c>
      <c r="G78" s="11" t="s">
        <v>7</v>
      </c>
      <c r="H78" s="6" t="s">
        <v>9</v>
      </c>
      <c r="I78" s="5" t="s">
        <v>196</v>
      </c>
      <c r="J78">
        <v>8515.2000000000007</v>
      </c>
      <c r="K78">
        <f t="shared" si="8"/>
        <v>19584.96</v>
      </c>
      <c r="L78">
        <f t="shared" si="9"/>
        <v>8515.2000000000007</v>
      </c>
    </row>
    <row r="79" spans="1:12" ht="42.75" customHeight="1" x14ac:dyDescent="0.25">
      <c r="A79" s="7"/>
      <c r="B79" s="6" t="s">
        <v>347</v>
      </c>
      <c r="C79" s="8">
        <f t="shared" si="5"/>
        <v>21000</v>
      </c>
      <c r="D79" s="8">
        <f t="shared" si="6"/>
        <v>13650</v>
      </c>
      <c r="E79" s="9">
        <f t="shared" si="7"/>
        <v>13650</v>
      </c>
      <c r="F79" s="10">
        <v>1</v>
      </c>
      <c r="G79" s="11" t="s">
        <v>7</v>
      </c>
      <c r="H79" s="6" t="s">
        <v>9</v>
      </c>
      <c r="I79" s="5" t="s">
        <v>196</v>
      </c>
      <c r="J79">
        <v>9022.2000000000007</v>
      </c>
      <c r="K79">
        <f t="shared" si="8"/>
        <v>20751.060000000001</v>
      </c>
      <c r="L79">
        <f t="shared" si="9"/>
        <v>9022.2000000000007</v>
      </c>
    </row>
    <row r="80" spans="1:12" ht="42.75" customHeight="1" x14ac:dyDescent="0.25">
      <c r="A80" s="7"/>
      <c r="B80" s="6" t="s">
        <v>348</v>
      </c>
      <c r="C80" s="8">
        <f t="shared" si="5"/>
        <v>200000</v>
      </c>
      <c r="D80" s="8">
        <f t="shared" si="6"/>
        <v>130000</v>
      </c>
      <c r="E80" s="9">
        <f t="shared" si="7"/>
        <v>1040000</v>
      </c>
      <c r="F80" s="10">
        <v>8</v>
      </c>
      <c r="G80" s="11" t="s">
        <v>7</v>
      </c>
      <c r="H80" s="6" t="s">
        <v>9</v>
      </c>
      <c r="I80" s="5" t="s">
        <v>197</v>
      </c>
      <c r="J80">
        <v>86569.8</v>
      </c>
      <c r="K80">
        <f t="shared" si="8"/>
        <v>199110.53999999998</v>
      </c>
      <c r="L80">
        <f t="shared" si="9"/>
        <v>692558.4</v>
      </c>
    </row>
    <row r="81" spans="1:12" ht="42.75" customHeight="1" x14ac:dyDescent="0.25">
      <c r="A81" s="7"/>
      <c r="B81" s="6" t="s">
        <v>349</v>
      </c>
      <c r="C81" s="8">
        <f t="shared" si="5"/>
        <v>60000</v>
      </c>
      <c r="D81" s="8">
        <f t="shared" si="6"/>
        <v>39000</v>
      </c>
      <c r="E81" s="9">
        <f t="shared" si="7"/>
        <v>1872000</v>
      </c>
      <c r="F81" s="10">
        <v>48</v>
      </c>
      <c r="G81" s="11" t="s">
        <v>7</v>
      </c>
      <c r="H81" s="6" t="s">
        <v>9</v>
      </c>
      <c r="I81" s="5" t="s">
        <v>197</v>
      </c>
      <c r="J81">
        <v>25738.199999999997</v>
      </c>
      <c r="K81">
        <f t="shared" si="8"/>
        <v>59197.859999999986</v>
      </c>
      <c r="L81">
        <f t="shared" si="9"/>
        <v>1235433.5999999999</v>
      </c>
    </row>
    <row r="82" spans="1:12" ht="42.75" customHeight="1" x14ac:dyDescent="0.25">
      <c r="A82" s="7"/>
      <c r="B82" s="6" t="s">
        <v>350</v>
      </c>
      <c r="C82" s="8">
        <f t="shared" si="5"/>
        <v>69000</v>
      </c>
      <c r="D82" s="8">
        <f t="shared" si="6"/>
        <v>44850</v>
      </c>
      <c r="E82" s="9">
        <f t="shared" si="7"/>
        <v>717600</v>
      </c>
      <c r="F82" s="10">
        <v>16</v>
      </c>
      <c r="G82" s="11" t="s">
        <v>7</v>
      </c>
      <c r="H82" s="6" t="s">
        <v>9</v>
      </c>
      <c r="I82" s="5" t="s">
        <v>197</v>
      </c>
      <c r="J82">
        <v>29894.400000000001</v>
      </c>
      <c r="K82">
        <f t="shared" si="8"/>
        <v>68757.119999999995</v>
      </c>
      <c r="L82">
        <f t="shared" si="9"/>
        <v>478310.40000000002</v>
      </c>
    </row>
    <row r="83" spans="1:12" ht="42.75" customHeight="1" x14ac:dyDescent="0.25">
      <c r="A83" s="7"/>
      <c r="B83" s="6" t="s">
        <v>408</v>
      </c>
      <c r="C83" s="8">
        <f t="shared" si="5"/>
        <v>49000</v>
      </c>
      <c r="D83" s="8">
        <f t="shared" si="6"/>
        <v>31850</v>
      </c>
      <c r="E83" s="9">
        <f t="shared" si="7"/>
        <v>31850</v>
      </c>
      <c r="F83" s="10">
        <v>1</v>
      </c>
      <c r="G83" s="11" t="s">
        <v>7</v>
      </c>
      <c r="H83" s="6" t="s">
        <v>9</v>
      </c>
      <c r="I83" s="5" t="s">
        <v>197</v>
      </c>
      <c r="J83">
        <v>21000</v>
      </c>
      <c r="K83">
        <f t="shared" si="8"/>
        <v>48299.999999999993</v>
      </c>
      <c r="L83">
        <f t="shared" si="9"/>
        <v>21000</v>
      </c>
    </row>
    <row r="84" spans="1:12" ht="42.75" customHeight="1" x14ac:dyDescent="0.25">
      <c r="A84" s="7"/>
      <c r="B84" s="6" t="s">
        <v>351</v>
      </c>
      <c r="C84" s="8">
        <f t="shared" si="5"/>
        <v>58000</v>
      </c>
      <c r="D84" s="8">
        <f t="shared" si="6"/>
        <v>37700</v>
      </c>
      <c r="E84" s="9">
        <f t="shared" si="7"/>
        <v>37700</v>
      </c>
      <c r="F84" s="10">
        <v>1</v>
      </c>
      <c r="G84" s="11" t="s">
        <v>7</v>
      </c>
      <c r="H84" s="6" t="s">
        <v>9</v>
      </c>
      <c r="I84" s="5" t="s">
        <v>200</v>
      </c>
      <c r="J84">
        <v>25053.200000000001</v>
      </c>
      <c r="K84">
        <f t="shared" si="8"/>
        <v>57622.36</v>
      </c>
      <c r="L84">
        <f t="shared" si="9"/>
        <v>25053.200000000001</v>
      </c>
    </row>
    <row r="85" spans="1:12" ht="42.75" customHeight="1" x14ac:dyDescent="0.25">
      <c r="A85" s="7"/>
      <c r="B85" s="6" t="s">
        <v>499</v>
      </c>
      <c r="C85" s="8">
        <f t="shared" si="5"/>
        <v>62000</v>
      </c>
      <c r="D85" s="8">
        <f t="shared" si="6"/>
        <v>40300</v>
      </c>
      <c r="E85" s="9">
        <f t="shared" si="7"/>
        <v>40300</v>
      </c>
      <c r="F85" s="10">
        <v>1</v>
      </c>
      <c r="G85" s="11" t="s">
        <v>7</v>
      </c>
      <c r="H85" s="6" t="s">
        <v>9</v>
      </c>
      <c r="I85" s="5" t="s">
        <v>200</v>
      </c>
      <c r="J85">
        <v>26868.2</v>
      </c>
      <c r="K85">
        <f t="shared" si="8"/>
        <v>61796.859999999993</v>
      </c>
      <c r="L85">
        <f t="shared" si="9"/>
        <v>26868.2</v>
      </c>
    </row>
    <row r="86" spans="1:12" ht="42.75" customHeight="1" x14ac:dyDescent="0.25">
      <c r="A86" s="7"/>
      <c r="B86" s="6" t="s">
        <v>352</v>
      </c>
      <c r="C86" s="8">
        <f t="shared" si="5"/>
        <v>56000</v>
      </c>
      <c r="D86" s="8">
        <f t="shared" si="6"/>
        <v>36400</v>
      </c>
      <c r="E86" s="9">
        <f t="shared" si="7"/>
        <v>36400</v>
      </c>
      <c r="F86" s="10">
        <v>1</v>
      </c>
      <c r="G86" s="11" t="s">
        <v>7</v>
      </c>
      <c r="H86" s="6" t="s">
        <v>9</v>
      </c>
      <c r="I86" s="5" t="s">
        <v>200</v>
      </c>
      <c r="J86">
        <v>24181.200000000001</v>
      </c>
      <c r="K86">
        <f t="shared" si="8"/>
        <v>55616.759999999995</v>
      </c>
      <c r="L86">
        <f t="shared" si="9"/>
        <v>24181.200000000001</v>
      </c>
    </row>
    <row r="87" spans="1:12" ht="42.75" customHeight="1" x14ac:dyDescent="0.25">
      <c r="A87" s="7"/>
      <c r="B87" s="6" t="s">
        <v>353</v>
      </c>
      <c r="C87" s="8">
        <f t="shared" si="5"/>
        <v>108000</v>
      </c>
      <c r="D87" s="8">
        <f t="shared" si="6"/>
        <v>70200</v>
      </c>
      <c r="E87" s="9">
        <f t="shared" si="7"/>
        <v>70200</v>
      </c>
      <c r="F87" s="10">
        <v>1</v>
      </c>
      <c r="G87" s="11" t="s">
        <v>7</v>
      </c>
      <c r="H87" s="6" t="s">
        <v>9</v>
      </c>
      <c r="I87" s="5" t="s">
        <v>200</v>
      </c>
      <c r="J87">
        <v>46596.6</v>
      </c>
      <c r="K87">
        <f t="shared" si="8"/>
        <v>107172.18</v>
      </c>
      <c r="L87">
        <f t="shared" si="9"/>
        <v>46596.6</v>
      </c>
    </row>
    <row r="88" spans="1:12" ht="42.75" customHeight="1" x14ac:dyDescent="0.25">
      <c r="A88" s="7"/>
      <c r="B88" s="6" t="s">
        <v>354</v>
      </c>
      <c r="C88" s="8">
        <f t="shared" si="5"/>
        <v>238000</v>
      </c>
      <c r="D88" s="8">
        <f t="shared" si="6"/>
        <v>154700</v>
      </c>
      <c r="E88" s="9">
        <f t="shared" si="7"/>
        <v>154700</v>
      </c>
      <c r="F88" s="10">
        <v>1</v>
      </c>
      <c r="G88" s="11" t="s">
        <v>7</v>
      </c>
      <c r="H88" s="6" t="s">
        <v>9</v>
      </c>
      <c r="I88" s="5" t="s">
        <v>200</v>
      </c>
      <c r="J88">
        <v>103065</v>
      </c>
      <c r="K88">
        <f t="shared" si="8"/>
        <v>237049.49999999997</v>
      </c>
      <c r="L88">
        <f t="shared" si="9"/>
        <v>103065</v>
      </c>
    </row>
    <row r="89" spans="1:12" ht="42.75" customHeight="1" x14ac:dyDescent="0.25">
      <c r="A89" s="7"/>
      <c r="B89" s="6" t="s">
        <v>355</v>
      </c>
      <c r="C89" s="8">
        <f t="shared" si="5"/>
        <v>175000</v>
      </c>
      <c r="D89" s="8">
        <f t="shared" si="6"/>
        <v>113750</v>
      </c>
      <c r="E89" s="9">
        <f t="shared" si="7"/>
        <v>910000</v>
      </c>
      <c r="F89" s="10">
        <v>8</v>
      </c>
      <c r="G89" s="11" t="s">
        <v>7</v>
      </c>
      <c r="H89" s="6" t="s">
        <v>9</v>
      </c>
      <c r="I89" s="5" t="s">
        <v>200</v>
      </c>
      <c r="J89">
        <v>75975</v>
      </c>
      <c r="K89">
        <f t="shared" si="8"/>
        <v>174742.5</v>
      </c>
      <c r="L89">
        <f t="shared" si="9"/>
        <v>607800</v>
      </c>
    </row>
    <row r="90" spans="1:12" ht="42.75" customHeight="1" x14ac:dyDescent="0.25">
      <c r="A90" s="7"/>
      <c r="B90" s="6" t="s">
        <v>356</v>
      </c>
      <c r="C90" s="8">
        <f t="shared" si="5"/>
        <v>61000</v>
      </c>
      <c r="D90" s="8">
        <f t="shared" si="6"/>
        <v>39650</v>
      </c>
      <c r="E90" s="9">
        <f t="shared" si="7"/>
        <v>951600</v>
      </c>
      <c r="F90" s="10">
        <v>24</v>
      </c>
      <c r="G90" s="11" t="s">
        <v>7</v>
      </c>
      <c r="H90" s="6" t="s">
        <v>9</v>
      </c>
      <c r="I90" s="5" t="s">
        <v>200</v>
      </c>
      <c r="J90">
        <v>26215.8</v>
      </c>
      <c r="K90">
        <f t="shared" si="8"/>
        <v>60296.34</v>
      </c>
      <c r="L90">
        <f t="shared" si="9"/>
        <v>629179.19999999995</v>
      </c>
    </row>
    <row r="91" spans="1:12" ht="42.75" customHeight="1" x14ac:dyDescent="0.25">
      <c r="A91" s="7"/>
      <c r="B91" s="6" t="s">
        <v>357</v>
      </c>
      <c r="C91" s="8">
        <f t="shared" si="5"/>
        <v>69000</v>
      </c>
      <c r="D91" s="8">
        <f t="shared" si="6"/>
        <v>44850</v>
      </c>
      <c r="E91" s="9">
        <f t="shared" si="7"/>
        <v>358800</v>
      </c>
      <c r="F91" s="10">
        <v>8</v>
      </c>
      <c r="G91" s="11" t="s">
        <v>7</v>
      </c>
      <c r="H91" s="6" t="s">
        <v>9</v>
      </c>
      <c r="I91" s="5" t="s">
        <v>200</v>
      </c>
      <c r="J91">
        <v>29894.400000000001</v>
      </c>
      <c r="K91">
        <f t="shared" si="8"/>
        <v>68757.119999999995</v>
      </c>
      <c r="L91">
        <f t="shared" si="9"/>
        <v>239155.20000000001</v>
      </c>
    </row>
    <row r="92" spans="1:12" ht="42.75" customHeight="1" x14ac:dyDescent="0.25">
      <c r="A92" s="7"/>
      <c r="B92" s="6" t="s">
        <v>358</v>
      </c>
      <c r="C92" s="8">
        <f t="shared" si="5"/>
        <v>20000</v>
      </c>
      <c r="D92" s="8">
        <f t="shared" si="6"/>
        <v>13000</v>
      </c>
      <c r="E92" s="9">
        <f t="shared" si="7"/>
        <v>26000</v>
      </c>
      <c r="F92" s="10">
        <v>2</v>
      </c>
      <c r="G92" s="11" t="s">
        <v>7</v>
      </c>
      <c r="H92" s="6" t="s">
        <v>9</v>
      </c>
      <c r="I92" s="5" t="s">
        <v>196</v>
      </c>
      <c r="J92">
        <v>8515.2000000000007</v>
      </c>
      <c r="K92">
        <f t="shared" si="8"/>
        <v>19584.96</v>
      </c>
      <c r="L92">
        <f t="shared" si="9"/>
        <v>17030.400000000001</v>
      </c>
    </row>
    <row r="93" spans="1:12" ht="42.75" customHeight="1" x14ac:dyDescent="0.25">
      <c r="A93" s="7"/>
      <c r="B93" s="6" t="s">
        <v>359</v>
      </c>
      <c r="C93" s="8">
        <f t="shared" si="5"/>
        <v>20000</v>
      </c>
      <c r="D93" s="8">
        <f t="shared" si="6"/>
        <v>13000</v>
      </c>
      <c r="E93" s="9">
        <f t="shared" si="7"/>
        <v>13000</v>
      </c>
      <c r="F93" s="10">
        <v>1</v>
      </c>
      <c r="G93" s="11" t="s">
        <v>7</v>
      </c>
      <c r="H93" s="6" t="s">
        <v>9</v>
      </c>
      <c r="I93" s="5" t="s">
        <v>196</v>
      </c>
      <c r="J93">
        <v>8515.2000000000007</v>
      </c>
      <c r="K93">
        <f t="shared" si="8"/>
        <v>19584.96</v>
      </c>
      <c r="L93">
        <f t="shared" si="9"/>
        <v>8515.2000000000007</v>
      </c>
    </row>
    <row r="94" spans="1:12" ht="42.75" customHeight="1" x14ac:dyDescent="0.25">
      <c r="A94" s="7"/>
      <c r="B94" s="6" t="s">
        <v>406</v>
      </c>
      <c r="C94" s="8">
        <f t="shared" si="5"/>
        <v>49000</v>
      </c>
      <c r="D94" s="8">
        <f t="shared" si="6"/>
        <v>31850</v>
      </c>
      <c r="E94" s="9">
        <f t="shared" si="7"/>
        <v>95550</v>
      </c>
      <c r="F94" s="10">
        <v>3</v>
      </c>
      <c r="G94" s="11" t="s">
        <v>7</v>
      </c>
      <c r="H94" s="6" t="s">
        <v>9</v>
      </c>
      <c r="I94" s="5" t="s">
        <v>200</v>
      </c>
      <c r="J94">
        <v>21000</v>
      </c>
      <c r="K94">
        <f t="shared" si="8"/>
        <v>48299.999999999993</v>
      </c>
      <c r="L94">
        <f t="shared" si="9"/>
        <v>63000</v>
      </c>
    </row>
    <row r="95" spans="1:12" ht="42.75" customHeight="1" x14ac:dyDescent="0.25">
      <c r="A95" s="7"/>
      <c r="B95" s="6" t="s">
        <v>405</v>
      </c>
      <c r="C95" s="8">
        <f t="shared" si="5"/>
        <v>49000</v>
      </c>
      <c r="D95" s="8">
        <f t="shared" si="6"/>
        <v>31850</v>
      </c>
      <c r="E95" s="9">
        <f t="shared" si="7"/>
        <v>31850</v>
      </c>
      <c r="F95" s="10">
        <v>1</v>
      </c>
      <c r="G95" s="11" t="s">
        <v>7</v>
      </c>
      <c r="H95" s="6" t="s">
        <v>9</v>
      </c>
      <c r="I95" s="5" t="s">
        <v>200</v>
      </c>
      <c r="J95">
        <v>21000</v>
      </c>
      <c r="K95">
        <f t="shared" si="8"/>
        <v>48299.999999999993</v>
      </c>
      <c r="L95">
        <f t="shared" si="9"/>
        <v>21000</v>
      </c>
    </row>
    <row r="96" spans="1:12" ht="42.75" customHeight="1" x14ac:dyDescent="0.25">
      <c r="A96" s="7"/>
      <c r="B96" s="6" t="s">
        <v>360</v>
      </c>
      <c r="C96" s="8">
        <f t="shared" si="5"/>
        <v>729000</v>
      </c>
      <c r="D96" s="8">
        <f t="shared" si="6"/>
        <v>473850</v>
      </c>
      <c r="E96" s="9">
        <f t="shared" si="7"/>
        <v>473850</v>
      </c>
      <c r="F96" s="10">
        <v>1</v>
      </c>
      <c r="G96" s="11" t="s">
        <v>7</v>
      </c>
      <c r="H96" s="6" t="s">
        <v>9</v>
      </c>
      <c r="I96" s="5" t="s">
        <v>218</v>
      </c>
      <c r="J96">
        <v>316598.59999999998</v>
      </c>
      <c r="K96">
        <f t="shared" si="8"/>
        <v>728176.77999999991</v>
      </c>
      <c r="L96">
        <f t="shared" si="9"/>
        <v>316598.59999999998</v>
      </c>
    </row>
    <row r="97" spans="1:12" ht="42.75" customHeight="1" x14ac:dyDescent="0.25">
      <c r="A97" s="7"/>
      <c r="B97" s="6" t="s">
        <v>361</v>
      </c>
      <c r="C97" s="8">
        <f t="shared" si="5"/>
        <v>716000</v>
      </c>
      <c r="D97" s="8">
        <f t="shared" si="6"/>
        <v>465400</v>
      </c>
      <c r="E97" s="9">
        <f t="shared" si="7"/>
        <v>465400</v>
      </c>
      <c r="F97" s="10">
        <v>1</v>
      </c>
      <c r="G97" s="11" t="s">
        <v>7</v>
      </c>
      <c r="H97" s="6" t="s">
        <v>9</v>
      </c>
      <c r="I97" s="5" t="s">
        <v>218</v>
      </c>
      <c r="J97">
        <v>311069.40000000002</v>
      </c>
      <c r="K97">
        <f t="shared" si="8"/>
        <v>715459.62</v>
      </c>
      <c r="L97">
        <f t="shared" si="9"/>
        <v>311069.40000000002</v>
      </c>
    </row>
    <row r="98" spans="1:12" ht="42.75" customHeight="1" x14ac:dyDescent="0.25">
      <c r="A98" s="7"/>
      <c r="B98" s="6" t="s">
        <v>362</v>
      </c>
      <c r="C98" s="8">
        <f t="shared" si="5"/>
        <v>1030000</v>
      </c>
      <c r="D98" s="8">
        <f t="shared" si="6"/>
        <v>669500</v>
      </c>
      <c r="E98" s="9">
        <f t="shared" si="7"/>
        <v>669500</v>
      </c>
      <c r="F98" s="10">
        <v>1</v>
      </c>
      <c r="G98" s="11" t="s">
        <v>7</v>
      </c>
      <c r="H98" s="6" t="s">
        <v>9</v>
      </c>
      <c r="I98" s="5" t="s">
        <v>218</v>
      </c>
      <c r="J98">
        <v>447773.60000000015</v>
      </c>
      <c r="K98">
        <f t="shared" si="8"/>
        <v>1029879.2800000003</v>
      </c>
      <c r="L98">
        <f t="shared" si="9"/>
        <v>447773.60000000015</v>
      </c>
    </row>
    <row r="99" spans="1:12" ht="42.75" customHeight="1" x14ac:dyDescent="0.25">
      <c r="A99" s="7"/>
      <c r="B99" s="6" t="s">
        <v>363</v>
      </c>
      <c r="C99" s="8">
        <f t="shared" si="5"/>
        <v>522000</v>
      </c>
      <c r="D99" s="8">
        <f t="shared" si="6"/>
        <v>339300</v>
      </c>
      <c r="E99" s="9">
        <f t="shared" si="7"/>
        <v>339300</v>
      </c>
      <c r="F99" s="10">
        <v>1</v>
      </c>
      <c r="G99" s="11" t="s">
        <v>7</v>
      </c>
      <c r="H99" s="6" t="s">
        <v>9</v>
      </c>
      <c r="I99" s="5" t="s">
        <v>218</v>
      </c>
      <c r="J99">
        <v>226748.2</v>
      </c>
      <c r="K99">
        <f t="shared" si="8"/>
        <v>521520.86</v>
      </c>
      <c r="L99">
        <f t="shared" si="9"/>
        <v>226748.2</v>
      </c>
    </row>
    <row r="100" spans="1:12" ht="42.75" customHeight="1" x14ac:dyDescent="0.25">
      <c r="A100" s="7"/>
      <c r="B100" s="6" t="s">
        <v>364</v>
      </c>
      <c r="C100" s="8">
        <f t="shared" si="5"/>
        <v>553000</v>
      </c>
      <c r="D100" s="8">
        <f t="shared" si="6"/>
        <v>359450</v>
      </c>
      <c r="E100" s="9">
        <f t="shared" si="7"/>
        <v>359450</v>
      </c>
      <c r="F100" s="10">
        <v>1</v>
      </c>
      <c r="G100" s="11" t="s">
        <v>7</v>
      </c>
      <c r="H100" s="6" t="s">
        <v>9</v>
      </c>
      <c r="I100" s="5" t="s">
        <v>218</v>
      </c>
      <c r="J100">
        <v>240010.19999999998</v>
      </c>
      <c r="K100">
        <f t="shared" si="8"/>
        <v>552023.46</v>
      </c>
      <c r="L100">
        <f t="shared" si="9"/>
        <v>240010.19999999998</v>
      </c>
    </row>
    <row r="101" spans="1:12" ht="42.75" customHeight="1" x14ac:dyDescent="0.25">
      <c r="A101" s="7"/>
      <c r="B101" s="6" t="s">
        <v>365</v>
      </c>
      <c r="C101" s="8">
        <f t="shared" si="5"/>
        <v>243000</v>
      </c>
      <c r="D101" s="8">
        <f t="shared" si="6"/>
        <v>157950</v>
      </c>
      <c r="E101" s="9">
        <f t="shared" si="7"/>
        <v>157950</v>
      </c>
      <c r="F101" s="10">
        <v>1</v>
      </c>
      <c r="G101" s="11" t="s">
        <v>7</v>
      </c>
      <c r="H101" s="6" t="s">
        <v>9</v>
      </c>
      <c r="I101" s="5" t="s">
        <v>218</v>
      </c>
      <c r="J101">
        <v>105379.2</v>
      </c>
      <c r="K101">
        <f t="shared" si="8"/>
        <v>242372.15999999997</v>
      </c>
      <c r="L101">
        <f t="shared" si="9"/>
        <v>105379.2</v>
      </c>
    </row>
    <row r="102" spans="1:12" ht="42.75" customHeight="1" x14ac:dyDescent="0.25">
      <c r="A102" s="7"/>
      <c r="B102" s="6" t="s">
        <v>366</v>
      </c>
      <c r="C102" s="8">
        <f t="shared" si="5"/>
        <v>273000</v>
      </c>
      <c r="D102" s="8">
        <f t="shared" si="6"/>
        <v>177450</v>
      </c>
      <c r="E102" s="9">
        <f t="shared" si="7"/>
        <v>177450</v>
      </c>
      <c r="F102" s="10">
        <v>1</v>
      </c>
      <c r="G102" s="11" t="s">
        <v>7</v>
      </c>
      <c r="H102" s="6" t="s">
        <v>9</v>
      </c>
      <c r="I102" s="5" t="s">
        <v>218</v>
      </c>
      <c r="J102">
        <v>118331.4</v>
      </c>
      <c r="K102">
        <f t="shared" si="8"/>
        <v>272162.21999999997</v>
      </c>
      <c r="L102">
        <f t="shared" si="9"/>
        <v>118331.4</v>
      </c>
    </row>
    <row r="103" spans="1:12" ht="42.75" customHeight="1" x14ac:dyDescent="0.25">
      <c r="A103" s="7"/>
      <c r="B103" s="6" t="s">
        <v>367</v>
      </c>
      <c r="C103" s="8">
        <f t="shared" si="5"/>
        <v>59000</v>
      </c>
      <c r="D103" s="8">
        <f t="shared" si="6"/>
        <v>38350</v>
      </c>
      <c r="E103" s="9">
        <f t="shared" si="7"/>
        <v>38350</v>
      </c>
      <c r="F103" s="10">
        <v>1</v>
      </c>
      <c r="G103" s="11" t="s">
        <v>7</v>
      </c>
      <c r="H103" s="6" t="s">
        <v>9</v>
      </c>
      <c r="I103" s="5" t="s">
        <v>218</v>
      </c>
      <c r="J103">
        <v>25638.2</v>
      </c>
      <c r="K103">
        <f t="shared" si="8"/>
        <v>58967.86</v>
      </c>
      <c r="L103">
        <f t="shared" si="9"/>
        <v>25638.2</v>
      </c>
    </row>
    <row r="104" spans="1:12" ht="42.75" customHeight="1" x14ac:dyDescent="0.25">
      <c r="A104" s="7"/>
      <c r="B104" s="6" t="s">
        <v>368</v>
      </c>
      <c r="C104" s="8">
        <f t="shared" si="5"/>
        <v>64000</v>
      </c>
      <c r="D104" s="8">
        <f t="shared" si="6"/>
        <v>41600</v>
      </c>
      <c r="E104" s="9">
        <f t="shared" si="7"/>
        <v>41600</v>
      </c>
      <c r="F104" s="10">
        <v>1</v>
      </c>
      <c r="G104" s="11" t="s">
        <v>7</v>
      </c>
      <c r="H104" s="6" t="s">
        <v>9</v>
      </c>
      <c r="I104" s="5" t="s">
        <v>218</v>
      </c>
      <c r="J104">
        <v>27453.200000000001</v>
      </c>
      <c r="K104">
        <f t="shared" si="8"/>
        <v>63142.359999999993</v>
      </c>
      <c r="L104">
        <f t="shared" si="9"/>
        <v>27453.200000000001</v>
      </c>
    </row>
    <row r="105" spans="1:12" ht="42.75" customHeight="1" x14ac:dyDescent="0.25">
      <c r="A105" s="7"/>
      <c r="B105" s="6" t="s">
        <v>369</v>
      </c>
      <c r="C105" s="8">
        <f t="shared" si="5"/>
        <v>56000</v>
      </c>
      <c r="D105" s="8">
        <f t="shared" si="6"/>
        <v>36400</v>
      </c>
      <c r="E105" s="9">
        <f t="shared" si="7"/>
        <v>36400</v>
      </c>
      <c r="F105" s="10">
        <v>1</v>
      </c>
      <c r="G105" s="11" t="s">
        <v>7</v>
      </c>
      <c r="H105" s="6" t="s">
        <v>9</v>
      </c>
      <c r="I105" s="5" t="s">
        <v>218</v>
      </c>
      <c r="J105">
        <v>24181.200000000001</v>
      </c>
      <c r="K105">
        <f t="shared" si="8"/>
        <v>55616.759999999995</v>
      </c>
      <c r="L105">
        <f t="shared" si="9"/>
        <v>24181.200000000001</v>
      </c>
    </row>
    <row r="106" spans="1:12" ht="42.75" customHeight="1" x14ac:dyDescent="0.25">
      <c r="A106" s="7"/>
      <c r="B106" s="6" t="s">
        <v>370</v>
      </c>
      <c r="C106" s="8">
        <f t="shared" si="5"/>
        <v>76000</v>
      </c>
      <c r="D106" s="8">
        <f t="shared" si="6"/>
        <v>49400</v>
      </c>
      <c r="E106" s="9">
        <f t="shared" si="7"/>
        <v>49400</v>
      </c>
      <c r="F106" s="10">
        <v>1</v>
      </c>
      <c r="G106" s="11" t="s">
        <v>7</v>
      </c>
      <c r="H106" s="6" t="s">
        <v>9</v>
      </c>
      <c r="I106" s="5" t="s">
        <v>218</v>
      </c>
      <c r="J106">
        <v>32770.199999999997</v>
      </c>
      <c r="K106">
        <f t="shared" si="8"/>
        <v>75371.459999999992</v>
      </c>
      <c r="L106">
        <f t="shared" si="9"/>
        <v>32770.199999999997</v>
      </c>
    </row>
    <row r="107" spans="1:12" ht="42.75" customHeight="1" x14ac:dyDescent="0.25">
      <c r="A107" s="7"/>
      <c r="B107" s="6" t="s">
        <v>371</v>
      </c>
      <c r="C107" s="8">
        <f t="shared" si="5"/>
        <v>196000</v>
      </c>
      <c r="D107" s="8">
        <f t="shared" si="6"/>
        <v>127400</v>
      </c>
      <c r="E107" s="9">
        <f t="shared" si="7"/>
        <v>127400</v>
      </c>
      <c r="F107" s="10">
        <v>1</v>
      </c>
      <c r="G107" s="11" t="s">
        <v>7</v>
      </c>
      <c r="H107" s="6" t="s">
        <v>9</v>
      </c>
      <c r="I107" s="5" t="s">
        <v>218</v>
      </c>
      <c r="J107">
        <v>85175.6</v>
      </c>
      <c r="K107">
        <f t="shared" si="8"/>
        <v>195903.88</v>
      </c>
      <c r="L107">
        <f t="shared" si="9"/>
        <v>85175.6</v>
      </c>
    </row>
    <row r="108" spans="1:12" ht="42.75" customHeight="1" x14ac:dyDescent="0.25">
      <c r="A108" s="7"/>
      <c r="B108" s="6" t="s">
        <v>372</v>
      </c>
      <c r="C108" s="8">
        <f t="shared" si="5"/>
        <v>293000</v>
      </c>
      <c r="D108" s="8">
        <f t="shared" si="6"/>
        <v>190450</v>
      </c>
      <c r="E108" s="9">
        <f t="shared" si="7"/>
        <v>190450</v>
      </c>
      <c r="F108" s="10">
        <v>1</v>
      </c>
      <c r="G108" s="11" t="s">
        <v>7</v>
      </c>
      <c r="H108" s="6" t="s">
        <v>9</v>
      </c>
      <c r="I108" s="5" t="s">
        <v>218</v>
      </c>
      <c r="J108">
        <v>127065</v>
      </c>
      <c r="K108">
        <f t="shared" si="8"/>
        <v>292249.5</v>
      </c>
      <c r="L108">
        <f t="shared" si="9"/>
        <v>127065</v>
      </c>
    </row>
    <row r="109" spans="1:12" ht="42.75" customHeight="1" x14ac:dyDescent="0.25">
      <c r="A109" s="7"/>
      <c r="B109" s="6" t="s">
        <v>373</v>
      </c>
      <c r="C109" s="8">
        <f t="shared" si="5"/>
        <v>185000</v>
      </c>
      <c r="D109" s="8">
        <f t="shared" si="6"/>
        <v>120250</v>
      </c>
      <c r="E109" s="9">
        <f t="shared" si="7"/>
        <v>120250</v>
      </c>
      <c r="F109" s="10">
        <v>1</v>
      </c>
      <c r="G109" s="11" t="s">
        <v>7</v>
      </c>
      <c r="H109" s="6" t="s">
        <v>9</v>
      </c>
      <c r="I109" s="5" t="s">
        <v>218</v>
      </c>
      <c r="J109">
        <v>80264.399999999994</v>
      </c>
      <c r="K109">
        <f t="shared" si="8"/>
        <v>184608.11999999997</v>
      </c>
      <c r="L109">
        <f t="shared" si="9"/>
        <v>80264.399999999994</v>
      </c>
    </row>
    <row r="110" spans="1:12" ht="42.75" customHeight="1" x14ac:dyDescent="0.25">
      <c r="A110" s="7"/>
      <c r="B110" s="6" t="s">
        <v>374</v>
      </c>
      <c r="C110" s="8">
        <f t="shared" si="5"/>
        <v>200000</v>
      </c>
      <c r="D110" s="8">
        <f t="shared" si="6"/>
        <v>130000</v>
      </c>
      <c r="E110" s="9">
        <f t="shared" si="7"/>
        <v>1040000</v>
      </c>
      <c r="F110" s="10">
        <v>8</v>
      </c>
      <c r="G110" s="11" t="s">
        <v>7</v>
      </c>
      <c r="H110" s="6" t="s">
        <v>9</v>
      </c>
      <c r="I110" s="5" t="s">
        <v>218</v>
      </c>
      <c r="J110">
        <v>86569.8</v>
      </c>
      <c r="K110">
        <f t="shared" si="8"/>
        <v>199110.53999999998</v>
      </c>
      <c r="L110">
        <f t="shared" si="9"/>
        <v>692558.4</v>
      </c>
    </row>
    <row r="111" spans="1:12" ht="42.75" customHeight="1" x14ac:dyDescent="0.25">
      <c r="A111" s="7"/>
      <c r="B111" s="6" t="s">
        <v>375</v>
      </c>
      <c r="C111" s="8">
        <f t="shared" si="5"/>
        <v>58000</v>
      </c>
      <c r="D111" s="8">
        <f t="shared" si="6"/>
        <v>37700</v>
      </c>
      <c r="E111" s="9">
        <f t="shared" si="7"/>
        <v>1658800</v>
      </c>
      <c r="F111" s="10">
        <v>44</v>
      </c>
      <c r="G111" s="11" t="s">
        <v>7</v>
      </c>
      <c r="H111" s="6" t="s">
        <v>9</v>
      </c>
      <c r="I111" s="5" t="s">
        <v>218</v>
      </c>
      <c r="J111">
        <v>24866.400000000001</v>
      </c>
      <c r="K111">
        <f t="shared" si="8"/>
        <v>57192.72</v>
      </c>
      <c r="L111">
        <f t="shared" si="9"/>
        <v>1094121.6000000001</v>
      </c>
    </row>
    <row r="112" spans="1:12" ht="42.75" customHeight="1" x14ac:dyDescent="0.25">
      <c r="A112" s="7"/>
      <c r="B112" s="6" t="s">
        <v>376</v>
      </c>
      <c r="C112" s="8">
        <f t="shared" si="5"/>
        <v>21000</v>
      </c>
      <c r="D112" s="8">
        <f t="shared" si="6"/>
        <v>13650</v>
      </c>
      <c r="E112" s="9">
        <f t="shared" si="7"/>
        <v>13650</v>
      </c>
      <c r="F112" s="10">
        <v>1</v>
      </c>
      <c r="G112" s="11" t="s">
        <v>7</v>
      </c>
      <c r="H112" s="6" t="s">
        <v>9</v>
      </c>
      <c r="I112" s="5" t="s">
        <v>218</v>
      </c>
      <c r="J112">
        <v>9092.4</v>
      </c>
      <c r="K112">
        <f t="shared" si="8"/>
        <v>20912.519999999997</v>
      </c>
      <c r="L112">
        <f t="shared" si="9"/>
        <v>9092.4</v>
      </c>
    </row>
    <row r="113" spans="1:12" ht="42.75" customHeight="1" x14ac:dyDescent="0.25">
      <c r="A113" s="7"/>
      <c r="B113" s="6" t="s">
        <v>377</v>
      </c>
      <c r="C113" s="8">
        <f t="shared" si="5"/>
        <v>20000</v>
      </c>
      <c r="D113" s="8">
        <f t="shared" si="6"/>
        <v>13000</v>
      </c>
      <c r="E113" s="9">
        <f t="shared" si="7"/>
        <v>13000</v>
      </c>
      <c r="F113" s="10">
        <v>1</v>
      </c>
      <c r="G113" s="11" t="s">
        <v>7</v>
      </c>
      <c r="H113" s="6" t="s">
        <v>9</v>
      </c>
      <c r="I113" s="5" t="s">
        <v>218</v>
      </c>
      <c r="J113">
        <v>8515.2000000000007</v>
      </c>
      <c r="K113">
        <f t="shared" si="8"/>
        <v>19584.96</v>
      </c>
      <c r="L113">
        <f t="shared" si="9"/>
        <v>8515.2000000000007</v>
      </c>
    </row>
    <row r="114" spans="1:12" ht="42.75" customHeight="1" x14ac:dyDescent="0.25">
      <c r="A114" s="7"/>
      <c r="B114" s="6" t="s">
        <v>404</v>
      </c>
      <c r="C114" s="8">
        <f t="shared" si="5"/>
        <v>49000</v>
      </c>
      <c r="D114" s="8">
        <f t="shared" si="6"/>
        <v>31850</v>
      </c>
      <c r="E114" s="9">
        <f t="shared" si="7"/>
        <v>95550</v>
      </c>
      <c r="F114" s="10">
        <v>3</v>
      </c>
      <c r="G114" s="11" t="s">
        <v>7</v>
      </c>
      <c r="H114" s="6" t="s">
        <v>9</v>
      </c>
      <c r="I114" s="5" t="s">
        <v>218</v>
      </c>
      <c r="J114">
        <v>21000</v>
      </c>
      <c r="K114">
        <f t="shared" si="8"/>
        <v>48299.999999999993</v>
      </c>
      <c r="L114">
        <f t="shared" si="9"/>
        <v>63000</v>
      </c>
    </row>
    <row r="115" spans="1:12" ht="42.75" customHeight="1" x14ac:dyDescent="0.25">
      <c r="A115" s="7"/>
      <c r="B115" s="6" t="s">
        <v>378</v>
      </c>
      <c r="C115" s="8">
        <f t="shared" si="5"/>
        <v>101000</v>
      </c>
      <c r="D115" s="8">
        <f t="shared" si="6"/>
        <v>65650</v>
      </c>
      <c r="E115" s="9">
        <f t="shared" si="7"/>
        <v>65650</v>
      </c>
      <c r="F115" s="10">
        <v>1</v>
      </c>
      <c r="G115" s="11" t="s">
        <v>7</v>
      </c>
      <c r="H115" s="6" t="s">
        <v>9</v>
      </c>
      <c r="I115" s="5" t="s">
        <v>221</v>
      </c>
      <c r="J115">
        <v>43638.2</v>
      </c>
      <c r="K115">
        <f t="shared" si="8"/>
        <v>100367.85999999999</v>
      </c>
      <c r="L115">
        <f t="shared" si="9"/>
        <v>43638.2</v>
      </c>
    </row>
    <row r="116" spans="1:12" ht="42.75" customHeight="1" x14ac:dyDescent="0.25">
      <c r="A116" s="7"/>
      <c r="B116" s="6" t="s">
        <v>379</v>
      </c>
      <c r="C116" s="8">
        <f t="shared" si="5"/>
        <v>64000</v>
      </c>
      <c r="D116" s="8">
        <f t="shared" si="6"/>
        <v>41600</v>
      </c>
      <c r="E116" s="9">
        <f t="shared" si="7"/>
        <v>41600</v>
      </c>
      <c r="F116" s="10">
        <v>1</v>
      </c>
      <c r="G116" s="11" t="s">
        <v>7</v>
      </c>
      <c r="H116" s="6" t="s">
        <v>9</v>
      </c>
      <c r="I116" s="5" t="s">
        <v>221</v>
      </c>
      <c r="J116">
        <v>27453.200000000001</v>
      </c>
      <c r="K116">
        <f t="shared" si="8"/>
        <v>63142.359999999993</v>
      </c>
      <c r="L116">
        <f t="shared" si="9"/>
        <v>27453.200000000001</v>
      </c>
    </row>
    <row r="117" spans="1:12" ht="42.75" customHeight="1" x14ac:dyDescent="0.25">
      <c r="A117" s="7"/>
      <c r="B117" s="6" t="s">
        <v>380</v>
      </c>
      <c r="C117" s="8">
        <f t="shared" si="5"/>
        <v>56000</v>
      </c>
      <c r="D117" s="8">
        <f t="shared" si="6"/>
        <v>36400</v>
      </c>
      <c r="E117" s="9">
        <f t="shared" si="7"/>
        <v>36400</v>
      </c>
      <c r="F117" s="10">
        <v>1</v>
      </c>
      <c r="G117" s="11" t="s">
        <v>7</v>
      </c>
      <c r="H117" s="6" t="s">
        <v>9</v>
      </c>
      <c r="I117" s="5" t="s">
        <v>221</v>
      </c>
      <c r="J117">
        <v>24181.200000000001</v>
      </c>
      <c r="K117">
        <f t="shared" si="8"/>
        <v>55616.759999999995</v>
      </c>
      <c r="L117">
        <f t="shared" si="9"/>
        <v>24181.200000000001</v>
      </c>
    </row>
    <row r="118" spans="1:12" ht="42.75" customHeight="1" x14ac:dyDescent="0.25">
      <c r="A118" s="7"/>
      <c r="B118" s="6" t="s">
        <v>381</v>
      </c>
      <c r="C118" s="8">
        <f t="shared" si="5"/>
        <v>75000</v>
      </c>
      <c r="D118" s="8">
        <f t="shared" si="6"/>
        <v>48750</v>
      </c>
      <c r="E118" s="9">
        <f t="shared" si="7"/>
        <v>48750</v>
      </c>
      <c r="F118" s="10">
        <v>1</v>
      </c>
      <c r="G118" s="11" t="s">
        <v>7</v>
      </c>
      <c r="H118" s="6" t="s">
        <v>9</v>
      </c>
      <c r="I118" s="5" t="s">
        <v>221</v>
      </c>
      <c r="J118">
        <v>32232.600000000002</v>
      </c>
      <c r="K118">
        <f t="shared" si="8"/>
        <v>74134.98</v>
      </c>
      <c r="L118">
        <f t="shared" si="9"/>
        <v>32232.600000000002</v>
      </c>
    </row>
    <row r="119" spans="1:12" ht="42.75" customHeight="1" x14ac:dyDescent="0.25">
      <c r="A119" s="7"/>
      <c r="B119" s="6" t="s">
        <v>382</v>
      </c>
      <c r="C119" s="8">
        <f t="shared" si="5"/>
        <v>39000</v>
      </c>
      <c r="D119" s="8">
        <f t="shared" si="6"/>
        <v>25350</v>
      </c>
      <c r="E119" s="9">
        <f t="shared" si="7"/>
        <v>25350</v>
      </c>
      <c r="F119" s="10">
        <v>1</v>
      </c>
      <c r="G119" s="11" t="s">
        <v>7</v>
      </c>
      <c r="H119" s="6" t="s">
        <v>9</v>
      </c>
      <c r="I119" s="5" t="s">
        <v>221</v>
      </c>
      <c r="J119">
        <v>16749.599999999999</v>
      </c>
      <c r="K119">
        <f t="shared" si="8"/>
        <v>38524.079999999994</v>
      </c>
      <c r="L119">
        <f t="shared" si="9"/>
        <v>16749.599999999999</v>
      </c>
    </row>
    <row r="120" spans="1:12" ht="42.75" customHeight="1" x14ac:dyDescent="0.25">
      <c r="A120" s="7"/>
      <c r="B120" s="6" t="s">
        <v>383</v>
      </c>
      <c r="C120" s="8">
        <f t="shared" si="5"/>
        <v>127000</v>
      </c>
      <c r="D120" s="8">
        <f t="shared" si="6"/>
        <v>82550</v>
      </c>
      <c r="E120" s="9">
        <f t="shared" si="7"/>
        <v>660400</v>
      </c>
      <c r="F120" s="10">
        <v>8</v>
      </c>
      <c r="G120" s="11" t="s">
        <v>7</v>
      </c>
      <c r="H120" s="6" t="s">
        <v>9</v>
      </c>
      <c r="I120" s="5" t="s">
        <v>221</v>
      </c>
      <c r="J120">
        <v>55042.8</v>
      </c>
      <c r="K120">
        <f t="shared" si="8"/>
        <v>126598.44</v>
      </c>
      <c r="L120">
        <f t="shared" si="9"/>
        <v>440342.4</v>
      </c>
    </row>
    <row r="121" spans="1:12" ht="42.75" customHeight="1" x14ac:dyDescent="0.25">
      <c r="A121" s="7"/>
      <c r="B121" s="6" t="s">
        <v>384</v>
      </c>
      <c r="C121" s="8">
        <f t="shared" si="5"/>
        <v>63000</v>
      </c>
      <c r="D121" s="8">
        <f t="shared" si="6"/>
        <v>40950</v>
      </c>
      <c r="E121" s="9">
        <f t="shared" si="7"/>
        <v>1310400</v>
      </c>
      <c r="F121" s="10">
        <v>32</v>
      </c>
      <c r="G121" s="11" t="s">
        <v>7</v>
      </c>
      <c r="H121" s="6" t="s">
        <v>9</v>
      </c>
      <c r="I121" s="5" t="s">
        <v>221</v>
      </c>
      <c r="J121">
        <v>27157.199999999997</v>
      </c>
      <c r="K121">
        <f t="shared" si="8"/>
        <v>62461.55999999999</v>
      </c>
      <c r="L121">
        <f t="shared" si="9"/>
        <v>869030.39999999991</v>
      </c>
    </row>
    <row r="122" spans="1:12" ht="42.75" customHeight="1" x14ac:dyDescent="0.25">
      <c r="A122" s="7"/>
      <c r="B122" s="6" t="s">
        <v>385</v>
      </c>
      <c r="C122" s="8">
        <f t="shared" si="5"/>
        <v>21000</v>
      </c>
      <c r="D122" s="8">
        <f t="shared" si="6"/>
        <v>13650</v>
      </c>
      <c r="E122" s="9">
        <f t="shared" si="7"/>
        <v>27300</v>
      </c>
      <c r="F122" s="10">
        <v>2</v>
      </c>
      <c r="G122" s="11" t="s">
        <v>7</v>
      </c>
      <c r="H122" s="6" t="s">
        <v>9</v>
      </c>
      <c r="I122" s="5" t="s">
        <v>221</v>
      </c>
      <c r="J122">
        <v>9022.2000000000007</v>
      </c>
      <c r="K122">
        <f t="shared" si="8"/>
        <v>20751.060000000001</v>
      </c>
      <c r="L122">
        <f t="shared" si="9"/>
        <v>18044.400000000001</v>
      </c>
    </row>
    <row r="123" spans="1:12" ht="42.75" customHeight="1" x14ac:dyDescent="0.25">
      <c r="A123" s="7"/>
      <c r="B123" s="6" t="s">
        <v>403</v>
      </c>
      <c r="C123" s="8">
        <f t="shared" si="5"/>
        <v>49000</v>
      </c>
      <c r="D123" s="8">
        <f t="shared" si="6"/>
        <v>31850</v>
      </c>
      <c r="E123" s="9">
        <f t="shared" si="7"/>
        <v>31850</v>
      </c>
      <c r="F123" s="10">
        <v>1</v>
      </c>
      <c r="G123" s="11" t="s">
        <v>7</v>
      </c>
      <c r="H123" s="6" t="s">
        <v>9</v>
      </c>
      <c r="I123" s="5" t="s">
        <v>221</v>
      </c>
      <c r="J123">
        <v>21000</v>
      </c>
      <c r="K123">
        <f t="shared" si="8"/>
        <v>48299.999999999993</v>
      </c>
      <c r="L123">
        <f t="shared" si="9"/>
        <v>21000</v>
      </c>
    </row>
    <row r="124" spans="1:12" ht="42.75" customHeight="1" x14ac:dyDescent="0.25">
      <c r="A124" s="7"/>
      <c r="B124" s="6" t="s">
        <v>277</v>
      </c>
      <c r="C124" s="8">
        <f t="shared" si="5"/>
        <v>119000</v>
      </c>
      <c r="D124" s="8">
        <f t="shared" si="6"/>
        <v>77350</v>
      </c>
      <c r="E124" s="9">
        <f t="shared" si="7"/>
        <v>77350</v>
      </c>
      <c r="F124" s="10">
        <v>1</v>
      </c>
      <c r="G124" s="11" t="s">
        <v>7</v>
      </c>
      <c r="H124" s="6" t="s">
        <v>9</v>
      </c>
      <c r="I124" s="5" t="s">
        <v>234</v>
      </c>
      <c r="J124">
        <v>51424.800000000003</v>
      </c>
      <c r="K124">
        <f t="shared" si="8"/>
        <v>118277.04</v>
      </c>
      <c r="L124">
        <f t="shared" si="9"/>
        <v>51424.800000000003</v>
      </c>
    </row>
    <row r="125" spans="1:12" ht="42.75" customHeight="1" x14ac:dyDescent="0.25">
      <c r="A125" s="7"/>
      <c r="B125" s="6" t="s">
        <v>275</v>
      </c>
      <c r="C125" s="8">
        <f t="shared" si="5"/>
        <v>64000</v>
      </c>
      <c r="D125" s="8">
        <f t="shared" si="6"/>
        <v>41600</v>
      </c>
      <c r="E125" s="9">
        <f t="shared" si="7"/>
        <v>41600</v>
      </c>
      <c r="F125" s="10">
        <v>1</v>
      </c>
      <c r="G125" s="11" t="s">
        <v>7</v>
      </c>
      <c r="H125" s="6" t="s">
        <v>9</v>
      </c>
      <c r="I125" s="5" t="s">
        <v>234</v>
      </c>
      <c r="J125">
        <v>27538.799999999999</v>
      </c>
      <c r="K125">
        <f t="shared" si="8"/>
        <v>63339.239999999991</v>
      </c>
      <c r="L125">
        <f t="shared" si="9"/>
        <v>27538.799999999999</v>
      </c>
    </row>
    <row r="126" spans="1:12" ht="42.75" customHeight="1" x14ac:dyDescent="0.25">
      <c r="A126" s="7"/>
      <c r="B126" s="6" t="s">
        <v>276</v>
      </c>
      <c r="C126" s="8">
        <f t="shared" si="5"/>
        <v>56000</v>
      </c>
      <c r="D126" s="8">
        <f t="shared" si="6"/>
        <v>36400</v>
      </c>
      <c r="E126" s="9">
        <f t="shared" si="7"/>
        <v>36400</v>
      </c>
      <c r="F126" s="10">
        <v>1</v>
      </c>
      <c r="G126" s="11" t="s">
        <v>7</v>
      </c>
      <c r="H126" s="6" t="s">
        <v>9</v>
      </c>
      <c r="I126" s="5" t="s">
        <v>234</v>
      </c>
      <c r="J126">
        <v>24008.400000000001</v>
      </c>
      <c r="K126">
        <f t="shared" si="8"/>
        <v>55219.32</v>
      </c>
      <c r="L126">
        <f t="shared" si="9"/>
        <v>24008.400000000001</v>
      </c>
    </row>
    <row r="127" spans="1:12" ht="42.75" customHeight="1" x14ac:dyDescent="0.25">
      <c r="A127" s="7"/>
      <c r="B127" s="6" t="s">
        <v>386</v>
      </c>
      <c r="C127" s="8">
        <f t="shared" si="5"/>
        <v>821000</v>
      </c>
      <c r="D127" s="8">
        <f t="shared" si="6"/>
        <v>533650</v>
      </c>
      <c r="E127" s="9">
        <f t="shared" si="7"/>
        <v>533650</v>
      </c>
      <c r="F127" s="10">
        <v>1</v>
      </c>
      <c r="G127" s="11" t="s">
        <v>7</v>
      </c>
      <c r="H127" s="6" t="s">
        <v>9</v>
      </c>
      <c r="I127" s="5" t="s">
        <v>243</v>
      </c>
      <c r="J127">
        <v>356529.39999999997</v>
      </c>
      <c r="K127">
        <f t="shared" si="8"/>
        <v>820017.61999999988</v>
      </c>
      <c r="L127">
        <f t="shared" si="9"/>
        <v>356529.39999999997</v>
      </c>
    </row>
    <row r="128" spans="1:12" ht="42.75" customHeight="1" x14ac:dyDescent="0.25">
      <c r="A128" s="7"/>
      <c r="B128" s="6" t="s">
        <v>387</v>
      </c>
      <c r="C128" s="8">
        <f t="shared" si="5"/>
        <v>168000</v>
      </c>
      <c r="D128" s="8">
        <f t="shared" si="6"/>
        <v>109200</v>
      </c>
      <c r="E128" s="9">
        <f t="shared" si="7"/>
        <v>109200</v>
      </c>
      <c r="F128" s="10">
        <v>1</v>
      </c>
      <c r="G128" s="11" t="s">
        <v>7</v>
      </c>
      <c r="H128" s="6" t="s">
        <v>9</v>
      </c>
      <c r="I128" s="5" t="s">
        <v>243</v>
      </c>
      <c r="J128">
        <v>72908.400000000009</v>
      </c>
      <c r="K128">
        <f t="shared" si="8"/>
        <v>167689.32</v>
      </c>
      <c r="L128">
        <f t="shared" si="9"/>
        <v>72908.400000000009</v>
      </c>
    </row>
    <row r="129" spans="1:12" ht="42.75" customHeight="1" x14ac:dyDescent="0.25">
      <c r="A129" s="7"/>
      <c r="B129" s="6" t="s">
        <v>388</v>
      </c>
      <c r="C129" s="8">
        <f t="shared" si="5"/>
        <v>2402000</v>
      </c>
      <c r="D129" s="8">
        <f t="shared" si="6"/>
        <v>1561300</v>
      </c>
      <c r="E129" s="9">
        <f t="shared" si="7"/>
        <v>1561300</v>
      </c>
      <c r="F129" s="10">
        <v>1</v>
      </c>
      <c r="G129" s="11" t="s">
        <v>7</v>
      </c>
      <c r="H129" s="6" t="s">
        <v>9</v>
      </c>
      <c r="I129" s="5" t="s">
        <v>243</v>
      </c>
      <c r="J129">
        <v>1044083.6</v>
      </c>
      <c r="K129">
        <f t="shared" si="8"/>
        <v>2401392.2799999998</v>
      </c>
      <c r="L129">
        <f t="shared" si="9"/>
        <v>1044083.6</v>
      </c>
    </row>
    <row r="130" spans="1:12" ht="42.75" customHeight="1" x14ac:dyDescent="0.25">
      <c r="A130" s="7"/>
      <c r="B130" s="6" t="s">
        <v>389</v>
      </c>
      <c r="C130" s="8">
        <f t="shared" si="5"/>
        <v>271000</v>
      </c>
      <c r="D130" s="8">
        <f t="shared" si="6"/>
        <v>176150</v>
      </c>
      <c r="E130" s="9">
        <f t="shared" si="7"/>
        <v>176150</v>
      </c>
      <c r="F130" s="10">
        <v>1</v>
      </c>
      <c r="G130" s="11" t="s">
        <v>7</v>
      </c>
      <c r="H130" s="6" t="s">
        <v>9</v>
      </c>
      <c r="I130" s="5" t="s">
        <v>243</v>
      </c>
      <c r="J130">
        <v>117439.19999999998</v>
      </c>
      <c r="K130">
        <f t="shared" si="8"/>
        <v>270110.15999999992</v>
      </c>
      <c r="L130">
        <f t="shared" si="9"/>
        <v>117439.19999999998</v>
      </c>
    </row>
    <row r="131" spans="1:12" ht="42.75" customHeight="1" x14ac:dyDescent="0.25">
      <c r="A131" s="7"/>
      <c r="B131" s="6" t="s">
        <v>390</v>
      </c>
      <c r="C131" s="8">
        <f t="shared" ref="C131:C143" si="10">ROUNDUP(K131,-3)</f>
        <v>65000</v>
      </c>
      <c r="D131" s="8">
        <f t="shared" ref="D131:D143" si="11">0.65*C131</f>
        <v>42250</v>
      </c>
      <c r="E131" s="9">
        <f t="shared" ref="E131:E143" si="12">D131*F131</f>
        <v>42250</v>
      </c>
      <c r="F131" s="10">
        <v>1</v>
      </c>
      <c r="G131" s="11" t="s">
        <v>7</v>
      </c>
      <c r="H131" s="6" t="s">
        <v>9</v>
      </c>
      <c r="I131" s="5" t="s">
        <v>243</v>
      </c>
      <c r="J131">
        <v>28038.2</v>
      </c>
      <c r="K131">
        <f t="shared" ref="K131:K143" si="13">2.3*J131</f>
        <v>64487.859999999993</v>
      </c>
      <c r="L131">
        <f t="shared" ref="L131:L143" si="14">J131*F131</f>
        <v>28038.2</v>
      </c>
    </row>
    <row r="132" spans="1:12" ht="42.75" customHeight="1" x14ac:dyDescent="0.25">
      <c r="A132" s="7"/>
      <c r="B132" s="6" t="s">
        <v>391</v>
      </c>
      <c r="C132" s="8">
        <f t="shared" si="10"/>
        <v>49000</v>
      </c>
      <c r="D132" s="8">
        <f t="shared" si="11"/>
        <v>31850</v>
      </c>
      <c r="E132" s="9">
        <f t="shared" si="12"/>
        <v>31850</v>
      </c>
      <c r="F132" s="10">
        <v>1</v>
      </c>
      <c r="G132" s="11" t="s">
        <v>7</v>
      </c>
      <c r="H132" s="6" t="s">
        <v>9</v>
      </c>
      <c r="I132" s="5" t="s">
        <v>243</v>
      </c>
      <c r="J132">
        <v>20953.2</v>
      </c>
      <c r="K132">
        <f t="shared" si="13"/>
        <v>48192.36</v>
      </c>
      <c r="L132">
        <f t="shared" si="14"/>
        <v>20953.2</v>
      </c>
    </row>
    <row r="133" spans="1:12" ht="42.75" customHeight="1" x14ac:dyDescent="0.25">
      <c r="A133" s="7"/>
      <c r="B133" s="6" t="s">
        <v>392</v>
      </c>
      <c r="C133" s="8">
        <f t="shared" si="10"/>
        <v>67000</v>
      </c>
      <c r="D133" s="8">
        <f t="shared" si="11"/>
        <v>43550</v>
      </c>
      <c r="E133" s="9">
        <f t="shared" si="12"/>
        <v>43550</v>
      </c>
      <c r="F133" s="10">
        <v>1</v>
      </c>
      <c r="G133" s="11" t="s">
        <v>7</v>
      </c>
      <c r="H133" s="6" t="s">
        <v>9</v>
      </c>
      <c r="I133" s="5" t="s">
        <v>243</v>
      </c>
      <c r="J133">
        <v>28792.2</v>
      </c>
      <c r="K133">
        <f t="shared" si="13"/>
        <v>66222.06</v>
      </c>
      <c r="L133">
        <f t="shared" si="14"/>
        <v>28792.2</v>
      </c>
    </row>
    <row r="134" spans="1:12" ht="42.75" customHeight="1" x14ac:dyDescent="0.25">
      <c r="A134" s="7"/>
      <c r="B134" s="6" t="s">
        <v>393</v>
      </c>
      <c r="C134" s="8">
        <f t="shared" si="10"/>
        <v>49000</v>
      </c>
      <c r="D134" s="8">
        <f t="shared" si="11"/>
        <v>31850</v>
      </c>
      <c r="E134" s="9">
        <f t="shared" si="12"/>
        <v>31850</v>
      </c>
      <c r="F134" s="10">
        <v>1</v>
      </c>
      <c r="G134" s="11" t="s">
        <v>7</v>
      </c>
      <c r="H134" s="6" t="s">
        <v>9</v>
      </c>
      <c r="I134" s="5" t="s">
        <v>243</v>
      </c>
      <c r="J134">
        <v>20951.400000000001</v>
      </c>
      <c r="K134">
        <f t="shared" si="13"/>
        <v>48188.22</v>
      </c>
      <c r="L134">
        <f t="shared" si="14"/>
        <v>20951.400000000001</v>
      </c>
    </row>
    <row r="135" spans="1:12" ht="42.75" customHeight="1" x14ac:dyDescent="0.25">
      <c r="A135" s="7"/>
      <c r="B135" s="6" t="s">
        <v>394</v>
      </c>
      <c r="C135" s="8">
        <f t="shared" si="10"/>
        <v>97000</v>
      </c>
      <c r="D135" s="8">
        <f t="shared" si="11"/>
        <v>63050</v>
      </c>
      <c r="E135" s="9">
        <f t="shared" si="12"/>
        <v>63050</v>
      </c>
      <c r="F135" s="10">
        <v>1</v>
      </c>
      <c r="G135" s="11" t="s">
        <v>7</v>
      </c>
      <c r="H135" s="6" t="s">
        <v>9</v>
      </c>
      <c r="I135" s="5" t="s">
        <v>243</v>
      </c>
      <c r="J135">
        <v>41957.4</v>
      </c>
      <c r="K135">
        <f t="shared" si="13"/>
        <v>96502.01999999999</v>
      </c>
      <c r="L135">
        <f t="shared" si="14"/>
        <v>41957.4</v>
      </c>
    </row>
    <row r="136" spans="1:12" ht="42.75" customHeight="1" x14ac:dyDescent="0.25">
      <c r="A136" s="7"/>
      <c r="B136" s="6" t="s">
        <v>395</v>
      </c>
      <c r="C136" s="8">
        <f t="shared" si="10"/>
        <v>110000</v>
      </c>
      <c r="D136" s="8">
        <f t="shared" si="11"/>
        <v>71500</v>
      </c>
      <c r="E136" s="9">
        <f t="shared" si="12"/>
        <v>71500</v>
      </c>
      <c r="F136" s="10">
        <v>1</v>
      </c>
      <c r="G136" s="11" t="s">
        <v>7</v>
      </c>
      <c r="H136" s="6" t="s">
        <v>9</v>
      </c>
      <c r="I136" s="5" t="s">
        <v>243</v>
      </c>
      <c r="J136">
        <v>47462.400000000001</v>
      </c>
      <c r="K136">
        <f t="shared" si="13"/>
        <v>109163.51999999999</v>
      </c>
      <c r="L136">
        <f t="shared" si="14"/>
        <v>47462.400000000001</v>
      </c>
    </row>
    <row r="137" spans="1:12" ht="42.75" customHeight="1" x14ac:dyDescent="0.25">
      <c r="A137" s="7"/>
      <c r="B137" s="6" t="s">
        <v>396</v>
      </c>
      <c r="C137" s="8">
        <f t="shared" si="10"/>
        <v>95000</v>
      </c>
      <c r="D137" s="8">
        <f t="shared" si="11"/>
        <v>61750</v>
      </c>
      <c r="E137" s="9">
        <f t="shared" si="12"/>
        <v>61750</v>
      </c>
      <c r="F137" s="10">
        <v>1</v>
      </c>
      <c r="G137" s="11" t="s">
        <v>7</v>
      </c>
      <c r="H137" s="6" t="s">
        <v>9</v>
      </c>
      <c r="I137" s="5" t="s">
        <v>243</v>
      </c>
      <c r="J137">
        <v>41286</v>
      </c>
      <c r="K137">
        <f t="shared" si="13"/>
        <v>94957.799999999988</v>
      </c>
      <c r="L137">
        <f t="shared" si="14"/>
        <v>41286</v>
      </c>
    </row>
    <row r="138" spans="1:12" ht="42.75" customHeight="1" x14ac:dyDescent="0.25">
      <c r="A138" s="7"/>
      <c r="B138" s="6" t="s">
        <v>397</v>
      </c>
      <c r="C138" s="8">
        <f t="shared" si="10"/>
        <v>247000</v>
      </c>
      <c r="D138" s="8">
        <f t="shared" si="11"/>
        <v>160550</v>
      </c>
      <c r="E138" s="9">
        <f t="shared" si="12"/>
        <v>160550</v>
      </c>
      <c r="F138" s="10">
        <v>1</v>
      </c>
      <c r="G138" s="11" t="s">
        <v>7</v>
      </c>
      <c r="H138" s="6" t="s">
        <v>9</v>
      </c>
      <c r="I138" s="5" t="s">
        <v>243</v>
      </c>
      <c r="J138">
        <v>107131.2</v>
      </c>
      <c r="K138">
        <f t="shared" si="13"/>
        <v>246401.75999999998</v>
      </c>
      <c r="L138">
        <f t="shared" si="14"/>
        <v>107131.2</v>
      </c>
    </row>
    <row r="139" spans="1:12" ht="42.75" customHeight="1" x14ac:dyDescent="0.25">
      <c r="A139" s="7"/>
      <c r="B139" s="6" t="s">
        <v>398</v>
      </c>
      <c r="C139" s="8">
        <f t="shared" si="10"/>
        <v>49000</v>
      </c>
      <c r="D139" s="8">
        <f t="shared" si="11"/>
        <v>31850</v>
      </c>
      <c r="E139" s="9">
        <f t="shared" si="12"/>
        <v>31850</v>
      </c>
      <c r="F139" s="10">
        <v>1</v>
      </c>
      <c r="G139" s="11" t="s">
        <v>7</v>
      </c>
      <c r="H139" s="6" t="s">
        <v>9</v>
      </c>
      <c r="I139" s="5" t="s">
        <v>243</v>
      </c>
      <c r="J139">
        <v>21242.400000000001</v>
      </c>
      <c r="K139">
        <f t="shared" si="13"/>
        <v>48857.52</v>
      </c>
      <c r="L139">
        <f t="shared" si="14"/>
        <v>21242.400000000001</v>
      </c>
    </row>
    <row r="140" spans="1:12" ht="42.75" customHeight="1" x14ac:dyDescent="0.25">
      <c r="A140" s="7"/>
      <c r="B140" s="6" t="s">
        <v>399</v>
      </c>
      <c r="C140" s="8">
        <f t="shared" si="10"/>
        <v>69000</v>
      </c>
      <c r="D140" s="8">
        <f t="shared" si="11"/>
        <v>44850</v>
      </c>
      <c r="E140" s="9">
        <f t="shared" si="12"/>
        <v>44850</v>
      </c>
      <c r="F140" s="10">
        <v>1</v>
      </c>
      <c r="G140" s="11" t="s">
        <v>7</v>
      </c>
      <c r="H140" s="6" t="s">
        <v>9</v>
      </c>
      <c r="I140" s="5" t="s">
        <v>243</v>
      </c>
      <c r="J140">
        <v>29640.000000000004</v>
      </c>
      <c r="K140">
        <f t="shared" si="13"/>
        <v>68172</v>
      </c>
      <c r="L140">
        <f t="shared" si="14"/>
        <v>29640.000000000004</v>
      </c>
    </row>
    <row r="141" spans="1:12" ht="42.75" customHeight="1" x14ac:dyDescent="0.25">
      <c r="A141" s="7"/>
      <c r="B141" s="6" t="s">
        <v>400</v>
      </c>
      <c r="C141" s="8">
        <f t="shared" si="10"/>
        <v>49000</v>
      </c>
      <c r="D141" s="8">
        <f t="shared" si="11"/>
        <v>31850</v>
      </c>
      <c r="E141" s="9">
        <f t="shared" si="12"/>
        <v>350350</v>
      </c>
      <c r="F141" s="10">
        <v>11</v>
      </c>
      <c r="G141" s="11" t="s">
        <v>7</v>
      </c>
      <c r="H141" s="6" t="s">
        <v>9</v>
      </c>
      <c r="I141" s="5" t="s">
        <v>243</v>
      </c>
      <c r="J141">
        <v>21000</v>
      </c>
      <c r="K141">
        <f t="shared" si="13"/>
        <v>48299.999999999993</v>
      </c>
      <c r="L141">
        <f t="shared" si="14"/>
        <v>231000</v>
      </c>
    </row>
    <row r="142" spans="1:12" ht="42.75" customHeight="1" x14ac:dyDescent="0.25">
      <c r="A142" s="7"/>
      <c r="B142" s="6" t="s">
        <v>402</v>
      </c>
      <c r="C142" s="8">
        <f t="shared" si="10"/>
        <v>563000</v>
      </c>
      <c r="D142" s="8">
        <f t="shared" si="11"/>
        <v>365950</v>
      </c>
      <c r="E142" s="9">
        <f t="shared" si="12"/>
        <v>365950</v>
      </c>
      <c r="F142" s="10">
        <v>1</v>
      </c>
      <c r="G142" s="11" t="s">
        <v>7</v>
      </c>
      <c r="H142" s="6" t="s">
        <v>9</v>
      </c>
      <c r="I142" s="5" t="s">
        <v>243</v>
      </c>
      <c r="J142">
        <v>244479.59999999998</v>
      </c>
      <c r="K142">
        <f t="shared" si="13"/>
        <v>562303.07999999996</v>
      </c>
      <c r="L142">
        <f t="shared" si="14"/>
        <v>244479.59999999998</v>
      </c>
    </row>
    <row r="143" spans="1:12" ht="42.75" customHeight="1" x14ac:dyDescent="0.25">
      <c r="A143" s="7"/>
      <c r="B143" s="6" t="s">
        <v>401</v>
      </c>
      <c r="C143" s="8">
        <f t="shared" si="10"/>
        <v>507000</v>
      </c>
      <c r="D143" s="8">
        <f t="shared" si="11"/>
        <v>329550</v>
      </c>
      <c r="E143" s="9">
        <f t="shared" si="12"/>
        <v>329550</v>
      </c>
      <c r="F143" s="10">
        <v>1</v>
      </c>
      <c r="G143" s="11" t="s">
        <v>7</v>
      </c>
      <c r="H143" s="6" t="s">
        <v>9</v>
      </c>
      <c r="I143" s="5" t="s">
        <v>243</v>
      </c>
      <c r="J143">
        <v>220427.99999999997</v>
      </c>
      <c r="K143">
        <f t="shared" si="13"/>
        <v>506984.39999999991</v>
      </c>
      <c r="L143">
        <f t="shared" si="14"/>
        <v>220427.99999999997</v>
      </c>
    </row>
    <row r="144" spans="1:12" ht="42.75" customHeight="1" x14ac:dyDescent="0.25">
      <c r="E144" s="28">
        <f>SUM(E2:E143)</f>
        <v>35169550</v>
      </c>
      <c r="L144">
        <f>SUM(L2:L143)</f>
        <v>23416791.399999965</v>
      </c>
    </row>
    <row r="145" spans="12:12" ht="42.75" customHeight="1" x14ac:dyDescent="0.25">
      <c r="L145">
        <f>1.35*L144</f>
        <v>31612668.389999956</v>
      </c>
    </row>
  </sheetData>
  <autoFilter ref="A1:J145" xr:uid="{5BD8AD93-0FD7-460D-9D2B-78C05D640F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bom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2026-10-19T09:34:38Z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