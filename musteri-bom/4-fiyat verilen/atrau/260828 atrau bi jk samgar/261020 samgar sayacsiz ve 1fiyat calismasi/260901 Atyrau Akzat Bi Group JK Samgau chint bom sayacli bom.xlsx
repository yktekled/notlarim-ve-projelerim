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'ım\4-fiyat verilen\atrau\260828 atrau bi jk samgar\"/>
    </mc:Choice>
  </mc:AlternateContent>
  <xr:revisionPtr revIDLastSave="0" documentId="13_ncr:1_{5815033C-B4FF-42A4-B905-A67F1AC0991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bom" sheetId="2" r:id="rId1"/>
  </sheets>
  <definedNames>
    <definedName name="_xlnm._FilterDatabase" localSheetId="0" hidden="1">bom!$A$1:$J$849</definedName>
    <definedName name="sayac">bom!#REF!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92" i="2" l="1"/>
  <c r="G492" i="2" s="1"/>
  <c r="F441" i="2" l="1"/>
  <c r="G441" i="2" s="1"/>
  <c r="F440" i="2"/>
  <c r="G440" i="2" s="1"/>
  <c r="F439" i="2"/>
  <c r="G439" i="2" s="1"/>
  <c r="F438" i="2"/>
  <c r="G438" i="2" s="1"/>
  <c r="F38" i="2"/>
  <c r="G38" i="2" s="1"/>
  <c r="F37" i="2"/>
  <c r="G37" i="2" s="1"/>
  <c r="F36" i="2"/>
  <c r="G36" i="2" s="1"/>
  <c r="H677" i="2"/>
  <c r="G677" i="2" s="1"/>
  <c r="E676" i="2" s="1"/>
  <c r="F676" i="2" s="1"/>
  <c r="G676" i="2" s="1"/>
  <c r="F513" i="2"/>
  <c r="G513" i="2" s="1"/>
  <c r="F505" i="2"/>
  <c r="G505" i="2" s="1"/>
  <c r="F846" i="2"/>
  <c r="G846" i="2" s="1"/>
  <c r="F845" i="2"/>
  <c r="G845" i="2" s="1"/>
  <c r="F844" i="2"/>
  <c r="G844" i="2" s="1"/>
  <c r="F843" i="2"/>
  <c r="G843" i="2" s="1"/>
  <c r="F842" i="2"/>
  <c r="G842" i="2" s="1"/>
  <c r="F841" i="2"/>
  <c r="G841" i="2" s="1"/>
  <c r="F840" i="2"/>
  <c r="G840" i="2" s="1"/>
  <c r="F839" i="2"/>
  <c r="G839" i="2" s="1"/>
  <c r="F838" i="2"/>
  <c r="G838" i="2" s="1"/>
  <c r="F837" i="2"/>
  <c r="G837" i="2" s="1"/>
  <c r="F832" i="2"/>
  <c r="G832" i="2" s="1"/>
  <c r="F831" i="2"/>
  <c r="G831" i="2" s="1"/>
  <c r="F830" i="2"/>
  <c r="G830" i="2" s="1"/>
  <c r="F829" i="2"/>
  <c r="G829" i="2" s="1"/>
  <c r="F828" i="2"/>
  <c r="G828" i="2" s="1"/>
  <c r="F827" i="2"/>
  <c r="G827" i="2" s="1"/>
  <c r="F826" i="2"/>
  <c r="G826" i="2" s="1"/>
  <c r="F825" i="2"/>
  <c r="G825" i="2" s="1"/>
  <c r="F824" i="2"/>
  <c r="G824" i="2" s="1"/>
  <c r="F823" i="2"/>
  <c r="G823" i="2" s="1"/>
  <c r="F817" i="2"/>
  <c r="G817" i="2" s="1"/>
  <c r="F816" i="2"/>
  <c r="G816" i="2" s="1"/>
  <c r="F815" i="2"/>
  <c r="G815" i="2" s="1"/>
  <c r="F814" i="2"/>
  <c r="G814" i="2" s="1"/>
  <c r="F808" i="2"/>
  <c r="G808" i="2" s="1"/>
  <c r="F807" i="2"/>
  <c r="G807" i="2" s="1"/>
  <c r="F801" i="2"/>
  <c r="G801" i="2" s="1"/>
  <c r="F800" i="2"/>
  <c r="G800" i="2" s="1"/>
  <c r="F799" i="2"/>
  <c r="G799" i="2" s="1"/>
  <c r="F798" i="2"/>
  <c r="G798" i="2" s="1"/>
  <c r="F792" i="2"/>
  <c r="G792" i="2" s="1"/>
  <c r="F786" i="2"/>
  <c r="G786" i="2" s="1"/>
  <c r="F785" i="2"/>
  <c r="G785" i="2" s="1"/>
  <c r="F779" i="2"/>
  <c r="G779" i="2" s="1"/>
  <c r="F778" i="2"/>
  <c r="G778" i="2" s="1"/>
  <c r="F777" i="2"/>
  <c r="G777" i="2" s="1"/>
  <c r="F776" i="2"/>
  <c r="G776" i="2" s="1"/>
  <c r="F770" i="2"/>
  <c r="G770" i="2" s="1"/>
  <c r="F769" i="2"/>
  <c r="G769" i="2" s="1"/>
  <c r="F768" i="2"/>
  <c r="G768" i="2" s="1"/>
  <c r="F762" i="2"/>
  <c r="G762" i="2" s="1"/>
  <c r="F761" i="2"/>
  <c r="G761" i="2" s="1"/>
  <c r="F760" i="2"/>
  <c r="G760" i="2" s="1"/>
  <c r="F759" i="2"/>
  <c r="G759" i="2" s="1"/>
  <c r="F753" i="2"/>
  <c r="G753" i="2" s="1"/>
  <c r="F752" i="2"/>
  <c r="G752" i="2" s="1"/>
  <c r="F745" i="2"/>
  <c r="G745" i="2" s="1"/>
  <c r="F744" i="2"/>
  <c r="G744" i="2" s="1"/>
  <c r="F738" i="2"/>
  <c r="G738" i="2" s="1"/>
  <c r="F737" i="2"/>
  <c r="G737" i="2" s="1"/>
  <c r="F736" i="2"/>
  <c r="G736" i="2" s="1"/>
  <c r="F735" i="2"/>
  <c r="G735" i="2" s="1"/>
  <c r="F733" i="2"/>
  <c r="G733" i="2" s="1"/>
  <c r="F726" i="2"/>
  <c r="G726" i="2" s="1"/>
  <c r="F724" i="2"/>
  <c r="G724" i="2" s="1"/>
  <c r="F717" i="2"/>
  <c r="G717" i="2" s="1"/>
  <c r="F716" i="2"/>
  <c r="G716" i="2" s="1"/>
  <c r="F715" i="2"/>
  <c r="G715" i="2" s="1"/>
  <c r="F714" i="2"/>
  <c r="G714" i="2" s="1"/>
  <c r="F713" i="2"/>
  <c r="G713" i="2" s="1"/>
  <c r="F706" i="2"/>
  <c r="G706" i="2" s="1"/>
  <c r="F705" i="2"/>
  <c r="G705" i="2" s="1"/>
  <c r="F704" i="2"/>
  <c r="G704" i="2" s="1"/>
  <c r="F703" i="2"/>
  <c r="G703" i="2" s="1"/>
  <c r="F702" i="2"/>
  <c r="G702" i="2" s="1"/>
  <c r="F701" i="2"/>
  <c r="G701" i="2" s="1"/>
  <c r="F700" i="2"/>
  <c r="G700" i="2" s="1"/>
  <c r="F699" i="2"/>
  <c r="G699" i="2" s="1"/>
  <c r="F698" i="2"/>
  <c r="G698" i="2" s="1"/>
  <c r="F697" i="2"/>
  <c r="G697" i="2" s="1"/>
  <c r="F694" i="2"/>
  <c r="G694" i="2" s="1"/>
  <c r="F689" i="2"/>
  <c r="G689" i="2" s="1"/>
  <c r="F688" i="2"/>
  <c r="G688" i="2" s="1"/>
  <c r="F687" i="2"/>
  <c r="G687" i="2" s="1"/>
  <c r="F682" i="2"/>
  <c r="G682" i="2" s="1"/>
  <c r="F681" i="2"/>
  <c r="G681" i="2" s="1"/>
  <c r="F680" i="2"/>
  <c r="G680" i="2" s="1"/>
  <c r="F673" i="2"/>
  <c r="G673" i="2" s="1"/>
  <c r="F672" i="2"/>
  <c r="G672" i="2" s="1"/>
  <c r="F671" i="2"/>
  <c r="G671" i="2" s="1"/>
  <c r="F670" i="2"/>
  <c r="G670" i="2" s="1"/>
  <c r="F669" i="2"/>
  <c r="G669" i="2" s="1"/>
  <c r="F668" i="2"/>
  <c r="G668" i="2" s="1"/>
  <c r="F667" i="2"/>
  <c r="G667" i="2" s="1"/>
  <c r="F666" i="2"/>
  <c r="G666" i="2" s="1"/>
  <c r="F665" i="2"/>
  <c r="G665" i="2" s="1"/>
  <c r="F664" i="2"/>
  <c r="G664" i="2" s="1"/>
  <c r="F663" i="2"/>
  <c r="G663" i="2" s="1"/>
  <c r="F662" i="2"/>
  <c r="G662" i="2" s="1"/>
  <c r="F656" i="2"/>
  <c r="G656" i="2" s="1"/>
  <c r="F655" i="2"/>
  <c r="G655" i="2" s="1"/>
  <c r="F650" i="2"/>
  <c r="G650" i="2" s="1"/>
  <c r="F649" i="2"/>
  <c r="G649" i="2" s="1"/>
  <c r="F648" i="2"/>
  <c r="G648" i="2" s="1"/>
  <c r="F647" i="2"/>
  <c r="G647" i="2" s="1"/>
  <c r="F646" i="2"/>
  <c r="G646" i="2" s="1"/>
  <c r="F645" i="2"/>
  <c r="G645" i="2" s="1"/>
  <c r="F639" i="2"/>
  <c r="G639" i="2" s="1"/>
  <c r="F638" i="2"/>
  <c r="G638" i="2" s="1"/>
  <c r="F637" i="2"/>
  <c r="G637" i="2" s="1"/>
  <c r="F636" i="2"/>
  <c r="G636" i="2" s="1"/>
  <c r="F631" i="2"/>
  <c r="G631" i="2" s="1"/>
  <c r="F630" i="2"/>
  <c r="G630" i="2" s="1"/>
  <c r="F629" i="2"/>
  <c r="G629" i="2" s="1"/>
  <c r="F623" i="2"/>
  <c r="G623" i="2" s="1"/>
  <c r="F622" i="2"/>
  <c r="G622" i="2" s="1"/>
  <c r="F621" i="2"/>
  <c r="G621" i="2" s="1"/>
  <c r="F620" i="2"/>
  <c r="G620" i="2" s="1"/>
  <c r="F614" i="2"/>
  <c r="G614" i="2" s="1"/>
  <c r="F613" i="2"/>
  <c r="G613" i="2" s="1"/>
  <c r="F612" i="2"/>
  <c r="G612" i="2" s="1"/>
  <c r="F605" i="2"/>
  <c r="G605" i="2" s="1"/>
  <c r="F604" i="2"/>
  <c r="G604" i="2" s="1"/>
  <c r="F597" i="2"/>
  <c r="G597" i="2" s="1"/>
  <c r="F596" i="2"/>
  <c r="G596" i="2" s="1"/>
  <c r="F589" i="2"/>
  <c r="G589" i="2" s="1"/>
  <c r="F588" i="2"/>
  <c r="G588" i="2" s="1"/>
  <c r="F583" i="2"/>
  <c r="G583" i="2" s="1"/>
  <c r="F582" i="2"/>
  <c r="G582" i="2" s="1"/>
  <c r="F577" i="2"/>
  <c r="G577" i="2" s="1"/>
  <c r="F576" i="2"/>
  <c r="G576" i="2" s="1"/>
  <c r="F575" i="2"/>
  <c r="G575" i="2" s="1"/>
  <c r="F574" i="2"/>
  <c r="G574" i="2" s="1"/>
  <c r="F573" i="2"/>
  <c r="G573" i="2" s="1"/>
  <c r="F567" i="2"/>
  <c r="G567" i="2" s="1"/>
  <c r="F566" i="2"/>
  <c r="G566" i="2" s="1"/>
  <c r="F565" i="2"/>
  <c r="G565" i="2" s="1"/>
  <c r="F564" i="2"/>
  <c r="G564" i="2" s="1"/>
  <c r="F558" i="2"/>
  <c r="G558" i="2" s="1"/>
  <c r="F557" i="2"/>
  <c r="G557" i="2" s="1"/>
  <c r="F556" i="2"/>
  <c r="G556" i="2" s="1"/>
  <c r="F555" i="2"/>
  <c r="G555" i="2" s="1"/>
  <c r="F550" i="2"/>
  <c r="G550" i="2" s="1"/>
  <c r="F549" i="2"/>
  <c r="G549" i="2" s="1"/>
  <c r="F548" i="2"/>
  <c r="G548" i="2" s="1"/>
  <c r="F547" i="2"/>
  <c r="G547" i="2" s="1"/>
  <c r="F546" i="2"/>
  <c r="G546" i="2" s="1"/>
  <c r="F545" i="2"/>
  <c r="G545" i="2" s="1"/>
  <c r="F544" i="2"/>
  <c r="G544" i="2" s="1"/>
  <c r="F543" i="2"/>
  <c r="G543" i="2" s="1"/>
  <c r="F538" i="2"/>
  <c r="G538" i="2" s="1"/>
  <c r="F537" i="2"/>
  <c r="G537" i="2" s="1"/>
  <c r="F536" i="2"/>
  <c r="G536" i="2" s="1"/>
  <c r="F530" i="2"/>
  <c r="G530" i="2" s="1"/>
  <c r="F529" i="2"/>
  <c r="G529" i="2" s="1"/>
  <c r="F528" i="2"/>
  <c r="G528" i="2" s="1"/>
  <c r="F527" i="2"/>
  <c r="G527" i="2" s="1"/>
  <c r="F521" i="2"/>
  <c r="G521" i="2" s="1"/>
  <c r="F520" i="2"/>
  <c r="G520" i="2" s="1"/>
  <c r="F519" i="2"/>
  <c r="G519" i="2" s="1"/>
  <c r="F512" i="2"/>
  <c r="G512" i="2" s="1"/>
  <c r="F511" i="2"/>
  <c r="G511" i="2" s="1"/>
  <c r="F504" i="2"/>
  <c r="G504" i="2" s="1"/>
  <c r="F503" i="2"/>
  <c r="G503" i="2" s="1"/>
  <c r="F495" i="2"/>
  <c r="G495" i="2" s="1"/>
  <c r="F494" i="2"/>
  <c r="G494" i="2" s="1"/>
  <c r="F493" i="2"/>
  <c r="G493" i="2" s="1"/>
  <c r="F491" i="2"/>
  <c r="G491" i="2" s="1"/>
  <c r="F484" i="2"/>
  <c r="G484" i="2" s="1"/>
  <c r="F483" i="2"/>
  <c r="G483" i="2" s="1"/>
  <c r="F482" i="2"/>
  <c r="G482" i="2" s="1"/>
  <c r="F481" i="2"/>
  <c r="G481" i="2" s="1"/>
  <c r="F479" i="2"/>
  <c r="G479" i="2" s="1"/>
  <c r="F474" i="2"/>
  <c r="G474" i="2" s="1"/>
  <c r="F473" i="2"/>
  <c r="G473" i="2" s="1"/>
  <c r="F472" i="2"/>
  <c r="G472" i="2" s="1"/>
  <c r="F471" i="2"/>
  <c r="G471" i="2" s="1"/>
  <c r="F470" i="2"/>
  <c r="G470" i="2" s="1"/>
  <c r="F463" i="2"/>
  <c r="G463" i="2" s="1"/>
  <c r="F462" i="2"/>
  <c r="G462" i="2" s="1"/>
  <c r="F461" i="2"/>
  <c r="G461" i="2" s="1"/>
  <c r="F460" i="2"/>
  <c r="G460" i="2" s="1"/>
  <c r="F458" i="2"/>
  <c r="G458" i="2" s="1"/>
  <c r="F449" i="2"/>
  <c r="G449" i="2" s="1"/>
  <c r="F448" i="2"/>
  <c r="G448" i="2" s="1"/>
  <c r="F447" i="2"/>
  <c r="G447" i="2" s="1"/>
  <c r="F446" i="2"/>
  <c r="G446" i="2" s="1"/>
  <c r="F445" i="2"/>
  <c r="G445" i="2" s="1"/>
  <c r="F444" i="2"/>
  <c r="G444" i="2" s="1"/>
  <c r="F443" i="2"/>
  <c r="G443" i="2" s="1"/>
  <c r="F442" i="2"/>
  <c r="G442" i="2" s="1"/>
  <c r="F436" i="2"/>
  <c r="G436" i="2" s="1"/>
  <c r="F430" i="2"/>
  <c r="G430" i="2" s="1"/>
  <c r="F429" i="2"/>
  <c r="G429" i="2" s="1"/>
  <c r="F428" i="2"/>
  <c r="G428" i="2" s="1"/>
  <c r="F427" i="2"/>
  <c r="G427" i="2" s="1"/>
  <c r="F426" i="2"/>
  <c r="G426" i="2" s="1"/>
  <c r="F425" i="2"/>
  <c r="G425" i="2" s="1"/>
  <c r="F424" i="2"/>
  <c r="G424" i="2" s="1"/>
  <c r="F423" i="2"/>
  <c r="G423" i="2" s="1"/>
  <c r="F422" i="2"/>
  <c r="G422" i="2" s="1"/>
  <c r="F415" i="2"/>
  <c r="G415" i="2" s="1"/>
  <c r="F414" i="2"/>
  <c r="G414" i="2" s="1"/>
  <c r="F413" i="2"/>
  <c r="G413" i="2" s="1"/>
  <c r="F412" i="2"/>
  <c r="G412" i="2" s="1"/>
  <c r="F411" i="2"/>
  <c r="G411" i="2" s="1"/>
  <c r="F407" i="2"/>
  <c r="G407" i="2" s="1"/>
  <c r="F400" i="2"/>
  <c r="G400" i="2" s="1"/>
  <c r="F399" i="2"/>
  <c r="G399" i="2" s="1"/>
  <c r="F394" i="2"/>
  <c r="G394" i="2" s="1"/>
  <c r="F393" i="2"/>
  <c r="G393" i="2" s="1"/>
  <c r="F388" i="2"/>
  <c r="G388" i="2" s="1"/>
  <c r="F387" i="2"/>
  <c r="G387" i="2" s="1"/>
  <c r="F386" i="2"/>
  <c r="G386" i="2" s="1"/>
  <c r="F385" i="2"/>
  <c r="G385" i="2" s="1"/>
  <c r="F384" i="2"/>
  <c r="G384" i="2" s="1"/>
  <c r="F383" i="2"/>
  <c r="G383" i="2" s="1"/>
  <c r="F382" i="2"/>
  <c r="G382" i="2" s="1"/>
  <c r="F377" i="2"/>
  <c r="G377" i="2" s="1"/>
  <c r="F376" i="2"/>
  <c r="G376" i="2" s="1"/>
  <c r="F375" i="2"/>
  <c r="G375" i="2" s="1"/>
  <c r="F374" i="2"/>
  <c r="G374" i="2" s="1"/>
  <c r="F373" i="2"/>
  <c r="G373" i="2" s="1"/>
  <c r="F372" i="2"/>
  <c r="G372" i="2" s="1"/>
  <c r="F365" i="2"/>
  <c r="G365" i="2" s="1"/>
  <c r="F364" i="2"/>
  <c r="G364" i="2" s="1"/>
  <c r="F363" i="2"/>
  <c r="G363" i="2" s="1"/>
  <c r="F362" i="2"/>
  <c r="G362" i="2" s="1"/>
  <c r="F361" i="2"/>
  <c r="G361" i="2" s="1"/>
  <c r="F360" i="2"/>
  <c r="G360" i="2" s="1"/>
  <c r="F355" i="2"/>
  <c r="G355" i="2" s="1"/>
  <c r="F354" i="2"/>
  <c r="G354" i="2" s="1"/>
  <c r="F353" i="2"/>
  <c r="G353" i="2" s="1"/>
  <c r="F352" i="2"/>
  <c r="G352" i="2" s="1"/>
  <c r="F351" i="2"/>
  <c r="G351" i="2" s="1"/>
  <c r="F350" i="2"/>
  <c r="G350" i="2" s="1"/>
  <c r="F349" i="2"/>
  <c r="G349" i="2" s="1"/>
  <c r="F348" i="2"/>
  <c r="G348" i="2" s="1"/>
  <c r="F343" i="2"/>
  <c r="G343" i="2" s="1"/>
  <c r="F342" i="2"/>
  <c r="G342" i="2" s="1"/>
  <c r="F341" i="2"/>
  <c r="G341" i="2" s="1"/>
  <c r="F340" i="2"/>
  <c r="G340" i="2" s="1"/>
  <c r="F339" i="2"/>
  <c r="G339" i="2" s="1"/>
  <c r="F338" i="2"/>
  <c r="G338" i="2" s="1"/>
  <c r="F332" i="2"/>
  <c r="G332" i="2" s="1"/>
  <c r="F331" i="2"/>
  <c r="G331" i="2" s="1"/>
  <c r="F330" i="2"/>
  <c r="G330" i="2" s="1"/>
  <c r="F323" i="2"/>
  <c r="G323" i="2" s="1"/>
  <c r="F322" i="2"/>
  <c r="G322" i="2" s="1"/>
  <c r="F315" i="2"/>
  <c r="G315" i="2" s="1"/>
  <c r="F314" i="2"/>
  <c r="G314" i="2" s="1"/>
  <c r="F307" i="2"/>
  <c r="G307" i="2" s="1"/>
  <c r="F306" i="2"/>
  <c r="G306" i="2" s="1"/>
  <c r="F305" i="2"/>
  <c r="G305" i="2" s="1"/>
  <c r="F304" i="2"/>
  <c r="G304" i="2" s="1"/>
  <c r="F303" i="2"/>
  <c r="G303" i="2" s="1"/>
  <c r="F302" i="2"/>
  <c r="G302" i="2" s="1"/>
  <c r="F301" i="2"/>
  <c r="G301" i="2" s="1"/>
  <c r="F296" i="2"/>
  <c r="G296" i="2" s="1"/>
  <c r="F295" i="2"/>
  <c r="G295" i="2" s="1"/>
  <c r="F294" i="2"/>
  <c r="G294" i="2" s="1"/>
  <c r="F293" i="2"/>
  <c r="G293" i="2" s="1"/>
  <c r="F292" i="2"/>
  <c r="G292" i="2" s="1"/>
  <c r="F291" i="2"/>
  <c r="G291" i="2" s="1"/>
  <c r="F284" i="2"/>
  <c r="G284" i="2" s="1"/>
  <c r="F283" i="2"/>
  <c r="G283" i="2" s="1"/>
  <c r="F282" i="2"/>
  <c r="G282" i="2" s="1"/>
  <c r="F281" i="2"/>
  <c r="G281" i="2" s="1"/>
  <c r="F280" i="2"/>
  <c r="G280" i="2" s="1"/>
  <c r="F279" i="2"/>
  <c r="G279" i="2" s="1"/>
  <c r="F274" i="2"/>
  <c r="G274" i="2" s="1"/>
  <c r="F273" i="2"/>
  <c r="G273" i="2" s="1"/>
  <c r="F268" i="2"/>
  <c r="G268" i="2" s="1"/>
  <c r="F267" i="2"/>
  <c r="G267" i="2" s="1"/>
  <c r="F262" i="2"/>
  <c r="G262" i="2" s="1"/>
  <c r="F261" i="2"/>
  <c r="G261" i="2" s="1"/>
  <c r="F256" i="2"/>
  <c r="G256" i="2" s="1"/>
  <c r="F255" i="2"/>
  <c r="G255" i="2" s="1"/>
  <c r="F254" i="2"/>
  <c r="G254" i="2" s="1"/>
  <c r="F253" i="2"/>
  <c r="G253" i="2" s="1"/>
  <c r="F252" i="2"/>
  <c r="G252" i="2" s="1"/>
  <c r="F251" i="2"/>
  <c r="G251" i="2" s="1"/>
  <c r="F245" i="2"/>
  <c r="G245" i="2" s="1"/>
  <c r="F244" i="2"/>
  <c r="G244" i="2" s="1"/>
  <c r="F243" i="2"/>
  <c r="G243" i="2" s="1"/>
  <c r="F236" i="2"/>
  <c r="G236" i="2" s="1"/>
  <c r="F235" i="2"/>
  <c r="G235" i="2" s="1"/>
  <c r="F228" i="2"/>
  <c r="G228" i="2" s="1"/>
  <c r="F227" i="2"/>
  <c r="G227" i="2" s="1"/>
  <c r="F220" i="2"/>
  <c r="G220" i="2" s="1"/>
  <c r="F219" i="2"/>
  <c r="G219" i="2" s="1"/>
  <c r="F218" i="2"/>
  <c r="G218" i="2" s="1"/>
  <c r="F217" i="2"/>
  <c r="G217" i="2" s="1"/>
  <c r="F216" i="2"/>
  <c r="G216" i="2" s="1"/>
  <c r="F215" i="2"/>
  <c r="G215" i="2" s="1"/>
  <c r="F214" i="2"/>
  <c r="G214" i="2" s="1"/>
  <c r="F209" i="2"/>
  <c r="G209" i="2" s="1"/>
  <c r="F208" i="2"/>
  <c r="G208" i="2" s="1"/>
  <c r="F207" i="2"/>
  <c r="G207" i="2" s="1"/>
  <c r="F206" i="2"/>
  <c r="G206" i="2" s="1"/>
  <c r="F205" i="2"/>
  <c r="G205" i="2" s="1"/>
  <c r="F204" i="2"/>
  <c r="G204" i="2" s="1"/>
  <c r="F199" i="2"/>
  <c r="G199" i="2" s="1"/>
  <c r="F196" i="2"/>
  <c r="G196" i="2" s="1"/>
  <c r="F195" i="2"/>
  <c r="G195" i="2" s="1"/>
  <c r="F194" i="2"/>
  <c r="G194" i="2" s="1"/>
  <c r="F193" i="2"/>
  <c r="G193" i="2" s="1"/>
  <c r="F187" i="2"/>
  <c r="G187" i="2" s="1"/>
  <c r="F186" i="2"/>
  <c r="G186" i="2" s="1"/>
  <c r="F181" i="2"/>
  <c r="G181" i="2" s="1"/>
  <c r="F180" i="2"/>
  <c r="G180" i="2" s="1"/>
  <c r="F175" i="2"/>
  <c r="G175" i="2" s="1"/>
  <c r="F174" i="2"/>
  <c r="G174" i="2" s="1"/>
  <c r="F169" i="2"/>
  <c r="G169" i="2" s="1"/>
  <c r="F168" i="2"/>
  <c r="G168" i="2" s="1"/>
  <c r="F163" i="2"/>
  <c r="G163" i="2" s="1"/>
  <c r="F162" i="2"/>
  <c r="G162" i="2" s="1"/>
  <c r="F161" i="2"/>
  <c r="G161" i="2" s="1"/>
  <c r="F160" i="2"/>
  <c r="G160" i="2" s="1"/>
  <c r="F154" i="2"/>
  <c r="G154" i="2" s="1"/>
  <c r="F153" i="2"/>
  <c r="G153" i="2" s="1"/>
  <c r="F152" i="2"/>
  <c r="G152" i="2" s="1"/>
  <c r="F146" i="2"/>
  <c r="G146" i="2" s="1"/>
  <c r="F145" i="2"/>
  <c r="G145" i="2" s="1"/>
  <c r="F144" i="2"/>
  <c r="G144" i="2" s="1"/>
  <c r="F143" i="2"/>
  <c r="G143" i="2" s="1"/>
  <c r="F142" i="2"/>
  <c r="G142" i="2" s="1"/>
  <c r="F141" i="2"/>
  <c r="G141" i="2" s="1"/>
  <c r="F135" i="2"/>
  <c r="G135" i="2" s="1"/>
  <c r="F134" i="2"/>
  <c r="G134" i="2" s="1"/>
  <c r="F133" i="2"/>
  <c r="G133" i="2" s="1"/>
  <c r="F126" i="2"/>
  <c r="G126" i="2" s="1"/>
  <c r="F125" i="2"/>
  <c r="G125" i="2" s="1"/>
  <c r="F118" i="2"/>
  <c r="G118" i="2" s="1"/>
  <c r="F117" i="2"/>
  <c r="G117" i="2" s="1"/>
  <c r="F111" i="2"/>
  <c r="G111" i="2" s="1"/>
  <c r="F110" i="2"/>
  <c r="G110" i="2" s="1"/>
  <c r="F103" i="2"/>
  <c r="G103" i="2" s="1"/>
  <c r="F102" i="2"/>
  <c r="G102" i="2" s="1"/>
  <c r="F101" i="2"/>
  <c r="G101" i="2" s="1"/>
  <c r="F100" i="2"/>
  <c r="G100" i="2" s="1"/>
  <c r="F98" i="2"/>
  <c r="G98" i="2" s="1"/>
  <c r="F92" i="2"/>
  <c r="G92" i="2" s="1"/>
  <c r="F91" i="2"/>
  <c r="G91" i="2" s="1"/>
  <c r="F90" i="2"/>
  <c r="G90" i="2" s="1"/>
  <c r="F89" i="2"/>
  <c r="G89" i="2" s="1"/>
  <c r="F88" i="2"/>
  <c r="G88" i="2" s="1"/>
  <c r="F87" i="2"/>
  <c r="G87" i="2" s="1"/>
  <c r="F80" i="2"/>
  <c r="G80" i="2" s="1"/>
  <c r="F79" i="2"/>
  <c r="G79" i="2" s="1"/>
  <c r="F78" i="2"/>
  <c r="G78" i="2" s="1"/>
  <c r="F77" i="2"/>
  <c r="G77" i="2" s="1"/>
  <c r="F76" i="2"/>
  <c r="G76" i="2" s="1"/>
  <c r="F75" i="2"/>
  <c r="G75" i="2" s="1"/>
  <c r="F73" i="2"/>
  <c r="G73" i="2" s="1"/>
  <c r="F68" i="2"/>
  <c r="G68" i="2" s="1"/>
  <c r="F67" i="2"/>
  <c r="G67" i="2" s="1"/>
  <c r="F66" i="2"/>
  <c r="G66" i="2" s="1"/>
  <c r="F65" i="2"/>
  <c r="G65" i="2" s="1"/>
  <c r="F64" i="2"/>
  <c r="G64" i="2" s="1"/>
  <c r="F63" i="2"/>
  <c r="G63" i="2" s="1"/>
  <c r="F56" i="2"/>
  <c r="G56" i="2" s="1"/>
  <c r="F55" i="2"/>
  <c r="G55" i="2" s="1"/>
  <c r="F54" i="2"/>
  <c r="G54" i="2" s="1"/>
  <c r="F53" i="2"/>
  <c r="G53" i="2" s="1"/>
  <c r="F51" i="2"/>
  <c r="G51" i="2" s="1"/>
  <c r="F43" i="2"/>
  <c r="G43" i="2" s="1"/>
  <c r="F42" i="2"/>
  <c r="G42" i="2" s="1"/>
  <c r="F41" i="2"/>
  <c r="G41" i="2" s="1"/>
  <c r="F40" i="2"/>
  <c r="G40" i="2" s="1"/>
  <c r="F39" i="2"/>
  <c r="G39" i="2" s="1"/>
  <c r="F35" i="2"/>
  <c r="G35" i="2" s="1"/>
  <c r="F33" i="2"/>
  <c r="G33" i="2" s="1"/>
  <c r="F26" i="2"/>
  <c r="G26" i="2" s="1"/>
  <c r="F25" i="2"/>
  <c r="G25" i="2" s="1"/>
  <c r="F24" i="2"/>
  <c r="G24" i="2" s="1"/>
  <c r="F23" i="2"/>
  <c r="G23" i="2" s="1"/>
  <c r="F22" i="2"/>
  <c r="G22" i="2" s="1"/>
  <c r="F21" i="2"/>
  <c r="G21" i="2" s="1"/>
  <c r="F20" i="2"/>
  <c r="G20" i="2" s="1"/>
  <c r="F19" i="2"/>
  <c r="G19" i="2" s="1"/>
  <c r="F18" i="2"/>
  <c r="G18" i="2" s="1"/>
  <c r="F10" i="2"/>
  <c r="G10" i="2" s="1"/>
  <c r="F9" i="2"/>
  <c r="G9" i="2" s="1"/>
  <c r="F8" i="2"/>
  <c r="G8" i="2" s="1"/>
  <c r="F7" i="2"/>
  <c r="G7" i="2" s="1"/>
  <c r="F3" i="2"/>
  <c r="G3" i="2" s="1"/>
  <c r="F535" i="2"/>
  <c r="G535" i="2" s="1"/>
  <c r="F640" i="2"/>
  <c r="G640" i="2" s="1"/>
  <c r="F367" i="2"/>
  <c r="G367" i="2" s="1"/>
  <c r="F366" i="2"/>
  <c r="G366" i="2" s="1"/>
  <c r="F286" i="2"/>
  <c r="G286" i="2" s="1"/>
  <c r="F285" i="2"/>
  <c r="G285" i="2" s="1"/>
  <c r="F197" i="2"/>
  <c r="G197" i="2" s="1"/>
  <c r="F198" i="2"/>
  <c r="G198" i="2" s="1"/>
  <c r="F27" i="2"/>
  <c r="G27" i="2" s="1"/>
  <c r="F746" i="2"/>
  <c r="G746" i="2" s="1"/>
  <c r="F674" i="2"/>
  <c r="G674" i="2" s="1"/>
  <c r="F606" i="2"/>
  <c r="G606" i="2" s="1"/>
  <c r="F598" i="2"/>
  <c r="G598" i="2" s="1"/>
  <c r="F324" i="2"/>
  <c r="G324" i="2" s="1"/>
  <c r="F316" i="2"/>
  <c r="G316" i="2" s="1"/>
  <c r="F237" i="2"/>
  <c r="G237" i="2" s="1"/>
  <c r="F229" i="2"/>
  <c r="G229" i="2" s="1"/>
  <c r="F127" i="2"/>
  <c r="G127" i="2" s="1"/>
  <c r="H848" i="2"/>
  <c r="G848" i="2" s="1"/>
  <c r="E847" i="2" s="1"/>
  <c r="F847" i="2" s="1"/>
  <c r="G847" i="2" s="1"/>
  <c r="K837" i="2"/>
  <c r="K838" i="2" s="1"/>
  <c r="K839" i="2" s="1"/>
  <c r="K840" i="2" s="1"/>
  <c r="K841" i="2" s="1"/>
  <c r="A836" i="2"/>
  <c r="A837" i="2" s="1"/>
  <c r="A838" i="2" s="1"/>
  <c r="A839" i="2" s="1"/>
  <c r="A840" i="2" s="1"/>
  <c r="A841" i="2" s="1"/>
  <c r="H834" i="2"/>
  <c r="G834" i="2" s="1"/>
  <c r="E833" i="2" s="1"/>
  <c r="F833" i="2" s="1"/>
  <c r="G833" i="2" s="1"/>
  <c r="K823" i="2"/>
  <c r="K824" i="2" s="1"/>
  <c r="K825" i="2" s="1"/>
  <c r="K826" i="2" s="1"/>
  <c r="K827" i="2" s="1"/>
  <c r="A822" i="2"/>
  <c r="A823" i="2" s="1"/>
  <c r="A824" i="2" s="1"/>
  <c r="A825" i="2" s="1"/>
  <c r="A826" i="2" s="1"/>
  <c r="A827" i="2" s="1"/>
  <c r="A821" i="2"/>
  <c r="H764" i="2"/>
  <c r="G764" i="2" s="1"/>
  <c r="E763" i="2" s="1"/>
  <c r="F763" i="2" s="1"/>
  <c r="G763" i="2" s="1"/>
  <c r="K758" i="2"/>
  <c r="F758" i="2"/>
  <c r="G758" i="2" s="1"/>
  <c r="A757" i="2"/>
  <c r="A758" i="2" s="1"/>
  <c r="A660" i="2"/>
  <c r="H658" i="2"/>
  <c r="G658" i="2" s="1"/>
  <c r="E657" i="2" s="1"/>
  <c r="F657" i="2" s="1"/>
  <c r="G657" i="2" s="1"/>
  <c r="K655" i="2"/>
  <c r="K656" i="2" s="1"/>
  <c r="K657" i="2" s="1"/>
  <c r="K658" i="2" s="1"/>
  <c r="K659" i="2" s="1"/>
  <c r="A654" i="2"/>
  <c r="A655" i="2" s="1"/>
  <c r="A656" i="2" s="1"/>
  <c r="A657" i="2" s="1"/>
  <c r="A658" i="2" s="1"/>
  <c r="A659" i="2" s="1"/>
  <c r="H591" i="2"/>
  <c r="G591" i="2" s="1"/>
  <c r="E590" i="2" s="1"/>
  <c r="F590" i="2" s="1"/>
  <c r="G590" i="2" s="1"/>
  <c r="K589" i="2"/>
  <c r="K590" i="2" s="1"/>
  <c r="K591" i="2" s="1"/>
  <c r="K592" i="2" s="1"/>
  <c r="K588" i="2"/>
  <c r="A587" i="2"/>
  <c r="H585" i="2"/>
  <c r="G585" i="2" s="1"/>
  <c r="E584" i="2" s="1"/>
  <c r="F584" i="2" s="1"/>
  <c r="G584" i="2" s="1"/>
  <c r="K582" i="2"/>
  <c r="K583" i="2" s="1"/>
  <c r="K584" i="2" s="1"/>
  <c r="K585" i="2" s="1"/>
  <c r="K586" i="2" s="1"/>
  <c r="A581" i="2"/>
  <c r="A582" i="2" s="1"/>
  <c r="A583" i="2" s="1"/>
  <c r="A584" i="2" s="1"/>
  <c r="A585" i="2" s="1"/>
  <c r="A586" i="2" s="1"/>
  <c r="A593" i="2"/>
  <c r="H570" i="2"/>
  <c r="G570" i="2" s="1"/>
  <c r="E569" i="2" s="1"/>
  <c r="F569" i="2" s="1"/>
  <c r="G569" i="2" s="1"/>
  <c r="F568" i="2"/>
  <c r="G568" i="2" s="1"/>
  <c r="K564" i="2"/>
  <c r="K565" i="2" s="1"/>
  <c r="K566" i="2" s="1"/>
  <c r="K567" i="2" s="1"/>
  <c r="K568" i="2" s="1"/>
  <c r="K569" i="2" s="1"/>
  <c r="K570" i="2" s="1"/>
  <c r="K571" i="2" s="1"/>
  <c r="A563" i="2"/>
  <c r="A564" i="2" s="1"/>
  <c r="A565" i="2" s="1"/>
  <c r="A566" i="2" s="1"/>
  <c r="A567" i="2" s="1"/>
  <c r="A568" i="2" s="1"/>
  <c r="A569" i="2" s="1"/>
  <c r="A570" i="2" s="1"/>
  <c r="A571" i="2" s="1"/>
  <c r="H402" i="2"/>
  <c r="G402" i="2" s="1"/>
  <c r="E401" i="2" s="1"/>
  <c r="F401" i="2" s="1"/>
  <c r="G401" i="2" s="1"/>
  <c r="K400" i="2"/>
  <c r="K401" i="2" s="1"/>
  <c r="K402" i="2" s="1"/>
  <c r="K403" i="2" s="1"/>
  <c r="K399" i="2"/>
  <c r="A398" i="2"/>
  <c r="H396" i="2"/>
  <c r="G396" i="2" s="1"/>
  <c r="E395" i="2" s="1"/>
  <c r="F395" i="2" s="1"/>
  <c r="G395" i="2" s="1"/>
  <c r="K393" i="2"/>
  <c r="K394" i="2" s="1"/>
  <c r="K395" i="2" s="1"/>
  <c r="K396" i="2" s="1"/>
  <c r="K397" i="2" s="1"/>
  <c r="A392" i="2"/>
  <c r="A393" i="2" s="1"/>
  <c r="A394" i="2" s="1"/>
  <c r="A395" i="2" s="1"/>
  <c r="A396" i="2" s="1"/>
  <c r="A397" i="2" s="1"/>
  <c r="A405" i="2"/>
  <c r="A404" i="2"/>
  <c r="K268" i="2"/>
  <c r="H276" i="2"/>
  <c r="G276" i="2" s="1"/>
  <c r="E275" i="2" s="1"/>
  <c r="F275" i="2" s="1"/>
  <c r="G275" i="2" s="1"/>
  <c r="K273" i="2"/>
  <c r="K274" i="2" s="1"/>
  <c r="K275" i="2" s="1"/>
  <c r="K276" i="2" s="1"/>
  <c r="K277" i="2" s="1"/>
  <c r="A272" i="2"/>
  <c r="A273" i="2" s="1"/>
  <c r="A274" i="2" s="1"/>
  <c r="A275" i="2" s="1"/>
  <c r="A276" i="2" s="1"/>
  <c r="A277" i="2" s="1"/>
  <c r="H270" i="2"/>
  <c r="G270" i="2" s="1"/>
  <c r="E269" i="2" s="1"/>
  <c r="F269" i="2" s="1"/>
  <c r="G269" i="2" s="1"/>
  <c r="K267" i="2"/>
  <c r="A266" i="2"/>
  <c r="H264" i="2"/>
  <c r="G264" i="2" s="1"/>
  <c r="E263" i="2" s="1"/>
  <c r="F263" i="2" s="1"/>
  <c r="G263" i="2" s="1"/>
  <c r="K261" i="2"/>
  <c r="K262" i="2" s="1"/>
  <c r="K263" i="2" s="1"/>
  <c r="K264" i="2" s="1"/>
  <c r="K265" i="2" s="1"/>
  <c r="A260" i="2"/>
  <c r="H183" i="2"/>
  <c r="G183" i="2" s="1"/>
  <c r="E182" i="2" s="1"/>
  <c r="F182" i="2" s="1"/>
  <c r="G182" i="2" s="1"/>
  <c r="K180" i="2"/>
  <c r="K181" i="2" s="1"/>
  <c r="K182" i="2" s="1"/>
  <c r="K183" i="2" s="1"/>
  <c r="K184" i="2" s="1"/>
  <c r="A179" i="2"/>
  <c r="A180" i="2" s="1"/>
  <c r="A181" i="2" s="1"/>
  <c r="A182" i="2" s="1"/>
  <c r="A183" i="2" s="1"/>
  <c r="A184" i="2" s="1"/>
  <c r="H189" i="2"/>
  <c r="G189" i="2" s="1"/>
  <c r="E188" i="2" s="1"/>
  <c r="F188" i="2" s="1"/>
  <c r="G188" i="2" s="1"/>
  <c r="K186" i="2"/>
  <c r="K187" i="2" s="1"/>
  <c r="K188" i="2" s="1"/>
  <c r="K189" i="2" s="1"/>
  <c r="K190" i="2" s="1"/>
  <c r="A185" i="2"/>
  <c r="A186" i="2" s="1"/>
  <c r="A187" i="2" s="1"/>
  <c r="A188" i="2" s="1"/>
  <c r="A189" i="2" s="1"/>
  <c r="A190" i="2" s="1"/>
  <c r="H177" i="2"/>
  <c r="G177" i="2" s="1"/>
  <c r="E176" i="2" s="1"/>
  <c r="F176" i="2" s="1"/>
  <c r="G176" i="2" s="1"/>
  <c r="K174" i="2"/>
  <c r="K175" i="2" s="1"/>
  <c r="K176" i="2" s="1"/>
  <c r="K177" i="2" s="1"/>
  <c r="K178" i="2" s="1"/>
  <c r="A173" i="2"/>
  <c r="A174" i="2" s="1"/>
  <c r="A175" i="2" s="1"/>
  <c r="A176" i="2" s="1"/>
  <c r="A177" i="2" s="1"/>
  <c r="A178" i="2" s="1"/>
  <c r="H171" i="2"/>
  <c r="G171" i="2" s="1"/>
  <c r="E170" i="2" s="1"/>
  <c r="F170" i="2" s="1"/>
  <c r="G170" i="2" s="1"/>
  <c r="K168" i="2"/>
  <c r="A167" i="2"/>
  <c r="A168" i="2" s="1"/>
  <c r="A169" i="2" s="1"/>
  <c r="A170" i="2" s="1"/>
  <c r="A171" i="2" s="1"/>
  <c r="A172" i="2" s="1"/>
  <c r="A311" i="2"/>
  <c r="F119" i="2"/>
  <c r="G119" i="2" s="1"/>
  <c r="A224" i="2"/>
  <c r="K193" i="2"/>
  <c r="K195" i="2" s="1"/>
  <c r="F5" i="2"/>
  <c r="G5" i="2" s="1"/>
  <c r="H819" i="2"/>
  <c r="G819" i="2" s="1"/>
  <c r="E818" i="2" s="1"/>
  <c r="F818" i="2" s="1"/>
  <c r="G818" i="2" s="1"/>
  <c r="K813" i="2"/>
  <c r="K814" i="2" s="1"/>
  <c r="F813" i="2"/>
  <c r="G813" i="2" s="1"/>
  <c r="A812" i="2"/>
  <c r="A813" i="2" s="1"/>
  <c r="A814" i="2" s="1"/>
  <c r="H803" i="2"/>
  <c r="G803" i="2" s="1"/>
  <c r="E802" i="2" s="1"/>
  <c r="F802" i="2" s="1"/>
  <c r="G802" i="2" s="1"/>
  <c r="K797" i="2"/>
  <c r="K798" i="2" s="1"/>
  <c r="F797" i="2"/>
  <c r="G797" i="2" s="1"/>
  <c r="A796" i="2"/>
  <c r="A797" i="2" s="1"/>
  <c r="A798" i="2" s="1"/>
  <c r="H794" i="2"/>
  <c r="G794" i="2" s="1"/>
  <c r="E793" i="2" s="1"/>
  <c r="F793" i="2" s="1"/>
  <c r="G793" i="2" s="1"/>
  <c r="K791" i="2"/>
  <c r="K792" i="2" s="1"/>
  <c r="K793" i="2" s="1"/>
  <c r="K794" i="2" s="1"/>
  <c r="K795" i="2" s="1"/>
  <c r="F791" i="2"/>
  <c r="G791" i="2" s="1"/>
  <c r="A790" i="2"/>
  <c r="A791" i="2" s="1"/>
  <c r="A792" i="2" s="1"/>
  <c r="A793" i="2" s="1"/>
  <c r="A794" i="2" s="1"/>
  <c r="A795" i="2" s="1"/>
  <c r="H781" i="2"/>
  <c r="G781" i="2" s="1"/>
  <c r="E780" i="2" s="1"/>
  <c r="F780" i="2" s="1"/>
  <c r="G780" i="2" s="1"/>
  <c r="K775" i="2"/>
  <c r="F775" i="2"/>
  <c r="G775" i="2" s="1"/>
  <c r="A774" i="2"/>
  <c r="A775" i="2" s="1"/>
  <c r="H788" i="2"/>
  <c r="G788" i="2" s="1"/>
  <c r="E787" i="2" s="1"/>
  <c r="F787" i="2" s="1"/>
  <c r="G787" i="2" s="1"/>
  <c r="K784" i="2"/>
  <c r="K785" i="2" s="1"/>
  <c r="K786" i="2" s="1"/>
  <c r="K787" i="2" s="1"/>
  <c r="K788" i="2" s="1"/>
  <c r="K789" i="2" s="1"/>
  <c r="F784" i="2"/>
  <c r="G784" i="2" s="1"/>
  <c r="A783" i="2"/>
  <c r="A784" i="2" s="1"/>
  <c r="A785" i="2" s="1"/>
  <c r="A786" i="2" s="1"/>
  <c r="A787" i="2" s="1"/>
  <c r="A788" i="2" s="1"/>
  <c r="A789" i="2" s="1"/>
  <c r="H810" i="2"/>
  <c r="G810" i="2" s="1"/>
  <c r="E809" i="2" s="1"/>
  <c r="F809" i="2" s="1"/>
  <c r="G809" i="2" s="1"/>
  <c r="K806" i="2"/>
  <c r="F806" i="2"/>
  <c r="G806" i="2" s="1"/>
  <c r="A805" i="2"/>
  <c r="A806" i="2" s="1"/>
  <c r="H772" i="2"/>
  <c r="G772" i="2" s="1"/>
  <c r="E771" i="2" s="1"/>
  <c r="F771" i="2" s="1"/>
  <c r="G771" i="2" s="1"/>
  <c r="K767" i="2"/>
  <c r="F767" i="2"/>
  <c r="G767" i="2" s="1"/>
  <c r="A766" i="2"/>
  <c r="A767" i="2" s="1"/>
  <c r="H755" i="2"/>
  <c r="G755" i="2" s="1"/>
  <c r="E754" i="2" s="1"/>
  <c r="F754" i="2" s="1"/>
  <c r="G754" i="2" s="1"/>
  <c r="K751" i="2"/>
  <c r="K752" i="2" s="1"/>
  <c r="K753" i="2" s="1"/>
  <c r="F751" i="2"/>
  <c r="G751" i="2" s="1"/>
  <c r="A750" i="2"/>
  <c r="A751" i="2" s="1"/>
  <c r="A752" i="2" s="1"/>
  <c r="A753" i="2" s="1"/>
  <c r="H748" i="2"/>
  <c r="G748" i="2" s="1"/>
  <c r="E747" i="2" s="1"/>
  <c r="F747" i="2" s="1"/>
  <c r="G747" i="2" s="1"/>
  <c r="K743" i="2"/>
  <c r="K744" i="2" s="1"/>
  <c r="K745" i="2" s="1"/>
  <c r="F743" i="2"/>
  <c r="G743" i="2" s="1"/>
  <c r="A742" i="2"/>
  <c r="A743" i="2" s="1"/>
  <c r="A744" i="2" s="1"/>
  <c r="A745" i="2" s="1"/>
  <c r="F734" i="2"/>
  <c r="G734" i="2" s="1"/>
  <c r="H740" i="2"/>
  <c r="G740" i="2" s="1"/>
  <c r="E739" i="2" s="1"/>
  <c r="F739" i="2" s="1"/>
  <c r="G739" i="2" s="1"/>
  <c r="K733" i="2"/>
  <c r="K734" i="2" s="1"/>
  <c r="K735" i="2" s="1"/>
  <c r="K736" i="2" s="1"/>
  <c r="K737" i="2" s="1"/>
  <c r="K738" i="2" s="1"/>
  <c r="K739" i="2" s="1"/>
  <c r="K740" i="2" s="1"/>
  <c r="K741" i="2" s="1"/>
  <c r="A732" i="2"/>
  <c r="F725" i="2"/>
  <c r="G725" i="2" s="1"/>
  <c r="F718" i="2"/>
  <c r="G718" i="2" s="1"/>
  <c r="F695" i="2"/>
  <c r="G695" i="2" s="1"/>
  <c r="H730" i="2"/>
  <c r="G730" i="2" s="1"/>
  <c r="F728" i="2"/>
  <c r="G728" i="2" s="1"/>
  <c r="F727" i="2"/>
  <c r="G727" i="2" s="1"/>
  <c r="K724" i="2"/>
  <c r="K725" i="2" s="1"/>
  <c r="K726" i="2" s="1"/>
  <c r="K727" i="2" s="1"/>
  <c r="K728" i="2" s="1"/>
  <c r="K729" i="2" s="1"/>
  <c r="K730" i="2" s="1"/>
  <c r="K731" i="2" s="1"/>
  <c r="A723" i="2"/>
  <c r="A724" i="2" s="1"/>
  <c r="A725" i="2" s="1"/>
  <c r="A726" i="2" s="1"/>
  <c r="A727" i="2" s="1"/>
  <c r="A728" i="2" s="1"/>
  <c r="A729" i="2" s="1"/>
  <c r="A730" i="2" s="1"/>
  <c r="A731" i="2" s="1"/>
  <c r="H721" i="2"/>
  <c r="G721" i="2" s="1"/>
  <c r="E720" i="2" s="1"/>
  <c r="F720" i="2" s="1"/>
  <c r="G720" i="2" s="1"/>
  <c r="F719" i="2"/>
  <c r="G719" i="2" s="1"/>
  <c r="K713" i="2"/>
  <c r="K714" i="2" s="1"/>
  <c r="K715" i="2" s="1"/>
  <c r="K716" i="2" s="1"/>
  <c r="K717" i="2" s="1"/>
  <c r="A712" i="2"/>
  <c r="A713" i="2" s="1"/>
  <c r="A714" i="2" s="1"/>
  <c r="A715" i="2" s="1"/>
  <c r="A716" i="2" s="1"/>
  <c r="A717" i="2" s="1"/>
  <c r="H710" i="2"/>
  <c r="G710" i="2" s="1"/>
  <c r="E709" i="2" s="1"/>
  <c r="F709" i="2" s="1"/>
  <c r="G709" i="2" s="1"/>
  <c r="F708" i="2"/>
  <c r="G708" i="2" s="1"/>
  <c r="F707" i="2"/>
  <c r="G707" i="2" s="1"/>
  <c r="F696" i="2"/>
  <c r="G696" i="2" s="1"/>
  <c r="K694" i="2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A693" i="2"/>
  <c r="H691" i="2"/>
  <c r="G691" i="2" s="1"/>
  <c r="E690" i="2" s="1"/>
  <c r="F690" i="2" s="1"/>
  <c r="G690" i="2" s="1"/>
  <c r="K687" i="2"/>
  <c r="K688" i="2" s="1"/>
  <c r="K689" i="2" s="1"/>
  <c r="K690" i="2" s="1"/>
  <c r="K691" i="2" s="1"/>
  <c r="K692" i="2" s="1"/>
  <c r="A686" i="2"/>
  <c r="A687" i="2" s="1"/>
  <c r="A688" i="2" s="1"/>
  <c r="A689" i="2" s="1"/>
  <c r="A690" i="2" s="1"/>
  <c r="A691" i="2" s="1"/>
  <c r="A692" i="2" s="1"/>
  <c r="H684" i="2"/>
  <c r="G684" i="2" s="1"/>
  <c r="E683" i="2" s="1"/>
  <c r="F683" i="2" s="1"/>
  <c r="G683" i="2" s="1"/>
  <c r="K680" i="2"/>
  <c r="K681" i="2" s="1"/>
  <c r="K682" i="2" s="1"/>
  <c r="K683" i="2" s="1"/>
  <c r="K684" i="2" s="1"/>
  <c r="K685" i="2" s="1"/>
  <c r="A679" i="2"/>
  <c r="A680" i="2" s="1"/>
  <c r="A681" i="2" s="1"/>
  <c r="A682" i="2" s="1"/>
  <c r="A683" i="2" s="1"/>
  <c r="A684" i="2" s="1"/>
  <c r="A685" i="2" s="1"/>
  <c r="F675" i="2"/>
  <c r="G675" i="2" s="1"/>
  <c r="A675" i="2"/>
  <c r="A672" i="2"/>
  <c r="A663" i="2"/>
  <c r="K662" i="2"/>
  <c r="K663" i="2" s="1"/>
  <c r="K664" i="2" s="1"/>
  <c r="K665" i="2" s="1"/>
  <c r="K666" i="2" s="1"/>
  <c r="K667" i="2" s="1"/>
  <c r="K668" i="2" s="1"/>
  <c r="K669" i="2" s="1"/>
  <c r="K670" i="2" s="1"/>
  <c r="H633" i="2"/>
  <c r="G633" i="2" s="1"/>
  <c r="E632" i="2" s="1"/>
  <c r="F632" i="2" s="1"/>
  <c r="G632" i="2" s="1"/>
  <c r="K628" i="2"/>
  <c r="F628" i="2"/>
  <c r="G628" i="2" s="1"/>
  <c r="A627" i="2"/>
  <c r="A628" i="2" s="1"/>
  <c r="A594" i="2"/>
  <c r="A595" i="2" s="1"/>
  <c r="A596" i="2" s="1"/>
  <c r="A597" i="2" s="1"/>
  <c r="F595" i="2"/>
  <c r="G595" i="2" s="1"/>
  <c r="K595" i="2"/>
  <c r="K596" i="2" s="1"/>
  <c r="K597" i="2" s="1"/>
  <c r="H600" i="2"/>
  <c r="G600" i="2" s="1"/>
  <c r="E599" i="2" s="1"/>
  <c r="F599" i="2" s="1"/>
  <c r="G599" i="2" s="1"/>
  <c r="A602" i="2"/>
  <c r="A603" i="2" s="1"/>
  <c r="A604" i="2" s="1"/>
  <c r="A605" i="2" s="1"/>
  <c r="F603" i="2"/>
  <c r="G603" i="2" s="1"/>
  <c r="K603" i="2"/>
  <c r="K604" i="2" s="1"/>
  <c r="K605" i="2" s="1"/>
  <c r="H608" i="2"/>
  <c r="G608" i="2" s="1"/>
  <c r="E607" i="2" s="1"/>
  <c r="F607" i="2" s="1"/>
  <c r="G607" i="2" s="1"/>
  <c r="A610" i="2"/>
  <c r="A611" i="2" s="1"/>
  <c r="A612" i="2" s="1"/>
  <c r="F611" i="2"/>
  <c r="G611" i="2" s="1"/>
  <c r="K611" i="2"/>
  <c r="K612" i="2" s="1"/>
  <c r="H616" i="2"/>
  <c r="G616" i="2" s="1"/>
  <c r="E615" i="2" s="1"/>
  <c r="F615" i="2" s="1"/>
  <c r="G615" i="2" s="1"/>
  <c r="A618" i="2"/>
  <c r="A619" i="2" s="1"/>
  <c r="F619" i="2"/>
  <c r="G619" i="2" s="1"/>
  <c r="K619" i="2"/>
  <c r="H625" i="2"/>
  <c r="G625" i="2" s="1"/>
  <c r="E624" i="2" s="1"/>
  <c r="F624" i="2" s="1"/>
  <c r="G624" i="2" s="1"/>
  <c r="A635" i="2"/>
  <c r="A636" i="2" s="1"/>
  <c r="A637" i="2" s="1"/>
  <c r="A638" i="2" s="1"/>
  <c r="A639" i="2" s="1"/>
  <c r="A640" i="2" s="1"/>
  <c r="A641" i="2" s="1"/>
  <c r="A642" i="2" s="1"/>
  <c r="A643" i="2" s="1"/>
  <c r="K636" i="2"/>
  <c r="K637" i="2" s="1"/>
  <c r="K638" i="2" s="1"/>
  <c r="K639" i="2" s="1"/>
  <c r="K640" i="2" s="1"/>
  <c r="K641" i="2" s="1"/>
  <c r="K642" i="2" s="1"/>
  <c r="K643" i="2" s="1"/>
  <c r="H642" i="2"/>
  <c r="G642" i="2" s="1"/>
  <c r="E641" i="2" s="1"/>
  <c r="F641" i="2" s="1"/>
  <c r="G641" i="2" s="1"/>
  <c r="A644" i="2"/>
  <c r="K645" i="2"/>
  <c r="K649" i="2"/>
  <c r="H652" i="2"/>
  <c r="G652" i="2" s="1"/>
  <c r="E651" i="2" s="1"/>
  <c r="F651" i="2" s="1"/>
  <c r="G651" i="2" s="1"/>
  <c r="H540" i="2"/>
  <c r="G540" i="2" s="1"/>
  <c r="E539" i="2" s="1"/>
  <c r="F539" i="2" s="1"/>
  <c r="G539" i="2" s="1"/>
  <c r="K535" i="2"/>
  <c r="A534" i="2"/>
  <c r="A535" i="2" s="1"/>
  <c r="A536" i="2" s="1"/>
  <c r="A537" i="2" s="1"/>
  <c r="A538" i="2" s="1"/>
  <c r="A539" i="2" s="1"/>
  <c r="A540" i="2" s="1"/>
  <c r="A541" i="2" s="1"/>
  <c r="H579" i="2"/>
  <c r="G579" i="2" s="1"/>
  <c r="E578" i="2" s="1"/>
  <c r="F578" i="2" s="1"/>
  <c r="G578" i="2" s="1"/>
  <c r="K573" i="2"/>
  <c r="K574" i="2" s="1"/>
  <c r="K575" i="2" s="1"/>
  <c r="K576" i="2" s="1"/>
  <c r="K577" i="2" s="1"/>
  <c r="K578" i="2" s="1"/>
  <c r="K579" i="2" s="1"/>
  <c r="K580" i="2" s="1"/>
  <c r="A572" i="2"/>
  <c r="H561" i="2"/>
  <c r="G561" i="2" s="1"/>
  <c r="E560" i="2" s="1"/>
  <c r="F560" i="2" s="1"/>
  <c r="G560" i="2" s="1"/>
  <c r="F559" i="2"/>
  <c r="G559" i="2" s="1"/>
  <c r="K555" i="2"/>
  <c r="K556" i="2" s="1"/>
  <c r="K557" i="2" s="1"/>
  <c r="K558" i="2" s="1"/>
  <c r="K559" i="2" s="1"/>
  <c r="K560" i="2" s="1"/>
  <c r="K561" i="2" s="1"/>
  <c r="K562" i="2" s="1"/>
  <c r="A554" i="2"/>
  <c r="A555" i="2" s="1"/>
  <c r="A556" i="2" s="1"/>
  <c r="A557" i="2" s="1"/>
  <c r="A558" i="2" s="1"/>
  <c r="A559" i="2" s="1"/>
  <c r="A560" i="2" s="1"/>
  <c r="A561" i="2" s="1"/>
  <c r="A562" i="2" s="1"/>
  <c r="H552" i="2"/>
  <c r="G552" i="2" s="1"/>
  <c r="E551" i="2" s="1"/>
  <c r="F551" i="2" s="1"/>
  <c r="G551" i="2" s="1"/>
  <c r="K543" i="2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A542" i="2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H532" i="2"/>
  <c r="G532" i="2" s="1"/>
  <c r="E531" i="2" s="1"/>
  <c r="F531" i="2" s="1"/>
  <c r="G531" i="2" s="1"/>
  <c r="K526" i="2"/>
  <c r="F526" i="2"/>
  <c r="G526" i="2" s="1"/>
  <c r="A525" i="2"/>
  <c r="A526" i="2" s="1"/>
  <c r="H523" i="2"/>
  <c r="G523" i="2" s="1"/>
  <c r="E522" i="2" s="1"/>
  <c r="F522" i="2" s="1"/>
  <c r="G522" i="2" s="1"/>
  <c r="K518" i="2"/>
  <c r="F518" i="2"/>
  <c r="G518" i="2" s="1"/>
  <c r="A517" i="2"/>
  <c r="A518" i="2" s="1"/>
  <c r="H515" i="2"/>
  <c r="G515" i="2" s="1"/>
  <c r="E514" i="2" s="1"/>
  <c r="F514" i="2" s="1"/>
  <c r="G514" i="2" s="1"/>
  <c r="K510" i="2"/>
  <c r="K511" i="2" s="1"/>
  <c r="K512" i="2" s="1"/>
  <c r="F510" i="2"/>
  <c r="G510" i="2" s="1"/>
  <c r="A509" i="2"/>
  <c r="A510" i="2" s="1"/>
  <c r="A511" i="2" s="1"/>
  <c r="A512" i="2" s="1"/>
  <c r="H507" i="2"/>
  <c r="G507" i="2" s="1"/>
  <c r="E506" i="2" s="1"/>
  <c r="F506" i="2" s="1"/>
  <c r="G506" i="2" s="1"/>
  <c r="K502" i="2"/>
  <c r="K503" i="2" s="1"/>
  <c r="K504" i="2" s="1"/>
  <c r="F502" i="2"/>
  <c r="G502" i="2" s="1"/>
  <c r="A501" i="2"/>
  <c r="A502" i="2" s="1"/>
  <c r="A503" i="2" s="1"/>
  <c r="A504" i="2" s="1"/>
  <c r="F496" i="2"/>
  <c r="G496" i="2" s="1"/>
  <c r="H499" i="2"/>
  <c r="G499" i="2" s="1"/>
  <c r="E498" i="2" s="1"/>
  <c r="F498" i="2" s="1"/>
  <c r="G498" i="2" s="1"/>
  <c r="F497" i="2"/>
  <c r="G497" i="2" s="1"/>
  <c r="K491" i="2"/>
  <c r="A490" i="2"/>
  <c r="A491" i="2" s="1"/>
  <c r="H488" i="2"/>
  <c r="G488" i="2" s="1"/>
  <c r="E487" i="2" s="1"/>
  <c r="F487" i="2" s="1"/>
  <c r="G487" i="2" s="1"/>
  <c r="F486" i="2"/>
  <c r="G486" i="2" s="1"/>
  <c r="F485" i="2"/>
  <c r="G485" i="2" s="1"/>
  <c r="F480" i="2"/>
  <c r="G480" i="2" s="1"/>
  <c r="K479" i="2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A478" i="2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H476" i="2"/>
  <c r="G476" i="2" s="1"/>
  <c r="E475" i="2" s="1"/>
  <c r="F475" i="2" s="1"/>
  <c r="G475" i="2" s="1"/>
  <c r="K470" i="2"/>
  <c r="K471" i="2" s="1"/>
  <c r="K472" i="2" s="1"/>
  <c r="K473" i="2" s="1"/>
  <c r="K474" i="2" s="1"/>
  <c r="K475" i="2" s="1"/>
  <c r="K476" i="2" s="1"/>
  <c r="K477" i="2" s="1"/>
  <c r="A469" i="2"/>
  <c r="A470" i="2" s="1"/>
  <c r="A471" i="2" s="1"/>
  <c r="A472" i="2" s="1"/>
  <c r="A473" i="2" s="1"/>
  <c r="A474" i="2" s="1"/>
  <c r="A475" i="2" s="1"/>
  <c r="A476" i="2" s="1"/>
  <c r="A477" i="2" s="1"/>
  <c r="F450" i="2"/>
  <c r="G450" i="2" s="1"/>
  <c r="F431" i="2"/>
  <c r="G431" i="2" s="1"/>
  <c r="K408" i="2"/>
  <c r="F408" i="2"/>
  <c r="G408" i="2" s="1"/>
  <c r="H433" i="2"/>
  <c r="G433" i="2" s="1"/>
  <c r="E432" i="2" s="1"/>
  <c r="F432" i="2" s="1"/>
  <c r="G432" i="2" s="1"/>
  <c r="K422" i="2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A421" i="2"/>
  <c r="H467" i="2"/>
  <c r="G467" i="2" s="1"/>
  <c r="E466" i="2" s="1"/>
  <c r="F466" i="2" s="1"/>
  <c r="G466" i="2" s="1"/>
  <c r="F465" i="2"/>
  <c r="G465" i="2" s="1"/>
  <c r="F464" i="2"/>
  <c r="G464" i="2" s="1"/>
  <c r="F459" i="2"/>
  <c r="G459" i="2" s="1"/>
  <c r="K458" i="2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A457" i="2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H455" i="2"/>
  <c r="G455" i="2" s="1"/>
  <c r="F453" i="2"/>
  <c r="G453" i="2" s="1"/>
  <c r="F452" i="2"/>
  <c r="G452" i="2" s="1"/>
  <c r="F451" i="2"/>
  <c r="G451" i="2" s="1"/>
  <c r="F437" i="2"/>
  <c r="G437" i="2" s="1"/>
  <c r="K436" i="2"/>
  <c r="K438" i="2" s="1"/>
  <c r="K440" i="2" s="1"/>
  <c r="K442" i="2" s="1"/>
  <c r="K444" i="2" s="1"/>
  <c r="K446" i="2" s="1"/>
  <c r="K448" i="2" s="1"/>
  <c r="K450" i="2" s="1"/>
  <c r="K452" i="2" s="1"/>
  <c r="K454" i="2" s="1"/>
  <c r="K456" i="2" s="1"/>
  <c r="A435" i="2"/>
  <c r="A436" i="2" s="1"/>
  <c r="A438" i="2" s="1"/>
  <c r="A440" i="2" s="1"/>
  <c r="A442" i="2" s="1"/>
  <c r="A444" i="2" s="1"/>
  <c r="A446" i="2" s="1"/>
  <c r="A448" i="2" s="1"/>
  <c r="A450" i="2" s="1"/>
  <c r="A452" i="2" s="1"/>
  <c r="A454" i="2" s="1"/>
  <c r="A456" i="2" s="1"/>
  <c r="H419" i="2"/>
  <c r="G419" i="2" s="1"/>
  <c r="E418" i="2" s="1"/>
  <c r="F418" i="2" s="1"/>
  <c r="G418" i="2" s="1"/>
  <c r="F417" i="2"/>
  <c r="G417" i="2" s="1"/>
  <c r="F416" i="2"/>
  <c r="G416" i="2" s="1"/>
  <c r="F410" i="2"/>
  <c r="G410" i="2" s="1"/>
  <c r="F409" i="2"/>
  <c r="G409" i="2" s="1"/>
  <c r="K407" i="2"/>
  <c r="K409" i="2" s="1"/>
  <c r="K410" i="2" s="1"/>
  <c r="K411" i="2" s="1"/>
  <c r="K412" i="2" s="1"/>
  <c r="A406" i="2"/>
  <c r="H357" i="2"/>
  <c r="G357" i="2" s="1"/>
  <c r="E356" i="2" s="1"/>
  <c r="F356" i="2" s="1"/>
  <c r="G356" i="2" s="1"/>
  <c r="K348" i="2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A347" i="2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H390" i="2"/>
  <c r="G390" i="2" s="1"/>
  <c r="E389" i="2" s="1"/>
  <c r="F389" i="2" s="1"/>
  <c r="G389" i="2" s="1"/>
  <c r="K387" i="2"/>
  <c r="K382" i="2"/>
  <c r="A381" i="2"/>
  <c r="H379" i="2"/>
  <c r="G379" i="2" s="1"/>
  <c r="E378" i="2" s="1"/>
  <c r="F378" i="2" s="1"/>
  <c r="G378" i="2" s="1"/>
  <c r="K376" i="2"/>
  <c r="K372" i="2"/>
  <c r="A371" i="2"/>
  <c r="H369" i="2"/>
  <c r="G369" i="2" s="1"/>
  <c r="E368" i="2" s="1"/>
  <c r="F368" i="2" s="1"/>
  <c r="G368" i="2" s="1"/>
  <c r="K360" i="2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A359" i="2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H345" i="2"/>
  <c r="G345" i="2" s="1"/>
  <c r="E344" i="2" s="1"/>
  <c r="F344" i="2" s="1"/>
  <c r="G344" i="2" s="1"/>
  <c r="K337" i="2"/>
  <c r="F337" i="2"/>
  <c r="G337" i="2" s="1"/>
  <c r="A336" i="2"/>
  <c r="A337" i="2" s="1"/>
  <c r="H334" i="2"/>
  <c r="G334" i="2" s="1"/>
  <c r="E333" i="2" s="1"/>
  <c r="F333" i="2" s="1"/>
  <c r="G333" i="2" s="1"/>
  <c r="K329" i="2"/>
  <c r="F329" i="2"/>
  <c r="G329" i="2" s="1"/>
  <c r="A328" i="2"/>
  <c r="A329" i="2" s="1"/>
  <c r="H326" i="2"/>
  <c r="G326" i="2" s="1"/>
  <c r="E325" i="2" s="1"/>
  <c r="F325" i="2" s="1"/>
  <c r="G325" i="2" s="1"/>
  <c r="K321" i="2"/>
  <c r="F321" i="2"/>
  <c r="G321" i="2" s="1"/>
  <c r="A320" i="2"/>
  <c r="A321" i="2" s="1"/>
  <c r="H318" i="2"/>
  <c r="G318" i="2" s="1"/>
  <c r="E317" i="2" s="1"/>
  <c r="F317" i="2" s="1"/>
  <c r="G317" i="2" s="1"/>
  <c r="K313" i="2"/>
  <c r="F313" i="2"/>
  <c r="G313" i="2" s="1"/>
  <c r="A312" i="2"/>
  <c r="A313" i="2" s="1"/>
  <c r="H309" i="2"/>
  <c r="G309" i="2" s="1"/>
  <c r="E308" i="2" s="1"/>
  <c r="F308" i="2" s="1"/>
  <c r="G308" i="2" s="1"/>
  <c r="K306" i="2"/>
  <c r="K301" i="2"/>
  <c r="A300" i="2"/>
  <c r="H298" i="2"/>
  <c r="G298" i="2" s="1"/>
  <c r="E297" i="2" s="1"/>
  <c r="F297" i="2" s="1"/>
  <c r="G297" i="2" s="1"/>
  <c r="K295" i="2"/>
  <c r="K291" i="2"/>
  <c r="A290" i="2"/>
  <c r="H288" i="2"/>
  <c r="G288" i="2" s="1"/>
  <c r="E287" i="2" s="1"/>
  <c r="F287" i="2" s="1"/>
  <c r="G287" i="2" s="1"/>
  <c r="K279" i="2"/>
  <c r="K280" i="2" s="1"/>
  <c r="K281" i="2" s="1"/>
  <c r="K282" i="2" s="1"/>
  <c r="K283" i="2" s="1"/>
  <c r="K284" i="2" s="1"/>
  <c r="A278" i="2"/>
  <c r="A279" i="2" s="1"/>
  <c r="A280" i="2" s="1"/>
  <c r="A281" i="2" s="1"/>
  <c r="A282" i="2" s="1"/>
  <c r="A283" i="2" s="1"/>
  <c r="A284" i="2" s="1"/>
  <c r="H258" i="2"/>
  <c r="G258" i="2" s="1"/>
  <c r="E257" i="2" s="1"/>
  <c r="F257" i="2" s="1"/>
  <c r="G257" i="2" s="1"/>
  <c r="K250" i="2"/>
  <c r="F250" i="2"/>
  <c r="G250" i="2" s="1"/>
  <c r="A249" i="2"/>
  <c r="A250" i="2" s="1"/>
  <c r="H247" i="2"/>
  <c r="G247" i="2" s="1"/>
  <c r="E246" i="2" s="1"/>
  <c r="F246" i="2" s="1"/>
  <c r="G246" i="2" s="1"/>
  <c r="K242" i="2"/>
  <c r="F242" i="2"/>
  <c r="G242" i="2" s="1"/>
  <c r="A241" i="2"/>
  <c r="A242" i="2" s="1"/>
  <c r="H239" i="2"/>
  <c r="G239" i="2" s="1"/>
  <c r="E238" i="2" s="1"/>
  <c r="F238" i="2" s="1"/>
  <c r="G238" i="2" s="1"/>
  <c r="K234" i="2"/>
  <c r="K235" i="2" s="1"/>
  <c r="F234" i="2"/>
  <c r="G234" i="2" s="1"/>
  <c r="A233" i="2"/>
  <c r="A234" i="2" s="1"/>
  <c r="A235" i="2" s="1"/>
  <c r="H231" i="2"/>
  <c r="G231" i="2" s="1"/>
  <c r="E230" i="2" s="1"/>
  <c r="F230" i="2" s="1"/>
  <c r="G230" i="2" s="1"/>
  <c r="K226" i="2"/>
  <c r="K227" i="2" s="1"/>
  <c r="F226" i="2"/>
  <c r="G226" i="2" s="1"/>
  <c r="A225" i="2"/>
  <c r="A226" i="2" s="1"/>
  <c r="A227" i="2" s="1"/>
  <c r="H222" i="2"/>
  <c r="G222" i="2" s="1"/>
  <c r="E221" i="2" s="1"/>
  <c r="F221" i="2" s="1"/>
  <c r="G221" i="2" s="1"/>
  <c r="K219" i="2"/>
  <c r="K214" i="2"/>
  <c r="A213" i="2"/>
  <c r="K208" i="2"/>
  <c r="H211" i="2"/>
  <c r="G211" i="2" s="1"/>
  <c r="E210" i="2" s="1"/>
  <c r="F210" i="2" s="1"/>
  <c r="G210" i="2" s="1"/>
  <c r="K204" i="2"/>
  <c r="A203" i="2"/>
  <c r="H201" i="2"/>
  <c r="G201" i="2" s="1"/>
  <c r="E200" i="2" s="1"/>
  <c r="F200" i="2" s="1"/>
  <c r="G200" i="2" s="1"/>
  <c r="K192" i="2"/>
  <c r="K194" i="2" s="1"/>
  <c r="K196" i="2" s="1"/>
  <c r="K197" i="2" s="1"/>
  <c r="F192" i="2"/>
  <c r="G192" i="2" s="1"/>
  <c r="A191" i="2"/>
  <c r="H148" i="2"/>
  <c r="G148" i="2" s="1"/>
  <c r="E147" i="2" s="1"/>
  <c r="F147" i="2" s="1"/>
  <c r="G147" i="2" s="1"/>
  <c r="K140" i="2"/>
  <c r="K144" i="2" s="1"/>
  <c r="F140" i="2"/>
  <c r="G140" i="2" s="1"/>
  <c r="A139" i="2"/>
  <c r="A140" i="2" s="1"/>
  <c r="H165" i="2"/>
  <c r="G165" i="2" s="1"/>
  <c r="E164" i="2" s="1"/>
  <c r="F164" i="2" s="1"/>
  <c r="G164" i="2" s="1"/>
  <c r="K159" i="2"/>
  <c r="K161" i="2" s="1"/>
  <c r="F159" i="2"/>
  <c r="G159" i="2" s="1"/>
  <c r="A158" i="2"/>
  <c r="A159" i="2" s="1"/>
  <c r="A161" i="2" s="1"/>
  <c r="H156" i="2"/>
  <c r="G156" i="2" s="1"/>
  <c r="E155" i="2" s="1"/>
  <c r="F155" i="2" s="1"/>
  <c r="G155" i="2" s="1"/>
  <c r="K151" i="2"/>
  <c r="F151" i="2"/>
  <c r="G151" i="2" s="1"/>
  <c r="A150" i="2"/>
  <c r="H137" i="2"/>
  <c r="G137" i="2" s="1"/>
  <c r="E136" i="2" s="1"/>
  <c r="F136" i="2" s="1"/>
  <c r="G136" i="2" s="1"/>
  <c r="K132" i="2"/>
  <c r="F132" i="2"/>
  <c r="G132" i="2" s="1"/>
  <c r="A131" i="2"/>
  <c r="A132" i="2" s="1"/>
  <c r="H129" i="2"/>
  <c r="G129" i="2" s="1"/>
  <c r="E128" i="2" s="1"/>
  <c r="F128" i="2" s="1"/>
  <c r="G128" i="2" s="1"/>
  <c r="K124" i="2"/>
  <c r="K125" i="2" s="1"/>
  <c r="K127" i="2" s="1"/>
  <c r="F124" i="2"/>
  <c r="G124" i="2" s="1"/>
  <c r="A123" i="2"/>
  <c r="A124" i="2" s="1"/>
  <c r="A125" i="2" s="1"/>
  <c r="A127" i="2" s="1"/>
  <c r="H121" i="2"/>
  <c r="G121" i="2" s="1"/>
  <c r="E120" i="2" s="1"/>
  <c r="F120" i="2" s="1"/>
  <c r="G120" i="2" s="1"/>
  <c r="K116" i="2"/>
  <c r="K117" i="2" s="1"/>
  <c r="F116" i="2"/>
  <c r="G116" i="2" s="1"/>
  <c r="A115" i="2"/>
  <c r="A116" i="2" s="1"/>
  <c r="A117" i="2" s="1"/>
  <c r="F81" i="2"/>
  <c r="G81" i="2" s="1"/>
  <c r="H113" i="2"/>
  <c r="G113" i="2" s="1"/>
  <c r="E112" i="2" s="1"/>
  <c r="F112" i="2" s="1"/>
  <c r="G112" i="2" s="1"/>
  <c r="K110" i="2"/>
  <c r="K111" i="2" s="1"/>
  <c r="K112" i="2" s="1"/>
  <c r="K113" i="2" s="1"/>
  <c r="K114" i="2" s="1"/>
  <c r="A109" i="2"/>
  <c r="A110" i="2" s="1"/>
  <c r="A111" i="2" s="1"/>
  <c r="A112" i="2" s="1"/>
  <c r="A113" i="2" s="1"/>
  <c r="A114" i="2" s="1"/>
  <c r="H107" i="2"/>
  <c r="G107" i="2" s="1"/>
  <c r="E106" i="2" s="1"/>
  <c r="F106" i="2" s="1"/>
  <c r="G106" i="2" s="1"/>
  <c r="F105" i="2"/>
  <c r="G105" i="2" s="1"/>
  <c r="F104" i="2"/>
  <c r="G104" i="2" s="1"/>
  <c r="F99" i="2"/>
  <c r="G99" i="2" s="1"/>
  <c r="K98" i="2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A97" i="2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F74" i="2"/>
  <c r="G74" i="2" s="1"/>
  <c r="H95" i="2"/>
  <c r="G95" i="2" s="1"/>
  <c r="E94" i="2" s="1"/>
  <c r="F94" i="2" s="1"/>
  <c r="G94" i="2" s="1"/>
  <c r="F93" i="2"/>
  <c r="G93" i="2" s="1"/>
  <c r="K87" i="2"/>
  <c r="K88" i="2" s="1"/>
  <c r="K89" i="2" s="1"/>
  <c r="K90" i="2" s="1"/>
  <c r="K91" i="2" s="1"/>
  <c r="K92" i="2" s="1"/>
  <c r="K93" i="2" s="1"/>
  <c r="K94" i="2" s="1"/>
  <c r="K95" i="2" s="1"/>
  <c r="K96" i="2" s="1"/>
  <c r="A86" i="2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F82" i="2"/>
  <c r="G82" i="2" s="1"/>
  <c r="H84" i="2"/>
  <c r="G84" i="2" s="1"/>
  <c r="E83" i="2" s="1"/>
  <c r="F83" i="2" s="1"/>
  <c r="G83" i="2" s="1"/>
  <c r="K73" i="2"/>
  <c r="A72" i="2"/>
  <c r="A73" i="2" s="1"/>
  <c r="H70" i="2"/>
  <c r="G70" i="2" s="1"/>
  <c r="E69" i="2" s="1"/>
  <c r="F69" i="2" s="1"/>
  <c r="G69" i="2" s="1"/>
  <c r="K63" i="2"/>
  <c r="K64" i="2" s="1"/>
  <c r="K65" i="2" s="1"/>
  <c r="K66" i="2" s="1"/>
  <c r="K67" i="2" s="1"/>
  <c r="K68" i="2" s="1"/>
  <c r="K69" i="2" s="1"/>
  <c r="K70" i="2" s="1"/>
  <c r="K71" i="2" s="1"/>
  <c r="A62" i="2"/>
  <c r="A63" i="2" s="1"/>
  <c r="A64" i="2" s="1"/>
  <c r="A65" i="2" s="1"/>
  <c r="A66" i="2" s="1"/>
  <c r="A67" i="2" s="1"/>
  <c r="A68" i="2" s="1"/>
  <c r="A69" i="2" s="1"/>
  <c r="A70" i="2" s="1"/>
  <c r="A71" i="2" s="1"/>
  <c r="H60" i="2"/>
  <c r="G60" i="2" s="1"/>
  <c r="E59" i="2" s="1"/>
  <c r="F59" i="2" s="1"/>
  <c r="G59" i="2" s="1"/>
  <c r="F58" i="2"/>
  <c r="G58" i="2" s="1"/>
  <c r="F57" i="2"/>
  <c r="G57" i="2" s="1"/>
  <c r="F52" i="2"/>
  <c r="G52" i="2" s="1"/>
  <c r="K51" i="2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A50" i="2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F34" i="2"/>
  <c r="G34" i="2" s="1"/>
  <c r="F45" i="2"/>
  <c r="G45" i="2" s="1"/>
  <c r="H48" i="2"/>
  <c r="G48" i="2" s="1"/>
  <c r="F46" i="2"/>
  <c r="G46" i="2" s="1"/>
  <c r="F44" i="2"/>
  <c r="G44" i="2" s="1"/>
  <c r="K33" i="2"/>
  <c r="A32" i="2"/>
  <c r="A33" i="2" s="1"/>
  <c r="H30" i="2"/>
  <c r="G30" i="2" s="1"/>
  <c r="E29" i="2" s="1"/>
  <c r="F29" i="2" s="1"/>
  <c r="G29" i="2" s="1"/>
  <c r="F28" i="2"/>
  <c r="G28" i="2" s="1"/>
  <c r="K18" i="2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A17" i="2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H15" i="2"/>
  <c r="G15" i="2" s="1"/>
  <c r="F14" i="2" s="1"/>
  <c r="G14" i="2" s="1"/>
  <c r="F13" i="2"/>
  <c r="G13" i="2" s="1"/>
  <c r="F12" i="2"/>
  <c r="G12" i="2" s="1"/>
  <c r="F11" i="2"/>
  <c r="G11" i="2" s="1"/>
  <c r="F6" i="2"/>
  <c r="G6" i="2" s="1"/>
  <c r="F4" i="2"/>
  <c r="G4" i="2" s="1"/>
  <c r="K3" i="2"/>
  <c r="K4" i="2" s="1"/>
  <c r="A2" i="2"/>
  <c r="A3" i="2" s="1"/>
  <c r="A4" i="2" s="1"/>
  <c r="A493" i="2" l="1"/>
  <c r="A494" i="2" s="1"/>
  <c r="A495" i="2" s="1"/>
  <c r="A496" i="2" s="1"/>
  <c r="A497" i="2" s="1"/>
  <c r="A498" i="2" s="1"/>
  <c r="A499" i="2" s="1"/>
  <c r="A500" i="2" s="1"/>
  <c r="A492" i="2"/>
  <c r="K493" i="2"/>
  <c r="K494" i="2" s="1"/>
  <c r="K495" i="2" s="1"/>
  <c r="K496" i="2" s="1"/>
  <c r="K497" i="2" s="1"/>
  <c r="K498" i="2" s="1"/>
  <c r="K499" i="2" s="1"/>
  <c r="K500" i="2" s="1"/>
  <c r="K492" i="2"/>
  <c r="F47" i="2"/>
  <c r="G47" i="2" s="1"/>
  <c r="F454" i="2"/>
  <c r="G454" i="2" s="1"/>
  <c r="F729" i="2"/>
  <c r="G729" i="2" s="1"/>
  <c r="G849" i="2"/>
  <c r="G592" i="2"/>
  <c r="K285" i="2"/>
  <c r="K286" i="2"/>
  <c r="K287" i="2" s="1"/>
  <c r="K288" i="2" s="1"/>
  <c r="K289" i="2" s="1"/>
  <c r="A285" i="2"/>
  <c r="A286" i="2"/>
  <c r="A287" i="2" s="1"/>
  <c r="A288" i="2" s="1"/>
  <c r="A289" i="2" s="1"/>
  <c r="K198" i="2"/>
  <c r="K842" i="2"/>
  <c r="K843" i="2"/>
  <c r="K844" i="2" s="1"/>
  <c r="K845" i="2" s="1"/>
  <c r="K846" i="2" s="1"/>
  <c r="K847" i="2" s="1"/>
  <c r="K848" i="2" s="1"/>
  <c r="K849" i="2" s="1"/>
  <c r="A842" i="2"/>
  <c r="A843" i="2"/>
  <c r="A844" i="2" s="1"/>
  <c r="A845" i="2" s="1"/>
  <c r="A846" i="2" s="1"/>
  <c r="A847" i="2" s="1"/>
  <c r="A848" i="2" s="1"/>
  <c r="A849" i="2" s="1"/>
  <c r="G835" i="2"/>
  <c r="K829" i="2"/>
  <c r="K830" i="2" s="1"/>
  <c r="K831" i="2" s="1"/>
  <c r="K832" i="2" s="1"/>
  <c r="K833" i="2" s="1"/>
  <c r="K834" i="2" s="1"/>
  <c r="K835" i="2" s="1"/>
  <c r="K828" i="2"/>
  <c r="A829" i="2"/>
  <c r="A830" i="2" s="1"/>
  <c r="A831" i="2" s="1"/>
  <c r="A832" i="2" s="1"/>
  <c r="A833" i="2" s="1"/>
  <c r="A834" i="2" s="1"/>
  <c r="A835" i="2" s="1"/>
  <c r="A828" i="2"/>
  <c r="G659" i="2"/>
  <c r="G765" i="2"/>
  <c r="K761" i="2"/>
  <c r="K760" i="2"/>
  <c r="K759" i="2"/>
  <c r="A759" i="2"/>
  <c r="A760" i="2"/>
  <c r="A761" i="2"/>
  <c r="K747" i="2"/>
  <c r="K748" i="2" s="1"/>
  <c r="K749" i="2" s="1"/>
  <c r="K746" i="2"/>
  <c r="A747" i="2"/>
  <c r="A748" i="2" s="1"/>
  <c r="A749" i="2" s="1"/>
  <c r="A746" i="2"/>
  <c r="G397" i="2"/>
  <c r="G403" i="2"/>
  <c r="A599" i="2"/>
  <c r="A600" i="2" s="1"/>
  <c r="A601" i="2" s="1"/>
  <c r="A598" i="2"/>
  <c r="G571" i="2"/>
  <c r="K599" i="2"/>
  <c r="K600" i="2" s="1"/>
  <c r="K601" i="2" s="1"/>
  <c r="K598" i="2"/>
  <c r="G586" i="2"/>
  <c r="A589" i="2"/>
  <c r="A590" i="2" s="1"/>
  <c r="A591" i="2" s="1"/>
  <c r="A592" i="2" s="1"/>
  <c r="A588" i="2"/>
  <c r="K506" i="2"/>
  <c r="K507" i="2" s="1"/>
  <c r="K508" i="2" s="1"/>
  <c r="K505" i="2"/>
  <c r="A506" i="2"/>
  <c r="A507" i="2" s="1"/>
  <c r="A508" i="2" s="1"/>
  <c r="A505" i="2"/>
  <c r="K514" i="2"/>
  <c r="K515" i="2" s="1"/>
  <c r="K516" i="2" s="1"/>
  <c r="K513" i="2"/>
  <c r="A514" i="2"/>
  <c r="A515" i="2" s="1"/>
  <c r="A516" i="2" s="1"/>
  <c r="A513" i="2"/>
  <c r="G184" i="2"/>
  <c r="G178" i="2"/>
  <c r="G190" i="2"/>
  <c r="G172" i="2"/>
  <c r="A400" i="2"/>
  <c r="A401" i="2" s="1"/>
  <c r="A402" i="2" s="1"/>
  <c r="A403" i="2" s="1"/>
  <c r="A399" i="2"/>
  <c r="A645" i="2"/>
  <c r="A649" i="2"/>
  <c r="K269" i="2"/>
  <c r="K270" i="2" s="1"/>
  <c r="K271" i="2" s="1"/>
  <c r="A322" i="2"/>
  <c r="A323" i="2" s="1"/>
  <c r="A325" i="2" s="1"/>
  <c r="A326" i="2" s="1"/>
  <c r="A327" i="2" s="1"/>
  <c r="A324" i="2"/>
  <c r="K314" i="2"/>
  <c r="K315" i="2" s="1"/>
  <c r="K317" i="2" s="1"/>
  <c r="K318" i="2" s="1"/>
  <c r="K319" i="2" s="1"/>
  <c r="K316" i="2"/>
  <c r="A314" i="2"/>
  <c r="A315" i="2" s="1"/>
  <c r="A317" i="2" s="1"/>
  <c r="A318" i="2" s="1"/>
  <c r="A319" i="2" s="1"/>
  <c r="A316" i="2"/>
  <c r="K322" i="2"/>
  <c r="K323" i="2" s="1"/>
  <c r="K325" i="2" s="1"/>
  <c r="K326" i="2" s="1"/>
  <c r="K327" i="2" s="1"/>
  <c r="K324" i="2"/>
  <c r="G271" i="2"/>
  <c r="A267" i="2"/>
  <c r="A268" i="2"/>
  <c r="A269" i="2" s="1"/>
  <c r="A270" i="2" s="1"/>
  <c r="A271" i="2" s="1"/>
  <c r="G265" i="2"/>
  <c r="G277" i="2"/>
  <c r="A261" i="2"/>
  <c r="A262" i="2" s="1"/>
  <c r="A263" i="2" s="1"/>
  <c r="A264" i="2" s="1"/>
  <c r="A265" i="2" s="1"/>
  <c r="K169" i="2"/>
  <c r="K118" i="2"/>
  <c r="K119" i="2"/>
  <c r="A118" i="2"/>
  <c r="A119" i="2"/>
  <c r="K236" i="2"/>
  <c r="K238" i="2" s="1"/>
  <c r="K239" i="2" s="1"/>
  <c r="K240" i="2" s="1"/>
  <c r="K237" i="2"/>
  <c r="A236" i="2"/>
  <c r="A238" i="2" s="1"/>
  <c r="A239" i="2" s="1"/>
  <c r="A240" i="2" s="1"/>
  <c r="A237" i="2"/>
  <c r="K228" i="2"/>
  <c r="K230" i="2" s="1"/>
  <c r="K231" i="2" s="1"/>
  <c r="K232" i="2" s="1"/>
  <c r="K229" i="2"/>
  <c r="A228" i="2"/>
  <c r="A230" i="2" s="1"/>
  <c r="A231" i="2" s="1"/>
  <c r="A232" i="2" s="1"/>
  <c r="A229" i="2"/>
  <c r="A192" i="2"/>
  <c r="A194" i="2" s="1"/>
  <c r="A196" i="2" s="1"/>
  <c r="A197" i="2" s="1"/>
  <c r="A193" i="2"/>
  <c r="A195" i="2" s="1"/>
  <c r="K6" i="2"/>
  <c r="K7" i="2" s="1"/>
  <c r="K8" i="2" s="1"/>
  <c r="K5" i="2"/>
  <c r="A6" i="2"/>
  <c r="A7" i="2" s="1"/>
  <c r="A8" i="2" s="1"/>
  <c r="A5" i="2"/>
  <c r="G749" i="2"/>
  <c r="K621" i="2"/>
  <c r="K623" i="2" s="1"/>
  <c r="K620" i="2"/>
  <c r="G820" i="2"/>
  <c r="K815" i="2"/>
  <c r="K818" i="2"/>
  <c r="K819" i="2" s="1"/>
  <c r="K820" i="2" s="1"/>
  <c r="A815" i="2"/>
  <c r="A818" i="2"/>
  <c r="A819" i="2" s="1"/>
  <c r="A820" i="2" s="1"/>
  <c r="G804" i="2"/>
  <c r="K802" i="2"/>
  <c r="K803" i="2" s="1"/>
  <c r="K804" i="2" s="1"/>
  <c r="K799" i="2"/>
  <c r="K800" i="2" s="1"/>
  <c r="K801" i="2" s="1"/>
  <c r="A802" i="2"/>
  <c r="A803" i="2" s="1"/>
  <c r="A804" i="2" s="1"/>
  <c r="A799" i="2"/>
  <c r="A800" i="2" s="1"/>
  <c r="A801" i="2" s="1"/>
  <c r="G795" i="2"/>
  <c r="G789" i="2"/>
  <c r="G782" i="2"/>
  <c r="K778" i="2"/>
  <c r="K780" i="2" s="1"/>
  <c r="K781" i="2" s="1"/>
  <c r="K782" i="2" s="1"/>
  <c r="K777" i="2"/>
  <c r="K779" i="2" s="1"/>
  <c r="K776" i="2"/>
  <c r="A776" i="2"/>
  <c r="A777" i="2"/>
  <c r="A779" i="2" s="1"/>
  <c r="A778" i="2"/>
  <c r="A780" i="2" s="1"/>
  <c r="A781" i="2" s="1"/>
  <c r="A782" i="2" s="1"/>
  <c r="K768" i="2"/>
  <c r="K769" i="2"/>
  <c r="A769" i="2"/>
  <c r="A768" i="2"/>
  <c r="G773" i="2"/>
  <c r="G811" i="2"/>
  <c r="G756" i="2"/>
  <c r="K807" i="2"/>
  <c r="A807" i="2"/>
  <c r="K770" i="2"/>
  <c r="A770" i="2"/>
  <c r="K754" i="2"/>
  <c r="K755" i="2" s="1"/>
  <c r="K756" i="2" s="1"/>
  <c r="A754" i="2"/>
  <c r="A755" i="2" s="1"/>
  <c r="A756" i="2" s="1"/>
  <c r="K718" i="2"/>
  <c r="K719" i="2" s="1"/>
  <c r="K720" i="2" s="1"/>
  <c r="K721" i="2" s="1"/>
  <c r="K722" i="2" s="1"/>
  <c r="A718" i="2"/>
  <c r="A719" i="2" s="1"/>
  <c r="A720" i="2" s="1"/>
  <c r="A721" i="2" s="1"/>
  <c r="A722" i="2" s="1"/>
  <c r="G692" i="2"/>
  <c r="A607" i="2"/>
  <c r="A608" i="2" s="1"/>
  <c r="A609" i="2" s="1"/>
  <c r="A606" i="2"/>
  <c r="G601" i="2"/>
  <c r="A733" i="2"/>
  <c r="A734" i="2" s="1"/>
  <c r="A735" i="2" s="1"/>
  <c r="A736" i="2" s="1"/>
  <c r="A737" i="2" s="1"/>
  <c r="A738" i="2" s="1"/>
  <c r="A739" i="2" s="1"/>
  <c r="A740" i="2" s="1"/>
  <c r="A741" i="2" s="1"/>
  <c r="A621" i="2"/>
  <c r="A623" i="2" s="1"/>
  <c r="A620" i="2"/>
  <c r="K646" i="2"/>
  <c r="K647" i="2" s="1"/>
  <c r="K648" i="2" s="1"/>
  <c r="K650" i="2"/>
  <c r="K651" i="2" s="1"/>
  <c r="K652" i="2" s="1"/>
  <c r="K653" i="2" s="1"/>
  <c r="G741" i="2"/>
  <c r="G626" i="2"/>
  <c r="G722" i="2"/>
  <c r="K606" i="2"/>
  <c r="K607" i="2"/>
  <c r="K608" i="2" s="1"/>
  <c r="K609" i="2" s="1"/>
  <c r="A614" i="2"/>
  <c r="A615" i="2" s="1"/>
  <c r="A616" i="2" s="1"/>
  <c r="A617" i="2" s="1"/>
  <c r="A613" i="2"/>
  <c r="G711" i="2"/>
  <c r="G617" i="2"/>
  <c r="K613" i="2"/>
  <c r="K614" i="2"/>
  <c r="K615" i="2" s="1"/>
  <c r="K616" i="2" s="1"/>
  <c r="K617" i="2" s="1"/>
  <c r="A694" i="2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G685" i="2"/>
  <c r="K672" i="2"/>
  <c r="K671" i="2"/>
  <c r="K673" i="2" s="1"/>
  <c r="G634" i="2"/>
  <c r="K630" i="2"/>
  <c r="K631" i="2" s="1"/>
  <c r="K632" i="2" s="1"/>
  <c r="K633" i="2" s="1"/>
  <c r="K634" i="2" s="1"/>
  <c r="K629" i="2"/>
  <c r="A629" i="2"/>
  <c r="A630" i="2"/>
  <c r="A631" i="2" s="1"/>
  <c r="A632" i="2" s="1"/>
  <c r="A633" i="2" s="1"/>
  <c r="A634" i="2" s="1"/>
  <c r="G609" i="2"/>
  <c r="G508" i="2"/>
  <c r="G516" i="2"/>
  <c r="G541" i="2"/>
  <c r="G553" i="2"/>
  <c r="G533" i="2"/>
  <c r="G524" i="2"/>
  <c r="G580" i="2"/>
  <c r="G562" i="2"/>
  <c r="G643" i="2"/>
  <c r="G653" i="2"/>
  <c r="K538" i="2"/>
  <c r="K536" i="2"/>
  <c r="K539" i="2" s="1"/>
  <c r="K540" i="2" s="1"/>
  <c r="K541" i="2" s="1"/>
  <c r="A573" i="2"/>
  <c r="A574" i="2" s="1"/>
  <c r="A575" i="2" s="1"/>
  <c r="A576" i="2" s="1"/>
  <c r="A577" i="2" s="1"/>
  <c r="A578" i="2" s="1"/>
  <c r="A579" i="2" s="1"/>
  <c r="A580" i="2" s="1"/>
  <c r="K528" i="2"/>
  <c r="K530" i="2" s="1"/>
  <c r="K527" i="2"/>
  <c r="A527" i="2"/>
  <c r="A528" i="2"/>
  <c r="A530" i="2" s="1"/>
  <c r="K521" i="2"/>
  <c r="K522" i="2" s="1"/>
  <c r="K520" i="2"/>
  <c r="K519" i="2"/>
  <c r="A519" i="2"/>
  <c r="A520" i="2"/>
  <c r="A521" i="2"/>
  <c r="A522" i="2" s="1"/>
  <c r="A523" i="2" s="1"/>
  <c r="A524" i="2" s="1"/>
  <c r="G500" i="2"/>
  <c r="G477" i="2"/>
  <c r="G468" i="2"/>
  <c r="G489" i="2"/>
  <c r="G391" i="2"/>
  <c r="G380" i="2"/>
  <c r="G434" i="2"/>
  <c r="A422" i="2"/>
  <c r="A423" i="2" s="1"/>
  <c r="A424" i="2" s="1"/>
  <c r="A425" i="2" s="1"/>
  <c r="A426" i="2" s="1"/>
  <c r="A427" i="2" s="1"/>
  <c r="A428" i="2" s="1"/>
  <c r="A429" i="2" s="1"/>
  <c r="K414" i="2"/>
  <c r="K415" i="2" s="1"/>
  <c r="K416" i="2" s="1"/>
  <c r="K417" i="2" s="1"/>
  <c r="K418" i="2" s="1"/>
  <c r="K419" i="2" s="1"/>
  <c r="K420" i="2" s="1"/>
  <c r="K413" i="2"/>
  <c r="G420" i="2"/>
  <c r="A407" i="2"/>
  <c r="A409" i="2" s="1"/>
  <c r="A410" i="2" s="1"/>
  <c r="A411" i="2" s="1"/>
  <c r="A412" i="2" s="1"/>
  <c r="A408" i="2"/>
  <c r="K437" i="2"/>
  <c r="K439" i="2" s="1"/>
  <c r="K441" i="2" s="1"/>
  <c r="K443" i="2" s="1"/>
  <c r="K445" i="2" s="1"/>
  <c r="K447" i="2" s="1"/>
  <c r="K449" i="2" s="1"/>
  <c r="K451" i="2" s="1"/>
  <c r="K453" i="2" s="1"/>
  <c r="K455" i="2" s="1"/>
  <c r="A437" i="2"/>
  <c r="A439" i="2" s="1"/>
  <c r="A441" i="2" s="1"/>
  <c r="A443" i="2" s="1"/>
  <c r="A445" i="2" s="1"/>
  <c r="A447" i="2" s="1"/>
  <c r="A449" i="2" s="1"/>
  <c r="A451" i="2" s="1"/>
  <c r="A453" i="2" s="1"/>
  <c r="A455" i="2" s="1"/>
  <c r="G327" i="2"/>
  <c r="G370" i="2"/>
  <c r="G358" i="2"/>
  <c r="G335" i="2"/>
  <c r="G346" i="2"/>
  <c r="G319" i="2"/>
  <c r="K384" i="2"/>
  <c r="K383" i="2"/>
  <c r="K385" i="2" s="1"/>
  <c r="K386" i="2" s="1"/>
  <c r="K388" i="2"/>
  <c r="K389" i="2" s="1"/>
  <c r="K390" i="2" s="1"/>
  <c r="K391" i="2" s="1"/>
  <c r="A387" i="2"/>
  <c r="A382" i="2"/>
  <c r="K377" i="2"/>
  <c r="K378" i="2" s="1"/>
  <c r="K379" i="2" s="1"/>
  <c r="K380" i="2" s="1"/>
  <c r="K373" i="2"/>
  <c r="K374" i="2" s="1"/>
  <c r="K375" i="2" s="1"/>
  <c r="A376" i="2"/>
  <c r="A372" i="2"/>
  <c r="K341" i="2"/>
  <c r="K339" i="2"/>
  <c r="K338" i="2"/>
  <c r="K340" i="2" s="1"/>
  <c r="A338" i="2"/>
  <c r="A340" i="2" s="1"/>
  <c r="A339" i="2"/>
  <c r="A341" i="2"/>
  <c r="K330" i="2"/>
  <c r="K331" i="2"/>
  <c r="K332" i="2"/>
  <c r="K333" i="2" s="1"/>
  <c r="K334" i="2" s="1"/>
  <c r="K335" i="2" s="1"/>
  <c r="A332" i="2"/>
  <c r="A333" i="2" s="1"/>
  <c r="A334" i="2" s="1"/>
  <c r="A335" i="2" s="1"/>
  <c r="A330" i="2"/>
  <c r="A331" i="2"/>
  <c r="G310" i="2"/>
  <c r="G299" i="2"/>
  <c r="G289" i="2"/>
  <c r="K307" i="2"/>
  <c r="K308" i="2" s="1"/>
  <c r="K309" i="2" s="1"/>
  <c r="K310" i="2" s="1"/>
  <c r="K303" i="2"/>
  <c r="K302" i="2"/>
  <c r="K304" i="2" s="1"/>
  <c r="K305" i="2" s="1"/>
  <c r="A306" i="2"/>
  <c r="A301" i="2"/>
  <c r="K296" i="2"/>
  <c r="K297" i="2" s="1"/>
  <c r="K298" i="2" s="1"/>
  <c r="K299" i="2" s="1"/>
  <c r="K292" i="2"/>
  <c r="K293" i="2" s="1"/>
  <c r="K294" i="2" s="1"/>
  <c r="A295" i="2"/>
  <c r="A291" i="2"/>
  <c r="G259" i="2"/>
  <c r="G240" i="2"/>
  <c r="K254" i="2"/>
  <c r="K253" i="2"/>
  <c r="K252" i="2"/>
  <c r="K256" i="2" s="1"/>
  <c r="K251" i="2"/>
  <c r="A251" i="2"/>
  <c r="A252" i="2"/>
  <c r="A254" i="2"/>
  <c r="G248" i="2"/>
  <c r="K243" i="2"/>
  <c r="K244" i="2"/>
  <c r="K245" i="2"/>
  <c r="K246" i="2" s="1"/>
  <c r="K247" i="2" s="1"/>
  <c r="K248" i="2" s="1"/>
  <c r="A243" i="2"/>
  <c r="A244" i="2"/>
  <c r="A245" i="2"/>
  <c r="A246" i="2" s="1"/>
  <c r="A247" i="2" s="1"/>
  <c r="A248" i="2" s="1"/>
  <c r="G232" i="2"/>
  <c r="K216" i="2"/>
  <c r="K215" i="2"/>
  <c r="K217" i="2" s="1"/>
  <c r="K218" i="2" s="1"/>
  <c r="G223" i="2"/>
  <c r="K220" i="2"/>
  <c r="K221" i="2" s="1"/>
  <c r="K222" i="2" s="1"/>
  <c r="K223" i="2" s="1"/>
  <c r="A219" i="2"/>
  <c r="A214" i="2"/>
  <c r="K205" i="2"/>
  <c r="K206" i="2" s="1"/>
  <c r="K207" i="2" s="1"/>
  <c r="K209" i="2"/>
  <c r="K210" i="2" s="1"/>
  <c r="K211" i="2" s="1"/>
  <c r="K212" i="2" s="1"/>
  <c r="A204" i="2"/>
  <c r="A208" i="2"/>
  <c r="G212" i="2"/>
  <c r="G202" i="2"/>
  <c r="G130" i="2"/>
  <c r="K160" i="2"/>
  <c r="K163" i="2"/>
  <c r="A160" i="2"/>
  <c r="A162" i="2" s="1"/>
  <c r="A164" i="2" s="1"/>
  <c r="A165" i="2" s="1"/>
  <c r="A166" i="2" s="1"/>
  <c r="A163" i="2"/>
  <c r="A141" i="2"/>
  <c r="A144" i="2"/>
  <c r="G149" i="2"/>
  <c r="K143" i="2"/>
  <c r="K141" i="2"/>
  <c r="G71" i="2"/>
  <c r="K142" i="2"/>
  <c r="K146" i="2" s="1"/>
  <c r="A142" i="2"/>
  <c r="G166" i="2"/>
  <c r="A151" i="2"/>
  <c r="A152" i="2" s="1"/>
  <c r="A153" i="2" s="1"/>
  <c r="A154" i="2" s="1"/>
  <c r="A155" i="2" s="1"/>
  <c r="A156" i="2" s="1"/>
  <c r="A157" i="2" s="1"/>
  <c r="K154" i="2"/>
  <c r="K152" i="2"/>
  <c r="G157" i="2"/>
  <c r="G138" i="2"/>
  <c r="K133" i="2"/>
  <c r="K134" i="2"/>
  <c r="A133" i="2"/>
  <c r="A134" i="2"/>
  <c r="K126" i="2"/>
  <c r="K128" i="2"/>
  <c r="K129" i="2" s="1"/>
  <c r="K130" i="2" s="1"/>
  <c r="A126" i="2"/>
  <c r="A128" i="2"/>
  <c r="A129" i="2" s="1"/>
  <c r="A130" i="2" s="1"/>
  <c r="G122" i="2"/>
  <c r="K120" i="2"/>
  <c r="K121" i="2" s="1"/>
  <c r="K122" i="2" s="1"/>
  <c r="A120" i="2"/>
  <c r="A121" i="2" s="1"/>
  <c r="A122" i="2" s="1"/>
  <c r="G108" i="2"/>
  <c r="G114" i="2"/>
  <c r="G96" i="2"/>
  <c r="K75" i="2"/>
  <c r="K76" i="2" s="1"/>
  <c r="K74" i="2"/>
  <c r="A75" i="2"/>
  <c r="A76" i="2" s="1"/>
  <c r="A74" i="2"/>
  <c r="G85" i="2"/>
  <c r="G61" i="2"/>
  <c r="K34" i="2"/>
  <c r="K36" i="2" s="1"/>
  <c r="K38" i="2" s="1"/>
  <c r="K35" i="2"/>
  <c r="A34" i="2"/>
  <c r="A36" i="2" s="1"/>
  <c r="A38" i="2" s="1"/>
  <c r="A35" i="2"/>
  <c r="G31" i="2"/>
  <c r="G16" i="2"/>
  <c r="G456" i="2" l="1"/>
  <c r="G731" i="2"/>
  <c r="G49" i="2"/>
  <c r="K39" i="2"/>
  <c r="K40" i="2" s="1"/>
  <c r="K37" i="2"/>
  <c r="A39" i="2"/>
  <c r="A40" i="2" s="1"/>
  <c r="A37" i="2"/>
  <c r="K200" i="2"/>
  <c r="K201" i="2" s="1"/>
  <c r="K202" i="2" s="1"/>
  <c r="K199" i="2"/>
  <c r="A198" i="2"/>
  <c r="K763" i="2"/>
  <c r="K764" i="2" s="1"/>
  <c r="K765" i="2" s="1"/>
  <c r="K762" i="2"/>
  <c r="A763" i="2"/>
  <c r="A764" i="2" s="1"/>
  <c r="A765" i="2" s="1"/>
  <c r="A762" i="2"/>
  <c r="A646" i="2"/>
  <c r="A647" i="2" s="1"/>
  <c r="A648" i="2" s="1"/>
  <c r="A650" i="2"/>
  <c r="A651" i="2" s="1"/>
  <c r="A652" i="2" s="1"/>
  <c r="A653" i="2" s="1"/>
  <c r="K170" i="2"/>
  <c r="K171" i="2" s="1"/>
  <c r="K172" i="2" s="1"/>
  <c r="K10" i="2"/>
  <c r="K11" i="2" s="1"/>
  <c r="K12" i="2" s="1"/>
  <c r="K13" i="2" s="1"/>
  <c r="K14" i="2" s="1"/>
  <c r="K15" i="2" s="1"/>
  <c r="K16" i="2" s="1"/>
  <c r="K9" i="2"/>
  <c r="A10" i="2"/>
  <c r="A11" i="2" s="1"/>
  <c r="A12" i="2" s="1"/>
  <c r="A13" i="2" s="1"/>
  <c r="A14" i="2" s="1"/>
  <c r="A15" i="2" s="1"/>
  <c r="A16" i="2" s="1"/>
  <c r="A9" i="2"/>
  <c r="K622" i="2"/>
  <c r="K624" i="2"/>
  <c r="K625" i="2" s="1"/>
  <c r="K626" i="2" s="1"/>
  <c r="K816" i="2"/>
  <c r="K817" i="2"/>
  <c r="A816" i="2"/>
  <c r="A817" i="2"/>
  <c r="K771" i="2"/>
  <c r="K772" i="2" s="1"/>
  <c r="K773" i="2" s="1"/>
  <c r="A771" i="2"/>
  <c r="A772" i="2" s="1"/>
  <c r="A773" i="2" s="1"/>
  <c r="K808" i="2"/>
  <c r="K809" i="2"/>
  <c r="K810" i="2" s="1"/>
  <c r="K811" i="2" s="1"/>
  <c r="A808" i="2"/>
  <c r="A809" i="2"/>
  <c r="A810" i="2" s="1"/>
  <c r="A811" i="2" s="1"/>
  <c r="A622" i="2"/>
  <c r="A624" i="2"/>
  <c r="A625" i="2" s="1"/>
  <c r="A626" i="2" s="1"/>
  <c r="K674" i="2"/>
  <c r="K676" i="2" s="1"/>
  <c r="K677" i="2" s="1"/>
  <c r="K678" i="2" s="1"/>
  <c r="K675" i="2"/>
  <c r="K523" i="2"/>
  <c r="K524" i="2" s="1"/>
  <c r="K537" i="2"/>
  <c r="K529" i="2"/>
  <c r="K531" i="2"/>
  <c r="K532" i="2" s="1"/>
  <c r="K533" i="2" s="1"/>
  <c r="A529" i="2"/>
  <c r="A531" i="2"/>
  <c r="A532" i="2" s="1"/>
  <c r="A533" i="2" s="1"/>
  <c r="A430" i="2"/>
  <c r="A431" i="2"/>
  <c r="A432" i="2" s="1"/>
  <c r="A433" i="2" s="1"/>
  <c r="A434" i="2" s="1"/>
  <c r="A414" i="2"/>
  <c r="A415" i="2" s="1"/>
  <c r="A416" i="2" s="1"/>
  <c r="A417" i="2" s="1"/>
  <c r="A418" i="2" s="1"/>
  <c r="A419" i="2" s="1"/>
  <c r="A420" i="2" s="1"/>
  <c r="A413" i="2"/>
  <c r="K343" i="2"/>
  <c r="A388" i="2"/>
  <c r="A389" i="2" s="1"/>
  <c r="A390" i="2" s="1"/>
  <c r="A391" i="2" s="1"/>
  <c r="A383" i="2"/>
  <c r="A385" i="2" s="1"/>
  <c r="A386" i="2" s="1"/>
  <c r="A384" i="2"/>
  <c r="A373" i="2"/>
  <c r="A374" i="2" s="1"/>
  <c r="A375" i="2" s="1"/>
  <c r="A377" i="2"/>
  <c r="A378" i="2" s="1"/>
  <c r="A379" i="2" s="1"/>
  <c r="A380" i="2" s="1"/>
  <c r="K344" i="2"/>
  <c r="K345" i="2" s="1"/>
  <c r="K346" i="2" s="1"/>
  <c r="K342" i="2"/>
  <c r="A342" i="2"/>
  <c r="A344" i="2"/>
  <c r="A345" i="2" s="1"/>
  <c r="A346" i="2" s="1"/>
  <c r="A343" i="2"/>
  <c r="A302" i="2"/>
  <c r="A304" i="2" s="1"/>
  <c r="A305" i="2" s="1"/>
  <c r="A303" i="2"/>
  <c r="A307" i="2"/>
  <c r="A308" i="2" s="1"/>
  <c r="A309" i="2" s="1"/>
  <c r="A310" i="2" s="1"/>
  <c r="A292" i="2"/>
  <c r="A293" i="2" s="1"/>
  <c r="A294" i="2" s="1"/>
  <c r="A296" i="2"/>
  <c r="A297" i="2" s="1"/>
  <c r="A298" i="2" s="1"/>
  <c r="A299" i="2" s="1"/>
  <c r="K255" i="2"/>
  <c r="K257" i="2"/>
  <c r="K258" i="2" s="1"/>
  <c r="K259" i="2" s="1"/>
  <c r="A255" i="2"/>
  <c r="A257" i="2"/>
  <c r="A258" i="2" s="1"/>
  <c r="A259" i="2" s="1"/>
  <c r="A253" i="2"/>
  <c r="A256" i="2"/>
  <c r="A216" i="2"/>
  <c r="A215" i="2"/>
  <c r="A217" i="2" s="1"/>
  <c r="A218" i="2" s="1"/>
  <c r="A220" i="2"/>
  <c r="A221" i="2" s="1"/>
  <c r="A222" i="2" s="1"/>
  <c r="A223" i="2" s="1"/>
  <c r="A209" i="2"/>
  <c r="A210" i="2" s="1"/>
  <c r="A211" i="2" s="1"/>
  <c r="A212" i="2" s="1"/>
  <c r="A205" i="2"/>
  <c r="A206" i="2" s="1"/>
  <c r="A207" i="2" s="1"/>
  <c r="K162" i="2"/>
  <c r="K164" i="2"/>
  <c r="K165" i="2" s="1"/>
  <c r="K166" i="2" s="1"/>
  <c r="K135" i="2"/>
  <c r="K136" i="2"/>
  <c r="K137" i="2" s="1"/>
  <c r="K138" i="2" s="1"/>
  <c r="K153" i="2" s="1"/>
  <c r="A143" i="2"/>
  <c r="A146" i="2"/>
  <c r="A136" i="2"/>
  <c r="A137" i="2" s="1"/>
  <c r="A138" i="2" s="1"/>
  <c r="A135" i="2"/>
  <c r="K145" i="2"/>
  <c r="K147" i="2"/>
  <c r="K148" i="2" s="1"/>
  <c r="K149" i="2" s="1"/>
  <c r="A145" i="2"/>
  <c r="A147" i="2"/>
  <c r="A148" i="2" s="1"/>
  <c r="A149" i="2" s="1"/>
  <c r="K78" i="2"/>
  <c r="K77" i="2"/>
  <c r="K79" i="2" s="1"/>
  <c r="K80" i="2" s="1"/>
  <c r="K155" i="2"/>
  <c r="K156" i="2" s="1"/>
  <c r="K157" i="2" s="1"/>
  <c r="A78" i="2"/>
  <c r="A77" i="2"/>
  <c r="A79" i="2" s="1"/>
  <c r="A80" i="2" s="1"/>
  <c r="K42" i="2" l="1"/>
  <c r="K41" i="2"/>
  <c r="K43" i="2" s="1"/>
  <c r="K44" i="2" s="1"/>
  <c r="K45" i="2" s="1"/>
  <c r="K46" i="2" s="1"/>
  <c r="K47" i="2" s="1"/>
  <c r="K48" i="2" s="1"/>
  <c r="K49" i="2" s="1"/>
  <c r="A42" i="2"/>
  <c r="A41" i="2"/>
  <c r="A43" i="2" s="1"/>
  <c r="A44" i="2" s="1"/>
  <c r="A45" i="2" s="1"/>
  <c r="A46" i="2" s="1"/>
  <c r="A47" i="2" s="1"/>
  <c r="A48" i="2" s="1"/>
  <c r="A49" i="2" s="1"/>
  <c r="A199" i="2"/>
  <c r="A200" i="2"/>
  <c r="A201" i="2" s="1"/>
  <c r="A202" i="2" s="1"/>
  <c r="K81" i="2"/>
  <c r="K82" i="2" s="1"/>
  <c r="K83" i="2"/>
  <c r="K84" i="2" s="1"/>
  <c r="K85" i="2" s="1"/>
  <c r="A81" i="2"/>
  <c r="A82" i="2" s="1"/>
  <c r="A83" i="2"/>
  <c r="A84" i="2" s="1"/>
  <c r="A85" i="2" s="1"/>
</calcChain>
</file>

<file path=xl/sharedStrings.xml><?xml version="1.0" encoding="utf-8"?>
<sst xmlns="http://schemas.openxmlformats.org/spreadsheetml/2006/main" count="3807" uniqueCount="370">
  <si>
    <t>malzeme</t>
  </si>
  <si>
    <t>Артикул</t>
  </si>
  <si>
    <t>Наименование</t>
  </si>
  <si>
    <t>Цена,тг</t>
  </si>
  <si>
    <t>Ед.изм</t>
  </si>
  <si>
    <t>завод из готовитель</t>
  </si>
  <si>
    <t>СУММ.</t>
  </si>
  <si>
    <t>комплект</t>
  </si>
  <si>
    <t>korpus</t>
  </si>
  <si>
    <t>TEKSAN</t>
  </si>
  <si>
    <t>монтажный материал</t>
  </si>
  <si>
    <t>монтажная работа</t>
  </si>
  <si>
    <t>oto</t>
  </si>
  <si>
    <t xml:space="preserve"> ШТ. </t>
  </si>
  <si>
    <t>Номенклатура</t>
  </si>
  <si>
    <t>Кол- во</t>
  </si>
  <si>
    <t>teksan f</t>
  </si>
  <si>
    <t>chint</t>
  </si>
  <si>
    <t>sayac</t>
  </si>
  <si>
    <t>296708</t>
  </si>
  <si>
    <t>Авт. выкл. NXB-63S 1P 6А 4.5kA х-ка C (R)</t>
  </si>
  <si>
    <t>dif</t>
  </si>
  <si>
    <t>131362</t>
  </si>
  <si>
    <t>Авт. выкл. NXM-125S/3Р 100A 25кА (R)</t>
  </si>
  <si>
    <t>pys</t>
  </si>
  <si>
    <t>tt</t>
  </si>
  <si>
    <t>Авт. выкл. NXB-63S 3P 32А 4.5kA х-ка C (R)</t>
  </si>
  <si>
    <t>296830</t>
  </si>
  <si>
    <t>lamb</t>
  </si>
  <si>
    <t>rubilnik</t>
  </si>
  <si>
    <t>ppn</t>
  </si>
  <si>
    <t>131361</t>
  </si>
  <si>
    <t>Авт. выкл. NXM-125S/3Р 80A 25кА (R)</t>
  </si>
  <si>
    <t>mccb</t>
  </si>
  <si>
    <t>296827</t>
  </si>
  <si>
    <t>Авт. выкл. NXB-63S 3P 16А 4.5kA х-ка C (R)</t>
  </si>
  <si>
    <t>296710</t>
  </si>
  <si>
    <t>Авт. выкл. NXB-63S 1P 16А 4.5kA х-ка C (R)</t>
  </si>
  <si>
    <t>719-15043</t>
  </si>
  <si>
    <t>Мет. Щит ВРУ 1700х800х450+10CM База</t>
  </si>
  <si>
    <t xml:space="preserve"> </t>
  </si>
  <si>
    <t>ats</t>
  </si>
  <si>
    <t>515380</t>
  </si>
  <si>
    <t>Диф. авт. выкл. NXBLE-63YH 1P+N C16 30mA тип AC, 6kA (R)</t>
  </si>
  <si>
    <t>270300099_</t>
  </si>
  <si>
    <t xml:space="preserve">  Трансформатор тока ТТИ-А  100/5А  5ВА  класс 0,5  IEK</t>
  </si>
  <si>
    <t>296709</t>
  </si>
  <si>
    <t>Авт. выкл. NXB-63S 1P 10А 4.5kA х-ка C (R)</t>
  </si>
  <si>
    <t>bh</t>
  </si>
  <si>
    <t>193180</t>
  </si>
  <si>
    <t>Выключатель нагрузки NXHB-125 3P 20A (R)</t>
  </si>
  <si>
    <t>193181</t>
  </si>
  <si>
    <t>Выключатель нагрузки NXHB-125 3P 32A (R)</t>
  </si>
  <si>
    <t xml:space="preserve">condencator </t>
  </si>
  <si>
    <t>ITT20-2-05-0200</t>
  </si>
  <si>
    <t xml:space="preserve"> Трансформатор тока ТТИ-30  200/5А 5ВА 0,5 IEK E-PRO</t>
  </si>
  <si>
    <t>521215</t>
  </si>
  <si>
    <t>Плавкая вставка предохранителя RT36-2-400, габарит 2, 315А</t>
  </si>
  <si>
    <t>521368</t>
  </si>
  <si>
    <t>Держатель плавкой вставки RT36-2-400, габарит 2, 400А</t>
  </si>
  <si>
    <t>condencator</t>
  </si>
  <si>
    <t>131367</t>
  </si>
  <si>
    <t>Авт. выкл. NXM-250S/3Р 200A 36кА (R)</t>
  </si>
  <si>
    <t>193183</t>
  </si>
  <si>
    <t>Выключатель нагрузки NXHB-125 3P 63A (R)</t>
  </si>
  <si>
    <t>296832</t>
  </si>
  <si>
    <t>Авт. выкл. NXB-63S 3P 50А 4.5kA х-ка C (R)</t>
  </si>
  <si>
    <t>296711</t>
  </si>
  <si>
    <t>Авт. выкл. NXB-63S 1P 20А 4.5kA х-ка C (R)</t>
  </si>
  <si>
    <t>193182</t>
  </si>
  <si>
    <t>Выключатель нагрузки NXHB-125 3P 40A (R)</t>
  </si>
  <si>
    <t>193184</t>
  </si>
  <si>
    <t>Выключатель нагрузки NXHB-125 3P 80A (R)</t>
  </si>
  <si>
    <t>193185</t>
  </si>
  <si>
    <t>Выключатель нагрузки NXHB-125 3P 100A (R)</t>
  </si>
  <si>
    <t>844302</t>
  </si>
  <si>
    <t>Авт. выкл. NXM-125S/3Р 50A 25кА (R)</t>
  </si>
  <si>
    <t>296833</t>
  </si>
  <si>
    <t>Авт. выкл. NXB-63S 3P 63А 4.5kA х-ка C (R)</t>
  </si>
  <si>
    <t>Источник</t>
  </si>
  <si>
    <t>270300100_</t>
  </si>
  <si>
    <t>Трансформатор тока ТТИ-А  150/5А  5ВА  класс 0,5  IEK</t>
  </si>
  <si>
    <t>270100161_</t>
  </si>
  <si>
    <t>Рубильник ВР-32-37  В71250-400А на 2 направления (+6камер) UNIT (1/6)</t>
  </si>
  <si>
    <t>521187</t>
  </si>
  <si>
    <t>Плавкая вставка предохранителя RT36-1-250, габарит 1, 160А</t>
  </si>
  <si>
    <t>521188</t>
  </si>
  <si>
    <t>Плавкая вставка предохранителя RT36-1-250, габарит 1, 200А</t>
  </si>
  <si>
    <t>521367</t>
  </si>
  <si>
    <t>Держатель плавкой вставки RT36-1-250, габарит 1, 250А</t>
  </si>
  <si>
    <t>131365</t>
  </si>
  <si>
    <t>Авт. выкл. NXM-250S/3Р 160A 36кА (R)</t>
  </si>
  <si>
    <t>844299</t>
  </si>
  <si>
    <t>Авт. выкл. NXM-125S/3Р 25A 25кА (R)</t>
  </si>
  <si>
    <t>844300</t>
  </si>
  <si>
    <t>Авт. выкл. NXM-125S/3Р 32A 25кА (R)</t>
  </si>
  <si>
    <t>296829</t>
  </si>
  <si>
    <t>Авт. выкл. NXB-63S 3P 25А 4.5kA х-ка C (R)</t>
  </si>
  <si>
    <t>296842</t>
  </si>
  <si>
    <t>Авт. выкл. NXB-63S 3P 25А 4.5kA х-ка D (R)</t>
  </si>
  <si>
    <t>SRK21-211-250</t>
  </si>
  <si>
    <t>Рубильник  ВР32И-35В71250 250А IEK E-PRO</t>
  </si>
  <si>
    <t>521189</t>
  </si>
  <si>
    <t>Плавкая вставка предохранителя RT36-1-250, габарит 1, 250А</t>
  </si>
  <si>
    <t>131360</t>
  </si>
  <si>
    <t>Авт. выкл. NXM-125S/3Р 63A 25кА (R)</t>
  </si>
  <si>
    <t>844301</t>
  </si>
  <si>
    <t>Авт. выкл. NXM-125S/3Р 40A 25кА (R)</t>
  </si>
  <si>
    <t>Авт. выкл. NXB-63S 3P 40А 4.5kA х-ка C (R)</t>
  </si>
  <si>
    <t>270300021_</t>
  </si>
  <si>
    <t xml:space="preserve"> Трансформатор тока ТТИ-40  300/5А  5ВА  класс 0,5  IEK</t>
  </si>
  <si>
    <t>515373</t>
  </si>
  <si>
    <t>Диф. авт. выкл. NXBLE-63YH 1P+N C10 30mA тип AC, 6kA (R)</t>
  </si>
  <si>
    <t>296722</t>
  </si>
  <si>
    <t>Авт. выкл. NXB-63S 1P 10А 4.5kA х-ка D (R)</t>
  </si>
  <si>
    <t>814989</t>
  </si>
  <si>
    <t>Независимый расцепитель SHT-X1 AC230V/400V для NXB-63 (R)</t>
  </si>
  <si>
    <t>296839</t>
  </si>
  <si>
    <t>Авт. выкл. NXB-63S 3P 10А 4.5kA х-ка D (R)</t>
  </si>
  <si>
    <t>rn</t>
  </si>
  <si>
    <t>193175</t>
  </si>
  <si>
    <t>Выключатель нагрузки NXHB-125 2P 40A (R)</t>
  </si>
  <si>
    <t>539864</t>
  </si>
  <si>
    <t>Диф. авт. выкл. NXBLE-63YH 3P+N C32 300mA тип AC, 6kA (R)</t>
  </si>
  <si>
    <t>515387</t>
  </si>
  <si>
    <t>Диф. авт. выкл. NXBLE-63YH 1P+N C20 30mA тип AC, 6kA (R)</t>
  </si>
  <si>
    <t>280722</t>
  </si>
  <si>
    <t>УЗО NXL-63 6kA 1P+N 32A 30mA AC (R)</t>
  </si>
  <si>
    <t>uzo</t>
  </si>
  <si>
    <t>193176</t>
  </si>
  <si>
    <t>Выключатель нагрузки NXHB-125 2P 63A (R)</t>
  </si>
  <si>
    <t>515408</t>
  </si>
  <si>
    <t>Диф. авт. выкл. NXBLE-63YH 1P+N C40 30mA тип AC, 6kA (R)</t>
  </si>
  <si>
    <t>2853_01_01_S1_EM01_01_M3</t>
  </si>
  <si>
    <t>2853_01_01_S2_EM01_01_M3</t>
  </si>
  <si>
    <t>515414</t>
  </si>
  <si>
    <t>Диф. авт. выкл. NXBLE-63YH 1P+N C50 300mA тип AC, 6kA (R)</t>
  </si>
  <si>
    <t>2853_01_01_S3_EM01_01_M3</t>
  </si>
  <si>
    <t>296826</t>
  </si>
  <si>
    <t>Авт. выкл. NXB-63S 3P 10А 4.5kA х-ка C (R)</t>
  </si>
  <si>
    <t>rele</t>
  </si>
  <si>
    <t>rozetka</t>
  </si>
  <si>
    <t>contactor</t>
  </si>
  <si>
    <t>fotorele</t>
  </si>
  <si>
    <t>719-15430</t>
  </si>
  <si>
    <t>indicator</t>
  </si>
  <si>
    <t>593077</t>
  </si>
  <si>
    <t>Индикатор ND16-22D/2 зеленый AC/DC230В (R)</t>
  </si>
  <si>
    <t>837119</t>
  </si>
  <si>
    <t>Тепловое реле NXR-25 17-25A (R)</t>
  </si>
  <si>
    <t>perekluchatel</t>
  </si>
  <si>
    <t>296840</t>
  </si>
  <si>
    <t>Авт. выкл. NXB-63S 3P 16А 4.5kA х-ка D (R)</t>
  </si>
  <si>
    <t>296723</t>
  </si>
  <si>
    <t>Авт. выкл. NXB-63S 1P 16А 4.5kA х-ка D (R)</t>
  </si>
  <si>
    <t>2853_01_01_S4_EM01_01_M3</t>
  </si>
  <si>
    <t>296841</t>
  </si>
  <si>
    <t>Авт. выкл. NXB-63S 3P 20А 4.5kA х-ка D (R)</t>
  </si>
  <si>
    <t>2853_01_01_S5_EM01_01_M3</t>
  </si>
  <si>
    <t>ШНО (ЯУО9601-3474УХЛ4)</t>
  </si>
  <si>
    <t>574855</t>
  </si>
  <si>
    <t>Переключатель NP2-BG33, 3 положения с фиксацией, 2НО IP40</t>
  </si>
  <si>
    <t>button</t>
  </si>
  <si>
    <t>574816</t>
  </si>
  <si>
    <t>Кнопка управления NP2-EA31 без подсветки зеленая 1НО IP40</t>
  </si>
  <si>
    <t>574817</t>
  </si>
  <si>
    <t>Кнопка управления NP2-EA42 без подсветки красная 1НЗ IP40</t>
  </si>
  <si>
    <t>timer</t>
  </si>
  <si>
    <t>310024</t>
  </si>
  <si>
    <t>Таймер электронный NKG3 AC230В (R)</t>
  </si>
  <si>
    <t>fr-din-1-25</t>
  </si>
  <si>
    <t>2853_02_01_FO01_01_M3</t>
  </si>
  <si>
    <t>256099</t>
  </si>
  <si>
    <t>Контактор модульный NCH8-40/40 40A 4НО AC220/230В 50Гц (R)</t>
  </si>
  <si>
    <t>515423</t>
  </si>
  <si>
    <t>Диф. авт. выкл. NXBLE-63YH 1P+N C6 30mA тип A, 6kA (R)</t>
  </si>
  <si>
    <t>521234</t>
  </si>
  <si>
    <t>Плавкая вставка предохранителя RT36-0-160, габарит 0, 125А</t>
  </si>
  <si>
    <t>205883</t>
  </si>
  <si>
    <t>Авт. выкл. NXM-63S/3P 25кА 16A (R)</t>
  </si>
  <si>
    <t>2853_02_01_P1_EM01_01_M3</t>
  </si>
  <si>
    <t>256813</t>
  </si>
  <si>
    <t>Устройство автоматического ввода резерва NXZM-400S/3B 315A (R)</t>
  </si>
  <si>
    <t>193166</t>
  </si>
  <si>
    <t>Выключатель нагрузки NXHB-125 1P 20A (R)</t>
  </si>
  <si>
    <t>131363</t>
  </si>
  <si>
    <t>Авт. выкл. NXM-125S/3Р 125A 25кА (R)</t>
  </si>
  <si>
    <t>719-15440</t>
  </si>
  <si>
    <t>Мет.Корпус ЩМП-4 (800x650x250) IP31</t>
  </si>
  <si>
    <t>243885</t>
  </si>
  <si>
    <t>Контактор для компенсации реактивной мощности CJ19-3211, 18кВАр, 1НО+1НЗ, 230В (R)</t>
  </si>
  <si>
    <t>799032</t>
  </si>
  <si>
    <t>Трехфазный конденсатор NWC6-0.45-5-3, АС450В, 5кВАр</t>
  </si>
  <si>
    <t>593075</t>
  </si>
  <si>
    <t>Индикатор ND16-22D/2 красный AC/DC230В (R)</t>
  </si>
  <si>
    <t>296705</t>
  </si>
  <si>
    <t>Авт. выкл. NXB-63S 1P 2А 4.5kA х-ка C (R)</t>
  </si>
  <si>
    <t>krm</t>
  </si>
  <si>
    <t>507002</t>
  </si>
  <si>
    <t>Регулятор реактивной мощности JKF8-12 с 12-тью контурами</t>
  </si>
  <si>
    <t>574849</t>
  </si>
  <si>
    <t>Переключатель NP2-BD33, 3 положения с фиксацией, 2НО IP40</t>
  </si>
  <si>
    <t>193168</t>
  </si>
  <si>
    <t>Выключатель нагрузки NXHB-125 1P 40A (R)</t>
  </si>
  <si>
    <t>515415</t>
  </si>
  <si>
    <t>Диф. авт. выкл. NXBLE-63YH 1P+N C50 30mA тип AC, 6kA (R)</t>
  </si>
  <si>
    <t>193169</t>
  </si>
  <si>
    <t>Выключатель нагрузки NXHB-125 1P 63A (R)</t>
  </si>
  <si>
    <t>280723</t>
  </si>
  <si>
    <t>УЗО NXL-63 6kA 1P+N 40A 30mA AC (R)</t>
  </si>
  <si>
    <t>ЩР-1 (FO01)</t>
  </si>
  <si>
    <t>ЩР-2 (FO01)</t>
  </si>
  <si>
    <t>ЯУО (FO01)</t>
  </si>
  <si>
    <t>799034</t>
  </si>
  <si>
    <t>Трехфазный конденсатор NWC6-0.45-10-3, АС450В, 10кВАр</t>
  </si>
  <si>
    <t>799035</t>
  </si>
  <si>
    <t>Трехфазный конденсатор NWC6-0.45-15-3, АС450В, 15кВАр</t>
  </si>
  <si>
    <t>799033</t>
  </si>
  <si>
    <t>Трехфазный конденсатор NWC6-0.45-7.5-3, АС450В, 7.5кВАр</t>
  </si>
  <si>
    <t>775001</t>
  </si>
  <si>
    <t>Розетка AC30-111 с заземляющим контактом на DIN-рейку (R)</t>
  </si>
  <si>
    <t>270300098_</t>
  </si>
  <si>
    <t>Трансформатор тока ТТИ-А   75/5А  5ВА  класс 0,5  IEK</t>
  </si>
  <si>
    <t>270300112_</t>
  </si>
  <si>
    <t xml:space="preserve">  Трансформатор тока ТТИ-А   50/5А  5ВА  класс 0,5  IEK</t>
  </si>
  <si>
    <t>IA</t>
  </si>
  <si>
    <t>ДАЛА СА4У-Э720 R TX OP П RS1 Д W  (3x220/380V 5-7,5A)</t>
  </si>
  <si>
    <t>IC</t>
  </si>
  <si>
    <t>ДАЛА СА4-Э720 R TX OP P П RS1 Д W (3x220/380V 5-60A)</t>
  </si>
  <si>
    <t>IB</t>
  </si>
  <si>
    <t>ДАЛА СА4-Э720 R TX OP P П RS1 Д W (3x220/380V 5-100A)</t>
  </si>
  <si>
    <t>BQ</t>
  </si>
  <si>
    <t>Орман СО-Э711 R TX OP P П RS Z Д  (5-60А 220В)</t>
  </si>
  <si>
    <t>711-03038</t>
  </si>
  <si>
    <t>Щит расп. x18, пластик., c/у, крышка бел., IP40, к</t>
  </si>
  <si>
    <t>719-15562</t>
  </si>
  <si>
    <t>Мет. Корпус ЩМП- 6 (1200х750х300) IP54</t>
  </si>
  <si>
    <t>712-03058</t>
  </si>
  <si>
    <t>FS1-M18S FS1 Щит пластиковый о/у Х18 (крышка черная) IP65 NEXUS (TEKLED ELECTR)</t>
  </si>
  <si>
    <t>712-03056</t>
  </si>
  <si>
    <t>FS1-M12S FS1 Щит пластиковый о/у Х12 (крышка черная) IP65 NEXUS (TEKLED ELECTR)</t>
  </si>
  <si>
    <t>712-03060</t>
  </si>
  <si>
    <t>FS1-M24S FS1 Щит пластиковый о/у Х24 (крышка черная) IP65 NEXUS (TEKLED ELECTR)</t>
  </si>
  <si>
    <t>Мет.Корпус ЩМП-2 (500x400x220)  IP31</t>
  </si>
  <si>
    <t>tekled</t>
  </si>
  <si>
    <t>ВУ-1 (ВРУ1-13-20 ухл4) (S1)</t>
  </si>
  <si>
    <t>ВРУ-1 (ВРУ1-ИНД тип5-00 ухл4) (S1)</t>
  </si>
  <si>
    <t>АВР-1 (S1)</t>
  </si>
  <si>
    <t>ВЩоф (ВРУ1-ИНД тип3-00 ухл4) (S1)</t>
  </si>
  <si>
    <t>РЩоф-1 (ВРУ1-50-00-ухл4) (S1)</t>
  </si>
  <si>
    <t>ЩМПоф.-2.1 (ЩМП-120.80.40 УХЛ1 IP66) (S1)</t>
  </si>
  <si>
    <t>ЩМПоф.-1.1 (ЩМП-120.80.40 УХЛ1 IP66) (S1)</t>
  </si>
  <si>
    <t>ВЩоф2 (ВРУ1-ИНД тип3-00 ухл4) (S1)</t>
  </si>
  <si>
    <t>ЩР-6.1 (ВРУ1-ИНД тип3-00 ухл4) (S1)</t>
  </si>
  <si>
    <t>ЩО-1бл.  (S1)</t>
  </si>
  <si>
    <t>ЩАО-1бл. (S1)</t>
  </si>
  <si>
    <t>ЩСС-1бл. (S1)</t>
  </si>
  <si>
    <t>ЩС-1бл. (S1)</t>
  </si>
  <si>
    <t>ЩСд (S1)</t>
  </si>
  <si>
    <t>ЩР-М (S1)</t>
  </si>
  <si>
    <t>ЩР-1.1 (S1)</t>
  </si>
  <si>
    <t>ЩР-1.2 (S1)</t>
  </si>
  <si>
    <t>ЩР-6.2 (S1)</t>
  </si>
  <si>
    <t>ЩЭ-5 (S1)</t>
  </si>
  <si>
    <t>ЩК1 (S1)</t>
  </si>
  <si>
    <t>ЩК2 (S1)</t>
  </si>
  <si>
    <t>ЩО-2бл. (S2)</t>
  </si>
  <si>
    <t>ЩАО-2бл. (S2)</t>
  </si>
  <si>
    <t>ЩСС-2бл. (S2)</t>
  </si>
  <si>
    <t>ЩС-2бл.  (S2)</t>
  </si>
  <si>
    <t>ЩР-2.1 (S2)</t>
  </si>
  <si>
    <t>ЩР-2.2 (S2)</t>
  </si>
  <si>
    <t>ЩР-2.3 (S2)</t>
  </si>
  <si>
    <t>ЩЭ-6 (S2)</t>
  </si>
  <si>
    <t>ЩК1 (S2)</t>
  </si>
  <si>
    <t>ЩК2 (S2)</t>
  </si>
  <si>
    <t>ЩО-3бл. (S3)</t>
  </si>
  <si>
    <t>ЩСС-3бл. (S3)</t>
  </si>
  <si>
    <t>ЩС-3бл.  (S3)</t>
  </si>
  <si>
    <t>ЩУкот (S3)</t>
  </si>
  <si>
    <t>ЩЭ-4 (S3)</t>
  </si>
  <si>
    <t>ЩК1 (S3)</t>
  </si>
  <si>
    <t>ЩК2 (S3)</t>
  </si>
  <si>
    <t>ЩР-3.1, ЩР-3.2 (S3)</t>
  </si>
  <si>
    <t>ЩР-3.3 (S3)</t>
  </si>
  <si>
    <t>ВЩ-2 (ВРУ1-11-10) (S4)</t>
  </si>
  <si>
    <t>РЩ-2 (ВРУ1-инд-5-00-ухл4) (S4)</t>
  </si>
  <si>
    <t>АВР-2 (S4)</t>
  </si>
  <si>
    <t>ВЩоф-3 (ВРУ1-ИНД тип2-00 ухл4) (S4)</t>
  </si>
  <si>
    <t>РЩоф-3 (ВРУ1-50-00-ухл4) (S4)</t>
  </si>
  <si>
    <t>ЩМПоф.-3.2 (ЩМП-120.80.40 УХЛ1 IP66) (S4)</t>
  </si>
  <si>
    <t>ЩМПоф.-3.3 (ЩМП-120.80.40 УХЛ1 IP66) (S4)</t>
  </si>
  <si>
    <t>ЩО-4бл. (S4)</t>
  </si>
  <si>
    <t>ЩАО-4бл. (S4)</t>
  </si>
  <si>
    <t>ЩСС-4бл. (S4)</t>
  </si>
  <si>
    <t>ЩС-4бл.  (S4)</t>
  </si>
  <si>
    <t>ЩСд (S4)</t>
  </si>
  <si>
    <t>ЩУкот (S4)</t>
  </si>
  <si>
    <t>ЩЭ-4 (S4)</t>
  </si>
  <si>
    <t>ЩЭ-5 (S4)</t>
  </si>
  <si>
    <t>ЩК1 (S4)</t>
  </si>
  <si>
    <t>ЩР-4.1 (S4)</t>
  </si>
  <si>
    <t>ЩР-4.2 (S4)</t>
  </si>
  <si>
    <t>ЩАО-5бл. (S5)</t>
  </si>
  <si>
    <t>ЩСС-5бл. (S5)</t>
  </si>
  <si>
    <t>ЩС-5бл.  (S5)</t>
  </si>
  <si>
    <t>ЩСН-5бл. (S5)</t>
  </si>
  <si>
    <t>ЩЭ-4 (5бл)  (S5)</t>
  </si>
  <si>
    <t>ЩК1 (S5)</t>
  </si>
  <si>
    <t>ЩР-5.1, ЩР-5.2 (S5)</t>
  </si>
  <si>
    <t>ВРЩ-п (ВРУ1-21-10) (P1)</t>
  </si>
  <si>
    <t>ЩМП-п2(ЩМП-80.80.40) (P1)</t>
  </si>
  <si>
    <t>АВР-п (P1)</t>
  </si>
  <si>
    <t>ЩМП-п1 (ЩМП-80.80.40) (P1)</t>
  </si>
  <si>
    <t>ЩО-P1 (P1)</t>
  </si>
  <si>
    <t>ЩАО-P1 (P1)</t>
  </si>
  <si>
    <t>ЩСС-P1 (P1)</t>
  </si>
  <si>
    <t>ЩРохр-P1 (P1)</t>
  </si>
  <si>
    <t>ЩР-п (P1)</t>
  </si>
  <si>
    <t>ЩСН-P1 (P1)</t>
  </si>
  <si>
    <t>ЩС-JET (P1)</t>
  </si>
  <si>
    <t>ЩС-АПТ (P1)</t>
  </si>
  <si>
    <t>ЩС-1 (P1)  (P1)</t>
  </si>
  <si>
    <t>ЩРсерв (P1)  (P1)</t>
  </si>
  <si>
    <t>ЯТП-0,25-23УЗ (P1)</t>
  </si>
  <si>
    <t>КРМ-1 (УКМ-58 0,4-12,5-УЗ)  (P1)</t>
  </si>
  <si>
    <t>КРМ-2 (УКМ-58 0,4-33-УЗ)  (P1)</t>
  </si>
  <si>
    <t>ЯТП-0,25-23УЗ  (S5)</t>
  </si>
  <si>
    <t>ЯТП-0,25-23УЗ (ЯТП 220/36В) (S5)</t>
  </si>
  <si>
    <t>ЯТП-0,25-23УЗ (ЯТП 220/12В)  (S3)</t>
  </si>
  <si>
    <t>ЯТП-0,25-23УЗ (ЯТП 220/36В)  (S3)</t>
  </si>
  <si>
    <t>ЯТП-0,25-23УЗ (S1)</t>
  </si>
  <si>
    <t>ЯТП-0,25-23УЗ (S2)</t>
  </si>
  <si>
    <t>КМПн-36 IP55 36 modul</t>
  </si>
  <si>
    <t>shmp 1200*800*400</t>
  </si>
  <si>
    <t>shmp 1000*800*400</t>
  </si>
  <si>
    <t>indudualniy 1980*800*160</t>
  </si>
  <si>
    <t>719-15614</t>
  </si>
  <si>
    <t>Мет. Корпус (Пустой) (1700x600x450)+10CM База IP31</t>
  </si>
  <si>
    <t>719-15696</t>
  </si>
  <si>
    <t>Shit 2000x800x450+100mm</t>
  </si>
  <si>
    <t>710-10</t>
  </si>
  <si>
    <t>Мет. Щит ЩМП-5 (1000x650x300) IP54</t>
  </si>
  <si>
    <t>719-15450</t>
  </si>
  <si>
    <t>719-15</t>
  </si>
  <si>
    <t>719-15410</t>
  </si>
  <si>
    <t>Мет.Корпус ЩМП-1 (395х310х150) УХЛ3 IP54</t>
  </si>
  <si>
    <t>131369</t>
  </si>
  <si>
    <t>Авт. выкл. NXM-250S/3Р 250A 36кА (R)</t>
  </si>
  <si>
    <t>844374</t>
  </si>
  <si>
    <t>Авт. выкл. NXM-630S/3Р 400A 50кА (R)</t>
  </si>
  <si>
    <t>Фотореле на DIN-рейку с выносным датчиком (ФР) 2-100Лк 25А 3000Вт EKF PROxima</t>
  </si>
  <si>
    <t>kont</t>
  </si>
  <si>
    <t>dob kont</t>
  </si>
  <si>
    <t>avr rolesi</t>
  </si>
  <si>
    <t>311100861_</t>
  </si>
  <si>
    <t>Устройство управления резервным питанием F&amp;F AVR-02 NEW</t>
  </si>
  <si>
    <t>f&amp;f</t>
  </si>
  <si>
    <t>Мет. Щит ВРУ 1700х700х450+10CM База</t>
  </si>
  <si>
    <t>mcb</t>
  </si>
  <si>
    <t>836788</t>
  </si>
  <si>
    <t>Контактор NXC-50 50A 220В/АС3 1НО+1НЗ 50Гц (R)</t>
  </si>
  <si>
    <t>836816</t>
  </si>
  <si>
    <t>Контактор NXC-85 85A 220В/АС3 1НО+1НЗ 50Гц (R)</t>
  </si>
  <si>
    <t>938251</t>
  </si>
  <si>
    <t>Приставка доп.контакты AX-3X/22 к контактору NXC-06~630 (R)</t>
  </si>
  <si>
    <t>ЩАО-3бл.с Фотореле  (S3)</t>
  </si>
  <si>
    <t>ЩО-5бл.с Фотореле (S5)</t>
  </si>
  <si>
    <t>714-15116</t>
  </si>
  <si>
    <t>Щит мет. ЩРн-5-2 PR (1000x650x300) IP54 (TS)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</si>
</sst>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\-??_-;_-@_-"/>
    <numFmt numFmtId="165" formatCode="_-* #,##0_-;\-* #,##0_-;_-* \-??_-;_-@_-"/>
    <numFmt numFmtId="166" formatCode="_-* #,##0.00\ _X_D_R_-;\-* #,##0.00\ _X_D_R_-;_-* \-??\ _X_D_R_-;_-@_-"/>
  </numFmts>
  <fonts count="14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color theme="1"/>
      <name val="Calibri"/>
      <family val="2"/>
      <scheme val="minor"/>
    </font>
    <font>
      <sz val="9"/>
      <name val="Calibri"/>
      <family val="2"/>
      <charset val="204"/>
      <scheme val="minor"/>
    </font>
    <font>
      <sz val="9"/>
      <name val="Tahoma"/>
      <family val="2"/>
      <charset val="204"/>
    </font>
    <font>
      <b/>
      <sz val="9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  <fill>
      <patternFill patternType="solid">
        <fgColor theme="0"/>
        <bgColor rgb="FFFFFF99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rgb="FFFFFF99"/>
      </patternFill>
    </fill>
    <fill>
      <patternFill patternType="solid">
        <fgColor rgb="FFFFFF00"/>
        <bgColor rgb="FFFFFF99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</borders>
  <cellStyleXfs count="11">
    <xf numFmtId="0" fontId="0" fillId="0" borderId="0"/>
    <xf numFmtId="164" fontId="5" fillId="0" borderId="0" applyBorder="0" applyProtection="0"/>
    <xf numFmtId="0" fontId="4" fillId="0" borderId="0"/>
    <xf numFmtId="0" fontId="3" fillId="0" borderId="0"/>
    <xf numFmtId="0" fontId="6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0"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3" fontId="7" fillId="2" borderId="1" xfId="0" applyNumberFormat="1" applyFont="1" applyFill="1" applyBorder="1" applyAlignment="1">
      <alignment horizontal="center" vertical="center" wrapText="1"/>
    </xf>
    <xf numFmtId="165" fontId="7" fillId="2" borderId="1" xfId="1" applyNumberFormat="1" applyFont="1" applyFill="1" applyBorder="1" applyAlignment="1" applyProtection="1">
      <alignment horizontal="center" vertical="center" wrapText="1"/>
    </xf>
    <xf numFmtId="0" fontId="7" fillId="2" borderId="1" xfId="1" applyNumberFormat="1" applyFont="1" applyFill="1" applyBorder="1" applyAlignment="1" applyProtection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3" fontId="7" fillId="6" borderId="1" xfId="1" applyNumberFormat="1" applyFont="1" applyFill="1" applyBorder="1" applyAlignment="1" applyProtection="1">
      <alignment horizontal="center" vertical="center" wrapText="1"/>
    </xf>
    <xf numFmtId="165" fontId="7" fillId="6" borderId="1" xfId="1" applyNumberFormat="1" applyFont="1" applyFill="1" applyBorder="1" applyAlignment="1" applyProtection="1">
      <alignment horizontal="center" vertical="center"/>
    </xf>
    <xf numFmtId="166" fontId="7" fillId="6" borderId="1" xfId="1" applyNumberFormat="1" applyFont="1" applyFill="1" applyBorder="1" applyAlignment="1" applyProtection="1">
      <alignment horizontal="center" vertical="center" wrapText="1"/>
    </xf>
    <xf numFmtId="0" fontId="7" fillId="6" borderId="1" xfId="1" applyNumberFormat="1" applyFont="1" applyFill="1" applyBorder="1" applyAlignment="1" applyProtection="1">
      <alignment horizontal="center" vertical="center"/>
    </xf>
    <xf numFmtId="165" fontId="7" fillId="6" borderId="1" xfId="1" applyNumberFormat="1" applyFont="1" applyFill="1" applyBorder="1" applyAlignment="1" applyProtection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3" fontId="7" fillId="4" borderId="1" xfId="1" applyNumberFormat="1" applyFont="1" applyFill="1" applyBorder="1" applyAlignment="1" applyProtection="1">
      <alignment horizontal="center" vertical="center" wrapText="1"/>
    </xf>
    <xf numFmtId="165" fontId="7" fillId="4" borderId="1" xfId="1" applyNumberFormat="1" applyFont="1" applyFill="1" applyBorder="1" applyAlignment="1" applyProtection="1">
      <alignment horizontal="center" vertical="center"/>
    </xf>
    <xf numFmtId="0" fontId="7" fillId="4" borderId="1" xfId="1" applyNumberFormat="1" applyFont="1" applyFill="1" applyBorder="1" applyAlignment="1" applyProtection="1">
      <alignment horizontal="center" vertical="center"/>
    </xf>
    <xf numFmtId="165" fontId="7" fillId="4" borderId="1" xfId="1" applyNumberFormat="1" applyFont="1" applyFill="1" applyBorder="1" applyAlignment="1" applyProtection="1">
      <alignment horizontal="center" vertical="center" wrapText="1"/>
    </xf>
    <xf numFmtId="3" fontId="7" fillId="4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1" fontId="11" fillId="0" borderId="1" xfId="0" quotePrefix="1" applyNumberFormat="1" applyFont="1" applyBorder="1" applyAlignment="1">
      <alignment horizontal="center" vertical="center"/>
    </xf>
    <xf numFmtId="165" fontId="13" fillId="4" borderId="1" xfId="1" applyNumberFormat="1" applyFont="1" applyFill="1" applyBorder="1" applyAlignment="1" applyProtection="1">
      <alignment horizontal="center" vertical="center" wrapText="1"/>
    </xf>
    <xf numFmtId="3" fontId="12" fillId="0" borderId="2" xfId="0" applyNumberFormat="1" applyFont="1" applyBorder="1" applyAlignment="1">
      <alignment horizontal="center" vertical="center" wrapText="1"/>
    </xf>
    <xf numFmtId="3" fontId="12" fillId="0" borderId="3" xfId="0" applyNumberFormat="1" applyFont="1" applyBorder="1" applyAlignment="1">
      <alignment horizontal="center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0" fontId="7" fillId="4" borderId="1" xfId="1" applyNumberFormat="1" applyFont="1" applyFill="1" applyBorder="1" applyAlignment="1" applyProtection="1">
      <alignment horizontal="center" vertical="center" wrapText="1"/>
    </xf>
    <xf numFmtId="3" fontId="8" fillId="5" borderId="1" xfId="0" applyNumberFormat="1" applyFont="1" applyFill="1" applyBorder="1" applyAlignment="1">
      <alignment horizontal="center" vertical="center" wrapText="1"/>
    </xf>
    <xf numFmtId="165" fontId="0" fillId="0" borderId="0" xfId="0" applyNumberFormat="1"/>
    <xf numFmtId="166" fontId="7" fillId="7" borderId="1" xfId="1" applyNumberFormat="1" applyFont="1" applyFill="1" applyBorder="1" applyAlignment="1" applyProtection="1">
      <alignment horizontal="center" vertical="center" wrapText="1"/>
    </xf>
  </cellXfs>
  <cellStyles count="11">
    <cellStyle name="Normal" xfId="0" builtinId="0"/>
    <cellStyle name="Normal 2" xfId="4" xr:uid="{58983704-5E2B-4916-A376-1020AEBA7112}"/>
    <cellStyle name="Virgül" xfId="1" builtinId="3"/>
    <cellStyle name="Обычный 2" xfId="2" xr:uid="{9F91089A-2C01-471B-9845-EF702ED3C33C}"/>
    <cellStyle name="Обычный 2 2" xfId="3" xr:uid="{E01E0257-FF99-4AF9-B452-D8F88D301A3A}"/>
    <cellStyle name="Обычный 2 2 2" xfId="6" xr:uid="{F7C7FA61-46D9-4882-A799-DFAFF2386462}"/>
    <cellStyle name="Обычный 2 2 2 2" xfId="10" xr:uid="{643AA2EF-3311-435C-8648-633139E44879}"/>
    <cellStyle name="Обычный 2 2 3" xfId="8" xr:uid="{A34CDC89-9DCA-4EC0-9B23-2CDD5A6BC744}"/>
    <cellStyle name="Обычный 2 3" xfId="5" xr:uid="{CD09FCFD-EFD6-4824-A0CB-AF049C27D85C}"/>
    <cellStyle name="Обычный 2 3 2" xfId="9" xr:uid="{87A69162-C9EE-4684-A426-86BDB590A8DC}"/>
    <cellStyle name="Обычный 2 4" xfId="7" xr:uid="{E36AB3D1-959F-4339-8453-3B68B0DF979D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342901</xdr:colOff>
      <xdr:row>190</xdr:row>
      <xdr:rowOff>168933</xdr:rowOff>
    </xdr:from>
    <xdr:to>
      <xdr:col>22</xdr:col>
      <xdr:colOff>266701</xdr:colOff>
      <xdr:row>231</xdr:row>
      <xdr:rowOff>181836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26B1ECC3-0CAB-3279-FC68-561E50663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87726" y="673758"/>
          <a:ext cx="6019800" cy="36800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AB537A7-8745-4D8F-BA0A-BAEACAFDB9A7}">
  <we:reference id="wa200005271" version="2.5.5.0" store="tr-TR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C231C-0991-4FBE-BD8E-9CD4D9BF51D9}">
  <sheetPr filterMode="1"/>
  <dimension ref="A1:L849"/>
  <sheetViews>
    <sheetView tabSelected="1" zoomScaleNormal="100" workbookViewId="0">
      <pane xSplit="11" ySplit="1" topLeftCell="L795" activePane="bottomRight" state="frozen"/>
      <selection pane="topRight" activeCell="L1" sqref="L1"/>
      <selection pane="bottomLeft" activeCell="A2" sqref="A2"/>
      <selection pane="bottomRight" activeCell="C1" sqref="C1:L849"/>
    </sheetView>
  </sheetViews>
  <sheetFormatPr defaultRowHeight="21" customHeight="1" x14ac:dyDescent="0.25"/>
  <cols>
    <col min="1" max="1" width="17.5703125" customWidth="1"/>
    <col min="2" max="2" width="9.28515625" customWidth="1"/>
    <col min="3" max="3" width="19" bestFit="1" customWidth="1"/>
    <col min="4" max="4" width="72.42578125" customWidth="1"/>
    <col min="5" max="5" width="7.85546875" bestFit="1" customWidth="1"/>
    <col min="6" max="6" width="11.5703125" bestFit="1" customWidth="1"/>
    <col min="7" max="7" width="10.28515625" customWidth="1"/>
    <col min="8" max="8" width="9.28515625" bestFit="1" customWidth="1"/>
    <col min="11" max="11" width="36.42578125" customWidth="1"/>
    <col min="12" max="12" width="12.42578125" customWidth="1"/>
  </cols>
  <sheetData>
    <row r="1" spans="1:12" ht="39.75" customHeight="1" x14ac:dyDescent="0.25">
      <c r="A1" s="1" t="s">
        <v>2</v>
      </c>
      <c r="B1" s="1" t="s">
        <v>0</v>
      </c>
      <c r="C1" s="2" t="s">
        <v>1</v>
      </c>
      <c r="D1" s="1" t="s">
        <v>14</v>
      </c>
      <c r="E1" s="1" t="s">
        <v>3</v>
      </c>
      <c r="F1" s="1" t="s">
        <v>3</v>
      </c>
      <c r="G1" s="3" t="s">
        <v>6</v>
      </c>
      <c r="H1" s="4" t="s">
        <v>15</v>
      </c>
      <c r="I1" s="4" t="s">
        <v>4</v>
      </c>
      <c r="J1" s="4" t="s">
        <v>5</v>
      </c>
      <c r="K1" s="1" t="s">
        <v>79</v>
      </c>
      <c r="L1" t="s">
        <v>6</v>
      </c>
    </row>
    <row r="2" spans="1:12" ht="39.75" customHeight="1" x14ac:dyDescent="0.25">
      <c r="A2" s="5" t="str">
        <f>D2</f>
        <v>ВУ-1 (ВРУ1-13-20 ухл4) (S1)</v>
      </c>
      <c r="B2" s="6"/>
      <c r="C2" s="7"/>
      <c r="D2" s="6" t="s">
        <v>245</v>
      </c>
      <c r="E2" s="8"/>
      <c r="F2" s="8" t="s">
        <v>40</v>
      </c>
      <c r="G2" s="9"/>
      <c r="H2" s="10">
        <v>1</v>
      </c>
      <c r="I2" s="11" t="s">
        <v>7</v>
      </c>
      <c r="J2" s="6" t="s">
        <v>9</v>
      </c>
      <c r="K2" s="5" t="s">
        <v>133</v>
      </c>
    </row>
    <row r="3" spans="1:12" ht="21" hidden="1" customHeight="1" x14ac:dyDescent="0.25">
      <c r="A3" s="12" t="str">
        <f>A2</f>
        <v>ВУ-1 (ВРУ1-13-20 ухл4) (S1)</v>
      </c>
      <c r="B3" s="13" t="s">
        <v>8</v>
      </c>
      <c r="C3" s="14" t="s">
        <v>38</v>
      </c>
      <c r="D3" s="12" t="s">
        <v>39</v>
      </c>
      <c r="E3" s="13">
        <v>155000</v>
      </c>
      <c r="F3" s="15">
        <f>E3*0.6</f>
        <v>93000</v>
      </c>
      <c r="G3" s="15">
        <f t="shared" ref="G3:G15" si="0">H3*F3</f>
        <v>93000</v>
      </c>
      <c r="H3" s="16">
        <v>1</v>
      </c>
      <c r="I3" s="17" t="s">
        <v>13</v>
      </c>
      <c r="J3" s="13" t="s">
        <v>16</v>
      </c>
      <c r="K3" s="12" t="str">
        <f>K2</f>
        <v>2853_01_01_S1_EM01_01_M3</v>
      </c>
      <c r="L3">
        <v>93000</v>
      </c>
    </row>
    <row r="4" spans="1:12" ht="21" hidden="1" customHeight="1" x14ac:dyDescent="0.25">
      <c r="A4" s="12" t="str">
        <f t="shared" ref="A4:A16" si="1">A3</f>
        <v>ВУ-1 (ВРУ1-13-20 ухл4) (S1)</v>
      </c>
      <c r="B4" s="13" t="s">
        <v>25</v>
      </c>
      <c r="C4" s="14" t="s">
        <v>80</v>
      </c>
      <c r="D4" s="12" t="s">
        <v>81</v>
      </c>
      <c r="E4" s="13">
        <v>6018</v>
      </c>
      <c r="F4" s="15">
        <f>E4</f>
        <v>6018</v>
      </c>
      <c r="G4" s="15">
        <f t="shared" si="0"/>
        <v>18054</v>
      </c>
      <c r="H4" s="16">
        <v>3</v>
      </c>
      <c r="I4" s="17" t="s">
        <v>13</v>
      </c>
      <c r="J4" s="13" t="s">
        <v>24</v>
      </c>
      <c r="K4" s="12" t="str">
        <f t="shared" ref="K4:K16" si="2">K3</f>
        <v>2853_01_01_S1_EM01_01_M3</v>
      </c>
      <c r="L4">
        <v>18054</v>
      </c>
    </row>
    <row r="5" spans="1:12" ht="21" hidden="1" customHeight="1" x14ac:dyDescent="0.25">
      <c r="A5" s="12" t="str">
        <f t="shared" si="1"/>
        <v>ВУ-1 (ВРУ1-13-20 ухл4) (S1)</v>
      </c>
      <c r="B5" s="13" t="s">
        <v>25</v>
      </c>
      <c r="C5" s="14" t="s">
        <v>80</v>
      </c>
      <c r="D5" s="12" t="s">
        <v>81</v>
      </c>
      <c r="E5" s="13">
        <v>6018</v>
      </c>
      <c r="F5" s="15">
        <f>E5</f>
        <v>6018</v>
      </c>
      <c r="G5" s="15">
        <f t="shared" si="0"/>
        <v>18054</v>
      </c>
      <c r="H5" s="16">
        <v>3</v>
      </c>
      <c r="I5" s="17" t="s">
        <v>13</v>
      </c>
      <c r="J5" s="13" t="s">
        <v>24</v>
      </c>
      <c r="K5" s="12" t="str">
        <f t="shared" si="2"/>
        <v>2853_01_01_S1_EM01_01_M3</v>
      </c>
      <c r="L5">
        <v>18054</v>
      </c>
    </row>
    <row r="6" spans="1:12" ht="21" hidden="1" customHeight="1" x14ac:dyDescent="0.25">
      <c r="A6" s="12" t="str">
        <f>A4</f>
        <v>ВУ-1 (ВРУ1-13-20 ухл4) (S1)</v>
      </c>
      <c r="B6" s="13" t="s">
        <v>29</v>
      </c>
      <c r="C6" s="14" t="s">
        <v>82</v>
      </c>
      <c r="D6" s="12" t="s">
        <v>83</v>
      </c>
      <c r="E6" s="13">
        <v>21950</v>
      </c>
      <c r="F6" s="15">
        <f>E6</f>
        <v>21950</v>
      </c>
      <c r="G6" s="15">
        <f t="shared" si="0"/>
        <v>43900</v>
      </c>
      <c r="H6" s="16">
        <v>2</v>
      </c>
      <c r="I6" s="17" t="s">
        <v>13</v>
      </c>
      <c r="J6" s="13" t="s">
        <v>24</v>
      </c>
      <c r="K6" s="12" t="str">
        <f>K4</f>
        <v>2853_01_01_S1_EM01_01_M3</v>
      </c>
      <c r="L6">
        <v>43900</v>
      </c>
    </row>
    <row r="7" spans="1:12" ht="21" hidden="1" customHeight="1" x14ac:dyDescent="0.25">
      <c r="A7" s="12" t="str">
        <f t="shared" si="1"/>
        <v>ВУ-1 (ВРУ1-13-20 ухл4) (S1)</v>
      </c>
      <c r="B7" s="13" t="s">
        <v>30</v>
      </c>
      <c r="C7" s="14" t="s">
        <v>84</v>
      </c>
      <c r="D7" s="12" t="s">
        <v>85</v>
      </c>
      <c r="E7" s="13">
        <v>3288</v>
      </c>
      <c r="F7" s="15">
        <f t="shared" ref="F7:F10" si="3">E7*0.6</f>
        <v>1972.8</v>
      </c>
      <c r="G7" s="15">
        <f t="shared" si="0"/>
        <v>5918.4</v>
      </c>
      <c r="H7" s="16">
        <v>3</v>
      </c>
      <c r="I7" s="17" t="s">
        <v>13</v>
      </c>
      <c r="J7" s="13" t="s">
        <v>17</v>
      </c>
      <c r="K7" s="12" t="str">
        <f t="shared" si="2"/>
        <v>2853_01_01_S1_EM01_01_M3</v>
      </c>
      <c r="L7">
        <v>5918.4</v>
      </c>
    </row>
    <row r="8" spans="1:12" ht="21" hidden="1" customHeight="1" x14ac:dyDescent="0.25">
      <c r="A8" s="12" t="str">
        <f t="shared" si="1"/>
        <v>ВУ-1 (ВРУ1-13-20 ухл4) (S1)</v>
      </c>
      <c r="B8" s="13" t="s">
        <v>30</v>
      </c>
      <c r="C8" s="14" t="s">
        <v>86</v>
      </c>
      <c r="D8" s="12" t="s">
        <v>87</v>
      </c>
      <c r="E8" s="13">
        <v>3302</v>
      </c>
      <c r="F8" s="15">
        <f t="shared" si="3"/>
        <v>1981.1999999999998</v>
      </c>
      <c r="G8" s="15">
        <f t="shared" si="0"/>
        <v>5943.5999999999995</v>
      </c>
      <c r="H8" s="16">
        <v>3</v>
      </c>
      <c r="I8" s="17" t="s">
        <v>13</v>
      </c>
      <c r="J8" s="13" t="s">
        <v>17</v>
      </c>
      <c r="K8" s="12" t="str">
        <f t="shared" si="2"/>
        <v>2853_01_01_S1_EM01_01_M3</v>
      </c>
      <c r="L8">
        <v>5943.5999999999995</v>
      </c>
    </row>
    <row r="9" spans="1:12" ht="21" hidden="1" customHeight="1" x14ac:dyDescent="0.25">
      <c r="A9" s="12" t="str">
        <f t="shared" si="1"/>
        <v>ВУ-1 (ВРУ1-13-20 ухл4) (S1)</v>
      </c>
      <c r="B9" s="13" t="s">
        <v>30</v>
      </c>
      <c r="C9" s="14" t="s">
        <v>88</v>
      </c>
      <c r="D9" s="12" t="s">
        <v>89</v>
      </c>
      <c r="E9" s="13">
        <v>4750</v>
      </c>
      <c r="F9" s="15">
        <f t="shared" si="3"/>
        <v>2850</v>
      </c>
      <c r="G9" s="15">
        <f t="shared" si="0"/>
        <v>17100</v>
      </c>
      <c r="H9" s="16">
        <v>6</v>
      </c>
      <c r="I9" s="17" t="s">
        <v>13</v>
      </c>
      <c r="J9" s="13" t="s">
        <v>17</v>
      </c>
      <c r="K9" s="12" t="str">
        <f t="shared" si="2"/>
        <v>2853_01_01_S1_EM01_01_M3</v>
      </c>
      <c r="L9">
        <v>17100</v>
      </c>
    </row>
    <row r="10" spans="1:12" ht="21" hidden="1" customHeight="1" x14ac:dyDescent="0.25">
      <c r="A10" s="12" t="str">
        <f>A8</f>
        <v>ВУ-1 (ВРУ1-13-20 ухл4) (S1)</v>
      </c>
      <c r="B10" s="13" t="s">
        <v>12</v>
      </c>
      <c r="C10" s="14" t="s">
        <v>19</v>
      </c>
      <c r="D10" s="12" t="s">
        <v>20</v>
      </c>
      <c r="E10" s="13">
        <v>975</v>
      </c>
      <c r="F10" s="15">
        <f t="shared" si="3"/>
        <v>585</v>
      </c>
      <c r="G10" s="15">
        <f t="shared" si="0"/>
        <v>1170</v>
      </c>
      <c r="H10" s="16">
        <v>2</v>
      </c>
      <c r="I10" s="17" t="s">
        <v>13</v>
      </c>
      <c r="J10" s="13" t="s">
        <v>17</v>
      </c>
      <c r="K10" s="12" t="str">
        <f>K8</f>
        <v>2853_01_01_S1_EM01_01_M3</v>
      </c>
      <c r="L10">
        <v>1170</v>
      </c>
    </row>
    <row r="11" spans="1:12" ht="22.5" hidden="1" customHeight="1" x14ac:dyDescent="0.25">
      <c r="A11" s="12" t="str">
        <f t="shared" si="1"/>
        <v>ВУ-1 (ВРУ1-13-20 ухл4) (S1)</v>
      </c>
      <c r="B11" s="13" t="s">
        <v>18</v>
      </c>
      <c r="C11" s="14" t="s">
        <v>225</v>
      </c>
      <c r="D11" s="12" t="s">
        <v>226</v>
      </c>
      <c r="E11" s="13">
        <v>90000</v>
      </c>
      <c r="F11" s="15">
        <f t="shared" ref="F11:F13" si="4">E11</f>
        <v>90000</v>
      </c>
      <c r="G11" s="15">
        <f t="shared" si="0"/>
        <v>180000</v>
      </c>
      <c r="H11" s="16">
        <v>2</v>
      </c>
      <c r="I11" s="17" t="s">
        <v>13</v>
      </c>
      <c r="J11" s="13" t="s">
        <v>24</v>
      </c>
      <c r="K11" s="12" t="str">
        <f t="shared" si="2"/>
        <v>2853_01_01_S1_EM01_01_M3</v>
      </c>
      <c r="L11">
        <v>180000</v>
      </c>
    </row>
    <row r="12" spans="1:12" ht="21" hidden="1" customHeight="1" x14ac:dyDescent="0.25">
      <c r="A12" s="12" t="str">
        <f t="shared" si="1"/>
        <v>ВУ-1 (ВРУ1-13-20 ухл4) (S1)</v>
      </c>
      <c r="B12" s="13" t="s">
        <v>60</v>
      </c>
      <c r="C12" s="14"/>
      <c r="D12" s="12" t="s">
        <v>53</v>
      </c>
      <c r="E12" s="13">
        <v>4500</v>
      </c>
      <c r="F12" s="15">
        <f t="shared" si="4"/>
        <v>4500</v>
      </c>
      <c r="G12" s="15">
        <f t="shared" si="0"/>
        <v>27000</v>
      </c>
      <c r="H12" s="16">
        <v>6</v>
      </c>
      <c r="I12" s="17" t="s">
        <v>13</v>
      </c>
      <c r="J12" s="13" t="s">
        <v>24</v>
      </c>
      <c r="K12" s="12" t="str">
        <f t="shared" si="2"/>
        <v>2853_01_01_S1_EM01_01_M3</v>
      </c>
      <c r="L12">
        <v>27000</v>
      </c>
    </row>
    <row r="13" spans="1:12" ht="21" hidden="1" customHeight="1" x14ac:dyDescent="0.25">
      <c r="A13" s="12" t="str">
        <f t="shared" si="1"/>
        <v>ВУ-1 (ВРУ1-13-20 ухл4) (S1)</v>
      </c>
      <c r="B13" s="13" t="s">
        <v>28</v>
      </c>
      <c r="C13" s="14"/>
      <c r="D13" s="12" t="s">
        <v>28</v>
      </c>
      <c r="E13" s="13">
        <v>1000</v>
      </c>
      <c r="F13" s="15">
        <f t="shared" si="4"/>
        <v>1000</v>
      </c>
      <c r="G13" s="15">
        <f t="shared" si="0"/>
        <v>1000</v>
      </c>
      <c r="H13" s="16">
        <v>1</v>
      </c>
      <c r="I13" s="17" t="s">
        <v>13</v>
      </c>
      <c r="J13" s="13" t="s">
        <v>24</v>
      </c>
      <c r="K13" s="12" t="str">
        <f t="shared" si="2"/>
        <v>2853_01_01_S1_EM01_01_M3</v>
      </c>
      <c r="L13">
        <v>1000</v>
      </c>
    </row>
    <row r="14" spans="1:12" ht="24" hidden="1" customHeight="1" x14ac:dyDescent="0.25">
      <c r="A14" s="12" t="str">
        <f t="shared" si="1"/>
        <v>ВУ-1 (ВРУ1-13-20 ухл4) (S1)</v>
      </c>
      <c r="B14" s="12" t="s">
        <v>10</v>
      </c>
      <c r="C14" s="18" t="s">
        <v>10</v>
      </c>
      <c r="D14" s="12" t="s">
        <v>10</v>
      </c>
      <c r="E14" s="12">
        <v>30000</v>
      </c>
      <c r="F14" s="15">
        <f>E14</f>
        <v>30000</v>
      </c>
      <c r="G14" s="15">
        <f t="shared" si="0"/>
        <v>30000</v>
      </c>
      <c r="H14" s="12">
        <v>1</v>
      </c>
      <c r="I14" s="12" t="s">
        <v>13</v>
      </c>
      <c r="J14" s="12" t="s">
        <v>10</v>
      </c>
      <c r="K14" s="12" t="str">
        <f t="shared" si="2"/>
        <v>2853_01_01_S1_EM01_01_M3</v>
      </c>
      <c r="L14">
        <v>30000</v>
      </c>
    </row>
    <row r="15" spans="1:12" ht="21" hidden="1" customHeight="1" x14ac:dyDescent="0.25">
      <c r="A15" s="12" t="str">
        <f t="shared" si="1"/>
        <v>ВУ-1 (ВРУ1-13-20 ухл4) (S1)</v>
      </c>
      <c r="B15" s="12" t="s">
        <v>11</v>
      </c>
      <c r="C15" s="18" t="s">
        <v>11</v>
      </c>
      <c r="D15" s="12" t="s">
        <v>11</v>
      </c>
      <c r="E15" s="12">
        <v>9</v>
      </c>
      <c r="F15" s="15">
        <v>100</v>
      </c>
      <c r="G15" s="15">
        <f t="shared" si="0"/>
        <v>54000</v>
      </c>
      <c r="H15" s="12">
        <f>60*E15</f>
        <v>540</v>
      </c>
      <c r="I15" s="12" t="s">
        <v>13</v>
      </c>
      <c r="J15" s="12" t="s">
        <v>11</v>
      </c>
      <c r="K15" s="12" t="str">
        <f t="shared" si="2"/>
        <v>2853_01_01_S1_EM01_01_M3</v>
      </c>
      <c r="L15">
        <v>54000</v>
      </c>
    </row>
    <row r="16" spans="1:12" ht="30" customHeight="1" x14ac:dyDescent="0.25">
      <c r="A16" s="12" t="str">
        <f t="shared" si="1"/>
        <v>ВУ-1 (ВРУ1-13-20 ухл4) (S1)</v>
      </c>
      <c r="B16" s="19"/>
      <c r="C16" s="20"/>
      <c r="D16" s="21"/>
      <c r="E16" s="23"/>
      <c r="F16" s="25"/>
      <c r="G16" s="24">
        <f>SUM(G3:G15)</f>
        <v>495140</v>
      </c>
      <c r="H16" s="20"/>
      <c r="I16" s="22"/>
      <c r="J16" s="20"/>
      <c r="K16" s="12" t="str">
        <f t="shared" si="2"/>
        <v>2853_01_01_S1_EM01_01_M3</v>
      </c>
      <c r="L16">
        <v>495140</v>
      </c>
    </row>
    <row r="17" spans="1:12" ht="39.75" customHeight="1" x14ac:dyDescent="0.25">
      <c r="A17" s="5" t="str">
        <f>D17</f>
        <v>ВРУ-1 (ВРУ1-ИНД тип5-00 ухл4) (S1)</v>
      </c>
      <c r="B17" s="6"/>
      <c r="C17" s="7"/>
      <c r="D17" s="6" t="s">
        <v>246</v>
      </c>
      <c r="E17" s="8"/>
      <c r="F17" s="8" t="s">
        <v>40</v>
      </c>
      <c r="G17" s="9"/>
      <c r="H17" s="10">
        <v>1</v>
      </c>
      <c r="I17" s="11" t="s">
        <v>7</v>
      </c>
      <c r="J17" s="6" t="s">
        <v>9</v>
      </c>
      <c r="K17" s="5" t="s">
        <v>133</v>
      </c>
    </row>
    <row r="18" spans="1:12" ht="21" hidden="1" customHeight="1" x14ac:dyDescent="0.25">
      <c r="A18" s="12" t="str">
        <f>A17</f>
        <v>ВРУ-1 (ВРУ1-ИНД тип5-00 ухл4) (S1)</v>
      </c>
      <c r="B18" s="13" t="s">
        <v>8</v>
      </c>
      <c r="C18" s="14" t="s">
        <v>38</v>
      </c>
      <c r="D18" s="12" t="s">
        <v>39</v>
      </c>
      <c r="E18" s="13">
        <v>155000</v>
      </c>
      <c r="F18" s="15">
        <f t="shared" ref="F18:F26" si="5">E18*0.6</f>
        <v>93000</v>
      </c>
      <c r="G18" s="15">
        <f t="shared" ref="G18:G30" si="6">H18*F18</f>
        <v>93000</v>
      </c>
      <c r="H18" s="16">
        <v>1</v>
      </c>
      <c r="I18" s="17" t="s">
        <v>13</v>
      </c>
      <c r="J18" s="13" t="s">
        <v>16</v>
      </c>
      <c r="K18" s="12" t="str">
        <f>K17</f>
        <v>2853_01_01_S1_EM01_01_M3</v>
      </c>
      <c r="L18">
        <v>93000</v>
      </c>
    </row>
    <row r="19" spans="1:12" ht="21" hidden="1" customHeight="1" x14ac:dyDescent="0.25">
      <c r="A19" s="12" t="str">
        <f t="shared" ref="A19:A31" si="7">A18</f>
        <v>ВРУ-1 (ВРУ1-ИНД тип5-00 ухл4) (S1)</v>
      </c>
      <c r="B19" s="13" t="s">
        <v>48</v>
      </c>
      <c r="C19" s="14" t="s">
        <v>63</v>
      </c>
      <c r="D19" s="12" t="s">
        <v>64</v>
      </c>
      <c r="E19" s="13">
        <v>4217</v>
      </c>
      <c r="F19" s="15">
        <f t="shared" si="5"/>
        <v>2530.1999999999998</v>
      </c>
      <c r="G19" s="15">
        <f t="shared" si="6"/>
        <v>2530.1999999999998</v>
      </c>
      <c r="H19" s="16">
        <v>1</v>
      </c>
      <c r="I19" s="17" t="s">
        <v>13</v>
      </c>
      <c r="J19" s="13" t="s">
        <v>17</v>
      </c>
      <c r="K19" s="12" t="str">
        <f t="shared" ref="K19:K31" si="8">K18</f>
        <v>2853_01_01_S1_EM01_01_M3</v>
      </c>
      <c r="L19">
        <v>2530.1999999999998</v>
      </c>
    </row>
    <row r="20" spans="1:12" ht="21" hidden="1" customHeight="1" x14ac:dyDescent="0.25">
      <c r="A20" s="12" t="str">
        <f t="shared" si="7"/>
        <v>ВРУ-1 (ВРУ1-ИНД тип5-00 ухл4) (S1)</v>
      </c>
      <c r="B20" s="13" t="s">
        <v>33</v>
      </c>
      <c r="C20" s="14" t="s">
        <v>61</v>
      </c>
      <c r="D20" s="12" t="s">
        <v>62</v>
      </c>
      <c r="E20" s="13">
        <v>34800</v>
      </c>
      <c r="F20" s="15">
        <f t="shared" si="5"/>
        <v>20880</v>
      </c>
      <c r="G20" s="15">
        <f t="shared" si="6"/>
        <v>20880</v>
      </c>
      <c r="H20" s="16">
        <v>1</v>
      </c>
      <c r="I20" s="17" t="s">
        <v>13</v>
      </c>
      <c r="J20" s="13" t="s">
        <v>17</v>
      </c>
      <c r="K20" s="12" t="str">
        <f t="shared" si="8"/>
        <v>2853_01_01_S1_EM01_01_M3</v>
      </c>
      <c r="L20">
        <v>20880</v>
      </c>
    </row>
    <row r="21" spans="1:12" ht="21" hidden="1" customHeight="1" x14ac:dyDescent="0.25">
      <c r="A21" s="12" t="str">
        <f t="shared" si="7"/>
        <v>ВРУ-1 (ВРУ1-ИНД тип5-00 ухл4) (S1)</v>
      </c>
      <c r="B21" s="13" t="s">
        <v>33</v>
      </c>
      <c r="C21" s="14" t="s">
        <v>90</v>
      </c>
      <c r="D21" s="12" t="s">
        <v>91</v>
      </c>
      <c r="E21" s="13">
        <v>33910</v>
      </c>
      <c r="F21" s="15">
        <f t="shared" si="5"/>
        <v>20346</v>
      </c>
      <c r="G21" s="15">
        <f t="shared" si="6"/>
        <v>20346</v>
      </c>
      <c r="H21" s="16">
        <v>1</v>
      </c>
      <c r="I21" s="17" t="s">
        <v>13</v>
      </c>
      <c r="J21" s="13" t="s">
        <v>17</v>
      </c>
      <c r="K21" s="12" t="str">
        <f t="shared" si="8"/>
        <v>2853_01_01_S1_EM01_01_M3</v>
      </c>
      <c r="L21">
        <v>20346</v>
      </c>
    </row>
    <row r="22" spans="1:12" ht="21" hidden="1" customHeight="1" x14ac:dyDescent="0.25">
      <c r="A22" s="12" t="str">
        <f t="shared" si="7"/>
        <v>ВРУ-1 (ВРУ1-ИНД тип5-00 ухл4) (S1)</v>
      </c>
      <c r="B22" s="13" t="s">
        <v>33</v>
      </c>
      <c r="C22" s="14" t="s">
        <v>94</v>
      </c>
      <c r="D22" s="12" t="s">
        <v>95</v>
      </c>
      <c r="E22" s="13">
        <v>19700</v>
      </c>
      <c r="F22" s="15">
        <f t="shared" si="5"/>
        <v>11820</v>
      </c>
      <c r="G22" s="15">
        <f t="shared" si="6"/>
        <v>70920</v>
      </c>
      <c r="H22" s="16">
        <v>6</v>
      </c>
      <c r="I22" s="17" t="s">
        <v>13</v>
      </c>
      <c r="J22" s="13" t="s">
        <v>17</v>
      </c>
      <c r="K22" s="12" t="str">
        <f t="shared" si="8"/>
        <v>2853_01_01_S1_EM01_01_M3</v>
      </c>
      <c r="L22">
        <v>70920</v>
      </c>
    </row>
    <row r="23" spans="1:12" ht="21" hidden="1" customHeight="1" x14ac:dyDescent="0.25">
      <c r="A23" s="12" t="str">
        <f t="shared" si="7"/>
        <v>ВРУ-1 (ВРУ1-ИНД тип5-00 ухл4) (S1)</v>
      </c>
      <c r="B23" s="13" t="s">
        <v>12</v>
      </c>
      <c r="C23" s="14" t="s">
        <v>27</v>
      </c>
      <c r="D23" s="12" t="s">
        <v>26</v>
      </c>
      <c r="E23" s="13">
        <v>2606</v>
      </c>
      <c r="F23" s="15">
        <f t="shared" si="5"/>
        <v>1563.6</v>
      </c>
      <c r="G23" s="15">
        <f t="shared" si="6"/>
        <v>3127.2</v>
      </c>
      <c r="H23" s="16">
        <v>2</v>
      </c>
      <c r="I23" s="17" t="s">
        <v>13</v>
      </c>
      <c r="J23" s="13" t="s">
        <v>17</v>
      </c>
      <c r="K23" s="12" t="str">
        <f t="shared" si="8"/>
        <v>2853_01_01_S1_EM01_01_M3</v>
      </c>
      <c r="L23">
        <v>3127.2</v>
      </c>
    </row>
    <row r="24" spans="1:12" ht="21" hidden="1" customHeight="1" x14ac:dyDescent="0.25">
      <c r="A24" s="12" t="str">
        <f t="shared" si="7"/>
        <v>ВРУ-1 (ВРУ1-ИНД тип5-00 ухл4) (S1)</v>
      </c>
      <c r="B24" s="13" t="s">
        <v>12</v>
      </c>
      <c r="C24" s="14" t="s">
        <v>96</v>
      </c>
      <c r="D24" s="12" t="s">
        <v>97</v>
      </c>
      <c r="E24" s="13">
        <v>2429</v>
      </c>
      <c r="F24" s="15">
        <f t="shared" si="5"/>
        <v>1457.3999999999999</v>
      </c>
      <c r="G24" s="15">
        <f t="shared" si="6"/>
        <v>1457.3999999999999</v>
      </c>
      <c r="H24" s="16">
        <v>1</v>
      </c>
      <c r="I24" s="17" t="s">
        <v>13</v>
      </c>
      <c r="J24" s="13" t="s">
        <v>17</v>
      </c>
      <c r="K24" s="12" t="str">
        <f t="shared" si="8"/>
        <v>2853_01_01_S1_EM01_01_M3</v>
      </c>
      <c r="L24">
        <v>1457.3999999999999</v>
      </c>
    </row>
    <row r="25" spans="1:12" ht="21" hidden="1" customHeight="1" x14ac:dyDescent="0.25">
      <c r="A25" s="12" t="str">
        <f t="shared" si="7"/>
        <v>ВРУ-1 (ВРУ1-ИНД тип5-00 ухл4) (S1)</v>
      </c>
      <c r="B25" s="13" t="s">
        <v>12</v>
      </c>
      <c r="C25" s="14" t="s">
        <v>34</v>
      </c>
      <c r="D25" s="12" t="s">
        <v>35</v>
      </c>
      <c r="E25" s="13">
        <v>2337</v>
      </c>
      <c r="F25" s="15">
        <f t="shared" si="5"/>
        <v>1402.2</v>
      </c>
      <c r="G25" s="15">
        <f t="shared" si="6"/>
        <v>2804.4</v>
      </c>
      <c r="H25" s="16">
        <v>2</v>
      </c>
      <c r="I25" s="17" t="s">
        <v>13</v>
      </c>
      <c r="J25" s="13" t="s">
        <v>17</v>
      </c>
      <c r="K25" s="12" t="str">
        <f t="shared" si="8"/>
        <v>2853_01_01_S1_EM01_01_M3</v>
      </c>
      <c r="L25">
        <v>2804.4</v>
      </c>
    </row>
    <row r="26" spans="1:12" ht="21" hidden="1" customHeight="1" x14ac:dyDescent="0.25">
      <c r="A26" s="12" t="str">
        <f t="shared" si="7"/>
        <v>ВРУ-1 (ВРУ1-ИНД тип5-00 ухл4) (S1)</v>
      </c>
      <c r="B26" s="13" t="s">
        <v>12</v>
      </c>
      <c r="C26" s="14" t="s">
        <v>36</v>
      </c>
      <c r="D26" s="12" t="s">
        <v>37</v>
      </c>
      <c r="E26" s="13">
        <v>783</v>
      </c>
      <c r="F26" s="15">
        <f t="shared" si="5"/>
        <v>469.79999999999995</v>
      </c>
      <c r="G26" s="15">
        <f t="shared" si="6"/>
        <v>1409.3999999999999</v>
      </c>
      <c r="H26" s="16">
        <v>3</v>
      </c>
      <c r="I26" s="17" t="s">
        <v>13</v>
      </c>
      <c r="J26" s="13" t="s">
        <v>17</v>
      </c>
      <c r="K26" s="12" t="str">
        <f t="shared" si="8"/>
        <v>2853_01_01_S1_EM01_01_M3</v>
      </c>
      <c r="L26">
        <v>1409.3999999999999</v>
      </c>
    </row>
    <row r="27" spans="1:12" ht="22.5" hidden="1" customHeight="1" x14ac:dyDescent="0.25">
      <c r="A27" s="12" t="str">
        <f t="shared" si="7"/>
        <v>ВРУ-1 (ВРУ1-ИНД тип5-00 ухл4) (S1)</v>
      </c>
      <c r="B27" s="13" t="s">
        <v>18</v>
      </c>
      <c r="C27" s="14" t="s">
        <v>227</v>
      </c>
      <c r="D27" s="12" t="s">
        <v>228</v>
      </c>
      <c r="E27" s="13">
        <v>90000</v>
      </c>
      <c r="F27" s="15">
        <f t="shared" ref="F27:F28" si="9">E27</f>
        <v>90000</v>
      </c>
      <c r="G27" s="15">
        <f t="shared" si="6"/>
        <v>90000</v>
      </c>
      <c r="H27" s="16">
        <v>1</v>
      </c>
      <c r="I27" s="17" t="s">
        <v>13</v>
      </c>
      <c r="J27" s="13" t="s">
        <v>24</v>
      </c>
      <c r="K27" s="12" t="str">
        <f t="shared" si="8"/>
        <v>2853_01_01_S1_EM01_01_M3</v>
      </c>
      <c r="L27">
        <v>90000</v>
      </c>
    </row>
    <row r="28" spans="1:12" ht="21" hidden="1" customHeight="1" x14ac:dyDescent="0.25">
      <c r="A28" s="12" t="str">
        <f t="shared" si="7"/>
        <v>ВРУ-1 (ВРУ1-ИНД тип5-00 ухл4) (S1)</v>
      </c>
      <c r="B28" s="13" t="s">
        <v>28</v>
      </c>
      <c r="C28" s="14"/>
      <c r="D28" s="12" t="s">
        <v>28</v>
      </c>
      <c r="E28" s="13">
        <v>1000</v>
      </c>
      <c r="F28" s="15">
        <f t="shared" si="9"/>
        <v>1000</v>
      </c>
      <c r="G28" s="15">
        <f t="shared" si="6"/>
        <v>1000</v>
      </c>
      <c r="H28" s="16">
        <v>1</v>
      </c>
      <c r="I28" s="17" t="s">
        <v>13</v>
      </c>
      <c r="J28" s="13" t="s">
        <v>24</v>
      </c>
      <c r="K28" s="12" t="str">
        <f t="shared" si="8"/>
        <v>2853_01_01_S1_EM01_01_M3</v>
      </c>
      <c r="L28">
        <v>1000</v>
      </c>
    </row>
    <row r="29" spans="1:12" ht="24" hidden="1" customHeight="1" x14ac:dyDescent="0.25">
      <c r="A29" s="12" t="str">
        <f t="shared" si="7"/>
        <v>ВРУ-1 (ВРУ1-ИНД тип5-00 ухл4) (S1)</v>
      </c>
      <c r="B29" s="12" t="s">
        <v>10</v>
      </c>
      <c r="C29" s="18" t="s">
        <v>10</v>
      </c>
      <c r="D29" s="12" t="s">
        <v>10</v>
      </c>
      <c r="E29" s="12">
        <f ca="1">OFFSET(E29,1,2)</f>
        <v>54000</v>
      </c>
      <c r="F29" s="15">
        <f ca="1">E29</f>
        <v>54000</v>
      </c>
      <c r="G29" s="15">
        <f t="shared" ca="1" si="6"/>
        <v>54000</v>
      </c>
      <c r="H29" s="12">
        <v>1</v>
      </c>
      <c r="I29" s="12" t="s">
        <v>13</v>
      </c>
      <c r="J29" s="12" t="s">
        <v>10</v>
      </c>
      <c r="K29" s="12" t="str">
        <f t="shared" si="8"/>
        <v>2853_01_01_S1_EM01_01_M3</v>
      </c>
      <c r="L29">
        <v>54000</v>
      </c>
    </row>
    <row r="30" spans="1:12" ht="21" hidden="1" customHeight="1" x14ac:dyDescent="0.25">
      <c r="A30" s="12" t="str">
        <f t="shared" si="7"/>
        <v>ВРУ-1 (ВРУ1-ИНД тип5-00 ухл4) (S1)</v>
      </c>
      <c r="B30" s="12" t="s">
        <v>11</v>
      </c>
      <c r="C30" s="18" t="s">
        <v>11</v>
      </c>
      <c r="D30" s="12" t="s">
        <v>11</v>
      </c>
      <c r="E30" s="12">
        <v>9</v>
      </c>
      <c r="F30" s="15">
        <v>100</v>
      </c>
      <c r="G30" s="15">
        <f t="shared" si="6"/>
        <v>54000</v>
      </c>
      <c r="H30" s="12">
        <f>60*E30</f>
        <v>540</v>
      </c>
      <c r="I30" s="12" t="s">
        <v>13</v>
      </c>
      <c r="J30" s="12" t="s">
        <v>11</v>
      </c>
      <c r="K30" s="12" t="str">
        <f t="shared" si="8"/>
        <v>2853_01_01_S1_EM01_01_M3</v>
      </c>
      <c r="L30">
        <v>54000</v>
      </c>
    </row>
    <row r="31" spans="1:12" ht="30" customHeight="1" x14ac:dyDescent="0.25">
      <c r="A31" s="12" t="str">
        <f t="shared" si="7"/>
        <v>ВРУ-1 (ВРУ1-ИНД тип5-00 ухл4) (S1)</v>
      </c>
      <c r="B31" s="19"/>
      <c r="C31" s="20"/>
      <c r="D31" s="21"/>
      <c r="E31" s="23"/>
      <c r="F31" s="25"/>
      <c r="G31" s="24">
        <f ca="1">SUM(G18:G30)</f>
        <v>415474.6</v>
      </c>
      <c r="H31" s="20"/>
      <c r="I31" s="22"/>
      <c r="J31" s="20"/>
      <c r="K31" s="12" t="str">
        <f t="shared" si="8"/>
        <v>2853_01_01_S1_EM01_01_M3</v>
      </c>
      <c r="L31">
        <v>415474.6</v>
      </c>
    </row>
    <row r="32" spans="1:12" ht="39.75" customHeight="1" x14ac:dyDescent="0.25">
      <c r="A32" s="5" t="str">
        <f>D32</f>
        <v>АВР-1 (S1)</v>
      </c>
      <c r="B32" s="6"/>
      <c r="C32" s="7"/>
      <c r="D32" s="6" t="s">
        <v>247</v>
      </c>
      <c r="E32" s="8"/>
      <c r="F32" s="8" t="s">
        <v>40</v>
      </c>
      <c r="G32" s="9"/>
      <c r="H32" s="10">
        <v>1</v>
      </c>
      <c r="I32" s="11" t="s">
        <v>7</v>
      </c>
      <c r="J32" s="6" t="s">
        <v>9</v>
      </c>
      <c r="K32" s="5" t="s">
        <v>133</v>
      </c>
      <c r="L32" s="28"/>
    </row>
    <row r="33" spans="1:12" ht="21" hidden="1" customHeight="1" x14ac:dyDescent="0.25">
      <c r="A33" s="12" t="str">
        <f>A32</f>
        <v>АВР-1 (S1)</v>
      </c>
      <c r="B33" s="13" t="s">
        <v>8</v>
      </c>
      <c r="C33" s="14" t="s">
        <v>339</v>
      </c>
      <c r="D33" s="12" t="s">
        <v>340</v>
      </c>
      <c r="E33" s="13">
        <v>166830</v>
      </c>
      <c r="F33" s="15">
        <f>E33*0.6</f>
        <v>100098</v>
      </c>
      <c r="G33" s="15">
        <f t="shared" ref="G33:G48" si="10">H33*F33</f>
        <v>100098</v>
      </c>
      <c r="H33" s="16">
        <v>1</v>
      </c>
      <c r="I33" s="17" t="s">
        <v>13</v>
      </c>
      <c r="J33" s="13" t="s">
        <v>16</v>
      </c>
      <c r="K33" s="12" t="str">
        <f>K32</f>
        <v>2853_01_01_S1_EM01_01_M3</v>
      </c>
      <c r="L33" s="28">
        <v>100098</v>
      </c>
    </row>
    <row r="34" spans="1:12" ht="21" hidden="1" customHeight="1" x14ac:dyDescent="0.25">
      <c r="A34" s="12" t="str">
        <f t="shared" ref="A34" si="11">A33</f>
        <v>АВР-1 (S1)</v>
      </c>
      <c r="B34" s="13" t="s">
        <v>25</v>
      </c>
      <c r="C34" s="14" t="s">
        <v>44</v>
      </c>
      <c r="D34" s="12" t="s">
        <v>45</v>
      </c>
      <c r="E34" s="13">
        <v>6018</v>
      </c>
      <c r="F34" s="15">
        <f>E34</f>
        <v>6018</v>
      </c>
      <c r="G34" s="15">
        <f t="shared" si="10"/>
        <v>36108</v>
      </c>
      <c r="H34" s="16">
        <v>6</v>
      </c>
      <c r="I34" s="17" t="s">
        <v>13</v>
      </c>
      <c r="J34" s="13" t="s">
        <v>24</v>
      </c>
      <c r="K34" s="12" t="str">
        <f t="shared" ref="K34" si="12">K33</f>
        <v>2853_01_01_S1_EM01_01_M3</v>
      </c>
      <c r="L34" s="28">
        <v>36108</v>
      </c>
    </row>
    <row r="35" spans="1:12" ht="21" hidden="1" customHeight="1" x14ac:dyDescent="0.25">
      <c r="A35" s="12" t="str">
        <f>A33</f>
        <v>АВР-1 (S1)</v>
      </c>
      <c r="B35" s="13" t="s">
        <v>359</v>
      </c>
      <c r="C35" s="14" t="s">
        <v>106</v>
      </c>
      <c r="D35" s="12" t="s">
        <v>107</v>
      </c>
      <c r="E35" s="13">
        <v>20174</v>
      </c>
      <c r="F35" s="15">
        <f t="shared" ref="F35:F43" si="13">E35*0.6</f>
        <v>12104.4</v>
      </c>
      <c r="G35" s="15">
        <f t="shared" si="10"/>
        <v>36313.199999999997</v>
      </c>
      <c r="H35" s="16">
        <v>3</v>
      </c>
      <c r="I35" s="17" t="s">
        <v>13</v>
      </c>
      <c r="J35" s="13" t="s">
        <v>17</v>
      </c>
      <c r="K35" s="12" t="str">
        <f>K33</f>
        <v>2853_01_01_S1_EM01_01_M3</v>
      </c>
      <c r="L35" s="28">
        <v>36313.199999999997</v>
      </c>
    </row>
    <row r="36" spans="1:12" ht="21" hidden="1" customHeight="1" x14ac:dyDescent="0.25">
      <c r="A36" s="12" t="str">
        <f t="shared" ref="A36:A38" si="14">A34</f>
        <v>АВР-1 (S1)</v>
      </c>
      <c r="B36" s="13" t="s">
        <v>352</v>
      </c>
      <c r="C36" s="14" t="s">
        <v>360</v>
      </c>
      <c r="D36" s="12" t="s">
        <v>361</v>
      </c>
      <c r="E36" s="13">
        <v>22043</v>
      </c>
      <c r="F36" s="15">
        <f t="shared" ref="F36:F37" si="15">E36*0.6</f>
        <v>13225.8</v>
      </c>
      <c r="G36" s="15">
        <f t="shared" ref="G36:G38" si="16">H36*F36</f>
        <v>39677.399999999994</v>
      </c>
      <c r="H36" s="16">
        <v>3</v>
      </c>
      <c r="I36" s="17" t="s">
        <v>13</v>
      </c>
      <c r="J36" s="13" t="s">
        <v>17</v>
      </c>
      <c r="K36" s="12" t="str">
        <f t="shared" ref="K36:K38" si="17">K34</f>
        <v>2853_01_01_S1_EM01_01_M3</v>
      </c>
      <c r="L36" s="28">
        <v>39677.399999999994</v>
      </c>
    </row>
    <row r="37" spans="1:12" ht="21" hidden="1" customHeight="1" x14ac:dyDescent="0.25">
      <c r="A37" s="12" t="str">
        <f t="shared" si="14"/>
        <v>АВР-1 (S1)</v>
      </c>
      <c r="B37" s="13" t="s">
        <v>353</v>
      </c>
      <c r="C37" s="14" t="s">
        <v>364</v>
      </c>
      <c r="D37" s="12" t="s">
        <v>365</v>
      </c>
      <c r="E37" s="13">
        <v>2177</v>
      </c>
      <c r="F37" s="15">
        <f t="shared" si="15"/>
        <v>1306.2</v>
      </c>
      <c r="G37" s="15">
        <f t="shared" si="16"/>
        <v>3918.6000000000004</v>
      </c>
      <c r="H37" s="16">
        <v>3</v>
      </c>
      <c r="I37" s="17" t="s">
        <v>13</v>
      </c>
      <c r="J37" s="13" t="s">
        <v>17</v>
      </c>
      <c r="K37" s="12" t="str">
        <f t="shared" si="17"/>
        <v>2853_01_01_S1_EM01_01_M3</v>
      </c>
      <c r="L37" s="28">
        <v>3918.6000000000004</v>
      </c>
    </row>
    <row r="38" spans="1:12" ht="21" hidden="1" customHeight="1" x14ac:dyDescent="0.25">
      <c r="A38" s="12" t="str">
        <f t="shared" si="14"/>
        <v>АВР-1 (S1)</v>
      </c>
      <c r="B38" s="13" t="s">
        <v>354</v>
      </c>
      <c r="C38" s="14" t="s">
        <v>355</v>
      </c>
      <c r="D38" s="13" t="s">
        <v>356</v>
      </c>
      <c r="E38" s="13">
        <v>78000</v>
      </c>
      <c r="F38" s="15">
        <f>E38</f>
        <v>78000</v>
      </c>
      <c r="G38" s="15">
        <f t="shared" si="16"/>
        <v>78000</v>
      </c>
      <c r="H38" s="16">
        <v>1</v>
      </c>
      <c r="I38" s="17" t="s">
        <v>13</v>
      </c>
      <c r="J38" s="13" t="s">
        <v>357</v>
      </c>
      <c r="K38" s="12" t="str">
        <f t="shared" si="17"/>
        <v>2853_01_01_S1_EM01_01_M3</v>
      </c>
      <c r="L38" s="28">
        <v>78000</v>
      </c>
    </row>
    <row r="39" spans="1:12" ht="21" hidden="1" customHeight="1" x14ac:dyDescent="0.25">
      <c r="A39" s="12" t="str">
        <f>A35</f>
        <v>АВР-1 (S1)</v>
      </c>
      <c r="B39" s="13" t="s">
        <v>48</v>
      </c>
      <c r="C39" s="14" t="s">
        <v>63</v>
      </c>
      <c r="D39" s="12" t="s">
        <v>64</v>
      </c>
      <c r="E39" s="13">
        <v>4217</v>
      </c>
      <c r="F39" s="15">
        <f t="shared" si="13"/>
        <v>2530.1999999999998</v>
      </c>
      <c r="G39" s="15">
        <f t="shared" si="10"/>
        <v>2530.1999999999998</v>
      </c>
      <c r="H39" s="16">
        <v>1</v>
      </c>
      <c r="I39" s="17" t="s">
        <v>13</v>
      </c>
      <c r="J39" s="13" t="s">
        <v>17</v>
      </c>
      <c r="K39" s="12" t="str">
        <f>K35</f>
        <v>2853_01_01_S1_EM01_01_M3</v>
      </c>
      <c r="L39" s="28">
        <v>2530.1999999999998</v>
      </c>
    </row>
    <row r="40" spans="1:12" ht="21" hidden="1" customHeight="1" x14ac:dyDescent="0.25">
      <c r="A40" s="12" t="str">
        <f t="shared" ref="A40:A49" si="18">A39</f>
        <v>АВР-1 (S1)</v>
      </c>
      <c r="B40" s="13" t="s">
        <v>48</v>
      </c>
      <c r="C40" s="14" t="s">
        <v>51</v>
      </c>
      <c r="D40" s="12" t="s">
        <v>52</v>
      </c>
      <c r="E40" s="13">
        <v>3372</v>
      </c>
      <c r="F40" s="15">
        <f t="shared" si="13"/>
        <v>2023.1999999999998</v>
      </c>
      <c r="G40" s="15">
        <f t="shared" si="10"/>
        <v>2023.1999999999998</v>
      </c>
      <c r="H40" s="16">
        <v>1</v>
      </c>
      <c r="I40" s="17" t="s">
        <v>13</v>
      </c>
      <c r="J40" s="13" t="s">
        <v>17</v>
      </c>
      <c r="K40" s="12" t="str">
        <f t="shared" ref="K40:K49" si="19">K39</f>
        <v>2853_01_01_S1_EM01_01_M3</v>
      </c>
      <c r="L40" s="28">
        <v>2023.1999999999998</v>
      </c>
    </row>
    <row r="41" spans="1:12" ht="21" hidden="1" customHeight="1" x14ac:dyDescent="0.25">
      <c r="A41" s="12" t="str">
        <f>A39</f>
        <v>АВР-1 (S1)</v>
      </c>
      <c r="B41" s="13" t="s">
        <v>12</v>
      </c>
      <c r="C41" s="14" t="s">
        <v>27</v>
      </c>
      <c r="D41" s="12" t="s">
        <v>26</v>
      </c>
      <c r="E41" s="13">
        <v>2606</v>
      </c>
      <c r="F41" s="15">
        <f t="shared" si="13"/>
        <v>1563.6</v>
      </c>
      <c r="G41" s="15">
        <f t="shared" si="10"/>
        <v>4690.7999999999993</v>
      </c>
      <c r="H41" s="16">
        <v>3</v>
      </c>
      <c r="I41" s="17" t="s">
        <v>13</v>
      </c>
      <c r="J41" s="13" t="s">
        <v>17</v>
      </c>
      <c r="K41" s="12" t="str">
        <f>K39</f>
        <v>2853_01_01_S1_EM01_01_M3</v>
      </c>
      <c r="L41" s="28">
        <v>4690.7999999999993</v>
      </c>
    </row>
    <row r="42" spans="1:12" ht="21" hidden="1" customHeight="1" x14ac:dyDescent="0.25">
      <c r="A42" s="12" t="str">
        <f>A39</f>
        <v>АВР-1 (S1)</v>
      </c>
      <c r="B42" s="13" t="s">
        <v>12</v>
      </c>
      <c r="C42" s="14" t="s">
        <v>98</v>
      </c>
      <c r="D42" s="12" t="s">
        <v>99</v>
      </c>
      <c r="E42" s="13">
        <v>3604</v>
      </c>
      <c r="F42" s="15">
        <f t="shared" si="13"/>
        <v>2162.4</v>
      </c>
      <c r="G42" s="15">
        <f t="shared" si="10"/>
        <v>4324.8</v>
      </c>
      <c r="H42" s="16">
        <v>2</v>
      </c>
      <c r="I42" s="17" t="s">
        <v>13</v>
      </c>
      <c r="J42" s="13" t="s">
        <v>17</v>
      </c>
      <c r="K42" s="12" t="str">
        <f>K39</f>
        <v>2853_01_01_S1_EM01_01_M3</v>
      </c>
      <c r="L42" s="28">
        <v>4324.8</v>
      </c>
    </row>
    <row r="43" spans="1:12" ht="21" hidden="1" customHeight="1" x14ac:dyDescent="0.25">
      <c r="A43" s="12" t="str">
        <f>A41</f>
        <v>АВР-1 (S1)</v>
      </c>
      <c r="B43" s="13" t="s">
        <v>12</v>
      </c>
      <c r="C43" s="14" t="s">
        <v>34</v>
      </c>
      <c r="D43" s="12" t="s">
        <v>35</v>
      </c>
      <c r="E43" s="13">
        <v>2337</v>
      </c>
      <c r="F43" s="15">
        <f t="shared" si="13"/>
        <v>1402.2</v>
      </c>
      <c r="G43" s="15">
        <f t="shared" si="10"/>
        <v>7011</v>
      </c>
      <c r="H43" s="16">
        <v>5</v>
      </c>
      <c r="I43" s="17" t="s">
        <v>13</v>
      </c>
      <c r="J43" s="13" t="s">
        <v>17</v>
      </c>
      <c r="K43" s="12" t="str">
        <f>K41</f>
        <v>2853_01_01_S1_EM01_01_M3</v>
      </c>
      <c r="L43" s="28">
        <v>7011</v>
      </c>
    </row>
    <row r="44" spans="1:12" ht="22.5" hidden="1" customHeight="1" x14ac:dyDescent="0.25">
      <c r="A44" s="12" t="str">
        <f t="shared" si="18"/>
        <v>АВР-1 (S1)</v>
      </c>
      <c r="B44" s="13" t="s">
        <v>18</v>
      </c>
      <c r="C44" s="14" t="s">
        <v>227</v>
      </c>
      <c r="D44" s="12" t="s">
        <v>228</v>
      </c>
      <c r="E44" s="13">
        <v>90000</v>
      </c>
      <c r="F44" s="15">
        <f t="shared" ref="F44:F46" si="20">E44</f>
        <v>90000</v>
      </c>
      <c r="G44" s="15">
        <f t="shared" si="10"/>
        <v>180000</v>
      </c>
      <c r="H44" s="16">
        <v>2</v>
      </c>
      <c r="I44" s="17" t="s">
        <v>13</v>
      </c>
      <c r="J44" s="13" t="s">
        <v>24</v>
      </c>
      <c r="K44" s="12" t="str">
        <f t="shared" si="19"/>
        <v>2853_01_01_S1_EM01_01_M3</v>
      </c>
      <c r="L44" s="28">
        <v>180000</v>
      </c>
    </row>
    <row r="45" spans="1:12" ht="22.5" hidden="1" customHeight="1" x14ac:dyDescent="0.25">
      <c r="A45" s="12" t="str">
        <f t="shared" si="18"/>
        <v>АВР-1 (S1)</v>
      </c>
      <c r="B45" s="13" t="s">
        <v>18</v>
      </c>
      <c r="C45" s="14" t="s">
        <v>225</v>
      </c>
      <c r="D45" s="12" t="s">
        <v>226</v>
      </c>
      <c r="E45" s="13">
        <v>90000</v>
      </c>
      <c r="F45" s="15">
        <f t="shared" ref="F45" si="21">E45</f>
        <v>90000</v>
      </c>
      <c r="G45" s="15">
        <f t="shared" si="10"/>
        <v>90000</v>
      </c>
      <c r="H45" s="16">
        <v>1</v>
      </c>
      <c r="I45" s="17" t="s">
        <v>13</v>
      </c>
      <c r="J45" s="13" t="s">
        <v>24</v>
      </c>
      <c r="K45" s="12" t="str">
        <f t="shared" si="19"/>
        <v>2853_01_01_S1_EM01_01_M3</v>
      </c>
      <c r="L45" s="28">
        <v>90000</v>
      </c>
    </row>
    <row r="46" spans="1:12" ht="21" hidden="1" customHeight="1" x14ac:dyDescent="0.25">
      <c r="A46" s="12" t="str">
        <f t="shared" si="18"/>
        <v>АВР-1 (S1)</v>
      </c>
      <c r="B46" s="13" t="s">
        <v>28</v>
      </c>
      <c r="C46" s="14"/>
      <c r="D46" s="12" t="s">
        <v>28</v>
      </c>
      <c r="E46" s="13">
        <v>1000</v>
      </c>
      <c r="F46" s="15">
        <f t="shared" si="20"/>
        <v>1000</v>
      </c>
      <c r="G46" s="15">
        <f t="shared" si="10"/>
        <v>1000</v>
      </c>
      <c r="H46" s="16">
        <v>1</v>
      </c>
      <c r="I46" s="17" t="s">
        <v>13</v>
      </c>
      <c r="J46" s="13" t="s">
        <v>24</v>
      </c>
      <c r="K46" s="12" t="str">
        <f t="shared" si="19"/>
        <v>2853_01_01_S1_EM01_01_M3</v>
      </c>
      <c r="L46" s="28">
        <v>1000</v>
      </c>
    </row>
    <row r="47" spans="1:12" ht="24" hidden="1" customHeight="1" x14ac:dyDescent="0.25">
      <c r="A47" s="12" t="str">
        <f t="shared" si="18"/>
        <v>АВР-1 (S1)</v>
      </c>
      <c r="B47" s="12" t="s">
        <v>10</v>
      </c>
      <c r="C47" s="18" t="s">
        <v>10</v>
      </c>
      <c r="D47" s="12" t="s">
        <v>10</v>
      </c>
      <c r="E47" s="12">
        <v>55000</v>
      </c>
      <c r="F47" s="15">
        <f>E47</f>
        <v>55000</v>
      </c>
      <c r="G47" s="15">
        <f t="shared" si="10"/>
        <v>55000</v>
      </c>
      <c r="H47" s="12">
        <v>1</v>
      </c>
      <c r="I47" s="12" t="s">
        <v>13</v>
      </c>
      <c r="J47" s="12" t="s">
        <v>10</v>
      </c>
      <c r="K47" s="12" t="str">
        <f t="shared" si="19"/>
        <v>2853_01_01_S1_EM01_01_M3</v>
      </c>
      <c r="L47" s="28">
        <v>55000</v>
      </c>
    </row>
    <row r="48" spans="1:12" ht="21" hidden="1" customHeight="1" x14ac:dyDescent="0.25">
      <c r="A48" s="12" t="str">
        <f t="shared" si="18"/>
        <v>АВР-1 (S1)</v>
      </c>
      <c r="B48" s="12" t="s">
        <v>11</v>
      </c>
      <c r="C48" s="18" t="s">
        <v>11</v>
      </c>
      <c r="D48" s="12" t="s">
        <v>11</v>
      </c>
      <c r="E48" s="12">
        <v>8</v>
      </c>
      <c r="F48" s="15">
        <v>100</v>
      </c>
      <c r="G48" s="15">
        <f t="shared" si="10"/>
        <v>48000</v>
      </c>
      <c r="H48" s="12">
        <f>60*E48</f>
        <v>480</v>
      </c>
      <c r="I48" s="12" t="s">
        <v>13</v>
      </c>
      <c r="J48" s="12" t="s">
        <v>11</v>
      </c>
      <c r="K48" s="12" t="str">
        <f t="shared" si="19"/>
        <v>2853_01_01_S1_EM01_01_M3</v>
      </c>
      <c r="L48" s="28">
        <v>48000</v>
      </c>
    </row>
    <row r="49" spans="1:12" ht="30" customHeight="1" x14ac:dyDescent="0.25">
      <c r="A49" s="12" t="str">
        <f t="shared" si="18"/>
        <v>АВР-1 (S1)</v>
      </c>
      <c r="B49" s="19"/>
      <c r="C49" s="20"/>
      <c r="D49" s="21"/>
      <c r="E49" s="23"/>
      <c r="F49" s="25"/>
      <c r="G49" s="24">
        <f>SUM(G33:G48)</f>
        <v>688695.2</v>
      </c>
      <c r="H49" s="20"/>
      <c r="I49" s="22"/>
      <c r="J49" s="20"/>
      <c r="K49" s="12" t="str">
        <f t="shared" si="19"/>
        <v>2853_01_01_S1_EM01_01_M3</v>
      </c>
      <c r="L49" s="28">
        <v>688695.2</v>
      </c>
    </row>
    <row r="50" spans="1:12" ht="39.75" customHeight="1" x14ac:dyDescent="0.25">
      <c r="A50" s="5" t="str">
        <f>D50</f>
        <v>ВЩоф (ВРУ1-ИНД тип3-00 ухл4) (S1)</v>
      </c>
      <c r="B50" s="6"/>
      <c r="C50" s="7"/>
      <c r="D50" s="6" t="s">
        <v>248</v>
      </c>
      <c r="E50" s="8"/>
      <c r="F50" s="8" t="s">
        <v>40</v>
      </c>
      <c r="G50" s="9"/>
      <c r="H50" s="10">
        <v>1</v>
      </c>
      <c r="I50" s="11" t="s">
        <v>7</v>
      </c>
      <c r="J50" s="6" t="s">
        <v>9</v>
      </c>
      <c r="K50" s="5" t="s">
        <v>133</v>
      </c>
    </row>
    <row r="51" spans="1:12" ht="21" hidden="1" customHeight="1" x14ac:dyDescent="0.25">
      <c r="A51" s="12" t="str">
        <f>A50</f>
        <v>ВЩоф (ВРУ1-ИНД тип3-00 ухл4) (S1)</v>
      </c>
      <c r="B51" s="13" t="s">
        <v>8</v>
      </c>
      <c r="C51" s="14" t="s">
        <v>337</v>
      </c>
      <c r="D51" s="12" t="s">
        <v>338</v>
      </c>
      <c r="E51" s="13">
        <v>140000</v>
      </c>
      <c r="F51" s="15">
        <f>E51*0.6</f>
        <v>84000</v>
      </c>
      <c r="G51" s="15">
        <f t="shared" ref="G51:G60" si="22">H51*F51</f>
        <v>84000</v>
      </c>
      <c r="H51" s="16">
        <v>1</v>
      </c>
      <c r="I51" s="17" t="s">
        <v>13</v>
      </c>
      <c r="J51" s="13" t="s">
        <v>16</v>
      </c>
      <c r="K51" s="12" t="str">
        <f>K50</f>
        <v>2853_01_01_S1_EM01_01_M3</v>
      </c>
      <c r="L51">
        <v>84000</v>
      </c>
    </row>
    <row r="52" spans="1:12" ht="21" hidden="1" customHeight="1" x14ac:dyDescent="0.25">
      <c r="A52" s="12" t="str">
        <f t="shared" ref="A52:A61" si="23">A51</f>
        <v>ВЩоф (ВРУ1-ИНД тип3-00 ухл4) (S1)</v>
      </c>
      <c r="B52" s="13" t="s">
        <v>25</v>
      </c>
      <c r="C52" s="14" t="s">
        <v>80</v>
      </c>
      <c r="D52" s="12" t="s">
        <v>81</v>
      </c>
      <c r="E52" s="13">
        <v>6018</v>
      </c>
      <c r="F52" s="15">
        <f>E52</f>
        <v>6018</v>
      </c>
      <c r="G52" s="15">
        <f t="shared" si="22"/>
        <v>18054</v>
      </c>
      <c r="H52" s="16">
        <v>3</v>
      </c>
      <c r="I52" s="17" t="s">
        <v>13</v>
      </c>
      <c r="J52" s="13" t="s">
        <v>24</v>
      </c>
      <c r="K52" s="12" t="str">
        <f t="shared" ref="K52:K61" si="24">K51</f>
        <v>2853_01_01_S1_EM01_01_M3</v>
      </c>
      <c r="L52">
        <v>18054</v>
      </c>
    </row>
    <row r="53" spans="1:12" ht="21" hidden="1" customHeight="1" x14ac:dyDescent="0.25">
      <c r="A53" s="12" t="str">
        <f t="shared" si="23"/>
        <v>ВЩоф (ВРУ1-ИНД тип3-00 ухл4) (S1)</v>
      </c>
      <c r="B53" s="13" t="s">
        <v>48</v>
      </c>
      <c r="C53" s="14" t="s">
        <v>347</v>
      </c>
      <c r="D53" s="12" t="s">
        <v>348</v>
      </c>
      <c r="E53" s="13">
        <v>36869</v>
      </c>
      <c r="F53" s="15">
        <f t="shared" ref="F53:F56" si="25">E53*0.6</f>
        <v>22121.399999999998</v>
      </c>
      <c r="G53" s="15">
        <f t="shared" si="22"/>
        <v>22121.399999999998</v>
      </c>
      <c r="H53" s="16">
        <v>1</v>
      </c>
      <c r="I53" s="17" t="s">
        <v>13</v>
      </c>
      <c r="J53" s="13" t="s">
        <v>17</v>
      </c>
      <c r="K53" s="12" t="str">
        <f t="shared" si="24"/>
        <v>2853_01_01_S1_EM01_01_M3</v>
      </c>
      <c r="L53">
        <v>22121.399999999998</v>
      </c>
    </row>
    <row r="54" spans="1:12" ht="21" hidden="1" customHeight="1" x14ac:dyDescent="0.25">
      <c r="A54" s="12" t="str">
        <f t="shared" si="23"/>
        <v>ВЩоф (ВРУ1-ИНД тип3-00 ухл4) (S1)</v>
      </c>
      <c r="B54" s="13" t="s">
        <v>30</v>
      </c>
      <c r="C54" s="14" t="s">
        <v>102</v>
      </c>
      <c r="D54" s="12" t="s">
        <v>103</v>
      </c>
      <c r="E54" s="13">
        <v>3317</v>
      </c>
      <c r="F54" s="15">
        <f t="shared" si="25"/>
        <v>1990.1999999999998</v>
      </c>
      <c r="G54" s="15">
        <f t="shared" si="22"/>
        <v>5970.5999999999995</v>
      </c>
      <c r="H54" s="16">
        <v>3</v>
      </c>
      <c r="I54" s="17" t="s">
        <v>13</v>
      </c>
      <c r="J54" s="13" t="s">
        <v>17</v>
      </c>
      <c r="K54" s="12" t="str">
        <f t="shared" si="24"/>
        <v>2853_01_01_S1_EM01_01_M3</v>
      </c>
      <c r="L54">
        <v>5970.5999999999995</v>
      </c>
    </row>
    <row r="55" spans="1:12" ht="21" hidden="1" customHeight="1" x14ac:dyDescent="0.25">
      <c r="A55" s="12" t="str">
        <f t="shared" si="23"/>
        <v>ВЩоф (ВРУ1-ИНД тип3-00 ухл4) (S1)</v>
      </c>
      <c r="B55" s="13" t="s">
        <v>30</v>
      </c>
      <c r="C55" s="14" t="s">
        <v>88</v>
      </c>
      <c r="D55" s="12" t="s">
        <v>89</v>
      </c>
      <c r="E55" s="13">
        <v>4750</v>
      </c>
      <c r="F55" s="15">
        <f t="shared" si="25"/>
        <v>2850</v>
      </c>
      <c r="G55" s="15">
        <f t="shared" si="22"/>
        <v>8550</v>
      </c>
      <c r="H55" s="16">
        <v>3</v>
      </c>
      <c r="I55" s="17" t="s">
        <v>13</v>
      </c>
      <c r="J55" s="13" t="s">
        <v>17</v>
      </c>
      <c r="K55" s="12" t="str">
        <f t="shared" si="24"/>
        <v>2853_01_01_S1_EM01_01_M3</v>
      </c>
      <c r="L55">
        <v>8550</v>
      </c>
    </row>
    <row r="56" spans="1:12" ht="21" hidden="1" customHeight="1" x14ac:dyDescent="0.25">
      <c r="A56" s="12" t="str">
        <f t="shared" si="23"/>
        <v>ВЩоф (ВРУ1-ИНД тип3-00 ухл4) (S1)</v>
      </c>
      <c r="B56" s="13" t="s">
        <v>12</v>
      </c>
      <c r="C56" s="14" t="s">
        <v>19</v>
      </c>
      <c r="D56" s="12" t="s">
        <v>20</v>
      </c>
      <c r="E56" s="13">
        <v>975</v>
      </c>
      <c r="F56" s="15">
        <f t="shared" si="25"/>
        <v>585</v>
      </c>
      <c r="G56" s="15">
        <f t="shared" si="22"/>
        <v>585</v>
      </c>
      <c r="H56" s="16">
        <v>1</v>
      </c>
      <c r="I56" s="17" t="s">
        <v>13</v>
      </c>
      <c r="J56" s="13" t="s">
        <v>17</v>
      </c>
      <c r="K56" s="12" t="str">
        <f t="shared" si="24"/>
        <v>2853_01_01_S1_EM01_01_M3</v>
      </c>
      <c r="L56">
        <v>585</v>
      </c>
    </row>
    <row r="57" spans="1:12" ht="22.5" hidden="1" customHeight="1" x14ac:dyDescent="0.25">
      <c r="A57" s="12" t="str">
        <f t="shared" si="23"/>
        <v>ВЩоф (ВРУ1-ИНД тип3-00 ухл4) (S1)</v>
      </c>
      <c r="B57" s="13" t="s">
        <v>18</v>
      </c>
      <c r="C57" s="14" t="s">
        <v>225</v>
      </c>
      <c r="D57" s="12" t="s">
        <v>226</v>
      </c>
      <c r="E57" s="13">
        <v>90000</v>
      </c>
      <c r="F57" s="15">
        <f t="shared" ref="F57:F58" si="26">E57</f>
        <v>90000</v>
      </c>
      <c r="G57" s="15">
        <f t="shared" si="22"/>
        <v>90000</v>
      </c>
      <c r="H57" s="16">
        <v>1</v>
      </c>
      <c r="I57" s="17" t="s">
        <v>13</v>
      </c>
      <c r="J57" s="13" t="s">
        <v>24</v>
      </c>
      <c r="K57" s="12" t="str">
        <f t="shared" si="24"/>
        <v>2853_01_01_S1_EM01_01_M3</v>
      </c>
      <c r="L57">
        <v>90000</v>
      </c>
    </row>
    <row r="58" spans="1:12" ht="21" hidden="1" customHeight="1" x14ac:dyDescent="0.25">
      <c r="A58" s="12" t="str">
        <f t="shared" si="23"/>
        <v>ВЩоф (ВРУ1-ИНД тип3-00 ухл4) (S1)</v>
      </c>
      <c r="B58" s="13" t="s">
        <v>28</v>
      </c>
      <c r="C58" s="14"/>
      <c r="D58" s="12" t="s">
        <v>28</v>
      </c>
      <c r="E58" s="13">
        <v>1000</v>
      </c>
      <c r="F58" s="15">
        <f t="shared" si="26"/>
        <v>1000</v>
      </c>
      <c r="G58" s="15">
        <f t="shared" si="22"/>
        <v>1000</v>
      </c>
      <c r="H58" s="16">
        <v>1</v>
      </c>
      <c r="I58" s="17" t="s">
        <v>13</v>
      </c>
      <c r="J58" s="13" t="s">
        <v>24</v>
      </c>
      <c r="K58" s="12" t="str">
        <f t="shared" si="24"/>
        <v>2853_01_01_S1_EM01_01_M3</v>
      </c>
      <c r="L58">
        <v>1000</v>
      </c>
    </row>
    <row r="59" spans="1:12" ht="24" hidden="1" customHeight="1" x14ac:dyDescent="0.25">
      <c r="A59" s="12" t="str">
        <f t="shared" si="23"/>
        <v>ВЩоф (ВРУ1-ИНД тип3-00 ухл4) (S1)</v>
      </c>
      <c r="B59" s="12" t="s">
        <v>10</v>
      </c>
      <c r="C59" s="18" t="s">
        <v>10</v>
      </c>
      <c r="D59" s="12" t="s">
        <v>10</v>
      </c>
      <c r="E59" s="12">
        <f ca="1">OFFSET(E59,1,2)</f>
        <v>24000</v>
      </c>
      <c r="F59" s="15">
        <f ca="1">E59</f>
        <v>24000</v>
      </c>
      <c r="G59" s="15">
        <f t="shared" ca="1" si="22"/>
        <v>24000</v>
      </c>
      <c r="H59" s="12">
        <v>1</v>
      </c>
      <c r="I59" s="12" t="s">
        <v>13</v>
      </c>
      <c r="J59" s="12" t="s">
        <v>10</v>
      </c>
      <c r="K59" s="12" t="str">
        <f t="shared" si="24"/>
        <v>2853_01_01_S1_EM01_01_M3</v>
      </c>
      <c r="L59">
        <v>24000</v>
      </c>
    </row>
    <row r="60" spans="1:12" ht="21" hidden="1" customHeight="1" x14ac:dyDescent="0.25">
      <c r="A60" s="12" t="str">
        <f t="shared" si="23"/>
        <v>ВЩоф (ВРУ1-ИНД тип3-00 ухл4) (S1)</v>
      </c>
      <c r="B60" s="12" t="s">
        <v>11</v>
      </c>
      <c r="C60" s="18" t="s">
        <v>11</v>
      </c>
      <c r="D60" s="12" t="s">
        <v>11</v>
      </c>
      <c r="E60" s="12">
        <v>4</v>
      </c>
      <c r="F60" s="15">
        <v>100</v>
      </c>
      <c r="G60" s="15">
        <f t="shared" si="22"/>
        <v>24000</v>
      </c>
      <c r="H60" s="12">
        <f>60*E60</f>
        <v>240</v>
      </c>
      <c r="I60" s="12" t="s">
        <v>13</v>
      </c>
      <c r="J60" s="12" t="s">
        <v>11</v>
      </c>
      <c r="K60" s="12" t="str">
        <f t="shared" si="24"/>
        <v>2853_01_01_S1_EM01_01_M3</v>
      </c>
      <c r="L60">
        <v>24000</v>
      </c>
    </row>
    <row r="61" spans="1:12" ht="30" customHeight="1" x14ac:dyDescent="0.25">
      <c r="A61" s="12" t="str">
        <f t="shared" si="23"/>
        <v>ВЩоф (ВРУ1-ИНД тип3-00 ухл4) (S1)</v>
      </c>
      <c r="B61" s="19"/>
      <c r="C61" s="20"/>
      <c r="D61" s="21"/>
      <c r="E61" s="23"/>
      <c r="F61" s="25"/>
      <c r="G61" s="24">
        <f ca="1">SUM(G51:G60)</f>
        <v>278281</v>
      </c>
      <c r="H61" s="20"/>
      <c r="I61" s="22"/>
      <c r="J61" s="20"/>
      <c r="K61" s="12" t="str">
        <f t="shared" si="24"/>
        <v>2853_01_01_S1_EM01_01_M3</v>
      </c>
      <c r="L61">
        <v>278281</v>
      </c>
    </row>
    <row r="62" spans="1:12" ht="39.75" customHeight="1" x14ac:dyDescent="0.25">
      <c r="A62" s="5" t="str">
        <f>D62</f>
        <v>РЩоф-1 (ВРУ1-50-00-ухл4) (S1)</v>
      </c>
      <c r="B62" s="6"/>
      <c r="C62" s="7"/>
      <c r="D62" s="6" t="s">
        <v>249</v>
      </c>
      <c r="E62" s="8"/>
      <c r="F62" s="8" t="s">
        <v>40</v>
      </c>
      <c r="G62" s="9"/>
      <c r="H62" s="10">
        <v>1</v>
      </c>
      <c r="I62" s="11" t="s">
        <v>7</v>
      </c>
      <c r="J62" s="6" t="s">
        <v>9</v>
      </c>
      <c r="K62" s="5" t="s">
        <v>133</v>
      </c>
    </row>
    <row r="63" spans="1:12" ht="21" hidden="1" customHeight="1" x14ac:dyDescent="0.25">
      <c r="A63" s="12" t="str">
        <f>A62</f>
        <v>РЩоф-1 (ВРУ1-50-00-ухл4) (S1)</v>
      </c>
      <c r="B63" s="13" t="s">
        <v>8</v>
      </c>
      <c r="C63" s="14" t="s">
        <v>337</v>
      </c>
      <c r="D63" s="12" t="s">
        <v>338</v>
      </c>
      <c r="E63" s="13">
        <v>140000</v>
      </c>
      <c r="F63" s="15">
        <f t="shared" ref="F63:F68" si="27">E63*0.6</f>
        <v>84000</v>
      </c>
      <c r="G63" s="15">
        <f t="shared" ref="G63:G70" si="28">H63*F63</f>
        <v>84000</v>
      </c>
      <c r="H63" s="16">
        <v>1</v>
      </c>
      <c r="I63" s="17" t="s">
        <v>13</v>
      </c>
      <c r="J63" s="13" t="s">
        <v>16</v>
      </c>
      <c r="K63" s="12" t="str">
        <f>K62</f>
        <v>2853_01_01_S1_EM01_01_M3</v>
      </c>
      <c r="L63">
        <v>84000</v>
      </c>
    </row>
    <row r="64" spans="1:12" ht="21" hidden="1" customHeight="1" x14ac:dyDescent="0.25">
      <c r="A64" s="12" t="str">
        <f t="shared" ref="A64:A71" si="29">A63</f>
        <v>РЩоф-1 (ВРУ1-50-00-ухл4) (S1)</v>
      </c>
      <c r="B64" s="13" t="s">
        <v>33</v>
      </c>
      <c r="C64" s="14" t="s">
        <v>22</v>
      </c>
      <c r="D64" s="12" t="s">
        <v>23</v>
      </c>
      <c r="E64" s="13">
        <v>19443</v>
      </c>
      <c r="F64" s="15">
        <f t="shared" si="27"/>
        <v>11665.8</v>
      </c>
      <c r="G64" s="15">
        <f t="shared" si="28"/>
        <v>11665.8</v>
      </c>
      <c r="H64" s="16">
        <v>1</v>
      </c>
      <c r="I64" s="17" t="s">
        <v>13</v>
      </c>
      <c r="J64" s="13" t="s">
        <v>17</v>
      </c>
      <c r="K64" s="12" t="str">
        <f t="shared" ref="K64:K71" si="30">K63</f>
        <v>2853_01_01_S1_EM01_01_M3</v>
      </c>
      <c r="L64">
        <v>11665.8</v>
      </c>
    </row>
    <row r="65" spans="1:12" ht="21" hidden="1" customHeight="1" x14ac:dyDescent="0.25">
      <c r="A65" s="12" t="str">
        <f t="shared" si="29"/>
        <v>РЩоф-1 (ВРУ1-50-00-ухл4) (S1)</v>
      </c>
      <c r="B65" s="13" t="s">
        <v>33</v>
      </c>
      <c r="C65" s="14" t="s">
        <v>104</v>
      </c>
      <c r="D65" s="12" t="s">
        <v>105</v>
      </c>
      <c r="E65" s="13">
        <v>18263</v>
      </c>
      <c r="F65" s="15">
        <f t="shared" si="27"/>
        <v>10957.8</v>
      </c>
      <c r="G65" s="15">
        <f t="shared" si="28"/>
        <v>10957.8</v>
      </c>
      <c r="H65" s="16">
        <v>1</v>
      </c>
      <c r="I65" s="17" t="s">
        <v>13</v>
      </c>
      <c r="J65" s="13" t="s">
        <v>17</v>
      </c>
      <c r="K65" s="12" t="str">
        <f t="shared" si="30"/>
        <v>2853_01_01_S1_EM01_01_M3</v>
      </c>
      <c r="L65">
        <v>10957.8</v>
      </c>
    </row>
    <row r="66" spans="1:12" ht="21" hidden="1" customHeight="1" x14ac:dyDescent="0.25">
      <c r="A66" s="12" t="str">
        <f t="shared" si="29"/>
        <v>РЩоф-1 (ВРУ1-50-00-ухл4) (S1)</v>
      </c>
      <c r="B66" s="13" t="s">
        <v>33</v>
      </c>
      <c r="C66" s="14" t="s">
        <v>75</v>
      </c>
      <c r="D66" s="12" t="s">
        <v>76</v>
      </c>
      <c r="E66" s="13">
        <v>19295</v>
      </c>
      <c r="F66" s="15">
        <f t="shared" si="27"/>
        <v>11577</v>
      </c>
      <c r="G66" s="15">
        <f t="shared" si="28"/>
        <v>34731</v>
      </c>
      <c r="H66" s="16">
        <v>3</v>
      </c>
      <c r="I66" s="17" t="s">
        <v>13</v>
      </c>
      <c r="J66" s="13" t="s">
        <v>17</v>
      </c>
      <c r="K66" s="12" t="str">
        <f t="shared" si="30"/>
        <v>2853_01_01_S1_EM01_01_M3</v>
      </c>
      <c r="L66">
        <v>34731</v>
      </c>
    </row>
    <row r="67" spans="1:12" ht="21" hidden="1" customHeight="1" x14ac:dyDescent="0.25">
      <c r="A67" s="12" t="str">
        <f t="shared" si="29"/>
        <v>РЩоф-1 (ВРУ1-50-00-ухл4) (S1)</v>
      </c>
      <c r="B67" s="13" t="s">
        <v>33</v>
      </c>
      <c r="C67" s="14" t="s">
        <v>106</v>
      </c>
      <c r="D67" s="12" t="s">
        <v>107</v>
      </c>
      <c r="E67" s="13">
        <v>20174</v>
      </c>
      <c r="F67" s="15">
        <f t="shared" si="27"/>
        <v>12104.4</v>
      </c>
      <c r="G67" s="15">
        <f t="shared" si="28"/>
        <v>12104.4</v>
      </c>
      <c r="H67" s="16">
        <v>1</v>
      </c>
      <c r="I67" s="17" t="s">
        <v>13</v>
      </c>
      <c r="J67" s="13" t="s">
        <v>17</v>
      </c>
      <c r="K67" s="12" t="str">
        <f t="shared" si="30"/>
        <v>2853_01_01_S1_EM01_01_M3</v>
      </c>
      <c r="L67">
        <v>12104.4</v>
      </c>
    </row>
    <row r="68" spans="1:12" ht="21" hidden="1" customHeight="1" x14ac:dyDescent="0.25">
      <c r="A68" s="12" t="str">
        <f t="shared" si="29"/>
        <v>РЩоф-1 (ВРУ1-50-00-ухл4) (S1)</v>
      </c>
      <c r="B68" s="13" t="s">
        <v>33</v>
      </c>
      <c r="C68" s="14" t="s">
        <v>94</v>
      </c>
      <c r="D68" s="12" t="s">
        <v>95</v>
      </c>
      <c r="E68" s="13">
        <v>19700</v>
      </c>
      <c r="F68" s="15">
        <f t="shared" si="27"/>
        <v>11820</v>
      </c>
      <c r="G68" s="15">
        <f t="shared" si="28"/>
        <v>11820</v>
      </c>
      <c r="H68" s="16">
        <v>1</v>
      </c>
      <c r="I68" s="17" t="s">
        <v>13</v>
      </c>
      <c r="J68" s="13" t="s">
        <v>17</v>
      </c>
      <c r="K68" s="12" t="str">
        <f t="shared" si="30"/>
        <v>2853_01_01_S1_EM01_01_M3</v>
      </c>
      <c r="L68">
        <v>11820</v>
      </c>
    </row>
    <row r="69" spans="1:12" ht="24" hidden="1" customHeight="1" x14ac:dyDescent="0.25">
      <c r="A69" s="12" t="str">
        <f t="shared" si="29"/>
        <v>РЩоф-1 (ВРУ1-50-00-ухл4) (S1)</v>
      </c>
      <c r="B69" s="12" t="s">
        <v>10</v>
      </c>
      <c r="C69" s="18" t="s">
        <v>10</v>
      </c>
      <c r="D69" s="12" t="s">
        <v>10</v>
      </c>
      <c r="E69" s="12">
        <f ca="1">OFFSET(E69,1,2)</f>
        <v>27000</v>
      </c>
      <c r="F69" s="15">
        <f ca="1">E69</f>
        <v>27000</v>
      </c>
      <c r="G69" s="15">
        <f t="shared" ca="1" si="28"/>
        <v>27000</v>
      </c>
      <c r="H69" s="12">
        <v>1</v>
      </c>
      <c r="I69" s="12" t="s">
        <v>13</v>
      </c>
      <c r="J69" s="12" t="s">
        <v>10</v>
      </c>
      <c r="K69" s="12" t="str">
        <f t="shared" si="30"/>
        <v>2853_01_01_S1_EM01_01_M3</v>
      </c>
      <c r="L69">
        <v>27000</v>
      </c>
    </row>
    <row r="70" spans="1:12" ht="21" hidden="1" customHeight="1" x14ac:dyDescent="0.25">
      <c r="A70" s="12" t="str">
        <f t="shared" si="29"/>
        <v>РЩоф-1 (ВРУ1-50-00-ухл4) (S1)</v>
      </c>
      <c r="B70" s="12" t="s">
        <v>11</v>
      </c>
      <c r="C70" s="18" t="s">
        <v>11</v>
      </c>
      <c r="D70" s="12" t="s">
        <v>11</v>
      </c>
      <c r="E70" s="12">
        <v>4.5</v>
      </c>
      <c r="F70" s="15">
        <v>100</v>
      </c>
      <c r="G70" s="15">
        <f t="shared" si="28"/>
        <v>27000</v>
      </c>
      <c r="H70" s="12">
        <f>60*E70</f>
        <v>270</v>
      </c>
      <c r="I70" s="12" t="s">
        <v>13</v>
      </c>
      <c r="J70" s="12" t="s">
        <v>11</v>
      </c>
      <c r="K70" s="12" t="str">
        <f t="shared" si="30"/>
        <v>2853_01_01_S1_EM01_01_M3</v>
      </c>
      <c r="L70">
        <v>27000</v>
      </c>
    </row>
    <row r="71" spans="1:12" ht="30" customHeight="1" x14ac:dyDescent="0.25">
      <c r="A71" s="12" t="str">
        <f t="shared" si="29"/>
        <v>РЩоф-1 (ВРУ1-50-00-ухл4) (S1)</v>
      </c>
      <c r="B71" s="19"/>
      <c r="C71" s="20"/>
      <c r="D71" s="21"/>
      <c r="E71" s="23"/>
      <c r="F71" s="25"/>
      <c r="G71" s="24">
        <f ca="1">SUM(G63:G70)</f>
        <v>219279</v>
      </c>
      <c r="H71" s="20"/>
      <c r="I71" s="22"/>
      <c r="J71" s="20"/>
      <c r="K71" s="12" t="str">
        <f t="shared" si="30"/>
        <v>2853_01_01_S1_EM01_01_M3</v>
      </c>
      <c r="L71">
        <v>219279</v>
      </c>
    </row>
    <row r="72" spans="1:12" ht="39.75" customHeight="1" x14ac:dyDescent="0.25">
      <c r="A72" s="5" t="str">
        <f>D72</f>
        <v>ЩМПоф.-2.1 (ЩМП-120.80.40 УХЛ1 IP66) (S1)</v>
      </c>
      <c r="B72" s="6"/>
      <c r="C72" s="7"/>
      <c r="D72" s="6" t="s">
        <v>250</v>
      </c>
      <c r="E72" s="8"/>
      <c r="F72" s="8" t="s">
        <v>40</v>
      </c>
      <c r="G72" s="9"/>
      <c r="H72" s="10">
        <v>1</v>
      </c>
      <c r="I72" s="11" t="s">
        <v>7</v>
      </c>
      <c r="J72" s="6" t="s">
        <v>9</v>
      </c>
      <c r="K72" s="5" t="s">
        <v>133</v>
      </c>
    </row>
    <row r="73" spans="1:12" ht="21" hidden="1" customHeight="1" x14ac:dyDescent="0.25">
      <c r="A73" s="12" t="str">
        <f>A72</f>
        <v>ЩМПоф.-2.1 (ЩМП-120.80.40 УХЛ1 IP66) (S1)</v>
      </c>
      <c r="B73" s="13" t="s">
        <v>8</v>
      </c>
      <c r="C73" s="14" t="s">
        <v>344</v>
      </c>
      <c r="D73" s="12" t="s">
        <v>334</v>
      </c>
      <c r="E73" s="13">
        <v>68500</v>
      </c>
      <c r="F73" s="15">
        <f>E73*0.6</f>
        <v>41100</v>
      </c>
      <c r="G73" s="15">
        <f t="shared" ref="G73:G84" si="31">H73*F73</f>
        <v>41100</v>
      </c>
      <c r="H73" s="16">
        <v>1</v>
      </c>
      <c r="I73" s="17" t="s">
        <v>13</v>
      </c>
      <c r="J73" s="13" t="s">
        <v>16</v>
      </c>
      <c r="K73" s="12" t="str">
        <f>K72</f>
        <v>2853_01_01_S1_EM01_01_M3</v>
      </c>
      <c r="L73">
        <v>41100</v>
      </c>
    </row>
    <row r="74" spans="1:12" ht="21" hidden="1" customHeight="1" x14ac:dyDescent="0.25">
      <c r="A74" s="12" t="str">
        <f t="shared" ref="A74" si="32">A73</f>
        <v>ЩМПоф.-2.1 (ЩМП-120.80.40 УХЛ1 IP66) (S1)</v>
      </c>
      <c r="B74" s="13" t="s">
        <v>25</v>
      </c>
      <c r="C74" s="14" t="s">
        <v>221</v>
      </c>
      <c r="D74" s="12" t="s">
        <v>222</v>
      </c>
      <c r="E74" s="13">
        <v>6018</v>
      </c>
      <c r="F74" s="15">
        <f>E74</f>
        <v>6018</v>
      </c>
      <c r="G74" s="15">
        <f t="shared" si="31"/>
        <v>18054</v>
      </c>
      <c r="H74" s="16">
        <v>3</v>
      </c>
      <c r="I74" s="17" t="s">
        <v>13</v>
      </c>
      <c r="J74" s="13" t="s">
        <v>24</v>
      </c>
      <c r="K74" s="12" t="str">
        <f t="shared" ref="K74" si="33">K73</f>
        <v>2853_01_01_S1_EM01_01_M3</v>
      </c>
      <c r="L74">
        <v>18054</v>
      </c>
    </row>
    <row r="75" spans="1:12" ht="21" hidden="1" customHeight="1" x14ac:dyDescent="0.25">
      <c r="A75" s="12" t="str">
        <f>A73</f>
        <v>ЩМПоф.-2.1 (ЩМП-120.80.40 УХЛ1 IP66) (S1)</v>
      </c>
      <c r="B75" s="13" t="s">
        <v>12</v>
      </c>
      <c r="C75" s="14" t="s">
        <v>27</v>
      </c>
      <c r="D75" s="12" t="s">
        <v>26</v>
      </c>
      <c r="E75" s="13">
        <v>2606</v>
      </c>
      <c r="F75" s="15">
        <f t="shared" ref="F75:F80" si="34">E75*0.6</f>
        <v>1563.6</v>
      </c>
      <c r="G75" s="15">
        <f t="shared" si="31"/>
        <v>1563.6</v>
      </c>
      <c r="H75" s="16">
        <v>1</v>
      </c>
      <c r="I75" s="17" t="s">
        <v>13</v>
      </c>
      <c r="J75" s="13" t="s">
        <v>17</v>
      </c>
      <c r="K75" s="12" t="str">
        <f>K73</f>
        <v>2853_01_01_S1_EM01_01_M3</v>
      </c>
      <c r="L75">
        <v>1563.6</v>
      </c>
    </row>
    <row r="76" spans="1:12" ht="21" hidden="1" customHeight="1" x14ac:dyDescent="0.25">
      <c r="A76" s="12" t="str">
        <f t="shared" ref="A76:A85" si="35">A75</f>
        <v>ЩМПоф.-2.1 (ЩМП-120.80.40 УХЛ1 IP66) (S1)</v>
      </c>
      <c r="B76" s="13" t="s">
        <v>12</v>
      </c>
      <c r="C76" s="14" t="s">
        <v>65</v>
      </c>
      <c r="D76" s="12" t="s">
        <v>66</v>
      </c>
      <c r="E76" s="13">
        <v>3172</v>
      </c>
      <c r="F76" s="15">
        <f t="shared" si="34"/>
        <v>1903.1999999999998</v>
      </c>
      <c r="G76" s="15">
        <f t="shared" si="31"/>
        <v>1903.1999999999998</v>
      </c>
      <c r="H76" s="16">
        <v>1</v>
      </c>
      <c r="I76" s="17" t="s">
        <v>13</v>
      </c>
      <c r="J76" s="13" t="s">
        <v>17</v>
      </c>
      <c r="K76" s="12" t="str">
        <f t="shared" ref="K76:K85" si="36">K75</f>
        <v>2853_01_01_S1_EM01_01_M3</v>
      </c>
      <c r="L76">
        <v>1903.1999999999998</v>
      </c>
    </row>
    <row r="77" spans="1:12" ht="21" hidden="1" customHeight="1" x14ac:dyDescent="0.25">
      <c r="A77" s="12" t="str">
        <f t="shared" si="35"/>
        <v>ЩМПоф.-2.1 (ЩМП-120.80.40 УХЛ1 IP66) (S1)</v>
      </c>
      <c r="B77" s="13" t="s">
        <v>12</v>
      </c>
      <c r="C77" s="14">
        <v>296831</v>
      </c>
      <c r="D77" s="12" t="s">
        <v>108</v>
      </c>
      <c r="E77" s="13">
        <v>2807</v>
      </c>
      <c r="F77" s="15">
        <f t="shared" si="34"/>
        <v>1684.2</v>
      </c>
      <c r="G77" s="15">
        <f t="shared" si="31"/>
        <v>1684.2</v>
      </c>
      <c r="H77" s="16">
        <v>1</v>
      </c>
      <c r="I77" s="17" t="s">
        <v>13</v>
      </c>
      <c r="J77" s="13" t="s">
        <v>17</v>
      </c>
      <c r="K77" s="12" t="str">
        <f t="shared" si="36"/>
        <v>2853_01_01_S1_EM01_01_M3</v>
      </c>
      <c r="L77">
        <v>1684.2</v>
      </c>
    </row>
    <row r="78" spans="1:12" ht="21" hidden="1" customHeight="1" x14ac:dyDescent="0.25">
      <c r="A78" s="12" t="str">
        <f>A76</f>
        <v>ЩМПоф.-2.1 (ЩМП-120.80.40 УХЛ1 IP66) (S1)</v>
      </c>
      <c r="B78" s="13" t="s">
        <v>48</v>
      </c>
      <c r="C78" s="14" t="s">
        <v>73</v>
      </c>
      <c r="D78" s="12" t="s">
        <v>74</v>
      </c>
      <c r="E78" s="13">
        <v>4334</v>
      </c>
      <c r="F78" s="15">
        <f t="shared" si="34"/>
        <v>2600.4</v>
      </c>
      <c r="G78" s="15">
        <f t="shared" si="31"/>
        <v>2600.4</v>
      </c>
      <c r="H78" s="16">
        <v>1</v>
      </c>
      <c r="I78" s="17" t="s">
        <v>13</v>
      </c>
      <c r="J78" s="13" t="s">
        <v>17</v>
      </c>
      <c r="K78" s="12" t="str">
        <f>K76</f>
        <v>2853_01_01_S1_EM01_01_M3</v>
      </c>
      <c r="L78">
        <v>2600.4</v>
      </c>
    </row>
    <row r="79" spans="1:12" ht="21" hidden="1" customHeight="1" x14ac:dyDescent="0.25">
      <c r="A79" s="12" t="str">
        <f>A77</f>
        <v>ЩМПоф.-2.1 (ЩМП-120.80.40 УХЛ1 IP66) (S1)</v>
      </c>
      <c r="B79" s="13" t="s">
        <v>48</v>
      </c>
      <c r="C79" s="14" t="s">
        <v>63</v>
      </c>
      <c r="D79" s="12" t="s">
        <v>64</v>
      </c>
      <c r="E79" s="13">
        <v>4217</v>
      </c>
      <c r="F79" s="15">
        <f t="shared" si="34"/>
        <v>2530.1999999999998</v>
      </c>
      <c r="G79" s="15">
        <f t="shared" si="31"/>
        <v>5060.3999999999996</v>
      </c>
      <c r="H79" s="16">
        <v>2</v>
      </c>
      <c r="I79" s="17" t="s">
        <v>13</v>
      </c>
      <c r="J79" s="13" t="s">
        <v>17</v>
      </c>
      <c r="K79" s="12" t="str">
        <f>K77</f>
        <v>2853_01_01_S1_EM01_01_M3</v>
      </c>
      <c r="L79">
        <v>5060.3999999999996</v>
      </c>
    </row>
    <row r="80" spans="1:12" ht="21" hidden="1" customHeight="1" x14ac:dyDescent="0.25">
      <c r="A80" s="12" t="str">
        <f t="shared" si="35"/>
        <v>ЩМПоф.-2.1 (ЩМП-120.80.40 УХЛ1 IP66) (S1)</v>
      </c>
      <c r="B80" s="13" t="s">
        <v>48</v>
      </c>
      <c r="C80" s="14" t="s">
        <v>69</v>
      </c>
      <c r="D80" s="12" t="s">
        <v>70</v>
      </c>
      <c r="E80" s="13">
        <v>3372</v>
      </c>
      <c r="F80" s="15">
        <f t="shared" si="34"/>
        <v>2023.1999999999998</v>
      </c>
      <c r="G80" s="15">
        <f t="shared" si="31"/>
        <v>2023.1999999999998</v>
      </c>
      <c r="H80" s="16">
        <v>1</v>
      </c>
      <c r="I80" s="17" t="s">
        <v>13</v>
      </c>
      <c r="J80" s="13" t="s">
        <v>17</v>
      </c>
      <c r="K80" s="12" t="str">
        <f t="shared" si="36"/>
        <v>2853_01_01_S1_EM01_01_M3</v>
      </c>
      <c r="L80">
        <v>2023.1999999999998</v>
      </c>
    </row>
    <row r="81" spans="1:12" ht="22.5" hidden="1" customHeight="1" x14ac:dyDescent="0.25">
      <c r="A81" s="12" t="str">
        <f t="shared" si="35"/>
        <v>ЩМПоф.-2.1 (ЩМП-120.80.40 УХЛ1 IP66) (S1)</v>
      </c>
      <c r="B81" s="13" t="s">
        <v>18</v>
      </c>
      <c r="C81" s="14" t="s">
        <v>225</v>
      </c>
      <c r="D81" s="12" t="s">
        <v>226</v>
      </c>
      <c r="E81" s="13">
        <v>90000</v>
      </c>
      <c r="F81" s="15">
        <f t="shared" ref="F81" si="37">E81</f>
        <v>90000</v>
      </c>
      <c r="G81" s="15">
        <f t="shared" si="31"/>
        <v>90000</v>
      </c>
      <c r="H81" s="16">
        <v>1</v>
      </c>
      <c r="I81" s="17" t="s">
        <v>13</v>
      </c>
      <c r="J81" s="13" t="s">
        <v>24</v>
      </c>
      <c r="K81" s="12" t="str">
        <f t="shared" si="36"/>
        <v>2853_01_01_S1_EM01_01_M3</v>
      </c>
      <c r="L81">
        <v>90000</v>
      </c>
    </row>
    <row r="82" spans="1:12" ht="22.5" hidden="1" customHeight="1" x14ac:dyDescent="0.25">
      <c r="A82" s="12" t="str">
        <f t="shared" ref="A82" si="38">A81</f>
        <v>ЩМПоф.-2.1 (ЩМП-120.80.40 УХЛ1 IP66) (S1)</v>
      </c>
      <c r="B82" s="13" t="s">
        <v>18</v>
      </c>
      <c r="C82" s="14" t="s">
        <v>227</v>
      </c>
      <c r="D82" s="12" t="s">
        <v>228</v>
      </c>
      <c r="E82" s="13">
        <v>90000</v>
      </c>
      <c r="F82" s="15">
        <f t="shared" ref="F82" si="39">E82</f>
        <v>90000</v>
      </c>
      <c r="G82" s="15">
        <f t="shared" si="31"/>
        <v>270000</v>
      </c>
      <c r="H82" s="16">
        <v>3</v>
      </c>
      <c r="I82" s="17" t="s">
        <v>13</v>
      </c>
      <c r="J82" s="13" t="s">
        <v>24</v>
      </c>
      <c r="K82" s="12" t="str">
        <f t="shared" ref="K82" si="40">K81</f>
        <v>2853_01_01_S1_EM01_01_M3</v>
      </c>
      <c r="L82">
        <v>270000</v>
      </c>
    </row>
    <row r="83" spans="1:12" ht="24" hidden="1" customHeight="1" x14ac:dyDescent="0.25">
      <c r="A83" s="12" t="str">
        <f>A80</f>
        <v>ЩМПоф.-2.1 (ЩМП-120.80.40 УХЛ1 IP66) (S1)</v>
      </c>
      <c r="B83" s="12" t="s">
        <v>10</v>
      </c>
      <c r="C83" s="18" t="s">
        <v>10</v>
      </c>
      <c r="D83" s="12" t="s">
        <v>10</v>
      </c>
      <c r="E83" s="12">
        <f ca="1">OFFSET(E83,1,2)</f>
        <v>24000</v>
      </c>
      <c r="F83" s="15">
        <f ca="1">E83</f>
        <v>24000</v>
      </c>
      <c r="G83" s="15">
        <f t="shared" ca="1" si="31"/>
        <v>24000</v>
      </c>
      <c r="H83" s="12">
        <v>1</v>
      </c>
      <c r="I83" s="12" t="s">
        <v>13</v>
      </c>
      <c r="J83" s="12" t="s">
        <v>10</v>
      </c>
      <c r="K83" s="12" t="str">
        <f>K80</f>
        <v>2853_01_01_S1_EM01_01_M3</v>
      </c>
      <c r="L83">
        <v>24000</v>
      </c>
    </row>
    <row r="84" spans="1:12" ht="21" hidden="1" customHeight="1" x14ac:dyDescent="0.25">
      <c r="A84" s="12" t="str">
        <f t="shared" si="35"/>
        <v>ЩМПоф.-2.1 (ЩМП-120.80.40 УХЛ1 IP66) (S1)</v>
      </c>
      <c r="B84" s="12" t="s">
        <v>11</v>
      </c>
      <c r="C84" s="18" t="s">
        <v>11</v>
      </c>
      <c r="D84" s="12" t="s">
        <v>11</v>
      </c>
      <c r="E84" s="12">
        <v>4</v>
      </c>
      <c r="F84" s="15">
        <v>100</v>
      </c>
      <c r="G84" s="15">
        <f t="shared" si="31"/>
        <v>24000</v>
      </c>
      <c r="H84" s="12">
        <f>60*E84</f>
        <v>240</v>
      </c>
      <c r="I84" s="12" t="s">
        <v>13</v>
      </c>
      <c r="J84" s="12" t="s">
        <v>11</v>
      </c>
      <c r="K84" s="12" t="str">
        <f t="shared" si="36"/>
        <v>2853_01_01_S1_EM01_01_M3</v>
      </c>
      <c r="L84">
        <v>24000</v>
      </c>
    </row>
    <row r="85" spans="1:12" ht="30" customHeight="1" x14ac:dyDescent="0.25">
      <c r="A85" s="12" t="str">
        <f t="shared" si="35"/>
        <v>ЩМПоф.-2.1 (ЩМП-120.80.40 УХЛ1 IP66) (S1)</v>
      </c>
      <c r="B85" s="19"/>
      <c r="C85" s="20"/>
      <c r="D85" s="21"/>
      <c r="E85" s="23"/>
      <c r="F85" s="25"/>
      <c r="G85" s="24">
        <f ca="1">SUM(G73:G84)</f>
        <v>481989</v>
      </c>
      <c r="H85" s="20"/>
      <c r="I85" s="22"/>
      <c r="J85" s="20"/>
      <c r="K85" s="12" t="str">
        <f t="shared" si="36"/>
        <v>2853_01_01_S1_EM01_01_M3</v>
      </c>
      <c r="L85">
        <v>481989</v>
      </c>
    </row>
    <row r="86" spans="1:12" ht="39.75" customHeight="1" x14ac:dyDescent="0.25">
      <c r="A86" s="5" t="str">
        <f>D86</f>
        <v>ЩМПоф.-1.1 (ЩМП-120.80.40 УХЛ1 IP66) (S1)</v>
      </c>
      <c r="B86" s="6"/>
      <c r="C86" s="7"/>
      <c r="D86" s="6" t="s">
        <v>251</v>
      </c>
      <c r="E86" s="8"/>
      <c r="F86" s="8" t="s">
        <v>40</v>
      </c>
      <c r="G86" s="9"/>
      <c r="H86" s="10">
        <v>1</v>
      </c>
      <c r="I86" s="11" t="s">
        <v>7</v>
      </c>
      <c r="J86" s="6" t="s">
        <v>9</v>
      </c>
      <c r="K86" s="5" t="s">
        <v>133</v>
      </c>
    </row>
    <row r="87" spans="1:12" ht="21" hidden="1" customHeight="1" x14ac:dyDescent="0.25">
      <c r="A87" s="12" t="str">
        <f>A86</f>
        <v>ЩМПоф.-1.1 (ЩМП-120.80.40 УХЛ1 IP66) (S1)</v>
      </c>
      <c r="B87" s="13" t="s">
        <v>8</v>
      </c>
      <c r="C87" s="14" t="s">
        <v>344</v>
      </c>
      <c r="D87" s="12" t="s">
        <v>334</v>
      </c>
      <c r="E87" s="13">
        <v>68500</v>
      </c>
      <c r="F87" s="15">
        <f t="shared" ref="F87:F92" si="41">E87*0.6</f>
        <v>41100</v>
      </c>
      <c r="G87" s="15">
        <f t="shared" ref="G87:G95" si="42">H87*F87</f>
        <v>41100</v>
      </c>
      <c r="H87" s="16">
        <v>1</v>
      </c>
      <c r="I87" s="17" t="s">
        <v>13</v>
      </c>
      <c r="J87" s="13" t="s">
        <v>16</v>
      </c>
      <c r="K87" s="12" t="str">
        <f>K86</f>
        <v>2853_01_01_S1_EM01_01_M3</v>
      </c>
      <c r="L87">
        <v>41100</v>
      </c>
    </row>
    <row r="88" spans="1:12" ht="21" hidden="1" customHeight="1" x14ac:dyDescent="0.25">
      <c r="A88" s="12" t="str">
        <f t="shared" ref="A88:A96" si="43">A87</f>
        <v>ЩМПоф.-1.1 (ЩМП-120.80.40 УХЛ1 IP66) (S1)</v>
      </c>
      <c r="B88" s="13" t="s">
        <v>12</v>
      </c>
      <c r="C88" s="14" t="s">
        <v>96</v>
      </c>
      <c r="D88" s="12" t="s">
        <v>97</v>
      </c>
      <c r="E88" s="13">
        <v>2429</v>
      </c>
      <c r="F88" s="15">
        <f t="shared" si="41"/>
        <v>1457.3999999999999</v>
      </c>
      <c r="G88" s="15">
        <f t="shared" si="42"/>
        <v>1457.3999999999999</v>
      </c>
      <c r="H88" s="16">
        <v>1</v>
      </c>
      <c r="I88" s="17" t="s">
        <v>13</v>
      </c>
      <c r="J88" s="13" t="s">
        <v>17</v>
      </c>
      <c r="K88" s="12" t="str">
        <f t="shared" ref="K88:K96" si="44">K87</f>
        <v>2853_01_01_S1_EM01_01_M3</v>
      </c>
      <c r="L88">
        <v>1457.3999999999999</v>
      </c>
    </row>
    <row r="89" spans="1:12" ht="21" hidden="1" customHeight="1" x14ac:dyDescent="0.25">
      <c r="A89" s="12" t="str">
        <f t="shared" si="43"/>
        <v>ЩМПоф.-1.1 (ЩМП-120.80.40 УХЛ1 IP66) (S1)</v>
      </c>
      <c r="B89" s="13" t="s">
        <v>12</v>
      </c>
      <c r="C89" s="14" t="s">
        <v>65</v>
      </c>
      <c r="D89" s="12" t="s">
        <v>66</v>
      </c>
      <c r="E89" s="13">
        <v>3172</v>
      </c>
      <c r="F89" s="15">
        <f t="shared" si="41"/>
        <v>1903.1999999999998</v>
      </c>
      <c r="G89" s="15">
        <f t="shared" si="42"/>
        <v>1903.1999999999998</v>
      </c>
      <c r="H89" s="16">
        <v>1</v>
      </c>
      <c r="I89" s="17" t="s">
        <v>13</v>
      </c>
      <c r="J89" s="13" t="s">
        <v>17</v>
      </c>
      <c r="K89" s="12" t="str">
        <f t="shared" si="44"/>
        <v>2853_01_01_S1_EM01_01_M3</v>
      </c>
      <c r="L89">
        <v>1903.1999999999998</v>
      </c>
    </row>
    <row r="90" spans="1:12" ht="21" hidden="1" customHeight="1" x14ac:dyDescent="0.25">
      <c r="A90" s="12" t="str">
        <f t="shared" si="43"/>
        <v>ЩМПоф.-1.1 (ЩМП-120.80.40 УХЛ1 IP66) (S1)</v>
      </c>
      <c r="B90" s="13" t="s">
        <v>12</v>
      </c>
      <c r="C90" s="14">
        <v>296831</v>
      </c>
      <c r="D90" s="12" t="s">
        <v>108</v>
      </c>
      <c r="E90" s="13">
        <v>2807</v>
      </c>
      <c r="F90" s="15">
        <f t="shared" si="41"/>
        <v>1684.2</v>
      </c>
      <c r="G90" s="15">
        <f t="shared" si="42"/>
        <v>1684.2</v>
      </c>
      <c r="H90" s="16">
        <v>1</v>
      </c>
      <c r="I90" s="17" t="s">
        <v>13</v>
      </c>
      <c r="J90" s="13" t="s">
        <v>17</v>
      </c>
      <c r="K90" s="12" t="str">
        <f t="shared" si="44"/>
        <v>2853_01_01_S1_EM01_01_M3</v>
      </c>
      <c r="L90">
        <v>1684.2</v>
      </c>
    </row>
    <row r="91" spans="1:12" ht="21" hidden="1" customHeight="1" x14ac:dyDescent="0.25">
      <c r="A91" s="12" t="str">
        <f t="shared" si="43"/>
        <v>ЩМПоф.-1.1 (ЩМП-120.80.40 УХЛ1 IP66) (S1)</v>
      </c>
      <c r="B91" s="13" t="s">
        <v>48</v>
      </c>
      <c r="C91" s="14" t="s">
        <v>63</v>
      </c>
      <c r="D91" s="12" t="s">
        <v>64</v>
      </c>
      <c r="E91" s="13">
        <v>4217</v>
      </c>
      <c r="F91" s="15">
        <f t="shared" si="41"/>
        <v>2530.1999999999998</v>
      </c>
      <c r="G91" s="15">
        <f t="shared" si="42"/>
        <v>5060.3999999999996</v>
      </c>
      <c r="H91" s="16">
        <v>2</v>
      </c>
      <c r="I91" s="17" t="s">
        <v>13</v>
      </c>
      <c r="J91" s="13" t="s">
        <v>17</v>
      </c>
      <c r="K91" s="12" t="str">
        <f t="shared" si="44"/>
        <v>2853_01_01_S1_EM01_01_M3</v>
      </c>
      <c r="L91">
        <v>5060.3999999999996</v>
      </c>
    </row>
    <row r="92" spans="1:12" ht="21" hidden="1" customHeight="1" x14ac:dyDescent="0.25">
      <c r="A92" s="12" t="str">
        <f t="shared" si="43"/>
        <v>ЩМПоф.-1.1 (ЩМП-120.80.40 УХЛ1 IP66) (S1)</v>
      </c>
      <c r="B92" s="13" t="s">
        <v>48</v>
      </c>
      <c r="C92" s="14" t="s">
        <v>51</v>
      </c>
      <c r="D92" s="12" t="s">
        <v>52</v>
      </c>
      <c r="E92" s="13">
        <v>3372</v>
      </c>
      <c r="F92" s="15">
        <f t="shared" si="41"/>
        <v>2023.1999999999998</v>
      </c>
      <c r="G92" s="15">
        <f t="shared" si="42"/>
        <v>2023.1999999999998</v>
      </c>
      <c r="H92" s="16">
        <v>1</v>
      </c>
      <c r="I92" s="17" t="s">
        <v>13</v>
      </c>
      <c r="J92" s="13" t="s">
        <v>17</v>
      </c>
      <c r="K92" s="12" t="str">
        <f t="shared" si="44"/>
        <v>2853_01_01_S1_EM01_01_M3</v>
      </c>
      <c r="L92">
        <v>2023.1999999999998</v>
      </c>
    </row>
    <row r="93" spans="1:12" ht="22.5" hidden="1" customHeight="1" x14ac:dyDescent="0.25">
      <c r="A93" s="12" t="str">
        <f t="shared" si="43"/>
        <v>ЩМПоф.-1.1 (ЩМП-120.80.40 УХЛ1 IP66) (S1)</v>
      </c>
      <c r="B93" s="13" t="s">
        <v>18</v>
      </c>
      <c r="C93" s="14" t="s">
        <v>227</v>
      </c>
      <c r="D93" s="12" t="s">
        <v>228</v>
      </c>
      <c r="E93" s="13">
        <v>90000</v>
      </c>
      <c r="F93" s="15">
        <f t="shared" ref="F93" si="45">E93</f>
        <v>90000</v>
      </c>
      <c r="G93" s="15">
        <f t="shared" si="42"/>
        <v>270000</v>
      </c>
      <c r="H93" s="16">
        <v>3</v>
      </c>
      <c r="I93" s="17" t="s">
        <v>13</v>
      </c>
      <c r="J93" s="13" t="s">
        <v>24</v>
      </c>
      <c r="K93" s="12" t="str">
        <f t="shared" si="44"/>
        <v>2853_01_01_S1_EM01_01_M3</v>
      </c>
      <c r="L93">
        <v>270000</v>
      </c>
    </row>
    <row r="94" spans="1:12" ht="24" hidden="1" customHeight="1" x14ac:dyDescent="0.25">
      <c r="A94" s="12" t="str">
        <f t="shared" si="43"/>
        <v>ЩМПоф.-1.1 (ЩМП-120.80.40 УХЛ1 IP66) (S1)</v>
      </c>
      <c r="B94" s="12" t="s">
        <v>10</v>
      </c>
      <c r="C94" s="18" t="s">
        <v>10</v>
      </c>
      <c r="D94" s="12" t="s">
        <v>10</v>
      </c>
      <c r="E94" s="12">
        <f ca="1">OFFSET(E94,1,2)</f>
        <v>36000</v>
      </c>
      <c r="F94" s="15">
        <f ca="1">E94</f>
        <v>36000</v>
      </c>
      <c r="G94" s="15">
        <f t="shared" ca="1" si="42"/>
        <v>36000</v>
      </c>
      <c r="H94" s="12">
        <v>1</v>
      </c>
      <c r="I94" s="12" t="s">
        <v>13</v>
      </c>
      <c r="J94" s="12" t="s">
        <v>10</v>
      </c>
      <c r="K94" s="12" t="str">
        <f t="shared" si="44"/>
        <v>2853_01_01_S1_EM01_01_M3</v>
      </c>
      <c r="L94">
        <v>36000</v>
      </c>
    </row>
    <row r="95" spans="1:12" ht="21" hidden="1" customHeight="1" x14ac:dyDescent="0.25">
      <c r="A95" s="12" t="str">
        <f t="shared" si="43"/>
        <v>ЩМПоф.-1.1 (ЩМП-120.80.40 УХЛ1 IP66) (S1)</v>
      </c>
      <c r="B95" s="12" t="s">
        <v>11</v>
      </c>
      <c r="C95" s="18" t="s">
        <v>11</v>
      </c>
      <c r="D95" s="12" t="s">
        <v>11</v>
      </c>
      <c r="E95" s="12">
        <v>6</v>
      </c>
      <c r="F95" s="15">
        <v>100</v>
      </c>
      <c r="G95" s="15">
        <f t="shared" si="42"/>
        <v>36000</v>
      </c>
      <c r="H95" s="12">
        <f>60*E95</f>
        <v>360</v>
      </c>
      <c r="I95" s="12" t="s">
        <v>13</v>
      </c>
      <c r="J95" s="12" t="s">
        <v>11</v>
      </c>
      <c r="K95" s="12" t="str">
        <f t="shared" si="44"/>
        <v>2853_01_01_S1_EM01_01_M3</v>
      </c>
      <c r="L95">
        <v>36000</v>
      </c>
    </row>
    <row r="96" spans="1:12" ht="30" customHeight="1" x14ac:dyDescent="0.25">
      <c r="A96" s="12" t="str">
        <f t="shared" si="43"/>
        <v>ЩМПоф.-1.1 (ЩМП-120.80.40 УХЛ1 IP66) (S1)</v>
      </c>
      <c r="B96" s="19"/>
      <c r="C96" s="20"/>
      <c r="D96" s="21"/>
      <c r="E96" s="23"/>
      <c r="F96" s="25"/>
      <c r="G96" s="24">
        <f ca="1">SUM(G87:G95)</f>
        <v>395228.4</v>
      </c>
      <c r="H96" s="20"/>
      <c r="I96" s="22"/>
      <c r="J96" s="20"/>
      <c r="K96" s="12" t="str">
        <f t="shared" si="44"/>
        <v>2853_01_01_S1_EM01_01_M3</v>
      </c>
      <c r="L96">
        <v>395228.4</v>
      </c>
    </row>
    <row r="97" spans="1:12" ht="39.75" customHeight="1" x14ac:dyDescent="0.25">
      <c r="A97" s="5" t="str">
        <f>D97</f>
        <v>ВЩоф2 (ВРУ1-ИНД тип3-00 ухл4) (S1)</v>
      </c>
      <c r="B97" s="6"/>
      <c r="C97" s="7"/>
      <c r="D97" s="6" t="s">
        <v>252</v>
      </c>
      <c r="E97" s="8"/>
      <c r="F97" s="8" t="s">
        <v>40</v>
      </c>
      <c r="G97" s="9"/>
      <c r="H97" s="10">
        <v>1</v>
      </c>
      <c r="I97" s="11" t="s">
        <v>7</v>
      </c>
      <c r="J97" s="6" t="s">
        <v>9</v>
      </c>
      <c r="K97" s="5" t="s">
        <v>133</v>
      </c>
    </row>
    <row r="98" spans="1:12" ht="21" hidden="1" customHeight="1" x14ac:dyDescent="0.25">
      <c r="A98" s="12" t="str">
        <f>A97</f>
        <v>ВЩоф2 (ВРУ1-ИНД тип3-00 ухл4) (S1)</v>
      </c>
      <c r="B98" s="13" t="s">
        <v>8</v>
      </c>
      <c r="C98" s="14" t="s">
        <v>38</v>
      </c>
      <c r="D98" s="12" t="s">
        <v>39</v>
      </c>
      <c r="E98" s="13">
        <v>155000</v>
      </c>
      <c r="F98" s="15">
        <f>E98*0.6</f>
        <v>93000</v>
      </c>
      <c r="G98" s="15">
        <f t="shared" ref="G98:G107" si="46">H98*F98</f>
        <v>93000</v>
      </c>
      <c r="H98" s="16">
        <v>1</v>
      </c>
      <c r="I98" s="17" t="s">
        <v>13</v>
      </c>
      <c r="J98" s="13" t="s">
        <v>16</v>
      </c>
      <c r="K98" s="12" t="str">
        <f>K97</f>
        <v>2853_01_01_S1_EM01_01_M3</v>
      </c>
      <c r="L98">
        <v>93000</v>
      </c>
    </row>
    <row r="99" spans="1:12" ht="21" hidden="1" customHeight="1" x14ac:dyDescent="0.25">
      <c r="A99" s="12" t="str">
        <f t="shared" ref="A99:A108" si="47">A98</f>
        <v>ВЩоф2 (ВРУ1-ИНД тип3-00 ухл4) (S1)</v>
      </c>
      <c r="B99" s="13" t="s">
        <v>25</v>
      </c>
      <c r="C99" s="14" t="s">
        <v>109</v>
      </c>
      <c r="D99" s="12" t="s">
        <v>110</v>
      </c>
      <c r="E99" s="13">
        <v>5523</v>
      </c>
      <c r="F99" s="15">
        <f>E99</f>
        <v>5523</v>
      </c>
      <c r="G99" s="15">
        <f t="shared" si="46"/>
        <v>16569</v>
      </c>
      <c r="H99" s="16">
        <v>3</v>
      </c>
      <c r="I99" s="17" t="s">
        <v>13</v>
      </c>
      <c r="J99" s="13" t="s">
        <v>24</v>
      </c>
      <c r="K99" s="12" t="str">
        <f t="shared" ref="K99:K108" si="48">K98</f>
        <v>2853_01_01_S1_EM01_01_M3</v>
      </c>
      <c r="L99">
        <v>16569</v>
      </c>
    </row>
    <row r="100" spans="1:12" ht="21" hidden="1" customHeight="1" x14ac:dyDescent="0.25">
      <c r="A100" s="12" t="str">
        <f t="shared" si="47"/>
        <v>ВЩоф2 (ВРУ1-ИНД тип3-00 ухл4) (S1)</v>
      </c>
      <c r="B100" s="13" t="s">
        <v>48</v>
      </c>
      <c r="C100" s="14" t="s">
        <v>349</v>
      </c>
      <c r="D100" s="12" t="s">
        <v>350</v>
      </c>
      <c r="E100" s="13">
        <v>90421</v>
      </c>
      <c r="F100" s="15">
        <f t="shared" ref="F100:F103" si="49">E100*0.6</f>
        <v>54252.6</v>
      </c>
      <c r="G100" s="15">
        <f t="shared" si="46"/>
        <v>54252.6</v>
      </c>
      <c r="H100" s="16">
        <v>1</v>
      </c>
      <c r="I100" s="17" t="s">
        <v>13</v>
      </c>
      <c r="J100" s="13" t="s">
        <v>17</v>
      </c>
      <c r="K100" s="12" t="str">
        <f t="shared" si="48"/>
        <v>2853_01_01_S1_EM01_01_M3</v>
      </c>
      <c r="L100">
        <v>54252.6</v>
      </c>
    </row>
    <row r="101" spans="1:12" ht="21" hidden="1" customHeight="1" x14ac:dyDescent="0.25">
      <c r="A101" s="12" t="str">
        <f t="shared" si="47"/>
        <v>ВЩоф2 (ВРУ1-ИНД тип3-00 ухл4) (S1)</v>
      </c>
      <c r="B101" s="13" t="s">
        <v>30</v>
      </c>
      <c r="C101" s="14" t="s">
        <v>56</v>
      </c>
      <c r="D101" s="12" t="s">
        <v>57</v>
      </c>
      <c r="E101" s="13">
        <v>4969</v>
      </c>
      <c r="F101" s="15">
        <f t="shared" si="49"/>
        <v>2981.4</v>
      </c>
      <c r="G101" s="15">
        <f t="shared" si="46"/>
        <v>8944.2000000000007</v>
      </c>
      <c r="H101" s="16">
        <v>3</v>
      </c>
      <c r="I101" s="17" t="s">
        <v>13</v>
      </c>
      <c r="J101" s="13" t="s">
        <v>17</v>
      </c>
      <c r="K101" s="12" t="str">
        <f t="shared" si="48"/>
        <v>2853_01_01_S1_EM01_01_M3</v>
      </c>
      <c r="L101">
        <v>8944.2000000000007</v>
      </c>
    </row>
    <row r="102" spans="1:12" ht="21" hidden="1" customHeight="1" x14ac:dyDescent="0.25">
      <c r="A102" s="12" t="str">
        <f t="shared" si="47"/>
        <v>ВЩоф2 (ВРУ1-ИНД тип3-00 ухл4) (S1)</v>
      </c>
      <c r="B102" s="13" t="s">
        <v>30</v>
      </c>
      <c r="C102" s="14" t="s">
        <v>58</v>
      </c>
      <c r="D102" s="12" t="s">
        <v>59</v>
      </c>
      <c r="E102" s="13">
        <v>7443</v>
      </c>
      <c r="F102" s="15">
        <f t="shared" si="49"/>
        <v>4465.8</v>
      </c>
      <c r="G102" s="15">
        <f t="shared" si="46"/>
        <v>13397.400000000001</v>
      </c>
      <c r="H102" s="16">
        <v>3</v>
      </c>
      <c r="I102" s="17" t="s">
        <v>13</v>
      </c>
      <c r="J102" s="13" t="s">
        <v>17</v>
      </c>
      <c r="K102" s="12" t="str">
        <f t="shared" si="48"/>
        <v>2853_01_01_S1_EM01_01_M3</v>
      </c>
      <c r="L102">
        <v>13397.400000000001</v>
      </c>
    </row>
    <row r="103" spans="1:12" ht="21" hidden="1" customHeight="1" x14ac:dyDescent="0.25">
      <c r="A103" s="12" t="str">
        <f t="shared" si="47"/>
        <v>ВЩоф2 (ВРУ1-ИНД тип3-00 ухл4) (S1)</v>
      </c>
      <c r="B103" s="13" t="s">
        <v>12</v>
      </c>
      <c r="C103" s="14" t="s">
        <v>19</v>
      </c>
      <c r="D103" s="12" t="s">
        <v>20</v>
      </c>
      <c r="E103" s="13">
        <v>975</v>
      </c>
      <c r="F103" s="15">
        <f t="shared" si="49"/>
        <v>585</v>
      </c>
      <c r="G103" s="15">
        <f t="shared" si="46"/>
        <v>585</v>
      </c>
      <c r="H103" s="16">
        <v>1</v>
      </c>
      <c r="I103" s="17" t="s">
        <v>13</v>
      </c>
      <c r="J103" s="13" t="s">
        <v>17</v>
      </c>
      <c r="K103" s="12" t="str">
        <f t="shared" si="48"/>
        <v>2853_01_01_S1_EM01_01_M3</v>
      </c>
      <c r="L103">
        <v>585</v>
      </c>
    </row>
    <row r="104" spans="1:12" ht="22.5" hidden="1" customHeight="1" x14ac:dyDescent="0.25">
      <c r="A104" s="12" t="str">
        <f t="shared" si="47"/>
        <v>ВЩоф2 (ВРУ1-ИНД тип3-00 ухл4) (S1)</v>
      </c>
      <c r="B104" s="13" t="s">
        <v>18</v>
      </c>
      <c r="C104" s="14" t="s">
        <v>225</v>
      </c>
      <c r="D104" s="12" t="s">
        <v>226</v>
      </c>
      <c r="E104" s="13">
        <v>90000</v>
      </c>
      <c r="F104" s="15">
        <f t="shared" ref="F104:F105" si="50">E104</f>
        <v>90000</v>
      </c>
      <c r="G104" s="15">
        <f t="shared" si="46"/>
        <v>90000</v>
      </c>
      <c r="H104" s="16">
        <v>1</v>
      </c>
      <c r="I104" s="17" t="s">
        <v>13</v>
      </c>
      <c r="J104" s="13" t="s">
        <v>24</v>
      </c>
      <c r="K104" s="12" t="str">
        <f t="shared" si="48"/>
        <v>2853_01_01_S1_EM01_01_M3</v>
      </c>
      <c r="L104">
        <v>90000</v>
      </c>
    </row>
    <row r="105" spans="1:12" ht="21" hidden="1" customHeight="1" x14ac:dyDescent="0.25">
      <c r="A105" s="12" t="str">
        <f t="shared" si="47"/>
        <v>ВЩоф2 (ВРУ1-ИНД тип3-00 ухл4) (S1)</v>
      </c>
      <c r="B105" s="13" t="s">
        <v>28</v>
      </c>
      <c r="C105" s="14"/>
      <c r="D105" s="12" t="s">
        <v>28</v>
      </c>
      <c r="E105" s="13">
        <v>1000</v>
      </c>
      <c r="F105" s="15">
        <f t="shared" si="50"/>
        <v>1000</v>
      </c>
      <c r="G105" s="15">
        <f t="shared" si="46"/>
        <v>1000</v>
      </c>
      <c r="H105" s="16">
        <v>1</v>
      </c>
      <c r="I105" s="17" t="s">
        <v>13</v>
      </c>
      <c r="J105" s="13" t="s">
        <v>24</v>
      </c>
      <c r="K105" s="12" t="str">
        <f t="shared" si="48"/>
        <v>2853_01_01_S1_EM01_01_M3</v>
      </c>
      <c r="L105">
        <v>1000</v>
      </c>
    </row>
    <row r="106" spans="1:12" ht="24" hidden="1" customHeight="1" x14ac:dyDescent="0.25">
      <c r="A106" s="12" t="str">
        <f t="shared" si="47"/>
        <v>ВЩоф2 (ВРУ1-ИНД тип3-00 ухл4) (S1)</v>
      </c>
      <c r="B106" s="12" t="s">
        <v>10</v>
      </c>
      <c r="C106" s="18" t="s">
        <v>10</v>
      </c>
      <c r="D106" s="12" t="s">
        <v>10</v>
      </c>
      <c r="E106" s="12">
        <f ca="1">OFFSET(E106,1,2)</f>
        <v>48000</v>
      </c>
      <c r="F106" s="15">
        <f ca="1">E106</f>
        <v>48000</v>
      </c>
      <c r="G106" s="15">
        <f t="shared" ca="1" si="46"/>
        <v>48000</v>
      </c>
      <c r="H106" s="12">
        <v>1</v>
      </c>
      <c r="I106" s="12" t="s">
        <v>13</v>
      </c>
      <c r="J106" s="12" t="s">
        <v>10</v>
      </c>
      <c r="K106" s="12" t="str">
        <f t="shared" si="48"/>
        <v>2853_01_01_S1_EM01_01_M3</v>
      </c>
      <c r="L106">
        <v>48000</v>
      </c>
    </row>
    <row r="107" spans="1:12" ht="21" hidden="1" customHeight="1" x14ac:dyDescent="0.25">
      <c r="A107" s="12" t="str">
        <f t="shared" si="47"/>
        <v>ВЩоф2 (ВРУ1-ИНД тип3-00 ухл4) (S1)</v>
      </c>
      <c r="B107" s="12" t="s">
        <v>11</v>
      </c>
      <c r="C107" s="18" t="s">
        <v>11</v>
      </c>
      <c r="D107" s="12" t="s">
        <v>11</v>
      </c>
      <c r="E107" s="12">
        <v>8</v>
      </c>
      <c r="F107" s="15">
        <v>100</v>
      </c>
      <c r="G107" s="15">
        <f t="shared" si="46"/>
        <v>48000</v>
      </c>
      <c r="H107" s="12">
        <f>60*E107</f>
        <v>480</v>
      </c>
      <c r="I107" s="12" t="s">
        <v>13</v>
      </c>
      <c r="J107" s="12" t="s">
        <v>11</v>
      </c>
      <c r="K107" s="12" t="str">
        <f t="shared" si="48"/>
        <v>2853_01_01_S1_EM01_01_M3</v>
      </c>
      <c r="L107">
        <v>48000</v>
      </c>
    </row>
    <row r="108" spans="1:12" ht="30" customHeight="1" x14ac:dyDescent="0.25">
      <c r="A108" s="12" t="str">
        <f t="shared" si="47"/>
        <v>ВЩоф2 (ВРУ1-ИНД тип3-00 ухл4) (S1)</v>
      </c>
      <c r="B108" s="19"/>
      <c r="C108" s="20"/>
      <c r="D108" s="21"/>
      <c r="E108" s="23"/>
      <c r="F108" s="25"/>
      <c r="G108" s="24">
        <f ca="1">SUM(G98:G107)</f>
        <v>373748.2</v>
      </c>
      <c r="H108" s="20"/>
      <c r="I108" s="22"/>
      <c r="J108" s="20"/>
      <c r="K108" s="12" t="str">
        <f t="shared" si="48"/>
        <v>2853_01_01_S1_EM01_01_M3</v>
      </c>
      <c r="L108">
        <v>373748.2</v>
      </c>
    </row>
    <row r="109" spans="1:12" ht="39.75" customHeight="1" x14ac:dyDescent="0.25">
      <c r="A109" s="5" t="str">
        <f>D109</f>
        <v>ЩР-6.1 (ВРУ1-ИНД тип3-00 ухл4) (S1)</v>
      </c>
      <c r="B109" s="6"/>
      <c r="C109" s="7"/>
      <c r="D109" s="6" t="s">
        <v>253</v>
      </c>
      <c r="E109" s="8"/>
      <c r="F109" s="8" t="s">
        <v>40</v>
      </c>
      <c r="G109" s="9"/>
      <c r="H109" s="10">
        <v>1</v>
      </c>
      <c r="I109" s="11" t="s">
        <v>7</v>
      </c>
      <c r="J109" s="6" t="s">
        <v>9</v>
      </c>
      <c r="K109" s="5" t="s">
        <v>133</v>
      </c>
    </row>
    <row r="110" spans="1:12" ht="21" hidden="1" customHeight="1" x14ac:dyDescent="0.25">
      <c r="A110" s="12" t="str">
        <f>A109</f>
        <v>ЩР-6.1 (ВРУ1-ИНД тип3-00 ухл4) (S1)</v>
      </c>
      <c r="B110" s="13" t="s">
        <v>8</v>
      </c>
      <c r="C110" s="14" t="s">
        <v>144</v>
      </c>
      <c r="D110" s="12" t="s">
        <v>243</v>
      </c>
      <c r="E110" s="13">
        <v>10305</v>
      </c>
      <c r="F110" s="15">
        <f t="shared" ref="F110:F111" si="51">E110*0.6</f>
        <v>6183</v>
      </c>
      <c r="G110" s="15">
        <f t="shared" ref="G110:G113" si="52">H110*F110</f>
        <v>6183</v>
      </c>
      <c r="H110" s="16">
        <v>1</v>
      </c>
      <c r="I110" s="17" t="s">
        <v>13</v>
      </c>
      <c r="J110" s="13" t="s">
        <v>16</v>
      </c>
      <c r="K110" s="12" t="str">
        <f>K109</f>
        <v>2853_01_01_S1_EM01_01_M3</v>
      </c>
      <c r="L110">
        <v>6183</v>
      </c>
    </row>
    <row r="111" spans="1:12" ht="21" hidden="1" customHeight="1" x14ac:dyDescent="0.25">
      <c r="A111" s="12" t="str">
        <f t="shared" ref="A111:A114" si="53">A110</f>
        <v>ЩР-6.1 (ВРУ1-ИНД тип3-00 ухл4) (S1)</v>
      </c>
      <c r="B111" s="13" t="s">
        <v>48</v>
      </c>
      <c r="C111" s="14" t="s">
        <v>349</v>
      </c>
      <c r="D111" s="12" t="s">
        <v>350</v>
      </c>
      <c r="E111" s="13">
        <v>90421</v>
      </c>
      <c r="F111" s="15">
        <f t="shared" si="51"/>
        <v>54252.6</v>
      </c>
      <c r="G111" s="15">
        <f t="shared" si="52"/>
        <v>54252.6</v>
      </c>
      <c r="H111" s="16">
        <v>1</v>
      </c>
      <c r="I111" s="17" t="s">
        <v>13</v>
      </c>
      <c r="J111" s="13" t="s">
        <v>17</v>
      </c>
      <c r="K111" s="12" t="str">
        <f t="shared" ref="K111:K114" si="54">K110</f>
        <v>2853_01_01_S1_EM01_01_M3</v>
      </c>
      <c r="L111">
        <v>54252.6</v>
      </c>
    </row>
    <row r="112" spans="1:12" ht="24" hidden="1" customHeight="1" x14ac:dyDescent="0.25">
      <c r="A112" s="12" t="str">
        <f t="shared" si="53"/>
        <v>ЩР-6.1 (ВРУ1-ИНД тип3-00 ухл4) (S1)</v>
      </c>
      <c r="B112" s="12" t="s">
        <v>10</v>
      </c>
      <c r="C112" s="18" t="s">
        <v>10</v>
      </c>
      <c r="D112" s="12" t="s">
        <v>10</v>
      </c>
      <c r="E112" s="12">
        <f ca="1">OFFSET(E112,1,2)</f>
        <v>18000</v>
      </c>
      <c r="F112" s="15">
        <f ca="1">E112</f>
        <v>18000</v>
      </c>
      <c r="G112" s="15">
        <f t="shared" ca="1" si="52"/>
        <v>18000</v>
      </c>
      <c r="H112" s="12">
        <v>1</v>
      </c>
      <c r="I112" s="12" t="s">
        <v>13</v>
      </c>
      <c r="J112" s="12" t="s">
        <v>10</v>
      </c>
      <c r="K112" s="12" t="str">
        <f t="shared" si="54"/>
        <v>2853_01_01_S1_EM01_01_M3</v>
      </c>
      <c r="L112">
        <v>18000</v>
      </c>
    </row>
    <row r="113" spans="1:12" ht="21" hidden="1" customHeight="1" x14ac:dyDescent="0.25">
      <c r="A113" s="12" t="str">
        <f t="shared" si="53"/>
        <v>ЩР-6.1 (ВРУ1-ИНД тип3-00 ухл4) (S1)</v>
      </c>
      <c r="B113" s="12" t="s">
        <v>11</v>
      </c>
      <c r="C113" s="18" t="s">
        <v>11</v>
      </c>
      <c r="D113" s="12" t="s">
        <v>11</v>
      </c>
      <c r="E113" s="12">
        <v>3</v>
      </c>
      <c r="F113" s="15">
        <v>100</v>
      </c>
      <c r="G113" s="15">
        <f t="shared" si="52"/>
        <v>18000</v>
      </c>
      <c r="H113" s="12">
        <f>60*E113</f>
        <v>180</v>
      </c>
      <c r="I113" s="12" t="s">
        <v>13</v>
      </c>
      <c r="J113" s="12" t="s">
        <v>11</v>
      </c>
      <c r="K113" s="12" t="str">
        <f t="shared" si="54"/>
        <v>2853_01_01_S1_EM01_01_M3</v>
      </c>
      <c r="L113">
        <v>18000</v>
      </c>
    </row>
    <row r="114" spans="1:12" ht="30" customHeight="1" x14ac:dyDescent="0.25">
      <c r="A114" s="12" t="str">
        <f t="shared" si="53"/>
        <v>ЩР-6.1 (ВРУ1-ИНД тип3-00 ухл4) (S1)</v>
      </c>
      <c r="B114" s="19"/>
      <c r="C114" s="20"/>
      <c r="D114" s="21"/>
      <c r="E114" s="23"/>
      <c r="F114" s="25"/>
      <c r="G114" s="24">
        <f ca="1">SUM(G110:G113)</f>
        <v>96435.6</v>
      </c>
      <c r="H114" s="20"/>
      <c r="I114" s="22"/>
      <c r="J114" s="20"/>
      <c r="K114" s="12" t="str">
        <f t="shared" si="54"/>
        <v>2853_01_01_S1_EM01_01_M3</v>
      </c>
      <c r="L114">
        <v>96435.6</v>
      </c>
    </row>
    <row r="115" spans="1:12" ht="39.75" customHeight="1" x14ac:dyDescent="0.25">
      <c r="A115" s="5" t="str">
        <f>D115</f>
        <v>ЩО-1бл.  (S1)</v>
      </c>
      <c r="B115" s="6"/>
      <c r="C115" s="7"/>
      <c r="D115" s="6" t="s">
        <v>254</v>
      </c>
      <c r="E115" s="8"/>
      <c r="F115" s="8" t="s">
        <v>40</v>
      </c>
      <c r="G115" s="9"/>
      <c r="H115" s="10">
        <v>1</v>
      </c>
      <c r="I115" s="11" t="s">
        <v>7</v>
      </c>
      <c r="J115" s="6" t="s">
        <v>9</v>
      </c>
      <c r="K115" s="5" t="s">
        <v>133</v>
      </c>
    </row>
    <row r="116" spans="1:12" ht="21" hidden="1" customHeight="1" x14ac:dyDescent="0.25">
      <c r="A116" s="12" t="str">
        <f>A115</f>
        <v>ЩО-1бл.  (S1)</v>
      </c>
      <c r="B116" s="13" t="s">
        <v>8</v>
      </c>
      <c r="C116" s="14" t="s">
        <v>237</v>
      </c>
      <c r="D116" s="12" t="s">
        <v>238</v>
      </c>
      <c r="E116" s="13">
        <v>11700</v>
      </c>
      <c r="F116" s="15">
        <f>E116*0.6</f>
        <v>7020</v>
      </c>
      <c r="G116" s="15">
        <f t="shared" ref="G116:G121" si="55">H116*F116</f>
        <v>7020</v>
      </c>
      <c r="H116" s="16">
        <v>1</v>
      </c>
      <c r="I116" s="17" t="s">
        <v>13</v>
      </c>
      <c r="J116" s="13" t="s">
        <v>244</v>
      </c>
      <c r="K116" s="12" t="str">
        <f>K115</f>
        <v>2853_01_01_S1_EM01_01_M3</v>
      </c>
      <c r="L116">
        <v>7020</v>
      </c>
    </row>
    <row r="117" spans="1:12" ht="21" hidden="1" customHeight="1" x14ac:dyDescent="0.25">
      <c r="A117" s="12" t="str">
        <f t="shared" ref="A117:A122" si="56">A116</f>
        <v>ЩО-1бл.  (S1)</v>
      </c>
      <c r="B117" s="13" t="s">
        <v>48</v>
      </c>
      <c r="C117" s="14" t="s">
        <v>49</v>
      </c>
      <c r="D117" s="12" t="s">
        <v>50</v>
      </c>
      <c r="E117" s="13">
        <v>3372</v>
      </c>
      <c r="F117" s="15">
        <f t="shared" ref="F117:F118" si="57">E117*0.6</f>
        <v>2023.1999999999998</v>
      </c>
      <c r="G117" s="15">
        <f t="shared" si="55"/>
        <v>2023.1999999999998</v>
      </c>
      <c r="H117" s="16">
        <v>1</v>
      </c>
      <c r="I117" s="17" t="s">
        <v>13</v>
      </c>
      <c r="J117" s="13" t="s">
        <v>17</v>
      </c>
      <c r="K117" s="12" t="str">
        <f t="shared" ref="K117:K122" si="58">K116</f>
        <v>2853_01_01_S1_EM01_01_M3</v>
      </c>
      <c r="L117">
        <v>2023.1999999999998</v>
      </c>
    </row>
    <row r="118" spans="1:12" ht="21" hidden="1" customHeight="1" x14ac:dyDescent="0.25">
      <c r="A118" s="12" t="str">
        <f t="shared" si="56"/>
        <v>ЩО-1бл.  (S1)</v>
      </c>
      <c r="B118" s="13" t="s">
        <v>12</v>
      </c>
      <c r="C118" s="14" t="s">
        <v>19</v>
      </c>
      <c r="D118" s="12" t="s">
        <v>20</v>
      </c>
      <c r="E118" s="13">
        <v>975</v>
      </c>
      <c r="F118" s="15">
        <f t="shared" si="57"/>
        <v>585</v>
      </c>
      <c r="G118" s="15">
        <f t="shared" si="55"/>
        <v>3510</v>
      </c>
      <c r="H118" s="16">
        <v>6</v>
      </c>
      <c r="I118" s="17" t="s">
        <v>13</v>
      </c>
      <c r="J118" s="13" t="s">
        <v>17</v>
      </c>
      <c r="K118" s="12" t="str">
        <f t="shared" si="58"/>
        <v>2853_01_01_S1_EM01_01_M3</v>
      </c>
      <c r="L118">
        <v>3510</v>
      </c>
    </row>
    <row r="119" spans="1:12" ht="22.5" hidden="1" customHeight="1" x14ac:dyDescent="0.25">
      <c r="A119" s="12" t="str">
        <f>A117</f>
        <v>ЩО-1бл.  (S1)</v>
      </c>
      <c r="B119" s="13" t="s">
        <v>143</v>
      </c>
      <c r="C119" s="12" t="s">
        <v>170</v>
      </c>
      <c r="D119" s="12" t="s">
        <v>351</v>
      </c>
      <c r="E119" s="13">
        <v>6500</v>
      </c>
      <c r="F119" s="15">
        <f t="shared" ref="F119" si="59">E119</f>
        <v>6500</v>
      </c>
      <c r="G119" s="15">
        <f t="shared" si="55"/>
        <v>6500</v>
      </c>
      <c r="H119" s="16">
        <v>1</v>
      </c>
      <c r="I119" s="17" t="s">
        <v>13</v>
      </c>
      <c r="J119" s="13" t="s">
        <v>24</v>
      </c>
      <c r="K119" s="12" t="str">
        <f>K117</f>
        <v>2853_01_01_S1_EM01_01_M3</v>
      </c>
      <c r="L119">
        <v>6500</v>
      </c>
    </row>
    <row r="120" spans="1:12" ht="24" hidden="1" customHeight="1" x14ac:dyDescent="0.25">
      <c r="A120" s="12" t="str">
        <f>A117</f>
        <v>ЩО-1бл.  (S1)</v>
      </c>
      <c r="B120" s="12" t="s">
        <v>10</v>
      </c>
      <c r="C120" s="18" t="s">
        <v>10</v>
      </c>
      <c r="D120" s="12" t="s">
        <v>10</v>
      </c>
      <c r="E120" s="12">
        <f ca="1">OFFSET(E120,1,2)</f>
        <v>3000</v>
      </c>
      <c r="F120" s="15">
        <f ca="1">E120</f>
        <v>3000</v>
      </c>
      <c r="G120" s="15">
        <f t="shared" ca="1" si="55"/>
        <v>3000</v>
      </c>
      <c r="H120" s="12">
        <v>1</v>
      </c>
      <c r="I120" s="12" t="s">
        <v>13</v>
      </c>
      <c r="J120" s="12" t="s">
        <v>10</v>
      </c>
      <c r="K120" s="12" t="str">
        <f>K117</f>
        <v>2853_01_01_S1_EM01_01_M3</v>
      </c>
      <c r="L120">
        <v>3000</v>
      </c>
    </row>
    <row r="121" spans="1:12" ht="21" hidden="1" customHeight="1" x14ac:dyDescent="0.25">
      <c r="A121" s="12" t="str">
        <f t="shared" si="56"/>
        <v>ЩО-1бл.  (S1)</v>
      </c>
      <c r="B121" s="12" t="s">
        <v>11</v>
      </c>
      <c r="C121" s="18" t="s">
        <v>11</v>
      </c>
      <c r="D121" s="12" t="s">
        <v>11</v>
      </c>
      <c r="E121" s="12">
        <v>0.5</v>
      </c>
      <c r="F121" s="15">
        <v>100</v>
      </c>
      <c r="G121" s="15">
        <f t="shared" si="55"/>
        <v>3000</v>
      </c>
      <c r="H121" s="12">
        <f>60*E121</f>
        <v>30</v>
      </c>
      <c r="I121" s="12" t="s">
        <v>13</v>
      </c>
      <c r="J121" s="12" t="s">
        <v>11</v>
      </c>
      <c r="K121" s="12" t="str">
        <f t="shared" si="58"/>
        <v>2853_01_01_S1_EM01_01_M3</v>
      </c>
      <c r="L121">
        <v>3000</v>
      </c>
    </row>
    <row r="122" spans="1:12" ht="30" customHeight="1" x14ac:dyDescent="0.25">
      <c r="A122" s="12" t="str">
        <f t="shared" si="56"/>
        <v>ЩО-1бл.  (S1)</v>
      </c>
      <c r="B122" s="19"/>
      <c r="C122" s="20"/>
      <c r="D122" s="21"/>
      <c r="E122" s="23"/>
      <c r="F122" s="25"/>
      <c r="G122" s="24">
        <f ca="1">SUM(G116:G121)</f>
        <v>25053.200000000001</v>
      </c>
      <c r="H122" s="20"/>
      <c r="I122" s="22"/>
      <c r="J122" s="20"/>
      <c r="K122" s="12" t="str">
        <f t="shared" si="58"/>
        <v>2853_01_01_S1_EM01_01_M3</v>
      </c>
      <c r="L122">
        <v>25053.200000000001</v>
      </c>
    </row>
    <row r="123" spans="1:12" ht="39.75" customHeight="1" x14ac:dyDescent="0.25">
      <c r="A123" s="5" t="str">
        <f>D123</f>
        <v>ЩАО-1бл. (S1)</v>
      </c>
      <c r="B123" s="6"/>
      <c r="C123" s="7"/>
      <c r="D123" s="6" t="s">
        <v>255</v>
      </c>
      <c r="E123" s="8"/>
      <c r="F123" s="8" t="s">
        <v>40</v>
      </c>
      <c r="G123" s="9"/>
      <c r="H123" s="10">
        <v>1</v>
      </c>
      <c r="I123" s="11" t="s">
        <v>7</v>
      </c>
      <c r="J123" s="6" t="s">
        <v>9</v>
      </c>
      <c r="K123" s="5" t="s">
        <v>133</v>
      </c>
    </row>
    <row r="124" spans="1:12" ht="21" hidden="1" customHeight="1" x14ac:dyDescent="0.25">
      <c r="A124" s="12" t="str">
        <f>A123</f>
        <v>ЩАО-1бл. (S1)</v>
      </c>
      <c r="B124" s="13" t="s">
        <v>8</v>
      </c>
      <c r="C124" s="14" t="s">
        <v>239</v>
      </c>
      <c r="D124" s="12" t="s">
        <v>240</v>
      </c>
      <c r="E124" s="13">
        <v>8990</v>
      </c>
      <c r="F124" s="15">
        <f>E124*0.6</f>
        <v>5394</v>
      </c>
      <c r="G124" s="15">
        <f t="shared" ref="G124:G129" si="60">H124*F124</f>
        <v>5394</v>
      </c>
      <c r="H124" s="16">
        <v>1</v>
      </c>
      <c r="I124" s="17" t="s">
        <v>13</v>
      </c>
      <c r="J124" s="13" t="s">
        <v>244</v>
      </c>
      <c r="K124" s="12" t="str">
        <f>K123</f>
        <v>2853_01_01_S1_EM01_01_M3</v>
      </c>
      <c r="L124">
        <v>5394</v>
      </c>
    </row>
    <row r="125" spans="1:12" ht="21" hidden="1" customHeight="1" x14ac:dyDescent="0.25">
      <c r="A125" s="12" t="str">
        <f t="shared" ref="A125:A126" si="61">A124</f>
        <v>ЩАО-1бл. (S1)</v>
      </c>
      <c r="B125" s="13" t="s">
        <v>48</v>
      </c>
      <c r="C125" s="14" t="s">
        <v>49</v>
      </c>
      <c r="D125" s="12" t="s">
        <v>50</v>
      </c>
      <c r="E125" s="13">
        <v>3372</v>
      </c>
      <c r="F125" s="15">
        <f t="shared" ref="F125:F126" si="62">E125*0.6</f>
        <v>2023.1999999999998</v>
      </c>
      <c r="G125" s="15">
        <f t="shared" si="60"/>
        <v>2023.1999999999998</v>
      </c>
      <c r="H125" s="16">
        <v>1</v>
      </c>
      <c r="I125" s="17" t="s">
        <v>13</v>
      </c>
      <c r="J125" s="13" t="s">
        <v>17</v>
      </c>
      <c r="K125" s="12" t="str">
        <f t="shared" ref="K125:K126" si="63">K124</f>
        <v>2853_01_01_S1_EM01_01_M3</v>
      </c>
      <c r="L125">
        <v>2023.1999999999998</v>
      </c>
    </row>
    <row r="126" spans="1:12" ht="21" hidden="1" customHeight="1" x14ac:dyDescent="0.25">
      <c r="A126" s="12" t="str">
        <f t="shared" si="61"/>
        <v>ЩАО-1бл. (S1)</v>
      </c>
      <c r="B126" s="13" t="s">
        <v>12</v>
      </c>
      <c r="C126" s="14" t="s">
        <v>19</v>
      </c>
      <c r="D126" s="12" t="s">
        <v>20</v>
      </c>
      <c r="E126" s="13">
        <v>975</v>
      </c>
      <c r="F126" s="15">
        <f t="shared" si="62"/>
        <v>585</v>
      </c>
      <c r="G126" s="15">
        <f t="shared" si="60"/>
        <v>2925</v>
      </c>
      <c r="H126" s="16">
        <v>5</v>
      </c>
      <c r="I126" s="17" t="s">
        <v>13</v>
      </c>
      <c r="J126" s="13" t="s">
        <v>17</v>
      </c>
      <c r="K126" s="12" t="str">
        <f t="shared" si="63"/>
        <v>2853_01_01_S1_EM01_01_M3</v>
      </c>
      <c r="L126">
        <v>2925</v>
      </c>
    </row>
    <row r="127" spans="1:12" ht="22.5" hidden="1" customHeight="1" x14ac:dyDescent="0.25">
      <c r="A127" s="12" t="str">
        <f>A125</f>
        <v>ЩАО-1бл. (S1)</v>
      </c>
      <c r="B127" s="13" t="s">
        <v>143</v>
      </c>
      <c r="C127" s="12" t="s">
        <v>170</v>
      </c>
      <c r="D127" s="12" t="s">
        <v>351</v>
      </c>
      <c r="E127" s="13">
        <v>6500</v>
      </c>
      <c r="F127" s="15">
        <f t="shared" ref="F127" si="64">E127</f>
        <v>6500</v>
      </c>
      <c r="G127" s="15">
        <f t="shared" si="60"/>
        <v>6500</v>
      </c>
      <c r="H127" s="16">
        <v>1</v>
      </c>
      <c r="I127" s="17" t="s">
        <v>13</v>
      </c>
      <c r="J127" s="13" t="s">
        <v>24</v>
      </c>
      <c r="K127" s="12" t="str">
        <f>K125</f>
        <v>2853_01_01_S1_EM01_01_M3</v>
      </c>
      <c r="L127">
        <v>6500</v>
      </c>
    </row>
    <row r="128" spans="1:12" ht="24" hidden="1" customHeight="1" x14ac:dyDescent="0.25">
      <c r="A128" s="12" t="str">
        <f>A125</f>
        <v>ЩАО-1бл. (S1)</v>
      </c>
      <c r="B128" s="12" t="s">
        <v>10</v>
      </c>
      <c r="C128" s="18" t="s">
        <v>10</v>
      </c>
      <c r="D128" s="12" t="s">
        <v>10</v>
      </c>
      <c r="E128" s="12">
        <f ca="1">OFFSET(E128,1,2)</f>
        <v>3000</v>
      </c>
      <c r="F128" s="15">
        <f ca="1">E128</f>
        <v>3000</v>
      </c>
      <c r="G128" s="15">
        <f t="shared" ca="1" si="60"/>
        <v>3000</v>
      </c>
      <c r="H128" s="12">
        <v>1</v>
      </c>
      <c r="I128" s="12" t="s">
        <v>13</v>
      </c>
      <c r="J128" s="12" t="s">
        <v>10</v>
      </c>
      <c r="K128" s="12" t="str">
        <f>K125</f>
        <v>2853_01_01_S1_EM01_01_M3</v>
      </c>
      <c r="L128">
        <v>3000</v>
      </c>
    </row>
    <row r="129" spans="1:12" ht="21" hidden="1" customHeight="1" x14ac:dyDescent="0.25">
      <c r="A129" s="12" t="str">
        <f t="shared" ref="A129:A130" si="65">A128</f>
        <v>ЩАО-1бл. (S1)</v>
      </c>
      <c r="B129" s="12" t="s">
        <v>11</v>
      </c>
      <c r="C129" s="18" t="s">
        <v>11</v>
      </c>
      <c r="D129" s="12" t="s">
        <v>11</v>
      </c>
      <c r="E129" s="12">
        <v>0.5</v>
      </c>
      <c r="F129" s="15">
        <v>100</v>
      </c>
      <c r="G129" s="15">
        <f t="shared" si="60"/>
        <v>3000</v>
      </c>
      <c r="H129" s="12">
        <f>60*E129</f>
        <v>30</v>
      </c>
      <c r="I129" s="12" t="s">
        <v>13</v>
      </c>
      <c r="J129" s="12" t="s">
        <v>11</v>
      </c>
      <c r="K129" s="12" t="str">
        <f t="shared" ref="K129:K130" si="66">K128</f>
        <v>2853_01_01_S1_EM01_01_M3</v>
      </c>
      <c r="L129">
        <v>3000</v>
      </c>
    </row>
    <row r="130" spans="1:12" ht="30" customHeight="1" x14ac:dyDescent="0.25">
      <c r="A130" s="12" t="str">
        <f t="shared" si="65"/>
        <v>ЩАО-1бл. (S1)</v>
      </c>
      <c r="B130" s="19"/>
      <c r="C130" s="20"/>
      <c r="D130" s="21"/>
      <c r="E130" s="23"/>
      <c r="F130" s="25"/>
      <c r="G130" s="24">
        <f ca="1">SUM(G124:G129)</f>
        <v>22842.2</v>
      </c>
      <c r="H130" s="20"/>
      <c r="I130" s="22"/>
      <c r="J130" s="20"/>
      <c r="K130" s="12" t="str">
        <f t="shared" si="66"/>
        <v>2853_01_01_S1_EM01_01_M3</v>
      </c>
      <c r="L130">
        <v>22842.2</v>
      </c>
    </row>
    <row r="131" spans="1:12" ht="39.75" customHeight="1" x14ac:dyDescent="0.25">
      <c r="A131" s="5" t="str">
        <f>D131</f>
        <v>ЩСС-1бл. (S1)</v>
      </c>
      <c r="B131" s="6"/>
      <c r="C131" s="7"/>
      <c r="D131" s="6" t="s">
        <v>256</v>
      </c>
      <c r="E131" s="8"/>
      <c r="F131" s="8" t="s">
        <v>40</v>
      </c>
      <c r="G131" s="9"/>
      <c r="H131" s="10">
        <v>1</v>
      </c>
      <c r="I131" s="11" t="s">
        <v>7</v>
      </c>
      <c r="J131" s="6" t="s">
        <v>9</v>
      </c>
      <c r="K131" s="5" t="s">
        <v>133</v>
      </c>
    </row>
    <row r="132" spans="1:12" ht="21" hidden="1" customHeight="1" x14ac:dyDescent="0.25">
      <c r="A132" s="12" t="str">
        <f>A131</f>
        <v>ЩСС-1бл. (S1)</v>
      </c>
      <c r="B132" s="13" t="s">
        <v>8</v>
      </c>
      <c r="C132" s="14" t="s">
        <v>239</v>
      </c>
      <c r="D132" s="12" t="s">
        <v>240</v>
      </c>
      <c r="E132" s="13">
        <v>8990</v>
      </c>
      <c r="F132" s="15">
        <f>E132*0.6</f>
        <v>5394</v>
      </c>
      <c r="G132" s="15">
        <f t="shared" ref="G132:G137" si="67">H132*F132</f>
        <v>5394</v>
      </c>
      <c r="H132" s="16">
        <v>1</v>
      </c>
      <c r="I132" s="17" t="s">
        <v>13</v>
      </c>
      <c r="J132" s="13" t="s">
        <v>244</v>
      </c>
      <c r="K132" s="12" t="str">
        <f>K131</f>
        <v>2853_01_01_S1_EM01_01_M3</v>
      </c>
      <c r="L132">
        <v>5394</v>
      </c>
    </row>
    <row r="133" spans="1:12" ht="21" hidden="1" customHeight="1" x14ac:dyDescent="0.25">
      <c r="A133" s="12" t="str">
        <f t="shared" ref="A133" si="68">A132</f>
        <v>ЩСС-1бл. (S1)</v>
      </c>
      <c r="B133" s="13" t="s">
        <v>48</v>
      </c>
      <c r="C133" s="14" t="s">
        <v>49</v>
      </c>
      <c r="D133" s="12" t="s">
        <v>50</v>
      </c>
      <c r="E133" s="13">
        <v>3372</v>
      </c>
      <c r="F133" s="15">
        <f t="shared" ref="F133:F135" si="69">E133*0.6</f>
        <v>2023.1999999999998</v>
      </c>
      <c r="G133" s="15">
        <f t="shared" si="67"/>
        <v>2023.1999999999998</v>
      </c>
      <c r="H133" s="16">
        <v>1</v>
      </c>
      <c r="I133" s="17" t="s">
        <v>13</v>
      </c>
      <c r="J133" s="13" t="s">
        <v>17</v>
      </c>
      <c r="K133" s="12" t="str">
        <f t="shared" ref="K133" si="70">K132</f>
        <v>2853_01_01_S1_EM01_01_M3</v>
      </c>
      <c r="L133">
        <v>2023.1999999999998</v>
      </c>
    </row>
    <row r="134" spans="1:12" ht="21" hidden="1" customHeight="1" x14ac:dyDescent="0.25">
      <c r="A134" s="12" t="str">
        <f>A132</f>
        <v>ЩСС-1бл. (S1)</v>
      </c>
      <c r="B134" s="13" t="s">
        <v>21</v>
      </c>
      <c r="C134" s="14" t="s">
        <v>111</v>
      </c>
      <c r="D134" s="12" t="s">
        <v>112</v>
      </c>
      <c r="E134" s="13">
        <v>5719</v>
      </c>
      <c r="F134" s="15">
        <f t="shared" si="69"/>
        <v>3431.4</v>
      </c>
      <c r="G134" s="15">
        <f t="shared" si="67"/>
        <v>10294.200000000001</v>
      </c>
      <c r="H134" s="16">
        <v>3</v>
      </c>
      <c r="I134" s="17" t="s">
        <v>13</v>
      </c>
      <c r="J134" s="13" t="s">
        <v>17</v>
      </c>
      <c r="K134" s="12" t="str">
        <f>K132</f>
        <v>2853_01_01_S1_EM01_01_M3</v>
      </c>
      <c r="L134">
        <v>10294.200000000001</v>
      </c>
    </row>
    <row r="135" spans="1:12" ht="21" hidden="1" customHeight="1" x14ac:dyDescent="0.25">
      <c r="A135" s="12" t="str">
        <f>A133</f>
        <v>ЩСС-1бл. (S1)</v>
      </c>
      <c r="B135" s="13" t="s">
        <v>12</v>
      </c>
      <c r="C135" s="14" t="s">
        <v>46</v>
      </c>
      <c r="D135" s="12" t="s">
        <v>47</v>
      </c>
      <c r="E135" s="13">
        <v>783</v>
      </c>
      <c r="F135" s="15">
        <f t="shared" si="69"/>
        <v>469.79999999999995</v>
      </c>
      <c r="G135" s="15">
        <f t="shared" si="67"/>
        <v>469.79999999999995</v>
      </c>
      <c r="H135" s="16">
        <v>1</v>
      </c>
      <c r="I135" s="17" t="s">
        <v>13</v>
      </c>
      <c r="J135" s="13" t="s">
        <v>17</v>
      </c>
      <c r="K135" s="12" t="str">
        <f>K133</f>
        <v>2853_01_01_S1_EM01_01_M3</v>
      </c>
      <c r="L135">
        <v>469.79999999999995</v>
      </c>
    </row>
    <row r="136" spans="1:12" ht="24" hidden="1" customHeight="1" x14ac:dyDescent="0.25">
      <c r="A136" s="12" t="str">
        <f>A133</f>
        <v>ЩСС-1бл. (S1)</v>
      </c>
      <c r="B136" s="12" t="s">
        <v>10</v>
      </c>
      <c r="C136" s="18" t="s">
        <v>10</v>
      </c>
      <c r="D136" s="12" t="s">
        <v>10</v>
      </c>
      <c r="E136" s="12">
        <f ca="1">OFFSET(E136,1,2)</f>
        <v>3000</v>
      </c>
      <c r="F136" s="15">
        <f ca="1">E136</f>
        <v>3000</v>
      </c>
      <c r="G136" s="15">
        <f t="shared" ca="1" si="67"/>
        <v>3000</v>
      </c>
      <c r="H136" s="12">
        <v>1</v>
      </c>
      <c r="I136" s="12" t="s">
        <v>13</v>
      </c>
      <c r="J136" s="12" t="s">
        <v>10</v>
      </c>
      <c r="K136" s="12" t="str">
        <f>K133</f>
        <v>2853_01_01_S1_EM01_01_M3</v>
      </c>
      <c r="L136">
        <v>3000</v>
      </c>
    </row>
    <row r="137" spans="1:12" ht="21" hidden="1" customHeight="1" x14ac:dyDescent="0.25">
      <c r="A137" s="12" t="str">
        <f t="shared" ref="A137:A138" si="71">A136</f>
        <v>ЩСС-1бл. (S1)</v>
      </c>
      <c r="B137" s="12" t="s">
        <v>11</v>
      </c>
      <c r="C137" s="18" t="s">
        <v>11</v>
      </c>
      <c r="D137" s="12" t="s">
        <v>11</v>
      </c>
      <c r="E137" s="12">
        <v>0.5</v>
      </c>
      <c r="F137" s="15">
        <v>100</v>
      </c>
      <c r="G137" s="15">
        <f t="shared" si="67"/>
        <v>3000</v>
      </c>
      <c r="H137" s="12">
        <f>60*E137</f>
        <v>30</v>
      </c>
      <c r="I137" s="12" t="s">
        <v>13</v>
      </c>
      <c r="J137" s="12" t="s">
        <v>11</v>
      </c>
      <c r="K137" s="12" t="str">
        <f t="shared" ref="K137:K138" si="72">K136</f>
        <v>2853_01_01_S1_EM01_01_M3</v>
      </c>
      <c r="L137">
        <v>3000</v>
      </c>
    </row>
    <row r="138" spans="1:12" ht="30" customHeight="1" x14ac:dyDescent="0.25">
      <c r="A138" s="12" t="str">
        <f t="shared" si="71"/>
        <v>ЩСС-1бл. (S1)</v>
      </c>
      <c r="B138" s="19"/>
      <c r="C138" s="20"/>
      <c r="D138" s="21"/>
      <c r="E138" s="23"/>
      <c r="F138" s="25"/>
      <c r="G138" s="24">
        <f ca="1">SUM(G132:G137)</f>
        <v>24181.200000000001</v>
      </c>
      <c r="H138" s="20"/>
      <c r="I138" s="22"/>
      <c r="J138" s="20"/>
      <c r="K138" s="12" t="str">
        <f t="shared" si="72"/>
        <v>2853_01_01_S1_EM01_01_M3</v>
      </c>
      <c r="L138">
        <v>24181.200000000001</v>
      </c>
    </row>
    <row r="139" spans="1:12" ht="39.75" customHeight="1" x14ac:dyDescent="0.25">
      <c r="A139" s="5" t="str">
        <f>D139</f>
        <v>ЩС-1бл. (S1)</v>
      </c>
      <c r="B139" s="6"/>
      <c r="C139" s="7"/>
      <c r="D139" s="6" t="s">
        <v>257</v>
      </c>
      <c r="E139" s="8"/>
      <c r="F139" s="8" t="s">
        <v>40</v>
      </c>
      <c r="G139" s="9"/>
      <c r="H139" s="10">
        <v>1</v>
      </c>
      <c r="I139" s="11" t="s">
        <v>7</v>
      </c>
      <c r="J139" s="6" t="s">
        <v>9</v>
      </c>
      <c r="K139" s="5" t="s">
        <v>133</v>
      </c>
    </row>
    <row r="140" spans="1:12" ht="21" hidden="1" customHeight="1" x14ac:dyDescent="0.25">
      <c r="A140" s="12" t="str">
        <f>A139</f>
        <v>ЩС-1бл. (S1)</v>
      </c>
      <c r="B140" s="13" t="s">
        <v>8</v>
      </c>
      <c r="C140" s="14" t="s">
        <v>237</v>
      </c>
      <c r="D140" s="12" t="s">
        <v>238</v>
      </c>
      <c r="E140" s="13">
        <v>11700</v>
      </c>
      <c r="F140" s="15">
        <f>E140*0.6</f>
        <v>7020</v>
      </c>
      <c r="G140" s="15">
        <f t="shared" ref="G140:G148" si="73">H140*F140</f>
        <v>7020</v>
      </c>
      <c r="H140" s="16">
        <v>1</v>
      </c>
      <c r="I140" s="17" t="s">
        <v>13</v>
      </c>
      <c r="J140" s="13" t="s">
        <v>244</v>
      </c>
      <c r="K140" s="12" t="str">
        <f>K139</f>
        <v>2853_01_01_S1_EM01_01_M3</v>
      </c>
      <c r="L140">
        <v>7020</v>
      </c>
    </row>
    <row r="141" spans="1:12" ht="21" hidden="1" customHeight="1" x14ac:dyDescent="0.25">
      <c r="A141" s="12" t="str">
        <f t="shared" ref="A141" si="74">A140</f>
        <v>ЩС-1бл. (S1)</v>
      </c>
      <c r="B141" s="13" t="s">
        <v>48</v>
      </c>
      <c r="C141" s="14" t="s">
        <v>51</v>
      </c>
      <c r="D141" s="12" t="s">
        <v>52</v>
      </c>
      <c r="E141" s="13">
        <v>3372</v>
      </c>
      <c r="F141" s="15">
        <f t="shared" ref="F141:F146" si="75">E141*0.6</f>
        <v>2023.1999999999998</v>
      </c>
      <c r="G141" s="15">
        <f t="shared" si="73"/>
        <v>2023.1999999999998</v>
      </c>
      <c r="H141" s="16">
        <v>1</v>
      </c>
      <c r="I141" s="17" t="s">
        <v>13</v>
      </c>
      <c r="J141" s="13" t="s">
        <v>17</v>
      </c>
      <c r="K141" s="12" t="str">
        <f t="shared" ref="K141" si="76">K140</f>
        <v>2853_01_01_S1_EM01_01_M3</v>
      </c>
      <c r="L141">
        <v>2023.1999999999998</v>
      </c>
    </row>
    <row r="142" spans="1:12" ht="21" hidden="1" customHeight="1" x14ac:dyDescent="0.25">
      <c r="A142" s="12" t="str">
        <f>A140</f>
        <v>ЩС-1бл. (S1)</v>
      </c>
      <c r="B142" s="13" t="s">
        <v>21</v>
      </c>
      <c r="C142" s="14" t="s">
        <v>42</v>
      </c>
      <c r="D142" s="12" t="s">
        <v>43</v>
      </c>
      <c r="E142" s="13">
        <v>5104</v>
      </c>
      <c r="F142" s="15">
        <f t="shared" si="75"/>
        <v>3062.4</v>
      </c>
      <c r="G142" s="15">
        <f t="shared" si="73"/>
        <v>6124.8</v>
      </c>
      <c r="H142" s="16">
        <v>2</v>
      </c>
      <c r="I142" s="17" t="s">
        <v>13</v>
      </c>
      <c r="J142" s="13" t="s">
        <v>17</v>
      </c>
      <c r="K142" s="12" t="str">
        <f>K140</f>
        <v>2853_01_01_S1_EM01_01_M3</v>
      </c>
      <c r="L142">
        <v>6124.8</v>
      </c>
    </row>
    <row r="143" spans="1:12" ht="21" hidden="1" customHeight="1" x14ac:dyDescent="0.25">
      <c r="A143" s="12" t="str">
        <f t="shared" ref="A143" si="77">A142</f>
        <v>ЩС-1бл. (S1)</v>
      </c>
      <c r="B143" s="13" t="s">
        <v>12</v>
      </c>
      <c r="C143" s="14" t="s">
        <v>113</v>
      </c>
      <c r="D143" s="12" t="s">
        <v>114</v>
      </c>
      <c r="E143" s="13">
        <v>1130</v>
      </c>
      <c r="F143" s="15">
        <f t="shared" si="75"/>
        <v>678</v>
      </c>
      <c r="G143" s="15">
        <f t="shared" si="73"/>
        <v>1356</v>
      </c>
      <c r="H143" s="16">
        <v>2</v>
      </c>
      <c r="I143" s="17" t="s">
        <v>13</v>
      </c>
      <c r="J143" s="13" t="s">
        <v>17</v>
      </c>
      <c r="K143" s="12" t="str">
        <f>K140</f>
        <v>2853_01_01_S1_EM01_01_M3</v>
      </c>
      <c r="L143">
        <v>1356</v>
      </c>
    </row>
    <row r="144" spans="1:12" ht="21" hidden="1" customHeight="1" x14ac:dyDescent="0.25">
      <c r="A144" s="12" t="str">
        <f>A140</f>
        <v>ЩС-1бл. (S1)</v>
      </c>
      <c r="B144" s="13" t="s">
        <v>12</v>
      </c>
      <c r="C144" s="14" t="s">
        <v>36</v>
      </c>
      <c r="D144" s="12" t="s">
        <v>37</v>
      </c>
      <c r="E144" s="13">
        <v>783</v>
      </c>
      <c r="F144" s="15">
        <f t="shared" si="75"/>
        <v>469.79999999999995</v>
      </c>
      <c r="G144" s="15">
        <f t="shared" si="73"/>
        <v>469.79999999999995</v>
      </c>
      <c r="H144" s="16">
        <v>1</v>
      </c>
      <c r="I144" s="17" t="s">
        <v>13</v>
      </c>
      <c r="J144" s="13" t="s">
        <v>17</v>
      </c>
      <c r="K144" s="12" t="str">
        <f>K140</f>
        <v>2853_01_01_S1_EM01_01_M3</v>
      </c>
      <c r="L144">
        <v>469.79999999999995</v>
      </c>
    </row>
    <row r="145" spans="1:12" ht="21" hidden="1" customHeight="1" x14ac:dyDescent="0.25">
      <c r="A145" s="12" t="str">
        <f>A141</f>
        <v>ЩС-1бл. (S1)</v>
      </c>
      <c r="B145" s="13" t="s">
        <v>12</v>
      </c>
      <c r="C145" s="14" t="s">
        <v>46</v>
      </c>
      <c r="D145" s="12" t="s">
        <v>47</v>
      </c>
      <c r="E145" s="13">
        <v>783</v>
      </c>
      <c r="F145" s="15">
        <f t="shared" si="75"/>
        <v>469.79999999999995</v>
      </c>
      <c r="G145" s="15">
        <f t="shared" si="73"/>
        <v>469.79999999999995</v>
      </c>
      <c r="H145" s="16">
        <v>1</v>
      </c>
      <c r="I145" s="17" t="s">
        <v>13</v>
      </c>
      <c r="J145" s="13" t="s">
        <v>17</v>
      </c>
      <c r="K145" s="12" t="str">
        <f>K141</f>
        <v>2853_01_01_S1_EM01_01_M3</v>
      </c>
      <c r="L145">
        <v>469.79999999999995</v>
      </c>
    </row>
    <row r="146" spans="1:12" ht="21" hidden="1" customHeight="1" x14ac:dyDescent="0.25">
      <c r="A146" s="12" t="str">
        <f>A142</f>
        <v>ЩС-1бл. (S1)</v>
      </c>
      <c r="B146" s="13" t="s">
        <v>119</v>
      </c>
      <c r="C146" s="14" t="s">
        <v>115</v>
      </c>
      <c r="D146" s="12" t="s">
        <v>116</v>
      </c>
      <c r="E146" s="13">
        <v>5354</v>
      </c>
      <c r="F146" s="15">
        <f t="shared" si="75"/>
        <v>3212.4</v>
      </c>
      <c r="G146" s="15">
        <f t="shared" si="73"/>
        <v>3212.4</v>
      </c>
      <c r="H146" s="16">
        <v>1</v>
      </c>
      <c r="I146" s="17" t="s">
        <v>13</v>
      </c>
      <c r="J146" s="13" t="s">
        <v>17</v>
      </c>
      <c r="K146" s="12" t="str">
        <f>K142</f>
        <v>2853_01_01_S1_EM01_01_M3</v>
      </c>
      <c r="L146">
        <v>3212.4</v>
      </c>
    </row>
    <row r="147" spans="1:12" ht="24" hidden="1" customHeight="1" x14ac:dyDescent="0.25">
      <c r="A147" s="12" t="str">
        <f>A141</f>
        <v>ЩС-1бл. (S1)</v>
      </c>
      <c r="B147" s="12" t="s">
        <v>10</v>
      </c>
      <c r="C147" s="18" t="s">
        <v>10</v>
      </c>
      <c r="D147" s="12" t="s">
        <v>10</v>
      </c>
      <c r="E147" s="12">
        <f ca="1">OFFSET(E147,1,2)</f>
        <v>3000</v>
      </c>
      <c r="F147" s="15">
        <f ca="1">E147</f>
        <v>3000</v>
      </c>
      <c r="G147" s="15">
        <f t="shared" ca="1" si="73"/>
        <v>3000</v>
      </c>
      <c r="H147" s="12">
        <v>1</v>
      </c>
      <c r="I147" s="12" t="s">
        <v>13</v>
      </c>
      <c r="J147" s="12" t="s">
        <v>10</v>
      </c>
      <c r="K147" s="12" t="str">
        <f>K141</f>
        <v>2853_01_01_S1_EM01_01_M3</v>
      </c>
      <c r="L147">
        <v>3000</v>
      </c>
    </row>
    <row r="148" spans="1:12" ht="21" hidden="1" customHeight="1" x14ac:dyDescent="0.25">
      <c r="A148" s="12" t="str">
        <f t="shared" ref="A148:A149" si="78">A147</f>
        <v>ЩС-1бл. (S1)</v>
      </c>
      <c r="B148" s="12" t="s">
        <v>11</v>
      </c>
      <c r="C148" s="18" t="s">
        <v>11</v>
      </c>
      <c r="D148" s="12" t="s">
        <v>11</v>
      </c>
      <c r="E148" s="12">
        <v>0.5</v>
      </c>
      <c r="F148" s="15">
        <v>100</v>
      </c>
      <c r="G148" s="15">
        <f t="shared" si="73"/>
        <v>3000</v>
      </c>
      <c r="H148" s="12">
        <f>60*E148</f>
        <v>30</v>
      </c>
      <c r="I148" s="12" t="s">
        <v>13</v>
      </c>
      <c r="J148" s="12" t="s">
        <v>11</v>
      </c>
      <c r="K148" s="12" t="str">
        <f t="shared" ref="K148:K149" si="79">K147</f>
        <v>2853_01_01_S1_EM01_01_M3</v>
      </c>
      <c r="L148">
        <v>3000</v>
      </c>
    </row>
    <row r="149" spans="1:12" ht="30" customHeight="1" x14ac:dyDescent="0.25">
      <c r="A149" s="12" t="str">
        <f t="shared" si="78"/>
        <v>ЩС-1бл. (S1)</v>
      </c>
      <c r="B149" s="19"/>
      <c r="C149" s="20"/>
      <c r="D149" s="21"/>
      <c r="E149" s="23"/>
      <c r="F149" s="25"/>
      <c r="G149" s="24">
        <f ca="1">SUM(G140:G148)</f>
        <v>26676</v>
      </c>
      <c r="H149" s="20"/>
      <c r="I149" s="22"/>
      <c r="J149" s="20"/>
      <c r="K149" s="12" t="str">
        <f t="shared" si="79"/>
        <v>2853_01_01_S1_EM01_01_M3</v>
      </c>
      <c r="L149">
        <v>26676</v>
      </c>
    </row>
    <row r="150" spans="1:12" ht="39.75" customHeight="1" x14ac:dyDescent="0.25">
      <c r="A150" s="5" t="str">
        <f>D150</f>
        <v>ЩСд (S1)</v>
      </c>
      <c r="B150" s="6"/>
      <c r="C150" s="7"/>
      <c r="D150" s="6" t="s">
        <v>258</v>
      </c>
      <c r="E150" s="8"/>
      <c r="F150" s="8" t="s">
        <v>40</v>
      </c>
      <c r="G150" s="9"/>
      <c r="H150" s="10">
        <v>1</v>
      </c>
      <c r="I150" s="11" t="s">
        <v>7</v>
      </c>
      <c r="J150" s="6" t="s">
        <v>9</v>
      </c>
      <c r="K150" s="5" t="s">
        <v>133</v>
      </c>
    </row>
    <row r="151" spans="1:12" ht="21" hidden="1" customHeight="1" x14ac:dyDescent="0.25">
      <c r="A151" s="12" t="str">
        <f>A150</f>
        <v>ЩСд (S1)</v>
      </c>
      <c r="B151" s="13" t="s">
        <v>8</v>
      </c>
      <c r="C151" s="14" t="s">
        <v>237</v>
      </c>
      <c r="D151" s="12" t="s">
        <v>238</v>
      </c>
      <c r="E151" s="13">
        <v>11700</v>
      </c>
      <c r="F151" s="15">
        <f>E151*0.6</f>
        <v>7020</v>
      </c>
      <c r="G151" s="15">
        <f t="shared" ref="G151:G156" si="80">H151*F151</f>
        <v>7020</v>
      </c>
      <c r="H151" s="16">
        <v>1</v>
      </c>
      <c r="I151" s="17" t="s">
        <v>13</v>
      </c>
      <c r="J151" s="13" t="s">
        <v>244</v>
      </c>
      <c r="K151" s="12" t="str">
        <f>K150</f>
        <v>2853_01_01_S1_EM01_01_M3</v>
      </c>
      <c r="L151">
        <v>7020</v>
      </c>
    </row>
    <row r="152" spans="1:12" ht="21" hidden="1" customHeight="1" x14ac:dyDescent="0.25">
      <c r="A152" s="12" t="str">
        <f t="shared" ref="A152:A157" si="81">A151</f>
        <v>ЩСд (S1)</v>
      </c>
      <c r="B152" s="13" t="s">
        <v>48</v>
      </c>
      <c r="C152" s="14" t="s">
        <v>51</v>
      </c>
      <c r="D152" s="12" t="s">
        <v>52</v>
      </c>
      <c r="E152" s="13">
        <v>3372</v>
      </c>
      <c r="F152" s="15">
        <f t="shared" ref="F152:F154" si="82">E152*0.6</f>
        <v>2023.1999999999998</v>
      </c>
      <c r="G152" s="15">
        <f t="shared" si="80"/>
        <v>2023.1999999999998</v>
      </c>
      <c r="H152" s="16">
        <v>1</v>
      </c>
      <c r="I152" s="17" t="s">
        <v>13</v>
      </c>
      <c r="J152" s="13" t="s">
        <v>17</v>
      </c>
      <c r="K152" s="12" t="str">
        <f t="shared" ref="K152" si="83">K151</f>
        <v>2853_01_01_S1_EM01_01_M3</v>
      </c>
      <c r="L152">
        <v>2023.1999999999998</v>
      </c>
    </row>
    <row r="153" spans="1:12" ht="21" hidden="1" customHeight="1" x14ac:dyDescent="0.25">
      <c r="A153" s="12" t="str">
        <f t="shared" si="81"/>
        <v>ЩСд (S1)</v>
      </c>
      <c r="B153" s="13" t="s">
        <v>12</v>
      </c>
      <c r="C153" s="14" t="s">
        <v>117</v>
      </c>
      <c r="D153" s="12" t="s">
        <v>118</v>
      </c>
      <c r="E153" s="13">
        <v>3644</v>
      </c>
      <c r="F153" s="15">
        <f t="shared" si="82"/>
        <v>2186.4</v>
      </c>
      <c r="G153" s="15">
        <f t="shared" si="80"/>
        <v>10932</v>
      </c>
      <c r="H153" s="16">
        <v>5</v>
      </c>
      <c r="I153" s="17" t="s">
        <v>13</v>
      </c>
      <c r="J153" s="13" t="s">
        <v>17</v>
      </c>
      <c r="K153" s="12" t="str">
        <f>K138</f>
        <v>2853_01_01_S1_EM01_01_M3</v>
      </c>
      <c r="L153">
        <v>10932</v>
      </c>
    </row>
    <row r="154" spans="1:12" ht="21" hidden="1" customHeight="1" x14ac:dyDescent="0.25">
      <c r="A154" s="12" t="str">
        <f t="shared" si="81"/>
        <v>ЩСд (S1)</v>
      </c>
      <c r="B154" s="13" t="s">
        <v>12</v>
      </c>
      <c r="C154" s="14" t="s">
        <v>113</v>
      </c>
      <c r="D154" s="12" t="s">
        <v>114</v>
      </c>
      <c r="E154" s="13">
        <v>1130</v>
      </c>
      <c r="F154" s="15">
        <f t="shared" si="82"/>
        <v>678</v>
      </c>
      <c r="G154" s="15">
        <f t="shared" si="80"/>
        <v>4746</v>
      </c>
      <c r="H154" s="16">
        <v>7</v>
      </c>
      <c r="I154" s="17" t="s">
        <v>13</v>
      </c>
      <c r="J154" s="13" t="s">
        <v>17</v>
      </c>
      <c r="K154" s="12" t="str">
        <f>K151</f>
        <v>2853_01_01_S1_EM01_01_M3</v>
      </c>
      <c r="L154">
        <v>4746</v>
      </c>
    </row>
    <row r="155" spans="1:12" ht="24" hidden="1" customHeight="1" x14ac:dyDescent="0.25">
      <c r="A155" s="12" t="str">
        <f t="shared" si="81"/>
        <v>ЩСд (S1)</v>
      </c>
      <c r="B155" s="12" t="s">
        <v>10</v>
      </c>
      <c r="C155" s="18" t="s">
        <v>10</v>
      </c>
      <c r="D155" s="12" t="s">
        <v>10</v>
      </c>
      <c r="E155" s="12">
        <f ca="1">OFFSET(E155,1,2)</f>
        <v>4200</v>
      </c>
      <c r="F155" s="15">
        <f ca="1">E155</f>
        <v>4200</v>
      </c>
      <c r="G155" s="15">
        <f t="shared" ca="1" si="80"/>
        <v>4200</v>
      </c>
      <c r="H155" s="12">
        <v>1</v>
      </c>
      <c r="I155" s="12" t="s">
        <v>13</v>
      </c>
      <c r="J155" s="12" t="s">
        <v>10</v>
      </c>
      <c r="K155" s="12" t="str">
        <f>K152</f>
        <v>2853_01_01_S1_EM01_01_M3</v>
      </c>
      <c r="L155">
        <v>4200</v>
      </c>
    </row>
    <row r="156" spans="1:12" ht="21" hidden="1" customHeight="1" x14ac:dyDescent="0.25">
      <c r="A156" s="12" t="str">
        <f t="shared" si="81"/>
        <v>ЩСд (S1)</v>
      </c>
      <c r="B156" s="12" t="s">
        <v>11</v>
      </c>
      <c r="C156" s="18" t="s">
        <v>11</v>
      </c>
      <c r="D156" s="12" t="s">
        <v>11</v>
      </c>
      <c r="E156" s="12">
        <v>0.7</v>
      </c>
      <c r="F156" s="15">
        <v>100</v>
      </c>
      <c r="G156" s="15">
        <f t="shared" si="80"/>
        <v>4200</v>
      </c>
      <c r="H156" s="12">
        <f>60*E156</f>
        <v>42</v>
      </c>
      <c r="I156" s="12" t="s">
        <v>13</v>
      </c>
      <c r="J156" s="12" t="s">
        <v>11</v>
      </c>
      <c r="K156" s="12" t="str">
        <f t="shared" ref="K156:K157" si="84">K155</f>
        <v>2853_01_01_S1_EM01_01_M3</v>
      </c>
      <c r="L156">
        <v>4200</v>
      </c>
    </row>
    <row r="157" spans="1:12" ht="30" customHeight="1" x14ac:dyDescent="0.25">
      <c r="A157" s="12" t="str">
        <f t="shared" si="81"/>
        <v>ЩСд (S1)</v>
      </c>
      <c r="B157" s="19"/>
      <c r="C157" s="20"/>
      <c r="D157" s="21"/>
      <c r="E157" s="23"/>
      <c r="F157" s="25"/>
      <c r="G157" s="24">
        <f ca="1">SUM(G151:G156)</f>
        <v>33121.199999999997</v>
      </c>
      <c r="H157" s="20"/>
      <c r="I157" s="22"/>
      <c r="J157" s="20"/>
      <c r="K157" s="12" t="str">
        <f t="shared" si="84"/>
        <v>2853_01_01_S1_EM01_01_M3</v>
      </c>
      <c r="L157">
        <v>33121.199999999997</v>
      </c>
    </row>
    <row r="158" spans="1:12" ht="39.75" customHeight="1" x14ac:dyDescent="0.25">
      <c r="A158" s="5" t="str">
        <f>D158</f>
        <v>ЩР-М (S1)</v>
      </c>
      <c r="B158" s="6"/>
      <c r="C158" s="7"/>
      <c r="D158" s="6" t="s">
        <v>259</v>
      </c>
      <c r="E158" s="8"/>
      <c r="F158" s="8" t="s">
        <v>40</v>
      </c>
      <c r="G158" s="9"/>
      <c r="H158" s="10">
        <v>1</v>
      </c>
      <c r="I158" s="11" t="s">
        <v>7</v>
      </c>
      <c r="J158" s="6" t="s">
        <v>9</v>
      </c>
      <c r="K158" s="5" t="s">
        <v>133</v>
      </c>
    </row>
    <row r="159" spans="1:12" ht="21" hidden="1" customHeight="1" x14ac:dyDescent="0.25">
      <c r="A159" s="12" t="str">
        <f>A158</f>
        <v>ЩР-М (S1)</v>
      </c>
      <c r="B159" s="13" t="s">
        <v>8</v>
      </c>
      <c r="C159" s="14" t="s">
        <v>237</v>
      </c>
      <c r="D159" s="12" t="s">
        <v>238</v>
      </c>
      <c r="E159" s="13">
        <v>11700</v>
      </c>
      <c r="F159" s="15">
        <f>E159*0.6</f>
        <v>7020</v>
      </c>
      <c r="G159" s="15">
        <f t="shared" ref="G159:G165" si="85">H159*F159</f>
        <v>7020</v>
      </c>
      <c r="H159" s="16">
        <v>1</v>
      </c>
      <c r="I159" s="17" t="s">
        <v>13</v>
      </c>
      <c r="J159" s="13" t="s">
        <v>244</v>
      </c>
      <c r="K159" s="12" t="str">
        <f>K158</f>
        <v>2853_01_01_S1_EM01_01_M3</v>
      </c>
      <c r="L159">
        <v>7020</v>
      </c>
    </row>
    <row r="160" spans="1:12" ht="21" hidden="1" customHeight="1" x14ac:dyDescent="0.25">
      <c r="A160" s="12" t="str">
        <f t="shared" ref="A160" si="86">A159</f>
        <v>ЩР-М (S1)</v>
      </c>
      <c r="B160" s="13" t="s">
        <v>48</v>
      </c>
      <c r="C160" s="14" t="s">
        <v>49</v>
      </c>
      <c r="D160" s="12" t="s">
        <v>50</v>
      </c>
      <c r="E160" s="13">
        <v>3372</v>
      </c>
      <c r="F160" s="15">
        <f t="shared" ref="F160:F163" si="87">E160*0.6</f>
        <v>2023.1999999999998</v>
      </c>
      <c r="G160" s="15">
        <f t="shared" si="85"/>
        <v>2023.1999999999998</v>
      </c>
      <c r="H160" s="16">
        <v>1</v>
      </c>
      <c r="I160" s="17" t="s">
        <v>13</v>
      </c>
      <c r="J160" s="13" t="s">
        <v>17</v>
      </c>
      <c r="K160" s="12" t="str">
        <f t="shared" ref="K160" si="88">K159</f>
        <v>2853_01_01_S1_EM01_01_M3</v>
      </c>
      <c r="L160">
        <v>2023.1999999999998</v>
      </c>
    </row>
    <row r="161" spans="1:12" ht="21" hidden="1" customHeight="1" x14ac:dyDescent="0.25">
      <c r="A161" s="12" t="str">
        <f>A159</f>
        <v>ЩР-М (S1)</v>
      </c>
      <c r="B161" s="13" t="s">
        <v>21</v>
      </c>
      <c r="C161" s="14" t="s">
        <v>42</v>
      </c>
      <c r="D161" s="12" t="s">
        <v>43</v>
      </c>
      <c r="E161" s="13">
        <v>5104</v>
      </c>
      <c r="F161" s="15">
        <f t="shared" si="87"/>
        <v>3062.4</v>
      </c>
      <c r="G161" s="15">
        <f t="shared" si="85"/>
        <v>6124.8</v>
      </c>
      <c r="H161" s="16">
        <v>2</v>
      </c>
      <c r="I161" s="17" t="s">
        <v>13</v>
      </c>
      <c r="J161" s="13" t="s">
        <v>17</v>
      </c>
      <c r="K161" s="12" t="str">
        <f>K159</f>
        <v>2853_01_01_S1_EM01_01_M3</v>
      </c>
      <c r="L161">
        <v>6124.8</v>
      </c>
    </row>
    <row r="162" spans="1:12" ht="21" hidden="1" customHeight="1" x14ac:dyDescent="0.25">
      <c r="A162" s="12" t="str">
        <f>A160</f>
        <v>ЩР-М (S1)</v>
      </c>
      <c r="B162" s="13" t="s">
        <v>12</v>
      </c>
      <c r="C162" s="14" t="s">
        <v>46</v>
      </c>
      <c r="D162" s="12" t="s">
        <v>47</v>
      </c>
      <c r="E162" s="13">
        <v>783</v>
      </c>
      <c r="F162" s="15">
        <f t="shared" si="87"/>
        <v>469.79999999999995</v>
      </c>
      <c r="G162" s="15">
        <f t="shared" si="85"/>
        <v>1409.3999999999999</v>
      </c>
      <c r="H162" s="16">
        <v>3</v>
      </c>
      <c r="I162" s="17" t="s">
        <v>13</v>
      </c>
      <c r="J162" s="13" t="s">
        <v>17</v>
      </c>
      <c r="K162" s="12" t="str">
        <f>K160</f>
        <v>2853_01_01_S1_EM01_01_M3</v>
      </c>
      <c r="L162">
        <v>1409.3999999999999</v>
      </c>
    </row>
    <row r="163" spans="1:12" ht="21" hidden="1" customHeight="1" x14ac:dyDescent="0.25">
      <c r="A163" s="12" t="str">
        <f>A159</f>
        <v>ЩР-М (S1)</v>
      </c>
      <c r="B163" s="13" t="s">
        <v>119</v>
      </c>
      <c r="C163" s="14" t="s">
        <v>115</v>
      </c>
      <c r="D163" s="12" t="s">
        <v>116</v>
      </c>
      <c r="E163" s="13">
        <v>5354</v>
      </c>
      <c r="F163" s="15">
        <f t="shared" si="87"/>
        <v>3212.4</v>
      </c>
      <c r="G163" s="15">
        <f t="shared" si="85"/>
        <v>3212.4</v>
      </c>
      <c r="H163" s="16">
        <v>1</v>
      </c>
      <c r="I163" s="17" t="s">
        <v>13</v>
      </c>
      <c r="J163" s="13" t="s">
        <v>17</v>
      </c>
      <c r="K163" s="12" t="str">
        <f>K159</f>
        <v>2853_01_01_S1_EM01_01_M3</v>
      </c>
      <c r="L163">
        <v>3212.4</v>
      </c>
    </row>
    <row r="164" spans="1:12" ht="24" hidden="1" customHeight="1" x14ac:dyDescent="0.25">
      <c r="A164" s="12" t="str">
        <f>A162</f>
        <v>ЩР-М (S1)</v>
      </c>
      <c r="B164" s="12" t="s">
        <v>10</v>
      </c>
      <c r="C164" s="18" t="s">
        <v>10</v>
      </c>
      <c r="D164" s="12" t="s">
        <v>10</v>
      </c>
      <c r="E164" s="12">
        <f ca="1">OFFSET(E164,1,2)</f>
        <v>4200</v>
      </c>
      <c r="F164" s="15">
        <f ca="1">E164</f>
        <v>4200</v>
      </c>
      <c r="G164" s="15">
        <f t="shared" ca="1" si="85"/>
        <v>4200</v>
      </c>
      <c r="H164" s="12">
        <v>1</v>
      </c>
      <c r="I164" s="12" t="s">
        <v>13</v>
      </c>
      <c r="J164" s="12" t="s">
        <v>10</v>
      </c>
      <c r="K164" s="12" t="str">
        <f>K160</f>
        <v>2853_01_01_S1_EM01_01_M3</v>
      </c>
      <c r="L164">
        <v>4200</v>
      </c>
    </row>
    <row r="165" spans="1:12" ht="21" hidden="1" customHeight="1" x14ac:dyDescent="0.25">
      <c r="A165" s="12" t="str">
        <f t="shared" ref="A165:A166" si="89">A164</f>
        <v>ЩР-М (S1)</v>
      </c>
      <c r="B165" s="12" t="s">
        <v>11</v>
      </c>
      <c r="C165" s="18" t="s">
        <v>11</v>
      </c>
      <c r="D165" s="12" t="s">
        <v>11</v>
      </c>
      <c r="E165" s="12">
        <v>0.7</v>
      </c>
      <c r="F165" s="15">
        <v>100</v>
      </c>
      <c r="G165" s="15">
        <f t="shared" si="85"/>
        <v>4200</v>
      </c>
      <c r="H165" s="12">
        <f>60*E165</f>
        <v>42</v>
      </c>
      <c r="I165" s="12" t="s">
        <v>13</v>
      </c>
      <c r="J165" s="12" t="s">
        <v>11</v>
      </c>
      <c r="K165" s="12" t="str">
        <f t="shared" ref="K165:K166" si="90">K164</f>
        <v>2853_01_01_S1_EM01_01_M3</v>
      </c>
      <c r="L165">
        <v>4200</v>
      </c>
    </row>
    <row r="166" spans="1:12" ht="30" customHeight="1" x14ac:dyDescent="0.25">
      <c r="A166" s="12" t="str">
        <f t="shared" si="89"/>
        <v>ЩР-М (S1)</v>
      </c>
      <c r="B166" s="19"/>
      <c r="C166" s="20"/>
      <c r="D166" s="21"/>
      <c r="E166" s="23"/>
      <c r="F166" s="25"/>
      <c r="G166" s="24">
        <f ca="1">SUM(G159:G165)</f>
        <v>28189.800000000003</v>
      </c>
      <c r="H166" s="20"/>
      <c r="I166" s="22"/>
      <c r="J166" s="20"/>
      <c r="K166" s="12" t="str">
        <f t="shared" si="90"/>
        <v>2853_01_01_S1_EM01_01_M3</v>
      </c>
      <c r="L166">
        <v>28189.800000000003</v>
      </c>
    </row>
    <row r="167" spans="1:12" ht="39.75" customHeight="1" x14ac:dyDescent="0.25">
      <c r="A167" s="5" t="str">
        <f>D167</f>
        <v>ЩР-1.1 (S1)</v>
      </c>
      <c r="B167" s="6"/>
      <c r="C167" s="7"/>
      <c r="D167" s="6" t="s">
        <v>260</v>
      </c>
      <c r="E167" s="8"/>
      <c r="F167" s="8" t="s">
        <v>40</v>
      </c>
      <c r="G167" s="9"/>
      <c r="H167" s="10">
        <v>1</v>
      </c>
      <c r="I167" s="11" t="s">
        <v>7</v>
      </c>
      <c r="J167" s="6" t="s">
        <v>9</v>
      </c>
      <c r="K167" s="5" t="s">
        <v>133</v>
      </c>
    </row>
    <row r="168" spans="1:12" ht="21" hidden="1" customHeight="1" x14ac:dyDescent="0.25">
      <c r="A168" s="12" t="str">
        <f>A167</f>
        <v>ЩР-1.1 (S1)</v>
      </c>
      <c r="B168" s="13" t="s">
        <v>8</v>
      </c>
      <c r="C168" s="14" t="s">
        <v>345</v>
      </c>
      <c r="D168" s="12" t="s">
        <v>346</v>
      </c>
      <c r="E168" s="13">
        <v>10620</v>
      </c>
      <c r="F168" s="15">
        <f t="shared" ref="F168:F169" si="91">E168*0.6</f>
        <v>6372</v>
      </c>
      <c r="G168" s="15">
        <f t="shared" ref="G168:G171" si="92">H168*F168</f>
        <v>6372</v>
      </c>
      <c r="H168" s="16">
        <v>1</v>
      </c>
      <c r="I168" s="17" t="s">
        <v>13</v>
      </c>
      <c r="J168" s="13" t="s">
        <v>16</v>
      </c>
      <c r="K168" s="12" t="str">
        <f>K167</f>
        <v>2853_01_01_S1_EM01_01_M3</v>
      </c>
      <c r="L168">
        <v>6372</v>
      </c>
    </row>
    <row r="169" spans="1:12" ht="21" hidden="1" customHeight="1" x14ac:dyDescent="0.25">
      <c r="A169" s="12" t="str">
        <f t="shared" ref="A169:A172" si="93">A168</f>
        <v>ЩР-1.1 (S1)</v>
      </c>
      <c r="B169" s="13" t="s">
        <v>48</v>
      </c>
      <c r="C169" s="14" t="s">
        <v>51</v>
      </c>
      <c r="D169" s="12" t="s">
        <v>52</v>
      </c>
      <c r="E169" s="13">
        <v>3372</v>
      </c>
      <c r="F169" s="15">
        <f t="shared" si="91"/>
        <v>2023.1999999999998</v>
      </c>
      <c r="G169" s="15">
        <f t="shared" si="92"/>
        <v>2023.1999999999998</v>
      </c>
      <c r="H169" s="16">
        <v>1</v>
      </c>
      <c r="I169" s="17" t="s">
        <v>13</v>
      </c>
      <c r="J169" s="13" t="s">
        <v>17</v>
      </c>
      <c r="K169" s="12" t="str">
        <f t="shared" ref="K169" si="94">K168</f>
        <v>2853_01_01_S1_EM01_01_M3</v>
      </c>
      <c r="L169">
        <v>2023.1999999999998</v>
      </c>
    </row>
    <row r="170" spans="1:12" ht="24" hidden="1" customHeight="1" x14ac:dyDescent="0.25">
      <c r="A170" s="12" t="str">
        <f t="shared" si="93"/>
        <v>ЩР-1.1 (S1)</v>
      </c>
      <c r="B170" s="12" t="s">
        <v>10</v>
      </c>
      <c r="C170" s="18" t="s">
        <v>10</v>
      </c>
      <c r="D170" s="12" t="s">
        <v>10</v>
      </c>
      <c r="E170" s="12">
        <f ca="1">OFFSET(E170,1,2)</f>
        <v>60</v>
      </c>
      <c r="F170" s="15">
        <f ca="1">E170</f>
        <v>60</v>
      </c>
      <c r="G170" s="15">
        <f t="shared" ca="1" si="92"/>
        <v>60</v>
      </c>
      <c r="H170" s="12">
        <v>1</v>
      </c>
      <c r="I170" s="12" t="s">
        <v>13</v>
      </c>
      <c r="J170" s="12" t="s">
        <v>10</v>
      </c>
      <c r="K170" s="12" t="str">
        <f>K169</f>
        <v>2853_01_01_S1_EM01_01_M3</v>
      </c>
      <c r="L170">
        <v>60</v>
      </c>
    </row>
    <row r="171" spans="1:12" ht="21" hidden="1" customHeight="1" x14ac:dyDescent="0.25">
      <c r="A171" s="12" t="str">
        <f t="shared" si="93"/>
        <v>ЩР-1.1 (S1)</v>
      </c>
      <c r="B171" s="12" t="s">
        <v>11</v>
      </c>
      <c r="C171" s="18" t="s">
        <v>11</v>
      </c>
      <c r="D171" s="12" t="s">
        <v>11</v>
      </c>
      <c r="E171" s="12">
        <v>0.01</v>
      </c>
      <c r="F171" s="15">
        <v>100</v>
      </c>
      <c r="G171" s="15">
        <f t="shared" si="92"/>
        <v>60</v>
      </c>
      <c r="H171" s="12">
        <f>60*E171</f>
        <v>0.6</v>
      </c>
      <c r="I171" s="12" t="s">
        <v>13</v>
      </c>
      <c r="J171" s="12" t="s">
        <v>11</v>
      </c>
      <c r="K171" s="12" t="str">
        <f t="shared" ref="K171:K172" si="95">K170</f>
        <v>2853_01_01_S1_EM01_01_M3</v>
      </c>
      <c r="L171">
        <v>60</v>
      </c>
    </row>
    <row r="172" spans="1:12" ht="30" customHeight="1" x14ac:dyDescent="0.25">
      <c r="A172" s="12" t="str">
        <f t="shared" si="93"/>
        <v>ЩР-1.1 (S1)</v>
      </c>
      <c r="B172" s="19"/>
      <c r="C172" s="20"/>
      <c r="D172" s="21"/>
      <c r="E172" s="23"/>
      <c r="F172" s="25"/>
      <c r="G172" s="24">
        <f ca="1">SUM(G168:G171)</f>
        <v>8515.2000000000007</v>
      </c>
      <c r="H172" s="20"/>
      <c r="I172" s="22"/>
      <c r="J172" s="20"/>
      <c r="K172" s="12" t="str">
        <f t="shared" si="95"/>
        <v>2853_01_01_S1_EM01_01_M3</v>
      </c>
      <c r="L172">
        <v>8515.2000000000007</v>
      </c>
    </row>
    <row r="173" spans="1:12" ht="39.75" customHeight="1" x14ac:dyDescent="0.25">
      <c r="A173" s="5" t="str">
        <f>D173</f>
        <v>ЩР-1.2 (S1)</v>
      </c>
      <c r="B173" s="6"/>
      <c r="C173" s="7"/>
      <c r="D173" s="6" t="s">
        <v>261</v>
      </c>
      <c r="E173" s="8"/>
      <c r="F173" s="8" t="s">
        <v>40</v>
      </c>
      <c r="G173" s="9"/>
      <c r="H173" s="10">
        <v>1</v>
      </c>
      <c r="I173" s="11" t="s">
        <v>7</v>
      </c>
      <c r="J173" s="6" t="s">
        <v>9</v>
      </c>
      <c r="K173" s="5" t="s">
        <v>133</v>
      </c>
    </row>
    <row r="174" spans="1:12" ht="21" hidden="1" customHeight="1" x14ac:dyDescent="0.25">
      <c r="A174" s="12" t="str">
        <f>A173</f>
        <v>ЩР-1.2 (S1)</v>
      </c>
      <c r="B174" s="13" t="s">
        <v>8</v>
      </c>
      <c r="C174" s="14" t="s">
        <v>345</v>
      </c>
      <c r="D174" s="12" t="s">
        <v>346</v>
      </c>
      <c r="E174" s="13">
        <v>10620</v>
      </c>
      <c r="F174" s="15">
        <f t="shared" ref="F174:F175" si="96">E174*0.6</f>
        <v>6372</v>
      </c>
      <c r="G174" s="15">
        <f t="shared" ref="G174:G177" si="97">H174*F174</f>
        <v>6372</v>
      </c>
      <c r="H174" s="16">
        <v>1</v>
      </c>
      <c r="I174" s="17" t="s">
        <v>13</v>
      </c>
      <c r="J174" s="13" t="s">
        <v>16</v>
      </c>
      <c r="K174" s="12" t="str">
        <f>K173</f>
        <v>2853_01_01_S1_EM01_01_M3</v>
      </c>
      <c r="L174">
        <v>6372</v>
      </c>
    </row>
    <row r="175" spans="1:12" ht="21" hidden="1" customHeight="1" x14ac:dyDescent="0.25">
      <c r="A175" s="12" t="str">
        <f t="shared" ref="A175:A178" si="98">A174</f>
        <v>ЩР-1.2 (S1)</v>
      </c>
      <c r="B175" s="13" t="s">
        <v>48</v>
      </c>
      <c r="C175" s="14" t="s">
        <v>63</v>
      </c>
      <c r="D175" s="12" t="s">
        <v>64</v>
      </c>
      <c r="E175" s="13">
        <v>4217</v>
      </c>
      <c r="F175" s="15">
        <f t="shared" si="96"/>
        <v>2530.1999999999998</v>
      </c>
      <c r="G175" s="15">
        <f t="shared" si="97"/>
        <v>2530.1999999999998</v>
      </c>
      <c r="H175" s="16">
        <v>1</v>
      </c>
      <c r="I175" s="17" t="s">
        <v>13</v>
      </c>
      <c r="J175" s="13" t="s">
        <v>17</v>
      </c>
      <c r="K175" s="12" t="str">
        <f t="shared" ref="K175" si="99">K174</f>
        <v>2853_01_01_S1_EM01_01_M3</v>
      </c>
      <c r="L175">
        <v>2530.1999999999998</v>
      </c>
    </row>
    <row r="176" spans="1:12" ht="24" hidden="1" customHeight="1" x14ac:dyDescent="0.25">
      <c r="A176" s="12" t="str">
        <f t="shared" si="98"/>
        <v>ЩР-1.2 (S1)</v>
      </c>
      <c r="B176" s="12" t="s">
        <v>10</v>
      </c>
      <c r="C176" s="18" t="s">
        <v>10</v>
      </c>
      <c r="D176" s="12" t="s">
        <v>10</v>
      </c>
      <c r="E176" s="12">
        <f ca="1">OFFSET(E176,1,2)</f>
        <v>60</v>
      </c>
      <c r="F176" s="15">
        <f ca="1">E176</f>
        <v>60</v>
      </c>
      <c r="G176" s="15">
        <f t="shared" ca="1" si="97"/>
        <v>60</v>
      </c>
      <c r="H176" s="12">
        <v>1</v>
      </c>
      <c r="I176" s="12" t="s">
        <v>13</v>
      </c>
      <c r="J176" s="12" t="s">
        <v>10</v>
      </c>
      <c r="K176" s="12" t="str">
        <f>K175</f>
        <v>2853_01_01_S1_EM01_01_M3</v>
      </c>
      <c r="L176">
        <v>60</v>
      </c>
    </row>
    <row r="177" spans="1:12" ht="21" hidden="1" customHeight="1" x14ac:dyDescent="0.25">
      <c r="A177" s="12" t="str">
        <f t="shared" si="98"/>
        <v>ЩР-1.2 (S1)</v>
      </c>
      <c r="B177" s="12" t="s">
        <v>11</v>
      </c>
      <c r="C177" s="18" t="s">
        <v>11</v>
      </c>
      <c r="D177" s="12" t="s">
        <v>11</v>
      </c>
      <c r="E177" s="12">
        <v>0.01</v>
      </c>
      <c r="F177" s="15">
        <v>100</v>
      </c>
      <c r="G177" s="15">
        <f t="shared" si="97"/>
        <v>60</v>
      </c>
      <c r="H177" s="12">
        <f>60*E177</f>
        <v>0.6</v>
      </c>
      <c r="I177" s="12" t="s">
        <v>13</v>
      </c>
      <c r="J177" s="12" t="s">
        <v>11</v>
      </c>
      <c r="K177" s="12" t="str">
        <f t="shared" ref="K177:K178" si="100">K176</f>
        <v>2853_01_01_S1_EM01_01_M3</v>
      </c>
      <c r="L177">
        <v>60</v>
      </c>
    </row>
    <row r="178" spans="1:12" ht="30" customHeight="1" x14ac:dyDescent="0.25">
      <c r="A178" s="12" t="str">
        <f t="shared" si="98"/>
        <v>ЩР-1.2 (S1)</v>
      </c>
      <c r="B178" s="19"/>
      <c r="C178" s="20"/>
      <c r="D178" s="21"/>
      <c r="E178" s="23"/>
      <c r="F178" s="25"/>
      <c r="G178" s="24">
        <f ca="1">SUM(G174:G177)</f>
        <v>9022.2000000000007</v>
      </c>
      <c r="H178" s="20"/>
      <c r="I178" s="22"/>
      <c r="J178" s="20"/>
      <c r="K178" s="12" t="str">
        <f t="shared" si="100"/>
        <v>2853_01_01_S1_EM01_01_M3</v>
      </c>
      <c r="L178">
        <v>9022.2000000000007</v>
      </c>
    </row>
    <row r="179" spans="1:12" ht="39.75" customHeight="1" x14ac:dyDescent="0.25">
      <c r="A179" s="5" t="str">
        <f>D179</f>
        <v>ЩР-М (S1)</v>
      </c>
      <c r="B179" s="6"/>
      <c r="C179" s="7"/>
      <c r="D179" s="6" t="s">
        <v>259</v>
      </c>
      <c r="E179" s="8"/>
      <c r="F179" s="8" t="s">
        <v>40</v>
      </c>
      <c r="G179" s="9"/>
      <c r="H179" s="10">
        <v>1</v>
      </c>
      <c r="I179" s="11" t="s">
        <v>7</v>
      </c>
      <c r="J179" s="6" t="s">
        <v>9</v>
      </c>
      <c r="K179" s="5" t="s">
        <v>133</v>
      </c>
    </row>
    <row r="180" spans="1:12" ht="21" hidden="1" customHeight="1" x14ac:dyDescent="0.25">
      <c r="A180" s="12" t="str">
        <f>A179</f>
        <v>ЩР-М (S1)</v>
      </c>
      <c r="B180" s="13" t="s">
        <v>8</v>
      </c>
      <c r="C180" s="14" t="s">
        <v>345</v>
      </c>
      <c r="D180" s="12" t="s">
        <v>346</v>
      </c>
      <c r="E180" s="13">
        <v>10620</v>
      </c>
      <c r="F180" s="15">
        <f t="shared" ref="F180:F181" si="101">E180*0.6</f>
        <v>6372</v>
      </c>
      <c r="G180" s="15">
        <f t="shared" ref="G180:G183" si="102">H180*F180</f>
        <v>6372</v>
      </c>
      <c r="H180" s="16">
        <v>1</v>
      </c>
      <c r="I180" s="17" t="s">
        <v>13</v>
      </c>
      <c r="J180" s="13" t="s">
        <v>16</v>
      </c>
      <c r="K180" s="12" t="str">
        <f>K179</f>
        <v>2853_01_01_S1_EM01_01_M3</v>
      </c>
      <c r="L180">
        <v>6372</v>
      </c>
    </row>
    <row r="181" spans="1:12" ht="21" hidden="1" customHeight="1" x14ac:dyDescent="0.25">
      <c r="A181" s="12" t="str">
        <f t="shared" ref="A181:A184" si="103">A180</f>
        <v>ЩР-М (S1)</v>
      </c>
      <c r="B181" s="13" t="s">
        <v>48</v>
      </c>
      <c r="C181" s="14" t="s">
        <v>69</v>
      </c>
      <c r="D181" s="12" t="s">
        <v>70</v>
      </c>
      <c r="E181" s="13">
        <v>3372</v>
      </c>
      <c r="F181" s="15">
        <f t="shared" si="101"/>
        <v>2023.1999999999998</v>
      </c>
      <c r="G181" s="15">
        <f t="shared" si="102"/>
        <v>2023.1999999999998</v>
      </c>
      <c r="H181" s="16">
        <v>1</v>
      </c>
      <c r="I181" s="17" t="s">
        <v>13</v>
      </c>
      <c r="J181" s="13" t="s">
        <v>17</v>
      </c>
      <c r="K181" s="12" t="str">
        <f t="shared" ref="K181" si="104">K180</f>
        <v>2853_01_01_S1_EM01_01_M3</v>
      </c>
      <c r="L181">
        <v>2023.1999999999998</v>
      </c>
    </row>
    <row r="182" spans="1:12" ht="24" hidden="1" customHeight="1" x14ac:dyDescent="0.25">
      <c r="A182" s="12" t="str">
        <f t="shared" si="103"/>
        <v>ЩР-М (S1)</v>
      </c>
      <c r="B182" s="12" t="s">
        <v>10</v>
      </c>
      <c r="C182" s="18" t="s">
        <v>10</v>
      </c>
      <c r="D182" s="12" t="s">
        <v>10</v>
      </c>
      <c r="E182" s="12">
        <f ca="1">OFFSET(E182,1,2)</f>
        <v>60</v>
      </c>
      <c r="F182" s="15">
        <f ca="1">E182</f>
        <v>60</v>
      </c>
      <c r="G182" s="15">
        <f t="shared" ca="1" si="102"/>
        <v>60</v>
      </c>
      <c r="H182" s="12">
        <v>1</v>
      </c>
      <c r="I182" s="12" t="s">
        <v>13</v>
      </c>
      <c r="J182" s="12" t="s">
        <v>10</v>
      </c>
      <c r="K182" s="12" t="str">
        <f>K181</f>
        <v>2853_01_01_S1_EM01_01_M3</v>
      </c>
      <c r="L182">
        <v>60</v>
      </c>
    </row>
    <row r="183" spans="1:12" ht="21" hidden="1" customHeight="1" x14ac:dyDescent="0.25">
      <c r="A183" s="12" t="str">
        <f t="shared" si="103"/>
        <v>ЩР-М (S1)</v>
      </c>
      <c r="B183" s="12" t="s">
        <v>11</v>
      </c>
      <c r="C183" s="18" t="s">
        <v>11</v>
      </c>
      <c r="D183" s="12" t="s">
        <v>11</v>
      </c>
      <c r="E183" s="12">
        <v>0.01</v>
      </c>
      <c r="F183" s="15">
        <v>100</v>
      </c>
      <c r="G183" s="15">
        <f t="shared" si="102"/>
        <v>60</v>
      </c>
      <c r="H183" s="12">
        <f>60*E183</f>
        <v>0.6</v>
      </c>
      <c r="I183" s="12" t="s">
        <v>13</v>
      </c>
      <c r="J183" s="12" t="s">
        <v>11</v>
      </c>
      <c r="K183" s="12" t="str">
        <f t="shared" ref="K183:K184" si="105">K182</f>
        <v>2853_01_01_S1_EM01_01_M3</v>
      </c>
      <c r="L183">
        <v>60</v>
      </c>
    </row>
    <row r="184" spans="1:12" ht="30" customHeight="1" x14ac:dyDescent="0.25">
      <c r="A184" s="12" t="str">
        <f t="shared" si="103"/>
        <v>ЩР-М (S1)</v>
      </c>
      <c r="B184" s="19"/>
      <c r="C184" s="20"/>
      <c r="D184" s="21"/>
      <c r="E184" s="23"/>
      <c r="F184" s="25"/>
      <c r="G184" s="24">
        <f ca="1">SUM(G180:G183)</f>
        <v>8515.2000000000007</v>
      </c>
      <c r="H184" s="20"/>
      <c r="I184" s="22"/>
      <c r="J184" s="20"/>
      <c r="K184" s="12" t="str">
        <f t="shared" si="105"/>
        <v>2853_01_01_S1_EM01_01_M3</v>
      </c>
      <c r="L184">
        <v>8515.2000000000007</v>
      </c>
    </row>
    <row r="185" spans="1:12" ht="39.75" customHeight="1" x14ac:dyDescent="0.25">
      <c r="A185" s="5" t="str">
        <f>D185</f>
        <v>ЩР-6.2 (S1)</v>
      </c>
      <c r="B185" s="6"/>
      <c r="C185" s="7"/>
      <c r="D185" s="6" t="s">
        <v>262</v>
      </c>
      <c r="E185" s="8"/>
      <c r="F185" s="8" t="s">
        <v>40</v>
      </c>
      <c r="G185" s="9"/>
      <c r="H185" s="10">
        <v>1</v>
      </c>
      <c r="I185" s="11" t="s">
        <v>7</v>
      </c>
      <c r="J185" s="6" t="s">
        <v>9</v>
      </c>
      <c r="K185" s="5" t="s">
        <v>133</v>
      </c>
    </row>
    <row r="186" spans="1:12" ht="21" hidden="1" customHeight="1" x14ac:dyDescent="0.25">
      <c r="A186" s="12" t="str">
        <f>A185</f>
        <v>ЩР-6.2 (S1)</v>
      </c>
      <c r="B186" s="13" t="s">
        <v>8</v>
      </c>
      <c r="C186" s="14" t="s">
        <v>345</v>
      </c>
      <c r="D186" s="12" t="s">
        <v>346</v>
      </c>
      <c r="E186" s="13">
        <v>10620</v>
      </c>
      <c r="F186" s="15">
        <f t="shared" ref="F186:F187" si="106">E186*0.6</f>
        <v>6372</v>
      </c>
      <c r="G186" s="15">
        <f t="shared" ref="G186:G189" si="107">H186*F186</f>
        <v>6372</v>
      </c>
      <c r="H186" s="16">
        <v>1</v>
      </c>
      <c r="I186" s="17" t="s">
        <v>13</v>
      </c>
      <c r="J186" s="13" t="s">
        <v>16</v>
      </c>
      <c r="K186" s="12" t="str">
        <f>K185</f>
        <v>2853_01_01_S1_EM01_01_M3</v>
      </c>
      <c r="L186">
        <v>6372</v>
      </c>
    </row>
    <row r="187" spans="1:12" ht="21" hidden="1" customHeight="1" x14ac:dyDescent="0.25">
      <c r="A187" s="12" t="str">
        <f t="shared" ref="A187:A190" si="108">A186</f>
        <v>ЩР-6.2 (S1)</v>
      </c>
      <c r="B187" s="13" t="s">
        <v>48</v>
      </c>
      <c r="C187" s="14" t="s">
        <v>71</v>
      </c>
      <c r="D187" s="12" t="s">
        <v>72</v>
      </c>
      <c r="E187" s="13">
        <v>4439</v>
      </c>
      <c r="F187" s="15">
        <f t="shared" si="106"/>
        <v>2663.4</v>
      </c>
      <c r="G187" s="15">
        <f t="shared" si="107"/>
        <v>2663.4</v>
      </c>
      <c r="H187" s="16">
        <v>1</v>
      </c>
      <c r="I187" s="17" t="s">
        <v>13</v>
      </c>
      <c r="J187" s="13" t="s">
        <v>17</v>
      </c>
      <c r="K187" s="12" t="str">
        <f t="shared" ref="K187" si="109">K186</f>
        <v>2853_01_01_S1_EM01_01_M3</v>
      </c>
      <c r="L187">
        <v>2663.4</v>
      </c>
    </row>
    <row r="188" spans="1:12" ht="24" hidden="1" customHeight="1" x14ac:dyDescent="0.25">
      <c r="A188" s="12" t="str">
        <f t="shared" si="108"/>
        <v>ЩР-6.2 (S1)</v>
      </c>
      <c r="B188" s="12" t="s">
        <v>10</v>
      </c>
      <c r="C188" s="18" t="s">
        <v>10</v>
      </c>
      <c r="D188" s="12" t="s">
        <v>10</v>
      </c>
      <c r="E188" s="12">
        <f ca="1">OFFSET(E188,1,2)</f>
        <v>60</v>
      </c>
      <c r="F188" s="15">
        <f ca="1">E188</f>
        <v>60</v>
      </c>
      <c r="G188" s="15">
        <f t="shared" ca="1" si="107"/>
        <v>60</v>
      </c>
      <c r="H188" s="12">
        <v>1</v>
      </c>
      <c r="I188" s="12" t="s">
        <v>13</v>
      </c>
      <c r="J188" s="12" t="s">
        <v>10</v>
      </c>
      <c r="K188" s="12" t="str">
        <f>K187</f>
        <v>2853_01_01_S1_EM01_01_M3</v>
      </c>
      <c r="L188">
        <v>60</v>
      </c>
    </row>
    <row r="189" spans="1:12" ht="21" hidden="1" customHeight="1" x14ac:dyDescent="0.25">
      <c r="A189" s="12" t="str">
        <f t="shared" si="108"/>
        <v>ЩР-6.2 (S1)</v>
      </c>
      <c r="B189" s="12" t="s">
        <v>11</v>
      </c>
      <c r="C189" s="18" t="s">
        <v>11</v>
      </c>
      <c r="D189" s="12" t="s">
        <v>11</v>
      </c>
      <c r="E189" s="12">
        <v>0.01</v>
      </c>
      <c r="F189" s="15">
        <v>100</v>
      </c>
      <c r="G189" s="15">
        <f t="shared" si="107"/>
        <v>60</v>
      </c>
      <c r="H189" s="12">
        <f>60*E189</f>
        <v>0.6</v>
      </c>
      <c r="I189" s="12" t="s">
        <v>13</v>
      </c>
      <c r="J189" s="12" t="s">
        <v>11</v>
      </c>
      <c r="K189" s="12" t="str">
        <f t="shared" ref="K189:K190" si="110">K188</f>
        <v>2853_01_01_S1_EM01_01_M3</v>
      </c>
      <c r="L189">
        <v>60</v>
      </c>
    </row>
    <row r="190" spans="1:12" ht="30" customHeight="1" x14ac:dyDescent="0.25">
      <c r="A190" s="12" t="str">
        <f t="shared" si="108"/>
        <v>ЩР-6.2 (S1)</v>
      </c>
      <c r="B190" s="19"/>
      <c r="C190" s="20"/>
      <c r="D190" s="21"/>
      <c r="E190" s="23"/>
      <c r="F190" s="25"/>
      <c r="G190" s="24">
        <f ca="1">SUM(G186:G189)</f>
        <v>9155.4</v>
      </c>
      <c r="H190" s="20"/>
      <c r="I190" s="22"/>
      <c r="J190" s="20"/>
      <c r="K190" s="12" t="str">
        <f t="shared" si="110"/>
        <v>2853_01_01_S1_EM01_01_M3</v>
      </c>
      <c r="L190">
        <v>9155.4</v>
      </c>
    </row>
    <row r="191" spans="1:12" ht="39.75" customHeight="1" x14ac:dyDescent="0.25">
      <c r="A191" s="5" t="str">
        <f>D191</f>
        <v>ЩЭ-5 (S1)</v>
      </c>
      <c r="B191" s="6"/>
      <c r="C191" s="7"/>
      <c r="D191" s="6" t="s">
        <v>263</v>
      </c>
      <c r="E191" s="8"/>
      <c r="F191" s="8" t="s">
        <v>40</v>
      </c>
      <c r="G191" s="9"/>
      <c r="H191" s="10">
        <v>8</v>
      </c>
      <c r="I191" s="11" t="s">
        <v>7</v>
      </c>
      <c r="J191" s="6" t="s">
        <v>9</v>
      </c>
      <c r="K191" s="5" t="s">
        <v>133</v>
      </c>
    </row>
    <row r="192" spans="1:12" ht="21" hidden="1" customHeight="1" x14ac:dyDescent="0.25">
      <c r="A192" s="12" t="str">
        <f>A191</f>
        <v>ЩЭ-5 (S1)</v>
      </c>
      <c r="B192" s="13" t="s">
        <v>8</v>
      </c>
      <c r="C192" s="14" t="s">
        <v>341</v>
      </c>
      <c r="D192" s="12" t="s">
        <v>336</v>
      </c>
      <c r="E192" s="13">
        <v>89000</v>
      </c>
      <c r="F192" s="15">
        <f>E192*0.6</f>
        <v>53400</v>
      </c>
      <c r="G192" s="15">
        <f t="shared" ref="G192:G201" si="111">H192*F192</f>
        <v>53400</v>
      </c>
      <c r="H192" s="16">
        <v>1</v>
      </c>
      <c r="I192" s="17" t="s">
        <v>13</v>
      </c>
      <c r="J192" s="13" t="s">
        <v>16</v>
      </c>
      <c r="K192" s="12" t="str">
        <f>K191</f>
        <v>2853_01_01_S1_EM01_01_M3</v>
      </c>
      <c r="L192">
        <v>53400</v>
      </c>
    </row>
    <row r="193" spans="1:12" ht="21" hidden="1" customHeight="1" x14ac:dyDescent="0.25">
      <c r="A193" s="12" t="str">
        <f>A191</f>
        <v>ЩЭ-5 (S1)</v>
      </c>
      <c r="B193" s="13" t="s">
        <v>48</v>
      </c>
      <c r="C193" s="14" t="s">
        <v>129</v>
      </c>
      <c r="D193" s="12" t="s">
        <v>130</v>
      </c>
      <c r="E193" s="13">
        <v>2824</v>
      </c>
      <c r="F193" s="15">
        <f t="shared" ref="F193:F196" si="112">E193*0.6</f>
        <v>1694.3999999999999</v>
      </c>
      <c r="G193" s="15">
        <f t="shared" si="111"/>
        <v>1694.3999999999999</v>
      </c>
      <c r="H193" s="16">
        <v>1</v>
      </c>
      <c r="I193" s="17" t="s">
        <v>13</v>
      </c>
      <c r="J193" s="13" t="s">
        <v>17</v>
      </c>
      <c r="K193" s="12" t="str">
        <f>K191</f>
        <v>2853_01_01_S1_EM01_01_M3</v>
      </c>
      <c r="L193">
        <v>1694.3999999999999</v>
      </c>
    </row>
    <row r="194" spans="1:12" ht="21" hidden="1" customHeight="1" x14ac:dyDescent="0.25">
      <c r="A194" s="12" t="str">
        <f>A192</f>
        <v>ЩЭ-5 (S1)</v>
      </c>
      <c r="B194" s="13" t="s">
        <v>48</v>
      </c>
      <c r="C194" s="14" t="s">
        <v>202</v>
      </c>
      <c r="D194" s="12" t="s">
        <v>203</v>
      </c>
      <c r="E194" s="13">
        <v>1129</v>
      </c>
      <c r="F194" s="15">
        <f t="shared" si="112"/>
        <v>677.4</v>
      </c>
      <c r="G194" s="15">
        <f t="shared" si="111"/>
        <v>2709.6</v>
      </c>
      <c r="H194" s="16">
        <v>4</v>
      </c>
      <c r="I194" s="17" t="s">
        <v>13</v>
      </c>
      <c r="J194" s="13" t="s">
        <v>17</v>
      </c>
      <c r="K194" s="12" t="str">
        <f>K192</f>
        <v>2853_01_01_S1_EM01_01_M3</v>
      </c>
      <c r="L194">
        <v>2709.6</v>
      </c>
    </row>
    <row r="195" spans="1:12" ht="21" hidden="1" customHeight="1" x14ac:dyDescent="0.25">
      <c r="A195" s="12" t="str">
        <f>A193</f>
        <v>ЩЭ-5 (S1)</v>
      </c>
      <c r="B195" s="13" t="s">
        <v>21</v>
      </c>
      <c r="C195" s="14" t="s">
        <v>204</v>
      </c>
      <c r="D195" s="12" t="s">
        <v>205</v>
      </c>
      <c r="E195" s="13">
        <v>5919</v>
      </c>
      <c r="F195" s="15">
        <f t="shared" si="112"/>
        <v>3551.4</v>
      </c>
      <c r="G195" s="15">
        <f t="shared" si="111"/>
        <v>3551.4</v>
      </c>
      <c r="H195" s="16">
        <v>1</v>
      </c>
      <c r="I195" s="17" t="s">
        <v>13</v>
      </c>
      <c r="J195" s="13" t="s">
        <v>17</v>
      </c>
      <c r="K195" s="12" t="str">
        <f>K193</f>
        <v>2853_01_01_S1_EM01_01_M3</v>
      </c>
      <c r="L195">
        <v>3551.4</v>
      </c>
    </row>
    <row r="196" spans="1:12" ht="21" hidden="1" customHeight="1" x14ac:dyDescent="0.25">
      <c r="A196" s="12" t="str">
        <f>A194</f>
        <v>ЩЭ-5 (S1)</v>
      </c>
      <c r="B196" s="13" t="s">
        <v>21</v>
      </c>
      <c r="C196" s="14" t="s">
        <v>122</v>
      </c>
      <c r="D196" s="12" t="s">
        <v>123</v>
      </c>
      <c r="E196" s="13">
        <v>9380</v>
      </c>
      <c r="F196" s="15">
        <f t="shared" si="112"/>
        <v>5628</v>
      </c>
      <c r="G196" s="15">
        <f t="shared" si="111"/>
        <v>22512</v>
      </c>
      <c r="H196" s="16">
        <v>4</v>
      </c>
      <c r="I196" s="17" t="s">
        <v>13</v>
      </c>
      <c r="J196" s="13" t="s">
        <v>17</v>
      </c>
      <c r="K196" s="12" t="str">
        <f>K194</f>
        <v>2853_01_01_S1_EM01_01_M3</v>
      </c>
      <c r="L196">
        <v>22512</v>
      </c>
    </row>
    <row r="197" spans="1:12" ht="22.5" hidden="1" customHeight="1" x14ac:dyDescent="0.25">
      <c r="A197" s="12" t="str">
        <f t="shared" ref="A197" si="113">A196</f>
        <v>ЩЭ-5 (S1)</v>
      </c>
      <c r="B197" s="13" t="s">
        <v>18</v>
      </c>
      <c r="C197" s="14" t="s">
        <v>229</v>
      </c>
      <c r="D197" s="12" t="s">
        <v>230</v>
      </c>
      <c r="E197" s="13">
        <v>90000</v>
      </c>
      <c r="F197" s="15">
        <f t="shared" ref="F197" si="114">E197</f>
        <v>90000</v>
      </c>
      <c r="G197" s="15">
        <f t="shared" si="111"/>
        <v>90000</v>
      </c>
      <c r="H197" s="16">
        <v>1</v>
      </c>
      <c r="I197" s="17" t="s">
        <v>13</v>
      </c>
      <c r="J197" s="13" t="s">
        <v>24</v>
      </c>
      <c r="K197" s="12" t="str">
        <f t="shared" ref="K197" si="115">K196</f>
        <v>2853_01_01_S1_EM01_01_M3</v>
      </c>
      <c r="L197">
        <v>90000</v>
      </c>
    </row>
    <row r="198" spans="1:12" ht="22.5" hidden="1" customHeight="1" x14ac:dyDescent="0.25">
      <c r="A198" s="12" t="str">
        <f t="shared" ref="A198" si="116">A196</f>
        <v>ЩЭ-5 (S1)</v>
      </c>
      <c r="B198" s="13" t="s">
        <v>18</v>
      </c>
      <c r="C198" s="14" t="s">
        <v>227</v>
      </c>
      <c r="D198" s="12" t="s">
        <v>228</v>
      </c>
      <c r="E198" s="13">
        <v>90000</v>
      </c>
      <c r="F198" s="15">
        <f t="shared" ref="F198" si="117">E198</f>
        <v>90000</v>
      </c>
      <c r="G198" s="15">
        <f t="shared" si="111"/>
        <v>360000</v>
      </c>
      <c r="H198" s="16">
        <v>4</v>
      </c>
      <c r="I198" s="17" t="s">
        <v>13</v>
      </c>
      <c r="J198" s="13" t="s">
        <v>24</v>
      </c>
      <c r="K198" s="12" t="str">
        <f t="shared" ref="K198" si="118">K196</f>
        <v>2853_01_01_S1_EM01_01_M3</v>
      </c>
      <c r="L198">
        <v>360000</v>
      </c>
    </row>
    <row r="199" spans="1:12" ht="22.5" hidden="1" customHeight="1" x14ac:dyDescent="0.25">
      <c r="A199" s="12" t="str">
        <f t="shared" ref="A199:A202" si="119">A198</f>
        <v>ЩЭ-5 (S1)</v>
      </c>
      <c r="B199" s="13" t="s">
        <v>141</v>
      </c>
      <c r="C199" s="14" t="s">
        <v>219</v>
      </c>
      <c r="D199" s="12" t="s">
        <v>220</v>
      </c>
      <c r="E199" s="13">
        <v>1738</v>
      </c>
      <c r="F199" s="15">
        <f>E199*0.6</f>
        <v>1042.8</v>
      </c>
      <c r="G199" s="15">
        <f t="shared" si="111"/>
        <v>1042.8</v>
      </c>
      <c r="H199" s="16">
        <v>1</v>
      </c>
      <c r="I199" s="17" t="s">
        <v>13</v>
      </c>
      <c r="J199" s="13" t="s">
        <v>17</v>
      </c>
      <c r="K199" s="12" t="str">
        <f t="shared" ref="K199:K201" si="120">K198</f>
        <v>2853_01_01_S1_EM01_01_M3</v>
      </c>
      <c r="L199">
        <v>1042.8</v>
      </c>
    </row>
    <row r="200" spans="1:12" ht="24" hidden="1" customHeight="1" x14ac:dyDescent="0.25">
      <c r="A200" s="12" t="str">
        <f>A198</f>
        <v>ЩЭ-5 (S1)</v>
      </c>
      <c r="B200" s="12" t="s">
        <v>10</v>
      </c>
      <c r="C200" s="18" t="s">
        <v>10</v>
      </c>
      <c r="D200" s="12" t="s">
        <v>10</v>
      </c>
      <c r="E200" s="12">
        <f ca="1">OFFSET(E200,1,2)</f>
        <v>18000</v>
      </c>
      <c r="F200" s="15">
        <f ca="1">E200</f>
        <v>18000</v>
      </c>
      <c r="G200" s="15">
        <f t="shared" ca="1" si="111"/>
        <v>18000</v>
      </c>
      <c r="H200" s="12">
        <v>1</v>
      </c>
      <c r="I200" s="12" t="s">
        <v>13</v>
      </c>
      <c r="J200" s="12" t="s">
        <v>10</v>
      </c>
      <c r="K200" s="12" t="str">
        <f>K198</f>
        <v>2853_01_01_S1_EM01_01_M3</v>
      </c>
      <c r="L200">
        <v>18000</v>
      </c>
    </row>
    <row r="201" spans="1:12" ht="21" hidden="1" customHeight="1" x14ac:dyDescent="0.25">
      <c r="A201" s="12" t="str">
        <f t="shared" si="119"/>
        <v>ЩЭ-5 (S1)</v>
      </c>
      <c r="B201" s="12" t="s">
        <v>11</v>
      </c>
      <c r="C201" s="18" t="s">
        <v>11</v>
      </c>
      <c r="D201" s="12" t="s">
        <v>11</v>
      </c>
      <c r="E201" s="12">
        <v>3</v>
      </c>
      <c r="F201" s="15">
        <v>100</v>
      </c>
      <c r="G201" s="15">
        <f t="shared" si="111"/>
        <v>18000</v>
      </c>
      <c r="H201" s="12">
        <f>60*E201</f>
        <v>180</v>
      </c>
      <c r="I201" s="12" t="s">
        <v>13</v>
      </c>
      <c r="J201" s="12" t="s">
        <v>11</v>
      </c>
      <c r="K201" s="12" t="str">
        <f t="shared" si="120"/>
        <v>2853_01_01_S1_EM01_01_M3</v>
      </c>
      <c r="L201">
        <v>18000</v>
      </c>
    </row>
    <row r="202" spans="1:12" ht="30" customHeight="1" x14ac:dyDescent="0.25">
      <c r="A202" s="12" t="str">
        <f t="shared" si="119"/>
        <v>ЩЭ-5 (S1)</v>
      </c>
      <c r="B202" s="19"/>
      <c r="C202" s="20"/>
      <c r="D202" s="21"/>
      <c r="E202" s="23"/>
      <c r="F202" s="25"/>
      <c r="G202" s="24">
        <f ca="1">SUM(G192:G201)</f>
        <v>570910.20000000007</v>
      </c>
      <c r="H202" s="20"/>
      <c r="I202" s="22"/>
      <c r="J202" s="20"/>
      <c r="K202" s="12" t="str">
        <f t="shared" ref="K202" si="121">K201</f>
        <v>2853_01_01_S1_EM01_01_M3</v>
      </c>
      <c r="L202">
        <v>570910.20000000007</v>
      </c>
    </row>
    <row r="203" spans="1:12" ht="39.75" customHeight="1" x14ac:dyDescent="0.25">
      <c r="A203" s="5" t="str">
        <f>D203</f>
        <v>ЩК1 (S1)</v>
      </c>
      <c r="B203" s="6"/>
      <c r="C203" s="7"/>
      <c r="D203" s="6" t="s">
        <v>264</v>
      </c>
      <c r="E203" s="8"/>
      <c r="F203" s="8" t="s">
        <v>40</v>
      </c>
      <c r="G203" s="9"/>
      <c r="H203" s="10">
        <v>32</v>
      </c>
      <c r="I203" s="11" t="s">
        <v>7</v>
      </c>
      <c r="J203" s="6" t="s">
        <v>9</v>
      </c>
      <c r="K203" s="5" t="s">
        <v>133</v>
      </c>
    </row>
    <row r="204" spans="1:12" ht="21" hidden="1" customHeight="1" x14ac:dyDescent="0.25">
      <c r="A204" s="12" t="str">
        <f>A203</f>
        <v>ЩК1 (S1)</v>
      </c>
      <c r="B204" s="13" t="s">
        <v>8</v>
      </c>
      <c r="C204" s="14" t="s">
        <v>233</v>
      </c>
      <c r="D204" s="12" t="s">
        <v>234</v>
      </c>
      <c r="E204" s="13">
        <v>10050</v>
      </c>
      <c r="F204" s="15">
        <f t="shared" ref="F204:F209" si="122">E204*0.6</f>
        <v>6030</v>
      </c>
      <c r="G204" s="15">
        <f t="shared" ref="G204:G211" si="123">H204*F204</f>
        <v>6030</v>
      </c>
      <c r="H204" s="16">
        <v>1</v>
      </c>
      <c r="I204" s="17" t="s">
        <v>13</v>
      </c>
      <c r="J204" s="13" t="s">
        <v>16</v>
      </c>
      <c r="K204" s="12" t="str">
        <f>K203</f>
        <v>2853_01_01_S1_EM01_01_M3</v>
      </c>
      <c r="L204">
        <v>6030</v>
      </c>
    </row>
    <row r="205" spans="1:12" ht="21" hidden="1" customHeight="1" x14ac:dyDescent="0.25">
      <c r="A205" s="12" t="str">
        <f t="shared" ref="A205:A212" si="124">A204</f>
        <v>ЩК1 (S1)</v>
      </c>
      <c r="B205" s="13" t="s">
        <v>48</v>
      </c>
      <c r="C205" s="14" t="s">
        <v>120</v>
      </c>
      <c r="D205" s="12" t="s">
        <v>121</v>
      </c>
      <c r="E205" s="13">
        <v>2249</v>
      </c>
      <c r="F205" s="15">
        <f t="shared" si="122"/>
        <v>1349.3999999999999</v>
      </c>
      <c r="G205" s="15">
        <f t="shared" si="123"/>
        <v>1349.3999999999999</v>
      </c>
      <c r="H205" s="16">
        <v>1</v>
      </c>
      <c r="I205" s="17" t="s">
        <v>13</v>
      </c>
      <c r="J205" s="13" t="s">
        <v>17</v>
      </c>
      <c r="K205" s="12" t="str">
        <f t="shared" ref="K205:K212" si="125">K204</f>
        <v>2853_01_01_S1_EM01_01_M3</v>
      </c>
      <c r="L205">
        <v>1349.3999999999999</v>
      </c>
    </row>
    <row r="206" spans="1:12" ht="21" hidden="1" customHeight="1" x14ac:dyDescent="0.25">
      <c r="A206" s="12" t="str">
        <f t="shared" si="124"/>
        <v>ЩК1 (S1)</v>
      </c>
      <c r="B206" s="13" t="s">
        <v>21</v>
      </c>
      <c r="C206" s="14" t="s">
        <v>124</v>
      </c>
      <c r="D206" s="12" t="s">
        <v>125</v>
      </c>
      <c r="E206" s="13">
        <v>5632</v>
      </c>
      <c r="F206" s="15">
        <f t="shared" si="122"/>
        <v>3379.2</v>
      </c>
      <c r="G206" s="15">
        <f t="shared" si="123"/>
        <v>3379.2</v>
      </c>
      <c r="H206" s="16">
        <v>1</v>
      </c>
      <c r="I206" s="17" t="s">
        <v>13</v>
      </c>
      <c r="J206" s="13" t="s">
        <v>17</v>
      </c>
      <c r="K206" s="12" t="str">
        <f t="shared" si="125"/>
        <v>2853_01_01_S1_EM01_01_M3</v>
      </c>
      <c r="L206">
        <v>3379.2</v>
      </c>
    </row>
    <row r="207" spans="1:12" ht="21" hidden="1" customHeight="1" x14ac:dyDescent="0.25">
      <c r="A207" s="12" t="str">
        <f t="shared" ref="A207" si="126">A206</f>
        <v>ЩК1 (S1)</v>
      </c>
      <c r="B207" s="13" t="s">
        <v>128</v>
      </c>
      <c r="C207" s="14" t="s">
        <v>126</v>
      </c>
      <c r="D207" s="12" t="s">
        <v>127</v>
      </c>
      <c r="E207" s="13">
        <v>7795</v>
      </c>
      <c r="F207" s="15">
        <f t="shared" si="122"/>
        <v>4677</v>
      </c>
      <c r="G207" s="15">
        <f t="shared" si="123"/>
        <v>4677</v>
      </c>
      <c r="H207" s="16">
        <v>1</v>
      </c>
      <c r="I207" s="17" t="s">
        <v>13</v>
      </c>
      <c r="J207" s="13" t="s">
        <v>17</v>
      </c>
      <c r="K207" s="12" t="str">
        <f t="shared" ref="K207" si="127">K206</f>
        <v>2853_01_01_S1_EM01_01_M3</v>
      </c>
      <c r="L207">
        <v>4677</v>
      </c>
    </row>
    <row r="208" spans="1:12" ht="21" hidden="1" customHeight="1" x14ac:dyDescent="0.25">
      <c r="A208" s="12" t="str">
        <f>A203</f>
        <v>ЩК1 (S1)</v>
      </c>
      <c r="B208" s="13" t="s">
        <v>12</v>
      </c>
      <c r="C208" s="14" t="s">
        <v>67</v>
      </c>
      <c r="D208" s="12" t="s">
        <v>68</v>
      </c>
      <c r="E208" s="13">
        <v>796</v>
      </c>
      <c r="F208" s="15">
        <f t="shared" si="122"/>
        <v>477.59999999999997</v>
      </c>
      <c r="G208" s="15">
        <f t="shared" si="123"/>
        <v>1910.3999999999999</v>
      </c>
      <c r="H208" s="16">
        <v>4</v>
      </c>
      <c r="I208" s="17" t="s">
        <v>13</v>
      </c>
      <c r="J208" s="13" t="s">
        <v>17</v>
      </c>
      <c r="K208" s="12" t="str">
        <f>K203</f>
        <v>2853_01_01_S1_EM01_01_M3</v>
      </c>
      <c r="L208">
        <v>1910.3999999999999</v>
      </c>
    </row>
    <row r="209" spans="1:12" ht="21" hidden="1" customHeight="1" x14ac:dyDescent="0.25">
      <c r="A209" s="12" t="str">
        <f>A204</f>
        <v>ЩК1 (S1)</v>
      </c>
      <c r="B209" s="13" t="s">
        <v>12</v>
      </c>
      <c r="C209" s="14" t="s">
        <v>36</v>
      </c>
      <c r="D209" s="12" t="s">
        <v>37</v>
      </c>
      <c r="E209" s="13">
        <v>783</v>
      </c>
      <c r="F209" s="15">
        <f t="shared" si="122"/>
        <v>469.79999999999995</v>
      </c>
      <c r="G209" s="15">
        <f t="shared" si="123"/>
        <v>469.79999999999995</v>
      </c>
      <c r="H209" s="16">
        <v>1</v>
      </c>
      <c r="I209" s="17" t="s">
        <v>13</v>
      </c>
      <c r="J209" s="13" t="s">
        <v>17</v>
      </c>
      <c r="K209" s="12" t="str">
        <f>K204</f>
        <v>2853_01_01_S1_EM01_01_M3</v>
      </c>
      <c r="L209">
        <v>469.79999999999995</v>
      </c>
    </row>
    <row r="210" spans="1:12" ht="24" hidden="1" customHeight="1" x14ac:dyDescent="0.25">
      <c r="A210" s="12" t="str">
        <f t="shared" si="124"/>
        <v>ЩК1 (S1)</v>
      </c>
      <c r="B210" s="12" t="s">
        <v>10</v>
      </c>
      <c r="C210" s="18" t="s">
        <v>10</v>
      </c>
      <c r="D210" s="12" t="s">
        <v>10</v>
      </c>
      <c r="E210" s="12">
        <f ca="1">OFFSET(E210,1,2)</f>
        <v>4200</v>
      </c>
      <c r="F210" s="15">
        <f ca="1">E210</f>
        <v>4200</v>
      </c>
      <c r="G210" s="15">
        <f t="shared" ca="1" si="123"/>
        <v>4200</v>
      </c>
      <c r="H210" s="12">
        <v>1</v>
      </c>
      <c r="I210" s="12" t="s">
        <v>13</v>
      </c>
      <c r="J210" s="12" t="s">
        <v>10</v>
      </c>
      <c r="K210" s="12" t="str">
        <f t="shared" si="125"/>
        <v>2853_01_01_S1_EM01_01_M3</v>
      </c>
      <c r="L210">
        <v>4200</v>
      </c>
    </row>
    <row r="211" spans="1:12" ht="21" hidden="1" customHeight="1" x14ac:dyDescent="0.25">
      <c r="A211" s="12" t="str">
        <f t="shared" si="124"/>
        <v>ЩК1 (S1)</v>
      </c>
      <c r="B211" s="12" t="s">
        <v>11</v>
      </c>
      <c r="C211" s="18" t="s">
        <v>11</v>
      </c>
      <c r="D211" s="12" t="s">
        <v>11</v>
      </c>
      <c r="E211" s="12">
        <v>0.7</v>
      </c>
      <c r="F211" s="15">
        <v>100</v>
      </c>
      <c r="G211" s="15">
        <f t="shared" si="123"/>
        <v>4200</v>
      </c>
      <c r="H211" s="12">
        <f>60*E211</f>
        <v>42</v>
      </c>
      <c r="I211" s="12" t="s">
        <v>13</v>
      </c>
      <c r="J211" s="12" t="s">
        <v>11</v>
      </c>
      <c r="K211" s="12" t="str">
        <f t="shared" si="125"/>
        <v>2853_01_01_S1_EM01_01_M3</v>
      </c>
      <c r="L211">
        <v>4200</v>
      </c>
    </row>
    <row r="212" spans="1:12" ht="30" customHeight="1" x14ac:dyDescent="0.25">
      <c r="A212" s="12" t="str">
        <f t="shared" si="124"/>
        <v>ЩК1 (S1)</v>
      </c>
      <c r="B212" s="19"/>
      <c r="C212" s="20"/>
      <c r="D212" s="21"/>
      <c r="E212" s="23"/>
      <c r="F212" s="25"/>
      <c r="G212" s="24">
        <f ca="1">SUM(G204:G211)</f>
        <v>26215.8</v>
      </c>
      <c r="H212" s="20"/>
      <c r="I212" s="22"/>
      <c r="J212" s="20"/>
      <c r="K212" s="12" t="str">
        <f t="shared" si="125"/>
        <v>2853_01_01_S1_EM01_01_M3</v>
      </c>
      <c r="L212">
        <v>26215.8</v>
      </c>
    </row>
    <row r="213" spans="1:12" ht="39.75" customHeight="1" x14ac:dyDescent="0.25">
      <c r="A213" s="5" t="str">
        <f>D213</f>
        <v>ЩК2 (S1)</v>
      </c>
      <c r="B213" s="6"/>
      <c r="C213" s="7"/>
      <c r="D213" s="6" t="s">
        <v>265</v>
      </c>
      <c r="E213" s="8"/>
      <c r="F213" s="8" t="s">
        <v>40</v>
      </c>
      <c r="G213" s="9"/>
      <c r="H213" s="10">
        <v>8</v>
      </c>
      <c r="I213" s="11" t="s">
        <v>7</v>
      </c>
      <c r="J213" s="6" t="s">
        <v>9</v>
      </c>
      <c r="K213" s="5" t="s">
        <v>133</v>
      </c>
    </row>
    <row r="214" spans="1:12" ht="21" hidden="1" customHeight="1" x14ac:dyDescent="0.25">
      <c r="A214" s="12" t="str">
        <f>A213</f>
        <v>ЩК2 (S1)</v>
      </c>
      <c r="B214" s="13" t="s">
        <v>8</v>
      </c>
      <c r="C214" s="14" t="s">
        <v>233</v>
      </c>
      <c r="D214" s="12" t="s">
        <v>234</v>
      </c>
      <c r="E214" s="13">
        <v>10050</v>
      </c>
      <c r="F214" s="15">
        <f t="shared" ref="F214:F220" si="128">E214*0.6</f>
        <v>6030</v>
      </c>
      <c r="G214" s="15">
        <f t="shared" ref="G214:G222" si="129">H214*F214</f>
        <v>6030</v>
      </c>
      <c r="H214" s="16">
        <v>1</v>
      </c>
      <c r="I214" s="17" t="s">
        <v>13</v>
      </c>
      <c r="J214" s="13" t="s">
        <v>16</v>
      </c>
      <c r="K214" s="12" t="str">
        <f>K213</f>
        <v>2853_01_01_S1_EM01_01_M3</v>
      </c>
      <c r="L214">
        <v>6030</v>
      </c>
    </row>
    <row r="215" spans="1:12" ht="21" hidden="1" customHeight="1" x14ac:dyDescent="0.25">
      <c r="A215" s="12" t="str">
        <f t="shared" ref="A215" si="130">A214</f>
        <v>ЩК2 (S1)</v>
      </c>
      <c r="B215" s="13" t="s">
        <v>48</v>
      </c>
      <c r="C215" s="14" t="s">
        <v>129</v>
      </c>
      <c r="D215" s="12" t="s">
        <v>130</v>
      </c>
      <c r="E215" s="13">
        <v>2824</v>
      </c>
      <c r="F215" s="15">
        <f t="shared" si="128"/>
        <v>1694.3999999999999</v>
      </c>
      <c r="G215" s="15">
        <f t="shared" si="129"/>
        <v>1694.3999999999999</v>
      </c>
      <c r="H215" s="16">
        <v>1</v>
      </c>
      <c r="I215" s="17" t="s">
        <v>13</v>
      </c>
      <c r="J215" s="13" t="s">
        <v>17</v>
      </c>
      <c r="K215" s="12" t="str">
        <f t="shared" ref="K215" si="131">K214</f>
        <v>2853_01_01_S1_EM01_01_M3</v>
      </c>
      <c r="L215">
        <v>1694.3999999999999</v>
      </c>
    </row>
    <row r="216" spans="1:12" ht="21" hidden="1" customHeight="1" x14ac:dyDescent="0.25">
      <c r="A216" s="12" t="str">
        <f>A214</f>
        <v>ЩК2 (S1)</v>
      </c>
      <c r="B216" s="13" t="s">
        <v>21</v>
      </c>
      <c r="C216" s="14" t="s">
        <v>131</v>
      </c>
      <c r="D216" s="12" t="s">
        <v>132</v>
      </c>
      <c r="E216" s="13">
        <v>5556</v>
      </c>
      <c r="F216" s="15">
        <f t="shared" si="128"/>
        <v>3333.6</v>
      </c>
      <c r="G216" s="15">
        <f t="shared" si="129"/>
        <v>3333.6</v>
      </c>
      <c r="H216" s="16">
        <v>1</v>
      </c>
      <c r="I216" s="17" t="s">
        <v>13</v>
      </c>
      <c r="J216" s="13" t="s">
        <v>17</v>
      </c>
      <c r="K216" s="12" t="str">
        <f>K214</f>
        <v>2853_01_01_S1_EM01_01_M3</v>
      </c>
      <c r="L216">
        <v>3333.6</v>
      </c>
    </row>
    <row r="217" spans="1:12" ht="21" hidden="1" customHeight="1" x14ac:dyDescent="0.25">
      <c r="A217" s="12" t="str">
        <f>A215</f>
        <v>ЩК2 (S1)</v>
      </c>
      <c r="B217" s="13" t="s">
        <v>21</v>
      </c>
      <c r="C217" s="14" t="s">
        <v>124</v>
      </c>
      <c r="D217" s="12" t="s">
        <v>125</v>
      </c>
      <c r="E217" s="13">
        <v>5632</v>
      </c>
      <c r="F217" s="15">
        <f t="shared" si="128"/>
        <v>3379.2</v>
      </c>
      <c r="G217" s="15">
        <f t="shared" si="129"/>
        <v>3379.2</v>
      </c>
      <c r="H217" s="16">
        <v>1</v>
      </c>
      <c r="I217" s="17" t="s">
        <v>13</v>
      </c>
      <c r="J217" s="13" t="s">
        <v>17</v>
      </c>
      <c r="K217" s="12" t="str">
        <f>K215</f>
        <v>2853_01_01_S1_EM01_01_M3</v>
      </c>
      <c r="L217">
        <v>3379.2</v>
      </c>
    </row>
    <row r="218" spans="1:12" ht="21" hidden="1" customHeight="1" x14ac:dyDescent="0.25">
      <c r="A218" s="12" t="str">
        <f t="shared" ref="A218" si="132">A217</f>
        <v>ЩК2 (S1)</v>
      </c>
      <c r="B218" s="13" t="s">
        <v>128</v>
      </c>
      <c r="C218" s="14" t="s">
        <v>126</v>
      </c>
      <c r="D218" s="12" t="s">
        <v>127</v>
      </c>
      <c r="E218" s="13">
        <v>7795</v>
      </c>
      <c r="F218" s="15">
        <f t="shared" si="128"/>
        <v>4677</v>
      </c>
      <c r="G218" s="15">
        <f t="shared" si="129"/>
        <v>4677</v>
      </c>
      <c r="H218" s="16">
        <v>1</v>
      </c>
      <c r="I218" s="17" t="s">
        <v>13</v>
      </c>
      <c r="J218" s="13" t="s">
        <v>17</v>
      </c>
      <c r="K218" s="12" t="str">
        <f t="shared" ref="K218" si="133">K217</f>
        <v>2853_01_01_S1_EM01_01_M3</v>
      </c>
      <c r="L218">
        <v>4677</v>
      </c>
    </row>
    <row r="219" spans="1:12" ht="21" hidden="1" customHeight="1" x14ac:dyDescent="0.25">
      <c r="A219" s="12" t="str">
        <f>A213</f>
        <v>ЩК2 (S1)</v>
      </c>
      <c r="B219" s="13" t="s">
        <v>12</v>
      </c>
      <c r="C219" s="14" t="s">
        <v>67</v>
      </c>
      <c r="D219" s="12" t="s">
        <v>68</v>
      </c>
      <c r="E219" s="13">
        <v>796</v>
      </c>
      <c r="F219" s="15">
        <f t="shared" si="128"/>
        <v>477.59999999999997</v>
      </c>
      <c r="G219" s="15">
        <f t="shared" si="129"/>
        <v>1910.3999999999999</v>
      </c>
      <c r="H219" s="16">
        <v>4</v>
      </c>
      <c r="I219" s="17" t="s">
        <v>13</v>
      </c>
      <c r="J219" s="13" t="s">
        <v>17</v>
      </c>
      <c r="K219" s="12" t="str">
        <f>K213</f>
        <v>2853_01_01_S1_EM01_01_M3</v>
      </c>
      <c r="L219">
        <v>1910.3999999999999</v>
      </c>
    </row>
    <row r="220" spans="1:12" ht="21" hidden="1" customHeight="1" x14ac:dyDescent="0.25">
      <c r="A220" s="12" t="str">
        <f>A214</f>
        <v>ЩК2 (S1)</v>
      </c>
      <c r="B220" s="13" t="s">
        <v>12</v>
      </c>
      <c r="C220" s="14" t="s">
        <v>36</v>
      </c>
      <c r="D220" s="12" t="s">
        <v>37</v>
      </c>
      <c r="E220" s="13">
        <v>783</v>
      </c>
      <c r="F220" s="15">
        <f t="shared" si="128"/>
        <v>469.79999999999995</v>
      </c>
      <c r="G220" s="15">
        <f t="shared" si="129"/>
        <v>469.79999999999995</v>
      </c>
      <c r="H220" s="16">
        <v>1</v>
      </c>
      <c r="I220" s="17" t="s">
        <v>13</v>
      </c>
      <c r="J220" s="13" t="s">
        <v>17</v>
      </c>
      <c r="K220" s="12" t="str">
        <f>K214</f>
        <v>2853_01_01_S1_EM01_01_M3</v>
      </c>
      <c r="L220">
        <v>469.79999999999995</v>
      </c>
    </row>
    <row r="221" spans="1:12" ht="24" hidden="1" customHeight="1" x14ac:dyDescent="0.25">
      <c r="A221" s="12" t="str">
        <f t="shared" ref="A221:A223" si="134">A220</f>
        <v>ЩК2 (S1)</v>
      </c>
      <c r="B221" s="12" t="s">
        <v>10</v>
      </c>
      <c r="C221" s="18" t="s">
        <v>10</v>
      </c>
      <c r="D221" s="12" t="s">
        <v>10</v>
      </c>
      <c r="E221" s="12">
        <f ca="1">OFFSET(E221,1,2)</f>
        <v>4200</v>
      </c>
      <c r="F221" s="15">
        <f ca="1">E221</f>
        <v>4200</v>
      </c>
      <c r="G221" s="15">
        <f t="shared" ca="1" si="129"/>
        <v>4200</v>
      </c>
      <c r="H221" s="12">
        <v>1</v>
      </c>
      <c r="I221" s="12" t="s">
        <v>13</v>
      </c>
      <c r="J221" s="12" t="s">
        <v>10</v>
      </c>
      <c r="K221" s="12" t="str">
        <f t="shared" ref="K221:K223" si="135">K220</f>
        <v>2853_01_01_S1_EM01_01_M3</v>
      </c>
      <c r="L221">
        <v>4200</v>
      </c>
    </row>
    <row r="222" spans="1:12" ht="21" hidden="1" customHeight="1" x14ac:dyDescent="0.25">
      <c r="A222" s="12" t="str">
        <f t="shared" si="134"/>
        <v>ЩК2 (S1)</v>
      </c>
      <c r="B222" s="12" t="s">
        <v>11</v>
      </c>
      <c r="C222" s="18" t="s">
        <v>11</v>
      </c>
      <c r="D222" s="12" t="s">
        <v>11</v>
      </c>
      <c r="E222" s="12">
        <v>0.7</v>
      </c>
      <c r="F222" s="15">
        <v>100</v>
      </c>
      <c r="G222" s="15">
        <f t="shared" si="129"/>
        <v>4200</v>
      </c>
      <c r="H222" s="12">
        <f>60*E222</f>
        <v>42</v>
      </c>
      <c r="I222" s="12" t="s">
        <v>13</v>
      </c>
      <c r="J222" s="12" t="s">
        <v>11</v>
      </c>
      <c r="K222" s="12" t="str">
        <f t="shared" si="135"/>
        <v>2853_01_01_S1_EM01_01_M3</v>
      </c>
      <c r="L222">
        <v>4200</v>
      </c>
    </row>
    <row r="223" spans="1:12" ht="30" customHeight="1" x14ac:dyDescent="0.25">
      <c r="A223" s="12" t="str">
        <f t="shared" si="134"/>
        <v>ЩК2 (S1)</v>
      </c>
      <c r="B223" s="19"/>
      <c r="C223" s="20"/>
      <c r="D223" s="21"/>
      <c r="E223" s="23"/>
      <c r="F223" s="25"/>
      <c r="G223" s="24">
        <f ca="1">SUM(G214:G222)</f>
        <v>29894.400000000001</v>
      </c>
      <c r="H223" s="20"/>
      <c r="I223" s="22"/>
      <c r="J223" s="20"/>
      <c r="K223" s="12" t="str">
        <f t="shared" si="135"/>
        <v>2853_01_01_S1_EM01_01_M3</v>
      </c>
      <c r="L223">
        <v>29894.400000000001</v>
      </c>
    </row>
    <row r="224" spans="1:12" ht="39.75" customHeight="1" x14ac:dyDescent="0.25">
      <c r="A224" s="5" t="str">
        <f>D224</f>
        <v>ЯТП-0,25-23УЗ (S1)</v>
      </c>
      <c r="B224" s="6"/>
      <c r="C224" s="7"/>
      <c r="D224" s="6" t="s">
        <v>331</v>
      </c>
      <c r="E224" s="8"/>
      <c r="F224" s="8"/>
      <c r="G224" s="9"/>
      <c r="H224" s="10">
        <v>1</v>
      </c>
      <c r="I224" s="11" t="s">
        <v>7</v>
      </c>
      <c r="J224" s="6" t="s">
        <v>9</v>
      </c>
      <c r="K224" s="5" t="s">
        <v>133</v>
      </c>
    </row>
    <row r="225" spans="1:12" ht="39.75" customHeight="1" x14ac:dyDescent="0.25">
      <c r="A225" s="5" t="str">
        <f>D225</f>
        <v>ЩО-2бл. (S2)</v>
      </c>
      <c r="B225" s="6"/>
      <c r="C225" s="7"/>
      <c r="D225" s="6" t="s">
        <v>266</v>
      </c>
      <c r="E225" s="8"/>
      <c r="F225" s="8" t="s">
        <v>40</v>
      </c>
      <c r="G225" s="9"/>
      <c r="H225" s="10">
        <v>1</v>
      </c>
      <c r="I225" s="11" t="s">
        <v>7</v>
      </c>
      <c r="J225" s="6" t="s">
        <v>9</v>
      </c>
      <c r="K225" s="5" t="s">
        <v>134</v>
      </c>
    </row>
    <row r="226" spans="1:12" ht="21" hidden="1" customHeight="1" x14ac:dyDescent="0.25">
      <c r="A226" s="12" t="str">
        <f>A225</f>
        <v>ЩО-2бл. (S2)</v>
      </c>
      <c r="B226" s="13" t="s">
        <v>8</v>
      </c>
      <c r="C226" s="14" t="s">
        <v>237</v>
      </c>
      <c r="D226" s="12" t="s">
        <v>238</v>
      </c>
      <c r="E226" s="13">
        <v>11700</v>
      </c>
      <c r="F226" s="15">
        <f>E226*0.6</f>
        <v>7020</v>
      </c>
      <c r="G226" s="15">
        <f t="shared" ref="G226:G231" si="136">H226*F226</f>
        <v>7020</v>
      </c>
      <c r="H226" s="16">
        <v>1</v>
      </c>
      <c r="I226" s="17" t="s">
        <v>13</v>
      </c>
      <c r="J226" s="13" t="s">
        <v>244</v>
      </c>
      <c r="K226" s="12" t="str">
        <f>K225</f>
        <v>2853_01_01_S2_EM01_01_M3</v>
      </c>
      <c r="L226">
        <v>7020</v>
      </c>
    </row>
    <row r="227" spans="1:12" ht="21" hidden="1" customHeight="1" x14ac:dyDescent="0.25">
      <c r="A227" s="12" t="str">
        <f t="shared" ref="A227:A232" si="137">A226</f>
        <v>ЩО-2бл. (S2)</v>
      </c>
      <c r="B227" s="13" t="s">
        <v>48</v>
      </c>
      <c r="C227" s="14" t="s">
        <v>49</v>
      </c>
      <c r="D227" s="12" t="s">
        <v>50</v>
      </c>
      <c r="E227" s="13">
        <v>3372</v>
      </c>
      <c r="F227" s="15">
        <f t="shared" ref="F227:F228" si="138">E227*0.6</f>
        <v>2023.1999999999998</v>
      </c>
      <c r="G227" s="15">
        <f t="shared" si="136"/>
        <v>2023.1999999999998</v>
      </c>
      <c r="H227" s="16">
        <v>1</v>
      </c>
      <c r="I227" s="17" t="s">
        <v>13</v>
      </c>
      <c r="J227" s="13" t="s">
        <v>17</v>
      </c>
      <c r="K227" s="12" t="str">
        <f t="shared" ref="K227:K232" si="139">K226</f>
        <v>2853_01_01_S2_EM01_01_M3</v>
      </c>
      <c r="L227">
        <v>2023.1999999999998</v>
      </c>
    </row>
    <row r="228" spans="1:12" ht="21" hidden="1" customHeight="1" x14ac:dyDescent="0.25">
      <c r="A228" s="12" t="str">
        <f t="shared" si="137"/>
        <v>ЩО-2бл. (S2)</v>
      </c>
      <c r="B228" s="13" t="s">
        <v>12</v>
      </c>
      <c r="C228" s="14" t="s">
        <v>19</v>
      </c>
      <c r="D228" s="12" t="s">
        <v>20</v>
      </c>
      <c r="E228" s="13">
        <v>975</v>
      </c>
      <c r="F228" s="15">
        <f t="shared" si="138"/>
        <v>585</v>
      </c>
      <c r="G228" s="15">
        <f t="shared" si="136"/>
        <v>4095</v>
      </c>
      <c r="H228" s="16">
        <v>7</v>
      </c>
      <c r="I228" s="17" t="s">
        <v>13</v>
      </c>
      <c r="J228" s="13" t="s">
        <v>17</v>
      </c>
      <c r="K228" s="12" t="str">
        <f t="shared" si="139"/>
        <v>2853_01_01_S2_EM01_01_M3</v>
      </c>
      <c r="L228">
        <v>4095</v>
      </c>
    </row>
    <row r="229" spans="1:12" ht="22.5" hidden="1" customHeight="1" x14ac:dyDescent="0.25">
      <c r="A229" s="12" t="str">
        <f>A227</f>
        <v>ЩО-2бл. (S2)</v>
      </c>
      <c r="B229" s="13" t="s">
        <v>143</v>
      </c>
      <c r="C229" s="12" t="s">
        <v>170</v>
      </c>
      <c r="D229" s="12" t="s">
        <v>351</v>
      </c>
      <c r="E229" s="13">
        <v>6500</v>
      </c>
      <c r="F229" s="15">
        <f t="shared" ref="F229" si="140">E229</f>
        <v>6500</v>
      </c>
      <c r="G229" s="15">
        <f t="shared" si="136"/>
        <v>6500</v>
      </c>
      <c r="H229" s="16">
        <v>1</v>
      </c>
      <c r="I229" s="17" t="s">
        <v>13</v>
      </c>
      <c r="J229" s="13" t="s">
        <v>24</v>
      </c>
      <c r="K229" s="12" t="str">
        <f>K227</f>
        <v>2853_01_01_S2_EM01_01_M3</v>
      </c>
      <c r="L229">
        <v>6500</v>
      </c>
    </row>
    <row r="230" spans="1:12" ht="24" hidden="1" customHeight="1" x14ac:dyDescent="0.25">
      <c r="A230" s="12" t="str">
        <f>A228</f>
        <v>ЩО-2бл. (S2)</v>
      </c>
      <c r="B230" s="12" t="s">
        <v>10</v>
      </c>
      <c r="C230" s="18" t="s">
        <v>10</v>
      </c>
      <c r="D230" s="12" t="s">
        <v>10</v>
      </c>
      <c r="E230" s="12">
        <f ca="1">OFFSET(E230,1,2)</f>
        <v>3000</v>
      </c>
      <c r="F230" s="15">
        <f ca="1">E230</f>
        <v>3000</v>
      </c>
      <c r="G230" s="15">
        <f t="shared" ca="1" si="136"/>
        <v>3000</v>
      </c>
      <c r="H230" s="12">
        <v>1</v>
      </c>
      <c r="I230" s="12" t="s">
        <v>13</v>
      </c>
      <c r="J230" s="12" t="s">
        <v>10</v>
      </c>
      <c r="K230" s="12" t="str">
        <f>K228</f>
        <v>2853_01_01_S2_EM01_01_M3</v>
      </c>
      <c r="L230">
        <v>3000</v>
      </c>
    </row>
    <row r="231" spans="1:12" ht="21" hidden="1" customHeight="1" x14ac:dyDescent="0.25">
      <c r="A231" s="12" t="str">
        <f t="shared" si="137"/>
        <v>ЩО-2бл. (S2)</v>
      </c>
      <c r="B231" s="12" t="s">
        <v>11</v>
      </c>
      <c r="C231" s="18" t="s">
        <v>11</v>
      </c>
      <c r="D231" s="12" t="s">
        <v>11</v>
      </c>
      <c r="E231" s="12">
        <v>0.5</v>
      </c>
      <c r="F231" s="15">
        <v>100</v>
      </c>
      <c r="G231" s="15">
        <f t="shared" si="136"/>
        <v>3000</v>
      </c>
      <c r="H231" s="12">
        <f>60*E231</f>
        <v>30</v>
      </c>
      <c r="I231" s="12" t="s">
        <v>13</v>
      </c>
      <c r="J231" s="12" t="s">
        <v>11</v>
      </c>
      <c r="K231" s="12" t="str">
        <f t="shared" si="139"/>
        <v>2853_01_01_S2_EM01_01_M3</v>
      </c>
      <c r="L231">
        <v>3000</v>
      </c>
    </row>
    <row r="232" spans="1:12" ht="30" customHeight="1" x14ac:dyDescent="0.25">
      <c r="A232" s="12" t="str">
        <f t="shared" si="137"/>
        <v>ЩО-2бл. (S2)</v>
      </c>
      <c r="B232" s="19"/>
      <c r="C232" s="20"/>
      <c r="D232" s="21"/>
      <c r="E232" s="23"/>
      <c r="F232" s="25"/>
      <c r="G232" s="24">
        <f ca="1">SUM(G226:G231)</f>
        <v>25638.2</v>
      </c>
      <c r="H232" s="20"/>
      <c r="I232" s="22"/>
      <c r="J232" s="20"/>
      <c r="K232" s="12" t="str">
        <f t="shared" si="139"/>
        <v>2853_01_01_S2_EM01_01_M3</v>
      </c>
      <c r="L232">
        <v>25638.2</v>
      </c>
    </row>
    <row r="233" spans="1:12" ht="39.75" customHeight="1" x14ac:dyDescent="0.25">
      <c r="A233" s="5" t="str">
        <f>D233</f>
        <v>ЩАО-2бл. (S2)</v>
      </c>
      <c r="B233" s="6"/>
      <c r="C233" s="7"/>
      <c r="D233" s="6" t="s">
        <v>267</v>
      </c>
      <c r="E233" s="8"/>
      <c r="F233" s="8" t="s">
        <v>40</v>
      </c>
      <c r="G233" s="9"/>
      <c r="H233" s="10">
        <v>1</v>
      </c>
      <c r="I233" s="11" t="s">
        <v>7</v>
      </c>
      <c r="J233" s="6" t="s">
        <v>9</v>
      </c>
      <c r="K233" s="5" t="s">
        <v>134</v>
      </c>
    </row>
    <row r="234" spans="1:12" ht="21" hidden="1" customHeight="1" x14ac:dyDescent="0.25">
      <c r="A234" s="12" t="str">
        <f>A233</f>
        <v>ЩАО-2бл. (S2)</v>
      </c>
      <c r="B234" s="13" t="s">
        <v>8</v>
      </c>
      <c r="C234" s="14" t="s">
        <v>237</v>
      </c>
      <c r="D234" s="12" t="s">
        <v>238</v>
      </c>
      <c r="E234" s="13">
        <v>11700</v>
      </c>
      <c r="F234" s="15">
        <f>E234*0.6</f>
        <v>7020</v>
      </c>
      <c r="G234" s="15">
        <f t="shared" ref="G234:G239" si="141">H234*F234</f>
        <v>7020</v>
      </c>
      <c r="H234" s="16">
        <v>1</v>
      </c>
      <c r="I234" s="17" t="s">
        <v>13</v>
      </c>
      <c r="J234" s="13" t="s">
        <v>244</v>
      </c>
      <c r="K234" s="12" t="str">
        <f>K233</f>
        <v>2853_01_01_S2_EM01_01_M3</v>
      </c>
      <c r="L234">
        <v>7020</v>
      </c>
    </row>
    <row r="235" spans="1:12" ht="21" hidden="1" customHeight="1" x14ac:dyDescent="0.25">
      <c r="A235" s="12" t="str">
        <f t="shared" ref="A235:A240" si="142">A234</f>
        <v>ЩАО-2бл. (S2)</v>
      </c>
      <c r="B235" s="13" t="s">
        <v>48</v>
      </c>
      <c r="C235" s="14" t="s">
        <v>49</v>
      </c>
      <c r="D235" s="12" t="s">
        <v>50</v>
      </c>
      <c r="E235" s="13">
        <v>3372</v>
      </c>
      <c r="F235" s="15">
        <f t="shared" ref="F235:F236" si="143">E235*0.6</f>
        <v>2023.1999999999998</v>
      </c>
      <c r="G235" s="15">
        <f t="shared" si="141"/>
        <v>2023.1999999999998</v>
      </c>
      <c r="H235" s="16">
        <v>1</v>
      </c>
      <c r="I235" s="17" t="s">
        <v>13</v>
      </c>
      <c r="J235" s="13" t="s">
        <v>17</v>
      </c>
      <c r="K235" s="12" t="str">
        <f t="shared" ref="K235:K240" si="144">K234</f>
        <v>2853_01_01_S2_EM01_01_M3</v>
      </c>
      <c r="L235">
        <v>2023.1999999999998</v>
      </c>
    </row>
    <row r="236" spans="1:12" ht="21" hidden="1" customHeight="1" x14ac:dyDescent="0.25">
      <c r="A236" s="12" t="str">
        <f t="shared" si="142"/>
        <v>ЩАО-2бл. (S2)</v>
      </c>
      <c r="B236" s="13" t="s">
        <v>12</v>
      </c>
      <c r="C236" s="14" t="s">
        <v>19</v>
      </c>
      <c r="D236" s="12" t="s">
        <v>20</v>
      </c>
      <c r="E236" s="13">
        <v>975</v>
      </c>
      <c r="F236" s="15">
        <f t="shared" si="143"/>
        <v>585</v>
      </c>
      <c r="G236" s="15">
        <f t="shared" si="141"/>
        <v>2925</v>
      </c>
      <c r="H236" s="16">
        <v>5</v>
      </c>
      <c r="I236" s="17" t="s">
        <v>13</v>
      </c>
      <c r="J236" s="13" t="s">
        <v>17</v>
      </c>
      <c r="K236" s="12" t="str">
        <f t="shared" si="144"/>
        <v>2853_01_01_S2_EM01_01_M3</v>
      </c>
      <c r="L236">
        <v>2925</v>
      </c>
    </row>
    <row r="237" spans="1:12" ht="22.5" hidden="1" customHeight="1" x14ac:dyDescent="0.25">
      <c r="A237" s="12" t="str">
        <f>A235</f>
        <v>ЩАО-2бл. (S2)</v>
      </c>
      <c r="B237" s="13" t="s">
        <v>143</v>
      </c>
      <c r="C237" s="12" t="s">
        <v>170</v>
      </c>
      <c r="D237" s="12" t="s">
        <v>351</v>
      </c>
      <c r="E237" s="13">
        <v>6500</v>
      </c>
      <c r="F237" s="15">
        <f t="shared" ref="F237" si="145">E237</f>
        <v>6500</v>
      </c>
      <c r="G237" s="15">
        <f t="shared" si="141"/>
        <v>6500</v>
      </c>
      <c r="H237" s="16">
        <v>1</v>
      </c>
      <c r="I237" s="17" t="s">
        <v>13</v>
      </c>
      <c r="J237" s="13" t="s">
        <v>24</v>
      </c>
      <c r="K237" s="12" t="str">
        <f>K235</f>
        <v>2853_01_01_S2_EM01_01_M3</v>
      </c>
      <c r="L237">
        <v>6500</v>
      </c>
    </row>
    <row r="238" spans="1:12" ht="24" hidden="1" customHeight="1" x14ac:dyDescent="0.25">
      <c r="A238" s="12" t="str">
        <f>A236</f>
        <v>ЩАО-2бл. (S2)</v>
      </c>
      <c r="B238" s="12" t="s">
        <v>10</v>
      </c>
      <c r="C238" s="18" t="s">
        <v>10</v>
      </c>
      <c r="D238" s="12" t="s">
        <v>10</v>
      </c>
      <c r="E238" s="12">
        <f ca="1">OFFSET(E238,1,2)</f>
        <v>4200</v>
      </c>
      <c r="F238" s="15">
        <f ca="1">E238</f>
        <v>4200</v>
      </c>
      <c r="G238" s="15">
        <f t="shared" ca="1" si="141"/>
        <v>4200</v>
      </c>
      <c r="H238" s="12">
        <v>1</v>
      </c>
      <c r="I238" s="12" t="s">
        <v>13</v>
      </c>
      <c r="J238" s="12" t="s">
        <v>10</v>
      </c>
      <c r="K238" s="12" t="str">
        <f>K236</f>
        <v>2853_01_01_S2_EM01_01_M3</v>
      </c>
      <c r="L238">
        <v>4200</v>
      </c>
    </row>
    <row r="239" spans="1:12" ht="21" hidden="1" customHeight="1" x14ac:dyDescent="0.25">
      <c r="A239" s="12" t="str">
        <f t="shared" si="142"/>
        <v>ЩАО-2бл. (S2)</v>
      </c>
      <c r="B239" s="12" t="s">
        <v>11</v>
      </c>
      <c r="C239" s="18" t="s">
        <v>11</v>
      </c>
      <c r="D239" s="12" t="s">
        <v>11</v>
      </c>
      <c r="E239" s="12">
        <v>0.7</v>
      </c>
      <c r="F239" s="15">
        <v>100</v>
      </c>
      <c r="G239" s="15">
        <f t="shared" si="141"/>
        <v>4200</v>
      </c>
      <c r="H239" s="12">
        <f>60*E239</f>
        <v>42</v>
      </c>
      <c r="I239" s="12" t="s">
        <v>13</v>
      </c>
      <c r="J239" s="12" t="s">
        <v>11</v>
      </c>
      <c r="K239" s="12" t="str">
        <f t="shared" si="144"/>
        <v>2853_01_01_S2_EM01_01_M3</v>
      </c>
      <c r="L239">
        <v>4200</v>
      </c>
    </row>
    <row r="240" spans="1:12" ht="30" customHeight="1" x14ac:dyDescent="0.25">
      <c r="A240" s="12" t="str">
        <f t="shared" si="142"/>
        <v>ЩАО-2бл. (S2)</v>
      </c>
      <c r="B240" s="19"/>
      <c r="C240" s="20"/>
      <c r="D240" s="21"/>
      <c r="E240" s="23"/>
      <c r="F240" s="25"/>
      <c r="G240" s="24">
        <f ca="1">SUM(G234:G239)</f>
        <v>26868.2</v>
      </c>
      <c r="H240" s="20"/>
      <c r="I240" s="22"/>
      <c r="J240" s="20"/>
      <c r="K240" s="12" t="str">
        <f t="shared" si="144"/>
        <v>2853_01_01_S2_EM01_01_M3</v>
      </c>
      <c r="L240">
        <v>26868.2</v>
      </c>
    </row>
    <row r="241" spans="1:12" ht="39.75" customHeight="1" x14ac:dyDescent="0.25">
      <c r="A241" s="5" t="str">
        <f>D241</f>
        <v>ЩСС-2бл. (S2)</v>
      </c>
      <c r="B241" s="6"/>
      <c r="C241" s="7"/>
      <c r="D241" s="6" t="s">
        <v>268</v>
      </c>
      <c r="E241" s="8"/>
      <c r="F241" s="8" t="s">
        <v>40</v>
      </c>
      <c r="G241" s="9"/>
      <c r="H241" s="10">
        <v>1</v>
      </c>
      <c r="I241" s="11" t="s">
        <v>7</v>
      </c>
      <c r="J241" s="6" t="s">
        <v>9</v>
      </c>
      <c r="K241" s="5" t="s">
        <v>134</v>
      </c>
    </row>
    <row r="242" spans="1:12" ht="21" hidden="1" customHeight="1" x14ac:dyDescent="0.25">
      <c r="A242" s="12" t="str">
        <f>A241</f>
        <v>ЩСС-2бл. (S2)</v>
      </c>
      <c r="B242" s="13" t="s">
        <v>8</v>
      </c>
      <c r="C242" s="14" t="s">
        <v>239</v>
      </c>
      <c r="D242" s="12" t="s">
        <v>240</v>
      </c>
      <c r="E242" s="13">
        <v>8990</v>
      </c>
      <c r="F242" s="15">
        <f>E242*0.6</f>
        <v>5394</v>
      </c>
      <c r="G242" s="15">
        <f t="shared" ref="G242:G247" si="146">H242*F242</f>
        <v>5394</v>
      </c>
      <c r="H242" s="16">
        <v>1</v>
      </c>
      <c r="I242" s="17" t="s">
        <v>13</v>
      </c>
      <c r="J242" s="13" t="s">
        <v>244</v>
      </c>
      <c r="K242" s="12" t="str">
        <f>K241</f>
        <v>2853_01_01_S2_EM01_01_M3</v>
      </c>
      <c r="L242">
        <v>5394</v>
      </c>
    </row>
    <row r="243" spans="1:12" ht="21" hidden="1" customHeight="1" x14ac:dyDescent="0.25">
      <c r="A243" s="12" t="str">
        <f t="shared" ref="A243:A248" si="147">A242</f>
        <v>ЩСС-2бл. (S2)</v>
      </c>
      <c r="B243" s="13" t="s">
        <v>48</v>
      </c>
      <c r="C243" s="14" t="s">
        <v>49</v>
      </c>
      <c r="D243" s="12" t="s">
        <v>50</v>
      </c>
      <c r="E243" s="13">
        <v>3372</v>
      </c>
      <c r="F243" s="15">
        <f t="shared" ref="F243:F245" si="148">E243*0.6</f>
        <v>2023.1999999999998</v>
      </c>
      <c r="G243" s="15">
        <f t="shared" si="146"/>
        <v>2023.1999999999998</v>
      </c>
      <c r="H243" s="16">
        <v>1</v>
      </c>
      <c r="I243" s="17" t="s">
        <v>13</v>
      </c>
      <c r="J243" s="13" t="s">
        <v>17</v>
      </c>
      <c r="K243" s="12" t="str">
        <f t="shared" ref="K243:K248" si="149">K242</f>
        <v>2853_01_01_S2_EM01_01_M3</v>
      </c>
      <c r="L243">
        <v>2023.1999999999998</v>
      </c>
    </row>
    <row r="244" spans="1:12" ht="21" hidden="1" customHeight="1" x14ac:dyDescent="0.25">
      <c r="A244" s="12" t="str">
        <f>A242</f>
        <v>ЩСС-2бл. (S2)</v>
      </c>
      <c r="B244" s="13" t="s">
        <v>21</v>
      </c>
      <c r="C244" s="14" t="s">
        <v>111</v>
      </c>
      <c r="D244" s="12" t="s">
        <v>112</v>
      </c>
      <c r="E244" s="13">
        <v>5719</v>
      </c>
      <c r="F244" s="15">
        <f t="shared" si="148"/>
        <v>3431.4</v>
      </c>
      <c r="G244" s="15">
        <f t="shared" si="146"/>
        <v>10294.200000000001</v>
      </c>
      <c r="H244" s="16">
        <v>3</v>
      </c>
      <c r="I244" s="17" t="s">
        <v>13</v>
      </c>
      <c r="J244" s="13" t="s">
        <v>17</v>
      </c>
      <c r="K244" s="12" t="str">
        <f>K242</f>
        <v>2853_01_01_S2_EM01_01_M3</v>
      </c>
      <c r="L244">
        <v>10294.200000000001</v>
      </c>
    </row>
    <row r="245" spans="1:12" ht="21" hidden="1" customHeight="1" x14ac:dyDescent="0.25">
      <c r="A245" s="12" t="str">
        <f>A242</f>
        <v>ЩСС-2бл. (S2)</v>
      </c>
      <c r="B245" s="13" t="s">
        <v>12</v>
      </c>
      <c r="C245" s="14" t="s">
        <v>46</v>
      </c>
      <c r="D245" s="12" t="s">
        <v>47</v>
      </c>
      <c r="E245" s="13">
        <v>783</v>
      </c>
      <c r="F245" s="15">
        <f t="shared" si="148"/>
        <v>469.79999999999995</v>
      </c>
      <c r="G245" s="15">
        <f t="shared" si="146"/>
        <v>469.79999999999995</v>
      </c>
      <c r="H245" s="16">
        <v>1</v>
      </c>
      <c r="I245" s="17" t="s">
        <v>13</v>
      </c>
      <c r="J245" s="13" t="s">
        <v>17</v>
      </c>
      <c r="K245" s="12" t="str">
        <f>K242</f>
        <v>2853_01_01_S2_EM01_01_M3</v>
      </c>
      <c r="L245">
        <v>469.79999999999995</v>
      </c>
    </row>
    <row r="246" spans="1:12" ht="24" hidden="1" customHeight="1" x14ac:dyDescent="0.25">
      <c r="A246" s="12" t="str">
        <f t="shared" si="147"/>
        <v>ЩСС-2бл. (S2)</v>
      </c>
      <c r="B246" s="12" t="s">
        <v>10</v>
      </c>
      <c r="C246" s="18" t="s">
        <v>10</v>
      </c>
      <c r="D246" s="12" t="s">
        <v>10</v>
      </c>
      <c r="E246" s="12">
        <f ca="1">OFFSET(E246,1,2)</f>
        <v>3000</v>
      </c>
      <c r="F246" s="15">
        <f ca="1">E246</f>
        <v>3000</v>
      </c>
      <c r="G246" s="15">
        <f t="shared" ca="1" si="146"/>
        <v>3000</v>
      </c>
      <c r="H246" s="12">
        <v>1</v>
      </c>
      <c r="I246" s="12" t="s">
        <v>13</v>
      </c>
      <c r="J246" s="12" t="s">
        <v>10</v>
      </c>
      <c r="K246" s="12" t="str">
        <f t="shared" si="149"/>
        <v>2853_01_01_S2_EM01_01_M3</v>
      </c>
      <c r="L246">
        <v>3000</v>
      </c>
    </row>
    <row r="247" spans="1:12" ht="21" hidden="1" customHeight="1" x14ac:dyDescent="0.25">
      <c r="A247" s="12" t="str">
        <f t="shared" si="147"/>
        <v>ЩСС-2бл. (S2)</v>
      </c>
      <c r="B247" s="12" t="s">
        <v>11</v>
      </c>
      <c r="C247" s="18" t="s">
        <v>11</v>
      </c>
      <c r="D247" s="12" t="s">
        <v>11</v>
      </c>
      <c r="E247" s="12">
        <v>0.5</v>
      </c>
      <c r="F247" s="15">
        <v>100</v>
      </c>
      <c r="G247" s="15">
        <f t="shared" si="146"/>
        <v>3000</v>
      </c>
      <c r="H247" s="12">
        <f>60*E247</f>
        <v>30</v>
      </c>
      <c r="I247" s="12" t="s">
        <v>13</v>
      </c>
      <c r="J247" s="12" t="s">
        <v>11</v>
      </c>
      <c r="K247" s="12" t="str">
        <f t="shared" si="149"/>
        <v>2853_01_01_S2_EM01_01_M3</v>
      </c>
      <c r="L247">
        <v>3000</v>
      </c>
    </row>
    <row r="248" spans="1:12" ht="30" customHeight="1" x14ac:dyDescent="0.25">
      <c r="A248" s="12" t="str">
        <f t="shared" si="147"/>
        <v>ЩСС-2бл. (S2)</v>
      </c>
      <c r="B248" s="19"/>
      <c r="C248" s="20"/>
      <c r="D248" s="21"/>
      <c r="E248" s="23"/>
      <c r="F248" s="25"/>
      <c r="G248" s="24">
        <f ca="1">SUM(G242:G247)</f>
        <v>24181.200000000001</v>
      </c>
      <c r="H248" s="20"/>
      <c r="I248" s="22"/>
      <c r="J248" s="20"/>
      <c r="K248" s="12" t="str">
        <f t="shared" si="149"/>
        <v>2853_01_01_S2_EM01_01_M3</v>
      </c>
      <c r="L248">
        <v>24181.200000000001</v>
      </c>
    </row>
    <row r="249" spans="1:12" ht="39.75" customHeight="1" x14ac:dyDescent="0.25">
      <c r="A249" s="5" t="str">
        <f>D249</f>
        <v>ЩС-2бл.  (S2)</v>
      </c>
      <c r="B249" s="6"/>
      <c r="C249" s="7"/>
      <c r="D249" s="6" t="s">
        <v>269</v>
      </c>
      <c r="E249" s="8"/>
      <c r="F249" s="8" t="s">
        <v>40</v>
      </c>
      <c r="G249" s="9"/>
      <c r="H249" s="10">
        <v>1</v>
      </c>
      <c r="I249" s="11" t="s">
        <v>7</v>
      </c>
      <c r="J249" s="6" t="s">
        <v>9</v>
      </c>
      <c r="K249" s="5" t="s">
        <v>134</v>
      </c>
    </row>
    <row r="250" spans="1:12" ht="21" hidden="1" customHeight="1" x14ac:dyDescent="0.25">
      <c r="A250" s="12" t="str">
        <f>A249</f>
        <v>ЩС-2бл.  (S2)</v>
      </c>
      <c r="B250" s="13" t="s">
        <v>8</v>
      </c>
      <c r="C250" s="14" t="s">
        <v>237</v>
      </c>
      <c r="D250" s="12" t="s">
        <v>238</v>
      </c>
      <c r="E250" s="13">
        <v>11700</v>
      </c>
      <c r="F250" s="15">
        <f>E250*0.6</f>
        <v>7020</v>
      </c>
      <c r="G250" s="15">
        <f t="shared" ref="G250:G258" si="150">H250*F250</f>
        <v>7020</v>
      </c>
      <c r="H250" s="16">
        <v>1</v>
      </c>
      <c r="I250" s="17" t="s">
        <v>13</v>
      </c>
      <c r="J250" s="13" t="s">
        <v>244</v>
      </c>
      <c r="K250" s="12" t="str">
        <f>K249</f>
        <v>2853_01_01_S2_EM01_01_M3</v>
      </c>
      <c r="L250">
        <v>7020</v>
      </c>
    </row>
    <row r="251" spans="1:12" ht="21" hidden="1" customHeight="1" x14ac:dyDescent="0.25">
      <c r="A251" s="12" t="str">
        <f t="shared" ref="A251" si="151">A250</f>
        <v>ЩС-2бл.  (S2)</v>
      </c>
      <c r="B251" s="13" t="s">
        <v>48</v>
      </c>
      <c r="C251" s="14" t="s">
        <v>51</v>
      </c>
      <c r="D251" s="12" t="s">
        <v>52</v>
      </c>
      <c r="E251" s="13">
        <v>3372</v>
      </c>
      <c r="F251" s="15">
        <f t="shared" ref="F251:F256" si="152">E251*0.6</f>
        <v>2023.1999999999998</v>
      </c>
      <c r="G251" s="15">
        <f t="shared" si="150"/>
        <v>2023.1999999999998</v>
      </c>
      <c r="H251" s="16">
        <v>1</v>
      </c>
      <c r="I251" s="17" t="s">
        <v>13</v>
      </c>
      <c r="J251" s="13" t="s">
        <v>17</v>
      </c>
      <c r="K251" s="12" t="str">
        <f t="shared" ref="K251" si="153">K250</f>
        <v>2853_01_01_S2_EM01_01_M3</v>
      </c>
      <c r="L251">
        <v>2023.1999999999998</v>
      </c>
    </row>
    <row r="252" spans="1:12" ht="21" hidden="1" customHeight="1" x14ac:dyDescent="0.25">
      <c r="A252" s="12" t="str">
        <f>A250</f>
        <v>ЩС-2бл.  (S2)</v>
      </c>
      <c r="B252" s="13" t="s">
        <v>21</v>
      </c>
      <c r="C252" s="14" t="s">
        <v>42</v>
      </c>
      <c r="D252" s="12" t="s">
        <v>43</v>
      </c>
      <c r="E252" s="13">
        <v>5104</v>
      </c>
      <c r="F252" s="15">
        <f t="shared" si="152"/>
        <v>3062.4</v>
      </c>
      <c r="G252" s="15">
        <f t="shared" si="150"/>
        <v>6124.8</v>
      </c>
      <c r="H252" s="16">
        <v>2</v>
      </c>
      <c r="I252" s="17" t="s">
        <v>13</v>
      </c>
      <c r="J252" s="13" t="s">
        <v>17</v>
      </c>
      <c r="K252" s="12" t="str">
        <f>K250</f>
        <v>2853_01_01_S2_EM01_01_M3</v>
      </c>
      <c r="L252">
        <v>6124.8</v>
      </c>
    </row>
    <row r="253" spans="1:12" ht="21" hidden="1" customHeight="1" x14ac:dyDescent="0.25">
      <c r="A253" s="12" t="str">
        <f t="shared" ref="A253" si="154">A252</f>
        <v>ЩС-2бл.  (S2)</v>
      </c>
      <c r="B253" s="13" t="s">
        <v>12</v>
      </c>
      <c r="C253" s="14" t="s">
        <v>113</v>
      </c>
      <c r="D253" s="12" t="s">
        <v>114</v>
      </c>
      <c r="E253" s="13">
        <v>1130</v>
      </c>
      <c r="F253" s="15">
        <f t="shared" si="152"/>
        <v>678</v>
      </c>
      <c r="G253" s="15">
        <f t="shared" si="150"/>
        <v>2034</v>
      </c>
      <c r="H253" s="16">
        <v>3</v>
      </c>
      <c r="I253" s="17" t="s">
        <v>13</v>
      </c>
      <c r="J253" s="13" t="s">
        <v>17</v>
      </c>
      <c r="K253" s="12" t="str">
        <f>K250</f>
        <v>2853_01_01_S2_EM01_01_M3</v>
      </c>
      <c r="L253">
        <v>2034</v>
      </c>
    </row>
    <row r="254" spans="1:12" ht="21" hidden="1" customHeight="1" x14ac:dyDescent="0.25">
      <c r="A254" s="12" t="str">
        <f>A250</f>
        <v>ЩС-2бл.  (S2)</v>
      </c>
      <c r="B254" s="13" t="s">
        <v>12</v>
      </c>
      <c r="C254" s="14" t="s">
        <v>36</v>
      </c>
      <c r="D254" s="12" t="s">
        <v>37</v>
      </c>
      <c r="E254" s="13">
        <v>783</v>
      </c>
      <c r="F254" s="15">
        <f t="shared" si="152"/>
        <v>469.79999999999995</v>
      </c>
      <c r="G254" s="15">
        <f t="shared" si="150"/>
        <v>469.79999999999995</v>
      </c>
      <c r="H254" s="16">
        <v>1</v>
      </c>
      <c r="I254" s="17" t="s">
        <v>13</v>
      </c>
      <c r="J254" s="13" t="s">
        <v>17</v>
      </c>
      <c r="K254" s="12" t="str">
        <f>K250</f>
        <v>2853_01_01_S2_EM01_01_M3</v>
      </c>
      <c r="L254">
        <v>469.79999999999995</v>
      </c>
    </row>
    <row r="255" spans="1:12" ht="21" hidden="1" customHeight="1" x14ac:dyDescent="0.25">
      <c r="A255" s="12" t="str">
        <f>A251</f>
        <v>ЩС-2бл.  (S2)</v>
      </c>
      <c r="B255" s="13" t="s">
        <v>12</v>
      </c>
      <c r="C255" s="14" t="s">
        <v>46</v>
      </c>
      <c r="D255" s="12" t="s">
        <v>47</v>
      </c>
      <c r="E255" s="13">
        <v>783</v>
      </c>
      <c r="F255" s="15">
        <f t="shared" si="152"/>
        <v>469.79999999999995</v>
      </c>
      <c r="G255" s="15">
        <f t="shared" si="150"/>
        <v>469.79999999999995</v>
      </c>
      <c r="H255" s="16">
        <v>1</v>
      </c>
      <c r="I255" s="17" t="s">
        <v>13</v>
      </c>
      <c r="J255" s="13" t="s">
        <v>17</v>
      </c>
      <c r="K255" s="12" t="str">
        <f>K251</f>
        <v>2853_01_01_S2_EM01_01_M3</v>
      </c>
      <c r="L255">
        <v>469.79999999999995</v>
      </c>
    </row>
    <row r="256" spans="1:12" ht="21" hidden="1" customHeight="1" x14ac:dyDescent="0.25">
      <c r="A256" s="12" t="str">
        <f>A252</f>
        <v>ЩС-2бл.  (S2)</v>
      </c>
      <c r="B256" s="13" t="s">
        <v>119</v>
      </c>
      <c r="C256" s="14" t="s">
        <v>115</v>
      </c>
      <c r="D256" s="12" t="s">
        <v>116</v>
      </c>
      <c r="E256" s="13">
        <v>5354</v>
      </c>
      <c r="F256" s="15">
        <f t="shared" si="152"/>
        <v>3212.4</v>
      </c>
      <c r="G256" s="15">
        <f t="shared" si="150"/>
        <v>3212.4</v>
      </c>
      <c r="H256" s="16">
        <v>1</v>
      </c>
      <c r="I256" s="17" t="s">
        <v>13</v>
      </c>
      <c r="J256" s="13" t="s">
        <v>17</v>
      </c>
      <c r="K256" s="12" t="str">
        <f>K252</f>
        <v>2853_01_01_S2_EM01_01_M3</v>
      </c>
      <c r="L256">
        <v>3212.4</v>
      </c>
    </row>
    <row r="257" spans="1:12" ht="24" hidden="1" customHeight="1" x14ac:dyDescent="0.25">
      <c r="A257" s="12" t="str">
        <f>A251</f>
        <v>ЩС-2бл.  (S2)</v>
      </c>
      <c r="B257" s="12" t="s">
        <v>10</v>
      </c>
      <c r="C257" s="18" t="s">
        <v>10</v>
      </c>
      <c r="D257" s="12" t="s">
        <v>10</v>
      </c>
      <c r="E257" s="12">
        <f ca="1">OFFSET(E257,1,2)</f>
        <v>4200</v>
      </c>
      <c r="F257" s="15">
        <f ca="1">E257</f>
        <v>4200</v>
      </c>
      <c r="G257" s="15">
        <f t="shared" ca="1" si="150"/>
        <v>4200</v>
      </c>
      <c r="H257" s="12">
        <v>1</v>
      </c>
      <c r="I257" s="12" t="s">
        <v>13</v>
      </c>
      <c r="J257" s="12" t="s">
        <v>10</v>
      </c>
      <c r="K257" s="12" t="str">
        <f>K251</f>
        <v>2853_01_01_S2_EM01_01_M3</v>
      </c>
      <c r="L257">
        <v>4200</v>
      </c>
    </row>
    <row r="258" spans="1:12" ht="21" hidden="1" customHeight="1" x14ac:dyDescent="0.25">
      <c r="A258" s="12" t="str">
        <f t="shared" ref="A258:A259" si="155">A257</f>
        <v>ЩС-2бл.  (S2)</v>
      </c>
      <c r="B258" s="12" t="s">
        <v>11</v>
      </c>
      <c r="C258" s="18" t="s">
        <v>11</v>
      </c>
      <c r="D258" s="12" t="s">
        <v>11</v>
      </c>
      <c r="E258" s="12">
        <v>0.7</v>
      </c>
      <c r="F258" s="15">
        <v>100</v>
      </c>
      <c r="G258" s="15">
        <f t="shared" si="150"/>
        <v>4200</v>
      </c>
      <c r="H258" s="12">
        <f>60*E258</f>
        <v>42</v>
      </c>
      <c r="I258" s="12" t="s">
        <v>13</v>
      </c>
      <c r="J258" s="12" t="s">
        <v>11</v>
      </c>
      <c r="K258" s="12" t="str">
        <f t="shared" ref="K258:K259" si="156">K257</f>
        <v>2853_01_01_S2_EM01_01_M3</v>
      </c>
      <c r="L258">
        <v>4200</v>
      </c>
    </row>
    <row r="259" spans="1:12" ht="30" customHeight="1" x14ac:dyDescent="0.25">
      <c r="A259" s="12" t="str">
        <f t="shared" si="155"/>
        <v>ЩС-2бл.  (S2)</v>
      </c>
      <c r="B259" s="19"/>
      <c r="C259" s="20"/>
      <c r="D259" s="21"/>
      <c r="E259" s="23"/>
      <c r="F259" s="25"/>
      <c r="G259" s="24">
        <f ca="1">SUM(G250:G258)</f>
        <v>29754</v>
      </c>
      <c r="H259" s="20"/>
      <c r="I259" s="22"/>
      <c r="J259" s="20"/>
      <c r="K259" s="12" t="str">
        <f t="shared" si="156"/>
        <v>2853_01_01_S2_EM01_01_M3</v>
      </c>
      <c r="L259">
        <v>29754</v>
      </c>
    </row>
    <row r="260" spans="1:12" ht="39.75" customHeight="1" x14ac:dyDescent="0.25">
      <c r="A260" s="5" t="str">
        <f>D260</f>
        <v>ЩР-2.1 (S2)</v>
      </c>
      <c r="B260" s="6"/>
      <c r="C260" s="7"/>
      <c r="D260" s="6" t="s">
        <v>270</v>
      </c>
      <c r="E260" s="8"/>
      <c r="F260" s="8" t="s">
        <v>40</v>
      </c>
      <c r="G260" s="9"/>
      <c r="H260" s="10">
        <v>1</v>
      </c>
      <c r="I260" s="11" t="s">
        <v>7</v>
      </c>
      <c r="J260" s="6" t="s">
        <v>9</v>
      </c>
      <c r="K260" s="5" t="s">
        <v>133</v>
      </c>
    </row>
    <row r="261" spans="1:12" ht="20.25" hidden="1" customHeight="1" x14ac:dyDescent="0.25">
      <c r="A261" s="12" t="str">
        <f>A260</f>
        <v>ЩР-2.1 (S2)</v>
      </c>
      <c r="B261" s="13" t="s">
        <v>8</v>
      </c>
      <c r="C261" s="14" t="s">
        <v>345</v>
      </c>
      <c r="D261" s="12" t="s">
        <v>346</v>
      </c>
      <c r="E261" s="13">
        <v>10620</v>
      </c>
      <c r="F261" s="15">
        <f t="shared" ref="F261:F262" si="157">E261*0.6</f>
        <v>6372</v>
      </c>
      <c r="G261" s="15">
        <f t="shared" ref="G261:G264" si="158">H261*F261</f>
        <v>6372</v>
      </c>
      <c r="H261" s="16">
        <v>1</v>
      </c>
      <c r="I261" s="17" t="s">
        <v>13</v>
      </c>
      <c r="J261" s="13" t="s">
        <v>16</v>
      </c>
      <c r="K261" s="12" t="str">
        <f>K260</f>
        <v>2853_01_01_S1_EM01_01_M3</v>
      </c>
      <c r="L261">
        <v>6372</v>
      </c>
    </row>
    <row r="262" spans="1:12" ht="21" hidden="1" customHeight="1" x14ac:dyDescent="0.25">
      <c r="A262" s="12" t="str">
        <f t="shared" ref="A262:A265" si="159">A261</f>
        <v>ЩР-2.1 (S2)</v>
      </c>
      <c r="B262" s="13" t="s">
        <v>48</v>
      </c>
      <c r="C262" s="14" t="s">
        <v>69</v>
      </c>
      <c r="D262" s="12" t="s">
        <v>70</v>
      </c>
      <c r="E262" s="13">
        <v>3372</v>
      </c>
      <c r="F262" s="15">
        <f t="shared" si="157"/>
        <v>2023.1999999999998</v>
      </c>
      <c r="G262" s="15">
        <f t="shared" si="158"/>
        <v>2023.1999999999998</v>
      </c>
      <c r="H262" s="16">
        <v>1</v>
      </c>
      <c r="I262" s="17" t="s">
        <v>13</v>
      </c>
      <c r="J262" s="13" t="s">
        <v>17</v>
      </c>
      <c r="K262" s="12" t="str">
        <f t="shared" ref="K262:K265" si="160">K261</f>
        <v>2853_01_01_S1_EM01_01_M3</v>
      </c>
      <c r="L262">
        <v>2023.1999999999998</v>
      </c>
    </row>
    <row r="263" spans="1:12" ht="24" hidden="1" customHeight="1" x14ac:dyDescent="0.25">
      <c r="A263" s="12" t="str">
        <f t="shared" si="159"/>
        <v>ЩР-2.1 (S2)</v>
      </c>
      <c r="B263" s="12" t="s">
        <v>10</v>
      </c>
      <c r="C263" s="18" t="s">
        <v>10</v>
      </c>
      <c r="D263" s="12" t="s">
        <v>10</v>
      </c>
      <c r="E263" s="12">
        <f ca="1">OFFSET(E263,1,2)</f>
        <v>60</v>
      </c>
      <c r="F263" s="15">
        <f ca="1">E263</f>
        <v>60</v>
      </c>
      <c r="G263" s="15">
        <f t="shared" ca="1" si="158"/>
        <v>60</v>
      </c>
      <c r="H263" s="12">
        <v>1</v>
      </c>
      <c r="I263" s="12" t="s">
        <v>13</v>
      </c>
      <c r="J263" s="12" t="s">
        <v>10</v>
      </c>
      <c r="K263" s="12" t="str">
        <f t="shared" si="160"/>
        <v>2853_01_01_S1_EM01_01_M3</v>
      </c>
      <c r="L263">
        <v>60</v>
      </c>
    </row>
    <row r="264" spans="1:12" ht="21" hidden="1" customHeight="1" x14ac:dyDescent="0.25">
      <c r="A264" s="12" t="str">
        <f t="shared" si="159"/>
        <v>ЩР-2.1 (S2)</v>
      </c>
      <c r="B264" s="12" t="s">
        <v>11</v>
      </c>
      <c r="C264" s="18" t="s">
        <v>11</v>
      </c>
      <c r="D264" s="12" t="s">
        <v>11</v>
      </c>
      <c r="E264" s="12">
        <v>0.01</v>
      </c>
      <c r="F264" s="15">
        <v>100</v>
      </c>
      <c r="G264" s="15">
        <f t="shared" si="158"/>
        <v>60</v>
      </c>
      <c r="H264" s="12">
        <f>60*E264</f>
        <v>0.6</v>
      </c>
      <c r="I264" s="12" t="s">
        <v>13</v>
      </c>
      <c r="J264" s="12" t="s">
        <v>11</v>
      </c>
      <c r="K264" s="12" t="str">
        <f t="shared" si="160"/>
        <v>2853_01_01_S1_EM01_01_M3</v>
      </c>
      <c r="L264">
        <v>60</v>
      </c>
    </row>
    <row r="265" spans="1:12" ht="30" customHeight="1" x14ac:dyDescent="0.25">
      <c r="A265" s="12" t="str">
        <f t="shared" si="159"/>
        <v>ЩР-2.1 (S2)</v>
      </c>
      <c r="B265" s="19"/>
      <c r="C265" s="20"/>
      <c r="D265" s="21"/>
      <c r="E265" s="23"/>
      <c r="F265" s="25"/>
      <c r="G265" s="24">
        <f ca="1">SUM(G261:G264)</f>
        <v>8515.2000000000007</v>
      </c>
      <c r="H265" s="20"/>
      <c r="I265" s="22"/>
      <c r="J265" s="20"/>
      <c r="K265" s="12" t="str">
        <f t="shared" si="160"/>
        <v>2853_01_01_S1_EM01_01_M3</v>
      </c>
      <c r="L265">
        <v>8515.2000000000007</v>
      </c>
    </row>
    <row r="266" spans="1:12" ht="39.75" customHeight="1" x14ac:dyDescent="0.25">
      <c r="A266" s="5" t="str">
        <f>D266</f>
        <v>ЩР-2.2 (S2)</v>
      </c>
      <c r="B266" s="6"/>
      <c r="C266" s="7"/>
      <c r="D266" s="6" t="s">
        <v>271</v>
      </c>
      <c r="E266" s="8"/>
      <c r="F266" s="8" t="s">
        <v>40</v>
      </c>
      <c r="G266" s="9"/>
      <c r="H266" s="10">
        <v>1</v>
      </c>
      <c r="I266" s="11" t="s">
        <v>7</v>
      </c>
      <c r="J266" s="6" t="s">
        <v>9</v>
      </c>
      <c r="K266" s="5" t="s">
        <v>133</v>
      </c>
    </row>
    <row r="267" spans="1:12" ht="21" hidden="1" customHeight="1" x14ac:dyDescent="0.25">
      <c r="A267" s="12" t="str">
        <f>A266</f>
        <v>ЩР-2.2 (S2)</v>
      </c>
      <c r="B267" s="13" t="s">
        <v>8</v>
      </c>
      <c r="C267" s="14" t="s">
        <v>345</v>
      </c>
      <c r="D267" s="12" t="s">
        <v>346</v>
      </c>
      <c r="E267" s="13">
        <v>10620</v>
      </c>
      <c r="F267" s="15">
        <f t="shared" ref="F267:F268" si="161">E267*0.6</f>
        <v>6372</v>
      </c>
      <c r="G267" s="15">
        <f t="shared" ref="G267:G270" si="162">H267*F267</f>
        <v>6372</v>
      </c>
      <c r="H267" s="16">
        <v>1</v>
      </c>
      <c r="I267" s="17" t="s">
        <v>13</v>
      </c>
      <c r="J267" s="13" t="s">
        <v>16</v>
      </c>
      <c r="K267" s="12" t="str">
        <f>K266</f>
        <v>2853_01_01_S1_EM01_01_M3</v>
      </c>
      <c r="L267">
        <v>6372</v>
      </c>
    </row>
    <row r="268" spans="1:12" ht="21" hidden="1" customHeight="1" x14ac:dyDescent="0.25">
      <c r="A268" s="12" t="str">
        <f>A266</f>
        <v>ЩР-2.2 (S2)</v>
      </c>
      <c r="B268" s="13" t="s">
        <v>48</v>
      </c>
      <c r="C268" s="14" t="s">
        <v>51</v>
      </c>
      <c r="D268" s="12" t="s">
        <v>52</v>
      </c>
      <c r="E268" s="13">
        <v>3372</v>
      </c>
      <c r="F268" s="15">
        <f t="shared" si="161"/>
        <v>2023.1999999999998</v>
      </c>
      <c r="G268" s="15">
        <f t="shared" si="162"/>
        <v>2023.1999999999998</v>
      </c>
      <c r="H268" s="16">
        <v>1</v>
      </c>
      <c r="I268" s="17" t="s">
        <v>13</v>
      </c>
      <c r="J268" s="13" t="s">
        <v>17</v>
      </c>
      <c r="K268" s="12" t="str">
        <f t="shared" ref="K268" si="163">K266</f>
        <v>2853_01_01_S1_EM01_01_M3</v>
      </c>
      <c r="L268">
        <v>2023.1999999999998</v>
      </c>
    </row>
    <row r="269" spans="1:12" ht="24" hidden="1" customHeight="1" x14ac:dyDescent="0.25">
      <c r="A269" s="12" t="str">
        <f t="shared" ref="A269:A271" si="164">A268</f>
        <v>ЩР-2.2 (S2)</v>
      </c>
      <c r="B269" s="12" t="s">
        <v>10</v>
      </c>
      <c r="C269" s="18" t="s">
        <v>10</v>
      </c>
      <c r="D269" s="12" t="s">
        <v>10</v>
      </c>
      <c r="E269" s="12">
        <f ca="1">OFFSET(E269,1,2)</f>
        <v>60</v>
      </c>
      <c r="F269" s="15">
        <f ca="1">E269</f>
        <v>60</v>
      </c>
      <c r="G269" s="15">
        <f t="shared" ca="1" si="162"/>
        <v>60</v>
      </c>
      <c r="H269" s="12">
        <v>1</v>
      </c>
      <c r="I269" s="12" t="s">
        <v>13</v>
      </c>
      <c r="J269" s="12" t="s">
        <v>10</v>
      </c>
      <c r="K269" s="12" t="str">
        <f>K268</f>
        <v>2853_01_01_S1_EM01_01_M3</v>
      </c>
      <c r="L269">
        <v>60</v>
      </c>
    </row>
    <row r="270" spans="1:12" ht="21" hidden="1" customHeight="1" x14ac:dyDescent="0.25">
      <c r="A270" s="12" t="str">
        <f t="shared" si="164"/>
        <v>ЩР-2.2 (S2)</v>
      </c>
      <c r="B270" s="12" t="s">
        <v>11</v>
      </c>
      <c r="C270" s="18" t="s">
        <v>11</v>
      </c>
      <c r="D270" s="12" t="s">
        <v>11</v>
      </c>
      <c r="E270" s="12">
        <v>0.01</v>
      </c>
      <c r="F270" s="15">
        <v>100</v>
      </c>
      <c r="G270" s="15">
        <f t="shared" si="162"/>
        <v>60</v>
      </c>
      <c r="H270" s="12">
        <f>60*E270</f>
        <v>0.6</v>
      </c>
      <c r="I270" s="12" t="s">
        <v>13</v>
      </c>
      <c r="J270" s="12" t="s">
        <v>11</v>
      </c>
      <c r="K270" s="12" t="str">
        <f t="shared" ref="K270:K271" si="165">K269</f>
        <v>2853_01_01_S1_EM01_01_M3</v>
      </c>
      <c r="L270">
        <v>60</v>
      </c>
    </row>
    <row r="271" spans="1:12" ht="30" customHeight="1" x14ac:dyDescent="0.25">
      <c r="A271" s="12" t="str">
        <f t="shared" si="164"/>
        <v>ЩР-2.2 (S2)</v>
      </c>
      <c r="B271" s="19"/>
      <c r="C271" s="20"/>
      <c r="D271" s="21"/>
      <c r="E271" s="23"/>
      <c r="F271" s="25"/>
      <c r="G271" s="24">
        <f ca="1">SUM(G267:G270)</f>
        <v>8515.2000000000007</v>
      </c>
      <c r="H271" s="20"/>
      <c r="I271" s="22"/>
      <c r="J271" s="20"/>
      <c r="K271" s="12" t="str">
        <f t="shared" si="165"/>
        <v>2853_01_01_S1_EM01_01_M3</v>
      </c>
      <c r="L271">
        <v>8515.2000000000007</v>
      </c>
    </row>
    <row r="272" spans="1:12" ht="39.75" customHeight="1" x14ac:dyDescent="0.25">
      <c r="A272" s="5" t="str">
        <f>D272</f>
        <v>ЩР-2.3 (S2)</v>
      </c>
      <c r="B272" s="6"/>
      <c r="C272" s="7"/>
      <c r="D272" s="6" t="s">
        <v>272</v>
      </c>
      <c r="E272" s="8"/>
      <c r="F272" s="8" t="s">
        <v>40</v>
      </c>
      <c r="G272" s="9"/>
      <c r="H272" s="10">
        <v>1</v>
      </c>
      <c r="I272" s="11" t="s">
        <v>7</v>
      </c>
      <c r="J272" s="6" t="s">
        <v>9</v>
      </c>
      <c r="K272" s="5" t="s">
        <v>133</v>
      </c>
    </row>
    <row r="273" spans="1:12" ht="21" hidden="1" customHeight="1" x14ac:dyDescent="0.25">
      <c r="A273" s="12" t="str">
        <f>A272</f>
        <v>ЩР-2.3 (S2)</v>
      </c>
      <c r="B273" s="13" t="s">
        <v>8</v>
      </c>
      <c r="C273" s="14" t="s">
        <v>345</v>
      </c>
      <c r="D273" s="12" t="s">
        <v>346</v>
      </c>
      <c r="E273" s="13">
        <v>10620</v>
      </c>
      <c r="F273" s="15">
        <f t="shared" ref="F273:F274" si="166">E273*0.6</f>
        <v>6372</v>
      </c>
      <c r="G273" s="15">
        <f t="shared" ref="G273:G276" si="167">H273*F273</f>
        <v>6372</v>
      </c>
      <c r="H273" s="16">
        <v>1</v>
      </c>
      <c r="I273" s="17" t="s">
        <v>13</v>
      </c>
      <c r="J273" s="13" t="s">
        <v>16</v>
      </c>
      <c r="K273" s="12" t="str">
        <f>K272</f>
        <v>2853_01_01_S1_EM01_01_M3</v>
      </c>
      <c r="L273">
        <v>6372</v>
      </c>
    </row>
    <row r="274" spans="1:12" ht="21" hidden="1" customHeight="1" x14ac:dyDescent="0.25">
      <c r="A274" s="12" t="str">
        <f t="shared" ref="A274:A277" si="168">A273</f>
        <v>ЩР-2.3 (S2)</v>
      </c>
      <c r="B274" s="13" t="s">
        <v>48</v>
      </c>
      <c r="C274" s="14" t="s">
        <v>63</v>
      </c>
      <c r="D274" s="12" t="s">
        <v>64</v>
      </c>
      <c r="E274" s="13">
        <v>4217</v>
      </c>
      <c r="F274" s="15">
        <f t="shared" si="166"/>
        <v>2530.1999999999998</v>
      </c>
      <c r="G274" s="15">
        <f t="shared" si="167"/>
        <v>2530.1999999999998</v>
      </c>
      <c r="H274" s="16">
        <v>1</v>
      </c>
      <c r="I274" s="17" t="s">
        <v>13</v>
      </c>
      <c r="J274" s="13" t="s">
        <v>17</v>
      </c>
      <c r="K274" s="12" t="str">
        <f t="shared" ref="K274:K277" si="169">K273</f>
        <v>2853_01_01_S1_EM01_01_M3</v>
      </c>
      <c r="L274">
        <v>2530.1999999999998</v>
      </c>
    </row>
    <row r="275" spans="1:12" ht="24" hidden="1" customHeight="1" x14ac:dyDescent="0.25">
      <c r="A275" s="12" t="str">
        <f t="shared" si="168"/>
        <v>ЩР-2.3 (S2)</v>
      </c>
      <c r="B275" s="12" t="s">
        <v>10</v>
      </c>
      <c r="C275" s="18" t="s">
        <v>10</v>
      </c>
      <c r="D275" s="12" t="s">
        <v>10</v>
      </c>
      <c r="E275" s="12">
        <f ca="1">OFFSET(E275,1,2)</f>
        <v>60</v>
      </c>
      <c r="F275" s="15">
        <f ca="1">E275</f>
        <v>60</v>
      </c>
      <c r="G275" s="15">
        <f t="shared" ca="1" si="167"/>
        <v>60</v>
      </c>
      <c r="H275" s="12">
        <v>1</v>
      </c>
      <c r="I275" s="12" t="s">
        <v>13</v>
      </c>
      <c r="J275" s="12" t="s">
        <v>10</v>
      </c>
      <c r="K275" s="12" t="str">
        <f t="shared" si="169"/>
        <v>2853_01_01_S1_EM01_01_M3</v>
      </c>
      <c r="L275">
        <v>60</v>
      </c>
    </row>
    <row r="276" spans="1:12" ht="21" hidden="1" customHeight="1" x14ac:dyDescent="0.25">
      <c r="A276" s="12" t="str">
        <f t="shared" si="168"/>
        <v>ЩР-2.3 (S2)</v>
      </c>
      <c r="B276" s="12" t="s">
        <v>11</v>
      </c>
      <c r="C276" s="18" t="s">
        <v>11</v>
      </c>
      <c r="D276" s="12" t="s">
        <v>11</v>
      </c>
      <c r="E276" s="12">
        <v>0.01</v>
      </c>
      <c r="F276" s="15">
        <v>100</v>
      </c>
      <c r="G276" s="15">
        <f t="shared" si="167"/>
        <v>60</v>
      </c>
      <c r="H276" s="12">
        <f>60*E276</f>
        <v>0.6</v>
      </c>
      <c r="I276" s="12" t="s">
        <v>13</v>
      </c>
      <c r="J276" s="12" t="s">
        <v>11</v>
      </c>
      <c r="K276" s="12" t="str">
        <f t="shared" si="169"/>
        <v>2853_01_01_S1_EM01_01_M3</v>
      </c>
      <c r="L276">
        <v>60</v>
      </c>
    </row>
    <row r="277" spans="1:12" ht="30" customHeight="1" x14ac:dyDescent="0.25">
      <c r="A277" s="12" t="str">
        <f t="shared" si="168"/>
        <v>ЩР-2.3 (S2)</v>
      </c>
      <c r="B277" s="19"/>
      <c r="C277" s="20"/>
      <c r="D277" s="21"/>
      <c r="E277" s="23"/>
      <c r="F277" s="25"/>
      <c r="G277" s="24">
        <f ca="1">SUM(G273:G276)</f>
        <v>9022.2000000000007</v>
      </c>
      <c r="H277" s="20"/>
      <c r="I277" s="22"/>
      <c r="J277" s="20"/>
      <c r="K277" s="12" t="str">
        <f t="shared" si="169"/>
        <v>2853_01_01_S1_EM01_01_M3</v>
      </c>
      <c r="L277">
        <v>9022.2000000000007</v>
      </c>
    </row>
    <row r="278" spans="1:12" ht="39.75" customHeight="1" x14ac:dyDescent="0.25">
      <c r="A278" s="5" t="str">
        <f>D278</f>
        <v>ЩЭ-6 (S2)</v>
      </c>
      <c r="B278" s="6"/>
      <c r="C278" s="7"/>
      <c r="D278" s="6" t="s">
        <v>273</v>
      </c>
      <c r="E278" s="8"/>
      <c r="F278" s="8" t="s">
        <v>40</v>
      </c>
      <c r="G278" s="9"/>
      <c r="H278" s="10">
        <v>8</v>
      </c>
      <c r="I278" s="11" t="s">
        <v>7</v>
      </c>
      <c r="J278" s="6" t="s">
        <v>9</v>
      </c>
      <c r="K278" s="5" t="s">
        <v>134</v>
      </c>
    </row>
    <row r="279" spans="1:12" ht="21" hidden="1" customHeight="1" x14ac:dyDescent="0.25">
      <c r="A279" s="12" t="str">
        <f>A278</f>
        <v>ЩЭ-6 (S2)</v>
      </c>
      <c r="B279" s="13" t="s">
        <v>8</v>
      </c>
      <c r="C279" s="14" t="s">
        <v>341</v>
      </c>
      <c r="D279" s="12" t="s">
        <v>336</v>
      </c>
      <c r="E279" s="13">
        <v>89000</v>
      </c>
      <c r="F279" s="15">
        <f t="shared" ref="F279:F284" si="170">E279*0.6</f>
        <v>53400</v>
      </c>
      <c r="G279" s="15">
        <f t="shared" ref="G279:G288" si="171">H279*F279</f>
        <v>53400</v>
      </c>
      <c r="H279" s="16">
        <v>1</v>
      </c>
      <c r="I279" s="17" t="s">
        <v>13</v>
      </c>
      <c r="J279" s="13" t="s">
        <v>16</v>
      </c>
      <c r="K279" s="12" t="str">
        <f>K278</f>
        <v>2853_01_01_S2_EM01_01_M3</v>
      </c>
      <c r="L279">
        <v>53400</v>
      </c>
    </row>
    <row r="280" spans="1:12" ht="21" hidden="1" customHeight="1" x14ac:dyDescent="0.25">
      <c r="A280" s="12" t="str">
        <f t="shared" ref="A280:A289" si="172">A279</f>
        <v>ЩЭ-6 (S2)</v>
      </c>
      <c r="B280" s="13" t="s">
        <v>48</v>
      </c>
      <c r="C280" s="14" t="s">
        <v>129</v>
      </c>
      <c r="D280" s="12" t="s">
        <v>130</v>
      </c>
      <c r="E280" s="13">
        <v>2824</v>
      </c>
      <c r="F280" s="15">
        <f t="shared" si="170"/>
        <v>1694.3999999999999</v>
      </c>
      <c r="G280" s="15">
        <f t="shared" si="171"/>
        <v>1694.3999999999999</v>
      </c>
      <c r="H280" s="16">
        <v>1</v>
      </c>
      <c r="I280" s="17" t="s">
        <v>13</v>
      </c>
      <c r="J280" s="13" t="s">
        <v>17</v>
      </c>
      <c r="K280" s="12" t="str">
        <f t="shared" ref="K280:K289" si="173">K279</f>
        <v>2853_01_01_S2_EM01_01_M3</v>
      </c>
      <c r="L280">
        <v>1694.3999999999999</v>
      </c>
    </row>
    <row r="281" spans="1:12" ht="21" hidden="1" customHeight="1" x14ac:dyDescent="0.25">
      <c r="A281" s="12" t="str">
        <f t="shared" si="172"/>
        <v>ЩЭ-6 (S2)</v>
      </c>
      <c r="B281" s="13" t="s">
        <v>21</v>
      </c>
      <c r="C281" s="14" t="s">
        <v>135</v>
      </c>
      <c r="D281" s="12" t="s">
        <v>136</v>
      </c>
      <c r="E281" s="13">
        <v>6215</v>
      </c>
      <c r="F281" s="15">
        <f t="shared" si="170"/>
        <v>3729</v>
      </c>
      <c r="G281" s="15">
        <f t="shared" si="171"/>
        <v>3729</v>
      </c>
      <c r="H281" s="16">
        <v>1</v>
      </c>
      <c r="I281" s="17" t="s">
        <v>13</v>
      </c>
      <c r="J281" s="13" t="s">
        <v>17</v>
      </c>
      <c r="K281" s="12" t="str">
        <f t="shared" si="173"/>
        <v>2853_01_01_S2_EM01_01_M3</v>
      </c>
      <c r="L281">
        <v>3729</v>
      </c>
    </row>
    <row r="282" spans="1:12" ht="21" hidden="1" customHeight="1" x14ac:dyDescent="0.25">
      <c r="A282" s="12" t="str">
        <f t="shared" si="172"/>
        <v>ЩЭ-6 (S2)</v>
      </c>
      <c r="B282" s="13" t="s">
        <v>48</v>
      </c>
      <c r="C282" s="14" t="s">
        <v>202</v>
      </c>
      <c r="D282" s="12" t="s">
        <v>203</v>
      </c>
      <c r="E282" s="13">
        <v>1129</v>
      </c>
      <c r="F282" s="15">
        <f t="shared" si="170"/>
        <v>677.4</v>
      </c>
      <c r="G282" s="15">
        <f t="shared" si="171"/>
        <v>3387</v>
      </c>
      <c r="H282" s="16">
        <v>5</v>
      </c>
      <c r="I282" s="17" t="s">
        <v>13</v>
      </c>
      <c r="J282" s="13" t="s">
        <v>17</v>
      </c>
      <c r="K282" s="12" t="str">
        <f t="shared" si="173"/>
        <v>2853_01_01_S2_EM01_01_M3</v>
      </c>
      <c r="L282">
        <v>3387</v>
      </c>
    </row>
    <row r="283" spans="1:12" ht="21" hidden="1" customHeight="1" x14ac:dyDescent="0.25">
      <c r="A283" s="12" t="str">
        <f t="shared" si="172"/>
        <v>ЩЭ-6 (S2)</v>
      </c>
      <c r="B283" s="13" t="s">
        <v>21</v>
      </c>
      <c r="C283" s="14" t="s">
        <v>122</v>
      </c>
      <c r="D283" s="12" t="s">
        <v>123</v>
      </c>
      <c r="E283" s="13">
        <v>9380</v>
      </c>
      <c r="F283" s="15">
        <f t="shared" si="170"/>
        <v>5628</v>
      </c>
      <c r="G283" s="15">
        <f t="shared" si="171"/>
        <v>28140</v>
      </c>
      <c r="H283" s="16">
        <v>5</v>
      </c>
      <c r="I283" s="17" t="s">
        <v>13</v>
      </c>
      <c r="J283" s="13" t="s">
        <v>17</v>
      </c>
      <c r="K283" s="12" t="str">
        <f t="shared" si="173"/>
        <v>2853_01_01_S2_EM01_01_M3</v>
      </c>
      <c r="L283">
        <v>28140</v>
      </c>
    </row>
    <row r="284" spans="1:12" ht="22.5" hidden="1" customHeight="1" x14ac:dyDescent="0.25">
      <c r="A284" s="12" t="str">
        <f t="shared" si="172"/>
        <v>ЩЭ-6 (S2)</v>
      </c>
      <c r="B284" s="13" t="s">
        <v>141</v>
      </c>
      <c r="C284" s="14" t="s">
        <v>219</v>
      </c>
      <c r="D284" s="12" t="s">
        <v>220</v>
      </c>
      <c r="E284" s="13">
        <v>1738</v>
      </c>
      <c r="F284" s="15">
        <f t="shared" si="170"/>
        <v>1042.8</v>
      </c>
      <c r="G284" s="15">
        <f t="shared" si="171"/>
        <v>1042.8</v>
      </c>
      <c r="H284" s="16">
        <v>1</v>
      </c>
      <c r="I284" s="17" t="s">
        <v>13</v>
      </c>
      <c r="J284" s="13" t="s">
        <v>17</v>
      </c>
      <c r="K284" s="12" t="str">
        <f t="shared" si="173"/>
        <v>2853_01_01_S2_EM01_01_M3</v>
      </c>
      <c r="L284">
        <v>1042.8</v>
      </c>
    </row>
    <row r="285" spans="1:12" ht="22.5" hidden="1" customHeight="1" x14ac:dyDescent="0.25">
      <c r="A285" s="12" t="str">
        <f t="shared" si="172"/>
        <v>ЩЭ-6 (S2)</v>
      </c>
      <c r="B285" s="13" t="s">
        <v>18</v>
      </c>
      <c r="C285" s="14" t="s">
        <v>229</v>
      </c>
      <c r="D285" s="12" t="s">
        <v>230</v>
      </c>
      <c r="E285" s="13">
        <v>90000</v>
      </c>
      <c r="F285" s="15">
        <f t="shared" ref="F285:F286" si="174">E285</f>
        <v>90000</v>
      </c>
      <c r="G285" s="15">
        <f t="shared" si="171"/>
        <v>90000</v>
      </c>
      <c r="H285" s="16">
        <v>1</v>
      </c>
      <c r="I285" s="17" t="s">
        <v>13</v>
      </c>
      <c r="J285" s="13" t="s">
        <v>24</v>
      </c>
      <c r="K285" s="12" t="str">
        <f t="shared" si="173"/>
        <v>2853_01_01_S2_EM01_01_M3</v>
      </c>
      <c r="L285">
        <v>90000</v>
      </c>
    </row>
    <row r="286" spans="1:12" ht="22.5" hidden="1" customHeight="1" x14ac:dyDescent="0.25">
      <c r="A286" s="12" t="str">
        <f t="shared" ref="A286" si="175">A284</f>
        <v>ЩЭ-6 (S2)</v>
      </c>
      <c r="B286" s="13" t="s">
        <v>18</v>
      </c>
      <c r="C286" s="14" t="s">
        <v>227</v>
      </c>
      <c r="D286" s="12" t="s">
        <v>228</v>
      </c>
      <c r="E286" s="13">
        <v>90000</v>
      </c>
      <c r="F286" s="15">
        <f t="shared" si="174"/>
        <v>90000</v>
      </c>
      <c r="G286" s="15">
        <f t="shared" si="171"/>
        <v>450000</v>
      </c>
      <c r="H286" s="16">
        <v>5</v>
      </c>
      <c r="I286" s="17" t="s">
        <v>13</v>
      </c>
      <c r="J286" s="13" t="s">
        <v>24</v>
      </c>
      <c r="K286" s="12" t="str">
        <f t="shared" ref="K286" si="176">K284</f>
        <v>2853_01_01_S2_EM01_01_M3</v>
      </c>
      <c r="L286">
        <v>450000</v>
      </c>
    </row>
    <row r="287" spans="1:12" ht="24" hidden="1" customHeight="1" x14ac:dyDescent="0.25">
      <c r="A287" s="12" t="str">
        <f t="shared" si="172"/>
        <v>ЩЭ-6 (S2)</v>
      </c>
      <c r="B287" s="12" t="s">
        <v>10</v>
      </c>
      <c r="C287" s="18" t="s">
        <v>10</v>
      </c>
      <c r="D287" s="12" t="s">
        <v>10</v>
      </c>
      <c r="E287" s="12">
        <f ca="1">OFFSET(E287,1,2)</f>
        <v>27000</v>
      </c>
      <c r="F287" s="15">
        <f ca="1">E287</f>
        <v>27000</v>
      </c>
      <c r="G287" s="15">
        <f t="shared" ca="1" si="171"/>
        <v>27000</v>
      </c>
      <c r="H287" s="12">
        <v>1</v>
      </c>
      <c r="I287" s="12" t="s">
        <v>13</v>
      </c>
      <c r="J287" s="12" t="s">
        <v>10</v>
      </c>
      <c r="K287" s="12" t="str">
        <f t="shared" si="173"/>
        <v>2853_01_01_S2_EM01_01_M3</v>
      </c>
      <c r="L287">
        <v>27000</v>
      </c>
    </row>
    <row r="288" spans="1:12" ht="21" hidden="1" customHeight="1" x14ac:dyDescent="0.25">
      <c r="A288" s="12" t="str">
        <f t="shared" si="172"/>
        <v>ЩЭ-6 (S2)</v>
      </c>
      <c r="B288" s="12" t="s">
        <v>11</v>
      </c>
      <c r="C288" s="18" t="s">
        <v>11</v>
      </c>
      <c r="D288" s="12" t="s">
        <v>11</v>
      </c>
      <c r="E288" s="12">
        <v>4.5</v>
      </c>
      <c r="F288" s="15">
        <v>100</v>
      </c>
      <c r="G288" s="15">
        <f t="shared" si="171"/>
        <v>27000</v>
      </c>
      <c r="H288" s="12">
        <f>60*E288</f>
        <v>270</v>
      </c>
      <c r="I288" s="12" t="s">
        <v>13</v>
      </c>
      <c r="J288" s="12" t="s">
        <v>11</v>
      </c>
      <c r="K288" s="12" t="str">
        <f t="shared" si="173"/>
        <v>2853_01_01_S2_EM01_01_M3</v>
      </c>
      <c r="L288">
        <v>27000</v>
      </c>
    </row>
    <row r="289" spans="1:12" ht="30" customHeight="1" x14ac:dyDescent="0.25">
      <c r="A289" s="12" t="str">
        <f t="shared" si="172"/>
        <v>ЩЭ-6 (S2)</v>
      </c>
      <c r="B289" s="19"/>
      <c r="C289" s="20"/>
      <c r="D289" s="21"/>
      <c r="E289" s="23"/>
      <c r="F289" s="25"/>
      <c r="G289" s="24">
        <f ca="1">SUM(G282:G288)</f>
        <v>626569.80000000005</v>
      </c>
      <c r="H289" s="20"/>
      <c r="I289" s="22"/>
      <c r="J289" s="20"/>
      <c r="K289" s="12" t="str">
        <f t="shared" si="173"/>
        <v>2853_01_01_S2_EM01_01_M3</v>
      </c>
      <c r="L289">
        <v>626569.80000000005</v>
      </c>
    </row>
    <row r="290" spans="1:12" ht="39.75" customHeight="1" x14ac:dyDescent="0.25">
      <c r="A290" s="5" t="str">
        <f>D290</f>
        <v>ЩК1 (S2)</v>
      </c>
      <c r="B290" s="6"/>
      <c r="C290" s="7"/>
      <c r="D290" s="6" t="s">
        <v>274</v>
      </c>
      <c r="E290" s="8"/>
      <c r="F290" s="8" t="s">
        <v>40</v>
      </c>
      <c r="G290" s="9"/>
      <c r="H290" s="10">
        <v>48</v>
      </c>
      <c r="I290" s="11" t="s">
        <v>7</v>
      </c>
      <c r="J290" s="6" t="s">
        <v>9</v>
      </c>
      <c r="K290" s="5" t="s">
        <v>134</v>
      </c>
    </row>
    <row r="291" spans="1:12" ht="21" hidden="1" customHeight="1" x14ac:dyDescent="0.25">
      <c r="A291" s="12" t="str">
        <f>A290</f>
        <v>ЩК1 (S2)</v>
      </c>
      <c r="B291" s="13" t="s">
        <v>8</v>
      </c>
      <c r="C291" s="14" t="s">
        <v>233</v>
      </c>
      <c r="D291" s="12" t="s">
        <v>234</v>
      </c>
      <c r="E291" s="13">
        <v>10050</v>
      </c>
      <c r="F291" s="15">
        <f t="shared" ref="F291:F296" si="177">E291*0.6</f>
        <v>6030</v>
      </c>
      <c r="G291" s="15">
        <f t="shared" ref="G291:G298" si="178">H291*F291</f>
        <v>6030</v>
      </c>
      <c r="H291" s="16">
        <v>1</v>
      </c>
      <c r="I291" s="17" t="s">
        <v>13</v>
      </c>
      <c r="J291" s="13" t="s">
        <v>16</v>
      </c>
      <c r="K291" s="12" t="str">
        <f>K290</f>
        <v>2853_01_01_S2_EM01_01_M3</v>
      </c>
      <c r="L291">
        <v>6030</v>
      </c>
    </row>
    <row r="292" spans="1:12" ht="21" hidden="1" customHeight="1" x14ac:dyDescent="0.25">
      <c r="A292" s="12" t="str">
        <f t="shared" ref="A292:A294" si="179">A291</f>
        <v>ЩК1 (S2)</v>
      </c>
      <c r="B292" s="13" t="s">
        <v>48</v>
      </c>
      <c r="C292" s="14" t="s">
        <v>120</v>
      </c>
      <c r="D292" s="12" t="s">
        <v>121</v>
      </c>
      <c r="E292" s="13">
        <v>2249</v>
      </c>
      <c r="F292" s="15">
        <f t="shared" si="177"/>
        <v>1349.3999999999999</v>
      </c>
      <c r="G292" s="15">
        <f t="shared" si="178"/>
        <v>1349.3999999999999</v>
      </c>
      <c r="H292" s="16">
        <v>1</v>
      </c>
      <c r="I292" s="17" t="s">
        <v>13</v>
      </c>
      <c r="J292" s="13" t="s">
        <v>17</v>
      </c>
      <c r="K292" s="12" t="str">
        <f t="shared" ref="K292:K294" si="180">K291</f>
        <v>2853_01_01_S2_EM01_01_M3</v>
      </c>
      <c r="L292">
        <v>1349.3999999999999</v>
      </c>
    </row>
    <row r="293" spans="1:12" ht="21" hidden="1" customHeight="1" x14ac:dyDescent="0.25">
      <c r="A293" s="12" t="str">
        <f t="shared" si="179"/>
        <v>ЩК1 (S2)</v>
      </c>
      <c r="B293" s="13" t="s">
        <v>21</v>
      </c>
      <c r="C293" s="14" t="s">
        <v>124</v>
      </c>
      <c r="D293" s="12" t="s">
        <v>125</v>
      </c>
      <c r="E293" s="13">
        <v>5632</v>
      </c>
      <c r="F293" s="15">
        <f t="shared" si="177"/>
        <v>3379.2</v>
      </c>
      <c r="G293" s="15">
        <f t="shared" si="178"/>
        <v>3379.2</v>
      </c>
      <c r="H293" s="16">
        <v>1</v>
      </c>
      <c r="I293" s="17" t="s">
        <v>13</v>
      </c>
      <c r="J293" s="13" t="s">
        <v>17</v>
      </c>
      <c r="K293" s="12" t="str">
        <f t="shared" si="180"/>
        <v>2853_01_01_S2_EM01_01_M3</v>
      </c>
      <c r="L293">
        <v>3379.2</v>
      </c>
    </row>
    <row r="294" spans="1:12" ht="21" hidden="1" customHeight="1" x14ac:dyDescent="0.25">
      <c r="A294" s="12" t="str">
        <f t="shared" si="179"/>
        <v>ЩК1 (S2)</v>
      </c>
      <c r="B294" s="13" t="s">
        <v>128</v>
      </c>
      <c r="C294" s="14" t="s">
        <v>126</v>
      </c>
      <c r="D294" s="12" t="s">
        <v>127</v>
      </c>
      <c r="E294" s="13">
        <v>7795</v>
      </c>
      <c r="F294" s="15">
        <f t="shared" si="177"/>
        <v>4677</v>
      </c>
      <c r="G294" s="15">
        <f t="shared" si="178"/>
        <v>4677</v>
      </c>
      <c r="H294" s="16">
        <v>1</v>
      </c>
      <c r="I294" s="17" t="s">
        <v>13</v>
      </c>
      <c r="J294" s="13" t="s">
        <v>17</v>
      </c>
      <c r="K294" s="12" t="str">
        <f t="shared" si="180"/>
        <v>2853_01_01_S2_EM01_01_M3</v>
      </c>
      <c r="L294">
        <v>4677</v>
      </c>
    </row>
    <row r="295" spans="1:12" ht="21" hidden="1" customHeight="1" x14ac:dyDescent="0.25">
      <c r="A295" s="12" t="str">
        <f>A290</f>
        <v>ЩК1 (S2)</v>
      </c>
      <c r="B295" s="13" t="s">
        <v>12</v>
      </c>
      <c r="C295" s="14" t="s">
        <v>67</v>
      </c>
      <c r="D295" s="12" t="s">
        <v>68</v>
      </c>
      <c r="E295" s="13">
        <v>796</v>
      </c>
      <c r="F295" s="15">
        <f t="shared" si="177"/>
        <v>477.59999999999997</v>
      </c>
      <c r="G295" s="15">
        <f t="shared" si="178"/>
        <v>1432.8</v>
      </c>
      <c r="H295" s="16">
        <v>3</v>
      </c>
      <c r="I295" s="17" t="s">
        <v>13</v>
      </c>
      <c r="J295" s="13" t="s">
        <v>17</v>
      </c>
      <c r="K295" s="12" t="str">
        <f>K290</f>
        <v>2853_01_01_S2_EM01_01_M3</v>
      </c>
      <c r="L295">
        <v>1432.8</v>
      </c>
    </row>
    <row r="296" spans="1:12" ht="21" hidden="1" customHeight="1" x14ac:dyDescent="0.25">
      <c r="A296" s="12" t="str">
        <f>A291</f>
        <v>ЩК1 (S2)</v>
      </c>
      <c r="B296" s="13" t="s">
        <v>12</v>
      </c>
      <c r="C296" s="14" t="s">
        <v>36</v>
      </c>
      <c r="D296" s="12" t="s">
        <v>37</v>
      </c>
      <c r="E296" s="13">
        <v>783</v>
      </c>
      <c r="F296" s="15">
        <f t="shared" si="177"/>
        <v>469.79999999999995</v>
      </c>
      <c r="G296" s="15">
        <f t="shared" si="178"/>
        <v>469.79999999999995</v>
      </c>
      <c r="H296" s="16">
        <v>1</v>
      </c>
      <c r="I296" s="17" t="s">
        <v>13</v>
      </c>
      <c r="J296" s="13" t="s">
        <v>17</v>
      </c>
      <c r="K296" s="12" t="str">
        <f>K291</f>
        <v>2853_01_01_S2_EM01_01_M3</v>
      </c>
      <c r="L296">
        <v>469.79999999999995</v>
      </c>
    </row>
    <row r="297" spans="1:12" ht="24" hidden="1" customHeight="1" x14ac:dyDescent="0.25">
      <c r="A297" s="12" t="str">
        <f t="shared" ref="A297:A299" si="181">A296</f>
        <v>ЩК1 (S2)</v>
      </c>
      <c r="B297" s="12" t="s">
        <v>10</v>
      </c>
      <c r="C297" s="18" t="s">
        <v>10</v>
      </c>
      <c r="D297" s="12" t="s">
        <v>10</v>
      </c>
      <c r="E297" s="12">
        <f ca="1">OFFSET(E297,1,2)</f>
        <v>4200</v>
      </c>
      <c r="F297" s="15">
        <f ca="1">E297</f>
        <v>4200</v>
      </c>
      <c r="G297" s="15">
        <f t="shared" ca="1" si="178"/>
        <v>4200</v>
      </c>
      <c r="H297" s="12">
        <v>1</v>
      </c>
      <c r="I297" s="12" t="s">
        <v>13</v>
      </c>
      <c r="J297" s="12" t="s">
        <v>10</v>
      </c>
      <c r="K297" s="12" t="str">
        <f t="shared" ref="K297:K299" si="182">K296</f>
        <v>2853_01_01_S2_EM01_01_M3</v>
      </c>
      <c r="L297">
        <v>4200</v>
      </c>
    </row>
    <row r="298" spans="1:12" ht="21" hidden="1" customHeight="1" x14ac:dyDescent="0.25">
      <c r="A298" s="12" t="str">
        <f t="shared" si="181"/>
        <v>ЩК1 (S2)</v>
      </c>
      <c r="B298" s="12" t="s">
        <v>11</v>
      </c>
      <c r="C298" s="18" t="s">
        <v>11</v>
      </c>
      <c r="D298" s="12" t="s">
        <v>11</v>
      </c>
      <c r="E298" s="12">
        <v>0.7</v>
      </c>
      <c r="F298" s="15">
        <v>100</v>
      </c>
      <c r="G298" s="15">
        <f t="shared" si="178"/>
        <v>4200</v>
      </c>
      <c r="H298" s="12">
        <f>60*E298</f>
        <v>42</v>
      </c>
      <c r="I298" s="12" t="s">
        <v>13</v>
      </c>
      <c r="J298" s="12" t="s">
        <v>11</v>
      </c>
      <c r="K298" s="12" t="str">
        <f t="shared" si="182"/>
        <v>2853_01_01_S2_EM01_01_M3</v>
      </c>
      <c r="L298">
        <v>4200</v>
      </c>
    </row>
    <row r="299" spans="1:12" ht="30" customHeight="1" x14ac:dyDescent="0.25">
      <c r="A299" s="12" t="str">
        <f t="shared" si="181"/>
        <v>ЩК1 (S2)</v>
      </c>
      <c r="B299" s="19"/>
      <c r="C299" s="20"/>
      <c r="D299" s="21"/>
      <c r="E299" s="23"/>
      <c r="F299" s="25"/>
      <c r="G299" s="24">
        <f ca="1">SUM(G291:G298)</f>
        <v>25738.199999999997</v>
      </c>
      <c r="H299" s="20"/>
      <c r="I299" s="22"/>
      <c r="J299" s="20"/>
      <c r="K299" s="12" t="str">
        <f t="shared" si="182"/>
        <v>2853_01_01_S2_EM01_01_M3</v>
      </c>
      <c r="L299">
        <v>25738.199999999997</v>
      </c>
    </row>
    <row r="300" spans="1:12" ht="39.75" customHeight="1" x14ac:dyDescent="0.25">
      <c r="A300" s="5" t="str">
        <f>D300</f>
        <v>ЩК2 (S2)</v>
      </c>
      <c r="B300" s="6"/>
      <c r="C300" s="7"/>
      <c r="D300" s="6" t="s">
        <v>275</v>
      </c>
      <c r="E300" s="8"/>
      <c r="F300" s="8" t="s">
        <v>40</v>
      </c>
      <c r="G300" s="9"/>
      <c r="H300" s="10">
        <v>16</v>
      </c>
      <c r="I300" s="11" t="s">
        <v>7</v>
      </c>
      <c r="J300" s="6" t="s">
        <v>9</v>
      </c>
      <c r="K300" s="5" t="s">
        <v>134</v>
      </c>
    </row>
    <row r="301" spans="1:12" ht="21" hidden="1" customHeight="1" x14ac:dyDescent="0.25">
      <c r="A301" s="12" t="str">
        <f>A300</f>
        <v>ЩК2 (S2)</v>
      </c>
      <c r="B301" s="13" t="s">
        <v>8</v>
      </c>
      <c r="C301" s="14" t="s">
        <v>233</v>
      </c>
      <c r="D301" s="12" t="s">
        <v>234</v>
      </c>
      <c r="E301" s="13">
        <v>10050</v>
      </c>
      <c r="F301" s="15">
        <f t="shared" ref="F301:F307" si="183">E301*0.6</f>
        <v>6030</v>
      </c>
      <c r="G301" s="15">
        <f t="shared" ref="G301:G309" si="184">H301*F301</f>
        <v>6030</v>
      </c>
      <c r="H301" s="16">
        <v>1</v>
      </c>
      <c r="I301" s="17" t="s">
        <v>13</v>
      </c>
      <c r="J301" s="13" t="s">
        <v>16</v>
      </c>
      <c r="K301" s="12" t="str">
        <f>K300</f>
        <v>2853_01_01_S2_EM01_01_M3</v>
      </c>
      <c r="L301">
        <v>6030</v>
      </c>
    </row>
    <row r="302" spans="1:12" ht="21" hidden="1" customHeight="1" x14ac:dyDescent="0.25">
      <c r="A302" s="12" t="str">
        <f t="shared" ref="A302" si="185">A301</f>
        <v>ЩК2 (S2)</v>
      </c>
      <c r="B302" s="13" t="s">
        <v>48</v>
      </c>
      <c r="C302" s="14" t="s">
        <v>129</v>
      </c>
      <c r="D302" s="12" t="s">
        <v>130</v>
      </c>
      <c r="E302" s="13">
        <v>2824</v>
      </c>
      <c r="F302" s="15">
        <f t="shared" si="183"/>
        <v>1694.3999999999999</v>
      </c>
      <c r="G302" s="15">
        <f t="shared" si="184"/>
        <v>1694.3999999999999</v>
      </c>
      <c r="H302" s="16">
        <v>1</v>
      </c>
      <c r="I302" s="17" t="s">
        <v>13</v>
      </c>
      <c r="J302" s="13" t="s">
        <v>17</v>
      </c>
      <c r="K302" s="12" t="str">
        <f t="shared" ref="K302" si="186">K301</f>
        <v>2853_01_01_S2_EM01_01_M3</v>
      </c>
      <c r="L302">
        <v>1694.3999999999999</v>
      </c>
    </row>
    <row r="303" spans="1:12" ht="21" hidden="1" customHeight="1" x14ac:dyDescent="0.25">
      <c r="A303" s="12" t="str">
        <f>A301</f>
        <v>ЩК2 (S2)</v>
      </c>
      <c r="B303" s="13" t="s">
        <v>21</v>
      </c>
      <c r="C303" s="14" t="s">
        <v>131</v>
      </c>
      <c r="D303" s="12" t="s">
        <v>132</v>
      </c>
      <c r="E303" s="13">
        <v>5556</v>
      </c>
      <c r="F303" s="15">
        <f t="shared" si="183"/>
        <v>3333.6</v>
      </c>
      <c r="G303" s="15">
        <f t="shared" si="184"/>
        <v>3333.6</v>
      </c>
      <c r="H303" s="16">
        <v>1</v>
      </c>
      <c r="I303" s="17" t="s">
        <v>13</v>
      </c>
      <c r="J303" s="13" t="s">
        <v>17</v>
      </c>
      <c r="K303" s="12" t="str">
        <f>K301</f>
        <v>2853_01_01_S2_EM01_01_M3</v>
      </c>
      <c r="L303">
        <v>3333.6</v>
      </c>
    </row>
    <row r="304" spans="1:12" ht="21" hidden="1" customHeight="1" x14ac:dyDescent="0.25">
      <c r="A304" s="12" t="str">
        <f>A302</f>
        <v>ЩК2 (S2)</v>
      </c>
      <c r="B304" s="13" t="s">
        <v>21</v>
      </c>
      <c r="C304" s="14" t="s">
        <v>124</v>
      </c>
      <c r="D304" s="12" t="s">
        <v>125</v>
      </c>
      <c r="E304" s="13">
        <v>5632</v>
      </c>
      <c r="F304" s="15">
        <f t="shared" si="183"/>
        <v>3379.2</v>
      </c>
      <c r="G304" s="15">
        <f t="shared" si="184"/>
        <v>3379.2</v>
      </c>
      <c r="H304" s="16">
        <v>1</v>
      </c>
      <c r="I304" s="17" t="s">
        <v>13</v>
      </c>
      <c r="J304" s="13" t="s">
        <v>17</v>
      </c>
      <c r="K304" s="12" t="str">
        <f>K302</f>
        <v>2853_01_01_S2_EM01_01_M3</v>
      </c>
      <c r="L304">
        <v>3379.2</v>
      </c>
    </row>
    <row r="305" spans="1:12" ht="21" hidden="1" customHeight="1" x14ac:dyDescent="0.25">
      <c r="A305" s="12" t="str">
        <f t="shared" ref="A305" si="187">A304</f>
        <v>ЩК2 (S2)</v>
      </c>
      <c r="B305" s="13" t="s">
        <v>128</v>
      </c>
      <c r="C305" s="14" t="s">
        <v>126</v>
      </c>
      <c r="D305" s="12" t="s">
        <v>127</v>
      </c>
      <c r="E305" s="13">
        <v>7795</v>
      </c>
      <c r="F305" s="15">
        <f t="shared" si="183"/>
        <v>4677</v>
      </c>
      <c r="G305" s="15">
        <f t="shared" si="184"/>
        <v>4677</v>
      </c>
      <c r="H305" s="16">
        <v>1</v>
      </c>
      <c r="I305" s="17" t="s">
        <v>13</v>
      </c>
      <c r="J305" s="13" t="s">
        <v>17</v>
      </c>
      <c r="K305" s="12" t="str">
        <f t="shared" ref="K305" si="188">K304</f>
        <v>2853_01_01_S2_EM01_01_M3</v>
      </c>
      <c r="L305">
        <v>4677</v>
      </c>
    </row>
    <row r="306" spans="1:12" ht="21" hidden="1" customHeight="1" x14ac:dyDescent="0.25">
      <c r="A306" s="12" t="str">
        <f>A300</f>
        <v>ЩК2 (S2)</v>
      </c>
      <c r="B306" s="13" t="s">
        <v>12</v>
      </c>
      <c r="C306" s="14" t="s">
        <v>67</v>
      </c>
      <c r="D306" s="12" t="s">
        <v>68</v>
      </c>
      <c r="E306" s="13">
        <v>796</v>
      </c>
      <c r="F306" s="15">
        <f t="shared" si="183"/>
        <v>477.59999999999997</v>
      </c>
      <c r="G306" s="15">
        <f t="shared" si="184"/>
        <v>1910.3999999999999</v>
      </c>
      <c r="H306" s="16">
        <v>4</v>
      </c>
      <c r="I306" s="17" t="s">
        <v>13</v>
      </c>
      <c r="J306" s="13" t="s">
        <v>17</v>
      </c>
      <c r="K306" s="12" t="str">
        <f>K300</f>
        <v>2853_01_01_S2_EM01_01_M3</v>
      </c>
      <c r="L306">
        <v>1910.3999999999999</v>
      </c>
    </row>
    <row r="307" spans="1:12" ht="21" hidden="1" customHeight="1" x14ac:dyDescent="0.25">
      <c r="A307" s="12" t="str">
        <f>A301</f>
        <v>ЩК2 (S2)</v>
      </c>
      <c r="B307" s="13" t="s">
        <v>12</v>
      </c>
      <c r="C307" s="14" t="s">
        <v>36</v>
      </c>
      <c r="D307" s="12" t="s">
        <v>37</v>
      </c>
      <c r="E307" s="13">
        <v>783</v>
      </c>
      <c r="F307" s="15">
        <f t="shared" si="183"/>
        <v>469.79999999999995</v>
      </c>
      <c r="G307" s="15">
        <f t="shared" si="184"/>
        <v>469.79999999999995</v>
      </c>
      <c r="H307" s="16">
        <v>1</v>
      </c>
      <c r="I307" s="17" t="s">
        <v>13</v>
      </c>
      <c r="J307" s="13" t="s">
        <v>17</v>
      </c>
      <c r="K307" s="12" t="str">
        <f>K301</f>
        <v>2853_01_01_S2_EM01_01_M3</v>
      </c>
      <c r="L307">
        <v>469.79999999999995</v>
      </c>
    </row>
    <row r="308" spans="1:12" ht="24" hidden="1" customHeight="1" x14ac:dyDescent="0.25">
      <c r="A308" s="12" t="str">
        <f t="shared" ref="A308:A310" si="189">A307</f>
        <v>ЩК2 (S2)</v>
      </c>
      <c r="B308" s="12" t="s">
        <v>10</v>
      </c>
      <c r="C308" s="18" t="s">
        <v>10</v>
      </c>
      <c r="D308" s="12" t="s">
        <v>10</v>
      </c>
      <c r="E308" s="12">
        <f ca="1">OFFSET(E308,1,2)</f>
        <v>4200</v>
      </c>
      <c r="F308" s="15">
        <f ca="1">E308</f>
        <v>4200</v>
      </c>
      <c r="G308" s="15">
        <f t="shared" ca="1" si="184"/>
        <v>4200</v>
      </c>
      <c r="H308" s="12">
        <v>1</v>
      </c>
      <c r="I308" s="12" t="s">
        <v>13</v>
      </c>
      <c r="J308" s="12" t="s">
        <v>10</v>
      </c>
      <c r="K308" s="12" t="str">
        <f t="shared" ref="K308:K310" si="190">K307</f>
        <v>2853_01_01_S2_EM01_01_M3</v>
      </c>
      <c r="L308">
        <v>4200</v>
      </c>
    </row>
    <row r="309" spans="1:12" ht="21" hidden="1" customHeight="1" x14ac:dyDescent="0.25">
      <c r="A309" s="12" t="str">
        <f t="shared" si="189"/>
        <v>ЩК2 (S2)</v>
      </c>
      <c r="B309" s="12" t="s">
        <v>11</v>
      </c>
      <c r="C309" s="18" t="s">
        <v>11</v>
      </c>
      <c r="D309" s="12" t="s">
        <v>11</v>
      </c>
      <c r="E309" s="12">
        <v>0.7</v>
      </c>
      <c r="F309" s="15">
        <v>100</v>
      </c>
      <c r="G309" s="15">
        <f t="shared" si="184"/>
        <v>4200</v>
      </c>
      <c r="H309" s="12">
        <f>60*E309</f>
        <v>42</v>
      </c>
      <c r="I309" s="12" t="s">
        <v>13</v>
      </c>
      <c r="J309" s="12" t="s">
        <v>11</v>
      </c>
      <c r="K309" s="12" t="str">
        <f t="shared" si="190"/>
        <v>2853_01_01_S2_EM01_01_M3</v>
      </c>
      <c r="L309">
        <v>4200</v>
      </c>
    </row>
    <row r="310" spans="1:12" ht="30" customHeight="1" x14ac:dyDescent="0.25">
      <c r="A310" s="12" t="str">
        <f t="shared" si="189"/>
        <v>ЩК2 (S2)</v>
      </c>
      <c r="B310" s="19"/>
      <c r="C310" s="20"/>
      <c r="D310" s="21"/>
      <c r="E310" s="23"/>
      <c r="F310" s="25"/>
      <c r="G310" s="24">
        <f ca="1">SUM(G301:G309)</f>
        <v>29894.400000000001</v>
      </c>
      <c r="H310" s="20"/>
      <c r="I310" s="22"/>
      <c r="J310" s="20"/>
      <c r="K310" s="12" t="str">
        <f t="shared" si="190"/>
        <v>2853_01_01_S2_EM01_01_M3</v>
      </c>
      <c r="L310">
        <v>29894.400000000001</v>
      </c>
    </row>
    <row r="311" spans="1:12" ht="39.75" customHeight="1" x14ac:dyDescent="0.25">
      <c r="A311" s="5" t="str">
        <f>D311</f>
        <v>ЯТП-0,25-23УЗ (S2)</v>
      </c>
      <c r="B311" s="6"/>
      <c r="C311" s="7"/>
      <c r="D311" s="6" t="s">
        <v>332</v>
      </c>
      <c r="E311" s="8"/>
      <c r="F311" s="8"/>
      <c r="G311" s="9"/>
      <c r="H311" s="10">
        <v>1</v>
      </c>
      <c r="I311" s="11" t="s">
        <v>7</v>
      </c>
      <c r="J311" s="6" t="s">
        <v>9</v>
      </c>
      <c r="K311" s="5" t="s">
        <v>134</v>
      </c>
    </row>
    <row r="312" spans="1:12" ht="39.75" customHeight="1" x14ac:dyDescent="0.25">
      <c r="A312" s="5" t="str">
        <f>D312</f>
        <v>ЩО-3бл. (S3)</v>
      </c>
      <c r="B312" s="6"/>
      <c r="C312" s="7"/>
      <c r="D312" s="6" t="s">
        <v>276</v>
      </c>
      <c r="E312" s="8"/>
      <c r="F312" s="8" t="s">
        <v>40</v>
      </c>
      <c r="G312" s="9"/>
      <c r="H312" s="10">
        <v>1</v>
      </c>
      <c r="I312" s="11" t="s">
        <v>7</v>
      </c>
      <c r="J312" s="6" t="s">
        <v>9</v>
      </c>
      <c r="K312" s="5" t="s">
        <v>137</v>
      </c>
    </row>
    <row r="313" spans="1:12" ht="21" hidden="1" customHeight="1" x14ac:dyDescent="0.25">
      <c r="A313" s="12" t="str">
        <f>A312</f>
        <v>ЩО-3бл. (S3)</v>
      </c>
      <c r="B313" s="13" t="s">
        <v>8</v>
      </c>
      <c r="C313" s="14" t="s">
        <v>237</v>
      </c>
      <c r="D313" s="12" t="s">
        <v>238</v>
      </c>
      <c r="E313" s="13">
        <v>11700</v>
      </c>
      <c r="F313" s="15">
        <f>E313*0.6</f>
        <v>7020</v>
      </c>
      <c r="G313" s="15">
        <f t="shared" ref="G313:G318" si="191">H313*F313</f>
        <v>7020</v>
      </c>
      <c r="H313" s="16">
        <v>1</v>
      </c>
      <c r="I313" s="17" t="s">
        <v>13</v>
      </c>
      <c r="J313" s="13" t="s">
        <v>244</v>
      </c>
      <c r="K313" s="12" t="str">
        <f>K312</f>
        <v>2853_01_01_S3_EM01_01_M3</v>
      </c>
      <c r="L313">
        <v>7020</v>
      </c>
    </row>
    <row r="314" spans="1:12" ht="21" hidden="1" customHeight="1" x14ac:dyDescent="0.25">
      <c r="A314" s="12" t="str">
        <f t="shared" ref="A314:A319" si="192">A313</f>
        <v>ЩО-3бл. (S3)</v>
      </c>
      <c r="B314" s="13" t="s">
        <v>48</v>
      </c>
      <c r="C314" s="14" t="s">
        <v>49</v>
      </c>
      <c r="D314" s="12" t="s">
        <v>50</v>
      </c>
      <c r="E314" s="13">
        <v>3372</v>
      </c>
      <c r="F314" s="15">
        <f t="shared" ref="F314:F315" si="193">E314*0.6</f>
        <v>2023.1999999999998</v>
      </c>
      <c r="G314" s="15">
        <f t="shared" si="191"/>
        <v>2023.1999999999998</v>
      </c>
      <c r="H314" s="16">
        <v>1</v>
      </c>
      <c r="I314" s="17" t="s">
        <v>13</v>
      </c>
      <c r="J314" s="13" t="s">
        <v>17</v>
      </c>
      <c r="K314" s="12" t="str">
        <f t="shared" ref="K314:K319" si="194">K313</f>
        <v>2853_01_01_S3_EM01_01_M3</v>
      </c>
      <c r="L314">
        <v>2023.1999999999998</v>
      </c>
    </row>
    <row r="315" spans="1:12" ht="21" hidden="1" customHeight="1" x14ac:dyDescent="0.25">
      <c r="A315" s="12" t="str">
        <f t="shared" si="192"/>
        <v>ЩО-3бл. (S3)</v>
      </c>
      <c r="B315" s="13" t="s">
        <v>12</v>
      </c>
      <c r="C315" s="14" t="s">
        <v>19</v>
      </c>
      <c r="D315" s="12" t="s">
        <v>20</v>
      </c>
      <c r="E315" s="13">
        <v>975</v>
      </c>
      <c r="F315" s="15">
        <f t="shared" si="193"/>
        <v>585</v>
      </c>
      <c r="G315" s="15">
        <f t="shared" si="191"/>
        <v>3510</v>
      </c>
      <c r="H315" s="16">
        <v>6</v>
      </c>
      <c r="I315" s="17" t="s">
        <v>13</v>
      </c>
      <c r="J315" s="13" t="s">
        <v>17</v>
      </c>
      <c r="K315" s="12" t="str">
        <f t="shared" si="194"/>
        <v>2853_01_01_S3_EM01_01_M3</v>
      </c>
      <c r="L315">
        <v>3510</v>
      </c>
    </row>
    <row r="316" spans="1:12" ht="21" hidden="1" customHeight="1" x14ac:dyDescent="0.25">
      <c r="A316" s="12" t="str">
        <f>A313</f>
        <v>ЩО-3бл. (S3)</v>
      </c>
      <c r="B316" s="13" t="s">
        <v>143</v>
      </c>
      <c r="C316" s="12" t="s">
        <v>170</v>
      </c>
      <c r="D316" s="12" t="s">
        <v>351</v>
      </c>
      <c r="E316" s="13">
        <v>6500</v>
      </c>
      <c r="F316" s="15">
        <f t="shared" ref="F316" si="195">E316</f>
        <v>6500</v>
      </c>
      <c r="G316" s="15">
        <f t="shared" si="191"/>
        <v>6500</v>
      </c>
      <c r="H316" s="16">
        <v>1</v>
      </c>
      <c r="I316" s="17" t="s">
        <v>13</v>
      </c>
      <c r="J316" s="13" t="s">
        <v>24</v>
      </c>
      <c r="K316" s="12" t="str">
        <f>K313</f>
        <v>2853_01_01_S3_EM01_01_M3</v>
      </c>
      <c r="L316">
        <v>6500</v>
      </c>
    </row>
    <row r="317" spans="1:12" ht="24" hidden="1" customHeight="1" x14ac:dyDescent="0.25">
      <c r="A317" s="12" t="str">
        <f>A315</f>
        <v>ЩО-3бл. (S3)</v>
      </c>
      <c r="B317" s="12" t="s">
        <v>10</v>
      </c>
      <c r="C317" s="18" t="s">
        <v>10</v>
      </c>
      <c r="D317" s="12" t="s">
        <v>10</v>
      </c>
      <c r="E317" s="12">
        <f ca="1">OFFSET(E317,1,2)</f>
        <v>3000</v>
      </c>
      <c r="F317" s="15">
        <f ca="1">E317</f>
        <v>3000</v>
      </c>
      <c r="G317" s="15">
        <f t="shared" ca="1" si="191"/>
        <v>3000</v>
      </c>
      <c r="H317" s="12">
        <v>1</v>
      </c>
      <c r="I317" s="12" t="s">
        <v>13</v>
      </c>
      <c r="J317" s="12" t="s">
        <v>10</v>
      </c>
      <c r="K317" s="12" t="str">
        <f>K315</f>
        <v>2853_01_01_S3_EM01_01_M3</v>
      </c>
      <c r="L317">
        <v>3000</v>
      </c>
    </row>
    <row r="318" spans="1:12" ht="21" hidden="1" customHeight="1" x14ac:dyDescent="0.25">
      <c r="A318" s="12" t="str">
        <f t="shared" si="192"/>
        <v>ЩО-3бл. (S3)</v>
      </c>
      <c r="B318" s="12" t="s">
        <v>11</v>
      </c>
      <c r="C318" s="18" t="s">
        <v>11</v>
      </c>
      <c r="D318" s="12" t="s">
        <v>11</v>
      </c>
      <c r="E318" s="12">
        <v>0.5</v>
      </c>
      <c r="F318" s="15">
        <v>100</v>
      </c>
      <c r="G318" s="15">
        <f t="shared" si="191"/>
        <v>3000</v>
      </c>
      <c r="H318" s="12">
        <f>60*E318</f>
        <v>30</v>
      </c>
      <c r="I318" s="12" t="s">
        <v>13</v>
      </c>
      <c r="J318" s="12" t="s">
        <v>11</v>
      </c>
      <c r="K318" s="12" t="str">
        <f t="shared" si="194"/>
        <v>2853_01_01_S3_EM01_01_M3</v>
      </c>
      <c r="L318">
        <v>3000</v>
      </c>
    </row>
    <row r="319" spans="1:12" ht="30" customHeight="1" x14ac:dyDescent="0.25">
      <c r="A319" s="12" t="str">
        <f t="shared" si="192"/>
        <v>ЩО-3бл. (S3)</v>
      </c>
      <c r="B319" s="19"/>
      <c r="C319" s="20"/>
      <c r="D319" s="21"/>
      <c r="E319" s="23"/>
      <c r="F319" s="25"/>
      <c r="G319" s="24">
        <f ca="1">SUM(G313:G318)</f>
        <v>25053.200000000001</v>
      </c>
      <c r="H319" s="20"/>
      <c r="I319" s="22"/>
      <c r="J319" s="20"/>
      <c r="K319" s="12" t="str">
        <f t="shared" si="194"/>
        <v>2853_01_01_S3_EM01_01_M3</v>
      </c>
      <c r="L319">
        <v>25053.200000000001</v>
      </c>
    </row>
    <row r="320" spans="1:12" ht="39.75" customHeight="1" x14ac:dyDescent="0.25">
      <c r="A320" s="5" t="str">
        <f>D320</f>
        <v>ЩАО-3бл.с Фотореле  (S3)</v>
      </c>
      <c r="B320" s="6"/>
      <c r="C320" s="7"/>
      <c r="D320" s="6" t="s">
        <v>366</v>
      </c>
      <c r="E320" s="8"/>
      <c r="F320" s="8" t="s">
        <v>40</v>
      </c>
      <c r="G320" s="9"/>
      <c r="H320" s="10">
        <v>1</v>
      </c>
      <c r="I320" s="11" t="s">
        <v>7</v>
      </c>
      <c r="J320" s="6" t="s">
        <v>9</v>
      </c>
      <c r="K320" s="5" t="s">
        <v>137</v>
      </c>
    </row>
    <row r="321" spans="1:12" ht="21" hidden="1" customHeight="1" x14ac:dyDescent="0.25">
      <c r="A321" s="12" t="str">
        <f>A320</f>
        <v>ЩАО-3бл.с Фотореле  (S3)</v>
      </c>
      <c r="B321" s="13" t="s">
        <v>8</v>
      </c>
      <c r="C321" s="14" t="s">
        <v>237</v>
      </c>
      <c r="D321" s="12" t="s">
        <v>238</v>
      </c>
      <c r="E321" s="13">
        <v>11700</v>
      </c>
      <c r="F321" s="15">
        <f>E321*0.6</f>
        <v>7020</v>
      </c>
      <c r="G321" s="15">
        <f t="shared" ref="G321:G326" si="196">H321*F321</f>
        <v>7020</v>
      </c>
      <c r="H321" s="16">
        <v>1</v>
      </c>
      <c r="I321" s="17" t="s">
        <v>13</v>
      </c>
      <c r="J321" s="13" t="s">
        <v>244</v>
      </c>
      <c r="K321" s="12" t="str">
        <f>K320</f>
        <v>2853_01_01_S3_EM01_01_M3</v>
      </c>
      <c r="L321">
        <v>7020</v>
      </c>
    </row>
    <row r="322" spans="1:12" ht="21" hidden="1" customHeight="1" x14ac:dyDescent="0.25">
      <c r="A322" s="12" t="str">
        <f t="shared" ref="A322:A327" si="197">A321</f>
        <v>ЩАО-3бл.с Фотореле  (S3)</v>
      </c>
      <c r="B322" s="13" t="s">
        <v>48</v>
      </c>
      <c r="C322" s="14" t="s">
        <v>49</v>
      </c>
      <c r="D322" s="12" t="s">
        <v>50</v>
      </c>
      <c r="E322" s="13">
        <v>3372</v>
      </c>
      <c r="F322" s="15">
        <f t="shared" ref="F322:F323" si="198">E322*0.6</f>
        <v>2023.1999999999998</v>
      </c>
      <c r="G322" s="15">
        <f t="shared" si="196"/>
        <v>2023.1999999999998</v>
      </c>
      <c r="H322" s="16">
        <v>1</v>
      </c>
      <c r="I322" s="17" t="s">
        <v>13</v>
      </c>
      <c r="J322" s="13" t="s">
        <v>17</v>
      </c>
      <c r="K322" s="12" t="str">
        <f t="shared" ref="K322:K327" si="199">K321</f>
        <v>2853_01_01_S3_EM01_01_M3</v>
      </c>
      <c r="L322">
        <v>2023.1999999999998</v>
      </c>
    </row>
    <row r="323" spans="1:12" ht="21" hidden="1" customHeight="1" x14ac:dyDescent="0.25">
      <c r="A323" s="12" t="str">
        <f t="shared" si="197"/>
        <v>ЩАО-3бл.с Фотореле  (S3)</v>
      </c>
      <c r="B323" s="13" t="s">
        <v>12</v>
      </c>
      <c r="C323" s="14" t="s">
        <v>19</v>
      </c>
      <c r="D323" s="12" t="s">
        <v>20</v>
      </c>
      <c r="E323" s="13">
        <v>975</v>
      </c>
      <c r="F323" s="15">
        <f t="shared" si="198"/>
        <v>585</v>
      </c>
      <c r="G323" s="15">
        <f t="shared" si="196"/>
        <v>2925</v>
      </c>
      <c r="H323" s="16">
        <v>5</v>
      </c>
      <c r="I323" s="17" t="s">
        <v>13</v>
      </c>
      <c r="J323" s="13" t="s">
        <v>17</v>
      </c>
      <c r="K323" s="12" t="str">
        <f t="shared" si="199"/>
        <v>2853_01_01_S3_EM01_01_M3</v>
      </c>
      <c r="L323">
        <v>2925</v>
      </c>
    </row>
    <row r="324" spans="1:12" ht="21" hidden="1" customHeight="1" x14ac:dyDescent="0.25">
      <c r="A324" s="12" t="str">
        <f>A321</f>
        <v>ЩАО-3бл.с Фотореле  (S3)</v>
      </c>
      <c r="B324" s="13" t="s">
        <v>143</v>
      </c>
      <c r="C324" s="12" t="s">
        <v>170</v>
      </c>
      <c r="D324" s="12" t="s">
        <v>351</v>
      </c>
      <c r="E324" s="13">
        <v>6500</v>
      </c>
      <c r="F324" s="15">
        <f t="shared" ref="F324" si="200">E324</f>
        <v>6500</v>
      </c>
      <c r="G324" s="15">
        <f t="shared" si="196"/>
        <v>6500</v>
      </c>
      <c r="H324" s="16">
        <v>1</v>
      </c>
      <c r="I324" s="17" t="s">
        <v>13</v>
      </c>
      <c r="J324" s="13" t="s">
        <v>24</v>
      </c>
      <c r="K324" s="12" t="str">
        <f>K321</f>
        <v>2853_01_01_S3_EM01_01_M3</v>
      </c>
      <c r="L324">
        <v>6500</v>
      </c>
    </row>
    <row r="325" spans="1:12" ht="24" hidden="1" customHeight="1" x14ac:dyDescent="0.25">
      <c r="A325" s="12" t="str">
        <f>A323</f>
        <v>ЩАО-3бл.с Фотореле  (S3)</v>
      </c>
      <c r="B325" s="12" t="s">
        <v>10</v>
      </c>
      <c r="C325" s="18" t="s">
        <v>10</v>
      </c>
      <c r="D325" s="12" t="s">
        <v>10</v>
      </c>
      <c r="E325" s="12">
        <f ca="1">OFFSET(E325,1,2)</f>
        <v>4200</v>
      </c>
      <c r="F325" s="15">
        <f ca="1">E325</f>
        <v>4200</v>
      </c>
      <c r="G325" s="15">
        <f t="shared" ca="1" si="196"/>
        <v>4200</v>
      </c>
      <c r="H325" s="12">
        <v>1</v>
      </c>
      <c r="I325" s="12" t="s">
        <v>13</v>
      </c>
      <c r="J325" s="12" t="s">
        <v>10</v>
      </c>
      <c r="K325" s="12" t="str">
        <f>K323</f>
        <v>2853_01_01_S3_EM01_01_M3</v>
      </c>
      <c r="L325">
        <v>4200</v>
      </c>
    </row>
    <row r="326" spans="1:12" ht="21" hidden="1" customHeight="1" x14ac:dyDescent="0.25">
      <c r="A326" s="12" t="str">
        <f t="shared" si="197"/>
        <v>ЩАО-3бл.с Фотореле  (S3)</v>
      </c>
      <c r="B326" s="12" t="s">
        <v>11</v>
      </c>
      <c r="C326" s="18" t="s">
        <v>11</v>
      </c>
      <c r="D326" s="12" t="s">
        <v>11</v>
      </c>
      <c r="E326" s="12">
        <v>0.7</v>
      </c>
      <c r="F326" s="15">
        <v>100</v>
      </c>
      <c r="G326" s="15">
        <f t="shared" si="196"/>
        <v>4200</v>
      </c>
      <c r="H326" s="12">
        <f>60*E326</f>
        <v>42</v>
      </c>
      <c r="I326" s="12" t="s">
        <v>13</v>
      </c>
      <c r="J326" s="12" t="s">
        <v>11</v>
      </c>
      <c r="K326" s="12" t="str">
        <f t="shared" si="199"/>
        <v>2853_01_01_S3_EM01_01_M3</v>
      </c>
      <c r="L326">
        <v>4200</v>
      </c>
    </row>
    <row r="327" spans="1:12" ht="30" customHeight="1" x14ac:dyDescent="0.25">
      <c r="A327" s="12" t="str">
        <f t="shared" si="197"/>
        <v>ЩАО-3бл.с Фотореле  (S3)</v>
      </c>
      <c r="B327" s="19"/>
      <c r="C327" s="20"/>
      <c r="D327" s="21"/>
      <c r="E327" s="23"/>
      <c r="F327" s="25"/>
      <c r="G327" s="24">
        <f ca="1">SUM(G321:G326)</f>
        <v>26868.2</v>
      </c>
      <c r="H327" s="20"/>
      <c r="I327" s="22"/>
      <c r="J327" s="20"/>
      <c r="K327" s="12" t="str">
        <f t="shared" si="199"/>
        <v>2853_01_01_S3_EM01_01_M3</v>
      </c>
      <c r="L327">
        <v>26868.2</v>
      </c>
    </row>
    <row r="328" spans="1:12" ht="39.75" customHeight="1" x14ac:dyDescent="0.25">
      <c r="A328" s="5" t="str">
        <f>D328</f>
        <v>ЩСС-3бл. (S3)</v>
      </c>
      <c r="B328" s="6"/>
      <c r="C328" s="7"/>
      <c r="D328" s="6" t="s">
        <v>277</v>
      </c>
      <c r="E328" s="8"/>
      <c r="F328" s="8" t="s">
        <v>40</v>
      </c>
      <c r="G328" s="9"/>
      <c r="H328" s="10">
        <v>1</v>
      </c>
      <c r="I328" s="11" t="s">
        <v>7</v>
      </c>
      <c r="J328" s="6" t="s">
        <v>9</v>
      </c>
      <c r="K328" s="5" t="s">
        <v>137</v>
      </c>
    </row>
    <row r="329" spans="1:12" ht="21" hidden="1" customHeight="1" x14ac:dyDescent="0.25">
      <c r="A329" s="12" t="str">
        <f>A328</f>
        <v>ЩСС-3бл. (S3)</v>
      </c>
      <c r="B329" s="13" t="s">
        <v>8</v>
      </c>
      <c r="C329" s="14" t="s">
        <v>239</v>
      </c>
      <c r="D329" s="12" t="s">
        <v>240</v>
      </c>
      <c r="E329" s="13">
        <v>8990</v>
      </c>
      <c r="F329" s="15">
        <f>E329*0.6</f>
        <v>5394</v>
      </c>
      <c r="G329" s="15">
        <f t="shared" ref="G329:G334" si="201">H329*F329</f>
        <v>5394</v>
      </c>
      <c r="H329" s="16">
        <v>1</v>
      </c>
      <c r="I329" s="17" t="s">
        <v>13</v>
      </c>
      <c r="J329" s="13" t="s">
        <v>244</v>
      </c>
      <c r="K329" s="12" t="str">
        <f>K328</f>
        <v>2853_01_01_S3_EM01_01_M3</v>
      </c>
      <c r="L329">
        <v>5394</v>
      </c>
    </row>
    <row r="330" spans="1:12" ht="21" hidden="1" customHeight="1" x14ac:dyDescent="0.25">
      <c r="A330" s="12" t="str">
        <f t="shared" ref="A330:A335" si="202">A329</f>
        <v>ЩСС-3бл. (S3)</v>
      </c>
      <c r="B330" s="13" t="s">
        <v>48</v>
      </c>
      <c r="C330" s="14" t="s">
        <v>49</v>
      </c>
      <c r="D330" s="12" t="s">
        <v>50</v>
      </c>
      <c r="E330" s="13">
        <v>3372</v>
      </c>
      <c r="F330" s="15">
        <f t="shared" ref="F330:F332" si="203">E330*0.6</f>
        <v>2023.1999999999998</v>
      </c>
      <c r="G330" s="15">
        <f t="shared" si="201"/>
        <v>2023.1999999999998</v>
      </c>
      <c r="H330" s="16">
        <v>1</v>
      </c>
      <c r="I330" s="17" t="s">
        <v>13</v>
      </c>
      <c r="J330" s="13" t="s">
        <v>17</v>
      </c>
      <c r="K330" s="12" t="str">
        <f t="shared" ref="K330:K335" si="204">K329</f>
        <v>2853_01_01_S3_EM01_01_M3</v>
      </c>
      <c r="L330">
        <v>2023.1999999999998</v>
      </c>
    </row>
    <row r="331" spans="1:12" ht="21" hidden="1" customHeight="1" x14ac:dyDescent="0.25">
      <c r="A331" s="12" t="str">
        <f>A329</f>
        <v>ЩСС-3бл. (S3)</v>
      </c>
      <c r="B331" s="13" t="s">
        <v>21</v>
      </c>
      <c r="C331" s="14" t="s">
        <v>111</v>
      </c>
      <c r="D331" s="12" t="s">
        <v>112</v>
      </c>
      <c r="E331" s="13">
        <v>5719</v>
      </c>
      <c r="F331" s="15">
        <f t="shared" si="203"/>
        <v>3431.4</v>
      </c>
      <c r="G331" s="15">
        <f t="shared" si="201"/>
        <v>10294.200000000001</v>
      </c>
      <c r="H331" s="16">
        <v>3</v>
      </c>
      <c r="I331" s="17" t="s">
        <v>13</v>
      </c>
      <c r="J331" s="13" t="s">
        <v>17</v>
      </c>
      <c r="K331" s="12" t="str">
        <f>K329</f>
        <v>2853_01_01_S3_EM01_01_M3</v>
      </c>
      <c r="L331">
        <v>10294.200000000001</v>
      </c>
    </row>
    <row r="332" spans="1:12" ht="21" hidden="1" customHeight="1" x14ac:dyDescent="0.25">
      <c r="A332" s="12" t="str">
        <f>A329</f>
        <v>ЩСС-3бл. (S3)</v>
      </c>
      <c r="B332" s="13" t="s">
        <v>12</v>
      </c>
      <c r="C332" s="14" t="s">
        <v>46</v>
      </c>
      <c r="D332" s="12" t="s">
        <v>47</v>
      </c>
      <c r="E332" s="13">
        <v>783</v>
      </c>
      <c r="F332" s="15">
        <f t="shared" si="203"/>
        <v>469.79999999999995</v>
      </c>
      <c r="G332" s="15">
        <f t="shared" si="201"/>
        <v>469.79999999999995</v>
      </c>
      <c r="H332" s="16">
        <v>1</v>
      </c>
      <c r="I332" s="17" t="s">
        <v>13</v>
      </c>
      <c r="J332" s="13" t="s">
        <v>17</v>
      </c>
      <c r="K332" s="12" t="str">
        <f>K329</f>
        <v>2853_01_01_S3_EM01_01_M3</v>
      </c>
      <c r="L332">
        <v>469.79999999999995</v>
      </c>
    </row>
    <row r="333" spans="1:12" ht="24" hidden="1" customHeight="1" x14ac:dyDescent="0.25">
      <c r="A333" s="12" t="str">
        <f t="shared" si="202"/>
        <v>ЩСС-3бл. (S3)</v>
      </c>
      <c r="B333" s="12" t="s">
        <v>10</v>
      </c>
      <c r="C333" s="18" t="s">
        <v>10</v>
      </c>
      <c r="D333" s="12" t="s">
        <v>10</v>
      </c>
      <c r="E333" s="12">
        <f ca="1">OFFSET(E333,1,2)</f>
        <v>3000</v>
      </c>
      <c r="F333" s="15">
        <f ca="1">E333</f>
        <v>3000</v>
      </c>
      <c r="G333" s="15">
        <f t="shared" ca="1" si="201"/>
        <v>3000</v>
      </c>
      <c r="H333" s="12">
        <v>1</v>
      </c>
      <c r="I333" s="12" t="s">
        <v>13</v>
      </c>
      <c r="J333" s="12" t="s">
        <v>10</v>
      </c>
      <c r="K333" s="12" t="str">
        <f t="shared" si="204"/>
        <v>2853_01_01_S3_EM01_01_M3</v>
      </c>
      <c r="L333">
        <v>3000</v>
      </c>
    </row>
    <row r="334" spans="1:12" ht="21" hidden="1" customHeight="1" x14ac:dyDescent="0.25">
      <c r="A334" s="12" t="str">
        <f t="shared" si="202"/>
        <v>ЩСС-3бл. (S3)</v>
      </c>
      <c r="B334" s="12" t="s">
        <v>11</v>
      </c>
      <c r="C334" s="18" t="s">
        <v>11</v>
      </c>
      <c r="D334" s="12" t="s">
        <v>11</v>
      </c>
      <c r="E334" s="12">
        <v>0.5</v>
      </c>
      <c r="F334" s="15">
        <v>100</v>
      </c>
      <c r="G334" s="15">
        <f t="shared" si="201"/>
        <v>3000</v>
      </c>
      <c r="H334" s="12">
        <f>60*E334</f>
        <v>30</v>
      </c>
      <c r="I334" s="12" t="s">
        <v>13</v>
      </c>
      <c r="J334" s="12" t="s">
        <v>11</v>
      </c>
      <c r="K334" s="12" t="str">
        <f t="shared" si="204"/>
        <v>2853_01_01_S3_EM01_01_M3</v>
      </c>
      <c r="L334">
        <v>3000</v>
      </c>
    </row>
    <row r="335" spans="1:12" ht="30" customHeight="1" x14ac:dyDescent="0.25">
      <c r="A335" s="12" t="str">
        <f t="shared" si="202"/>
        <v>ЩСС-3бл. (S3)</v>
      </c>
      <c r="B335" s="19"/>
      <c r="C335" s="20"/>
      <c r="D335" s="21"/>
      <c r="E335" s="23"/>
      <c r="F335" s="25"/>
      <c r="G335" s="24">
        <f ca="1">SUM(G329:G334)</f>
        <v>24181.200000000001</v>
      </c>
      <c r="H335" s="20"/>
      <c r="I335" s="22"/>
      <c r="J335" s="20"/>
      <c r="K335" s="12" t="str">
        <f t="shared" si="204"/>
        <v>2853_01_01_S3_EM01_01_M3</v>
      </c>
      <c r="L335">
        <v>24181.200000000001</v>
      </c>
    </row>
    <row r="336" spans="1:12" ht="39.75" customHeight="1" x14ac:dyDescent="0.25">
      <c r="A336" s="5" t="str">
        <f>D336</f>
        <v>ЩС-3бл.  (S3)</v>
      </c>
      <c r="B336" s="6"/>
      <c r="C336" s="7"/>
      <c r="D336" s="6" t="s">
        <v>278</v>
      </c>
      <c r="E336" s="8"/>
      <c r="F336" s="8" t="s">
        <v>40</v>
      </c>
      <c r="G336" s="9"/>
      <c r="H336" s="10">
        <v>1</v>
      </c>
      <c r="I336" s="11" t="s">
        <v>7</v>
      </c>
      <c r="J336" s="6" t="s">
        <v>9</v>
      </c>
      <c r="K336" s="5" t="s">
        <v>137</v>
      </c>
    </row>
    <row r="337" spans="1:12" ht="21" hidden="1" customHeight="1" x14ac:dyDescent="0.25">
      <c r="A337" s="12" t="str">
        <f>A336</f>
        <v>ЩС-3бл.  (S3)</v>
      </c>
      <c r="B337" s="13" t="s">
        <v>8</v>
      </c>
      <c r="C337" s="14" t="s">
        <v>241</v>
      </c>
      <c r="D337" s="12" t="s">
        <v>242</v>
      </c>
      <c r="E337" s="13">
        <v>14900</v>
      </c>
      <c r="F337" s="15">
        <f>E337*0.6</f>
        <v>8940</v>
      </c>
      <c r="G337" s="15">
        <f t="shared" ref="G337:G345" si="205">H337*F337</f>
        <v>8940</v>
      </c>
      <c r="H337" s="16">
        <v>1</v>
      </c>
      <c r="I337" s="17" t="s">
        <v>13</v>
      </c>
      <c r="J337" s="13" t="s">
        <v>244</v>
      </c>
      <c r="K337" s="12" t="str">
        <f>K336</f>
        <v>2853_01_01_S3_EM01_01_M3</v>
      </c>
      <c r="L337">
        <v>8940</v>
      </c>
    </row>
    <row r="338" spans="1:12" ht="21" hidden="1" customHeight="1" x14ac:dyDescent="0.25">
      <c r="A338" s="12" t="str">
        <f t="shared" ref="A338" si="206">A337</f>
        <v>ЩС-3бл.  (S3)</v>
      </c>
      <c r="B338" s="13" t="s">
        <v>48</v>
      </c>
      <c r="C338" s="14" t="s">
        <v>51</v>
      </c>
      <c r="D338" s="12" t="s">
        <v>52</v>
      </c>
      <c r="E338" s="13">
        <v>3372</v>
      </c>
      <c r="F338" s="15">
        <f t="shared" ref="F338:F343" si="207">E338*0.6</f>
        <v>2023.1999999999998</v>
      </c>
      <c r="G338" s="15">
        <f t="shared" si="205"/>
        <v>2023.1999999999998</v>
      </c>
      <c r="H338" s="16">
        <v>1</v>
      </c>
      <c r="I338" s="17" t="s">
        <v>13</v>
      </c>
      <c r="J338" s="13" t="s">
        <v>17</v>
      </c>
      <c r="K338" s="12" t="str">
        <f t="shared" ref="K338" si="208">K337</f>
        <v>2853_01_01_S3_EM01_01_M3</v>
      </c>
      <c r="L338">
        <v>2023.1999999999998</v>
      </c>
    </row>
    <row r="339" spans="1:12" ht="21" hidden="1" customHeight="1" x14ac:dyDescent="0.25">
      <c r="A339" s="12" t="str">
        <f>A337</f>
        <v>ЩС-3бл.  (S3)</v>
      </c>
      <c r="B339" s="13" t="s">
        <v>21</v>
      </c>
      <c r="C339" s="14" t="s">
        <v>42</v>
      </c>
      <c r="D339" s="12" t="s">
        <v>43</v>
      </c>
      <c r="E339" s="13">
        <v>5104</v>
      </c>
      <c r="F339" s="15">
        <f t="shared" si="207"/>
        <v>3062.4</v>
      </c>
      <c r="G339" s="15">
        <f t="shared" si="205"/>
        <v>9187.2000000000007</v>
      </c>
      <c r="H339" s="16">
        <v>3</v>
      </c>
      <c r="I339" s="17" t="s">
        <v>13</v>
      </c>
      <c r="J339" s="13" t="s">
        <v>17</v>
      </c>
      <c r="K339" s="12" t="str">
        <f>K337</f>
        <v>2853_01_01_S3_EM01_01_M3</v>
      </c>
      <c r="L339">
        <v>9187.2000000000007</v>
      </c>
    </row>
    <row r="340" spans="1:12" ht="21" hidden="1" customHeight="1" x14ac:dyDescent="0.25">
      <c r="A340" s="12" t="str">
        <f>A338</f>
        <v>ЩС-3бл.  (S3)</v>
      </c>
      <c r="B340" s="13" t="s">
        <v>21</v>
      </c>
      <c r="C340" s="14" t="s">
        <v>111</v>
      </c>
      <c r="D340" s="12" t="s">
        <v>112</v>
      </c>
      <c r="E340" s="13">
        <v>5719</v>
      </c>
      <c r="F340" s="15">
        <f t="shared" si="207"/>
        <v>3431.4</v>
      </c>
      <c r="G340" s="15">
        <f t="shared" si="205"/>
        <v>10294.200000000001</v>
      </c>
      <c r="H340" s="16">
        <v>3</v>
      </c>
      <c r="I340" s="17" t="s">
        <v>13</v>
      </c>
      <c r="J340" s="13" t="s">
        <v>17</v>
      </c>
      <c r="K340" s="12" t="str">
        <f>K338</f>
        <v>2853_01_01_S3_EM01_01_M3</v>
      </c>
      <c r="L340">
        <v>10294.200000000001</v>
      </c>
    </row>
    <row r="341" spans="1:12" ht="21" hidden="1" customHeight="1" x14ac:dyDescent="0.25">
      <c r="A341" s="12" t="str">
        <f>A337</f>
        <v>ЩС-3бл.  (S3)</v>
      </c>
      <c r="B341" s="13" t="s">
        <v>12</v>
      </c>
      <c r="C341" s="14" t="s">
        <v>36</v>
      </c>
      <c r="D341" s="12" t="s">
        <v>37</v>
      </c>
      <c r="E341" s="13">
        <v>783</v>
      </c>
      <c r="F341" s="15">
        <f t="shared" si="207"/>
        <v>469.79999999999995</v>
      </c>
      <c r="G341" s="15">
        <f t="shared" si="205"/>
        <v>469.79999999999995</v>
      </c>
      <c r="H341" s="16">
        <v>1</v>
      </c>
      <c r="I341" s="17" t="s">
        <v>13</v>
      </c>
      <c r="J341" s="13" t="s">
        <v>17</v>
      </c>
      <c r="K341" s="12" t="str">
        <f>K337</f>
        <v>2853_01_01_S3_EM01_01_M3</v>
      </c>
      <c r="L341">
        <v>469.79999999999995</v>
      </c>
    </row>
    <row r="342" spans="1:12" ht="21" hidden="1" customHeight="1" x14ac:dyDescent="0.25">
      <c r="A342" s="12" t="str">
        <f>A338</f>
        <v>ЩС-3бл.  (S3)</v>
      </c>
      <c r="B342" s="13" t="s">
        <v>12</v>
      </c>
      <c r="C342" s="14" t="s">
        <v>46</v>
      </c>
      <c r="D342" s="12" t="s">
        <v>47</v>
      </c>
      <c r="E342" s="13">
        <v>783</v>
      </c>
      <c r="F342" s="15">
        <f t="shared" si="207"/>
        <v>469.79999999999995</v>
      </c>
      <c r="G342" s="15">
        <f t="shared" si="205"/>
        <v>469.79999999999995</v>
      </c>
      <c r="H342" s="16">
        <v>1</v>
      </c>
      <c r="I342" s="17" t="s">
        <v>13</v>
      </c>
      <c r="J342" s="13" t="s">
        <v>17</v>
      </c>
      <c r="K342" s="12" t="str">
        <f>K338</f>
        <v>2853_01_01_S3_EM01_01_M3</v>
      </c>
      <c r="L342">
        <v>469.79999999999995</v>
      </c>
    </row>
    <row r="343" spans="1:12" ht="21" hidden="1" customHeight="1" x14ac:dyDescent="0.25">
      <c r="A343" s="12" t="str">
        <f>A339</f>
        <v>ЩС-3бл.  (S3)</v>
      </c>
      <c r="B343" s="13" t="s">
        <v>119</v>
      </c>
      <c r="C343" s="14" t="s">
        <v>115</v>
      </c>
      <c r="D343" s="12" t="s">
        <v>116</v>
      </c>
      <c r="E343" s="13">
        <v>5354</v>
      </c>
      <c r="F343" s="15">
        <f t="shared" si="207"/>
        <v>3212.4</v>
      </c>
      <c r="G343" s="15">
        <f t="shared" si="205"/>
        <v>3212.4</v>
      </c>
      <c r="H343" s="16">
        <v>1</v>
      </c>
      <c r="I343" s="17" t="s">
        <v>13</v>
      </c>
      <c r="J343" s="13" t="s">
        <v>17</v>
      </c>
      <c r="K343" s="12" t="str">
        <f>K339</f>
        <v>2853_01_01_S3_EM01_01_M3</v>
      </c>
      <c r="L343">
        <v>3212.4</v>
      </c>
    </row>
    <row r="344" spans="1:12" ht="24" hidden="1" customHeight="1" x14ac:dyDescent="0.25">
      <c r="A344" s="12" t="str">
        <f>A338</f>
        <v>ЩС-3бл.  (S3)</v>
      </c>
      <c r="B344" s="12" t="s">
        <v>10</v>
      </c>
      <c r="C344" s="18" t="s">
        <v>10</v>
      </c>
      <c r="D344" s="12" t="s">
        <v>10</v>
      </c>
      <c r="E344" s="12">
        <f ca="1">OFFSET(E344,1,2)</f>
        <v>6000</v>
      </c>
      <c r="F344" s="15">
        <f ca="1">E344</f>
        <v>6000</v>
      </c>
      <c r="G344" s="15">
        <f t="shared" ca="1" si="205"/>
        <v>6000</v>
      </c>
      <c r="H344" s="12">
        <v>1</v>
      </c>
      <c r="I344" s="12" t="s">
        <v>13</v>
      </c>
      <c r="J344" s="12" t="s">
        <v>10</v>
      </c>
      <c r="K344" s="12" t="str">
        <f>K338</f>
        <v>2853_01_01_S3_EM01_01_M3</v>
      </c>
      <c r="L344">
        <v>6000</v>
      </c>
    </row>
    <row r="345" spans="1:12" ht="21" hidden="1" customHeight="1" x14ac:dyDescent="0.25">
      <c r="A345" s="12" t="str">
        <f t="shared" ref="A345:A346" si="209">A344</f>
        <v>ЩС-3бл.  (S3)</v>
      </c>
      <c r="B345" s="12" t="s">
        <v>11</v>
      </c>
      <c r="C345" s="18" t="s">
        <v>11</v>
      </c>
      <c r="D345" s="12" t="s">
        <v>11</v>
      </c>
      <c r="E345" s="12">
        <v>1</v>
      </c>
      <c r="F345" s="15">
        <v>100</v>
      </c>
      <c r="G345" s="15">
        <f t="shared" si="205"/>
        <v>6000</v>
      </c>
      <c r="H345" s="12">
        <f>60*E345</f>
        <v>60</v>
      </c>
      <c r="I345" s="12" t="s">
        <v>13</v>
      </c>
      <c r="J345" s="12" t="s">
        <v>11</v>
      </c>
      <c r="K345" s="12" t="str">
        <f t="shared" ref="K345:K346" si="210">K344</f>
        <v>2853_01_01_S3_EM01_01_M3</v>
      </c>
      <c r="L345">
        <v>6000</v>
      </c>
    </row>
    <row r="346" spans="1:12" ht="30" customHeight="1" x14ac:dyDescent="0.25">
      <c r="A346" s="12" t="str">
        <f t="shared" si="209"/>
        <v>ЩС-3бл.  (S3)</v>
      </c>
      <c r="B346" s="19"/>
      <c r="C346" s="20"/>
      <c r="D346" s="21"/>
      <c r="E346" s="23"/>
      <c r="F346" s="25"/>
      <c r="G346" s="24">
        <f ca="1">SUM(G337:G345)</f>
        <v>46596.6</v>
      </c>
      <c r="H346" s="20"/>
      <c r="I346" s="22"/>
      <c r="J346" s="20"/>
      <c r="K346" s="12" t="str">
        <f t="shared" si="210"/>
        <v>2853_01_01_S3_EM01_01_M3</v>
      </c>
      <c r="L346">
        <v>46596.6</v>
      </c>
    </row>
    <row r="347" spans="1:12" ht="39.75" customHeight="1" x14ac:dyDescent="0.25">
      <c r="A347" s="5" t="str">
        <f>D347</f>
        <v>ЩУкот (S3)</v>
      </c>
      <c r="B347" s="6"/>
      <c r="C347" s="7"/>
      <c r="D347" s="6" t="s">
        <v>279</v>
      </c>
      <c r="E347" s="8"/>
      <c r="F347" s="8" t="s">
        <v>40</v>
      </c>
      <c r="G347" s="9"/>
      <c r="H347" s="10">
        <v>1</v>
      </c>
      <c r="I347" s="11" t="s">
        <v>7</v>
      </c>
      <c r="J347" s="6" t="s">
        <v>9</v>
      </c>
      <c r="K347" s="5" t="s">
        <v>137</v>
      </c>
    </row>
    <row r="348" spans="1:12" ht="21" hidden="1" customHeight="1" x14ac:dyDescent="0.25">
      <c r="A348" s="12" t="str">
        <f>A347</f>
        <v>ЩУкот (S3)</v>
      </c>
      <c r="B348" s="13" t="s">
        <v>8</v>
      </c>
      <c r="C348" s="14" t="s">
        <v>235</v>
      </c>
      <c r="D348" s="12" t="s">
        <v>236</v>
      </c>
      <c r="E348" s="13">
        <v>65570</v>
      </c>
      <c r="F348" s="15">
        <f t="shared" ref="F348:F355" si="211">E348*0.6</f>
        <v>39342</v>
      </c>
      <c r="G348" s="15">
        <f t="shared" ref="G348:G357" si="212">H348*F348</f>
        <v>39342</v>
      </c>
      <c r="H348" s="16">
        <v>1</v>
      </c>
      <c r="I348" s="17" t="s">
        <v>13</v>
      </c>
      <c r="J348" s="13" t="s">
        <v>16</v>
      </c>
      <c r="K348" s="12" t="str">
        <f>K347</f>
        <v>2853_01_01_S3_EM01_01_M3</v>
      </c>
      <c r="L348">
        <v>39342</v>
      </c>
    </row>
    <row r="349" spans="1:12" ht="21" hidden="1" customHeight="1" x14ac:dyDescent="0.25">
      <c r="A349" s="12" t="str">
        <f t="shared" ref="A349:A358" si="213">A348</f>
        <v>ЩУкот (S3)</v>
      </c>
      <c r="B349" s="13" t="s">
        <v>48</v>
      </c>
      <c r="C349" s="14" t="s">
        <v>51</v>
      </c>
      <c r="D349" s="12" t="s">
        <v>52</v>
      </c>
      <c r="E349" s="13">
        <v>3372</v>
      </c>
      <c r="F349" s="15">
        <f t="shared" si="211"/>
        <v>2023.1999999999998</v>
      </c>
      <c r="G349" s="15">
        <f t="shared" si="212"/>
        <v>2023.1999999999998</v>
      </c>
      <c r="H349" s="16">
        <v>1</v>
      </c>
      <c r="I349" s="17" t="s">
        <v>13</v>
      </c>
      <c r="J349" s="13" t="s">
        <v>17</v>
      </c>
      <c r="K349" s="12" t="str">
        <f t="shared" ref="K349:K358" si="214">K348</f>
        <v>2853_01_01_S3_EM01_01_M3</v>
      </c>
      <c r="L349">
        <v>2023.1999999999998</v>
      </c>
    </row>
    <row r="350" spans="1:12" ht="21" hidden="1" customHeight="1" x14ac:dyDescent="0.25">
      <c r="A350" s="12" t="str">
        <f t="shared" si="213"/>
        <v>ЩУкот (S3)</v>
      </c>
      <c r="B350" s="13" t="s">
        <v>12</v>
      </c>
      <c r="C350" s="14" t="s">
        <v>151</v>
      </c>
      <c r="D350" s="12" t="s">
        <v>152</v>
      </c>
      <c r="E350" s="13">
        <v>3604</v>
      </c>
      <c r="F350" s="15">
        <f t="shared" si="211"/>
        <v>2162.4</v>
      </c>
      <c r="G350" s="15">
        <f t="shared" si="212"/>
        <v>4324.8</v>
      </c>
      <c r="H350" s="16">
        <v>2</v>
      </c>
      <c r="I350" s="17" t="s">
        <v>13</v>
      </c>
      <c r="J350" s="13" t="s">
        <v>17</v>
      </c>
      <c r="K350" s="12" t="str">
        <f t="shared" si="214"/>
        <v>2853_01_01_S3_EM01_01_M3</v>
      </c>
      <c r="L350">
        <v>4324.8</v>
      </c>
    </row>
    <row r="351" spans="1:12" ht="21" hidden="1" customHeight="1" x14ac:dyDescent="0.25">
      <c r="A351" s="12" t="str">
        <f t="shared" si="213"/>
        <v>ЩУкот (S3)</v>
      </c>
      <c r="B351" s="13" t="s">
        <v>12</v>
      </c>
      <c r="C351" s="14" t="s">
        <v>153</v>
      </c>
      <c r="D351" s="12" t="s">
        <v>154</v>
      </c>
      <c r="E351" s="13">
        <v>1099</v>
      </c>
      <c r="F351" s="15">
        <f t="shared" si="211"/>
        <v>659.4</v>
      </c>
      <c r="G351" s="15">
        <f t="shared" si="212"/>
        <v>1318.8</v>
      </c>
      <c r="H351" s="16">
        <v>2</v>
      </c>
      <c r="I351" s="17" t="s">
        <v>13</v>
      </c>
      <c r="J351" s="13" t="s">
        <v>17</v>
      </c>
      <c r="K351" s="12" t="str">
        <f t="shared" si="214"/>
        <v>2853_01_01_S3_EM01_01_M3</v>
      </c>
      <c r="L351">
        <v>1318.8</v>
      </c>
    </row>
    <row r="352" spans="1:12" ht="21" hidden="1" customHeight="1" x14ac:dyDescent="0.25">
      <c r="A352" s="12" t="str">
        <f t="shared" si="213"/>
        <v>ЩУкот (S3)</v>
      </c>
      <c r="B352" s="13" t="s">
        <v>12</v>
      </c>
      <c r="C352" s="14" t="s">
        <v>117</v>
      </c>
      <c r="D352" s="12" t="s">
        <v>118</v>
      </c>
      <c r="E352" s="13">
        <v>3644</v>
      </c>
      <c r="F352" s="15">
        <f t="shared" si="211"/>
        <v>2186.4</v>
      </c>
      <c r="G352" s="15">
        <f t="shared" si="212"/>
        <v>4372.8</v>
      </c>
      <c r="H352" s="16">
        <v>2</v>
      </c>
      <c r="I352" s="17" t="s">
        <v>13</v>
      </c>
      <c r="J352" s="13" t="s">
        <v>17</v>
      </c>
      <c r="K352" s="12" t="str">
        <f t="shared" si="214"/>
        <v>2853_01_01_S3_EM01_01_M3</v>
      </c>
      <c r="L352">
        <v>4372.8</v>
      </c>
    </row>
    <row r="353" spans="1:12" ht="21" hidden="1" customHeight="1" x14ac:dyDescent="0.25">
      <c r="A353" s="12" t="str">
        <f t="shared" si="213"/>
        <v>ЩУкот (S3)</v>
      </c>
      <c r="B353" s="13" t="s">
        <v>12</v>
      </c>
      <c r="C353" s="14" t="s">
        <v>113</v>
      </c>
      <c r="D353" s="12" t="s">
        <v>114</v>
      </c>
      <c r="E353" s="13">
        <v>1130</v>
      </c>
      <c r="F353" s="15">
        <f t="shared" si="211"/>
        <v>678</v>
      </c>
      <c r="G353" s="15">
        <f t="shared" si="212"/>
        <v>1356</v>
      </c>
      <c r="H353" s="16">
        <v>2</v>
      </c>
      <c r="I353" s="17" t="s">
        <v>13</v>
      </c>
      <c r="J353" s="13" t="s">
        <v>17</v>
      </c>
      <c r="K353" s="12" t="str">
        <f t="shared" si="214"/>
        <v>2853_01_01_S3_EM01_01_M3</v>
      </c>
      <c r="L353">
        <v>1356</v>
      </c>
    </row>
    <row r="354" spans="1:12" ht="21" hidden="1" customHeight="1" x14ac:dyDescent="0.25">
      <c r="A354" s="12" t="str">
        <f t="shared" si="213"/>
        <v>ЩУкот (S3)</v>
      </c>
      <c r="B354" s="13" t="s">
        <v>12</v>
      </c>
      <c r="C354" s="14" t="s">
        <v>19</v>
      </c>
      <c r="D354" s="12" t="s">
        <v>20</v>
      </c>
      <c r="E354" s="13">
        <v>975</v>
      </c>
      <c r="F354" s="15">
        <f t="shared" si="211"/>
        <v>585</v>
      </c>
      <c r="G354" s="15">
        <f t="shared" si="212"/>
        <v>11115</v>
      </c>
      <c r="H354" s="16">
        <v>19</v>
      </c>
      <c r="I354" s="17" t="s">
        <v>13</v>
      </c>
      <c r="J354" s="13" t="s">
        <v>17</v>
      </c>
      <c r="K354" s="12" t="str">
        <f t="shared" si="214"/>
        <v>2853_01_01_S3_EM01_01_M3</v>
      </c>
      <c r="L354">
        <v>11115</v>
      </c>
    </row>
    <row r="355" spans="1:12" ht="21" hidden="1" customHeight="1" x14ac:dyDescent="0.25">
      <c r="A355" s="12" t="str">
        <f t="shared" si="213"/>
        <v>ЩУкот (S3)</v>
      </c>
      <c r="B355" s="13" t="s">
        <v>119</v>
      </c>
      <c r="C355" s="14" t="s">
        <v>115</v>
      </c>
      <c r="D355" s="12" t="s">
        <v>116</v>
      </c>
      <c r="E355" s="13">
        <v>5354</v>
      </c>
      <c r="F355" s="15">
        <f t="shared" si="211"/>
        <v>3212.4</v>
      </c>
      <c r="G355" s="15">
        <f t="shared" si="212"/>
        <v>3212.4</v>
      </c>
      <c r="H355" s="16">
        <v>1</v>
      </c>
      <c r="I355" s="17" t="s">
        <v>13</v>
      </c>
      <c r="J355" s="13" t="s">
        <v>17</v>
      </c>
      <c r="K355" s="12" t="str">
        <f t="shared" si="214"/>
        <v>2853_01_01_S3_EM01_01_M3</v>
      </c>
      <c r="L355">
        <v>3212.4</v>
      </c>
    </row>
    <row r="356" spans="1:12" ht="24" hidden="1" customHeight="1" x14ac:dyDescent="0.25">
      <c r="A356" s="12" t="str">
        <f t="shared" si="213"/>
        <v>ЩУкот (S3)</v>
      </c>
      <c r="B356" s="12" t="s">
        <v>10</v>
      </c>
      <c r="C356" s="18" t="s">
        <v>10</v>
      </c>
      <c r="D356" s="12" t="s">
        <v>10</v>
      </c>
      <c r="E356" s="12">
        <f ca="1">OFFSET(E356,1,2)</f>
        <v>18000</v>
      </c>
      <c r="F356" s="15">
        <f ca="1">E356</f>
        <v>18000</v>
      </c>
      <c r="G356" s="15">
        <f t="shared" ca="1" si="212"/>
        <v>18000</v>
      </c>
      <c r="H356" s="12">
        <v>1</v>
      </c>
      <c r="I356" s="12" t="s">
        <v>13</v>
      </c>
      <c r="J356" s="12" t="s">
        <v>10</v>
      </c>
      <c r="K356" s="12" t="str">
        <f t="shared" si="214"/>
        <v>2853_01_01_S3_EM01_01_M3</v>
      </c>
      <c r="L356">
        <v>18000</v>
      </c>
    </row>
    <row r="357" spans="1:12" ht="21" hidden="1" customHeight="1" x14ac:dyDescent="0.25">
      <c r="A357" s="12" t="str">
        <f t="shared" si="213"/>
        <v>ЩУкот (S3)</v>
      </c>
      <c r="B357" s="12" t="s">
        <v>11</v>
      </c>
      <c r="C357" s="18" t="s">
        <v>11</v>
      </c>
      <c r="D357" s="12" t="s">
        <v>11</v>
      </c>
      <c r="E357" s="12">
        <v>3</v>
      </c>
      <c r="F357" s="15">
        <v>100</v>
      </c>
      <c r="G357" s="15">
        <f t="shared" si="212"/>
        <v>18000</v>
      </c>
      <c r="H357" s="12">
        <f>60*E357</f>
        <v>180</v>
      </c>
      <c r="I357" s="12" t="s">
        <v>13</v>
      </c>
      <c r="J357" s="12" t="s">
        <v>11</v>
      </c>
      <c r="K357" s="12" t="str">
        <f t="shared" si="214"/>
        <v>2853_01_01_S3_EM01_01_M3</v>
      </c>
      <c r="L357">
        <v>18000</v>
      </c>
    </row>
    <row r="358" spans="1:12" ht="30" customHeight="1" x14ac:dyDescent="0.25">
      <c r="A358" s="12" t="str">
        <f t="shared" si="213"/>
        <v>ЩУкот (S3)</v>
      </c>
      <c r="B358" s="19"/>
      <c r="C358" s="20"/>
      <c r="D358" s="21"/>
      <c r="E358" s="23"/>
      <c r="F358" s="25"/>
      <c r="G358" s="24">
        <f ca="1">SUM(G348:G357)</f>
        <v>103065</v>
      </c>
      <c r="H358" s="20"/>
      <c r="I358" s="22"/>
      <c r="J358" s="20"/>
      <c r="K358" s="12" t="str">
        <f t="shared" si="214"/>
        <v>2853_01_01_S3_EM01_01_M3</v>
      </c>
      <c r="L358">
        <v>103065</v>
      </c>
    </row>
    <row r="359" spans="1:12" ht="39.75" customHeight="1" x14ac:dyDescent="0.25">
      <c r="A359" s="5" t="str">
        <f>D359</f>
        <v>ЩЭ-4 (S3)</v>
      </c>
      <c r="B359" s="6"/>
      <c r="C359" s="7"/>
      <c r="D359" s="6" t="s">
        <v>280</v>
      </c>
      <c r="E359" s="8"/>
      <c r="F359" s="8" t="s">
        <v>40</v>
      </c>
      <c r="G359" s="9"/>
      <c r="H359" s="10">
        <v>8</v>
      </c>
      <c r="I359" s="11" t="s">
        <v>7</v>
      </c>
      <c r="J359" s="6" t="s">
        <v>9</v>
      </c>
      <c r="K359" s="5" t="s">
        <v>137</v>
      </c>
    </row>
    <row r="360" spans="1:12" ht="21" hidden="1" customHeight="1" x14ac:dyDescent="0.25">
      <c r="A360" s="12" t="str">
        <f>A359</f>
        <v>ЩЭ-4 (S3)</v>
      </c>
      <c r="B360" s="13" t="s">
        <v>8</v>
      </c>
      <c r="C360" s="14" t="s">
        <v>341</v>
      </c>
      <c r="D360" s="12" t="s">
        <v>336</v>
      </c>
      <c r="E360" s="13">
        <v>89000</v>
      </c>
      <c r="F360" s="15">
        <f t="shared" ref="F360:F365" si="215">E360*0.6</f>
        <v>53400</v>
      </c>
      <c r="G360" s="15">
        <f t="shared" ref="G360:G369" si="216">H360*F360</f>
        <v>53400</v>
      </c>
      <c r="H360" s="16">
        <v>1</v>
      </c>
      <c r="I360" s="17" t="s">
        <v>13</v>
      </c>
      <c r="J360" s="13" t="s">
        <v>16</v>
      </c>
      <c r="K360" s="12" t="str">
        <f>K359</f>
        <v>2853_01_01_S3_EM01_01_M3</v>
      </c>
      <c r="L360">
        <v>53400</v>
      </c>
    </row>
    <row r="361" spans="1:12" ht="21" hidden="1" customHeight="1" x14ac:dyDescent="0.25">
      <c r="A361" s="12" t="str">
        <f t="shared" ref="A361:A370" si="217">A360</f>
        <v>ЩЭ-4 (S3)</v>
      </c>
      <c r="B361" s="13" t="s">
        <v>48</v>
      </c>
      <c r="C361" s="14" t="s">
        <v>129</v>
      </c>
      <c r="D361" s="12" t="s">
        <v>130</v>
      </c>
      <c r="E361" s="13">
        <v>2824</v>
      </c>
      <c r="F361" s="15">
        <f t="shared" si="215"/>
        <v>1694.3999999999999</v>
      </c>
      <c r="G361" s="15">
        <f t="shared" si="216"/>
        <v>1694.3999999999999</v>
      </c>
      <c r="H361" s="16">
        <v>1</v>
      </c>
      <c r="I361" s="17" t="s">
        <v>13</v>
      </c>
      <c r="J361" s="13" t="s">
        <v>17</v>
      </c>
      <c r="K361" s="12" t="str">
        <f t="shared" ref="K361:K370" si="218">K360</f>
        <v>2853_01_01_S3_EM01_01_M3</v>
      </c>
      <c r="L361">
        <v>1694.3999999999999</v>
      </c>
    </row>
    <row r="362" spans="1:12" ht="21" hidden="1" customHeight="1" x14ac:dyDescent="0.25">
      <c r="A362" s="12" t="str">
        <f t="shared" si="217"/>
        <v>ЩЭ-4 (S3)</v>
      </c>
      <c r="B362" s="13" t="s">
        <v>21</v>
      </c>
      <c r="C362" s="14" t="s">
        <v>135</v>
      </c>
      <c r="D362" s="12" t="s">
        <v>136</v>
      </c>
      <c r="E362" s="13">
        <v>6215</v>
      </c>
      <c r="F362" s="15">
        <f t="shared" si="215"/>
        <v>3729</v>
      </c>
      <c r="G362" s="15">
        <f t="shared" si="216"/>
        <v>3729</v>
      </c>
      <c r="H362" s="16">
        <v>1</v>
      </c>
      <c r="I362" s="17" t="s">
        <v>13</v>
      </c>
      <c r="J362" s="13" t="s">
        <v>17</v>
      </c>
      <c r="K362" s="12" t="str">
        <f t="shared" si="218"/>
        <v>2853_01_01_S3_EM01_01_M3</v>
      </c>
      <c r="L362">
        <v>3729</v>
      </c>
    </row>
    <row r="363" spans="1:12" ht="21" hidden="1" customHeight="1" x14ac:dyDescent="0.25">
      <c r="A363" s="12" t="str">
        <f t="shared" si="217"/>
        <v>ЩЭ-4 (S3)</v>
      </c>
      <c r="B363" s="13" t="s">
        <v>48</v>
      </c>
      <c r="C363" s="14" t="s">
        <v>120</v>
      </c>
      <c r="D363" s="12" t="s">
        <v>121</v>
      </c>
      <c r="E363" s="13">
        <v>2249</v>
      </c>
      <c r="F363" s="15">
        <f t="shared" si="215"/>
        <v>1349.3999999999999</v>
      </c>
      <c r="G363" s="15">
        <f t="shared" si="216"/>
        <v>4048.2</v>
      </c>
      <c r="H363" s="16">
        <v>3</v>
      </c>
      <c r="I363" s="17" t="s">
        <v>13</v>
      </c>
      <c r="J363" s="13" t="s">
        <v>17</v>
      </c>
      <c r="K363" s="12" t="str">
        <f t="shared" si="218"/>
        <v>2853_01_01_S3_EM01_01_M3</v>
      </c>
      <c r="L363">
        <v>4048.2</v>
      </c>
    </row>
    <row r="364" spans="1:12" ht="21" hidden="1" customHeight="1" x14ac:dyDescent="0.25">
      <c r="A364" s="12" t="str">
        <f t="shared" si="217"/>
        <v>ЩЭ-4 (S3)</v>
      </c>
      <c r="B364" s="13" t="s">
        <v>21</v>
      </c>
      <c r="C364" s="14" t="s">
        <v>122</v>
      </c>
      <c r="D364" s="12" t="s">
        <v>123</v>
      </c>
      <c r="E364" s="13">
        <v>9380</v>
      </c>
      <c r="F364" s="15">
        <f t="shared" si="215"/>
        <v>5628</v>
      </c>
      <c r="G364" s="15">
        <f t="shared" si="216"/>
        <v>16884</v>
      </c>
      <c r="H364" s="16">
        <v>3</v>
      </c>
      <c r="I364" s="17" t="s">
        <v>13</v>
      </c>
      <c r="J364" s="13" t="s">
        <v>17</v>
      </c>
      <c r="K364" s="12" t="str">
        <f t="shared" si="218"/>
        <v>2853_01_01_S3_EM01_01_M3</v>
      </c>
      <c r="L364">
        <v>16884</v>
      </c>
    </row>
    <row r="365" spans="1:12" ht="22.5" hidden="1" customHeight="1" x14ac:dyDescent="0.25">
      <c r="A365" s="12" t="str">
        <f t="shared" si="217"/>
        <v>ЩЭ-4 (S3)</v>
      </c>
      <c r="B365" s="13" t="s">
        <v>141</v>
      </c>
      <c r="C365" s="14" t="s">
        <v>219</v>
      </c>
      <c r="D365" s="12" t="s">
        <v>220</v>
      </c>
      <c r="E365" s="13">
        <v>1738</v>
      </c>
      <c r="F365" s="15">
        <f t="shared" si="215"/>
        <v>1042.8</v>
      </c>
      <c r="G365" s="15">
        <f t="shared" si="216"/>
        <v>1042.8</v>
      </c>
      <c r="H365" s="16">
        <v>1</v>
      </c>
      <c r="I365" s="17" t="s">
        <v>13</v>
      </c>
      <c r="J365" s="13" t="s">
        <v>17</v>
      </c>
      <c r="K365" s="12" t="str">
        <f t="shared" si="218"/>
        <v>2853_01_01_S3_EM01_01_M3</v>
      </c>
      <c r="L365">
        <v>1042.8</v>
      </c>
    </row>
    <row r="366" spans="1:12" ht="22.5" hidden="1" customHeight="1" x14ac:dyDescent="0.25">
      <c r="A366" s="12" t="str">
        <f t="shared" si="217"/>
        <v>ЩЭ-4 (S3)</v>
      </c>
      <c r="B366" s="13" t="s">
        <v>18</v>
      </c>
      <c r="C366" s="14" t="s">
        <v>229</v>
      </c>
      <c r="D366" s="12" t="s">
        <v>230</v>
      </c>
      <c r="E366" s="13">
        <v>90000</v>
      </c>
      <c r="F366" s="15">
        <f t="shared" ref="F366:F367" si="219">E366</f>
        <v>90000</v>
      </c>
      <c r="G366" s="15">
        <f t="shared" si="216"/>
        <v>90000</v>
      </c>
      <c r="H366" s="16">
        <v>1</v>
      </c>
      <c r="I366" s="17" t="s">
        <v>13</v>
      </c>
      <c r="J366" s="13" t="s">
        <v>24</v>
      </c>
      <c r="K366" s="12" t="str">
        <f t="shared" si="218"/>
        <v>2853_01_01_S3_EM01_01_M3</v>
      </c>
      <c r="L366">
        <v>90000</v>
      </c>
    </row>
    <row r="367" spans="1:12" ht="22.5" hidden="1" customHeight="1" x14ac:dyDescent="0.25">
      <c r="A367" s="12" t="str">
        <f t="shared" si="217"/>
        <v>ЩЭ-4 (S3)</v>
      </c>
      <c r="B367" s="13" t="s">
        <v>18</v>
      </c>
      <c r="C367" s="14" t="s">
        <v>227</v>
      </c>
      <c r="D367" s="12" t="s">
        <v>228</v>
      </c>
      <c r="E367" s="13">
        <v>90000</v>
      </c>
      <c r="F367" s="15">
        <f t="shared" si="219"/>
        <v>90000</v>
      </c>
      <c r="G367" s="15">
        <f t="shared" si="216"/>
        <v>270000</v>
      </c>
      <c r="H367" s="16">
        <v>3</v>
      </c>
      <c r="I367" s="17" t="s">
        <v>13</v>
      </c>
      <c r="J367" s="13" t="s">
        <v>24</v>
      </c>
      <c r="K367" s="12" t="str">
        <f t="shared" si="218"/>
        <v>2853_01_01_S3_EM01_01_M3</v>
      </c>
      <c r="L367">
        <v>270000</v>
      </c>
    </row>
    <row r="368" spans="1:12" ht="24" hidden="1" customHeight="1" x14ac:dyDescent="0.25">
      <c r="A368" s="12" t="str">
        <f t="shared" si="217"/>
        <v>ЩЭ-4 (S3)</v>
      </c>
      <c r="B368" s="12" t="s">
        <v>10</v>
      </c>
      <c r="C368" s="18" t="s">
        <v>10</v>
      </c>
      <c r="D368" s="12" t="s">
        <v>10</v>
      </c>
      <c r="E368" s="12">
        <f ca="1">OFFSET(E368,1,2)</f>
        <v>27000</v>
      </c>
      <c r="F368" s="15">
        <f ca="1">E368</f>
        <v>27000</v>
      </c>
      <c r="G368" s="15">
        <f t="shared" ca="1" si="216"/>
        <v>27000</v>
      </c>
      <c r="H368" s="12">
        <v>1</v>
      </c>
      <c r="I368" s="12" t="s">
        <v>13</v>
      </c>
      <c r="J368" s="12" t="s">
        <v>10</v>
      </c>
      <c r="K368" s="12" t="str">
        <f t="shared" si="218"/>
        <v>2853_01_01_S3_EM01_01_M3</v>
      </c>
      <c r="L368">
        <v>27000</v>
      </c>
    </row>
    <row r="369" spans="1:12" ht="21" hidden="1" customHeight="1" x14ac:dyDescent="0.25">
      <c r="A369" s="12" t="str">
        <f t="shared" si="217"/>
        <v>ЩЭ-4 (S3)</v>
      </c>
      <c r="B369" s="12" t="s">
        <v>11</v>
      </c>
      <c r="C369" s="18" t="s">
        <v>11</v>
      </c>
      <c r="D369" s="12" t="s">
        <v>11</v>
      </c>
      <c r="E369" s="12">
        <v>4.5</v>
      </c>
      <c r="F369" s="15">
        <v>100</v>
      </c>
      <c r="G369" s="15">
        <f t="shared" si="216"/>
        <v>27000</v>
      </c>
      <c r="H369" s="12">
        <f>60*E369</f>
        <v>270</v>
      </c>
      <c r="I369" s="12" t="s">
        <v>13</v>
      </c>
      <c r="J369" s="12" t="s">
        <v>11</v>
      </c>
      <c r="K369" s="12" t="str">
        <f t="shared" si="218"/>
        <v>2853_01_01_S3_EM01_01_M3</v>
      </c>
      <c r="L369">
        <v>27000</v>
      </c>
    </row>
    <row r="370" spans="1:12" ht="30" customHeight="1" x14ac:dyDescent="0.25">
      <c r="A370" s="12" t="str">
        <f t="shared" si="217"/>
        <v>ЩЭ-4 (S3)</v>
      </c>
      <c r="B370" s="19"/>
      <c r="C370" s="20"/>
      <c r="D370" s="21"/>
      <c r="E370" s="23"/>
      <c r="F370" s="25"/>
      <c r="G370" s="24">
        <f ca="1">SUM(G363:G369)</f>
        <v>435975</v>
      </c>
      <c r="H370" s="20"/>
      <c r="I370" s="22"/>
      <c r="J370" s="20"/>
      <c r="K370" s="12" t="str">
        <f t="shared" si="218"/>
        <v>2853_01_01_S3_EM01_01_M3</v>
      </c>
      <c r="L370">
        <v>435975</v>
      </c>
    </row>
    <row r="371" spans="1:12" ht="39.75" customHeight="1" x14ac:dyDescent="0.25">
      <c r="A371" s="5" t="str">
        <f>D371</f>
        <v>ЩК1 (S3)</v>
      </c>
      <c r="B371" s="6"/>
      <c r="C371" s="7"/>
      <c r="D371" s="6" t="s">
        <v>281</v>
      </c>
      <c r="E371" s="8"/>
      <c r="F371" s="8" t="s">
        <v>40</v>
      </c>
      <c r="G371" s="9"/>
      <c r="H371" s="10">
        <v>24</v>
      </c>
      <c r="I371" s="11" t="s">
        <v>7</v>
      </c>
      <c r="J371" s="6" t="s">
        <v>9</v>
      </c>
      <c r="K371" s="5" t="s">
        <v>137</v>
      </c>
    </row>
    <row r="372" spans="1:12" ht="21" hidden="1" customHeight="1" x14ac:dyDescent="0.25">
      <c r="A372" s="12" t="str">
        <f>A371</f>
        <v>ЩК1 (S3)</v>
      </c>
      <c r="B372" s="13" t="s">
        <v>8</v>
      </c>
      <c r="C372" s="14" t="s">
        <v>233</v>
      </c>
      <c r="D372" s="12" t="s">
        <v>234</v>
      </c>
      <c r="E372" s="13">
        <v>10050</v>
      </c>
      <c r="F372" s="15">
        <f t="shared" ref="F372:F377" si="220">E372*0.6</f>
        <v>6030</v>
      </c>
      <c r="G372" s="15">
        <f t="shared" ref="G372:G379" si="221">H372*F372</f>
        <v>6030</v>
      </c>
      <c r="H372" s="16">
        <v>1</v>
      </c>
      <c r="I372" s="17" t="s">
        <v>13</v>
      </c>
      <c r="J372" s="13" t="s">
        <v>16</v>
      </c>
      <c r="K372" s="12" t="str">
        <f>K371</f>
        <v>2853_01_01_S3_EM01_01_M3</v>
      </c>
      <c r="L372">
        <v>6030</v>
      </c>
    </row>
    <row r="373" spans="1:12" ht="21" hidden="1" customHeight="1" x14ac:dyDescent="0.25">
      <c r="A373" s="12" t="str">
        <f t="shared" ref="A373:A375" si="222">A372</f>
        <v>ЩК1 (S3)</v>
      </c>
      <c r="B373" s="13" t="s">
        <v>48</v>
      </c>
      <c r="C373" s="14" t="s">
        <v>120</v>
      </c>
      <c r="D373" s="12" t="s">
        <v>121</v>
      </c>
      <c r="E373" s="13">
        <v>2249</v>
      </c>
      <c r="F373" s="15">
        <f t="shared" si="220"/>
        <v>1349.3999999999999</v>
      </c>
      <c r="G373" s="15">
        <f t="shared" si="221"/>
        <v>1349.3999999999999</v>
      </c>
      <c r="H373" s="16">
        <v>1</v>
      </c>
      <c r="I373" s="17" t="s">
        <v>13</v>
      </c>
      <c r="J373" s="13" t="s">
        <v>17</v>
      </c>
      <c r="K373" s="12" t="str">
        <f t="shared" ref="K373:K375" si="223">K372</f>
        <v>2853_01_01_S3_EM01_01_M3</v>
      </c>
      <c r="L373">
        <v>1349.3999999999999</v>
      </c>
    </row>
    <row r="374" spans="1:12" ht="21" hidden="1" customHeight="1" x14ac:dyDescent="0.25">
      <c r="A374" s="12" t="str">
        <f t="shared" si="222"/>
        <v>ЩК1 (S3)</v>
      </c>
      <c r="B374" s="13" t="s">
        <v>21</v>
      </c>
      <c r="C374" s="14" t="s">
        <v>124</v>
      </c>
      <c r="D374" s="12" t="s">
        <v>125</v>
      </c>
      <c r="E374" s="13">
        <v>5632</v>
      </c>
      <c r="F374" s="15">
        <f t="shared" si="220"/>
        <v>3379.2</v>
      </c>
      <c r="G374" s="15">
        <f t="shared" si="221"/>
        <v>3379.2</v>
      </c>
      <c r="H374" s="16">
        <v>1</v>
      </c>
      <c r="I374" s="17" t="s">
        <v>13</v>
      </c>
      <c r="J374" s="13" t="s">
        <v>17</v>
      </c>
      <c r="K374" s="12" t="str">
        <f t="shared" si="223"/>
        <v>2853_01_01_S3_EM01_01_M3</v>
      </c>
      <c r="L374">
        <v>3379.2</v>
      </c>
    </row>
    <row r="375" spans="1:12" ht="21" hidden="1" customHeight="1" x14ac:dyDescent="0.25">
      <c r="A375" s="12" t="str">
        <f t="shared" si="222"/>
        <v>ЩК1 (S3)</v>
      </c>
      <c r="B375" s="13" t="s">
        <v>128</v>
      </c>
      <c r="C375" s="14" t="s">
        <v>126</v>
      </c>
      <c r="D375" s="12" t="s">
        <v>127</v>
      </c>
      <c r="E375" s="13">
        <v>7795</v>
      </c>
      <c r="F375" s="15">
        <f t="shared" si="220"/>
        <v>4677</v>
      </c>
      <c r="G375" s="15">
        <f t="shared" si="221"/>
        <v>4677</v>
      </c>
      <c r="H375" s="16">
        <v>1</v>
      </c>
      <c r="I375" s="17" t="s">
        <v>13</v>
      </c>
      <c r="J375" s="13" t="s">
        <v>17</v>
      </c>
      <c r="K375" s="12" t="str">
        <f t="shared" si="223"/>
        <v>2853_01_01_S3_EM01_01_M3</v>
      </c>
      <c r="L375">
        <v>4677</v>
      </c>
    </row>
    <row r="376" spans="1:12" ht="21" hidden="1" customHeight="1" x14ac:dyDescent="0.25">
      <c r="A376" s="12" t="str">
        <f>A371</f>
        <v>ЩК1 (S3)</v>
      </c>
      <c r="B376" s="13" t="s">
        <v>12</v>
      </c>
      <c r="C376" s="14" t="s">
        <v>67</v>
      </c>
      <c r="D376" s="12" t="s">
        <v>68</v>
      </c>
      <c r="E376" s="13">
        <v>796</v>
      </c>
      <c r="F376" s="15">
        <f t="shared" si="220"/>
        <v>477.59999999999997</v>
      </c>
      <c r="G376" s="15">
        <f t="shared" si="221"/>
        <v>1910.3999999999999</v>
      </c>
      <c r="H376" s="16">
        <v>4</v>
      </c>
      <c r="I376" s="17" t="s">
        <v>13</v>
      </c>
      <c r="J376" s="13" t="s">
        <v>17</v>
      </c>
      <c r="K376" s="12" t="str">
        <f>K371</f>
        <v>2853_01_01_S3_EM01_01_M3</v>
      </c>
      <c r="L376">
        <v>1910.3999999999999</v>
      </c>
    </row>
    <row r="377" spans="1:12" ht="21" hidden="1" customHeight="1" x14ac:dyDescent="0.25">
      <c r="A377" s="12" t="str">
        <f>A372</f>
        <v>ЩК1 (S3)</v>
      </c>
      <c r="B377" s="13" t="s">
        <v>12</v>
      </c>
      <c r="C377" s="14" t="s">
        <v>36</v>
      </c>
      <c r="D377" s="12" t="s">
        <v>37</v>
      </c>
      <c r="E377" s="13">
        <v>783</v>
      </c>
      <c r="F377" s="15">
        <f t="shared" si="220"/>
        <v>469.79999999999995</v>
      </c>
      <c r="G377" s="15">
        <f t="shared" si="221"/>
        <v>469.79999999999995</v>
      </c>
      <c r="H377" s="16">
        <v>1</v>
      </c>
      <c r="I377" s="17" t="s">
        <v>13</v>
      </c>
      <c r="J377" s="13" t="s">
        <v>17</v>
      </c>
      <c r="K377" s="12" t="str">
        <f>K372</f>
        <v>2853_01_01_S3_EM01_01_M3</v>
      </c>
      <c r="L377">
        <v>469.79999999999995</v>
      </c>
    </row>
    <row r="378" spans="1:12" ht="24" hidden="1" customHeight="1" x14ac:dyDescent="0.25">
      <c r="A378" s="12" t="str">
        <f t="shared" ref="A378:A380" si="224">A377</f>
        <v>ЩК1 (S3)</v>
      </c>
      <c r="B378" s="12" t="s">
        <v>10</v>
      </c>
      <c r="C378" s="18" t="s">
        <v>10</v>
      </c>
      <c r="D378" s="12" t="s">
        <v>10</v>
      </c>
      <c r="E378" s="12">
        <f ca="1">OFFSET(E378,1,2)</f>
        <v>4200</v>
      </c>
      <c r="F378" s="15">
        <f ca="1">E378</f>
        <v>4200</v>
      </c>
      <c r="G378" s="15">
        <f t="shared" ca="1" si="221"/>
        <v>4200</v>
      </c>
      <c r="H378" s="12">
        <v>1</v>
      </c>
      <c r="I378" s="12" t="s">
        <v>13</v>
      </c>
      <c r="J378" s="12" t="s">
        <v>10</v>
      </c>
      <c r="K378" s="12" t="str">
        <f t="shared" ref="K378:K380" si="225">K377</f>
        <v>2853_01_01_S3_EM01_01_M3</v>
      </c>
      <c r="L378">
        <v>4200</v>
      </c>
    </row>
    <row r="379" spans="1:12" ht="21" hidden="1" customHeight="1" x14ac:dyDescent="0.25">
      <c r="A379" s="12" t="str">
        <f t="shared" si="224"/>
        <v>ЩК1 (S3)</v>
      </c>
      <c r="B379" s="12" t="s">
        <v>11</v>
      </c>
      <c r="C379" s="18" t="s">
        <v>11</v>
      </c>
      <c r="D379" s="12" t="s">
        <v>11</v>
      </c>
      <c r="E379" s="12">
        <v>0.7</v>
      </c>
      <c r="F379" s="15">
        <v>100</v>
      </c>
      <c r="G379" s="15">
        <f t="shared" si="221"/>
        <v>4200</v>
      </c>
      <c r="H379" s="12">
        <f>60*E379</f>
        <v>42</v>
      </c>
      <c r="I379" s="12" t="s">
        <v>13</v>
      </c>
      <c r="J379" s="12" t="s">
        <v>11</v>
      </c>
      <c r="K379" s="12" t="str">
        <f t="shared" si="225"/>
        <v>2853_01_01_S3_EM01_01_M3</v>
      </c>
      <c r="L379">
        <v>4200</v>
      </c>
    </row>
    <row r="380" spans="1:12" ht="30" customHeight="1" x14ac:dyDescent="0.25">
      <c r="A380" s="12" t="str">
        <f t="shared" si="224"/>
        <v>ЩК1 (S3)</v>
      </c>
      <c r="B380" s="19"/>
      <c r="C380" s="20"/>
      <c r="D380" s="21"/>
      <c r="E380" s="23"/>
      <c r="F380" s="25"/>
      <c r="G380" s="24">
        <f ca="1">SUM(G372:G379)</f>
        <v>26215.8</v>
      </c>
      <c r="H380" s="20"/>
      <c r="I380" s="22"/>
      <c r="J380" s="20"/>
      <c r="K380" s="12" t="str">
        <f t="shared" si="225"/>
        <v>2853_01_01_S3_EM01_01_M3</v>
      </c>
      <c r="L380">
        <v>26215.8</v>
      </c>
    </row>
    <row r="381" spans="1:12" ht="39.75" customHeight="1" x14ac:dyDescent="0.25">
      <c r="A381" s="5" t="str">
        <f>D381</f>
        <v>ЩК2 (S3)</v>
      </c>
      <c r="B381" s="6"/>
      <c r="C381" s="7"/>
      <c r="D381" s="6" t="s">
        <v>282</v>
      </c>
      <c r="E381" s="8"/>
      <c r="F381" s="8" t="s">
        <v>40</v>
      </c>
      <c r="G381" s="9"/>
      <c r="H381" s="10">
        <v>8</v>
      </c>
      <c r="I381" s="11" t="s">
        <v>7</v>
      </c>
      <c r="J381" s="6" t="s">
        <v>9</v>
      </c>
      <c r="K381" s="5" t="s">
        <v>137</v>
      </c>
    </row>
    <row r="382" spans="1:12" ht="21" hidden="1" customHeight="1" x14ac:dyDescent="0.25">
      <c r="A382" s="12" t="str">
        <f>A381</f>
        <v>ЩК2 (S3)</v>
      </c>
      <c r="B382" s="13" t="s">
        <v>8</v>
      </c>
      <c r="C382" s="14" t="s">
        <v>233</v>
      </c>
      <c r="D382" s="12" t="s">
        <v>234</v>
      </c>
      <c r="E382" s="13">
        <v>10050</v>
      </c>
      <c r="F382" s="15">
        <f t="shared" ref="F382:F388" si="226">E382*0.6</f>
        <v>6030</v>
      </c>
      <c r="G382" s="15">
        <f t="shared" ref="G382:G390" si="227">H382*F382</f>
        <v>6030</v>
      </c>
      <c r="H382" s="16">
        <v>1</v>
      </c>
      <c r="I382" s="17" t="s">
        <v>13</v>
      </c>
      <c r="J382" s="13" t="s">
        <v>16</v>
      </c>
      <c r="K382" s="12" t="str">
        <f>K381</f>
        <v>2853_01_01_S3_EM01_01_M3</v>
      </c>
      <c r="L382">
        <v>6030</v>
      </c>
    </row>
    <row r="383" spans="1:12" ht="21" hidden="1" customHeight="1" x14ac:dyDescent="0.25">
      <c r="A383" s="12" t="str">
        <f t="shared" ref="A383" si="228">A382</f>
        <v>ЩК2 (S3)</v>
      </c>
      <c r="B383" s="13" t="s">
        <v>48</v>
      </c>
      <c r="C383" s="14" t="s">
        <v>129</v>
      </c>
      <c r="D383" s="12" t="s">
        <v>130</v>
      </c>
      <c r="E383" s="13">
        <v>2824</v>
      </c>
      <c r="F383" s="15">
        <f t="shared" si="226"/>
        <v>1694.3999999999999</v>
      </c>
      <c r="G383" s="15">
        <f t="shared" si="227"/>
        <v>1694.3999999999999</v>
      </c>
      <c r="H383" s="16">
        <v>1</v>
      </c>
      <c r="I383" s="17" t="s">
        <v>13</v>
      </c>
      <c r="J383" s="13" t="s">
        <v>17</v>
      </c>
      <c r="K383" s="12" t="str">
        <f t="shared" ref="K383" si="229">K382</f>
        <v>2853_01_01_S3_EM01_01_M3</v>
      </c>
      <c r="L383">
        <v>1694.3999999999999</v>
      </c>
    </row>
    <row r="384" spans="1:12" ht="21" hidden="1" customHeight="1" x14ac:dyDescent="0.25">
      <c r="A384" s="12" t="str">
        <f>A382</f>
        <v>ЩК2 (S3)</v>
      </c>
      <c r="B384" s="13" t="s">
        <v>21</v>
      </c>
      <c r="C384" s="14" t="s">
        <v>131</v>
      </c>
      <c r="D384" s="12" t="s">
        <v>132</v>
      </c>
      <c r="E384" s="13">
        <v>5556</v>
      </c>
      <c r="F384" s="15">
        <f t="shared" si="226"/>
        <v>3333.6</v>
      </c>
      <c r="G384" s="15">
        <f t="shared" si="227"/>
        <v>3333.6</v>
      </c>
      <c r="H384" s="16">
        <v>1</v>
      </c>
      <c r="I384" s="17" t="s">
        <v>13</v>
      </c>
      <c r="J384" s="13" t="s">
        <v>17</v>
      </c>
      <c r="K384" s="12" t="str">
        <f>K382</f>
        <v>2853_01_01_S3_EM01_01_M3</v>
      </c>
      <c r="L384">
        <v>3333.6</v>
      </c>
    </row>
    <row r="385" spans="1:12" ht="21" hidden="1" customHeight="1" x14ac:dyDescent="0.25">
      <c r="A385" s="12" t="str">
        <f>A383</f>
        <v>ЩК2 (S3)</v>
      </c>
      <c r="B385" s="13" t="s">
        <v>21</v>
      </c>
      <c r="C385" s="14" t="s">
        <v>124</v>
      </c>
      <c r="D385" s="12" t="s">
        <v>125</v>
      </c>
      <c r="E385" s="13">
        <v>5632</v>
      </c>
      <c r="F385" s="15">
        <f t="shared" si="226"/>
        <v>3379.2</v>
      </c>
      <c r="G385" s="15">
        <f t="shared" si="227"/>
        <v>3379.2</v>
      </c>
      <c r="H385" s="16">
        <v>1</v>
      </c>
      <c r="I385" s="17" t="s">
        <v>13</v>
      </c>
      <c r="J385" s="13" t="s">
        <v>17</v>
      </c>
      <c r="K385" s="12" t="str">
        <f>K383</f>
        <v>2853_01_01_S3_EM01_01_M3</v>
      </c>
      <c r="L385">
        <v>3379.2</v>
      </c>
    </row>
    <row r="386" spans="1:12" ht="21" hidden="1" customHeight="1" x14ac:dyDescent="0.25">
      <c r="A386" s="12" t="str">
        <f t="shared" ref="A386" si="230">A385</f>
        <v>ЩК2 (S3)</v>
      </c>
      <c r="B386" s="13" t="s">
        <v>128</v>
      </c>
      <c r="C386" s="14" t="s">
        <v>126</v>
      </c>
      <c r="D386" s="12" t="s">
        <v>127</v>
      </c>
      <c r="E386" s="13">
        <v>7795</v>
      </c>
      <c r="F386" s="15">
        <f t="shared" si="226"/>
        <v>4677</v>
      </c>
      <c r="G386" s="15">
        <f t="shared" si="227"/>
        <v>4677</v>
      </c>
      <c r="H386" s="16">
        <v>1</v>
      </c>
      <c r="I386" s="17" t="s">
        <v>13</v>
      </c>
      <c r="J386" s="13" t="s">
        <v>17</v>
      </c>
      <c r="K386" s="12" t="str">
        <f t="shared" ref="K386" si="231">K385</f>
        <v>2853_01_01_S3_EM01_01_M3</v>
      </c>
      <c r="L386">
        <v>4677</v>
      </c>
    </row>
    <row r="387" spans="1:12" ht="21" hidden="1" customHeight="1" x14ac:dyDescent="0.25">
      <c r="A387" s="12" t="str">
        <f>A381</f>
        <v>ЩК2 (S3)</v>
      </c>
      <c r="B387" s="13" t="s">
        <v>12</v>
      </c>
      <c r="C387" s="14" t="s">
        <v>67</v>
      </c>
      <c r="D387" s="12" t="s">
        <v>68</v>
      </c>
      <c r="E387" s="13">
        <v>796</v>
      </c>
      <c r="F387" s="15">
        <f t="shared" si="226"/>
        <v>477.59999999999997</v>
      </c>
      <c r="G387" s="15">
        <f t="shared" si="227"/>
        <v>1910.3999999999999</v>
      </c>
      <c r="H387" s="16">
        <v>4</v>
      </c>
      <c r="I387" s="17" t="s">
        <v>13</v>
      </c>
      <c r="J387" s="13" t="s">
        <v>17</v>
      </c>
      <c r="K387" s="12" t="str">
        <f>K381</f>
        <v>2853_01_01_S3_EM01_01_M3</v>
      </c>
      <c r="L387">
        <v>1910.3999999999999</v>
      </c>
    </row>
    <row r="388" spans="1:12" ht="21" hidden="1" customHeight="1" x14ac:dyDescent="0.25">
      <c r="A388" s="12" t="str">
        <f>A382</f>
        <v>ЩК2 (S3)</v>
      </c>
      <c r="B388" s="13" t="s">
        <v>12</v>
      </c>
      <c r="C388" s="14" t="s">
        <v>36</v>
      </c>
      <c r="D388" s="12" t="s">
        <v>37</v>
      </c>
      <c r="E388" s="13">
        <v>783</v>
      </c>
      <c r="F388" s="15">
        <f t="shared" si="226"/>
        <v>469.79999999999995</v>
      </c>
      <c r="G388" s="15">
        <f t="shared" si="227"/>
        <v>469.79999999999995</v>
      </c>
      <c r="H388" s="16">
        <v>1</v>
      </c>
      <c r="I388" s="17" t="s">
        <v>13</v>
      </c>
      <c r="J388" s="13" t="s">
        <v>17</v>
      </c>
      <c r="K388" s="12" t="str">
        <f>K382</f>
        <v>2853_01_01_S3_EM01_01_M3</v>
      </c>
      <c r="L388">
        <v>469.79999999999995</v>
      </c>
    </row>
    <row r="389" spans="1:12" ht="24" hidden="1" customHeight="1" x14ac:dyDescent="0.25">
      <c r="A389" s="12" t="str">
        <f t="shared" ref="A389:A391" si="232">A388</f>
        <v>ЩК2 (S3)</v>
      </c>
      <c r="B389" s="12" t="s">
        <v>10</v>
      </c>
      <c r="C389" s="18" t="s">
        <v>10</v>
      </c>
      <c r="D389" s="12" t="s">
        <v>10</v>
      </c>
      <c r="E389" s="12">
        <f ca="1">OFFSET(E389,1,2)</f>
        <v>4200</v>
      </c>
      <c r="F389" s="15">
        <f ca="1">E389</f>
        <v>4200</v>
      </c>
      <c r="G389" s="15">
        <f t="shared" ca="1" si="227"/>
        <v>4200</v>
      </c>
      <c r="H389" s="12">
        <v>1</v>
      </c>
      <c r="I389" s="12" t="s">
        <v>13</v>
      </c>
      <c r="J389" s="12" t="s">
        <v>10</v>
      </c>
      <c r="K389" s="12" t="str">
        <f t="shared" ref="K389:K391" si="233">K388</f>
        <v>2853_01_01_S3_EM01_01_M3</v>
      </c>
      <c r="L389">
        <v>4200</v>
      </c>
    </row>
    <row r="390" spans="1:12" ht="21" hidden="1" customHeight="1" x14ac:dyDescent="0.25">
      <c r="A390" s="12" t="str">
        <f t="shared" si="232"/>
        <v>ЩК2 (S3)</v>
      </c>
      <c r="B390" s="12" t="s">
        <v>11</v>
      </c>
      <c r="C390" s="18" t="s">
        <v>11</v>
      </c>
      <c r="D390" s="12" t="s">
        <v>11</v>
      </c>
      <c r="E390" s="12">
        <v>0.7</v>
      </c>
      <c r="F390" s="15">
        <v>100</v>
      </c>
      <c r="G390" s="15">
        <f t="shared" si="227"/>
        <v>4200</v>
      </c>
      <c r="H390" s="12">
        <f>60*E390</f>
        <v>42</v>
      </c>
      <c r="I390" s="12" t="s">
        <v>13</v>
      </c>
      <c r="J390" s="12" t="s">
        <v>11</v>
      </c>
      <c r="K390" s="12" t="str">
        <f t="shared" si="233"/>
        <v>2853_01_01_S3_EM01_01_M3</v>
      </c>
      <c r="L390">
        <v>4200</v>
      </c>
    </row>
    <row r="391" spans="1:12" ht="30" customHeight="1" x14ac:dyDescent="0.25">
      <c r="A391" s="12" t="str">
        <f t="shared" si="232"/>
        <v>ЩК2 (S3)</v>
      </c>
      <c r="B391" s="19"/>
      <c r="C391" s="20"/>
      <c r="D391" s="21"/>
      <c r="E391" s="23"/>
      <c r="F391" s="25"/>
      <c r="G391" s="24">
        <f ca="1">SUM(G382:G390)</f>
        <v>29894.400000000001</v>
      </c>
      <c r="H391" s="20"/>
      <c r="I391" s="22"/>
      <c r="J391" s="20"/>
      <c r="K391" s="12" t="str">
        <f t="shared" si="233"/>
        <v>2853_01_01_S3_EM01_01_M3</v>
      </c>
      <c r="L391">
        <v>29894.400000000001</v>
      </c>
    </row>
    <row r="392" spans="1:12" ht="39.75" customHeight="1" x14ac:dyDescent="0.25">
      <c r="A392" s="5" t="str">
        <f>D392</f>
        <v>ЩР-3.1, ЩР-3.2 (S3)</v>
      </c>
      <c r="B392" s="6"/>
      <c r="C392" s="7"/>
      <c r="D392" s="6" t="s">
        <v>283</v>
      </c>
      <c r="E392" s="8"/>
      <c r="F392" s="8" t="s">
        <v>40</v>
      </c>
      <c r="G392" s="9"/>
      <c r="H392" s="10">
        <v>2</v>
      </c>
      <c r="I392" s="11" t="s">
        <v>7</v>
      </c>
      <c r="J392" s="6" t="s">
        <v>9</v>
      </c>
      <c r="K392" s="5" t="s">
        <v>133</v>
      </c>
    </row>
    <row r="393" spans="1:12" ht="20.25" hidden="1" customHeight="1" x14ac:dyDescent="0.25">
      <c r="A393" s="12" t="str">
        <f>A392</f>
        <v>ЩР-3.1, ЩР-3.2 (S3)</v>
      </c>
      <c r="B393" s="13" t="s">
        <v>8</v>
      </c>
      <c r="C393" s="14" t="s">
        <v>345</v>
      </c>
      <c r="D393" s="12" t="s">
        <v>346</v>
      </c>
      <c r="E393" s="13">
        <v>10620</v>
      </c>
      <c r="F393" s="15">
        <f t="shared" ref="F393:F394" si="234">E393*0.6</f>
        <v>6372</v>
      </c>
      <c r="G393" s="15">
        <f t="shared" ref="G393:G396" si="235">H393*F393</f>
        <v>6372</v>
      </c>
      <c r="H393" s="16">
        <v>1</v>
      </c>
      <c r="I393" s="17" t="s">
        <v>13</v>
      </c>
      <c r="J393" s="13" t="s">
        <v>16</v>
      </c>
      <c r="K393" s="12" t="str">
        <f>K392</f>
        <v>2853_01_01_S1_EM01_01_M3</v>
      </c>
      <c r="L393">
        <v>6372</v>
      </c>
    </row>
    <row r="394" spans="1:12" ht="21" hidden="1" customHeight="1" x14ac:dyDescent="0.25">
      <c r="A394" s="12" t="str">
        <f t="shared" ref="A394:A397" si="236">A393</f>
        <v>ЩР-3.1, ЩР-3.2 (S3)</v>
      </c>
      <c r="B394" s="13" t="s">
        <v>48</v>
      </c>
      <c r="C394" s="14" t="s">
        <v>69</v>
      </c>
      <c r="D394" s="12" t="s">
        <v>70</v>
      </c>
      <c r="E394" s="13">
        <v>3372</v>
      </c>
      <c r="F394" s="15">
        <f t="shared" si="234"/>
        <v>2023.1999999999998</v>
      </c>
      <c r="G394" s="15">
        <f t="shared" si="235"/>
        <v>2023.1999999999998</v>
      </c>
      <c r="H394" s="16">
        <v>1</v>
      </c>
      <c r="I394" s="17" t="s">
        <v>13</v>
      </c>
      <c r="J394" s="13" t="s">
        <v>17</v>
      </c>
      <c r="K394" s="12" t="str">
        <f t="shared" ref="K394:K397" si="237">K393</f>
        <v>2853_01_01_S1_EM01_01_M3</v>
      </c>
      <c r="L394">
        <v>2023.1999999999998</v>
      </c>
    </row>
    <row r="395" spans="1:12" ht="24" hidden="1" customHeight="1" x14ac:dyDescent="0.25">
      <c r="A395" s="12" t="str">
        <f t="shared" si="236"/>
        <v>ЩР-3.1, ЩР-3.2 (S3)</v>
      </c>
      <c r="B395" s="12" t="s">
        <v>10</v>
      </c>
      <c r="C395" s="18" t="s">
        <v>10</v>
      </c>
      <c r="D395" s="12" t="s">
        <v>10</v>
      </c>
      <c r="E395" s="12">
        <f ca="1">OFFSET(E395,1,2)</f>
        <v>60</v>
      </c>
      <c r="F395" s="15">
        <f ca="1">E395</f>
        <v>60</v>
      </c>
      <c r="G395" s="15">
        <f t="shared" ca="1" si="235"/>
        <v>60</v>
      </c>
      <c r="H395" s="12">
        <v>1</v>
      </c>
      <c r="I395" s="12" t="s">
        <v>13</v>
      </c>
      <c r="J395" s="12" t="s">
        <v>10</v>
      </c>
      <c r="K395" s="12" t="str">
        <f t="shared" si="237"/>
        <v>2853_01_01_S1_EM01_01_M3</v>
      </c>
      <c r="L395">
        <v>60</v>
      </c>
    </row>
    <row r="396" spans="1:12" ht="21" hidden="1" customHeight="1" x14ac:dyDescent="0.25">
      <c r="A396" s="12" t="str">
        <f t="shared" si="236"/>
        <v>ЩР-3.1, ЩР-3.2 (S3)</v>
      </c>
      <c r="B396" s="12" t="s">
        <v>11</v>
      </c>
      <c r="C396" s="18" t="s">
        <v>11</v>
      </c>
      <c r="D396" s="12" t="s">
        <v>11</v>
      </c>
      <c r="E396" s="12">
        <v>0.01</v>
      </c>
      <c r="F396" s="15">
        <v>100</v>
      </c>
      <c r="G396" s="15">
        <f t="shared" si="235"/>
        <v>60</v>
      </c>
      <c r="H396" s="12">
        <f>60*E396</f>
        <v>0.6</v>
      </c>
      <c r="I396" s="12" t="s">
        <v>13</v>
      </c>
      <c r="J396" s="12" t="s">
        <v>11</v>
      </c>
      <c r="K396" s="12" t="str">
        <f t="shared" si="237"/>
        <v>2853_01_01_S1_EM01_01_M3</v>
      </c>
      <c r="L396">
        <v>60</v>
      </c>
    </row>
    <row r="397" spans="1:12" ht="30" customHeight="1" x14ac:dyDescent="0.25">
      <c r="A397" s="12" t="str">
        <f t="shared" si="236"/>
        <v>ЩР-3.1, ЩР-3.2 (S3)</v>
      </c>
      <c r="B397" s="19"/>
      <c r="C397" s="20"/>
      <c r="D397" s="21"/>
      <c r="E397" s="23"/>
      <c r="F397" s="25"/>
      <c r="G397" s="24">
        <f ca="1">SUM(G393:G396)</f>
        <v>8515.2000000000007</v>
      </c>
      <c r="H397" s="20"/>
      <c r="I397" s="22"/>
      <c r="J397" s="20"/>
      <c r="K397" s="12" t="str">
        <f t="shared" si="237"/>
        <v>2853_01_01_S1_EM01_01_M3</v>
      </c>
      <c r="L397">
        <v>8515.2000000000007</v>
      </c>
    </row>
    <row r="398" spans="1:12" ht="39.75" customHeight="1" x14ac:dyDescent="0.25">
      <c r="A398" s="5" t="str">
        <f>D398</f>
        <v>ЩР-3.3 (S3)</v>
      </c>
      <c r="B398" s="6"/>
      <c r="C398" s="7"/>
      <c r="D398" s="6" t="s">
        <v>284</v>
      </c>
      <c r="E398" s="8"/>
      <c r="F398" s="8" t="s">
        <v>40</v>
      </c>
      <c r="G398" s="9"/>
      <c r="H398" s="10">
        <v>1</v>
      </c>
      <c r="I398" s="11" t="s">
        <v>7</v>
      </c>
      <c r="J398" s="6" t="s">
        <v>9</v>
      </c>
      <c r="K398" s="5" t="s">
        <v>133</v>
      </c>
    </row>
    <row r="399" spans="1:12" ht="21" hidden="1" customHeight="1" x14ac:dyDescent="0.25">
      <c r="A399" s="12" t="str">
        <f>A398</f>
        <v>ЩР-3.3 (S3)</v>
      </c>
      <c r="B399" s="13" t="s">
        <v>8</v>
      </c>
      <c r="C399" s="14" t="s">
        <v>345</v>
      </c>
      <c r="D399" s="12" t="s">
        <v>346</v>
      </c>
      <c r="E399" s="13">
        <v>10620</v>
      </c>
      <c r="F399" s="15">
        <f t="shared" ref="F399:F400" si="238">E399*0.6</f>
        <v>6372</v>
      </c>
      <c r="G399" s="15">
        <f t="shared" ref="G399:G402" si="239">H399*F399</f>
        <v>6372</v>
      </c>
      <c r="H399" s="16">
        <v>1</v>
      </c>
      <c r="I399" s="17" t="s">
        <v>13</v>
      </c>
      <c r="J399" s="13" t="s">
        <v>16</v>
      </c>
      <c r="K399" s="12" t="str">
        <f>K398</f>
        <v>2853_01_01_S1_EM01_01_M3</v>
      </c>
      <c r="L399">
        <v>6372</v>
      </c>
    </row>
    <row r="400" spans="1:12" ht="21" hidden="1" customHeight="1" x14ac:dyDescent="0.25">
      <c r="A400" s="12" t="str">
        <f>A398</f>
        <v>ЩР-3.3 (S3)</v>
      </c>
      <c r="B400" s="13" t="s">
        <v>48</v>
      </c>
      <c r="C400" s="14" t="s">
        <v>51</v>
      </c>
      <c r="D400" s="12" t="s">
        <v>52</v>
      </c>
      <c r="E400" s="13">
        <v>3372</v>
      </c>
      <c r="F400" s="15">
        <f t="shared" si="238"/>
        <v>2023.1999999999998</v>
      </c>
      <c r="G400" s="15">
        <f t="shared" si="239"/>
        <v>2023.1999999999998</v>
      </c>
      <c r="H400" s="16">
        <v>1</v>
      </c>
      <c r="I400" s="17" t="s">
        <v>13</v>
      </c>
      <c r="J400" s="13" t="s">
        <v>17</v>
      </c>
      <c r="K400" s="12" t="str">
        <f t="shared" ref="K400" si="240">K398</f>
        <v>2853_01_01_S1_EM01_01_M3</v>
      </c>
      <c r="L400">
        <v>2023.1999999999998</v>
      </c>
    </row>
    <row r="401" spans="1:12" ht="24" hidden="1" customHeight="1" x14ac:dyDescent="0.25">
      <c r="A401" s="12" t="str">
        <f t="shared" ref="A401:A403" si="241">A400</f>
        <v>ЩР-3.3 (S3)</v>
      </c>
      <c r="B401" s="12" t="s">
        <v>10</v>
      </c>
      <c r="C401" s="18" t="s">
        <v>10</v>
      </c>
      <c r="D401" s="12" t="s">
        <v>10</v>
      </c>
      <c r="E401" s="12">
        <f ca="1">OFFSET(E401,1,2)</f>
        <v>60</v>
      </c>
      <c r="F401" s="15">
        <f ca="1">E401</f>
        <v>60</v>
      </c>
      <c r="G401" s="15">
        <f t="shared" ca="1" si="239"/>
        <v>60</v>
      </c>
      <c r="H401" s="12">
        <v>1</v>
      </c>
      <c r="I401" s="12" t="s">
        <v>13</v>
      </c>
      <c r="J401" s="12" t="s">
        <v>10</v>
      </c>
      <c r="K401" s="12" t="str">
        <f>K400</f>
        <v>2853_01_01_S1_EM01_01_M3</v>
      </c>
      <c r="L401">
        <v>60</v>
      </c>
    </row>
    <row r="402" spans="1:12" ht="21" hidden="1" customHeight="1" x14ac:dyDescent="0.25">
      <c r="A402" s="12" t="str">
        <f t="shared" si="241"/>
        <v>ЩР-3.3 (S3)</v>
      </c>
      <c r="B402" s="12" t="s">
        <v>11</v>
      </c>
      <c r="C402" s="18" t="s">
        <v>11</v>
      </c>
      <c r="D402" s="12" t="s">
        <v>11</v>
      </c>
      <c r="E402" s="12">
        <v>0.01</v>
      </c>
      <c r="F402" s="15">
        <v>100</v>
      </c>
      <c r="G402" s="15">
        <f t="shared" si="239"/>
        <v>60</v>
      </c>
      <c r="H402" s="12">
        <f>60*E402</f>
        <v>0.6</v>
      </c>
      <c r="I402" s="12" t="s">
        <v>13</v>
      </c>
      <c r="J402" s="12" t="s">
        <v>11</v>
      </c>
      <c r="K402" s="12" t="str">
        <f t="shared" ref="K402:K403" si="242">K401</f>
        <v>2853_01_01_S1_EM01_01_M3</v>
      </c>
      <c r="L402">
        <v>60</v>
      </c>
    </row>
    <row r="403" spans="1:12" ht="30" customHeight="1" x14ac:dyDescent="0.25">
      <c r="A403" s="12" t="str">
        <f t="shared" si="241"/>
        <v>ЩР-3.3 (S3)</v>
      </c>
      <c r="B403" s="19"/>
      <c r="C403" s="20"/>
      <c r="D403" s="21"/>
      <c r="E403" s="23"/>
      <c r="F403" s="25"/>
      <c r="G403" s="24">
        <f ca="1">SUM(G399:G402)</f>
        <v>8515.2000000000007</v>
      </c>
      <c r="H403" s="20"/>
      <c r="I403" s="22"/>
      <c r="J403" s="20"/>
      <c r="K403" s="12" t="str">
        <f t="shared" si="242"/>
        <v>2853_01_01_S1_EM01_01_M3</v>
      </c>
      <c r="L403">
        <v>8515.2000000000007</v>
      </c>
    </row>
    <row r="404" spans="1:12" ht="39.75" customHeight="1" x14ac:dyDescent="0.25">
      <c r="A404" s="5" t="str">
        <f>D404</f>
        <v>ЯТП-0,25-23УЗ (ЯТП 220/36В)  (S3)</v>
      </c>
      <c r="B404" s="6"/>
      <c r="C404" s="7"/>
      <c r="D404" s="6" t="s">
        <v>330</v>
      </c>
      <c r="E404" s="8"/>
      <c r="F404" s="8"/>
      <c r="G404" s="9"/>
      <c r="H404" s="10">
        <v>3</v>
      </c>
      <c r="I404" s="11" t="s">
        <v>7</v>
      </c>
      <c r="J404" s="6" t="s">
        <v>9</v>
      </c>
      <c r="K404" s="5" t="s">
        <v>137</v>
      </c>
    </row>
    <row r="405" spans="1:12" ht="39.75" customHeight="1" x14ac:dyDescent="0.25">
      <c r="A405" s="5" t="str">
        <f>D405</f>
        <v>ЯТП-0,25-23УЗ (ЯТП 220/12В)  (S3)</v>
      </c>
      <c r="B405" s="6"/>
      <c r="C405" s="7"/>
      <c r="D405" s="6" t="s">
        <v>329</v>
      </c>
      <c r="E405" s="8"/>
      <c r="F405" s="8"/>
      <c r="G405" s="9"/>
      <c r="H405" s="10">
        <v>1</v>
      </c>
      <c r="I405" s="11" t="s">
        <v>7</v>
      </c>
      <c r="J405" s="6" t="s">
        <v>9</v>
      </c>
      <c r="K405" s="5" t="s">
        <v>137</v>
      </c>
    </row>
    <row r="406" spans="1:12" ht="39.75" customHeight="1" x14ac:dyDescent="0.25">
      <c r="A406" s="5" t="str">
        <f>D406</f>
        <v>ВЩ-2 (ВРУ1-11-10) (S4)</v>
      </c>
      <c r="B406" s="6"/>
      <c r="C406" s="7"/>
      <c r="D406" s="6" t="s">
        <v>285</v>
      </c>
      <c r="E406" s="8"/>
      <c r="F406" s="8" t="s">
        <v>40</v>
      </c>
      <c r="G406" s="9"/>
      <c r="H406" s="10">
        <v>1</v>
      </c>
      <c r="I406" s="11" t="s">
        <v>7</v>
      </c>
      <c r="J406" s="6" t="s">
        <v>9</v>
      </c>
      <c r="K406" s="5" t="s">
        <v>155</v>
      </c>
    </row>
    <row r="407" spans="1:12" ht="21" hidden="1" customHeight="1" x14ac:dyDescent="0.25">
      <c r="A407" s="12" t="str">
        <f>A406</f>
        <v>ВЩ-2 (ВРУ1-11-10) (S4)</v>
      </c>
      <c r="B407" s="13" t="s">
        <v>8</v>
      </c>
      <c r="C407" s="14" t="s">
        <v>38</v>
      </c>
      <c r="D407" s="12" t="s">
        <v>39</v>
      </c>
      <c r="E407" s="13">
        <v>155000</v>
      </c>
      <c r="F407" s="15">
        <f>E407*0.6</f>
        <v>93000</v>
      </c>
      <c r="G407" s="15">
        <f t="shared" ref="G407:G419" si="243">H407*F407</f>
        <v>93000</v>
      </c>
      <c r="H407" s="16">
        <v>1</v>
      </c>
      <c r="I407" s="17" t="s">
        <v>13</v>
      </c>
      <c r="J407" s="13" t="s">
        <v>16</v>
      </c>
      <c r="K407" s="12" t="str">
        <f>K406</f>
        <v>2853_01_01_S4_EM01_01_M3</v>
      </c>
      <c r="L407">
        <v>93000</v>
      </c>
    </row>
    <row r="408" spans="1:12" ht="21" hidden="1" customHeight="1" x14ac:dyDescent="0.25">
      <c r="A408" s="12" t="str">
        <f>A406</f>
        <v>ВЩ-2 (ВРУ1-11-10) (S4)</v>
      </c>
      <c r="B408" s="13" t="s">
        <v>25</v>
      </c>
      <c r="C408" s="14" t="s">
        <v>54</v>
      </c>
      <c r="D408" s="12" t="s">
        <v>55</v>
      </c>
      <c r="E408" s="13">
        <v>5523</v>
      </c>
      <c r="F408" s="15">
        <f>E408</f>
        <v>5523</v>
      </c>
      <c r="G408" s="15">
        <f t="shared" si="243"/>
        <v>16569</v>
      </c>
      <c r="H408" s="16">
        <v>3</v>
      </c>
      <c r="I408" s="17" t="s">
        <v>13</v>
      </c>
      <c r="J408" s="13" t="s">
        <v>24</v>
      </c>
      <c r="K408" s="12" t="str">
        <f>K406</f>
        <v>2853_01_01_S4_EM01_01_M3</v>
      </c>
      <c r="L408">
        <v>16569</v>
      </c>
    </row>
    <row r="409" spans="1:12" ht="21" hidden="1" customHeight="1" x14ac:dyDescent="0.25">
      <c r="A409" s="12" t="str">
        <f>A407</f>
        <v>ВЩ-2 (ВРУ1-11-10) (S4)</v>
      </c>
      <c r="B409" s="13" t="s">
        <v>25</v>
      </c>
      <c r="C409" s="14" t="s">
        <v>80</v>
      </c>
      <c r="D409" s="12" t="s">
        <v>81</v>
      </c>
      <c r="E409" s="13">
        <v>6018</v>
      </c>
      <c r="F409" s="15">
        <f>E409</f>
        <v>6018</v>
      </c>
      <c r="G409" s="15">
        <f t="shared" si="243"/>
        <v>18054</v>
      </c>
      <c r="H409" s="16">
        <v>3</v>
      </c>
      <c r="I409" s="17" t="s">
        <v>13</v>
      </c>
      <c r="J409" s="13" t="s">
        <v>24</v>
      </c>
      <c r="K409" s="12" t="str">
        <f>K407</f>
        <v>2853_01_01_S4_EM01_01_M3</v>
      </c>
      <c r="L409">
        <v>18054</v>
      </c>
    </row>
    <row r="410" spans="1:12" ht="21" hidden="1" customHeight="1" x14ac:dyDescent="0.25">
      <c r="A410" s="12" t="str">
        <f t="shared" ref="A410:A420" si="244">A409</f>
        <v>ВЩ-2 (ВРУ1-11-10) (S4)</v>
      </c>
      <c r="B410" s="13" t="s">
        <v>29</v>
      </c>
      <c r="C410" s="14" t="s">
        <v>82</v>
      </c>
      <c r="D410" s="12" t="s">
        <v>83</v>
      </c>
      <c r="E410" s="13">
        <v>21950</v>
      </c>
      <c r="F410" s="15">
        <f>E410</f>
        <v>21950</v>
      </c>
      <c r="G410" s="15">
        <f t="shared" si="243"/>
        <v>43900</v>
      </c>
      <c r="H410" s="16">
        <v>2</v>
      </c>
      <c r="I410" s="17" t="s">
        <v>13</v>
      </c>
      <c r="J410" s="13" t="s">
        <v>24</v>
      </c>
      <c r="K410" s="12" t="str">
        <f t="shared" ref="K410:K420" si="245">K409</f>
        <v>2853_01_01_S4_EM01_01_M3</v>
      </c>
      <c r="L410">
        <v>43900</v>
      </c>
    </row>
    <row r="411" spans="1:12" ht="21" hidden="1" customHeight="1" x14ac:dyDescent="0.25">
      <c r="A411" s="12" t="str">
        <f t="shared" si="244"/>
        <v>ВЩ-2 (ВРУ1-11-10) (S4)</v>
      </c>
      <c r="B411" s="13" t="s">
        <v>30</v>
      </c>
      <c r="C411" s="14" t="s">
        <v>84</v>
      </c>
      <c r="D411" s="12" t="s">
        <v>85</v>
      </c>
      <c r="E411" s="13">
        <v>3288</v>
      </c>
      <c r="F411" s="15">
        <f t="shared" ref="F411:F415" si="246">E411*0.6</f>
        <v>1972.8</v>
      </c>
      <c r="G411" s="15">
        <f t="shared" si="243"/>
        <v>5918.4</v>
      </c>
      <c r="H411" s="16">
        <v>3</v>
      </c>
      <c r="I411" s="17" t="s">
        <v>13</v>
      </c>
      <c r="J411" s="13" t="s">
        <v>17</v>
      </c>
      <c r="K411" s="12" t="str">
        <f t="shared" si="245"/>
        <v>2853_01_01_S4_EM01_01_M3</v>
      </c>
      <c r="L411">
        <v>5918.4</v>
      </c>
    </row>
    <row r="412" spans="1:12" ht="21" hidden="1" customHeight="1" x14ac:dyDescent="0.25">
      <c r="A412" s="12" t="str">
        <f t="shared" si="244"/>
        <v>ВЩ-2 (ВРУ1-11-10) (S4)</v>
      </c>
      <c r="B412" s="13" t="s">
        <v>30</v>
      </c>
      <c r="C412" s="14" t="s">
        <v>86</v>
      </c>
      <c r="D412" s="12" t="s">
        <v>87</v>
      </c>
      <c r="E412" s="13">
        <v>3302</v>
      </c>
      <c r="F412" s="15">
        <f t="shared" si="246"/>
        <v>1981.1999999999998</v>
      </c>
      <c r="G412" s="15">
        <f t="shared" si="243"/>
        <v>5943.5999999999995</v>
      </c>
      <c r="H412" s="16">
        <v>3</v>
      </c>
      <c r="I412" s="17" t="s">
        <v>13</v>
      </c>
      <c r="J412" s="13" t="s">
        <v>17</v>
      </c>
      <c r="K412" s="12" t="str">
        <f t="shared" si="245"/>
        <v>2853_01_01_S4_EM01_01_M3</v>
      </c>
      <c r="L412">
        <v>5943.5999999999995</v>
      </c>
    </row>
    <row r="413" spans="1:12" ht="21" hidden="1" customHeight="1" x14ac:dyDescent="0.25">
      <c r="A413" s="12" t="str">
        <f t="shared" ref="A413" si="247">A412</f>
        <v>ВЩ-2 (ВРУ1-11-10) (S4)</v>
      </c>
      <c r="B413" s="13" t="s">
        <v>30</v>
      </c>
      <c r="C413" s="14" t="s">
        <v>86</v>
      </c>
      <c r="D413" s="12" t="s">
        <v>87</v>
      </c>
      <c r="E413" s="13">
        <v>3302</v>
      </c>
      <c r="F413" s="15">
        <f t="shared" si="246"/>
        <v>1981.1999999999998</v>
      </c>
      <c r="G413" s="15">
        <f t="shared" si="243"/>
        <v>5943.5999999999995</v>
      </c>
      <c r="H413" s="16">
        <v>3</v>
      </c>
      <c r="I413" s="17" t="s">
        <v>13</v>
      </c>
      <c r="J413" s="13" t="s">
        <v>17</v>
      </c>
      <c r="K413" s="12" t="str">
        <f t="shared" ref="K413" si="248">K412</f>
        <v>2853_01_01_S4_EM01_01_M3</v>
      </c>
      <c r="L413">
        <v>5943.5999999999995</v>
      </c>
    </row>
    <row r="414" spans="1:12" ht="21" hidden="1" customHeight="1" x14ac:dyDescent="0.25">
      <c r="A414" s="12" t="str">
        <f>A412</f>
        <v>ВЩ-2 (ВРУ1-11-10) (S4)</v>
      </c>
      <c r="B414" s="13" t="s">
        <v>30</v>
      </c>
      <c r="C414" s="14" t="s">
        <v>88</v>
      </c>
      <c r="D414" s="12" t="s">
        <v>89</v>
      </c>
      <c r="E414" s="13">
        <v>4750</v>
      </c>
      <c r="F414" s="15">
        <f t="shared" si="246"/>
        <v>2850</v>
      </c>
      <c r="G414" s="15">
        <f t="shared" si="243"/>
        <v>17100</v>
      </c>
      <c r="H414" s="16">
        <v>6</v>
      </c>
      <c r="I414" s="17" t="s">
        <v>13</v>
      </c>
      <c r="J414" s="13" t="s">
        <v>17</v>
      </c>
      <c r="K414" s="12" t="str">
        <f>K412</f>
        <v>2853_01_01_S4_EM01_01_M3</v>
      </c>
      <c r="L414">
        <v>17100</v>
      </c>
    </row>
    <row r="415" spans="1:12" ht="21" hidden="1" customHeight="1" x14ac:dyDescent="0.25">
      <c r="A415" s="12" t="str">
        <f t="shared" si="244"/>
        <v>ВЩ-2 (ВРУ1-11-10) (S4)</v>
      </c>
      <c r="B415" s="13" t="s">
        <v>12</v>
      </c>
      <c r="C415" s="14" t="s">
        <v>19</v>
      </c>
      <c r="D415" s="12" t="s">
        <v>20</v>
      </c>
      <c r="E415" s="13">
        <v>975</v>
      </c>
      <c r="F415" s="15">
        <f t="shared" si="246"/>
        <v>585</v>
      </c>
      <c r="G415" s="15">
        <f t="shared" si="243"/>
        <v>1170</v>
      </c>
      <c r="H415" s="16">
        <v>2</v>
      </c>
      <c r="I415" s="17" t="s">
        <v>13</v>
      </c>
      <c r="J415" s="13" t="s">
        <v>17</v>
      </c>
      <c r="K415" s="12" t="str">
        <f t="shared" si="245"/>
        <v>2853_01_01_S4_EM01_01_M3</v>
      </c>
      <c r="L415">
        <v>1170</v>
      </c>
    </row>
    <row r="416" spans="1:12" ht="22.5" hidden="1" customHeight="1" x14ac:dyDescent="0.25">
      <c r="A416" s="12" t="str">
        <f t="shared" si="244"/>
        <v>ВЩ-2 (ВРУ1-11-10) (S4)</v>
      </c>
      <c r="B416" s="13" t="s">
        <v>18</v>
      </c>
      <c r="C416" s="14" t="s">
        <v>225</v>
      </c>
      <c r="D416" s="12" t="s">
        <v>226</v>
      </c>
      <c r="E416" s="13">
        <v>90000</v>
      </c>
      <c r="F416" s="15">
        <f t="shared" ref="F416:F417" si="249">E416</f>
        <v>90000</v>
      </c>
      <c r="G416" s="15">
        <f t="shared" si="243"/>
        <v>180000</v>
      </c>
      <c r="H416" s="16">
        <v>2</v>
      </c>
      <c r="I416" s="17" t="s">
        <v>13</v>
      </c>
      <c r="J416" s="13" t="s">
        <v>24</v>
      </c>
      <c r="K416" s="12" t="str">
        <f t="shared" si="245"/>
        <v>2853_01_01_S4_EM01_01_M3</v>
      </c>
      <c r="L416">
        <v>180000</v>
      </c>
    </row>
    <row r="417" spans="1:12" ht="21" hidden="1" customHeight="1" x14ac:dyDescent="0.25">
      <c r="A417" s="12" t="str">
        <f t="shared" si="244"/>
        <v>ВЩ-2 (ВРУ1-11-10) (S4)</v>
      </c>
      <c r="B417" s="13" t="s">
        <v>28</v>
      </c>
      <c r="C417" s="14"/>
      <c r="D417" s="12" t="s">
        <v>28</v>
      </c>
      <c r="E417" s="13">
        <v>1000</v>
      </c>
      <c r="F417" s="15">
        <f t="shared" si="249"/>
        <v>1000</v>
      </c>
      <c r="G417" s="15">
        <f t="shared" si="243"/>
        <v>1000</v>
      </c>
      <c r="H417" s="16">
        <v>1</v>
      </c>
      <c r="I417" s="17" t="s">
        <v>13</v>
      </c>
      <c r="J417" s="13" t="s">
        <v>24</v>
      </c>
      <c r="K417" s="12" t="str">
        <f t="shared" si="245"/>
        <v>2853_01_01_S4_EM01_01_M3</v>
      </c>
      <c r="L417">
        <v>1000</v>
      </c>
    </row>
    <row r="418" spans="1:12" ht="24" hidden="1" customHeight="1" x14ac:dyDescent="0.25">
      <c r="A418" s="12" t="str">
        <f t="shared" si="244"/>
        <v>ВЩ-2 (ВРУ1-11-10) (S4)</v>
      </c>
      <c r="B418" s="12" t="s">
        <v>10</v>
      </c>
      <c r="C418" s="18" t="s">
        <v>10</v>
      </c>
      <c r="D418" s="12" t="s">
        <v>10</v>
      </c>
      <c r="E418" s="12">
        <f ca="1">OFFSET(E418,1,2)</f>
        <v>54000</v>
      </c>
      <c r="F418" s="15">
        <f ca="1">E418</f>
        <v>54000</v>
      </c>
      <c r="G418" s="15">
        <f t="shared" ca="1" si="243"/>
        <v>54000</v>
      </c>
      <c r="H418" s="12">
        <v>1</v>
      </c>
      <c r="I418" s="12" t="s">
        <v>13</v>
      </c>
      <c r="J418" s="12" t="s">
        <v>10</v>
      </c>
      <c r="K418" s="12" t="str">
        <f t="shared" si="245"/>
        <v>2853_01_01_S4_EM01_01_M3</v>
      </c>
      <c r="L418">
        <v>54000</v>
      </c>
    </row>
    <row r="419" spans="1:12" ht="21" hidden="1" customHeight="1" x14ac:dyDescent="0.25">
      <c r="A419" s="12" t="str">
        <f t="shared" si="244"/>
        <v>ВЩ-2 (ВРУ1-11-10) (S4)</v>
      </c>
      <c r="B419" s="12" t="s">
        <v>11</v>
      </c>
      <c r="C419" s="18" t="s">
        <v>11</v>
      </c>
      <c r="D419" s="12" t="s">
        <v>11</v>
      </c>
      <c r="E419" s="12">
        <v>9</v>
      </c>
      <c r="F419" s="15">
        <v>100</v>
      </c>
      <c r="G419" s="15">
        <f t="shared" si="243"/>
        <v>54000</v>
      </c>
      <c r="H419" s="12">
        <f>60*E419</f>
        <v>540</v>
      </c>
      <c r="I419" s="12" t="s">
        <v>13</v>
      </c>
      <c r="J419" s="12" t="s">
        <v>11</v>
      </c>
      <c r="K419" s="12" t="str">
        <f t="shared" si="245"/>
        <v>2853_01_01_S4_EM01_01_M3</v>
      </c>
      <c r="L419">
        <v>54000</v>
      </c>
    </row>
    <row r="420" spans="1:12" ht="30" customHeight="1" x14ac:dyDescent="0.25">
      <c r="A420" s="12" t="str">
        <f t="shared" si="244"/>
        <v>ВЩ-2 (ВРУ1-11-10) (S4)</v>
      </c>
      <c r="B420" s="19"/>
      <c r="C420" s="20"/>
      <c r="D420" s="21"/>
      <c r="E420" s="23"/>
      <c r="F420" s="25"/>
      <c r="G420" s="24">
        <f ca="1">SUM(G407:G419)</f>
        <v>496598.6</v>
      </c>
      <c r="H420" s="20"/>
      <c r="I420" s="22"/>
      <c r="J420" s="20"/>
      <c r="K420" s="12" t="str">
        <f t="shared" si="245"/>
        <v>2853_01_01_S4_EM01_01_M3</v>
      </c>
      <c r="L420">
        <v>496598.6</v>
      </c>
    </row>
    <row r="421" spans="1:12" ht="39.75" customHeight="1" x14ac:dyDescent="0.25">
      <c r="A421" s="5" t="str">
        <f>D421</f>
        <v>РЩ-2 (ВРУ1-инд-5-00-ухл4) (S4)</v>
      </c>
      <c r="B421" s="6"/>
      <c r="C421" s="7"/>
      <c r="D421" s="6" t="s">
        <v>286</v>
      </c>
      <c r="E421" s="8"/>
      <c r="F421" s="8" t="s">
        <v>40</v>
      </c>
      <c r="G421" s="9"/>
      <c r="H421" s="10">
        <v>1</v>
      </c>
      <c r="I421" s="11" t="s">
        <v>7</v>
      </c>
      <c r="J421" s="6" t="s">
        <v>9</v>
      </c>
      <c r="K421" s="5" t="s">
        <v>155</v>
      </c>
    </row>
    <row r="422" spans="1:12" ht="21" hidden="1" customHeight="1" x14ac:dyDescent="0.25">
      <c r="A422" s="12" t="str">
        <f>A421</f>
        <v>РЩ-2 (ВРУ1-инд-5-00-ухл4) (S4)</v>
      </c>
      <c r="B422" s="13" t="s">
        <v>8</v>
      </c>
      <c r="C422" s="14" t="s">
        <v>337</v>
      </c>
      <c r="D422" s="12" t="s">
        <v>338</v>
      </c>
      <c r="E422" s="13">
        <v>140000</v>
      </c>
      <c r="F422" s="15">
        <f t="shared" ref="F422:F430" si="250">E422*0.6</f>
        <v>84000</v>
      </c>
      <c r="G422" s="15">
        <f t="shared" ref="G422:G433" si="251">H422*F422</f>
        <v>84000</v>
      </c>
      <c r="H422" s="16">
        <v>1</v>
      </c>
      <c r="I422" s="17" t="s">
        <v>13</v>
      </c>
      <c r="J422" s="13" t="s">
        <v>16</v>
      </c>
      <c r="K422" s="12" t="str">
        <f>K421</f>
        <v>2853_01_01_S4_EM01_01_M3</v>
      </c>
      <c r="L422">
        <v>84000</v>
      </c>
    </row>
    <row r="423" spans="1:12" ht="21" hidden="1" customHeight="1" x14ac:dyDescent="0.25">
      <c r="A423" s="12" t="str">
        <f t="shared" ref="A423:A434" si="252">A422</f>
        <v>РЩ-2 (ВРУ1-инд-5-00-ухл4) (S4)</v>
      </c>
      <c r="B423" s="13" t="s">
        <v>33</v>
      </c>
      <c r="C423" s="14" t="s">
        <v>90</v>
      </c>
      <c r="D423" s="12" t="s">
        <v>91</v>
      </c>
      <c r="E423" s="13">
        <v>33910</v>
      </c>
      <c r="F423" s="15">
        <f t="shared" si="250"/>
        <v>20346</v>
      </c>
      <c r="G423" s="15">
        <f t="shared" si="251"/>
        <v>20346</v>
      </c>
      <c r="H423" s="16">
        <v>1</v>
      </c>
      <c r="I423" s="17" t="s">
        <v>13</v>
      </c>
      <c r="J423" s="13" t="s">
        <v>17</v>
      </c>
      <c r="K423" s="12" t="str">
        <f t="shared" ref="K423:K434" si="253">K422</f>
        <v>2853_01_01_S4_EM01_01_M3</v>
      </c>
      <c r="L423">
        <v>20346</v>
      </c>
    </row>
    <row r="424" spans="1:12" ht="21" hidden="1" customHeight="1" x14ac:dyDescent="0.25">
      <c r="A424" s="12" t="str">
        <f t="shared" si="252"/>
        <v>РЩ-2 (ВРУ1-инд-5-00-ухл4) (S4)</v>
      </c>
      <c r="B424" s="13" t="s">
        <v>33</v>
      </c>
      <c r="C424" s="14" t="s">
        <v>22</v>
      </c>
      <c r="D424" s="12" t="s">
        <v>23</v>
      </c>
      <c r="E424" s="13">
        <v>19443</v>
      </c>
      <c r="F424" s="15">
        <f t="shared" si="250"/>
        <v>11665.8</v>
      </c>
      <c r="G424" s="15">
        <f t="shared" si="251"/>
        <v>23331.599999999999</v>
      </c>
      <c r="H424" s="16">
        <v>2</v>
      </c>
      <c r="I424" s="17" t="s">
        <v>13</v>
      </c>
      <c r="J424" s="13" t="s">
        <v>17</v>
      </c>
      <c r="K424" s="12" t="str">
        <f t="shared" si="253"/>
        <v>2853_01_01_S4_EM01_01_M3</v>
      </c>
      <c r="L424">
        <v>23331.599999999999</v>
      </c>
    </row>
    <row r="425" spans="1:12" ht="21" hidden="1" customHeight="1" x14ac:dyDescent="0.25">
      <c r="A425" s="12" t="str">
        <f t="shared" si="252"/>
        <v>РЩ-2 (ВРУ1-инд-5-00-ухл4) (S4)</v>
      </c>
      <c r="B425" s="13" t="s">
        <v>33</v>
      </c>
      <c r="C425" s="14" t="s">
        <v>94</v>
      </c>
      <c r="D425" s="12" t="s">
        <v>95</v>
      </c>
      <c r="E425" s="13">
        <v>19700</v>
      </c>
      <c r="F425" s="15">
        <f t="shared" si="250"/>
        <v>11820</v>
      </c>
      <c r="G425" s="15">
        <f t="shared" si="251"/>
        <v>59100</v>
      </c>
      <c r="H425" s="16">
        <v>5</v>
      </c>
      <c r="I425" s="17" t="s">
        <v>13</v>
      </c>
      <c r="J425" s="13" t="s">
        <v>17</v>
      </c>
      <c r="K425" s="12" t="str">
        <f t="shared" si="253"/>
        <v>2853_01_01_S4_EM01_01_M3</v>
      </c>
      <c r="L425">
        <v>59100</v>
      </c>
    </row>
    <row r="426" spans="1:12" ht="21" hidden="1" customHeight="1" x14ac:dyDescent="0.25">
      <c r="A426" s="12" t="str">
        <f t="shared" si="252"/>
        <v>РЩ-2 (ВРУ1-инд-5-00-ухл4) (S4)</v>
      </c>
      <c r="B426" s="13" t="s">
        <v>12</v>
      </c>
      <c r="C426" s="14" t="s">
        <v>27</v>
      </c>
      <c r="D426" s="12" t="s">
        <v>26</v>
      </c>
      <c r="E426" s="13">
        <v>2606</v>
      </c>
      <c r="F426" s="15">
        <f t="shared" si="250"/>
        <v>1563.6</v>
      </c>
      <c r="G426" s="15">
        <f t="shared" si="251"/>
        <v>4690.7999999999993</v>
      </c>
      <c r="H426" s="16">
        <v>3</v>
      </c>
      <c r="I426" s="17" t="s">
        <v>13</v>
      </c>
      <c r="J426" s="13" t="s">
        <v>17</v>
      </c>
      <c r="K426" s="12" t="str">
        <f t="shared" si="253"/>
        <v>2853_01_01_S4_EM01_01_M3</v>
      </c>
      <c r="L426">
        <v>4690.7999999999993</v>
      </c>
    </row>
    <row r="427" spans="1:12" ht="21" hidden="1" customHeight="1" x14ac:dyDescent="0.25">
      <c r="A427" s="12" t="str">
        <f t="shared" si="252"/>
        <v>РЩ-2 (ВРУ1-инд-5-00-ухл4) (S4)</v>
      </c>
      <c r="B427" s="13" t="s">
        <v>12</v>
      </c>
      <c r="C427" s="14" t="s">
        <v>96</v>
      </c>
      <c r="D427" s="12" t="s">
        <v>97</v>
      </c>
      <c r="E427" s="13">
        <v>2429</v>
      </c>
      <c r="F427" s="15">
        <f t="shared" si="250"/>
        <v>1457.3999999999999</v>
      </c>
      <c r="G427" s="15">
        <f t="shared" si="251"/>
        <v>2914.7999999999997</v>
      </c>
      <c r="H427" s="16">
        <v>2</v>
      </c>
      <c r="I427" s="17" t="s">
        <v>13</v>
      </c>
      <c r="J427" s="13" t="s">
        <v>17</v>
      </c>
      <c r="K427" s="12" t="str">
        <f t="shared" si="253"/>
        <v>2853_01_01_S4_EM01_01_M3</v>
      </c>
      <c r="L427">
        <v>2914.7999999999997</v>
      </c>
    </row>
    <row r="428" spans="1:12" ht="21" hidden="1" customHeight="1" x14ac:dyDescent="0.25">
      <c r="A428" s="12" t="str">
        <f t="shared" si="252"/>
        <v>РЩ-2 (ВРУ1-инд-5-00-ухл4) (S4)</v>
      </c>
      <c r="B428" s="13" t="s">
        <v>12</v>
      </c>
      <c r="C428" s="14" t="s">
        <v>34</v>
      </c>
      <c r="D428" s="12" t="s">
        <v>35</v>
      </c>
      <c r="E428" s="13">
        <v>2337</v>
      </c>
      <c r="F428" s="15">
        <f t="shared" si="250"/>
        <v>1402.2</v>
      </c>
      <c r="G428" s="15">
        <f t="shared" si="251"/>
        <v>4206.6000000000004</v>
      </c>
      <c r="H428" s="16">
        <v>3</v>
      </c>
      <c r="I428" s="17" t="s">
        <v>13</v>
      </c>
      <c r="J428" s="13" t="s">
        <v>17</v>
      </c>
      <c r="K428" s="12" t="str">
        <f t="shared" si="253"/>
        <v>2853_01_01_S4_EM01_01_M3</v>
      </c>
      <c r="L428">
        <v>4206.6000000000004</v>
      </c>
    </row>
    <row r="429" spans="1:12" ht="21" hidden="1" customHeight="1" x14ac:dyDescent="0.25">
      <c r="A429" s="12" t="str">
        <f t="shared" si="252"/>
        <v>РЩ-2 (ВРУ1-инд-5-00-ухл4) (S4)</v>
      </c>
      <c r="B429" s="13" t="s">
        <v>12</v>
      </c>
      <c r="C429" s="14" t="s">
        <v>36</v>
      </c>
      <c r="D429" s="12" t="s">
        <v>37</v>
      </c>
      <c r="E429" s="13">
        <v>783</v>
      </c>
      <c r="F429" s="15">
        <f t="shared" si="250"/>
        <v>469.79999999999995</v>
      </c>
      <c r="G429" s="15">
        <f t="shared" si="251"/>
        <v>1879.1999999999998</v>
      </c>
      <c r="H429" s="16">
        <v>4</v>
      </c>
      <c r="I429" s="17" t="s">
        <v>13</v>
      </c>
      <c r="J429" s="13" t="s">
        <v>17</v>
      </c>
      <c r="K429" s="12" t="str">
        <f t="shared" si="253"/>
        <v>2853_01_01_S4_EM01_01_M3</v>
      </c>
      <c r="L429">
        <v>1879.1999999999998</v>
      </c>
    </row>
    <row r="430" spans="1:12" ht="21" hidden="1" customHeight="1" x14ac:dyDescent="0.25">
      <c r="A430" s="12" t="str">
        <f t="shared" ref="A430" si="254">A429</f>
        <v>РЩ-2 (ВРУ1-инд-5-00-ухл4) (S4)</v>
      </c>
      <c r="B430" s="13" t="s">
        <v>48</v>
      </c>
      <c r="C430" s="14" t="s">
        <v>73</v>
      </c>
      <c r="D430" s="12" t="s">
        <v>74</v>
      </c>
      <c r="E430" s="13">
        <v>4334</v>
      </c>
      <c r="F430" s="15">
        <f t="shared" si="250"/>
        <v>2600.4</v>
      </c>
      <c r="G430" s="15">
        <f t="shared" si="251"/>
        <v>2600.4</v>
      </c>
      <c r="H430" s="16">
        <v>1</v>
      </c>
      <c r="I430" s="17" t="s">
        <v>13</v>
      </c>
      <c r="J430" s="13" t="s">
        <v>17</v>
      </c>
      <c r="K430" s="12" t="str">
        <f t="shared" si="253"/>
        <v>2853_01_01_S4_EM01_01_M3</v>
      </c>
      <c r="L430">
        <v>2600.4</v>
      </c>
    </row>
    <row r="431" spans="1:12" ht="22.5" hidden="1" customHeight="1" x14ac:dyDescent="0.25">
      <c r="A431" s="12" t="str">
        <f>A429</f>
        <v>РЩ-2 (ВРУ1-инд-5-00-ухл4) (S4)</v>
      </c>
      <c r="B431" s="13" t="s">
        <v>18</v>
      </c>
      <c r="C431" s="14" t="s">
        <v>229</v>
      </c>
      <c r="D431" s="12" t="s">
        <v>230</v>
      </c>
      <c r="E431" s="13">
        <v>90000</v>
      </c>
      <c r="F431" s="15">
        <f t="shared" ref="F431" si="255">E431</f>
        <v>90000</v>
      </c>
      <c r="G431" s="15">
        <f t="shared" si="251"/>
        <v>90000</v>
      </c>
      <c r="H431" s="16">
        <v>1</v>
      </c>
      <c r="I431" s="17" t="s">
        <v>13</v>
      </c>
      <c r="J431" s="13" t="s">
        <v>24</v>
      </c>
      <c r="K431" s="12" t="str">
        <f t="shared" si="253"/>
        <v>2853_01_01_S4_EM01_01_M3</v>
      </c>
      <c r="L431">
        <v>90000</v>
      </c>
    </row>
    <row r="432" spans="1:12" ht="24" hidden="1" customHeight="1" x14ac:dyDescent="0.25">
      <c r="A432" s="12" t="str">
        <f t="shared" si="252"/>
        <v>РЩ-2 (ВРУ1-инд-5-00-ухл4) (S4)</v>
      </c>
      <c r="B432" s="12" t="s">
        <v>10</v>
      </c>
      <c r="C432" s="18" t="s">
        <v>10</v>
      </c>
      <c r="D432" s="12" t="s">
        <v>10</v>
      </c>
      <c r="E432" s="12">
        <f ca="1">OFFSET(E432,1,2)</f>
        <v>54000</v>
      </c>
      <c r="F432" s="15">
        <f ca="1">E432</f>
        <v>54000</v>
      </c>
      <c r="G432" s="15">
        <f t="shared" ca="1" si="251"/>
        <v>54000</v>
      </c>
      <c r="H432" s="12">
        <v>1</v>
      </c>
      <c r="I432" s="12" t="s">
        <v>13</v>
      </c>
      <c r="J432" s="12" t="s">
        <v>10</v>
      </c>
      <c r="K432" s="12" t="str">
        <f t="shared" si="253"/>
        <v>2853_01_01_S4_EM01_01_M3</v>
      </c>
      <c r="L432">
        <v>54000</v>
      </c>
    </row>
    <row r="433" spans="1:12" ht="21" hidden="1" customHeight="1" x14ac:dyDescent="0.25">
      <c r="A433" s="12" t="str">
        <f t="shared" si="252"/>
        <v>РЩ-2 (ВРУ1-инд-5-00-ухл4) (S4)</v>
      </c>
      <c r="B433" s="12" t="s">
        <v>11</v>
      </c>
      <c r="C433" s="18" t="s">
        <v>11</v>
      </c>
      <c r="D433" s="12" t="s">
        <v>11</v>
      </c>
      <c r="E433" s="12">
        <v>9</v>
      </c>
      <c r="F433" s="15">
        <v>100</v>
      </c>
      <c r="G433" s="15">
        <f t="shared" si="251"/>
        <v>54000</v>
      </c>
      <c r="H433" s="12">
        <f>60*E433</f>
        <v>540</v>
      </c>
      <c r="I433" s="12" t="s">
        <v>13</v>
      </c>
      <c r="J433" s="12" t="s">
        <v>11</v>
      </c>
      <c r="K433" s="12" t="str">
        <f t="shared" si="253"/>
        <v>2853_01_01_S4_EM01_01_M3</v>
      </c>
      <c r="L433">
        <v>54000</v>
      </c>
    </row>
    <row r="434" spans="1:12" ht="30" customHeight="1" x14ac:dyDescent="0.25">
      <c r="A434" s="12" t="str">
        <f t="shared" si="252"/>
        <v>РЩ-2 (ВРУ1-инд-5-00-ухл4) (S4)</v>
      </c>
      <c r="B434" s="19"/>
      <c r="C434" s="20"/>
      <c r="D434" s="21"/>
      <c r="E434" s="23"/>
      <c r="F434" s="25"/>
      <c r="G434" s="24">
        <f ca="1">SUM(G422:G433)</f>
        <v>401069.4</v>
      </c>
      <c r="H434" s="20"/>
      <c r="I434" s="22"/>
      <c r="J434" s="20"/>
      <c r="K434" s="12" t="str">
        <f t="shared" si="253"/>
        <v>2853_01_01_S4_EM01_01_M3</v>
      </c>
      <c r="L434">
        <v>401069.4</v>
      </c>
    </row>
    <row r="435" spans="1:12" ht="39.75" customHeight="1" x14ac:dyDescent="0.25">
      <c r="A435" s="5" t="str">
        <f>D435</f>
        <v>АВР-2 (S4)</v>
      </c>
      <c r="B435" s="6"/>
      <c r="C435" s="7"/>
      <c r="D435" s="6" t="s">
        <v>287</v>
      </c>
      <c r="E435" s="8"/>
      <c r="F435" s="8" t="s">
        <v>40</v>
      </c>
      <c r="G435" s="9"/>
      <c r="H435" s="10">
        <v>1</v>
      </c>
      <c r="I435" s="11" t="s">
        <v>7</v>
      </c>
      <c r="J435" s="6" t="s">
        <v>9</v>
      </c>
      <c r="K435" s="5" t="s">
        <v>155</v>
      </c>
      <c r="L435" s="28"/>
    </row>
    <row r="436" spans="1:12" ht="21" hidden="1" customHeight="1" x14ac:dyDescent="0.25">
      <c r="A436" s="12" t="str">
        <f>A435</f>
        <v>АВР-2 (S4)</v>
      </c>
      <c r="B436" s="13" t="s">
        <v>8</v>
      </c>
      <c r="C436" s="14" t="s">
        <v>339</v>
      </c>
      <c r="D436" s="12" t="s">
        <v>340</v>
      </c>
      <c r="E436" s="13">
        <v>166830</v>
      </c>
      <c r="F436" s="15">
        <f>E436*0.6</f>
        <v>100098</v>
      </c>
      <c r="G436" s="15">
        <f t="shared" ref="G436:G455" si="256">H436*F436</f>
        <v>100098</v>
      </c>
      <c r="H436" s="16">
        <v>1</v>
      </c>
      <c r="I436" s="17" t="s">
        <v>13</v>
      </c>
      <c r="J436" s="13" t="s">
        <v>16</v>
      </c>
      <c r="K436" s="12" t="str">
        <f>K435</f>
        <v>2853_01_01_S4_EM01_01_M3</v>
      </c>
      <c r="L436" s="28">
        <v>100098</v>
      </c>
    </row>
    <row r="437" spans="1:12" ht="21" hidden="1" customHeight="1" x14ac:dyDescent="0.25">
      <c r="A437" s="12" t="str">
        <f t="shared" ref="A437" si="257">A436</f>
        <v>АВР-2 (S4)</v>
      </c>
      <c r="B437" s="13" t="s">
        <v>25</v>
      </c>
      <c r="C437" s="14" t="s">
        <v>44</v>
      </c>
      <c r="D437" s="12" t="s">
        <v>45</v>
      </c>
      <c r="E437" s="13">
        <v>6018</v>
      </c>
      <c r="F437" s="15">
        <f>E437</f>
        <v>6018</v>
      </c>
      <c r="G437" s="15">
        <f t="shared" si="256"/>
        <v>24072</v>
      </c>
      <c r="H437" s="16">
        <v>4</v>
      </c>
      <c r="I437" s="17" t="s">
        <v>13</v>
      </c>
      <c r="J437" s="13" t="s">
        <v>24</v>
      </c>
      <c r="K437" s="12" t="str">
        <f t="shared" ref="K437" si="258">K436</f>
        <v>2853_01_01_S4_EM01_01_M3</v>
      </c>
      <c r="L437" s="28">
        <v>24072</v>
      </c>
    </row>
    <row r="438" spans="1:12" ht="21" hidden="1" customHeight="1" x14ac:dyDescent="0.25">
      <c r="A438" s="12" t="str">
        <f>A436</f>
        <v>АВР-2 (S4)</v>
      </c>
      <c r="B438" s="13" t="s">
        <v>33</v>
      </c>
      <c r="C438" s="14" t="s">
        <v>31</v>
      </c>
      <c r="D438" s="12" t="s">
        <v>32</v>
      </c>
      <c r="E438" s="13">
        <v>19418</v>
      </c>
      <c r="F438" s="15">
        <f t="shared" ref="F438:F440" si="259">E438*0.6</f>
        <v>11650.8</v>
      </c>
      <c r="G438" s="15">
        <f t="shared" si="256"/>
        <v>34952.399999999994</v>
      </c>
      <c r="H438" s="16">
        <v>3</v>
      </c>
      <c r="I438" s="17" t="s">
        <v>13</v>
      </c>
      <c r="J438" s="13" t="s">
        <v>17</v>
      </c>
      <c r="K438" s="12" t="str">
        <f>K436</f>
        <v>2853_01_01_S4_EM01_01_M3</v>
      </c>
      <c r="L438" s="28">
        <v>34952.399999999994</v>
      </c>
    </row>
    <row r="439" spans="1:12" ht="21" hidden="1" customHeight="1" x14ac:dyDescent="0.25">
      <c r="A439" s="12" t="str">
        <f t="shared" ref="A439:A456" si="260">A437</f>
        <v>АВР-2 (S4)</v>
      </c>
      <c r="B439" s="13" t="s">
        <v>352</v>
      </c>
      <c r="C439" s="14" t="s">
        <v>362</v>
      </c>
      <c r="D439" s="12" t="s">
        <v>363</v>
      </c>
      <c r="E439" s="13">
        <v>39983</v>
      </c>
      <c r="F439" s="15">
        <f t="shared" si="259"/>
        <v>23989.8</v>
      </c>
      <c r="G439" s="15">
        <f t="shared" si="256"/>
        <v>71969.399999999994</v>
      </c>
      <c r="H439" s="16">
        <v>3</v>
      </c>
      <c r="I439" s="17" t="s">
        <v>13</v>
      </c>
      <c r="J439" s="13" t="s">
        <v>17</v>
      </c>
      <c r="K439" s="12" t="str">
        <f t="shared" ref="K439:K456" si="261">K437</f>
        <v>2853_01_01_S4_EM01_01_M3</v>
      </c>
      <c r="L439" s="28">
        <v>71969.399999999994</v>
      </c>
    </row>
    <row r="440" spans="1:12" ht="21" hidden="1" customHeight="1" x14ac:dyDescent="0.25">
      <c r="A440" s="12" t="str">
        <f t="shared" si="260"/>
        <v>АВР-2 (S4)</v>
      </c>
      <c r="B440" s="13" t="s">
        <v>353</v>
      </c>
      <c r="C440" s="14" t="s">
        <v>364</v>
      </c>
      <c r="D440" s="12" t="s">
        <v>365</v>
      </c>
      <c r="E440" s="13">
        <v>2177</v>
      </c>
      <c r="F440" s="15">
        <f t="shared" si="259"/>
        <v>1306.2</v>
      </c>
      <c r="G440" s="15">
        <f t="shared" si="256"/>
        <v>3918.6000000000004</v>
      </c>
      <c r="H440" s="16">
        <v>3</v>
      </c>
      <c r="I440" s="17" t="s">
        <v>13</v>
      </c>
      <c r="J440" s="13" t="s">
        <v>17</v>
      </c>
      <c r="K440" s="12" t="str">
        <f t="shared" si="261"/>
        <v>2853_01_01_S4_EM01_01_M3</v>
      </c>
      <c r="L440" s="28">
        <v>3918.6000000000004</v>
      </c>
    </row>
    <row r="441" spans="1:12" ht="21" hidden="1" customHeight="1" x14ac:dyDescent="0.25">
      <c r="A441" s="12" t="str">
        <f t="shared" si="260"/>
        <v>АВР-2 (S4)</v>
      </c>
      <c r="B441" s="13" t="s">
        <v>354</v>
      </c>
      <c r="C441" s="14" t="s">
        <v>355</v>
      </c>
      <c r="D441" s="13" t="s">
        <v>356</v>
      </c>
      <c r="E441" s="13">
        <v>78000</v>
      </c>
      <c r="F441" s="15">
        <f>E441</f>
        <v>78000</v>
      </c>
      <c r="G441" s="15">
        <f t="shared" si="256"/>
        <v>78000</v>
      </c>
      <c r="H441" s="16">
        <v>1</v>
      </c>
      <c r="I441" s="17" t="s">
        <v>13</v>
      </c>
      <c r="J441" s="13" t="s">
        <v>357</v>
      </c>
      <c r="K441" s="12" t="str">
        <f t="shared" si="261"/>
        <v>2853_01_01_S4_EM01_01_M3</v>
      </c>
      <c r="L441" s="28">
        <v>78000</v>
      </c>
    </row>
    <row r="442" spans="1:12" ht="21" hidden="1" customHeight="1" x14ac:dyDescent="0.25">
      <c r="A442" s="12" t="str">
        <f t="shared" si="260"/>
        <v>АВР-2 (S4)</v>
      </c>
      <c r="B442" s="13" t="s">
        <v>48</v>
      </c>
      <c r="C442" s="14" t="s">
        <v>73</v>
      </c>
      <c r="D442" s="12" t="s">
        <v>74</v>
      </c>
      <c r="E442" s="13">
        <v>4334</v>
      </c>
      <c r="F442" s="15">
        <f t="shared" ref="F442:F449" si="262">E442*0.6</f>
        <v>2600.4</v>
      </c>
      <c r="G442" s="15">
        <f t="shared" si="256"/>
        <v>2600.4</v>
      </c>
      <c r="H442" s="16">
        <v>1</v>
      </c>
      <c r="I442" s="17" t="s">
        <v>13</v>
      </c>
      <c r="J442" s="13" t="s">
        <v>17</v>
      </c>
      <c r="K442" s="12" t="str">
        <f t="shared" si="261"/>
        <v>2853_01_01_S4_EM01_01_M3</v>
      </c>
      <c r="L442" s="28">
        <v>2600.4</v>
      </c>
    </row>
    <row r="443" spans="1:12" ht="21" hidden="1" customHeight="1" x14ac:dyDescent="0.25">
      <c r="A443" s="12" t="str">
        <f t="shared" si="260"/>
        <v>АВР-2 (S4)</v>
      </c>
      <c r="B443" s="13" t="s">
        <v>48</v>
      </c>
      <c r="C443" s="14" t="s">
        <v>69</v>
      </c>
      <c r="D443" s="12" t="s">
        <v>70</v>
      </c>
      <c r="E443" s="13">
        <v>3372</v>
      </c>
      <c r="F443" s="15">
        <f t="shared" si="262"/>
        <v>2023.1999999999998</v>
      </c>
      <c r="G443" s="15">
        <f t="shared" si="256"/>
        <v>4046.3999999999996</v>
      </c>
      <c r="H443" s="16">
        <v>2</v>
      </c>
      <c r="I443" s="17" t="s">
        <v>13</v>
      </c>
      <c r="J443" s="13" t="s">
        <v>17</v>
      </c>
      <c r="K443" s="12" t="str">
        <f t="shared" si="261"/>
        <v>2853_01_01_S4_EM01_01_M3</v>
      </c>
      <c r="L443" s="28">
        <v>4046.3999999999996</v>
      </c>
    </row>
    <row r="444" spans="1:12" ht="21" hidden="1" customHeight="1" x14ac:dyDescent="0.25">
      <c r="A444" s="12" t="str">
        <f t="shared" si="260"/>
        <v>АВР-2 (S4)</v>
      </c>
      <c r="B444" s="13" t="s">
        <v>48</v>
      </c>
      <c r="C444" s="14" t="s">
        <v>51</v>
      </c>
      <c r="D444" s="12" t="s">
        <v>52</v>
      </c>
      <c r="E444" s="13">
        <v>3372</v>
      </c>
      <c r="F444" s="15">
        <f t="shared" si="262"/>
        <v>2023.1999999999998</v>
      </c>
      <c r="G444" s="15">
        <f t="shared" si="256"/>
        <v>2023.1999999999998</v>
      </c>
      <c r="H444" s="16">
        <v>1</v>
      </c>
      <c r="I444" s="17" t="s">
        <v>13</v>
      </c>
      <c r="J444" s="13" t="s">
        <v>17</v>
      </c>
      <c r="K444" s="12" t="str">
        <f t="shared" si="261"/>
        <v>2853_01_01_S4_EM01_01_M3</v>
      </c>
      <c r="L444" s="28">
        <v>2023.1999999999998</v>
      </c>
    </row>
    <row r="445" spans="1:12" ht="21" hidden="1" customHeight="1" x14ac:dyDescent="0.25">
      <c r="A445" s="12" t="str">
        <f t="shared" si="260"/>
        <v>АВР-2 (S4)</v>
      </c>
      <c r="B445" s="13" t="s">
        <v>12</v>
      </c>
      <c r="C445" s="14" t="s">
        <v>65</v>
      </c>
      <c r="D445" s="12" t="s">
        <v>66</v>
      </c>
      <c r="E445" s="13">
        <v>3172</v>
      </c>
      <c r="F445" s="15">
        <f t="shared" si="262"/>
        <v>1903.1999999999998</v>
      </c>
      <c r="G445" s="15">
        <f t="shared" si="256"/>
        <v>1903.1999999999998</v>
      </c>
      <c r="H445" s="16">
        <v>1</v>
      </c>
      <c r="I445" s="17" t="s">
        <v>13</v>
      </c>
      <c r="J445" s="13" t="s">
        <v>17</v>
      </c>
      <c r="K445" s="12" t="str">
        <f t="shared" si="261"/>
        <v>2853_01_01_S4_EM01_01_M3</v>
      </c>
      <c r="L445" s="28">
        <v>1903.1999999999998</v>
      </c>
    </row>
    <row r="446" spans="1:12" ht="21" hidden="1" customHeight="1" x14ac:dyDescent="0.25">
      <c r="A446" s="12" t="str">
        <f t="shared" si="260"/>
        <v>АВР-2 (S4)</v>
      </c>
      <c r="B446" s="13" t="s">
        <v>12</v>
      </c>
      <c r="C446" s="14" t="s">
        <v>156</v>
      </c>
      <c r="D446" s="12" t="s">
        <v>157</v>
      </c>
      <c r="E446" s="13">
        <v>3604</v>
      </c>
      <c r="F446" s="15">
        <f t="shared" si="262"/>
        <v>2162.4</v>
      </c>
      <c r="G446" s="15">
        <f t="shared" si="256"/>
        <v>2162.4</v>
      </c>
      <c r="H446" s="16">
        <v>1</v>
      </c>
      <c r="I446" s="17" t="s">
        <v>13</v>
      </c>
      <c r="J446" s="13" t="s">
        <v>17</v>
      </c>
      <c r="K446" s="12" t="str">
        <f t="shared" si="261"/>
        <v>2853_01_01_S4_EM01_01_M3</v>
      </c>
      <c r="L446" s="28">
        <v>2162.4</v>
      </c>
    </row>
    <row r="447" spans="1:12" ht="21" hidden="1" customHeight="1" x14ac:dyDescent="0.25">
      <c r="A447" s="12" t="str">
        <f t="shared" si="260"/>
        <v>АВР-2 (S4)</v>
      </c>
      <c r="B447" s="13" t="s">
        <v>12</v>
      </c>
      <c r="C447" s="14" t="s">
        <v>34</v>
      </c>
      <c r="D447" s="12" t="s">
        <v>35</v>
      </c>
      <c r="E447" s="13">
        <v>2337</v>
      </c>
      <c r="F447" s="15">
        <f t="shared" si="262"/>
        <v>1402.2</v>
      </c>
      <c r="G447" s="15">
        <f t="shared" si="256"/>
        <v>8413.2000000000007</v>
      </c>
      <c r="H447" s="16">
        <v>6</v>
      </c>
      <c r="I447" s="17" t="s">
        <v>13</v>
      </c>
      <c r="J447" s="13" t="s">
        <v>17</v>
      </c>
      <c r="K447" s="12" t="str">
        <f t="shared" si="261"/>
        <v>2853_01_01_S4_EM01_01_M3</v>
      </c>
      <c r="L447" s="28">
        <v>8413.2000000000007</v>
      </c>
    </row>
    <row r="448" spans="1:12" ht="21" hidden="1" customHeight="1" x14ac:dyDescent="0.25">
      <c r="A448" s="12" t="str">
        <f t="shared" si="260"/>
        <v>АВР-2 (S4)</v>
      </c>
      <c r="B448" s="13" t="s">
        <v>12</v>
      </c>
      <c r="C448" s="14" t="s">
        <v>27</v>
      </c>
      <c r="D448" s="12" t="s">
        <v>26</v>
      </c>
      <c r="E448" s="13">
        <v>2606</v>
      </c>
      <c r="F448" s="15">
        <f t="shared" si="262"/>
        <v>1563.6</v>
      </c>
      <c r="G448" s="15">
        <f t="shared" si="256"/>
        <v>3127.2</v>
      </c>
      <c r="H448" s="16">
        <v>2</v>
      </c>
      <c r="I448" s="17" t="s">
        <v>13</v>
      </c>
      <c r="J448" s="13" t="s">
        <v>17</v>
      </c>
      <c r="K448" s="12" t="str">
        <f t="shared" si="261"/>
        <v>2853_01_01_S4_EM01_01_M3</v>
      </c>
      <c r="L448" s="28">
        <v>3127.2</v>
      </c>
    </row>
    <row r="449" spans="1:12" ht="21" hidden="1" customHeight="1" x14ac:dyDescent="0.25">
      <c r="A449" s="12" t="str">
        <f t="shared" si="260"/>
        <v>АВР-2 (S4)</v>
      </c>
      <c r="B449" s="13" t="s">
        <v>12</v>
      </c>
      <c r="C449" s="14" t="s">
        <v>98</v>
      </c>
      <c r="D449" s="12" t="s">
        <v>99</v>
      </c>
      <c r="E449" s="13">
        <v>3604</v>
      </c>
      <c r="F449" s="15">
        <f t="shared" si="262"/>
        <v>2162.4</v>
      </c>
      <c r="G449" s="15">
        <f t="shared" si="256"/>
        <v>6487.2000000000007</v>
      </c>
      <c r="H449" s="16">
        <v>3</v>
      </c>
      <c r="I449" s="17" t="s">
        <v>13</v>
      </c>
      <c r="J449" s="13" t="s">
        <v>17</v>
      </c>
      <c r="K449" s="12" t="str">
        <f t="shared" si="261"/>
        <v>2853_01_01_S4_EM01_01_M3</v>
      </c>
      <c r="L449" s="28">
        <v>6487.2000000000007</v>
      </c>
    </row>
    <row r="450" spans="1:12" ht="22.5" hidden="1" customHeight="1" x14ac:dyDescent="0.25">
      <c r="A450" s="12" t="str">
        <f t="shared" si="260"/>
        <v>АВР-2 (S4)</v>
      </c>
      <c r="B450" s="13" t="s">
        <v>18</v>
      </c>
      <c r="C450" s="14" t="s">
        <v>229</v>
      </c>
      <c r="D450" s="12" t="s">
        <v>230</v>
      </c>
      <c r="E450" s="13">
        <v>90000</v>
      </c>
      <c r="F450" s="15">
        <f t="shared" ref="F450" si="263">E450</f>
        <v>90000</v>
      </c>
      <c r="G450" s="15">
        <f t="shared" si="256"/>
        <v>90000</v>
      </c>
      <c r="H450" s="16">
        <v>1</v>
      </c>
      <c r="I450" s="17" t="s">
        <v>13</v>
      </c>
      <c r="J450" s="13" t="s">
        <v>24</v>
      </c>
      <c r="K450" s="12" t="str">
        <f t="shared" si="261"/>
        <v>2853_01_01_S4_EM01_01_M3</v>
      </c>
      <c r="L450" s="28">
        <v>90000</v>
      </c>
    </row>
    <row r="451" spans="1:12" ht="22.5" hidden="1" customHeight="1" x14ac:dyDescent="0.25">
      <c r="A451" s="12" t="str">
        <f t="shared" si="260"/>
        <v>АВР-2 (S4)</v>
      </c>
      <c r="B451" s="13" t="s">
        <v>18</v>
      </c>
      <c r="C451" s="14" t="s">
        <v>227</v>
      </c>
      <c r="D451" s="12" t="s">
        <v>228</v>
      </c>
      <c r="E451" s="13">
        <v>90000</v>
      </c>
      <c r="F451" s="15">
        <f t="shared" ref="F451:F453" si="264">E451</f>
        <v>90000</v>
      </c>
      <c r="G451" s="15">
        <f t="shared" si="256"/>
        <v>270000</v>
      </c>
      <c r="H451" s="16">
        <v>3</v>
      </c>
      <c r="I451" s="17" t="s">
        <v>13</v>
      </c>
      <c r="J451" s="13" t="s">
        <v>24</v>
      </c>
      <c r="K451" s="12" t="str">
        <f t="shared" si="261"/>
        <v>2853_01_01_S4_EM01_01_M3</v>
      </c>
      <c r="L451" s="28">
        <v>270000</v>
      </c>
    </row>
    <row r="452" spans="1:12" ht="22.5" hidden="1" customHeight="1" x14ac:dyDescent="0.25">
      <c r="A452" s="12" t="str">
        <f t="shared" si="260"/>
        <v>АВР-2 (S4)</v>
      </c>
      <c r="B452" s="13" t="s">
        <v>18</v>
      </c>
      <c r="C452" s="14" t="s">
        <v>225</v>
      </c>
      <c r="D452" s="12" t="s">
        <v>226</v>
      </c>
      <c r="E452" s="13">
        <v>90000</v>
      </c>
      <c r="F452" s="15">
        <f t="shared" si="264"/>
        <v>90000</v>
      </c>
      <c r="G452" s="15">
        <f t="shared" si="256"/>
        <v>90000</v>
      </c>
      <c r="H452" s="16">
        <v>1</v>
      </c>
      <c r="I452" s="17" t="s">
        <v>13</v>
      </c>
      <c r="J452" s="13" t="s">
        <v>24</v>
      </c>
      <c r="K452" s="12" t="str">
        <f t="shared" si="261"/>
        <v>2853_01_01_S4_EM01_01_M3</v>
      </c>
      <c r="L452" s="28">
        <v>90000</v>
      </c>
    </row>
    <row r="453" spans="1:12" ht="21" hidden="1" customHeight="1" x14ac:dyDescent="0.25">
      <c r="A453" s="12" t="str">
        <f t="shared" si="260"/>
        <v>АВР-2 (S4)</v>
      </c>
      <c r="B453" s="13" t="s">
        <v>28</v>
      </c>
      <c r="C453" s="14"/>
      <c r="D453" s="12" t="s">
        <v>28</v>
      </c>
      <c r="E453" s="13">
        <v>1000</v>
      </c>
      <c r="F453" s="15">
        <f t="shared" si="264"/>
        <v>1000</v>
      </c>
      <c r="G453" s="15">
        <f t="shared" si="256"/>
        <v>1000</v>
      </c>
      <c r="H453" s="16">
        <v>1</v>
      </c>
      <c r="I453" s="17" t="s">
        <v>13</v>
      </c>
      <c r="J453" s="13" t="s">
        <v>24</v>
      </c>
      <c r="K453" s="12" t="str">
        <f t="shared" si="261"/>
        <v>2853_01_01_S4_EM01_01_M3</v>
      </c>
      <c r="L453" s="28">
        <v>1000</v>
      </c>
    </row>
    <row r="454" spans="1:12" ht="24" hidden="1" customHeight="1" x14ac:dyDescent="0.25">
      <c r="A454" s="12" t="str">
        <f t="shared" si="260"/>
        <v>АВР-2 (S4)</v>
      </c>
      <c r="B454" s="12" t="s">
        <v>10</v>
      </c>
      <c r="C454" s="18" t="s">
        <v>10</v>
      </c>
      <c r="D454" s="12" t="s">
        <v>10</v>
      </c>
      <c r="E454" s="12">
        <v>55000</v>
      </c>
      <c r="F454" s="15">
        <f>E454</f>
        <v>55000</v>
      </c>
      <c r="G454" s="15">
        <f t="shared" si="256"/>
        <v>55000</v>
      </c>
      <c r="H454" s="12">
        <v>1</v>
      </c>
      <c r="I454" s="12" t="s">
        <v>13</v>
      </c>
      <c r="J454" s="12" t="s">
        <v>10</v>
      </c>
      <c r="K454" s="12" t="str">
        <f t="shared" si="261"/>
        <v>2853_01_01_S4_EM01_01_M3</v>
      </c>
      <c r="L454" s="28">
        <v>55000</v>
      </c>
    </row>
    <row r="455" spans="1:12" ht="21" hidden="1" customHeight="1" x14ac:dyDescent="0.25">
      <c r="A455" s="12" t="str">
        <f t="shared" si="260"/>
        <v>АВР-2 (S4)</v>
      </c>
      <c r="B455" s="12" t="s">
        <v>11</v>
      </c>
      <c r="C455" s="18" t="s">
        <v>11</v>
      </c>
      <c r="D455" s="12" t="s">
        <v>11</v>
      </c>
      <c r="E455" s="12">
        <v>8</v>
      </c>
      <c r="F455" s="15">
        <v>100</v>
      </c>
      <c r="G455" s="15">
        <f t="shared" si="256"/>
        <v>48000</v>
      </c>
      <c r="H455" s="12">
        <f>60*E455</f>
        <v>480</v>
      </c>
      <c r="I455" s="12" t="s">
        <v>13</v>
      </c>
      <c r="J455" s="12" t="s">
        <v>11</v>
      </c>
      <c r="K455" s="12" t="str">
        <f t="shared" si="261"/>
        <v>2853_01_01_S4_EM01_01_M3</v>
      </c>
      <c r="L455" s="28">
        <v>48000</v>
      </c>
    </row>
    <row r="456" spans="1:12" ht="30" customHeight="1" x14ac:dyDescent="0.25">
      <c r="A456" s="12" t="str">
        <f t="shared" si="260"/>
        <v>АВР-2 (S4)</v>
      </c>
      <c r="B456" s="19"/>
      <c r="C456" s="20"/>
      <c r="D456" s="21"/>
      <c r="E456" s="23"/>
      <c r="F456" s="25"/>
      <c r="G456" s="24">
        <f>SUM(G436:G455)</f>
        <v>897773.60000000009</v>
      </c>
      <c r="H456" s="20"/>
      <c r="I456" s="22"/>
      <c r="J456" s="20"/>
      <c r="K456" s="12" t="str">
        <f t="shared" si="261"/>
        <v>2853_01_01_S4_EM01_01_M3</v>
      </c>
      <c r="L456" s="28">
        <v>897773.60000000009</v>
      </c>
    </row>
    <row r="457" spans="1:12" ht="39.75" customHeight="1" x14ac:dyDescent="0.25">
      <c r="A457" s="5" t="str">
        <f>D457</f>
        <v>ВЩоф-3 (ВРУ1-ИНД тип2-00 ухл4) (S4)</v>
      </c>
      <c r="B457" s="6"/>
      <c r="C457" s="7"/>
      <c r="D457" s="6" t="s">
        <v>288</v>
      </c>
      <c r="E457" s="8"/>
      <c r="F457" s="8" t="s">
        <v>40</v>
      </c>
      <c r="G457" s="9"/>
      <c r="H457" s="10">
        <v>1</v>
      </c>
      <c r="I457" s="11" t="s">
        <v>7</v>
      </c>
      <c r="J457" s="6" t="s">
        <v>9</v>
      </c>
      <c r="K457" s="5" t="s">
        <v>155</v>
      </c>
    </row>
    <row r="458" spans="1:12" ht="21" hidden="1" customHeight="1" x14ac:dyDescent="0.25">
      <c r="A458" s="12" t="str">
        <f>A457</f>
        <v>ВЩоф-3 (ВРУ1-ИНД тип2-00 ухл4) (S4)</v>
      </c>
      <c r="B458" s="13" t="s">
        <v>8</v>
      </c>
      <c r="C458" s="14" t="s">
        <v>337</v>
      </c>
      <c r="D458" s="12" t="s">
        <v>338</v>
      </c>
      <c r="E458" s="13">
        <v>140000</v>
      </c>
      <c r="F458" s="15">
        <f>E458*0.6</f>
        <v>84000</v>
      </c>
      <c r="G458" s="15">
        <f t="shared" ref="G458:G467" si="265">H458*F458</f>
        <v>84000</v>
      </c>
      <c r="H458" s="16">
        <v>1</v>
      </c>
      <c r="I458" s="17" t="s">
        <v>13</v>
      </c>
      <c r="J458" s="13" t="s">
        <v>16</v>
      </c>
      <c r="K458" s="12" t="str">
        <f>K457</f>
        <v>2853_01_01_S4_EM01_01_M3</v>
      </c>
      <c r="L458">
        <v>84000</v>
      </c>
    </row>
    <row r="459" spans="1:12" ht="21" hidden="1" customHeight="1" x14ac:dyDescent="0.25">
      <c r="A459" s="12" t="str">
        <f t="shared" ref="A459:A468" si="266">A458</f>
        <v>ВЩоф-3 (ВРУ1-ИНД тип2-00 ухл4) (S4)</v>
      </c>
      <c r="B459" s="13" t="s">
        <v>25</v>
      </c>
      <c r="C459" s="14" t="s">
        <v>109</v>
      </c>
      <c r="D459" s="12" t="s">
        <v>110</v>
      </c>
      <c r="E459" s="13">
        <v>5523</v>
      </c>
      <c r="F459" s="15">
        <f>E459</f>
        <v>5523</v>
      </c>
      <c r="G459" s="15">
        <f t="shared" si="265"/>
        <v>16569</v>
      </c>
      <c r="H459" s="16">
        <v>3</v>
      </c>
      <c r="I459" s="17" t="s">
        <v>13</v>
      </c>
      <c r="J459" s="13" t="s">
        <v>24</v>
      </c>
      <c r="K459" s="12" t="str">
        <f t="shared" ref="K459:K468" si="267">K458</f>
        <v>2853_01_01_S4_EM01_01_M3</v>
      </c>
      <c r="L459">
        <v>16569</v>
      </c>
    </row>
    <row r="460" spans="1:12" ht="21" hidden="1" customHeight="1" x14ac:dyDescent="0.25">
      <c r="A460" s="12" t="str">
        <f t="shared" si="266"/>
        <v>ВЩоф-3 (ВРУ1-ИНД тип2-00 ухл4) (S4)</v>
      </c>
      <c r="B460" s="13" t="s">
        <v>48</v>
      </c>
      <c r="C460" s="14" t="s">
        <v>349</v>
      </c>
      <c r="D460" s="12" t="s">
        <v>350</v>
      </c>
      <c r="E460" s="13">
        <v>90421</v>
      </c>
      <c r="F460" s="15">
        <f t="shared" ref="F460:F463" si="268">E460*0.6</f>
        <v>54252.6</v>
      </c>
      <c r="G460" s="15">
        <f t="shared" si="265"/>
        <v>54252.6</v>
      </c>
      <c r="H460" s="16">
        <v>1</v>
      </c>
      <c r="I460" s="17" t="s">
        <v>13</v>
      </c>
      <c r="J460" s="13" t="s">
        <v>17</v>
      </c>
      <c r="K460" s="12" t="str">
        <f t="shared" si="267"/>
        <v>2853_01_01_S4_EM01_01_M3</v>
      </c>
      <c r="L460">
        <v>54252.6</v>
      </c>
    </row>
    <row r="461" spans="1:12" ht="21" hidden="1" customHeight="1" x14ac:dyDescent="0.25">
      <c r="A461" s="12" t="str">
        <f t="shared" si="266"/>
        <v>ВЩоф-3 (ВРУ1-ИНД тип2-00 ухл4) (S4)</v>
      </c>
      <c r="B461" s="13" t="s">
        <v>30</v>
      </c>
      <c r="C461" s="14" t="s">
        <v>56</v>
      </c>
      <c r="D461" s="12" t="s">
        <v>57</v>
      </c>
      <c r="E461" s="13">
        <v>4969</v>
      </c>
      <c r="F461" s="15">
        <f t="shared" si="268"/>
        <v>2981.4</v>
      </c>
      <c r="G461" s="15">
        <f t="shared" si="265"/>
        <v>8944.2000000000007</v>
      </c>
      <c r="H461" s="16">
        <v>3</v>
      </c>
      <c r="I461" s="17" t="s">
        <v>13</v>
      </c>
      <c r="J461" s="13" t="s">
        <v>17</v>
      </c>
      <c r="K461" s="12" t="str">
        <f t="shared" si="267"/>
        <v>2853_01_01_S4_EM01_01_M3</v>
      </c>
      <c r="L461">
        <v>8944.2000000000007</v>
      </c>
    </row>
    <row r="462" spans="1:12" ht="21" hidden="1" customHeight="1" x14ac:dyDescent="0.25">
      <c r="A462" s="12" t="str">
        <f t="shared" si="266"/>
        <v>ВЩоф-3 (ВРУ1-ИНД тип2-00 ухл4) (S4)</v>
      </c>
      <c r="B462" s="13" t="s">
        <v>30</v>
      </c>
      <c r="C462" s="14" t="s">
        <v>58</v>
      </c>
      <c r="D462" s="12" t="s">
        <v>59</v>
      </c>
      <c r="E462" s="13">
        <v>7443</v>
      </c>
      <c r="F462" s="15">
        <f t="shared" si="268"/>
        <v>4465.8</v>
      </c>
      <c r="G462" s="15">
        <f t="shared" si="265"/>
        <v>13397.400000000001</v>
      </c>
      <c r="H462" s="16">
        <v>3</v>
      </c>
      <c r="I462" s="17" t="s">
        <v>13</v>
      </c>
      <c r="J462" s="13" t="s">
        <v>17</v>
      </c>
      <c r="K462" s="12" t="str">
        <f t="shared" si="267"/>
        <v>2853_01_01_S4_EM01_01_M3</v>
      </c>
      <c r="L462">
        <v>13397.400000000001</v>
      </c>
    </row>
    <row r="463" spans="1:12" ht="21" hidden="1" customHeight="1" x14ac:dyDescent="0.25">
      <c r="A463" s="12" t="str">
        <f t="shared" si="266"/>
        <v>ВЩоф-3 (ВРУ1-ИНД тип2-00 ухл4) (S4)</v>
      </c>
      <c r="B463" s="13" t="s">
        <v>12</v>
      </c>
      <c r="C463" s="14" t="s">
        <v>19</v>
      </c>
      <c r="D463" s="12" t="s">
        <v>20</v>
      </c>
      <c r="E463" s="13">
        <v>975</v>
      </c>
      <c r="F463" s="15">
        <f t="shared" si="268"/>
        <v>585</v>
      </c>
      <c r="G463" s="15">
        <f t="shared" si="265"/>
        <v>585</v>
      </c>
      <c r="H463" s="16">
        <v>1</v>
      </c>
      <c r="I463" s="17" t="s">
        <v>13</v>
      </c>
      <c r="J463" s="13" t="s">
        <v>17</v>
      </c>
      <c r="K463" s="12" t="str">
        <f t="shared" si="267"/>
        <v>2853_01_01_S4_EM01_01_M3</v>
      </c>
      <c r="L463">
        <v>585</v>
      </c>
    </row>
    <row r="464" spans="1:12" ht="22.5" hidden="1" customHeight="1" x14ac:dyDescent="0.25">
      <c r="A464" s="12" t="str">
        <f t="shared" si="266"/>
        <v>ВЩоф-3 (ВРУ1-ИНД тип2-00 ухл4) (S4)</v>
      </c>
      <c r="B464" s="13" t="s">
        <v>18</v>
      </c>
      <c r="C464" s="14" t="s">
        <v>225</v>
      </c>
      <c r="D464" s="12" t="s">
        <v>226</v>
      </c>
      <c r="E464" s="13">
        <v>90000</v>
      </c>
      <c r="F464" s="15">
        <f t="shared" ref="F464:F465" si="269">E464</f>
        <v>90000</v>
      </c>
      <c r="G464" s="15">
        <f t="shared" si="265"/>
        <v>90000</v>
      </c>
      <c r="H464" s="16">
        <v>1</v>
      </c>
      <c r="I464" s="17" t="s">
        <v>13</v>
      </c>
      <c r="J464" s="13" t="s">
        <v>24</v>
      </c>
      <c r="K464" s="12" t="str">
        <f t="shared" si="267"/>
        <v>2853_01_01_S4_EM01_01_M3</v>
      </c>
      <c r="L464">
        <v>90000</v>
      </c>
    </row>
    <row r="465" spans="1:12" ht="21" hidden="1" customHeight="1" x14ac:dyDescent="0.25">
      <c r="A465" s="12" t="str">
        <f t="shared" si="266"/>
        <v>ВЩоф-3 (ВРУ1-ИНД тип2-00 ухл4) (S4)</v>
      </c>
      <c r="B465" s="13" t="s">
        <v>28</v>
      </c>
      <c r="C465" s="14"/>
      <c r="D465" s="12" t="s">
        <v>28</v>
      </c>
      <c r="E465" s="13">
        <v>1000</v>
      </c>
      <c r="F465" s="15">
        <f t="shared" si="269"/>
        <v>1000</v>
      </c>
      <c r="G465" s="15">
        <f t="shared" si="265"/>
        <v>1000</v>
      </c>
      <c r="H465" s="16">
        <v>1</v>
      </c>
      <c r="I465" s="17" t="s">
        <v>13</v>
      </c>
      <c r="J465" s="13" t="s">
        <v>24</v>
      </c>
      <c r="K465" s="12" t="str">
        <f t="shared" si="267"/>
        <v>2853_01_01_S4_EM01_01_M3</v>
      </c>
      <c r="L465">
        <v>1000</v>
      </c>
    </row>
    <row r="466" spans="1:12" ht="24" hidden="1" customHeight="1" x14ac:dyDescent="0.25">
      <c r="A466" s="12" t="str">
        <f t="shared" si="266"/>
        <v>ВЩоф-3 (ВРУ1-ИНД тип2-00 ухл4) (S4)</v>
      </c>
      <c r="B466" s="12" t="s">
        <v>10</v>
      </c>
      <c r="C466" s="18" t="s">
        <v>10</v>
      </c>
      <c r="D466" s="12" t="s">
        <v>10</v>
      </c>
      <c r="E466" s="12">
        <f ca="1">OFFSET(E466,1,2)</f>
        <v>24000</v>
      </c>
      <c r="F466" s="15">
        <f ca="1">E466</f>
        <v>24000</v>
      </c>
      <c r="G466" s="15">
        <f t="shared" ca="1" si="265"/>
        <v>24000</v>
      </c>
      <c r="H466" s="12">
        <v>1</v>
      </c>
      <c r="I466" s="12" t="s">
        <v>13</v>
      </c>
      <c r="J466" s="12" t="s">
        <v>10</v>
      </c>
      <c r="K466" s="12" t="str">
        <f t="shared" si="267"/>
        <v>2853_01_01_S4_EM01_01_M3</v>
      </c>
      <c r="L466">
        <v>24000</v>
      </c>
    </row>
    <row r="467" spans="1:12" ht="21" hidden="1" customHeight="1" x14ac:dyDescent="0.25">
      <c r="A467" s="12" t="str">
        <f t="shared" si="266"/>
        <v>ВЩоф-3 (ВРУ1-ИНД тип2-00 ухл4) (S4)</v>
      </c>
      <c r="B467" s="12" t="s">
        <v>11</v>
      </c>
      <c r="C467" s="18" t="s">
        <v>11</v>
      </c>
      <c r="D467" s="12" t="s">
        <v>11</v>
      </c>
      <c r="E467" s="12">
        <v>4</v>
      </c>
      <c r="F467" s="15">
        <v>100</v>
      </c>
      <c r="G467" s="15">
        <f t="shared" si="265"/>
        <v>24000</v>
      </c>
      <c r="H467" s="12">
        <f>60*E467</f>
        <v>240</v>
      </c>
      <c r="I467" s="12" t="s">
        <v>13</v>
      </c>
      <c r="J467" s="12" t="s">
        <v>11</v>
      </c>
      <c r="K467" s="12" t="str">
        <f t="shared" si="267"/>
        <v>2853_01_01_S4_EM01_01_M3</v>
      </c>
      <c r="L467">
        <v>24000</v>
      </c>
    </row>
    <row r="468" spans="1:12" ht="30" customHeight="1" x14ac:dyDescent="0.25">
      <c r="A468" s="12" t="str">
        <f t="shared" si="266"/>
        <v>ВЩоф-3 (ВРУ1-ИНД тип2-00 ухл4) (S4)</v>
      </c>
      <c r="B468" s="19"/>
      <c r="C468" s="20"/>
      <c r="D468" s="21"/>
      <c r="E468" s="23"/>
      <c r="F468" s="25"/>
      <c r="G468" s="24">
        <f ca="1">SUM(G458:G467)</f>
        <v>316748.2</v>
      </c>
      <c r="H468" s="20"/>
      <c r="I468" s="22"/>
      <c r="J468" s="20"/>
      <c r="K468" s="12" t="str">
        <f t="shared" si="267"/>
        <v>2853_01_01_S4_EM01_01_M3</v>
      </c>
      <c r="L468">
        <v>316748.2</v>
      </c>
    </row>
    <row r="469" spans="1:12" ht="39.75" customHeight="1" x14ac:dyDescent="0.25">
      <c r="A469" s="5" t="str">
        <f>D469</f>
        <v>РЩоф-3 (ВРУ1-50-00-ухл4) (S4)</v>
      </c>
      <c r="B469" s="6"/>
      <c r="C469" s="7"/>
      <c r="D469" s="6" t="s">
        <v>289</v>
      </c>
      <c r="E469" s="8"/>
      <c r="F469" s="8" t="s">
        <v>40</v>
      </c>
      <c r="G469" s="9"/>
      <c r="H469" s="10">
        <v>1</v>
      </c>
      <c r="I469" s="11" t="s">
        <v>7</v>
      </c>
      <c r="J469" s="6" t="s">
        <v>9</v>
      </c>
      <c r="K469" s="5" t="s">
        <v>155</v>
      </c>
    </row>
    <row r="470" spans="1:12" ht="21" hidden="1" customHeight="1" x14ac:dyDescent="0.25">
      <c r="A470" s="12" t="str">
        <f>A469</f>
        <v>РЩоф-3 (ВРУ1-50-00-ухл4) (S4)</v>
      </c>
      <c r="B470" s="13" t="s">
        <v>8</v>
      </c>
      <c r="C470" s="14" t="s">
        <v>38</v>
      </c>
      <c r="D470" s="12" t="s">
        <v>39</v>
      </c>
      <c r="E470" s="13">
        <v>155000</v>
      </c>
      <c r="F470" s="15">
        <f t="shared" ref="F470:F474" si="270">E470*0.6</f>
        <v>93000</v>
      </c>
      <c r="G470" s="15">
        <f t="shared" ref="G470:G476" si="271">H470*F470</f>
        <v>93000</v>
      </c>
      <c r="H470" s="16">
        <v>1</v>
      </c>
      <c r="I470" s="17" t="s">
        <v>13</v>
      </c>
      <c r="J470" s="13" t="s">
        <v>16</v>
      </c>
      <c r="K470" s="12" t="str">
        <f>K469</f>
        <v>2853_01_01_S4_EM01_01_M3</v>
      </c>
      <c r="L470">
        <v>93000</v>
      </c>
    </row>
    <row r="471" spans="1:12" ht="21" hidden="1" customHeight="1" x14ac:dyDescent="0.25">
      <c r="A471" s="12" t="str">
        <f t="shared" ref="A471:A477" si="272">A470</f>
        <v>РЩоф-3 (ВРУ1-50-00-ухл4) (S4)</v>
      </c>
      <c r="B471" s="13" t="s">
        <v>33</v>
      </c>
      <c r="C471" s="14" t="s">
        <v>104</v>
      </c>
      <c r="D471" s="12" t="s">
        <v>105</v>
      </c>
      <c r="E471" s="13">
        <v>18263</v>
      </c>
      <c r="F471" s="15">
        <f t="shared" si="270"/>
        <v>10957.8</v>
      </c>
      <c r="G471" s="15">
        <f t="shared" si="271"/>
        <v>10957.8</v>
      </c>
      <c r="H471" s="16">
        <v>1</v>
      </c>
      <c r="I471" s="17" t="s">
        <v>13</v>
      </c>
      <c r="J471" s="13" t="s">
        <v>17</v>
      </c>
      <c r="K471" s="12" t="str">
        <f t="shared" ref="K471:K477" si="273">K470</f>
        <v>2853_01_01_S4_EM01_01_M3</v>
      </c>
      <c r="L471">
        <v>10957.8</v>
      </c>
    </row>
    <row r="472" spans="1:12" ht="21" hidden="1" customHeight="1" x14ac:dyDescent="0.25">
      <c r="A472" s="12" t="str">
        <f t="shared" si="272"/>
        <v>РЩоф-3 (ВРУ1-50-00-ухл4) (S4)</v>
      </c>
      <c r="B472" s="13" t="s">
        <v>33</v>
      </c>
      <c r="C472" s="14" t="s">
        <v>75</v>
      </c>
      <c r="D472" s="12" t="s">
        <v>76</v>
      </c>
      <c r="E472" s="13">
        <v>19295</v>
      </c>
      <c r="F472" s="15">
        <f t="shared" si="270"/>
        <v>11577</v>
      </c>
      <c r="G472" s="15">
        <f t="shared" si="271"/>
        <v>46308</v>
      </c>
      <c r="H472" s="16">
        <v>4</v>
      </c>
      <c r="I472" s="17" t="s">
        <v>13</v>
      </c>
      <c r="J472" s="13" t="s">
        <v>17</v>
      </c>
      <c r="K472" s="12" t="str">
        <f t="shared" si="273"/>
        <v>2853_01_01_S4_EM01_01_M3</v>
      </c>
      <c r="L472">
        <v>46308</v>
      </c>
    </row>
    <row r="473" spans="1:12" ht="21" hidden="1" customHeight="1" x14ac:dyDescent="0.25">
      <c r="A473" s="12" t="str">
        <f t="shared" si="272"/>
        <v>РЩоф-3 (ВРУ1-50-00-ухл4) (S4)</v>
      </c>
      <c r="B473" s="13" t="s">
        <v>33</v>
      </c>
      <c r="C473" s="14" t="s">
        <v>106</v>
      </c>
      <c r="D473" s="12" t="s">
        <v>107</v>
      </c>
      <c r="E473" s="13">
        <v>20174</v>
      </c>
      <c r="F473" s="15">
        <f t="shared" si="270"/>
        <v>12104.4</v>
      </c>
      <c r="G473" s="15">
        <f t="shared" si="271"/>
        <v>12104.4</v>
      </c>
      <c r="H473" s="16">
        <v>1</v>
      </c>
      <c r="I473" s="17" t="s">
        <v>13</v>
      </c>
      <c r="J473" s="13" t="s">
        <v>17</v>
      </c>
      <c r="K473" s="12" t="str">
        <f t="shared" si="273"/>
        <v>2853_01_01_S4_EM01_01_M3</v>
      </c>
      <c r="L473">
        <v>12104.4</v>
      </c>
    </row>
    <row r="474" spans="1:12" ht="21" hidden="1" customHeight="1" x14ac:dyDescent="0.25">
      <c r="A474" s="12" t="str">
        <f t="shared" si="272"/>
        <v>РЩоф-3 (ВРУ1-50-00-ухл4) (S4)</v>
      </c>
      <c r="B474" s="13" t="s">
        <v>33</v>
      </c>
      <c r="C474" s="14" t="s">
        <v>94</v>
      </c>
      <c r="D474" s="12" t="s">
        <v>95</v>
      </c>
      <c r="E474" s="13">
        <v>19700</v>
      </c>
      <c r="F474" s="15">
        <f t="shared" si="270"/>
        <v>11820</v>
      </c>
      <c r="G474" s="15">
        <f t="shared" si="271"/>
        <v>23640</v>
      </c>
      <c r="H474" s="16">
        <v>2</v>
      </c>
      <c r="I474" s="17" t="s">
        <v>13</v>
      </c>
      <c r="J474" s="13" t="s">
        <v>17</v>
      </c>
      <c r="K474" s="12" t="str">
        <f t="shared" si="273"/>
        <v>2853_01_01_S4_EM01_01_M3</v>
      </c>
      <c r="L474">
        <v>23640</v>
      </c>
    </row>
    <row r="475" spans="1:12" ht="24" hidden="1" customHeight="1" x14ac:dyDescent="0.25">
      <c r="A475" s="12" t="str">
        <f t="shared" si="272"/>
        <v>РЩоф-3 (ВРУ1-50-00-ухл4) (S4)</v>
      </c>
      <c r="B475" s="12" t="s">
        <v>10</v>
      </c>
      <c r="C475" s="18" t="s">
        <v>10</v>
      </c>
      <c r="D475" s="12" t="s">
        <v>10</v>
      </c>
      <c r="E475" s="12">
        <f ca="1">OFFSET(E475,1,2)</f>
        <v>27000</v>
      </c>
      <c r="F475" s="15">
        <f ca="1">E475</f>
        <v>27000</v>
      </c>
      <c r="G475" s="15">
        <f t="shared" ca="1" si="271"/>
        <v>27000</v>
      </c>
      <c r="H475" s="12">
        <v>1</v>
      </c>
      <c r="I475" s="12" t="s">
        <v>13</v>
      </c>
      <c r="J475" s="12" t="s">
        <v>10</v>
      </c>
      <c r="K475" s="12" t="str">
        <f t="shared" si="273"/>
        <v>2853_01_01_S4_EM01_01_M3</v>
      </c>
      <c r="L475">
        <v>27000</v>
      </c>
    </row>
    <row r="476" spans="1:12" ht="21" hidden="1" customHeight="1" x14ac:dyDescent="0.25">
      <c r="A476" s="12" t="str">
        <f t="shared" si="272"/>
        <v>РЩоф-3 (ВРУ1-50-00-ухл4) (S4)</v>
      </c>
      <c r="B476" s="12" t="s">
        <v>11</v>
      </c>
      <c r="C476" s="18" t="s">
        <v>11</v>
      </c>
      <c r="D476" s="12" t="s">
        <v>11</v>
      </c>
      <c r="E476" s="12">
        <v>4.5</v>
      </c>
      <c r="F476" s="15">
        <v>100</v>
      </c>
      <c r="G476" s="15">
        <f t="shared" si="271"/>
        <v>27000</v>
      </c>
      <c r="H476" s="12">
        <f>60*E476</f>
        <v>270</v>
      </c>
      <c r="I476" s="12" t="s">
        <v>13</v>
      </c>
      <c r="J476" s="12" t="s">
        <v>11</v>
      </c>
      <c r="K476" s="12" t="str">
        <f t="shared" si="273"/>
        <v>2853_01_01_S4_EM01_01_M3</v>
      </c>
      <c r="L476">
        <v>27000</v>
      </c>
    </row>
    <row r="477" spans="1:12" ht="30" customHeight="1" x14ac:dyDescent="0.25">
      <c r="A477" s="12" t="str">
        <f t="shared" si="272"/>
        <v>РЩоф-3 (ВРУ1-50-00-ухл4) (S4)</v>
      </c>
      <c r="B477" s="19"/>
      <c r="C477" s="20"/>
      <c r="D477" s="21"/>
      <c r="E477" s="23"/>
      <c r="F477" s="25"/>
      <c r="G477" s="24">
        <f ca="1">SUM(G470:G476)</f>
        <v>240010.19999999998</v>
      </c>
      <c r="H477" s="20"/>
      <c r="I477" s="22"/>
      <c r="J477" s="20"/>
      <c r="K477" s="12" t="str">
        <f t="shared" si="273"/>
        <v>2853_01_01_S4_EM01_01_M3</v>
      </c>
      <c r="L477">
        <v>240010.19999999998</v>
      </c>
    </row>
    <row r="478" spans="1:12" ht="39.75" customHeight="1" x14ac:dyDescent="0.25">
      <c r="A478" s="5" t="str">
        <f>D478</f>
        <v>ЩМПоф.-3.2 (ЩМП-120.80.40 УХЛ1 IP66) (S4)</v>
      </c>
      <c r="B478" s="6"/>
      <c r="C478" s="7"/>
      <c r="D478" s="6" t="s">
        <v>290</v>
      </c>
      <c r="E478" s="8"/>
      <c r="F478" s="8" t="s">
        <v>40</v>
      </c>
      <c r="G478" s="9"/>
      <c r="H478" s="10">
        <v>1</v>
      </c>
      <c r="I478" s="11" t="s">
        <v>7</v>
      </c>
      <c r="J478" s="6" t="s">
        <v>9</v>
      </c>
      <c r="K478" s="5" t="s">
        <v>155</v>
      </c>
    </row>
    <row r="479" spans="1:12" ht="21" hidden="1" customHeight="1" x14ac:dyDescent="0.25">
      <c r="A479" s="12" t="str">
        <f>A478</f>
        <v>ЩМПоф.-3.2 (ЩМП-120.80.40 УХЛ1 IP66) (S4)</v>
      </c>
      <c r="B479" s="13" t="s">
        <v>8</v>
      </c>
      <c r="C479" s="14" t="s">
        <v>344</v>
      </c>
      <c r="D479" s="12" t="s">
        <v>334</v>
      </c>
      <c r="E479" s="13">
        <v>68500</v>
      </c>
      <c r="F479" s="15">
        <f>E479*0.6</f>
        <v>41100</v>
      </c>
      <c r="G479" s="15">
        <f t="shared" ref="G479:G488" si="274">H479*F479</f>
        <v>41100</v>
      </c>
      <c r="H479" s="16">
        <v>1</v>
      </c>
      <c r="I479" s="17" t="s">
        <v>13</v>
      </c>
      <c r="J479" s="13" t="s">
        <v>16</v>
      </c>
      <c r="K479" s="12" t="str">
        <f>K478</f>
        <v>2853_01_01_S4_EM01_01_M3</v>
      </c>
      <c r="L479">
        <v>41100</v>
      </c>
    </row>
    <row r="480" spans="1:12" ht="21" hidden="1" customHeight="1" x14ac:dyDescent="0.25">
      <c r="A480" s="12" t="str">
        <f t="shared" ref="A480:A489" si="275">A479</f>
        <v>ЩМПоф.-3.2 (ЩМП-120.80.40 УХЛ1 IP66) (S4)</v>
      </c>
      <c r="B480" s="13" t="s">
        <v>25</v>
      </c>
      <c r="C480" s="14" t="s">
        <v>223</v>
      </c>
      <c r="D480" s="12" t="s">
        <v>224</v>
      </c>
      <c r="E480" s="13">
        <v>6018</v>
      </c>
      <c r="F480" s="15">
        <f>E480</f>
        <v>6018</v>
      </c>
      <c r="G480" s="15">
        <f t="shared" si="274"/>
        <v>18054</v>
      </c>
      <c r="H480" s="16">
        <v>3</v>
      </c>
      <c r="I480" s="17" t="s">
        <v>13</v>
      </c>
      <c r="J480" s="13" t="s">
        <v>24</v>
      </c>
      <c r="K480" s="12" t="str">
        <f t="shared" ref="K480:K489" si="276">K479</f>
        <v>2853_01_01_S4_EM01_01_M3</v>
      </c>
      <c r="L480">
        <v>18054</v>
      </c>
    </row>
    <row r="481" spans="1:12" ht="21" hidden="1" customHeight="1" x14ac:dyDescent="0.25">
      <c r="A481" s="12" t="str">
        <f t="shared" si="275"/>
        <v>ЩМПоф.-3.2 (ЩМП-120.80.40 УХЛ1 IP66) (S4)</v>
      </c>
      <c r="B481" s="13" t="s">
        <v>12</v>
      </c>
      <c r="C481" s="14">
        <v>296831</v>
      </c>
      <c r="D481" s="12" t="s">
        <v>108</v>
      </c>
      <c r="E481" s="13">
        <v>2807</v>
      </c>
      <c r="F481" s="15">
        <f t="shared" ref="F481:F484" si="277">E481*0.6</f>
        <v>1684.2</v>
      </c>
      <c r="G481" s="15">
        <f t="shared" si="274"/>
        <v>1684.2</v>
      </c>
      <c r="H481" s="16">
        <v>1</v>
      </c>
      <c r="I481" s="17" t="s">
        <v>13</v>
      </c>
      <c r="J481" s="13" t="s">
        <v>17</v>
      </c>
      <c r="K481" s="12" t="str">
        <f t="shared" si="276"/>
        <v>2853_01_01_S4_EM01_01_M3</v>
      </c>
      <c r="L481">
        <v>1684.2</v>
      </c>
    </row>
    <row r="482" spans="1:12" ht="21" hidden="1" customHeight="1" x14ac:dyDescent="0.25">
      <c r="A482" s="12" t="str">
        <f t="shared" si="275"/>
        <v>ЩМПоф.-3.2 (ЩМП-120.80.40 УХЛ1 IP66) (S4)</v>
      </c>
      <c r="B482" s="13" t="s">
        <v>12</v>
      </c>
      <c r="C482" s="14" t="s">
        <v>96</v>
      </c>
      <c r="D482" s="12" t="s">
        <v>97</v>
      </c>
      <c r="E482" s="13">
        <v>2429</v>
      </c>
      <c r="F482" s="15">
        <f t="shared" si="277"/>
        <v>1457.3999999999999</v>
      </c>
      <c r="G482" s="15">
        <f t="shared" si="274"/>
        <v>1457.3999999999999</v>
      </c>
      <c r="H482" s="16">
        <v>1</v>
      </c>
      <c r="I482" s="17" t="s">
        <v>13</v>
      </c>
      <c r="J482" s="13" t="s">
        <v>17</v>
      </c>
      <c r="K482" s="12" t="str">
        <f t="shared" si="276"/>
        <v>2853_01_01_S4_EM01_01_M3</v>
      </c>
      <c r="L482">
        <v>1457.3999999999999</v>
      </c>
    </row>
    <row r="483" spans="1:12" ht="21" hidden="1" customHeight="1" x14ac:dyDescent="0.25">
      <c r="A483" s="12" t="str">
        <f t="shared" si="275"/>
        <v>ЩМПоф.-3.2 (ЩМП-120.80.40 УХЛ1 IP66) (S4)</v>
      </c>
      <c r="B483" s="13" t="s">
        <v>48</v>
      </c>
      <c r="C483" s="14" t="s">
        <v>63</v>
      </c>
      <c r="D483" s="12" t="s">
        <v>64</v>
      </c>
      <c r="E483" s="13">
        <v>4217</v>
      </c>
      <c r="F483" s="15">
        <f t="shared" si="277"/>
        <v>2530.1999999999998</v>
      </c>
      <c r="G483" s="15">
        <f t="shared" si="274"/>
        <v>5060.3999999999996</v>
      </c>
      <c r="H483" s="16">
        <v>2</v>
      </c>
      <c r="I483" s="17" t="s">
        <v>13</v>
      </c>
      <c r="J483" s="13" t="s">
        <v>17</v>
      </c>
      <c r="K483" s="12" t="str">
        <f t="shared" si="276"/>
        <v>2853_01_01_S4_EM01_01_M3</v>
      </c>
      <c r="L483">
        <v>5060.3999999999996</v>
      </c>
    </row>
    <row r="484" spans="1:12" ht="21" hidden="1" customHeight="1" x14ac:dyDescent="0.25">
      <c r="A484" s="12" t="str">
        <f t="shared" si="275"/>
        <v>ЩМПоф.-3.2 (ЩМП-120.80.40 УХЛ1 IP66) (S4)</v>
      </c>
      <c r="B484" s="13" t="s">
        <v>48</v>
      </c>
      <c r="C484" s="14" t="s">
        <v>51</v>
      </c>
      <c r="D484" s="12" t="s">
        <v>52</v>
      </c>
      <c r="E484" s="13">
        <v>3372</v>
      </c>
      <c r="F484" s="15">
        <f t="shared" si="277"/>
        <v>2023.1999999999998</v>
      </c>
      <c r="G484" s="15">
        <f t="shared" si="274"/>
        <v>2023.1999999999998</v>
      </c>
      <c r="H484" s="16">
        <v>1</v>
      </c>
      <c r="I484" s="17" t="s">
        <v>13</v>
      </c>
      <c r="J484" s="13" t="s">
        <v>17</v>
      </c>
      <c r="K484" s="12" t="str">
        <f t="shared" si="276"/>
        <v>2853_01_01_S4_EM01_01_M3</v>
      </c>
      <c r="L484">
        <v>2023.1999999999998</v>
      </c>
    </row>
    <row r="485" spans="1:12" ht="22.5" hidden="1" customHeight="1" x14ac:dyDescent="0.25">
      <c r="A485" s="12" t="str">
        <f t="shared" si="275"/>
        <v>ЩМПоф.-3.2 (ЩМП-120.80.40 УХЛ1 IP66) (S4)</v>
      </c>
      <c r="B485" s="13" t="s">
        <v>18</v>
      </c>
      <c r="C485" s="14" t="s">
        <v>225</v>
      </c>
      <c r="D485" s="12" t="s">
        <v>226</v>
      </c>
      <c r="E485" s="13">
        <v>90000</v>
      </c>
      <c r="F485" s="15">
        <f t="shared" ref="F485:F486" si="278">E485</f>
        <v>90000</v>
      </c>
      <c r="G485" s="15">
        <f t="shared" si="274"/>
        <v>90000</v>
      </c>
      <c r="H485" s="16">
        <v>1</v>
      </c>
      <c r="I485" s="17" t="s">
        <v>13</v>
      </c>
      <c r="J485" s="13" t="s">
        <v>24</v>
      </c>
      <c r="K485" s="12" t="str">
        <f t="shared" si="276"/>
        <v>2853_01_01_S4_EM01_01_M3</v>
      </c>
      <c r="L485">
        <v>90000</v>
      </c>
    </row>
    <row r="486" spans="1:12" ht="22.5" hidden="1" customHeight="1" x14ac:dyDescent="0.25">
      <c r="A486" s="12" t="str">
        <f t="shared" si="275"/>
        <v>ЩМПоф.-3.2 (ЩМП-120.80.40 УХЛ1 IP66) (S4)</v>
      </c>
      <c r="B486" s="13" t="s">
        <v>18</v>
      </c>
      <c r="C486" s="14" t="s">
        <v>227</v>
      </c>
      <c r="D486" s="12" t="s">
        <v>228</v>
      </c>
      <c r="E486" s="13">
        <v>90000</v>
      </c>
      <c r="F486" s="15">
        <f t="shared" si="278"/>
        <v>90000</v>
      </c>
      <c r="G486" s="15">
        <f t="shared" si="274"/>
        <v>180000</v>
      </c>
      <c r="H486" s="16">
        <v>2</v>
      </c>
      <c r="I486" s="17" t="s">
        <v>13</v>
      </c>
      <c r="J486" s="13" t="s">
        <v>24</v>
      </c>
      <c r="K486" s="12" t="str">
        <f t="shared" si="276"/>
        <v>2853_01_01_S4_EM01_01_M3</v>
      </c>
      <c r="L486">
        <v>180000</v>
      </c>
    </row>
    <row r="487" spans="1:12" ht="24" hidden="1" customHeight="1" x14ac:dyDescent="0.25">
      <c r="A487" s="12" t="str">
        <f t="shared" si="275"/>
        <v>ЩМПоф.-3.2 (ЩМП-120.80.40 УХЛ1 IP66) (S4)</v>
      </c>
      <c r="B487" s="12" t="s">
        <v>10</v>
      </c>
      <c r="C487" s="18" t="s">
        <v>10</v>
      </c>
      <c r="D487" s="12" t="s">
        <v>10</v>
      </c>
      <c r="E487" s="12">
        <f ca="1">OFFSET(E487,1,2)</f>
        <v>18000</v>
      </c>
      <c r="F487" s="15">
        <f ca="1">E487</f>
        <v>18000</v>
      </c>
      <c r="G487" s="15">
        <f t="shared" ca="1" si="274"/>
        <v>18000</v>
      </c>
      <c r="H487" s="12">
        <v>1</v>
      </c>
      <c r="I487" s="12" t="s">
        <v>13</v>
      </c>
      <c r="J487" s="12" t="s">
        <v>10</v>
      </c>
      <c r="K487" s="12" t="str">
        <f t="shared" si="276"/>
        <v>2853_01_01_S4_EM01_01_M3</v>
      </c>
      <c r="L487">
        <v>18000</v>
      </c>
    </row>
    <row r="488" spans="1:12" ht="21" hidden="1" customHeight="1" x14ac:dyDescent="0.25">
      <c r="A488" s="12" t="str">
        <f t="shared" si="275"/>
        <v>ЩМПоф.-3.2 (ЩМП-120.80.40 УХЛ1 IP66) (S4)</v>
      </c>
      <c r="B488" s="12" t="s">
        <v>11</v>
      </c>
      <c r="C488" s="18" t="s">
        <v>11</v>
      </c>
      <c r="D488" s="12" t="s">
        <v>11</v>
      </c>
      <c r="E488" s="12">
        <v>3</v>
      </c>
      <c r="F488" s="15">
        <v>100</v>
      </c>
      <c r="G488" s="15">
        <f t="shared" si="274"/>
        <v>18000</v>
      </c>
      <c r="H488" s="12">
        <f>60*E488</f>
        <v>180</v>
      </c>
      <c r="I488" s="12" t="s">
        <v>13</v>
      </c>
      <c r="J488" s="12" t="s">
        <v>11</v>
      </c>
      <c r="K488" s="12" t="str">
        <f t="shared" si="276"/>
        <v>2853_01_01_S4_EM01_01_M3</v>
      </c>
      <c r="L488">
        <v>18000</v>
      </c>
    </row>
    <row r="489" spans="1:12" ht="30" customHeight="1" x14ac:dyDescent="0.25">
      <c r="A489" s="12" t="str">
        <f t="shared" si="275"/>
        <v>ЩМПоф.-3.2 (ЩМП-120.80.40 УХЛ1 IP66) (S4)</v>
      </c>
      <c r="B489" s="19"/>
      <c r="C489" s="20"/>
      <c r="D489" s="21"/>
      <c r="E489" s="23"/>
      <c r="F489" s="25"/>
      <c r="G489" s="24">
        <f ca="1">SUM(G479:G488)</f>
        <v>375379.20000000001</v>
      </c>
      <c r="H489" s="20"/>
      <c r="I489" s="22"/>
      <c r="J489" s="20"/>
      <c r="K489" s="12" t="str">
        <f t="shared" si="276"/>
        <v>2853_01_01_S4_EM01_01_M3</v>
      </c>
      <c r="L489">
        <v>375379.20000000001</v>
      </c>
    </row>
    <row r="490" spans="1:12" ht="39.75" customHeight="1" x14ac:dyDescent="0.25">
      <c r="A490" s="5" t="str">
        <f>D490</f>
        <v>ЩМПоф.-3.3 (ЩМП-120.80.40 УХЛ1 IP66) (S4)</v>
      </c>
      <c r="B490" s="6"/>
      <c r="C490" s="7"/>
      <c r="D490" s="6" t="s">
        <v>291</v>
      </c>
      <c r="E490" s="8"/>
      <c r="F490" s="8" t="s">
        <v>40</v>
      </c>
      <c r="G490" s="9"/>
      <c r="H490" s="10">
        <v>1</v>
      </c>
      <c r="I490" s="11" t="s">
        <v>7</v>
      </c>
      <c r="J490" s="6" t="s">
        <v>9</v>
      </c>
      <c r="K490" s="5" t="s">
        <v>155</v>
      </c>
    </row>
    <row r="491" spans="1:12" ht="21" hidden="1" customHeight="1" x14ac:dyDescent="0.25">
      <c r="A491" s="12" t="str">
        <f>A490</f>
        <v>ЩМПоф.-3.3 (ЩМП-120.80.40 УХЛ1 IP66) (S4)</v>
      </c>
      <c r="B491" s="13" t="s">
        <v>8</v>
      </c>
      <c r="C491" s="14" t="s">
        <v>344</v>
      </c>
      <c r="D491" s="12" t="s">
        <v>334</v>
      </c>
      <c r="E491" s="13">
        <v>68500</v>
      </c>
      <c r="F491" s="15">
        <f t="shared" ref="F491:F495" si="279">E491*0.6</f>
        <v>41100</v>
      </c>
      <c r="G491" s="15">
        <f t="shared" ref="G491:G499" si="280">H491*F491</f>
        <v>41100</v>
      </c>
      <c r="H491" s="16">
        <v>1</v>
      </c>
      <c r="I491" s="17" t="s">
        <v>13</v>
      </c>
      <c r="J491" s="13" t="s">
        <v>16</v>
      </c>
      <c r="K491" s="12" t="str">
        <f>K490</f>
        <v>2853_01_01_S4_EM01_01_M3</v>
      </c>
      <c r="L491">
        <v>41100</v>
      </c>
    </row>
    <row r="492" spans="1:12" ht="21" hidden="1" customHeight="1" x14ac:dyDescent="0.25">
      <c r="A492" s="12" t="str">
        <f t="shared" ref="A492" si="281">A491</f>
        <v>ЩМПоф.-3.3 (ЩМП-120.80.40 УХЛ1 IP66) (S4)</v>
      </c>
      <c r="B492" s="13" t="s">
        <v>25</v>
      </c>
      <c r="C492" s="14" t="s">
        <v>223</v>
      </c>
      <c r="D492" s="12" t="s">
        <v>224</v>
      </c>
      <c r="E492" s="13">
        <v>6018</v>
      </c>
      <c r="F492" s="15">
        <f>E492</f>
        <v>6018</v>
      </c>
      <c r="G492" s="15">
        <f t="shared" si="280"/>
        <v>18054</v>
      </c>
      <c r="H492" s="16">
        <v>3</v>
      </c>
      <c r="I492" s="17" t="s">
        <v>13</v>
      </c>
      <c r="J492" s="13" t="s">
        <v>24</v>
      </c>
      <c r="K492" s="12" t="str">
        <f t="shared" ref="K492" si="282">K491</f>
        <v>2853_01_01_S4_EM01_01_M3</v>
      </c>
      <c r="L492">
        <v>18054</v>
      </c>
    </row>
    <row r="493" spans="1:12" ht="21" hidden="1" customHeight="1" x14ac:dyDescent="0.25">
      <c r="A493" s="12" t="str">
        <f>A491</f>
        <v>ЩМПоф.-3.3 (ЩМП-120.80.40 УХЛ1 IP66) (S4)</v>
      </c>
      <c r="B493" s="13" t="s">
        <v>12</v>
      </c>
      <c r="C493" s="14" t="s">
        <v>27</v>
      </c>
      <c r="D493" s="12" t="s">
        <v>26</v>
      </c>
      <c r="E493" s="13">
        <v>2606</v>
      </c>
      <c r="F493" s="15">
        <f t="shared" si="279"/>
        <v>1563.6</v>
      </c>
      <c r="G493" s="15">
        <f t="shared" si="280"/>
        <v>1563.6</v>
      </c>
      <c r="H493" s="16">
        <v>1</v>
      </c>
      <c r="I493" s="17" t="s">
        <v>13</v>
      </c>
      <c r="J493" s="13" t="s">
        <v>17</v>
      </c>
      <c r="K493" s="12" t="str">
        <f>K491</f>
        <v>2853_01_01_S4_EM01_01_M3</v>
      </c>
      <c r="L493">
        <v>1563.6</v>
      </c>
    </row>
    <row r="494" spans="1:12" ht="21" hidden="1" customHeight="1" x14ac:dyDescent="0.25">
      <c r="A494" s="12" t="str">
        <f t="shared" ref="A494:A500" si="283">A493</f>
        <v>ЩМПоф.-3.3 (ЩМП-120.80.40 УХЛ1 IP66) (S4)</v>
      </c>
      <c r="B494" s="13" t="s">
        <v>48</v>
      </c>
      <c r="C494" s="14" t="s">
        <v>63</v>
      </c>
      <c r="D494" s="12" t="s">
        <v>64</v>
      </c>
      <c r="E494" s="13">
        <v>4217</v>
      </c>
      <c r="F494" s="15">
        <f t="shared" si="279"/>
        <v>2530.1999999999998</v>
      </c>
      <c r="G494" s="15">
        <f t="shared" si="280"/>
        <v>7590.5999999999995</v>
      </c>
      <c r="H494" s="16">
        <v>3</v>
      </c>
      <c r="I494" s="17" t="s">
        <v>13</v>
      </c>
      <c r="J494" s="13" t="s">
        <v>17</v>
      </c>
      <c r="K494" s="12" t="str">
        <f t="shared" ref="K494:K500" si="284">K493</f>
        <v>2853_01_01_S4_EM01_01_M3</v>
      </c>
      <c r="L494">
        <v>7590.5999999999995</v>
      </c>
    </row>
    <row r="495" spans="1:12" ht="21" hidden="1" customHeight="1" x14ac:dyDescent="0.25">
      <c r="A495" s="12" t="str">
        <f t="shared" si="283"/>
        <v>ЩМПоф.-3.3 (ЩМП-120.80.40 УХЛ1 IP66) (S4)</v>
      </c>
      <c r="B495" s="13" t="s">
        <v>48</v>
      </c>
      <c r="C495" s="14" t="s">
        <v>69</v>
      </c>
      <c r="D495" s="12" t="s">
        <v>70</v>
      </c>
      <c r="E495" s="13">
        <v>3372</v>
      </c>
      <c r="F495" s="15">
        <f t="shared" si="279"/>
        <v>2023.1999999999998</v>
      </c>
      <c r="G495" s="15">
        <f t="shared" si="280"/>
        <v>2023.1999999999998</v>
      </c>
      <c r="H495" s="16">
        <v>1</v>
      </c>
      <c r="I495" s="17" t="s">
        <v>13</v>
      </c>
      <c r="J495" s="13" t="s">
        <v>17</v>
      </c>
      <c r="K495" s="12" t="str">
        <f t="shared" si="284"/>
        <v>2853_01_01_S4_EM01_01_M3</v>
      </c>
      <c r="L495">
        <v>2023.1999999999998</v>
      </c>
    </row>
    <row r="496" spans="1:12" ht="22.5" hidden="1" customHeight="1" x14ac:dyDescent="0.25">
      <c r="A496" s="12" t="str">
        <f t="shared" si="283"/>
        <v>ЩМПоф.-3.3 (ЩМП-120.80.40 УХЛ1 IP66) (S4)</v>
      </c>
      <c r="B496" s="13" t="s">
        <v>18</v>
      </c>
      <c r="C496" s="14" t="s">
        <v>225</v>
      </c>
      <c r="D496" s="12" t="s">
        <v>226</v>
      </c>
      <c r="E496" s="13">
        <v>90000</v>
      </c>
      <c r="F496" s="15">
        <f t="shared" ref="F496" si="285">E496</f>
        <v>90000</v>
      </c>
      <c r="G496" s="15">
        <f t="shared" si="280"/>
        <v>270000</v>
      </c>
      <c r="H496" s="16">
        <v>3</v>
      </c>
      <c r="I496" s="17" t="s">
        <v>13</v>
      </c>
      <c r="J496" s="13" t="s">
        <v>24</v>
      </c>
      <c r="K496" s="12" t="str">
        <f t="shared" si="284"/>
        <v>2853_01_01_S4_EM01_01_M3</v>
      </c>
      <c r="L496">
        <v>270000</v>
      </c>
    </row>
    <row r="497" spans="1:12" ht="22.5" hidden="1" customHeight="1" x14ac:dyDescent="0.25">
      <c r="A497" s="12" t="str">
        <f t="shared" si="283"/>
        <v>ЩМПоф.-3.3 (ЩМП-120.80.40 УХЛ1 IP66) (S4)</v>
      </c>
      <c r="B497" s="13" t="s">
        <v>18</v>
      </c>
      <c r="C497" s="14" t="s">
        <v>227</v>
      </c>
      <c r="D497" s="12" t="s">
        <v>228</v>
      </c>
      <c r="E497" s="13">
        <v>90000</v>
      </c>
      <c r="F497" s="15">
        <f t="shared" ref="F497" si="286">E497</f>
        <v>90000</v>
      </c>
      <c r="G497" s="15">
        <f t="shared" si="280"/>
        <v>90000</v>
      </c>
      <c r="H497" s="16">
        <v>1</v>
      </c>
      <c r="I497" s="17" t="s">
        <v>13</v>
      </c>
      <c r="J497" s="13" t="s">
        <v>24</v>
      </c>
      <c r="K497" s="12" t="str">
        <f t="shared" si="284"/>
        <v>2853_01_01_S4_EM01_01_M3</v>
      </c>
      <c r="L497">
        <v>90000</v>
      </c>
    </row>
    <row r="498" spans="1:12" ht="24" hidden="1" customHeight="1" x14ac:dyDescent="0.25">
      <c r="A498" s="12" t="str">
        <f t="shared" si="283"/>
        <v>ЩМПоф.-3.3 (ЩМП-120.80.40 УХЛ1 IP66) (S4)</v>
      </c>
      <c r="B498" s="12" t="s">
        <v>10</v>
      </c>
      <c r="C498" s="18" t="s">
        <v>10</v>
      </c>
      <c r="D498" s="12" t="s">
        <v>10</v>
      </c>
      <c r="E498" s="12">
        <f ca="1">OFFSET(E498,1,2)</f>
        <v>24000</v>
      </c>
      <c r="F498" s="15">
        <f ca="1">E498</f>
        <v>24000</v>
      </c>
      <c r="G498" s="15">
        <f t="shared" ca="1" si="280"/>
        <v>24000</v>
      </c>
      <c r="H498" s="12">
        <v>1</v>
      </c>
      <c r="I498" s="12" t="s">
        <v>13</v>
      </c>
      <c r="J498" s="12" t="s">
        <v>10</v>
      </c>
      <c r="K498" s="12" t="str">
        <f t="shared" si="284"/>
        <v>2853_01_01_S4_EM01_01_M3</v>
      </c>
      <c r="L498">
        <v>24000</v>
      </c>
    </row>
    <row r="499" spans="1:12" ht="21" hidden="1" customHeight="1" x14ac:dyDescent="0.25">
      <c r="A499" s="12" t="str">
        <f t="shared" si="283"/>
        <v>ЩМПоф.-3.3 (ЩМП-120.80.40 УХЛ1 IP66) (S4)</v>
      </c>
      <c r="B499" s="12" t="s">
        <v>11</v>
      </c>
      <c r="C499" s="18" t="s">
        <v>11</v>
      </c>
      <c r="D499" s="12" t="s">
        <v>11</v>
      </c>
      <c r="E499" s="12">
        <v>4</v>
      </c>
      <c r="F499" s="15">
        <v>100</v>
      </c>
      <c r="G499" s="15">
        <f t="shared" si="280"/>
        <v>24000</v>
      </c>
      <c r="H499" s="12">
        <f>60*E499</f>
        <v>240</v>
      </c>
      <c r="I499" s="12" t="s">
        <v>13</v>
      </c>
      <c r="J499" s="12" t="s">
        <v>11</v>
      </c>
      <c r="K499" s="12" t="str">
        <f t="shared" si="284"/>
        <v>2853_01_01_S4_EM01_01_M3</v>
      </c>
      <c r="L499">
        <v>24000</v>
      </c>
    </row>
    <row r="500" spans="1:12" ht="30" customHeight="1" x14ac:dyDescent="0.25">
      <c r="A500" s="12" t="str">
        <f t="shared" si="283"/>
        <v>ЩМПоф.-3.3 (ЩМП-120.80.40 УХЛ1 IP66) (S4)</v>
      </c>
      <c r="B500" s="19"/>
      <c r="C500" s="20"/>
      <c r="D500" s="21"/>
      <c r="E500" s="23"/>
      <c r="F500" s="25"/>
      <c r="G500" s="24">
        <f ca="1">SUM(G491:G499)</f>
        <v>478331.4</v>
      </c>
      <c r="H500" s="20"/>
      <c r="I500" s="22"/>
      <c r="J500" s="20"/>
      <c r="K500" s="12" t="str">
        <f t="shared" si="284"/>
        <v>2853_01_01_S4_EM01_01_M3</v>
      </c>
      <c r="L500">
        <v>478331.4</v>
      </c>
    </row>
    <row r="501" spans="1:12" ht="39.75" customHeight="1" x14ac:dyDescent="0.25">
      <c r="A501" s="5" t="str">
        <f>D501</f>
        <v>ЩО-4бл. (S4)</v>
      </c>
      <c r="B501" s="6"/>
      <c r="C501" s="7"/>
      <c r="D501" s="6" t="s">
        <v>292</v>
      </c>
      <c r="E501" s="8"/>
      <c r="F501" s="8" t="s">
        <v>40</v>
      </c>
      <c r="G501" s="9"/>
      <c r="H501" s="10">
        <v>1</v>
      </c>
      <c r="I501" s="11" t="s">
        <v>7</v>
      </c>
      <c r="J501" s="6" t="s">
        <v>9</v>
      </c>
      <c r="K501" s="5" t="s">
        <v>155</v>
      </c>
    </row>
    <row r="502" spans="1:12" ht="21" hidden="1" customHeight="1" x14ac:dyDescent="0.25">
      <c r="A502" s="12" t="str">
        <f>A501</f>
        <v>ЩО-4бл. (S4)</v>
      </c>
      <c r="B502" s="13" t="s">
        <v>8</v>
      </c>
      <c r="C502" s="14" t="s">
        <v>237</v>
      </c>
      <c r="D502" s="12" t="s">
        <v>238</v>
      </c>
      <c r="E502" s="13">
        <v>11700</v>
      </c>
      <c r="F502" s="15">
        <f>E502*0.6</f>
        <v>7020</v>
      </c>
      <c r="G502" s="15">
        <f t="shared" ref="G502:G507" si="287">H502*F502</f>
        <v>7020</v>
      </c>
      <c r="H502" s="16">
        <v>1</v>
      </c>
      <c r="I502" s="17" t="s">
        <v>13</v>
      </c>
      <c r="J502" s="13" t="s">
        <v>244</v>
      </c>
      <c r="K502" s="12" t="str">
        <f>K501</f>
        <v>2853_01_01_S4_EM01_01_M3</v>
      </c>
      <c r="L502">
        <v>7020</v>
      </c>
    </row>
    <row r="503" spans="1:12" ht="21" hidden="1" customHeight="1" x14ac:dyDescent="0.25">
      <c r="A503" s="12" t="str">
        <f t="shared" ref="A503:A508" si="288">A502</f>
        <v>ЩО-4бл. (S4)</v>
      </c>
      <c r="B503" s="13" t="s">
        <v>48</v>
      </c>
      <c r="C503" s="14" t="s">
        <v>49</v>
      </c>
      <c r="D503" s="12" t="s">
        <v>50</v>
      </c>
      <c r="E503" s="13">
        <v>3372</v>
      </c>
      <c r="F503" s="15">
        <f t="shared" ref="F503:F504" si="289">E503*0.6</f>
        <v>2023.1999999999998</v>
      </c>
      <c r="G503" s="15">
        <f t="shared" si="287"/>
        <v>2023.1999999999998</v>
      </c>
      <c r="H503" s="16">
        <v>1</v>
      </c>
      <c r="I503" s="17" t="s">
        <v>13</v>
      </c>
      <c r="J503" s="13" t="s">
        <v>17</v>
      </c>
      <c r="K503" s="12" t="str">
        <f t="shared" ref="K503:K508" si="290">K502</f>
        <v>2853_01_01_S4_EM01_01_M3</v>
      </c>
      <c r="L503">
        <v>2023.1999999999998</v>
      </c>
    </row>
    <row r="504" spans="1:12" ht="21" hidden="1" customHeight="1" x14ac:dyDescent="0.25">
      <c r="A504" s="12" t="str">
        <f t="shared" si="288"/>
        <v>ЩО-4бл. (S4)</v>
      </c>
      <c r="B504" s="13" t="s">
        <v>12</v>
      </c>
      <c r="C504" s="14" t="s">
        <v>19</v>
      </c>
      <c r="D504" s="12" t="s">
        <v>20</v>
      </c>
      <c r="E504" s="13">
        <v>975</v>
      </c>
      <c r="F504" s="15">
        <f t="shared" si="289"/>
        <v>585</v>
      </c>
      <c r="G504" s="15">
        <f t="shared" si="287"/>
        <v>4095</v>
      </c>
      <c r="H504" s="16">
        <v>7</v>
      </c>
      <c r="I504" s="17" t="s">
        <v>13</v>
      </c>
      <c r="J504" s="13" t="s">
        <v>17</v>
      </c>
      <c r="K504" s="12" t="str">
        <f t="shared" si="290"/>
        <v>2853_01_01_S4_EM01_01_M3</v>
      </c>
      <c r="L504">
        <v>4095</v>
      </c>
    </row>
    <row r="505" spans="1:12" ht="21" hidden="1" customHeight="1" x14ac:dyDescent="0.25">
      <c r="A505" s="12" t="str">
        <f t="shared" si="288"/>
        <v>ЩО-4бл. (S4)</v>
      </c>
      <c r="B505" s="13" t="s">
        <v>143</v>
      </c>
      <c r="C505" s="12" t="s">
        <v>170</v>
      </c>
      <c r="D505" s="12" t="s">
        <v>351</v>
      </c>
      <c r="E505" s="13">
        <v>6500</v>
      </c>
      <c r="F505" s="15">
        <f>E505</f>
        <v>6500</v>
      </c>
      <c r="G505" s="15">
        <f t="shared" si="287"/>
        <v>6500</v>
      </c>
      <c r="H505" s="16">
        <v>1</v>
      </c>
      <c r="I505" s="17" t="s">
        <v>13</v>
      </c>
      <c r="J505" s="13" t="s">
        <v>24</v>
      </c>
      <c r="K505" s="12" t="str">
        <f t="shared" si="290"/>
        <v>2853_01_01_S4_EM01_01_M3</v>
      </c>
      <c r="L505">
        <v>6500</v>
      </c>
    </row>
    <row r="506" spans="1:12" ht="24" hidden="1" customHeight="1" x14ac:dyDescent="0.25">
      <c r="A506" s="12" t="str">
        <f>A504</f>
        <v>ЩО-4бл. (S4)</v>
      </c>
      <c r="B506" s="12" t="s">
        <v>10</v>
      </c>
      <c r="C506" s="18" t="s">
        <v>10</v>
      </c>
      <c r="D506" s="12" t="s">
        <v>10</v>
      </c>
      <c r="E506" s="12">
        <f ca="1">OFFSET(E506,1,2)</f>
        <v>3000</v>
      </c>
      <c r="F506" s="15">
        <f ca="1">E506</f>
        <v>3000</v>
      </c>
      <c r="G506" s="15">
        <f t="shared" ca="1" si="287"/>
        <v>3000</v>
      </c>
      <c r="H506" s="12">
        <v>1</v>
      </c>
      <c r="I506" s="12" t="s">
        <v>13</v>
      </c>
      <c r="J506" s="12" t="s">
        <v>10</v>
      </c>
      <c r="K506" s="12" t="str">
        <f>K504</f>
        <v>2853_01_01_S4_EM01_01_M3</v>
      </c>
      <c r="L506">
        <v>3000</v>
      </c>
    </row>
    <row r="507" spans="1:12" ht="21" hidden="1" customHeight="1" x14ac:dyDescent="0.25">
      <c r="A507" s="12" t="str">
        <f t="shared" si="288"/>
        <v>ЩО-4бл. (S4)</v>
      </c>
      <c r="B507" s="12" t="s">
        <v>11</v>
      </c>
      <c r="C507" s="18" t="s">
        <v>11</v>
      </c>
      <c r="D507" s="12" t="s">
        <v>11</v>
      </c>
      <c r="E507" s="12">
        <v>0.5</v>
      </c>
      <c r="F507" s="15">
        <v>100</v>
      </c>
      <c r="G507" s="15">
        <f t="shared" si="287"/>
        <v>3000</v>
      </c>
      <c r="H507" s="12">
        <f>60*E507</f>
        <v>30</v>
      </c>
      <c r="I507" s="12" t="s">
        <v>13</v>
      </c>
      <c r="J507" s="12" t="s">
        <v>11</v>
      </c>
      <c r="K507" s="12" t="str">
        <f t="shared" si="290"/>
        <v>2853_01_01_S4_EM01_01_M3</v>
      </c>
      <c r="L507">
        <v>3000</v>
      </c>
    </row>
    <row r="508" spans="1:12" ht="30" customHeight="1" x14ac:dyDescent="0.25">
      <c r="A508" s="12" t="str">
        <f t="shared" si="288"/>
        <v>ЩО-4бл. (S4)</v>
      </c>
      <c r="B508" s="19"/>
      <c r="C508" s="20"/>
      <c r="D508" s="21"/>
      <c r="E508" s="23"/>
      <c r="F508" s="25"/>
      <c r="G508" s="24">
        <f ca="1">SUM(G502:G507)</f>
        <v>25638.2</v>
      </c>
      <c r="H508" s="20"/>
      <c r="I508" s="22"/>
      <c r="J508" s="20"/>
      <c r="K508" s="12" t="str">
        <f t="shared" si="290"/>
        <v>2853_01_01_S4_EM01_01_M3</v>
      </c>
      <c r="L508">
        <v>25638.2</v>
      </c>
    </row>
    <row r="509" spans="1:12" ht="39.75" customHeight="1" x14ac:dyDescent="0.25">
      <c r="A509" s="5" t="str">
        <f>D509</f>
        <v>ЩАО-4бл. (S4)</v>
      </c>
      <c r="B509" s="6"/>
      <c r="C509" s="7"/>
      <c r="D509" s="6" t="s">
        <v>293</v>
      </c>
      <c r="E509" s="8"/>
      <c r="F509" s="8" t="s">
        <v>40</v>
      </c>
      <c r="G509" s="9"/>
      <c r="H509" s="10">
        <v>1</v>
      </c>
      <c r="I509" s="11" t="s">
        <v>7</v>
      </c>
      <c r="J509" s="6" t="s">
        <v>9</v>
      </c>
      <c r="K509" s="5" t="s">
        <v>155</v>
      </c>
    </row>
    <row r="510" spans="1:12" ht="21" hidden="1" customHeight="1" x14ac:dyDescent="0.25">
      <c r="A510" s="12" t="str">
        <f>A509</f>
        <v>ЩАО-4бл. (S4)</v>
      </c>
      <c r="B510" s="13" t="s">
        <v>8</v>
      </c>
      <c r="C510" s="14" t="s">
        <v>237</v>
      </c>
      <c r="D510" s="12" t="s">
        <v>238</v>
      </c>
      <c r="E510" s="13">
        <v>11700</v>
      </c>
      <c r="F510" s="15">
        <f>E510*0.6</f>
        <v>7020</v>
      </c>
      <c r="G510" s="15">
        <f t="shared" ref="G510:G515" si="291">H510*F510</f>
        <v>7020</v>
      </c>
      <c r="H510" s="16">
        <v>1</v>
      </c>
      <c r="I510" s="17" t="s">
        <v>13</v>
      </c>
      <c r="J510" s="13" t="s">
        <v>244</v>
      </c>
      <c r="K510" s="12" t="str">
        <f>K509</f>
        <v>2853_01_01_S4_EM01_01_M3</v>
      </c>
      <c r="L510">
        <v>7020</v>
      </c>
    </row>
    <row r="511" spans="1:12" ht="21" hidden="1" customHeight="1" x14ac:dyDescent="0.25">
      <c r="A511" s="12" t="str">
        <f t="shared" ref="A511:A516" si="292">A510</f>
        <v>ЩАО-4бл. (S4)</v>
      </c>
      <c r="B511" s="13" t="s">
        <v>48</v>
      </c>
      <c r="C511" s="14" t="s">
        <v>49</v>
      </c>
      <c r="D511" s="12" t="s">
        <v>50</v>
      </c>
      <c r="E511" s="13">
        <v>3372</v>
      </c>
      <c r="F511" s="15">
        <f t="shared" ref="F511:F512" si="293">E511*0.6</f>
        <v>2023.1999999999998</v>
      </c>
      <c r="G511" s="15">
        <f t="shared" si="291"/>
        <v>2023.1999999999998</v>
      </c>
      <c r="H511" s="16">
        <v>1</v>
      </c>
      <c r="I511" s="17" t="s">
        <v>13</v>
      </c>
      <c r="J511" s="13" t="s">
        <v>17</v>
      </c>
      <c r="K511" s="12" t="str">
        <f t="shared" ref="K511:K516" si="294">K510</f>
        <v>2853_01_01_S4_EM01_01_M3</v>
      </c>
      <c r="L511">
        <v>2023.1999999999998</v>
      </c>
    </row>
    <row r="512" spans="1:12" ht="21" hidden="1" customHeight="1" x14ac:dyDescent="0.25">
      <c r="A512" s="12" t="str">
        <f t="shared" si="292"/>
        <v>ЩАО-4бл. (S4)</v>
      </c>
      <c r="B512" s="13" t="s">
        <v>12</v>
      </c>
      <c r="C512" s="14" t="s">
        <v>19</v>
      </c>
      <c r="D512" s="12" t="s">
        <v>20</v>
      </c>
      <c r="E512" s="13">
        <v>975</v>
      </c>
      <c r="F512" s="15">
        <f t="shared" si="293"/>
        <v>585</v>
      </c>
      <c r="G512" s="15">
        <f t="shared" si="291"/>
        <v>3510</v>
      </c>
      <c r="H512" s="16">
        <v>6</v>
      </c>
      <c r="I512" s="17" t="s">
        <v>13</v>
      </c>
      <c r="J512" s="13" t="s">
        <v>17</v>
      </c>
      <c r="K512" s="12" t="str">
        <f t="shared" si="294"/>
        <v>2853_01_01_S4_EM01_01_M3</v>
      </c>
      <c r="L512">
        <v>3510</v>
      </c>
    </row>
    <row r="513" spans="1:12" ht="21" hidden="1" customHeight="1" x14ac:dyDescent="0.25">
      <c r="A513" s="12" t="str">
        <f t="shared" si="292"/>
        <v>ЩАО-4бл. (S4)</v>
      </c>
      <c r="B513" s="13" t="s">
        <v>143</v>
      </c>
      <c r="C513" s="12" t="s">
        <v>170</v>
      </c>
      <c r="D513" s="12" t="s">
        <v>351</v>
      </c>
      <c r="E513" s="13">
        <v>6500</v>
      </c>
      <c r="F513" s="15">
        <f>E513</f>
        <v>6500</v>
      </c>
      <c r="G513" s="15">
        <f t="shared" si="291"/>
        <v>6500</v>
      </c>
      <c r="H513" s="16">
        <v>1</v>
      </c>
      <c r="I513" s="17" t="s">
        <v>13</v>
      </c>
      <c r="J513" s="13" t="s">
        <v>24</v>
      </c>
      <c r="K513" s="12" t="str">
        <f t="shared" si="294"/>
        <v>2853_01_01_S4_EM01_01_M3</v>
      </c>
      <c r="L513">
        <v>6500</v>
      </c>
    </row>
    <row r="514" spans="1:12" ht="24" hidden="1" customHeight="1" x14ac:dyDescent="0.25">
      <c r="A514" s="12" t="str">
        <f>A512</f>
        <v>ЩАО-4бл. (S4)</v>
      </c>
      <c r="B514" s="12" t="s">
        <v>10</v>
      </c>
      <c r="C514" s="18" t="s">
        <v>10</v>
      </c>
      <c r="D514" s="12" t="s">
        <v>10</v>
      </c>
      <c r="E514" s="12">
        <f ca="1">OFFSET(E514,1,2)</f>
        <v>4200</v>
      </c>
      <c r="F514" s="15">
        <f ca="1">E514</f>
        <v>4200</v>
      </c>
      <c r="G514" s="15">
        <f t="shared" ca="1" si="291"/>
        <v>4200</v>
      </c>
      <c r="H514" s="12">
        <v>1</v>
      </c>
      <c r="I514" s="12" t="s">
        <v>13</v>
      </c>
      <c r="J514" s="12" t="s">
        <v>10</v>
      </c>
      <c r="K514" s="12" t="str">
        <f>K512</f>
        <v>2853_01_01_S4_EM01_01_M3</v>
      </c>
      <c r="L514">
        <v>4200</v>
      </c>
    </row>
    <row r="515" spans="1:12" ht="21" hidden="1" customHeight="1" x14ac:dyDescent="0.25">
      <c r="A515" s="12" t="str">
        <f t="shared" si="292"/>
        <v>ЩАО-4бл. (S4)</v>
      </c>
      <c r="B515" s="12" t="s">
        <v>11</v>
      </c>
      <c r="C515" s="18" t="s">
        <v>11</v>
      </c>
      <c r="D515" s="12" t="s">
        <v>11</v>
      </c>
      <c r="E515" s="12">
        <v>0.7</v>
      </c>
      <c r="F515" s="15">
        <v>100</v>
      </c>
      <c r="G515" s="15">
        <f t="shared" si="291"/>
        <v>4200</v>
      </c>
      <c r="H515" s="12">
        <f>60*E515</f>
        <v>42</v>
      </c>
      <c r="I515" s="12" t="s">
        <v>13</v>
      </c>
      <c r="J515" s="12" t="s">
        <v>11</v>
      </c>
      <c r="K515" s="12" t="str">
        <f t="shared" si="294"/>
        <v>2853_01_01_S4_EM01_01_M3</v>
      </c>
      <c r="L515">
        <v>4200</v>
      </c>
    </row>
    <row r="516" spans="1:12" ht="30" customHeight="1" x14ac:dyDescent="0.25">
      <c r="A516" s="12" t="str">
        <f t="shared" si="292"/>
        <v>ЩАО-4бл. (S4)</v>
      </c>
      <c r="B516" s="19"/>
      <c r="C516" s="20"/>
      <c r="D516" s="21"/>
      <c r="E516" s="23"/>
      <c r="F516" s="25"/>
      <c r="G516" s="24">
        <f ca="1">SUM(G510:G515)</f>
        <v>27453.200000000001</v>
      </c>
      <c r="H516" s="20"/>
      <c r="I516" s="22"/>
      <c r="J516" s="20"/>
      <c r="K516" s="12" t="str">
        <f t="shared" si="294"/>
        <v>2853_01_01_S4_EM01_01_M3</v>
      </c>
      <c r="L516">
        <v>27453.200000000001</v>
      </c>
    </row>
    <row r="517" spans="1:12" ht="39.75" customHeight="1" x14ac:dyDescent="0.25">
      <c r="A517" s="5" t="str">
        <f>D517</f>
        <v>ЩСС-4бл. (S4)</v>
      </c>
      <c r="B517" s="6"/>
      <c r="C517" s="7"/>
      <c r="D517" s="6" t="s">
        <v>294</v>
      </c>
      <c r="E517" s="8"/>
      <c r="F517" s="8" t="s">
        <v>40</v>
      </c>
      <c r="G517" s="9"/>
      <c r="H517" s="10">
        <v>1</v>
      </c>
      <c r="I517" s="11" t="s">
        <v>7</v>
      </c>
      <c r="J517" s="6" t="s">
        <v>9</v>
      </c>
      <c r="K517" s="5" t="s">
        <v>155</v>
      </c>
    </row>
    <row r="518" spans="1:12" ht="21" hidden="1" customHeight="1" x14ac:dyDescent="0.25">
      <c r="A518" s="12" t="str">
        <f>A517</f>
        <v>ЩСС-4бл. (S4)</v>
      </c>
      <c r="B518" s="13" t="s">
        <v>8</v>
      </c>
      <c r="C518" s="14" t="s">
        <v>239</v>
      </c>
      <c r="D518" s="12" t="s">
        <v>240</v>
      </c>
      <c r="E518" s="13">
        <v>8990</v>
      </c>
      <c r="F518" s="15">
        <f>E518*0.6</f>
        <v>5394</v>
      </c>
      <c r="G518" s="15">
        <f t="shared" ref="G518:G523" si="295">H518*F518</f>
        <v>5394</v>
      </c>
      <c r="H518" s="16">
        <v>1</v>
      </c>
      <c r="I518" s="17" t="s">
        <v>13</v>
      </c>
      <c r="J518" s="13" t="s">
        <v>244</v>
      </c>
      <c r="K518" s="12" t="str">
        <f>K517</f>
        <v>2853_01_01_S4_EM01_01_M3</v>
      </c>
      <c r="L518">
        <v>5394</v>
      </c>
    </row>
    <row r="519" spans="1:12" ht="21" hidden="1" customHeight="1" x14ac:dyDescent="0.25">
      <c r="A519" s="12" t="str">
        <f t="shared" ref="A519:A524" si="296">A518</f>
        <v>ЩСС-4бл. (S4)</v>
      </c>
      <c r="B519" s="13" t="s">
        <v>48</v>
      </c>
      <c r="C519" s="14" t="s">
        <v>49</v>
      </c>
      <c r="D519" s="12" t="s">
        <v>50</v>
      </c>
      <c r="E519" s="13">
        <v>3372</v>
      </c>
      <c r="F519" s="15">
        <f t="shared" ref="F519:F521" si="297">E519*0.6</f>
        <v>2023.1999999999998</v>
      </c>
      <c r="G519" s="15">
        <f t="shared" si="295"/>
        <v>2023.1999999999998</v>
      </c>
      <c r="H519" s="16">
        <v>1</v>
      </c>
      <c r="I519" s="17" t="s">
        <v>13</v>
      </c>
      <c r="J519" s="13" t="s">
        <v>17</v>
      </c>
      <c r="K519" s="12" t="str">
        <f t="shared" ref="K519:K524" si="298">K518</f>
        <v>2853_01_01_S4_EM01_01_M3</v>
      </c>
      <c r="L519">
        <v>2023.1999999999998</v>
      </c>
    </row>
    <row r="520" spans="1:12" ht="21" hidden="1" customHeight="1" x14ac:dyDescent="0.25">
      <c r="A520" s="12" t="str">
        <f>A518</f>
        <v>ЩСС-4бл. (S4)</v>
      </c>
      <c r="B520" s="13" t="s">
        <v>21</v>
      </c>
      <c r="C520" s="14" t="s">
        <v>111</v>
      </c>
      <c r="D520" s="12" t="s">
        <v>112</v>
      </c>
      <c r="E520" s="13">
        <v>5719</v>
      </c>
      <c r="F520" s="15">
        <f t="shared" si="297"/>
        <v>3431.4</v>
      </c>
      <c r="G520" s="15">
        <f t="shared" si="295"/>
        <v>10294.200000000001</v>
      </c>
      <c r="H520" s="16">
        <v>3</v>
      </c>
      <c r="I520" s="17" t="s">
        <v>13</v>
      </c>
      <c r="J520" s="13" t="s">
        <v>17</v>
      </c>
      <c r="K520" s="12" t="str">
        <f>K518</f>
        <v>2853_01_01_S4_EM01_01_M3</v>
      </c>
      <c r="L520">
        <v>10294.200000000001</v>
      </c>
    </row>
    <row r="521" spans="1:12" ht="21" hidden="1" customHeight="1" x14ac:dyDescent="0.25">
      <c r="A521" s="12" t="str">
        <f>A518</f>
        <v>ЩСС-4бл. (S4)</v>
      </c>
      <c r="B521" s="13" t="s">
        <v>12</v>
      </c>
      <c r="C521" s="14" t="s">
        <v>46</v>
      </c>
      <c r="D521" s="12" t="s">
        <v>47</v>
      </c>
      <c r="E521" s="13">
        <v>783</v>
      </c>
      <c r="F521" s="15">
        <f t="shared" si="297"/>
        <v>469.79999999999995</v>
      </c>
      <c r="G521" s="15">
        <f t="shared" si="295"/>
        <v>469.79999999999995</v>
      </c>
      <c r="H521" s="16">
        <v>1</v>
      </c>
      <c r="I521" s="17" t="s">
        <v>13</v>
      </c>
      <c r="J521" s="13" t="s">
        <v>17</v>
      </c>
      <c r="K521" s="12" t="str">
        <f>K518</f>
        <v>2853_01_01_S4_EM01_01_M3</v>
      </c>
      <c r="L521">
        <v>469.79999999999995</v>
      </c>
    </row>
    <row r="522" spans="1:12" ht="24" hidden="1" customHeight="1" x14ac:dyDescent="0.25">
      <c r="A522" s="12" t="str">
        <f t="shared" si="296"/>
        <v>ЩСС-4бл. (S4)</v>
      </c>
      <c r="B522" s="12" t="s">
        <v>10</v>
      </c>
      <c r="C522" s="18" t="s">
        <v>10</v>
      </c>
      <c r="D522" s="12" t="s">
        <v>10</v>
      </c>
      <c r="E522" s="12">
        <f ca="1">OFFSET(E522,1,2)</f>
        <v>3000</v>
      </c>
      <c r="F522" s="15">
        <f ca="1">E522</f>
        <v>3000</v>
      </c>
      <c r="G522" s="15">
        <f t="shared" ca="1" si="295"/>
        <v>3000</v>
      </c>
      <c r="H522" s="12">
        <v>1</v>
      </c>
      <c r="I522" s="12" t="s">
        <v>13</v>
      </c>
      <c r="J522" s="12" t="s">
        <v>10</v>
      </c>
      <c r="K522" s="12" t="str">
        <f t="shared" si="298"/>
        <v>2853_01_01_S4_EM01_01_M3</v>
      </c>
      <c r="L522">
        <v>3000</v>
      </c>
    </row>
    <row r="523" spans="1:12" ht="21" hidden="1" customHeight="1" x14ac:dyDescent="0.25">
      <c r="A523" s="12" t="str">
        <f t="shared" si="296"/>
        <v>ЩСС-4бл. (S4)</v>
      </c>
      <c r="B523" s="12" t="s">
        <v>11</v>
      </c>
      <c r="C523" s="18" t="s">
        <v>11</v>
      </c>
      <c r="D523" s="12" t="s">
        <v>11</v>
      </c>
      <c r="E523" s="12">
        <v>0.5</v>
      </c>
      <c r="F523" s="15">
        <v>100</v>
      </c>
      <c r="G523" s="15">
        <f t="shared" si="295"/>
        <v>3000</v>
      </c>
      <c r="H523" s="12">
        <f>60*E523</f>
        <v>30</v>
      </c>
      <c r="I523" s="12" t="s">
        <v>13</v>
      </c>
      <c r="J523" s="12" t="s">
        <v>11</v>
      </c>
      <c r="K523" s="12" t="str">
        <f t="shared" si="298"/>
        <v>2853_01_01_S4_EM01_01_M3</v>
      </c>
      <c r="L523">
        <v>3000</v>
      </c>
    </row>
    <row r="524" spans="1:12" ht="30" customHeight="1" x14ac:dyDescent="0.25">
      <c r="A524" s="12" t="str">
        <f t="shared" si="296"/>
        <v>ЩСС-4бл. (S4)</v>
      </c>
      <c r="B524" s="19"/>
      <c r="C524" s="20"/>
      <c r="D524" s="21"/>
      <c r="E524" s="23"/>
      <c r="F524" s="25"/>
      <c r="G524" s="24">
        <f ca="1">SUM(G518:G523)</f>
        <v>24181.200000000001</v>
      </c>
      <c r="H524" s="20"/>
      <c r="I524" s="22"/>
      <c r="J524" s="20"/>
      <c r="K524" s="12" t="str">
        <f t="shared" si="298"/>
        <v>2853_01_01_S4_EM01_01_M3</v>
      </c>
      <c r="L524">
        <v>24181.200000000001</v>
      </c>
    </row>
    <row r="525" spans="1:12" ht="39.75" customHeight="1" x14ac:dyDescent="0.25">
      <c r="A525" s="5" t="str">
        <f>D525</f>
        <v>ЩС-4бл.  (S4)</v>
      </c>
      <c r="B525" s="6"/>
      <c r="C525" s="7"/>
      <c r="D525" s="6" t="s">
        <v>295</v>
      </c>
      <c r="E525" s="8"/>
      <c r="F525" s="8" t="s">
        <v>40</v>
      </c>
      <c r="G525" s="9"/>
      <c r="H525" s="10">
        <v>1</v>
      </c>
      <c r="I525" s="11" t="s">
        <v>7</v>
      </c>
      <c r="J525" s="6" t="s">
        <v>9</v>
      </c>
      <c r="K525" s="5" t="s">
        <v>155</v>
      </c>
    </row>
    <row r="526" spans="1:12" ht="21" hidden="1" customHeight="1" x14ac:dyDescent="0.25">
      <c r="A526" s="12" t="str">
        <f>A525</f>
        <v>ЩС-4бл.  (S4)</v>
      </c>
      <c r="B526" s="13" t="s">
        <v>8</v>
      </c>
      <c r="C526" s="14" t="s">
        <v>241</v>
      </c>
      <c r="D526" s="12" t="s">
        <v>242</v>
      </c>
      <c r="E526" s="13">
        <v>14900</v>
      </c>
      <c r="F526" s="15">
        <f>E526*0.6</f>
        <v>8940</v>
      </c>
      <c r="G526" s="15">
        <f t="shared" ref="G526:G532" si="299">H526*F526</f>
        <v>8940</v>
      </c>
      <c r="H526" s="16">
        <v>1</v>
      </c>
      <c r="I526" s="17" t="s">
        <v>13</v>
      </c>
      <c r="J526" s="13" t="s">
        <v>244</v>
      </c>
      <c r="K526" s="12" t="str">
        <f>K525</f>
        <v>2853_01_01_S4_EM01_01_M3</v>
      </c>
      <c r="L526">
        <v>8940</v>
      </c>
    </row>
    <row r="527" spans="1:12" ht="21" hidden="1" customHeight="1" x14ac:dyDescent="0.25">
      <c r="A527" s="12" t="str">
        <f t="shared" ref="A527" si="300">A526</f>
        <v>ЩС-4бл.  (S4)</v>
      </c>
      <c r="B527" s="13" t="s">
        <v>48</v>
      </c>
      <c r="C527" s="14" t="s">
        <v>51</v>
      </c>
      <c r="D527" s="12" t="s">
        <v>52</v>
      </c>
      <c r="E527" s="13">
        <v>3372</v>
      </c>
      <c r="F527" s="15">
        <f t="shared" ref="F527:F530" si="301">E527*0.6</f>
        <v>2023.1999999999998</v>
      </c>
      <c r="G527" s="15">
        <f t="shared" si="299"/>
        <v>2023.1999999999998</v>
      </c>
      <c r="H527" s="16">
        <v>1</v>
      </c>
      <c r="I527" s="17" t="s">
        <v>13</v>
      </c>
      <c r="J527" s="13" t="s">
        <v>17</v>
      </c>
      <c r="K527" s="12" t="str">
        <f t="shared" ref="K527" si="302">K526</f>
        <v>2853_01_01_S4_EM01_01_M3</v>
      </c>
      <c r="L527">
        <v>2023.1999999999998</v>
      </c>
    </row>
    <row r="528" spans="1:12" ht="21" hidden="1" customHeight="1" x14ac:dyDescent="0.25">
      <c r="A528" s="12" t="str">
        <f>A526</f>
        <v>ЩС-4бл.  (S4)</v>
      </c>
      <c r="B528" s="13" t="s">
        <v>21</v>
      </c>
      <c r="C528" s="14" t="s">
        <v>42</v>
      </c>
      <c r="D528" s="12" t="s">
        <v>43</v>
      </c>
      <c r="E528" s="13">
        <v>5104</v>
      </c>
      <c r="F528" s="15">
        <f t="shared" si="301"/>
        <v>3062.4</v>
      </c>
      <c r="G528" s="15">
        <f t="shared" si="299"/>
        <v>6124.8</v>
      </c>
      <c r="H528" s="16">
        <v>2</v>
      </c>
      <c r="I528" s="17" t="s">
        <v>13</v>
      </c>
      <c r="J528" s="13" t="s">
        <v>17</v>
      </c>
      <c r="K528" s="12" t="str">
        <f>K526</f>
        <v>2853_01_01_S4_EM01_01_M3</v>
      </c>
      <c r="L528">
        <v>6124.8</v>
      </c>
    </row>
    <row r="529" spans="1:12" ht="21" hidden="1" customHeight="1" x14ac:dyDescent="0.25">
      <c r="A529" s="12" t="str">
        <f>A527</f>
        <v>ЩС-4бл.  (S4)</v>
      </c>
      <c r="B529" s="13" t="s">
        <v>12</v>
      </c>
      <c r="C529" s="14" t="s">
        <v>46</v>
      </c>
      <c r="D529" s="12" t="s">
        <v>47</v>
      </c>
      <c r="E529" s="13">
        <v>783</v>
      </c>
      <c r="F529" s="15">
        <f t="shared" si="301"/>
        <v>469.79999999999995</v>
      </c>
      <c r="G529" s="15">
        <f t="shared" si="299"/>
        <v>469.79999999999995</v>
      </c>
      <c r="H529" s="16">
        <v>1</v>
      </c>
      <c r="I529" s="17" t="s">
        <v>13</v>
      </c>
      <c r="J529" s="13" t="s">
        <v>17</v>
      </c>
      <c r="K529" s="12" t="str">
        <f>K527</f>
        <v>2853_01_01_S4_EM01_01_M3</v>
      </c>
      <c r="L529">
        <v>469.79999999999995</v>
      </c>
    </row>
    <row r="530" spans="1:12" ht="21" hidden="1" customHeight="1" x14ac:dyDescent="0.25">
      <c r="A530" s="12" t="str">
        <f>A528</f>
        <v>ЩС-4бл.  (S4)</v>
      </c>
      <c r="B530" s="13" t="s">
        <v>119</v>
      </c>
      <c r="C530" s="14" t="s">
        <v>115</v>
      </c>
      <c r="D530" s="12" t="s">
        <v>116</v>
      </c>
      <c r="E530" s="13">
        <v>5354</v>
      </c>
      <c r="F530" s="15">
        <f t="shared" si="301"/>
        <v>3212.4</v>
      </c>
      <c r="G530" s="15">
        <f t="shared" si="299"/>
        <v>3212.4</v>
      </c>
      <c r="H530" s="16">
        <v>1</v>
      </c>
      <c r="I530" s="17" t="s">
        <v>13</v>
      </c>
      <c r="J530" s="13" t="s">
        <v>17</v>
      </c>
      <c r="K530" s="12" t="str">
        <f>K528</f>
        <v>2853_01_01_S4_EM01_01_M3</v>
      </c>
      <c r="L530">
        <v>3212.4</v>
      </c>
    </row>
    <row r="531" spans="1:12" ht="24" hidden="1" customHeight="1" x14ac:dyDescent="0.25">
      <c r="A531" s="12" t="str">
        <f>A527</f>
        <v>ЩС-4бл.  (S4)</v>
      </c>
      <c r="B531" s="12" t="s">
        <v>10</v>
      </c>
      <c r="C531" s="18" t="s">
        <v>10</v>
      </c>
      <c r="D531" s="12" t="s">
        <v>10</v>
      </c>
      <c r="E531" s="12">
        <f ca="1">OFFSET(E531,1,2)</f>
        <v>6000</v>
      </c>
      <c r="F531" s="15">
        <f ca="1">E531</f>
        <v>6000</v>
      </c>
      <c r="G531" s="15">
        <f t="shared" ca="1" si="299"/>
        <v>6000</v>
      </c>
      <c r="H531" s="12">
        <v>1</v>
      </c>
      <c r="I531" s="12" t="s">
        <v>13</v>
      </c>
      <c r="J531" s="12" t="s">
        <v>10</v>
      </c>
      <c r="K531" s="12" t="str">
        <f>K527</f>
        <v>2853_01_01_S4_EM01_01_M3</v>
      </c>
      <c r="L531">
        <v>6000</v>
      </c>
    </row>
    <row r="532" spans="1:12" ht="21" hidden="1" customHeight="1" x14ac:dyDescent="0.25">
      <c r="A532" s="12" t="str">
        <f t="shared" ref="A532:A533" si="303">A531</f>
        <v>ЩС-4бл.  (S4)</v>
      </c>
      <c r="B532" s="12" t="s">
        <v>11</v>
      </c>
      <c r="C532" s="18" t="s">
        <v>11</v>
      </c>
      <c r="D532" s="12" t="s">
        <v>11</v>
      </c>
      <c r="E532" s="12">
        <v>1</v>
      </c>
      <c r="F532" s="15">
        <v>100</v>
      </c>
      <c r="G532" s="15">
        <f t="shared" si="299"/>
        <v>6000</v>
      </c>
      <c r="H532" s="12">
        <f>60*E532</f>
        <v>60</v>
      </c>
      <c r="I532" s="12" t="s">
        <v>13</v>
      </c>
      <c r="J532" s="12" t="s">
        <v>11</v>
      </c>
      <c r="K532" s="12" t="str">
        <f t="shared" ref="K532:K533" si="304">K531</f>
        <v>2853_01_01_S4_EM01_01_M3</v>
      </c>
      <c r="L532">
        <v>6000</v>
      </c>
    </row>
    <row r="533" spans="1:12" ht="30" customHeight="1" x14ac:dyDescent="0.25">
      <c r="A533" s="12" t="str">
        <f t="shared" si="303"/>
        <v>ЩС-4бл.  (S4)</v>
      </c>
      <c r="B533" s="19"/>
      <c r="C533" s="20"/>
      <c r="D533" s="21"/>
      <c r="E533" s="23"/>
      <c r="F533" s="25"/>
      <c r="G533" s="24">
        <f ca="1">SUM(G526:G532)</f>
        <v>32770.199999999997</v>
      </c>
      <c r="H533" s="20"/>
      <c r="I533" s="22"/>
      <c r="J533" s="20"/>
      <c r="K533" s="12" t="str">
        <f t="shared" si="304"/>
        <v>2853_01_01_S4_EM01_01_M3</v>
      </c>
      <c r="L533">
        <v>32770.199999999997</v>
      </c>
    </row>
    <row r="534" spans="1:12" ht="39.75" customHeight="1" x14ac:dyDescent="0.25">
      <c r="A534" s="5" t="str">
        <f>D534</f>
        <v>ЩСд (S4)</v>
      </c>
      <c r="B534" s="6"/>
      <c r="C534" s="7"/>
      <c r="D534" s="6" t="s">
        <v>296</v>
      </c>
      <c r="E534" s="8"/>
      <c r="F534" s="8" t="s">
        <v>40</v>
      </c>
      <c r="G534" s="9"/>
      <c r="H534" s="10">
        <v>1</v>
      </c>
      <c r="I534" s="11" t="s">
        <v>7</v>
      </c>
      <c r="J534" s="6" t="s">
        <v>9</v>
      </c>
      <c r="K534" s="5" t="s">
        <v>155</v>
      </c>
    </row>
    <row r="535" spans="1:12" ht="21" hidden="1" customHeight="1" x14ac:dyDescent="0.25">
      <c r="A535" s="12" t="str">
        <f>A534</f>
        <v>ЩСд (S4)</v>
      </c>
      <c r="B535" s="13" t="s">
        <v>8</v>
      </c>
      <c r="C535" s="14"/>
      <c r="D535" s="12" t="s">
        <v>333</v>
      </c>
      <c r="E535" s="13">
        <v>56000</v>
      </c>
      <c r="F535" s="15">
        <f>E535</f>
        <v>56000</v>
      </c>
      <c r="G535" s="15">
        <f t="shared" ref="G535:G540" si="305">H535*F535</f>
        <v>56000</v>
      </c>
      <c r="H535" s="16">
        <v>1</v>
      </c>
      <c r="I535" s="17" t="s">
        <v>13</v>
      </c>
      <c r="J535" s="13" t="s">
        <v>24</v>
      </c>
      <c r="K535" s="12" t="str">
        <f>K534</f>
        <v>2853_01_01_S4_EM01_01_M3</v>
      </c>
      <c r="L535">
        <v>56000</v>
      </c>
    </row>
    <row r="536" spans="1:12" ht="21" hidden="1" customHeight="1" x14ac:dyDescent="0.25">
      <c r="A536" s="12" t="str">
        <f t="shared" ref="A536:A541" si="306">A535</f>
        <v>ЩСд (S4)</v>
      </c>
      <c r="B536" s="13" t="s">
        <v>48</v>
      </c>
      <c r="C536" s="14" t="s">
        <v>51</v>
      </c>
      <c r="D536" s="12" t="s">
        <v>52</v>
      </c>
      <c r="E536" s="13">
        <v>3372</v>
      </c>
      <c r="F536" s="15">
        <f t="shared" ref="F536:F538" si="307">E536*0.6</f>
        <v>2023.1999999999998</v>
      </c>
      <c r="G536" s="15">
        <f t="shared" si="305"/>
        <v>2023.1999999999998</v>
      </c>
      <c r="H536" s="16">
        <v>1</v>
      </c>
      <c r="I536" s="17" t="s">
        <v>13</v>
      </c>
      <c r="J536" s="13" t="s">
        <v>17</v>
      </c>
      <c r="K536" s="12" t="str">
        <f t="shared" ref="K536" si="308">K535</f>
        <v>2853_01_01_S4_EM01_01_M3</v>
      </c>
      <c r="L536">
        <v>2023.1999999999998</v>
      </c>
    </row>
    <row r="537" spans="1:12" ht="21" hidden="1" customHeight="1" x14ac:dyDescent="0.25">
      <c r="A537" s="12" t="str">
        <f t="shared" si="306"/>
        <v>ЩСд (S4)</v>
      </c>
      <c r="B537" s="13" t="s">
        <v>12</v>
      </c>
      <c r="C537" s="14" t="s">
        <v>117</v>
      </c>
      <c r="D537" s="12" t="s">
        <v>118</v>
      </c>
      <c r="E537" s="13">
        <v>3644</v>
      </c>
      <c r="F537" s="15">
        <f t="shared" si="307"/>
        <v>2186.4</v>
      </c>
      <c r="G537" s="15">
        <f t="shared" si="305"/>
        <v>13118.400000000001</v>
      </c>
      <c r="H537" s="16">
        <v>6</v>
      </c>
      <c r="I537" s="17" t="s">
        <v>13</v>
      </c>
      <c r="J537" s="13" t="s">
        <v>17</v>
      </c>
      <c r="K537" s="12" t="str">
        <f>K522</f>
        <v>2853_01_01_S4_EM01_01_M3</v>
      </c>
      <c r="L537">
        <v>13118.400000000001</v>
      </c>
    </row>
    <row r="538" spans="1:12" ht="21" hidden="1" customHeight="1" x14ac:dyDescent="0.25">
      <c r="A538" s="12" t="str">
        <f t="shared" si="306"/>
        <v>ЩСд (S4)</v>
      </c>
      <c r="B538" s="13" t="s">
        <v>12</v>
      </c>
      <c r="C538" s="14" t="s">
        <v>113</v>
      </c>
      <c r="D538" s="12" t="s">
        <v>114</v>
      </c>
      <c r="E538" s="13">
        <v>1130</v>
      </c>
      <c r="F538" s="15">
        <f t="shared" si="307"/>
        <v>678</v>
      </c>
      <c r="G538" s="15">
        <f t="shared" si="305"/>
        <v>2034</v>
      </c>
      <c r="H538" s="16">
        <v>3</v>
      </c>
      <c r="I538" s="17" t="s">
        <v>13</v>
      </c>
      <c r="J538" s="13" t="s">
        <v>17</v>
      </c>
      <c r="K538" s="12" t="str">
        <f>K535</f>
        <v>2853_01_01_S4_EM01_01_M3</v>
      </c>
      <c r="L538">
        <v>2034</v>
      </c>
    </row>
    <row r="539" spans="1:12" ht="24" hidden="1" customHeight="1" x14ac:dyDescent="0.25">
      <c r="A539" s="12" t="str">
        <f t="shared" si="306"/>
        <v>ЩСд (S4)</v>
      </c>
      <c r="B539" s="12" t="s">
        <v>10</v>
      </c>
      <c r="C539" s="18" t="s">
        <v>10</v>
      </c>
      <c r="D539" s="12" t="s">
        <v>10</v>
      </c>
      <c r="E539" s="12">
        <f ca="1">OFFSET(E539,1,2)</f>
        <v>6000</v>
      </c>
      <c r="F539" s="15">
        <f ca="1">E539</f>
        <v>6000</v>
      </c>
      <c r="G539" s="15">
        <f t="shared" ca="1" si="305"/>
        <v>6000</v>
      </c>
      <c r="H539" s="12">
        <v>1</v>
      </c>
      <c r="I539" s="12" t="s">
        <v>13</v>
      </c>
      <c r="J539" s="12" t="s">
        <v>10</v>
      </c>
      <c r="K539" s="12" t="str">
        <f>K536</f>
        <v>2853_01_01_S4_EM01_01_M3</v>
      </c>
      <c r="L539">
        <v>6000</v>
      </c>
    </row>
    <row r="540" spans="1:12" ht="21" hidden="1" customHeight="1" x14ac:dyDescent="0.25">
      <c r="A540" s="12" t="str">
        <f t="shared" si="306"/>
        <v>ЩСд (S4)</v>
      </c>
      <c r="B540" s="12" t="s">
        <v>11</v>
      </c>
      <c r="C540" s="18" t="s">
        <v>11</v>
      </c>
      <c r="D540" s="12" t="s">
        <v>11</v>
      </c>
      <c r="E540" s="12">
        <v>1</v>
      </c>
      <c r="F540" s="15">
        <v>100</v>
      </c>
      <c r="G540" s="15">
        <f t="shared" si="305"/>
        <v>6000</v>
      </c>
      <c r="H540" s="12">
        <f>60*E540</f>
        <v>60</v>
      </c>
      <c r="I540" s="12" t="s">
        <v>13</v>
      </c>
      <c r="J540" s="12" t="s">
        <v>11</v>
      </c>
      <c r="K540" s="12" t="str">
        <f t="shared" ref="K540:K541" si="309">K539</f>
        <v>2853_01_01_S4_EM01_01_M3</v>
      </c>
      <c r="L540">
        <v>6000</v>
      </c>
    </row>
    <row r="541" spans="1:12" ht="30" customHeight="1" x14ac:dyDescent="0.25">
      <c r="A541" s="12" t="str">
        <f t="shared" si="306"/>
        <v>ЩСд (S4)</v>
      </c>
      <c r="B541" s="19"/>
      <c r="C541" s="20"/>
      <c r="D541" s="21"/>
      <c r="E541" s="23"/>
      <c r="F541" s="25"/>
      <c r="G541" s="24">
        <f ca="1">SUM(G535:G540)</f>
        <v>85175.6</v>
      </c>
      <c r="H541" s="20"/>
      <c r="I541" s="22"/>
      <c r="J541" s="20"/>
      <c r="K541" s="12" t="str">
        <f t="shared" si="309"/>
        <v>2853_01_01_S4_EM01_01_M3</v>
      </c>
      <c r="L541">
        <v>85175.6</v>
      </c>
    </row>
    <row r="542" spans="1:12" ht="39.75" customHeight="1" x14ac:dyDescent="0.25">
      <c r="A542" s="5" t="str">
        <f>D542</f>
        <v>ЩУкот (S4)</v>
      </c>
      <c r="B542" s="6"/>
      <c r="C542" s="7"/>
      <c r="D542" s="6" t="s">
        <v>297</v>
      </c>
      <c r="E542" s="8"/>
      <c r="F542" s="8" t="s">
        <v>40</v>
      </c>
      <c r="G542" s="29"/>
      <c r="H542" s="10">
        <v>1</v>
      </c>
      <c r="I542" s="11" t="s">
        <v>7</v>
      </c>
      <c r="J542" s="6" t="s">
        <v>9</v>
      </c>
      <c r="K542" s="5" t="s">
        <v>155</v>
      </c>
    </row>
    <row r="543" spans="1:12" ht="21" hidden="1" customHeight="1" x14ac:dyDescent="0.25">
      <c r="A543" s="12" t="str">
        <f>A542</f>
        <v>ЩУкот (S4)</v>
      </c>
      <c r="B543" s="13" t="s">
        <v>8</v>
      </c>
      <c r="C543" s="14" t="s">
        <v>235</v>
      </c>
      <c r="D543" s="12" t="s">
        <v>236</v>
      </c>
      <c r="E543" s="13">
        <v>65570</v>
      </c>
      <c r="F543" s="15">
        <f t="shared" ref="F543:F550" si="310">E543*0.6</f>
        <v>39342</v>
      </c>
      <c r="G543" s="15">
        <f t="shared" ref="G543:G552" si="311">H543*F543</f>
        <v>39342</v>
      </c>
      <c r="H543" s="16">
        <v>1</v>
      </c>
      <c r="I543" s="17" t="s">
        <v>13</v>
      </c>
      <c r="J543" s="13" t="s">
        <v>16</v>
      </c>
      <c r="K543" s="12" t="str">
        <f>K542</f>
        <v>2853_01_01_S4_EM01_01_M3</v>
      </c>
      <c r="L543">
        <v>39342</v>
      </c>
    </row>
    <row r="544" spans="1:12" ht="21" hidden="1" customHeight="1" x14ac:dyDescent="0.25">
      <c r="A544" s="12" t="str">
        <f t="shared" ref="A544:A553" si="312">A543</f>
        <v>ЩУкот (S4)</v>
      </c>
      <c r="B544" s="13" t="s">
        <v>48</v>
      </c>
      <c r="C544" s="14" t="s">
        <v>51</v>
      </c>
      <c r="D544" s="12" t="s">
        <v>52</v>
      </c>
      <c r="E544" s="13">
        <v>3372</v>
      </c>
      <c r="F544" s="15">
        <f t="shared" si="310"/>
        <v>2023.1999999999998</v>
      </c>
      <c r="G544" s="15">
        <f t="shared" si="311"/>
        <v>2023.1999999999998</v>
      </c>
      <c r="H544" s="16">
        <v>1</v>
      </c>
      <c r="I544" s="17" t="s">
        <v>13</v>
      </c>
      <c r="J544" s="13" t="s">
        <v>17</v>
      </c>
      <c r="K544" s="12" t="str">
        <f t="shared" ref="K544:K553" si="313">K543</f>
        <v>2853_01_01_S4_EM01_01_M3</v>
      </c>
      <c r="L544">
        <v>2023.1999999999998</v>
      </c>
    </row>
    <row r="545" spans="1:12" ht="21" hidden="1" customHeight="1" x14ac:dyDescent="0.25">
      <c r="A545" s="12" t="str">
        <f t="shared" si="312"/>
        <v>ЩУкот (S4)</v>
      </c>
      <c r="B545" s="13" t="s">
        <v>12</v>
      </c>
      <c r="C545" s="14" t="s">
        <v>151</v>
      </c>
      <c r="D545" s="12" t="s">
        <v>152</v>
      </c>
      <c r="E545" s="13">
        <v>3604</v>
      </c>
      <c r="F545" s="15">
        <f t="shared" si="310"/>
        <v>2162.4</v>
      </c>
      <c r="G545" s="15">
        <f t="shared" si="311"/>
        <v>4324.8</v>
      </c>
      <c r="H545" s="16">
        <v>2</v>
      </c>
      <c r="I545" s="17" t="s">
        <v>13</v>
      </c>
      <c r="J545" s="13" t="s">
        <v>17</v>
      </c>
      <c r="K545" s="12" t="str">
        <f t="shared" si="313"/>
        <v>2853_01_01_S4_EM01_01_M3</v>
      </c>
      <c r="L545">
        <v>4324.8</v>
      </c>
    </row>
    <row r="546" spans="1:12" ht="21" hidden="1" customHeight="1" x14ac:dyDescent="0.25">
      <c r="A546" s="12" t="str">
        <f t="shared" si="312"/>
        <v>ЩУкот (S4)</v>
      </c>
      <c r="B546" s="13" t="s">
        <v>12</v>
      </c>
      <c r="C546" s="14" t="s">
        <v>153</v>
      </c>
      <c r="D546" s="12" t="s">
        <v>154</v>
      </c>
      <c r="E546" s="13">
        <v>1099</v>
      </c>
      <c r="F546" s="15">
        <f t="shared" si="310"/>
        <v>659.4</v>
      </c>
      <c r="G546" s="15">
        <f t="shared" si="311"/>
        <v>1318.8</v>
      </c>
      <c r="H546" s="16">
        <v>2</v>
      </c>
      <c r="I546" s="17" t="s">
        <v>13</v>
      </c>
      <c r="J546" s="13" t="s">
        <v>17</v>
      </c>
      <c r="K546" s="12" t="str">
        <f t="shared" si="313"/>
        <v>2853_01_01_S4_EM01_01_M3</v>
      </c>
      <c r="L546">
        <v>1318.8</v>
      </c>
    </row>
    <row r="547" spans="1:12" ht="21" hidden="1" customHeight="1" x14ac:dyDescent="0.25">
      <c r="A547" s="12" t="str">
        <f t="shared" si="312"/>
        <v>ЩУкот (S4)</v>
      </c>
      <c r="B547" s="13" t="s">
        <v>12</v>
      </c>
      <c r="C547" s="14" t="s">
        <v>117</v>
      </c>
      <c r="D547" s="12" t="s">
        <v>118</v>
      </c>
      <c r="E547" s="13">
        <v>3644</v>
      </c>
      <c r="F547" s="15">
        <f t="shared" si="310"/>
        <v>2186.4</v>
      </c>
      <c r="G547" s="15">
        <f t="shared" si="311"/>
        <v>4372.8</v>
      </c>
      <c r="H547" s="16">
        <v>2</v>
      </c>
      <c r="I547" s="17" t="s">
        <v>13</v>
      </c>
      <c r="J547" s="13" t="s">
        <v>17</v>
      </c>
      <c r="K547" s="12" t="str">
        <f t="shared" si="313"/>
        <v>2853_01_01_S4_EM01_01_M3</v>
      </c>
      <c r="L547">
        <v>4372.8</v>
      </c>
    </row>
    <row r="548" spans="1:12" ht="21" hidden="1" customHeight="1" x14ac:dyDescent="0.25">
      <c r="A548" s="12" t="str">
        <f t="shared" si="312"/>
        <v>ЩУкот (S4)</v>
      </c>
      <c r="B548" s="13" t="s">
        <v>12</v>
      </c>
      <c r="C548" s="14" t="s">
        <v>113</v>
      </c>
      <c r="D548" s="12" t="s">
        <v>114</v>
      </c>
      <c r="E548" s="13">
        <v>1130</v>
      </c>
      <c r="F548" s="15">
        <f t="shared" si="310"/>
        <v>678</v>
      </c>
      <c r="G548" s="15">
        <f t="shared" si="311"/>
        <v>1356</v>
      </c>
      <c r="H548" s="16">
        <v>2</v>
      </c>
      <c r="I548" s="17" t="s">
        <v>13</v>
      </c>
      <c r="J548" s="13" t="s">
        <v>17</v>
      </c>
      <c r="K548" s="12" t="str">
        <f t="shared" si="313"/>
        <v>2853_01_01_S4_EM01_01_M3</v>
      </c>
      <c r="L548">
        <v>1356</v>
      </c>
    </row>
    <row r="549" spans="1:12" ht="21" hidden="1" customHeight="1" x14ac:dyDescent="0.25">
      <c r="A549" s="12" t="str">
        <f t="shared" si="312"/>
        <v>ЩУкот (S4)</v>
      </c>
      <c r="B549" s="13" t="s">
        <v>12</v>
      </c>
      <c r="C549" s="14" t="s">
        <v>19</v>
      </c>
      <c r="D549" s="12" t="s">
        <v>20</v>
      </c>
      <c r="E549" s="13">
        <v>975</v>
      </c>
      <c r="F549" s="15">
        <f t="shared" si="310"/>
        <v>585</v>
      </c>
      <c r="G549" s="15">
        <f t="shared" si="311"/>
        <v>11115</v>
      </c>
      <c r="H549" s="16">
        <v>19</v>
      </c>
      <c r="I549" s="17" t="s">
        <v>13</v>
      </c>
      <c r="J549" s="13" t="s">
        <v>17</v>
      </c>
      <c r="K549" s="12" t="str">
        <f t="shared" si="313"/>
        <v>2853_01_01_S4_EM01_01_M3</v>
      </c>
      <c r="L549">
        <v>11115</v>
      </c>
    </row>
    <row r="550" spans="1:12" ht="21" hidden="1" customHeight="1" x14ac:dyDescent="0.25">
      <c r="A550" s="12" t="str">
        <f t="shared" si="312"/>
        <v>ЩУкот (S4)</v>
      </c>
      <c r="B550" s="13" t="s">
        <v>119</v>
      </c>
      <c r="C550" s="14" t="s">
        <v>115</v>
      </c>
      <c r="D550" s="12" t="s">
        <v>116</v>
      </c>
      <c r="E550" s="13">
        <v>5354</v>
      </c>
      <c r="F550" s="15">
        <f t="shared" si="310"/>
        <v>3212.4</v>
      </c>
      <c r="G550" s="15">
        <f t="shared" si="311"/>
        <v>3212.4</v>
      </c>
      <c r="H550" s="16">
        <v>1</v>
      </c>
      <c r="I550" s="17" t="s">
        <v>13</v>
      </c>
      <c r="J550" s="13" t="s">
        <v>17</v>
      </c>
      <c r="K550" s="12" t="str">
        <f t="shared" si="313"/>
        <v>2853_01_01_S4_EM01_01_M3</v>
      </c>
      <c r="L550">
        <v>3212.4</v>
      </c>
    </row>
    <row r="551" spans="1:12" ht="24" hidden="1" customHeight="1" x14ac:dyDescent="0.25">
      <c r="A551" s="12" t="str">
        <f t="shared" si="312"/>
        <v>ЩУкот (S4)</v>
      </c>
      <c r="B551" s="12" t="s">
        <v>10</v>
      </c>
      <c r="C551" s="18" t="s">
        <v>10</v>
      </c>
      <c r="D551" s="12" t="s">
        <v>10</v>
      </c>
      <c r="E551" s="12">
        <f ca="1">OFFSET(E551,1,2)</f>
        <v>30000</v>
      </c>
      <c r="F551" s="15">
        <f ca="1">E551</f>
        <v>30000</v>
      </c>
      <c r="G551" s="15">
        <f t="shared" ca="1" si="311"/>
        <v>30000</v>
      </c>
      <c r="H551" s="12">
        <v>1</v>
      </c>
      <c r="I551" s="12" t="s">
        <v>13</v>
      </c>
      <c r="J551" s="12" t="s">
        <v>10</v>
      </c>
      <c r="K551" s="12" t="str">
        <f t="shared" si="313"/>
        <v>2853_01_01_S4_EM01_01_M3</v>
      </c>
      <c r="L551">
        <v>30000</v>
      </c>
    </row>
    <row r="552" spans="1:12" ht="21" hidden="1" customHeight="1" x14ac:dyDescent="0.25">
      <c r="A552" s="12" t="str">
        <f t="shared" si="312"/>
        <v>ЩУкот (S4)</v>
      </c>
      <c r="B552" s="12" t="s">
        <v>11</v>
      </c>
      <c r="C552" s="18" t="s">
        <v>11</v>
      </c>
      <c r="D552" s="12" t="s">
        <v>11</v>
      </c>
      <c r="E552" s="12">
        <v>5</v>
      </c>
      <c r="F552" s="15">
        <v>100</v>
      </c>
      <c r="G552" s="15">
        <f t="shared" si="311"/>
        <v>30000</v>
      </c>
      <c r="H552" s="12">
        <f>60*E552</f>
        <v>300</v>
      </c>
      <c r="I552" s="12" t="s">
        <v>13</v>
      </c>
      <c r="J552" s="12" t="s">
        <v>11</v>
      </c>
      <c r="K552" s="12" t="str">
        <f t="shared" si="313"/>
        <v>2853_01_01_S4_EM01_01_M3</v>
      </c>
      <c r="L552">
        <v>30000</v>
      </c>
    </row>
    <row r="553" spans="1:12" ht="30" customHeight="1" x14ac:dyDescent="0.25">
      <c r="A553" s="12" t="str">
        <f t="shared" si="312"/>
        <v>ЩУкот (S4)</v>
      </c>
      <c r="B553" s="19"/>
      <c r="C553" s="20"/>
      <c r="D553" s="21"/>
      <c r="E553" s="23"/>
      <c r="F553" s="25"/>
      <c r="G553" s="24">
        <f ca="1">SUM(G543:G552)</f>
        <v>127065</v>
      </c>
      <c r="H553" s="20"/>
      <c r="I553" s="22"/>
      <c r="J553" s="20"/>
      <c r="K553" s="12" t="str">
        <f t="shared" si="313"/>
        <v>2853_01_01_S4_EM01_01_M3</v>
      </c>
      <c r="L553">
        <v>127065</v>
      </c>
    </row>
    <row r="554" spans="1:12" ht="39.75" customHeight="1" x14ac:dyDescent="0.25">
      <c r="A554" s="5" t="str">
        <f>D554</f>
        <v>ЩЭ-4 (S4)</v>
      </c>
      <c r="B554" s="6"/>
      <c r="C554" s="7"/>
      <c r="D554" s="6" t="s">
        <v>298</v>
      </c>
      <c r="E554" s="8"/>
      <c r="F554" s="8" t="s">
        <v>40</v>
      </c>
      <c r="G554" s="9"/>
      <c r="H554" s="10">
        <v>1</v>
      </c>
      <c r="I554" s="11" t="s">
        <v>7</v>
      </c>
      <c r="J554" s="6" t="s">
        <v>9</v>
      </c>
      <c r="K554" s="5" t="s">
        <v>155</v>
      </c>
    </row>
    <row r="555" spans="1:12" ht="21" hidden="1" customHeight="1" x14ac:dyDescent="0.25">
      <c r="A555" s="12" t="str">
        <f>A554</f>
        <v>ЩЭ-4 (S4)</v>
      </c>
      <c r="B555" s="13" t="s">
        <v>8</v>
      </c>
      <c r="C555" s="14" t="s">
        <v>341</v>
      </c>
      <c r="D555" s="12" t="s">
        <v>336</v>
      </c>
      <c r="E555" s="13">
        <v>89000</v>
      </c>
      <c r="F555" s="15">
        <f t="shared" ref="F555:F558" si="314">E555*0.6</f>
        <v>53400</v>
      </c>
      <c r="G555" s="15">
        <f t="shared" ref="G555:G561" si="315">H555*F555</f>
        <v>53400</v>
      </c>
      <c r="H555" s="16">
        <v>1</v>
      </c>
      <c r="I555" s="17" t="s">
        <v>13</v>
      </c>
      <c r="J555" s="13" t="s">
        <v>16</v>
      </c>
      <c r="K555" s="12" t="str">
        <f>K554</f>
        <v>2853_01_01_S4_EM01_01_M3</v>
      </c>
      <c r="L555">
        <v>53400</v>
      </c>
    </row>
    <row r="556" spans="1:12" ht="21" hidden="1" customHeight="1" x14ac:dyDescent="0.25">
      <c r="A556" s="12" t="str">
        <f t="shared" ref="A556:A562" si="316">A555</f>
        <v>ЩЭ-4 (S4)</v>
      </c>
      <c r="B556" s="13" t="s">
        <v>48</v>
      </c>
      <c r="C556" s="14" t="s">
        <v>202</v>
      </c>
      <c r="D556" s="12" t="s">
        <v>203</v>
      </c>
      <c r="E556" s="13">
        <v>1129</v>
      </c>
      <c r="F556" s="15">
        <f t="shared" si="314"/>
        <v>677.4</v>
      </c>
      <c r="G556" s="15">
        <f t="shared" si="315"/>
        <v>2709.6</v>
      </c>
      <c r="H556" s="16">
        <v>4</v>
      </c>
      <c r="I556" s="17" t="s">
        <v>13</v>
      </c>
      <c r="J556" s="13" t="s">
        <v>17</v>
      </c>
      <c r="K556" s="12" t="str">
        <f t="shared" ref="K556:K562" si="317">K555</f>
        <v>2853_01_01_S4_EM01_01_M3</v>
      </c>
      <c r="L556">
        <v>2709.6</v>
      </c>
    </row>
    <row r="557" spans="1:12" ht="21" hidden="1" customHeight="1" x14ac:dyDescent="0.25">
      <c r="A557" s="12" t="str">
        <f t="shared" si="316"/>
        <v>ЩЭ-4 (S4)</v>
      </c>
      <c r="B557" s="13" t="s">
        <v>21</v>
      </c>
      <c r="C557" s="14" t="s">
        <v>122</v>
      </c>
      <c r="D557" s="12" t="s">
        <v>123</v>
      </c>
      <c r="E557" s="13">
        <v>9380</v>
      </c>
      <c r="F557" s="15">
        <f t="shared" si="314"/>
        <v>5628</v>
      </c>
      <c r="G557" s="15">
        <f t="shared" si="315"/>
        <v>22512</v>
      </c>
      <c r="H557" s="16">
        <v>4</v>
      </c>
      <c r="I557" s="17" t="s">
        <v>13</v>
      </c>
      <c r="J557" s="13" t="s">
        <v>17</v>
      </c>
      <c r="K557" s="12" t="str">
        <f t="shared" si="317"/>
        <v>2853_01_01_S4_EM01_01_M3</v>
      </c>
      <c r="L557">
        <v>22512</v>
      </c>
    </row>
    <row r="558" spans="1:12" ht="22.5" hidden="1" customHeight="1" x14ac:dyDescent="0.25">
      <c r="A558" s="12" t="str">
        <f t="shared" si="316"/>
        <v>ЩЭ-4 (S4)</v>
      </c>
      <c r="B558" s="13" t="s">
        <v>141</v>
      </c>
      <c r="C558" s="14" t="s">
        <v>219</v>
      </c>
      <c r="D558" s="12" t="s">
        <v>220</v>
      </c>
      <c r="E558" s="13">
        <v>1738</v>
      </c>
      <c r="F558" s="15">
        <f t="shared" si="314"/>
        <v>1042.8</v>
      </c>
      <c r="G558" s="15">
        <f t="shared" si="315"/>
        <v>1042.8</v>
      </c>
      <c r="H558" s="16">
        <v>1</v>
      </c>
      <c r="I558" s="17" t="s">
        <v>13</v>
      </c>
      <c r="J558" s="13" t="s">
        <v>17</v>
      </c>
      <c r="K558" s="12" t="str">
        <f t="shared" si="317"/>
        <v>2853_01_01_S4_EM01_01_M3</v>
      </c>
      <c r="L558">
        <v>1042.8</v>
      </c>
    </row>
    <row r="559" spans="1:12" ht="22.5" hidden="1" customHeight="1" x14ac:dyDescent="0.25">
      <c r="A559" s="12" t="str">
        <f t="shared" si="316"/>
        <v>ЩЭ-4 (S4)</v>
      </c>
      <c r="B559" s="13" t="s">
        <v>18</v>
      </c>
      <c r="C559" s="14" t="s">
        <v>227</v>
      </c>
      <c r="D559" s="12" t="s">
        <v>228</v>
      </c>
      <c r="E559" s="13">
        <v>90000</v>
      </c>
      <c r="F559" s="15">
        <f t="shared" ref="F559" si="318">E559</f>
        <v>90000</v>
      </c>
      <c r="G559" s="15">
        <f t="shared" si="315"/>
        <v>360000</v>
      </c>
      <c r="H559" s="16">
        <v>4</v>
      </c>
      <c r="I559" s="17" t="s">
        <v>13</v>
      </c>
      <c r="J559" s="13" t="s">
        <v>24</v>
      </c>
      <c r="K559" s="12" t="str">
        <f t="shared" si="317"/>
        <v>2853_01_01_S4_EM01_01_M3</v>
      </c>
      <c r="L559">
        <v>360000</v>
      </c>
    </row>
    <row r="560" spans="1:12" ht="24" hidden="1" customHeight="1" x14ac:dyDescent="0.25">
      <c r="A560" s="12" t="str">
        <f t="shared" si="316"/>
        <v>ЩЭ-4 (S4)</v>
      </c>
      <c r="B560" s="12" t="s">
        <v>10</v>
      </c>
      <c r="C560" s="18" t="s">
        <v>10</v>
      </c>
      <c r="D560" s="12" t="s">
        <v>10</v>
      </c>
      <c r="E560" s="12">
        <f ca="1">OFFSET(E560,1,2)</f>
        <v>27000</v>
      </c>
      <c r="F560" s="15">
        <f ca="1">E560</f>
        <v>27000</v>
      </c>
      <c r="G560" s="15">
        <f t="shared" ca="1" si="315"/>
        <v>27000</v>
      </c>
      <c r="H560" s="12">
        <v>1</v>
      </c>
      <c r="I560" s="12" t="s">
        <v>13</v>
      </c>
      <c r="J560" s="12" t="s">
        <v>10</v>
      </c>
      <c r="K560" s="12" t="str">
        <f t="shared" si="317"/>
        <v>2853_01_01_S4_EM01_01_M3</v>
      </c>
      <c r="L560">
        <v>27000</v>
      </c>
    </row>
    <row r="561" spans="1:12" ht="21" hidden="1" customHeight="1" x14ac:dyDescent="0.25">
      <c r="A561" s="12" t="str">
        <f t="shared" si="316"/>
        <v>ЩЭ-4 (S4)</v>
      </c>
      <c r="B561" s="12" t="s">
        <v>11</v>
      </c>
      <c r="C561" s="18" t="s">
        <v>11</v>
      </c>
      <c r="D561" s="12" t="s">
        <v>11</v>
      </c>
      <c r="E561" s="12">
        <v>4.5</v>
      </c>
      <c r="F561" s="15">
        <v>100</v>
      </c>
      <c r="G561" s="15">
        <f t="shared" si="315"/>
        <v>27000</v>
      </c>
      <c r="H561" s="12">
        <f>60*E561</f>
        <v>270</v>
      </c>
      <c r="I561" s="12" t="s">
        <v>13</v>
      </c>
      <c r="J561" s="12" t="s">
        <v>11</v>
      </c>
      <c r="K561" s="12" t="str">
        <f t="shared" si="317"/>
        <v>2853_01_01_S4_EM01_01_M3</v>
      </c>
      <c r="L561">
        <v>27000</v>
      </c>
    </row>
    <row r="562" spans="1:12" ht="30" customHeight="1" x14ac:dyDescent="0.25">
      <c r="A562" s="12" t="str">
        <f t="shared" si="316"/>
        <v>ЩЭ-4 (S4)</v>
      </c>
      <c r="B562" s="19"/>
      <c r="C562" s="20"/>
      <c r="D562" s="21"/>
      <c r="E562" s="23"/>
      <c r="F562" s="25"/>
      <c r="G562" s="24">
        <f ca="1">SUM(G556:G561)</f>
        <v>440264.4</v>
      </c>
      <c r="H562" s="20"/>
      <c r="I562" s="22"/>
      <c r="J562" s="20"/>
      <c r="K562" s="12" t="str">
        <f t="shared" si="317"/>
        <v>2853_01_01_S4_EM01_01_M3</v>
      </c>
      <c r="L562">
        <v>440264.4</v>
      </c>
    </row>
    <row r="563" spans="1:12" ht="39.75" customHeight="1" x14ac:dyDescent="0.25">
      <c r="A563" s="5" t="str">
        <f>D563</f>
        <v>ЩЭ-5 (S4)</v>
      </c>
      <c r="B563" s="6"/>
      <c r="C563" s="7"/>
      <c r="D563" s="6" t="s">
        <v>299</v>
      </c>
      <c r="E563" s="8"/>
      <c r="F563" s="8" t="s">
        <v>40</v>
      </c>
      <c r="G563" s="9"/>
      <c r="H563" s="10">
        <v>8</v>
      </c>
      <c r="I563" s="11" t="s">
        <v>7</v>
      </c>
      <c r="J563" s="6" t="s">
        <v>9</v>
      </c>
      <c r="K563" s="5" t="s">
        <v>155</v>
      </c>
    </row>
    <row r="564" spans="1:12" ht="21" hidden="1" customHeight="1" x14ac:dyDescent="0.25">
      <c r="A564" s="12" t="str">
        <f>A563</f>
        <v>ЩЭ-5 (S4)</v>
      </c>
      <c r="B564" s="13" t="s">
        <v>8</v>
      </c>
      <c r="C564" s="14" t="s">
        <v>341</v>
      </c>
      <c r="D564" s="12" t="s">
        <v>336</v>
      </c>
      <c r="E564" s="13">
        <v>89000</v>
      </c>
      <c r="F564" s="15">
        <f t="shared" ref="F564:F567" si="319">E564*0.6</f>
        <v>53400</v>
      </c>
      <c r="G564" s="15">
        <f t="shared" ref="G564:G570" si="320">H564*F564</f>
        <v>53400</v>
      </c>
      <c r="H564" s="16">
        <v>1</v>
      </c>
      <c r="I564" s="17" t="s">
        <v>13</v>
      </c>
      <c r="J564" s="13" t="s">
        <v>16</v>
      </c>
      <c r="K564" s="12" t="str">
        <f>K563</f>
        <v>2853_01_01_S4_EM01_01_M3</v>
      </c>
      <c r="L564">
        <v>53400</v>
      </c>
    </row>
    <row r="565" spans="1:12" ht="21" hidden="1" customHeight="1" x14ac:dyDescent="0.25">
      <c r="A565" s="12" t="str">
        <f t="shared" ref="A565:A571" si="321">A564</f>
        <v>ЩЭ-5 (S4)</v>
      </c>
      <c r="B565" s="13" t="s">
        <v>48</v>
      </c>
      <c r="C565" s="14" t="s">
        <v>202</v>
      </c>
      <c r="D565" s="12" t="s">
        <v>203</v>
      </c>
      <c r="E565" s="13">
        <v>1129</v>
      </c>
      <c r="F565" s="15">
        <f t="shared" si="319"/>
        <v>677.4</v>
      </c>
      <c r="G565" s="15">
        <f t="shared" si="320"/>
        <v>3387</v>
      </c>
      <c r="H565" s="16">
        <v>5</v>
      </c>
      <c r="I565" s="17" t="s">
        <v>13</v>
      </c>
      <c r="J565" s="13" t="s">
        <v>17</v>
      </c>
      <c r="K565" s="12" t="str">
        <f t="shared" ref="K565:K571" si="322">K564</f>
        <v>2853_01_01_S4_EM01_01_M3</v>
      </c>
      <c r="L565">
        <v>3387</v>
      </c>
    </row>
    <row r="566" spans="1:12" ht="21" hidden="1" customHeight="1" x14ac:dyDescent="0.25">
      <c r="A566" s="12" t="str">
        <f t="shared" si="321"/>
        <v>ЩЭ-5 (S4)</v>
      </c>
      <c r="B566" s="13" t="s">
        <v>21</v>
      </c>
      <c r="C566" s="14" t="s">
        <v>122</v>
      </c>
      <c r="D566" s="12" t="s">
        <v>123</v>
      </c>
      <c r="E566" s="13">
        <v>9380</v>
      </c>
      <c r="F566" s="15">
        <f t="shared" si="319"/>
        <v>5628</v>
      </c>
      <c r="G566" s="15">
        <f t="shared" si="320"/>
        <v>28140</v>
      </c>
      <c r="H566" s="16">
        <v>5</v>
      </c>
      <c r="I566" s="17" t="s">
        <v>13</v>
      </c>
      <c r="J566" s="13" t="s">
        <v>17</v>
      </c>
      <c r="K566" s="12" t="str">
        <f t="shared" si="322"/>
        <v>2853_01_01_S4_EM01_01_M3</v>
      </c>
      <c r="L566">
        <v>28140</v>
      </c>
    </row>
    <row r="567" spans="1:12" ht="22.5" hidden="1" customHeight="1" x14ac:dyDescent="0.25">
      <c r="A567" s="12" t="str">
        <f t="shared" si="321"/>
        <v>ЩЭ-5 (S4)</v>
      </c>
      <c r="B567" s="13" t="s">
        <v>141</v>
      </c>
      <c r="C567" s="14" t="s">
        <v>219</v>
      </c>
      <c r="D567" s="12" t="s">
        <v>220</v>
      </c>
      <c r="E567" s="13">
        <v>1738</v>
      </c>
      <c r="F567" s="15">
        <f t="shared" si="319"/>
        <v>1042.8</v>
      </c>
      <c r="G567" s="15">
        <f t="shared" si="320"/>
        <v>1042.8</v>
      </c>
      <c r="H567" s="16">
        <v>1</v>
      </c>
      <c r="I567" s="17" t="s">
        <v>13</v>
      </c>
      <c r="J567" s="13" t="s">
        <v>17</v>
      </c>
      <c r="K567" s="12" t="str">
        <f t="shared" si="322"/>
        <v>2853_01_01_S4_EM01_01_M3</v>
      </c>
      <c r="L567">
        <v>1042.8</v>
      </c>
    </row>
    <row r="568" spans="1:12" ht="22.5" hidden="1" customHeight="1" x14ac:dyDescent="0.25">
      <c r="A568" s="12" t="str">
        <f t="shared" si="321"/>
        <v>ЩЭ-5 (S4)</v>
      </c>
      <c r="B568" s="13" t="s">
        <v>18</v>
      </c>
      <c r="C568" s="14" t="s">
        <v>227</v>
      </c>
      <c r="D568" s="12" t="s">
        <v>228</v>
      </c>
      <c r="E568" s="13">
        <v>90000</v>
      </c>
      <c r="F568" s="15">
        <f t="shared" ref="F568" si="323">E568</f>
        <v>90000</v>
      </c>
      <c r="G568" s="15">
        <f t="shared" si="320"/>
        <v>450000</v>
      </c>
      <c r="H568" s="16">
        <v>5</v>
      </c>
      <c r="I568" s="17" t="s">
        <v>13</v>
      </c>
      <c r="J568" s="13" t="s">
        <v>24</v>
      </c>
      <c r="K568" s="12" t="str">
        <f t="shared" si="322"/>
        <v>2853_01_01_S4_EM01_01_M3</v>
      </c>
      <c r="L568">
        <v>450000</v>
      </c>
    </row>
    <row r="569" spans="1:12" ht="24" hidden="1" customHeight="1" x14ac:dyDescent="0.25">
      <c r="A569" s="12" t="str">
        <f t="shared" si="321"/>
        <v>ЩЭ-5 (S4)</v>
      </c>
      <c r="B569" s="12" t="s">
        <v>10</v>
      </c>
      <c r="C569" s="18" t="s">
        <v>10</v>
      </c>
      <c r="D569" s="12" t="s">
        <v>10</v>
      </c>
      <c r="E569" s="12">
        <f ca="1">OFFSET(E569,1,2)</f>
        <v>27000</v>
      </c>
      <c r="F569" s="15">
        <f ca="1">E569</f>
        <v>27000</v>
      </c>
      <c r="G569" s="15">
        <f t="shared" ca="1" si="320"/>
        <v>27000</v>
      </c>
      <c r="H569" s="12">
        <v>1</v>
      </c>
      <c r="I569" s="12" t="s">
        <v>13</v>
      </c>
      <c r="J569" s="12" t="s">
        <v>10</v>
      </c>
      <c r="K569" s="12" t="str">
        <f t="shared" si="322"/>
        <v>2853_01_01_S4_EM01_01_M3</v>
      </c>
      <c r="L569">
        <v>27000</v>
      </c>
    </row>
    <row r="570" spans="1:12" ht="21" hidden="1" customHeight="1" x14ac:dyDescent="0.25">
      <c r="A570" s="12" t="str">
        <f t="shared" si="321"/>
        <v>ЩЭ-5 (S4)</v>
      </c>
      <c r="B570" s="12" t="s">
        <v>11</v>
      </c>
      <c r="C570" s="18" t="s">
        <v>11</v>
      </c>
      <c r="D570" s="12" t="s">
        <v>11</v>
      </c>
      <c r="E570" s="12">
        <v>4.5</v>
      </c>
      <c r="F570" s="15">
        <v>100</v>
      </c>
      <c r="G570" s="15">
        <f t="shared" si="320"/>
        <v>27000</v>
      </c>
      <c r="H570" s="12">
        <f>60*E570</f>
        <v>270</v>
      </c>
      <c r="I570" s="12" t="s">
        <v>13</v>
      </c>
      <c r="J570" s="12" t="s">
        <v>11</v>
      </c>
      <c r="K570" s="12" t="str">
        <f t="shared" si="322"/>
        <v>2853_01_01_S4_EM01_01_M3</v>
      </c>
      <c r="L570">
        <v>27000</v>
      </c>
    </row>
    <row r="571" spans="1:12" ht="30" customHeight="1" x14ac:dyDescent="0.25">
      <c r="A571" s="12" t="str">
        <f t="shared" si="321"/>
        <v>ЩЭ-5 (S4)</v>
      </c>
      <c r="B571" s="19"/>
      <c r="C571" s="20"/>
      <c r="D571" s="21"/>
      <c r="E571" s="23"/>
      <c r="F571" s="25"/>
      <c r="G571" s="24">
        <f ca="1">SUM(G565:G570)</f>
        <v>536569.80000000005</v>
      </c>
      <c r="H571" s="20"/>
      <c r="I571" s="22"/>
      <c r="J571" s="20"/>
      <c r="K571" s="12" t="str">
        <f t="shared" si="322"/>
        <v>2853_01_01_S4_EM01_01_M3</v>
      </c>
      <c r="L571">
        <v>536569.80000000005</v>
      </c>
    </row>
    <row r="572" spans="1:12" ht="39.75" customHeight="1" x14ac:dyDescent="0.25">
      <c r="A572" s="5" t="str">
        <f>D572</f>
        <v>ЩК1 (S4)</v>
      </c>
      <c r="B572" s="6"/>
      <c r="C572" s="7"/>
      <c r="D572" s="6" t="s">
        <v>300</v>
      </c>
      <c r="E572" s="8"/>
      <c r="F572" s="8" t="s">
        <v>40</v>
      </c>
      <c r="G572" s="9"/>
      <c r="H572" s="10">
        <v>44</v>
      </c>
      <c r="I572" s="11" t="s">
        <v>7</v>
      </c>
      <c r="J572" s="6" t="s">
        <v>9</v>
      </c>
      <c r="K572" s="5" t="s">
        <v>155</v>
      </c>
    </row>
    <row r="573" spans="1:12" ht="21" hidden="1" customHeight="1" x14ac:dyDescent="0.25">
      <c r="A573" s="12" t="str">
        <f>A572</f>
        <v>ЩК1 (S4)</v>
      </c>
      <c r="B573" s="13" t="s">
        <v>8</v>
      </c>
      <c r="C573" s="14" t="s">
        <v>233</v>
      </c>
      <c r="D573" s="12" t="s">
        <v>234</v>
      </c>
      <c r="E573" s="13">
        <v>10050</v>
      </c>
      <c r="F573" s="15">
        <f t="shared" ref="F573:F577" si="324">E573*0.6</f>
        <v>6030</v>
      </c>
      <c r="G573" s="15">
        <f t="shared" ref="G573:G579" si="325">H573*F573</f>
        <v>6030</v>
      </c>
      <c r="H573" s="16">
        <v>1</v>
      </c>
      <c r="I573" s="17" t="s">
        <v>13</v>
      </c>
      <c r="J573" s="13" t="s">
        <v>16</v>
      </c>
      <c r="K573" s="12" t="str">
        <f>K572</f>
        <v>2853_01_01_S4_EM01_01_M3</v>
      </c>
      <c r="L573">
        <v>6030</v>
      </c>
    </row>
    <row r="574" spans="1:12" ht="21" hidden="1" customHeight="1" x14ac:dyDescent="0.25">
      <c r="A574" s="12" t="str">
        <f t="shared" ref="A574:A580" si="326">A573</f>
        <v>ЩК1 (S4)</v>
      </c>
      <c r="B574" s="13" t="s">
        <v>21</v>
      </c>
      <c r="C574" s="14" t="s">
        <v>124</v>
      </c>
      <c r="D574" s="12" t="s">
        <v>125</v>
      </c>
      <c r="E574" s="13">
        <v>5632</v>
      </c>
      <c r="F574" s="15">
        <f t="shared" si="324"/>
        <v>3379.2</v>
      </c>
      <c r="G574" s="15">
        <f t="shared" si="325"/>
        <v>3379.2</v>
      </c>
      <c r="H574" s="16">
        <v>1</v>
      </c>
      <c r="I574" s="17" t="s">
        <v>13</v>
      </c>
      <c r="J574" s="13" t="s">
        <v>17</v>
      </c>
      <c r="K574" s="12" t="str">
        <f t="shared" ref="K574:K580" si="327">K573</f>
        <v>2853_01_01_S4_EM01_01_M3</v>
      </c>
      <c r="L574">
        <v>3379.2</v>
      </c>
    </row>
    <row r="575" spans="1:12" ht="21" hidden="1" customHeight="1" x14ac:dyDescent="0.25">
      <c r="A575" s="12" t="str">
        <f t="shared" si="326"/>
        <v>ЩК1 (S4)</v>
      </c>
      <c r="B575" s="13" t="s">
        <v>128</v>
      </c>
      <c r="C575" s="14" t="s">
        <v>126</v>
      </c>
      <c r="D575" s="12" t="s">
        <v>127</v>
      </c>
      <c r="E575" s="13">
        <v>7795</v>
      </c>
      <c r="F575" s="15">
        <f t="shared" si="324"/>
        <v>4677</v>
      </c>
      <c r="G575" s="15">
        <f t="shared" si="325"/>
        <v>4677</v>
      </c>
      <c r="H575" s="16">
        <v>1</v>
      </c>
      <c r="I575" s="17" t="s">
        <v>13</v>
      </c>
      <c r="J575" s="13" t="s">
        <v>17</v>
      </c>
      <c r="K575" s="12" t="str">
        <f t="shared" si="327"/>
        <v>2853_01_01_S4_EM01_01_M3</v>
      </c>
      <c r="L575">
        <v>4677</v>
      </c>
    </row>
    <row r="576" spans="1:12" ht="21" hidden="1" customHeight="1" x14ac:dyDescent="0.25">
      <c r="A576" s="12" t="str">
        <f t="shared" si="326"/>
        <v>ЩК1 (S4)</v>
      </c>
      <c r="B576" s="13" t="s">
        <v>12</v>
      </c>
      <c r="C576" s="14" t="s">
        <v>67</v>
      </c>
      <c r="D576" s="12" t="s">
        <v>68</v>
      </c>
      <c r="E576" s="13">
        <v>796</v>
      </c>
      <c r="F576" s="15">
        <f t="shared" si="324"/>
        <v>477.59999999999997</v>
      </c>
      <c r="G576" s="15">
        <f t="shared" si="325"/>
        <v>1910.3999999999999</v>
      </c>
      <c r="H576" s="16">
        <v>4</v>
      </c>
      <c r="I576" s="17" t="s">
        <v>13</v>
      </c>
      <c r="J576" s="13" t="s">
        <v>17</v>
      </c>
      <c r="K576" s="12" t="str">
        <f t="shared" si="327"/>
        <v>2853_01_01_S4_EM01_01_M3</v>
      </c>
      <c r="L576">
        <v>1910.3999999999999</v>
      </c>
    </row>
    <row r="577" spans="1:12" ht="21" hidden="1" customHeight="1" x14ac:dyDescent="0.25">
      <c r="A577" s="12" t="str">
        <f t="shared" si="326"/>
        <v>ЩК1 (S4)</v>
      </c>
      <c r="B577" s="13" t="s">
        <v>12</v>
      </c>
      <c r="C577" s="14" t="s">
        <v>36</v>
      </c>
      <c r="D577" s="12" t="s">
        <v>37</v>
      </c>
      <c r="E577" s="13">
        <v>783</v>
      </c>
      <c r="F577" s="15">
        <f t="shared" si="324"/>
        <v>469.79999999999995</v>
      </c>
      <c r="G577" s="15">
        <f t="shared" si="325"/>
        <v>469.79999999999995</v>
      </c>
      <c r="H577" s="16">
        <v>1</v>
      </c>
      <c r="I577" s="17" t="s">
        <v>13</v>
      </c>
      <c r="J577" s="13" t="s">
        <v>17</v>
      </c>
      <c r="K577" s="12" t="str">
        <f t="shared" si="327"/>
        <v>2853_01_01_S4_EM01_01_M3</v>
      </c>
      <c r="L577">
        <v>469.79999999999995</v>
      </c>
    </row>
    <row r="578" spans="1:12" ht="24" hidden="1" customHeight="1" x14ac:dyDescent="0.25">
      <c r="A578" s="12" t="str">
        <f t="shared" si="326"/>
        <v>ЩК1 (S4)</v>
      </c>
      <c r="B578" s="12" t="s">
        <v>10</v>
      </c>
      <c r="C578" s="18" t="s">
        <v>10</v>
      </c>
      <c r="D578" s="12" t="s">
        <v>10</v>
      </c>
      <c r="E578" s="12">
        <f ca="1">OFFSET(E578,1,2)</f>
        <v>4200</v>
      </c>
      <c r="F578" s="15">
        <f ca="1">E578</f>
        <v>4200</v>
      </c>
      <c r="G578" s="15">
        <f t="shared" ca="1" si="325"/>
        <v>4200</v>
      </c>
      <c r="H578" s="12">
        <v>1</v>
      </c>
      <c r="I578" s="12" t="s">
        <v>13</v>
      </c>
      <c r="J578" s="12" t="s">
        <v>10</v>
      </c>
      <c r="K578" s="12" t="str">
        <f t="shared" si="327"/>
        <v>2853_01_01_S4_EM01_01_M3</v>
      </c>
      <c r="L578">
        <v>4200</v>
      </c>
    </row>
    <row r="579" spans="1:12" ht="21" hidden="1" customHeight="1" x14ac:dyDescent="0.25">
      <c r="A579" s="12" t="str">
        <f t="shared" si="326"/>
        <v>ЩК1 (S4)</v>
      </c>
      <c r="B579" s="12" t="s">
        <v>11</v>
      </c>
      <c r="C579" s="18" t="s">
        <v>11</v>
      </c>
      <c r="D579" s="12" t="s">
        <v>11</v>
      </c>
      <c r="E579" s="12">
        <v>0.7</v>
      </c>
      <c r="F579" s="15">
        <v>100</v>
      </c>
      <c r="G579" s="15">
        <f t="shared" si="325"/>
        <v>4200</v>
      </c>
      <c r="H579" s="12">
        <f>60*E579</f>
        <v>42</v>
      </c>
      <c r="I579" s="12" t="s">
        <v>13</v>
      </c>
      <c r="J579" s="12" t="s">
        <v>11</v>
      </c>
      <c r="K579" s="12" t="str">
        <f t="shared" si="327"/>
        <v>2853_01_01_S4_EM01_01_M3</v>
      </c>
      <c r="L579">
        <v>4200</v>
      </c>
    </row>
    <row r="580" spans="1:12" ht="30" customHeight="1" x14ac:dyDescent="0.25">
      <c r="A580" s="12" t="str">
        <f t="shared" si="326"/>
        <v>ЩК1 (S4)</v>
      </c>
      <c r="B580" s="19"/>
      <c r="C580" s="20"/>
      <c r="D580" s="21"/>
      <c r="E580" s="23"/>
      <c r="F580" s="25"/>
      <c r="G580" s="24">
        <f ca="1">SUM(G573:G579)</f>
        <v>24866.400000000001</v>
      </c>
      <c r="H580" s="20"/>
      <c r="I580" s="22"/>
      <c r="J580" s="20"/>
      <c r="K580" s="12" t="str">
        <f t="shared" si="327"/>
        <v>2853_01_01_S4_EM01_01_M3</v>
      </c>
      <c r="L580">
        <v>24866.400000000001</v>
      </c>
    </row>
    <row r="581" spans="1:12" ht="39.75" customHeight="1" x14ac:dyDescent="0.25">
      <c r="A581" s="5" t="str">
        <f>D581</f>
        <v>ЩР-4.1 (S4)</v>
      </c>
      <c r="B581" s="6"/>
      <c r="C581" s="7"/>
      <c r="D581" s="6" t="s">
        <v>301</v>
      </c>
      <c r="E581" s="8"/>
      <c r="F581" s="8" t="s">
        <v>40</v>
      </c>
      <c r="G581" s="9"/>
      <c r="H581" s="10">
        <v>1</v>
      </c>
      <c r="I581" s="11" t="s">
        <v>7</v>
      </c>
      <c r="J581" s="6" t="s">
        <v>9</v>
      </c>
      <c r="K581" s="5" t="s">
        <v>155</v>
      </c>
    </row>
    <row r="582" spans="1:12" ht="20.25" hidden="1" customHeight="1" x14ac:dyDescent="0.25">
      <c r="A582" s="12" t="str">
        <f>A581</f>
        <v>ЩР-4.1 (S4)</v>
      </c>
      <c r="B582" s="13" t="s">
        <v>8</v>
      </c>
      <c r="C582" s="14" t="s">
        <v>345</v>
      </c>
      <c r="D582" s="12" t="s">
        <v>346</v>
      </c>
      <c r="E582" s="13">
        <v>10620</v>
      </c>
      <c r="F582" s="15">
        <f t="shared" ref="F582:F583" si="328">E582*0.6</f>
        <v>6372</v>
      </c>
      <c r="G582" s="15">
        <f t="shared" ref="G582:G585" si="329">H582*F582</f>
        <v>6372</v>
      </c>
      <c r="H582" s="16">
        <v>1</v>
      </c>
      <c r="I582" s="17" t="s">
        <v>13</v>
      </c>
      <c r="J582" s="13" t="s">
        <v>16</v>
      </c>
      <c r="K582" s="12" t="str">
        <f>K581</f>
        <v>2853_01_01_S4_EM01_01_M3</v>
      </c>
      <c r="L582">
        <v>6372</v>
      </c>
    </row>
    <row r="583" spans="1:12" ht="21" hidden="1" customHeight="1" x14ac:dyDescent="0.25">
      <c r="A583" s="12" t="str">
        <f t="shared" ref="A583:A586" si="330">A582</f>
        <v>ЩР-4.1 (S4)</v>
      </c>
      <c r="B583" s="13" t="s">
        <v>48</v>
      </c>
      <c r="C583" s="14" t="s">
        <v>73</v>
      </c>
      <c r="D583" s="12" t="s">
        <v>74</v>
      </c>
      <c r="E583" s="13">
        <v>4334</v>
      </c>
      <c r="F583" s="15">
        <f t="shared" si="328"/>
        <v>2600.4</v>
      </c>
      <c r="G583" s="15">
        <f t="shared" si="329"/>
        <v>2600.4</v>
      </c>
      <c r="H583" s="16">
        <v>1</v>
      </c>
      <c r="I583" s="17" t="s">
        <v>13</v>
      </c>
      <c r="J583" s="13" t="s">
        <v>17</v>
      </c>
      <c r="K583" s="12" t="str">
        <f t="shared" ref="K583:K586" si="331">K582</f>
        <v>2853_01_01_S4_EM01_01_M3</v>
      </c>
      <c r="L583">
        <v>2600.4</v>
      </c>
    </row>
    <row r="584" spans="1:12" ht="24" hidden="1" customHeight="1" x14ac:dyDescent="0.25">
      <c r="A584" s="12" t="str">
        <f t="shared" si="330"/>
        <v>ЩР-4.1 (S4)</v>
      </c>
      <c r="B584" s="12" t="s">
        <v>10</v>
      </c>
      <c r="C584" s="18" t="s">
        <v>10</v>
      </c>
      <c r="D584" s="12" t="s">
        <v>10</v>
      </c>
      <c r="E584" s="12">
        <f ca="1">OFFSET(E584,1,2)</f>
        <v>60</v>
      </c>
      <c r="F584" s="15">
        <f ca="1">E584</f>
        <v>60</v>
      </c>
      <c r="G584" s="15">
        <f t="shared" ca="1" si="329"/>
        <v>60</v>
      </c>
      <c r="H584" s="12">
        <v>1</v>
      </c>
      <c r="I584" s="12" t="s">
        <v>13</v>
      </c>
      <c r="J584" s="12" t="s">
        <v>10</v>
      </c>
      <c r="K584" s="12" t="str">
        <f t="shared" si="331"/>
        <v>2853_01_01_S4_EM01_01_M3</v>
      </c>
      <c r="L584">
        <v>60</v>
      </c>
    </row>
    <row r="585" spans="1:12" ht="21" hidden="1" customHeight="1" x14ac:dyDescent="0.25">
      <c r="A585" s="12" t="str">
        <f t="shared" si="330"/>
        <v>ЩР-4.1 (S4)</v>
      </c>
      <c r="B585" s="12" t="s">
        <v>11</v>
      </c>
      <c r="C585" s="18" t="s">
        <v>11</v>
      </c>
      <c r="D585" s="12" t="s">
        <v>11</v>
      </c>
      <c r="E585" s="12">
        <v>0.01</v>
      </c>
      <c r="F585" s="15">
        <v>100</v>
      </c>
      <c r="G585" s="15">
        <f t="shared" si="329"/>
        <v>60</v>
      </c>
      <c r="H585" s="12">
        <f>60*E585</f>
        <v>0.6</v>
      </c>
      <c r="I585" s="12" t="s">
        <v>13</v>
      </c>
      <c r="J585" s="12" t="s">
        <v>11</v>
      </c>
      <c r="K585" s="12" t="str">
        <f t="shared" si="331"/>
        <v>2853_01_01_S4_EM01_01_M3</v>
      </c>
      <c r="L585">
        <v>60</v>
      </c>
    </row>
    <row r="586" spans="1:12" ht="30" customHeight="1" x14ac:dyDescent="0.25">
      <c r="A586" s="12" t="str">
        <f t="shared" si="330"/>
        <v>ЩР-4.1 (S4)</v>
      </c>
      <c r="B586" s="19"/>
      <c r="C586" s="20"/>
      <c r="D586" s="21"/>
      <c r="E586" s="23"/>
      <c r="F586" s="25"/>
      <c r="G586" s="24">
        <f ca="1">SUM(G582:G585)</f>
        <v>9092.4</v>
      </c>
      <c r="H586" s="20"/>
      <c r="I586" s="22"/>
      <c r="J586" s="20"/>
      <c r="K586" s="12" t="str">
        <f t="shared" si="331"/>
        <v>2853_01_01_S4_EM01_01_M3</v>
      </c>
      <c r="L586">
        <v>9092.4</v>
      </c>
    </row>
    <row r="587" spans="1:12" ht="39.75" customHeight="1" x14ac:dyDescent="0.25">
      <c r="A587" s="5" t="str">
        <f>D587</f>
        <v>ЩР-4.2 (S4)</v>
      </c>
      <c r="B587" s="6"/>
      <c r="C587" s="7"/>
      <c r="D587" s="6" t="s">
        <v>302</v>
      </c>
      <c r="E587" s="8"/>
      <c r="F587" s="8" t="s">
        <v>40</v>
      </c>
      <c r="G587" s="9"/>
      <c r="H587" s="10">
        <v>1</v>
      </c>
      <c r="I587" s="11" t="s">
        <v>7</v>
      </c>
      <c r="J587" s="6" t="s">
        <v>9</v>
      </c>
      <c r="K587" s="5" t="s">
        <v>155</v>
      </c>
    </row>
    <row r="588" spans="1:12" ht="21" hidden="1" customHeight="1" x14ac:dyDescent="0.25">
      <c r="A588" s="12" t="str">
        <f>A587</f>
        <v>ЩР-4.2 (S4)</v>
      </c>
      <c r="B588" s="13" t="s">
        <v>8</v>
      </c>
      <c r="C588" s="14" t="s">
        <v>345</v>
      </c>
      <c r="D588" s="12" t="s">
        <v>346</v>
      </c>
      <c r="E588" s="13">
        <v>10620</v>
      </c>
      <c r="F588" s="15">
        <f t="shared" ref="F588:F589" si="332">E588*0.6</f>
        <v>6372</v>
      </c>
      <c r="G588" s="15">
        <f t="shared" ref="G588:G591" si="333">H588*F588</f>
        <v>6372</v>
      </c>
      <c r="H588" s="16">
        <v>1</v>
      </c>
      <c r="I588" s="17" t="s">
        <v>13</v>
      </c>
      <c r="J588" s="13" t="s">
        <v>16</v>
      </c>
      <c r="K588" s="12" t="str">
        <f>K587</f>
        <v>2853_01_01_S4_EM01_01_M3</v>
      </c>
      <c r="L588">
        <v>6372</v>
      </c>
    </row>
    <row r="589" spans="1:12" ht="21" hidden="1" customHeight="1" x14ac:dyDescent="0.25">
      <c r="A589" s="12" t="str">
        <f>A587</f>
        <v>ЩР-4.2 (S4)</v>
      </c>
      <c r="B589" s="13" t="s">
        <v>48</v>
      </c>
      <c r="C589" s="14" t="s">
        <v>49</v>
      </c>
      <c r="D589" s="12" t="s">
        <v>50</v>
      </c>
      <c r="E589" s="13">
        <v>3372</v>
      </c>
      <c r="F589" s="15">
        <f t="shared" si="332"/>
        <v>2023.1999999999998</v>
      </c>
      <c r="G589" s="15">
        <f t="shared" si="333"/>
        <v>2023.1999999999998</v>
      </c>
      <c r="H589" s="16">
        <v>1</v>
      </c>
      <c r="I589" s="17" t="s">
        <v>13</v>
      </c>
      <c r="J589" s="13" t="s">
        <v>17</v>
      </c>
      <c r="K589" s="12" t="str">
        <f t="shared" ref="K589" si="334">K587</f>
        <v>2853_01_01_S4_EM01_01_M3</v>
      </c>
      <c r="L589">
        <v>2023.1999999999998</v>
      </c>
    </row>
    <row r="590" spans="1:12" ht="24" hidden="1" customHeight="1" x14ac:dyDescent="0.25">
      <c r="A590" s="12" t="str">
        <f t="shared" ref="A590:A592" si="335">A589</f>
        <v>ЩР-4.2 (S4)</v>
      </c>
      <c r="B590" s="12" t="s">
        <v>10</v>
      </c>
      <c r="C590" s="18" t="s">
        <v>10</v>
      </c>
      <c r="D590" s="12" t="s">
        <v>10</v>
      </c>
      <c r="E590" s="12">
        <f ca="1">OFFSET(E590,1,2)</f>
        <v>60</v>
      </c>
      <c r="F590" s="15">
        <f ca="1">E590</f>
        <v>60</v>
      </c>
      <c r="G590" s="15">
        <f t="shared" ca="1" si="333"/>
        <v>60</v>
      </c>
      <c r="H590" s="12">
        <v>1</v>
      </c>
      <c r="I590" s="12" t="s">
        <v>13</v>
      </c>
      <c r="J590" s="12" t="s">
        <v>10</v>
      </c>
      <c r="K590" s="12" t="str">
        <f>K589</f>
        <v>2853_01_01_S4_EM01_01_M3</v>
      </c>
      <c r="L590">
        <v>60</v>
      </c>
    </row>
    <row r="591" spans="1:12" ht="21" hidden="1" customHeight="1" x14ac:dyDescent="0.25">
      <c r="A591" s="12" t="str">
        <f t="shared" si="335"/>
        <v>ЩР-4.2 (S4)</v>
      </c>
      <c r="B591" s="12" t="s">
        <v>11</v>
      </c>
      <c r="C591" s="18" t="s">
        <v>11</v>
      </c>
      <c r="D591" s="12" t="s">
        <v>11</v>
      </c>
      <c r="E591" s="12">
        <v>0.01</v>
      </c>
      <c r="F591" s="15">
        <v>100</v>
      </c>
      <c r="G591" s="15">
        <f t="shared" si="333"/>
        <v>60</v>
      </c>
      <c r="H591" s="12">
        <f>60*E591</f>
        <v>0.6</v>
      </c>
      <c r="I591" s="12" t="s">
        <v>13</v>
      </c>
      <c r="J591" s="12" t="s">
        <v>11</v>
      </c>
      <c r="K591" s="12" t="str">
        <f t="shared" ref="K591:K592" si="336">K590</f>
        <v>2853_01_01_S4_EM01_01_M3</v>
      </c>
      <c r="L591">
        <v>60</v>
      </c>
    </row>
    <row r="592" spans="1:12" ht="30" customHeight="1" x14ac:dyDescent="0.25">
      <c r="A592" s="12" t="str">
        <f t="shared" si="335"/>
        <v>ЩР-4.2 (S4)</v>
      </c>
      <c r="B592" s="19"/>
      <c r="C592" s="20"/>
      <c r="D592" s="21"/>
      <c r="E592" s="23"/>
      <c r="F592" s="25"/>
      <c r="G592" s="24">
        <f ca="1">SUM(G588:G591)</f>
        <v>8515.2000000000007</v>
      </c>
      <c r="H592" s="20"/>
      <c r="I592" s="22"/>
      <c r="J592" s="20"/>
      <c r="K592" s="12" t="str">
        <f t="shared" si="336"/>
        <v>2853_01_01_S4_EM01_01_M3</v>
      </c>
      <c r="L592">
        <v>8515.2000000000007</v>
      </c>
    </row>
    <row r="593" spans="1:12" ht="39.75" customHeight="1" x14ac:dyDescent="0.25">
      <c r="A593" s="5" t="str">
        <f>D593</f>
        <v>ЯТП-0,25-23УЗ (ЯТП 220/36В) (S5)</v>
      </c>
      <c r="B593" s="6"/>
      <c r="C593" s="7"/>
      <c r="D593" s="6" t="s">
        <v>328</v>
      </c>
      <c r="E593" s="8"/>
      <c r="F593" s="8"/>
      <c r="G593" s="9"/>
      <c r="H593" s="10">
        <v>3</v>
      </c>
      <c r="I593" s="11" t="s">
        <v>7</v>
      </c>
      <c r="J593" s="6" t="s">
        <v>9</v>
      </c>
      <c r="K593" s="5" t="s">
        <v>155</v>
      </c>
    </row>
    <row r="594" spans="1:12" ht="39.75" customHeight="1" x14ac:dyDescent="0.25">
      <c r="A594" s="5" t="str">
        <f>D594</f>
        <v>ЩО-5бл.с Фотореле (S5)</v>
      </c>
      <c r="B594" s="6"/>
      <c r="C594" s="7"/>
      <c r="D594" s="6" t="s">
        <v>367</v>
      </c>
      <c r="E594" s="8"/>
      <c r="F594" s="8" t="s">
        <v>40</v>
      </c>
      <c r="G594" s="9"/>
      <c r="H594" s="10">
        <v>1</v>
      </c>
      <c r="I594" s="11" t="s">
        <v>7</v>
      </c>
      <c r="J594" s="6" t="s">
        <v>9</v>
      </c>
      <c r="K594" s="5" t="s">
        <v>158</v>
      </c>
    </row>
    <row r="595" spans="1:12" ht="21" hidden="1" customHeight="1" x14ac:dyDescent="0.25">
      <c r="A595" s="12" t="str">
        <f>A594</f>
        <v>ЩО-5бл.с Фотореле (S5)</v>
      </c>
      <c r="B595" s="13" t="s">
        <v>8</v>
      </c>
      <c r="C595" s="14" t="s">
        <v>237</v>
      </c>
      <c r="D595" s="12" t="s">
        <v>238</v>
      </c>
      <c r="E595" s="13">
        <v>11700</v>
      </c>
      <c r="F595" s="15">
        <f>E595*0.6</f>
        <v>7020</v>
      </c>
      <c r="G595" s="15">
        <f t="shared" ref="G595:G600" si="337">H595*F595</f>
        <v>7020</v>
      </c>
      <c r="H595" s="16">
        <v>1</v>
      </c>
      <c r="I595" s="17" t="s">
        <v>13</v>
      </c>
      <c r="J595" s="13" t="s">
        <v>244</v>
      </c>
      <c r="K595" s="12" t="str">
        <f>K594</f>
        <v>2853_01_01_S5_EM01_01_M3</v>
      </c>
      <c r="L595">
        <v>7020</v>
      </c>
    </row>
    <row r="596" spans="1:12" ht="21" hidden="1" customHeight="1" x14ac:dyDescent="0.25">
      <c r="A596" s="12" t="str">
        <f t="shared" ref="A596:A601" si="338">A595</f>
        <v>ЩО-5бл.с Фотореле (S5)</v>
      </c>
      <c r="B596" s="13" t="s">
        <v>48</v>
      </c>
      <c r="C596" s="14" t="s">
        <v>49</v>
      </c>
      <c r="D596" s="12" t="s">
        <v>50</v>
      </c>
      <c r="E596" s="13">
        <v>3372</v>
      </c>
      <c r="F596" s="15">
        <f t="shared" ref="F596:F597" si="339">E596*0.6</f>
        <v>2023.1999999999998</v>
      </c>
      <c r="G596" s="15">
        <f t="shared" si="337"/>
        <v>2023.1999999999998</v>
      </c>
      <c r="H596" s="16">
        <v>1</v>
      </c>
      <c r="I596" s="17" t="s">
        <v>13</v>
      </c>
      <c r="J596" s="13" t="s">
        <v>17</v>
      </c>
      <c r="K596" s="12" t="str">
        <f t="shared" ref="K596:K601" si="340">K595</f>
        <v>2853_01_01_S5_EM01_01_M3</v>
      </c>
      <c r="L596">
        <v>2023.1999999999998</v>
      </c>
    </row>
    <row r="597" spans="1:12" ht="21" hidden="1" customHeight="1" x14ac:dyDescent="0.25">
      <c r="A597" s="12" t="str">
        <f t="shared" si="338"/>
        <v>ЩО-5бл.с Фотореле (S5)</v>
      </c>
      <c r="B597" s="13" t="s">
        <v>12</v>
      </c>
      <c r="C597" s="14" t="s">
        <v>19</v>
      </c>
      <c r="D597" s="12" t="s">
        <v>20</v>
      </c>
      <c r="E597" s="13">
        <v>975</v>
      </c>
      <c r="F597" s="15">
        <f t="shared" si="339"/>
        <v>585</v>
      </c>
      <c r="G597" s="15">
        <f t="shared" si="337"/>
        <v>4095</v>
      </c>
      <c r="H597" s="16">
        <v>7</v>
      </c>
      <c r="I597" s="17" t="s">
        <v>13</v>
      </c>
      <c r="J597" s="13" t="s">
        <v>17</v>
      </c>
      <c r="K597" s="12" t="str">
        <f t="shared" si="340"/>
        <v>2853_01_01_S5_EM01_01_M3</v>
      </c>
      <c r="L597">
        <v>4095</v>
      </c>
    </row>
    <row r="598" spans="1:12" ht="21" hidden="1" customHeight="1" x14ac:dyDescent="0.25">
      <c r="A598" s="12" t="str">
        <f t="shared" si="338"/>
        <v>ЩО-5бл.с Фотореле (S5)</v>
      </c>
      <c r="B598" s="13" t="s">
        <v>143</v>
      </c>
      <c r="C598" s="12" t="s">
        <v>170</v>
      </c>
      <c r="D598" s="12" t="s">
        <v>351</v>
      </c>
      <c r="E598" s="13">
        <v>6500</v>
      </c>
      <c r="F598" s="15">
        <f t="shared" ref="F598" si="341">E598</f>
        <v>6500</v>
      </c>
      <c r="G598" s="15">
        <f t="shared" si="337"/>
        <v>6500</v>
      </c>
      <c r="H598" s="16">
        <v>1</v>
      </c>
      <c r="I598" s="17" t="s">
        <v>13</v>
      </c>
      <c r="J598" s="13" t="s">
        <v>24</v>
      </c>
      <c r="K598" s="12" t="str">
        <f t="shared" si="340"/>
        <v>2853_01_01_S5_EM01_01_M3</v>
      </c>
      <c r="L598">
        <v>6500</v>
      </c>
    </row>
    <row r="599" spans="1:12" ht="24" hidden="1" customHeight="1" x14ac:dyDescent="0.25">
      <c r="A599" s="12" t="str">
        <f>A597</f>
        <v>ЩО-5бл.с Фотореле (S5)</v>
      </c>
      <c r="B599" s="12" t="s">
        <v>10</v>
      </c>
      <c r="C599" s="18" t="s">
        <v>10</v>
      </c>
      <c r="D599" s="12" t="s">
        <v>10</v>
      </c>
      <c r="E599" s="12">
        <f ca="1">OFFSET(E599,1,2)</f>
        <v>12000</v>
      </c>
      <c r="F599" s="15">
        <f ca="1">E599</f>
        <v>12000</v>
      </c>
      <c r="G599" s="15">
        <f t="shared" ca="1" si="337"/>
        <v>12000</v>
      </c>
      <c r="H599" s="12">
        <v>1</v>
      </c>
      <c r="I599" s="12" t="s">
        <v>13</v>
      </c>
      <c r="J599" s="12" t="s">
        <v>10</v>
      </c>
      <c r="K599" s="12" t="str">
        <f>K597</f>
        <v>2853_01_01_S5_EM01_01_M3</v>
      </c>
      <c r="L599">
        <v>12000</v>
      </c>
    </row>
    <row r="600" spans="1:12" ht="21" hidden="1" customHeight="1" x14ac:dyDescent="0.25">
      <c r="A600" s="12" t="str">
        <f t="shared" si="338"/>
        <v>ЩО-5бл.с Фотореле (S5)</v>
      </c>
      <c r="B600" s="12" t="s">
        <v>11</v>
      </c>
      <c r="C600" s="18" t="s">
        <v>11</v>
      </c>
      <c r="D600" s="12" t="s">
        <v>11</v>
      </c>
      <c r="E600" s="12">
        <v>2</v>
      </c>
      <c r="F600" s="15">
        <v>100</v>
      </c>
      <c r="G600" s="15">
        <f t="shared" si="337"/>
        <v>12000</v>
      </c>
      <c r="H600" s="12">
        <f>60*E600</f>
        <v>120</v>
      </c>
      <c r="I600" s="12" t="s">
        <v>13</v>
      </c>
      <c r="J600" s="12" t="s">
        <v>11</v>
      </c>
      <c r="K600" s="12" t="str">
        <f t="shared" si="340"/>
        <v>2853_01_01_S5_EM01_01_M3</v>
      </c>
      <c r="L600">
        <v>12000</v>
      </c>
    </row>
    <row r="601" spans="1:12" ht="30" customHeight="1" x14ac:dyDescent="0.25">
      <c r="A601" s="12" t="str">
        <f t="shared" si="338"/>
        <v>ЩО-5бл.с Фотореле (S5)</v>
      </c>
      <c r="B601" s="19"/>
      <c r="C601" s="20"/>
      <c r="D601" s="21"/>
      <c r="E601" s="23"/>
      <c r="F601" s="25"/>
      <c r="G601" s="24">
        <f ca="1">SUM(G595:G600)</f>
        <v>43638.2</v>
      </c>
      <c r="H601" s="20"/>
      <c r="I601" s="22"/>
      <c r="J601" s="20"/>
      <c r="K601" s="12" t="str">
        <f t="shared" si="340"/>
        <v>2853_01_01_S5_EM01_01_M3</v>
      </c>
      <c r="L601">
        <v>43638.2</v>
      </c>
    </row>
    <row r="602" spans="1:12" ht="39.75" customHeight="1" x14ac:dyDescent="0.25">
      <c r="A602" s="5" t="str">
        <f>D602</f>
        <v>ЩАО-5бл. (S5)</v>
      </c>
      <c r="B602" s="6"/>
      <c r="C602" s="7"/>
      <c r="D602" s="6" t="s">
        <v>303</v>
      </c>
      <c r="E602" s="8"/>
      <c r="F602" s="8" t="s">
        <v>40</v>
      </c>
      <c r="G602" s="9"/>
      <c r="H602" s="10">
        <v>1</v>
      </c>
      <c r="I602" s="11" t="s">
        <v>7</v>
      </c>
      <c r="J602" s="6" t="s">
        <v>9</v>
      </c>
      <c r="K602" s="5" t="s">
        <v>158</v>
      </c>
    </row>
    <row r="603" spans="1:12" ht="21" hidden="1" customHeight="1" x14ac:dyDescent="0.25">
      <c r="A603" s="12" t="str">
        <f>A602</f>
        <v>ЩАО-5бл. (S5)</v>
      </c>
      <c r="B603" s="13" t="s">
        <v>8</v>
      </c>
      <c r="C603" s="14" t="s">
        <v>237</v>
      </c>
      <c r="D603" s="12" t="s">
        <v>238</v>
      </c>
      <c r="E603" s="13">
        <v>11700</v>
      </c>
      <c r="F603" s="15">
        <f>E603*0.6</f>
        <v>7020</v>
      </c>
      <c r="G603" s="15">
        <f t="shared" ref="G603:G608" si="342">H603*F603</f>
        <v>7020</v>
      </c>
      <c r="H603" s="16">
        <v>1</v>
      </c>
      <c r="I603" s="17" t="s">
        <v>13</v>
      </c>
      <c r="J603" s="13" t="s">
        <v>244</v>
      </c>
      <c r="K603" s="12" t="str">
        <f>K602</f>
        <v>2853_01_01_S5_EM01_01_M3</v>
      </c>
      <c r="L603">
        <v>7020</v>
      </c>
    </row>
    <row r="604" spans="1:12" ht="21" hidden="1" customHeight="1" x14ac:dyDescent="0.25">
      <c r="A604" s="12" t="str">
        <f t="shared" ref="A604:A609" si="343">A603</f>
        <v>ЩАО-5бл. (S5)</v>
      </c>
      <c r="B604" s="13" t="s">
        <v>48</v>
      </c>
      <c r="C604" s="14" t="s">
        <v>49</v>
      </c>
      <c r="D604" s="12" t="s">
        <v>50</v>
      </c>
      <c r="E604" s="13">
        <v>3372</v>
      </c>
      <c r="F604" s="15">
        <f t="shared" ref="F604:F605" si="344">E604*0.6</f>
        <v>2023.1999999999998</v>
      </c>
      <c r="G604" s="15">
        <f t="shared" si="342"/>
        <v>2023.1999999999998</v>
      </c>
      <c r="H604" s="16">
        <v>1</v>
      </c>
      <c r="I604" s="17" t="s">
        <v>13</v>
      </c>
      <c r="J604" s="13" t="s">
        <v>17</v>
      </c>
      <c r="K604" s="12" t="str">
        <f t="shared" ref="K604:K609" si="345">K603</f>
        <v>2853_01_01_S5_EM01_01_M3</v>
      </c>
      <c r="L604">
        <v>2023.1999999999998</v>
      </c>
    </row>
    <row r="605" spans="1:12" ht="21" hidden="1" customHeight="1" x14ac:dyDescent="0.25">
      <c r="A605" s="12" t="str">
        <f t="shared" si="343"/>
        <v>ЩАО-5бл. (S5)</v>
      </c>
      <c r="B605" s="13" t="s">
        <v>12</v>
      </c>
      <c r="C605" s="14" t="s">
        <v>19</v>
      </c>
      <c r="D605" s="12" t="s">
        <v>20</v>
      </c>
      <c r="E605" s="13">
        <v>975</v>
      </c>
      <c r="F605" s="15">
        <f t="shared" si="344"/>
        <v>585</v>
      </c>
      <c r="G605" s="15">
        <f t="shared" si="342"/>
        <v>3510</v>
      </c>
      <c r="H605" s="16">
        <v>6</v>
      </c>
      <c r="I605" s="17" t="s">
        <v>13</v>
      </c>
      <c r="J605" s="13" t="s">
        <v>17</v>
      </c>
      <c r="K605" s="12" t="str">
        <f t="shared" si="345"/>
        <v>2853_01_01_S5_EM01_01_M3</v>
      </c>
      <c r="L605">
        <v>3510</v>
      </c>
    </row>
    <row r="606" spans="1:12" ht="21" hidden="1" customHeight="1" x14ac:dyDescent="0.25">
      <c r="A606" s="12" t="str">
        <f t="shared" si="343"/>
        <v>ЩАО-5бл. (S5)</v>
      </c>
      <c r="B606" s="13" t="s">
        <v>143</v>
      </c>
      <c r="C606" s="12" t="s">
        <v>170</v>
      </c>
      <c r="D606" s="12" t="s">
        <v>351</v>
      </c>
      <c r="E606" s="13">
        <v>6500</v>
      </c>
      <c r="F606" s="15">
        <f t="shared" ref="F606" si="346">E606</f>
        <v>6500</v>
      </c>
      <c r="G606" s="15">
        <f t="shared" si="342"/>
        <v>6500</v>
      </c>
      <c r="H606" s="16">
        <v>1</v>
      </c>
      <c r="I606" s="17" t="s">
        <v>13</v>
      </c>
      <c r="J606" s="13" t="s">
        <v>24</v>
      </c>
      <c r="K606" s="12" t="str">
        <f t="shared" si="345"/>
        <v>2853_01_01_S5_EM01_01_M3</v>
      </c>
      <c r="L606">
        <v>6500</v>
      </c>
    </row>
    <row r="607" spans="1:12" ht="24" hidden="1" customHeight="1" x14ac:dyDescent="0.25">
      <c r="A607" s="12" t="str">
        <f>A605</f>
        <v>ЩАО-5бл. (S5)</v>
      </c>
      <c r="B607" s="12" t="s">
        <v>10</v>
      </c>
      <c r="C607" s="18" t="s">
        <v>10</v>
      </c>
      <c r="D607" s="12" t="s">
        <v>10</v>
      </c>
      <c r="E607" s="12">
        <f ca="1">OFFSET(E607,1,2)</f>
        <v>4200</v>
      </c>
      <c r="F607" s="15">
        <f ca="1">E607</f>
        <v>4200</v>
      </c>
      <c r="G607" s="15">
        <f t="shared" ca="1" si="342"/>
        <v>4200</v>
      </c>
      <c r="H607" s="12">
        <v>1</v>
      </c>
      <c r="I607" s="12" t="s">
        <v>13</v>
      </c>
      <c r="J607" s="12" t="s">
        <v>10</v>
      </c>
      <c r="K607" s="12" t="str">
        <f>K605</f>
        <v>2853_01_01_S5_EM01_01_M3</v>
      </c>
      <c r="L607">
        <v>4200</v>
      </c>
    </row>
    <row r="608" spans="1:12" ht="21" hidden="1" customHeight="1" x14ac:dyDescent="0.25">
      <c r="A608" s="12" t="str">
        <f t="shared" si="343"/>
        <v>ЩАО-5бл. (S5)</v>
      </c>
      <c r="B608" s="12" t="s">
        <v>11</v>
      </c>
      <c r="C608" s="18" t="s">
        <v>11</v>
      </c>
      <c r="D608" s="12" t="s">
        <v>11</v>
      </c>
      <c r="E608" s="12">
        <v>0.7</v>
      </c>
      <c r="F608" s="15">
        <v>100</v>
      </c>
      <c r="G608" s="15">
        <f t="shared" si="342"/>
        <v>4200</v>
      </c>
      <c r="H608" s="12">
        <f>60*E608</f>
        <v>42</v>
      </c>
      <c r="I608" s="12" t="s">
        <v>13</v>
      </c>
      <c r="J608" s="12" t="s">
        <v>11</v>
      </c>
      <c r="K608" s="12" t="str">
        <f t="shared" si="345"/>
        <v>2853_01_01_S5_EM01_01_M3</v>
      </c>
      <c r="L608">
        <v>4200</v>
      </c>
    </row>
    <row r="609" spans="1:12" ht="30" customHeight="1" x14ac:dyDescent="0.25">
      <c r="A609" s="12" t="str">
        <f t="shared" si="343"/>
        <v>ЩАО-5бл. (S5)</v>
      </c>
      <c r="B609" s="19"/>
      <c r="C609" s="20"/>
      <c r="D609" s="21"/>
      <c r="E609" s="23"/>
      <c r="F609" s="25"/>
      <c r="G609" s="24">
        <f ca="1">SUM(G603:G608)</f>
        <v>27453.200000000001</v>
      </c>
      <c r="H609" s="20"/>
      <c r="I609" s="22"/>
      <c r="J609" s="20"/>
      <c r="K609" s="12" t="str">
        <f t="shared" si="345"/>
        <v>2853_01_01_S5_EM01_01_M3</v>
      </c>
      <c r="L609">
        <v>27453.200000000001</v>
      </c>
    </row>
    <row r="610" spans="1:12" ht="39.75" customHeight="1" x14ac:dyDescent="0.25">
      <c r="A610" s="5" t="str">
        <f>D610</f>
        <v>ЩСС-5бл. (S5)</v>
      </c>
      <c r="B610" s="6"/>
      <c r="C610" s="7"/>
      <c r="D610" s="6" t="s">
        <v>304</v>
      </c>
      <c r="E610" s="8"/>
      <c r="F610" s="8" t="s">
        <v>40</v>
      </c>
      <c r="G610" s="9"/>
      <c r="H610" s="10">
        <v>1</v>
      </c>
      <c r="I610" s="11" t="s">
        <v>7</v>
      </c>
      <c r="J610" s="6" t="s">
        <v>9</v>
      </c>
      <c r="K610" s="5" t="s">
        <v>158</v>
      </c>
    </row>
    <row r="611" spans="1:12" ht="21" hidden="1" customHeight="1" x14ac:dyDescent="0.25">
      <c r="A611" s="12" t="str">
        <f>A610</f>
        <v>ЩСС-5бл. (S5)</v>
      </c>
      <c r="B611" s="13" t="s">
        <v>8</v>
      </c>
      <c r="C611" s="14" t="s">
        <v>239</v>
      </c>
      <c r="D611" s="12" t="s">
        <v>240</v>
      </c>
      <c r="E611" s="13">
        <v>8990</v>
      </c>
      <c r="F611" s="15">
        <f>E611*0.6</f>
        <v>5394</v>
      </c>
      <c r="G611" s="15">
        <f t="shared" ref="G611:G616" si="347">H611*F611</f>
        <v>5394</v>
      </c>
      <c r="H611" s="16">
        <v>1</v>
      </c>
      <c r="I611" s="17" t="s">
        <v>13</v>
      </c>
      <c r="J611" s="13" t="s">
        <v>244</v>
      </c>
      <c r="K611" s="12" t="str">
        <f>K610</f>
        <v>2853_01_01_S5_EM01_01_M3</v>
      </c>
      <c r="L611">
        <v>5394</v>
      </c>
    </row>
    <row r="612" spans="1:12" ht="21" hidden="1" customHeight="1" x14ac:dyDescent="0.25">
      <c r="A612" s="12" t="str">
        <f t="shared" ref="A612:A617" si="348">A611</f>
        <v>ЩСС-5бл. (S5)</v>
      </c>
      <c r="B612" s="13" t="s">
        <v>48</v>
      </c>
      <c r="C612" s="14" t="s">
        <v>49</v>
      </c>
      <c r="D612" s="12" t="s">
        <v>50</v>
      </c>
      <c r="E612" s="13">
        <v>3372</v>
      </c>
      <c r="F612" s="15">
        <f t="shared" ref="F612:F614" si="349">E612*0.6</f>
        <v>2023.1999999999998</v>
      </c>
      <c r="G612" s="15">
        <f t="shared" si="347"/>
        <v>2023.1999999999998</v>
      </c>
      <c r="H612" s="16">
        <v>1</v>
      </c>
      <c r="I612" s="17" t="s">
        <v>13</v>
      </c>
      <c r="J612" s="13" t="s">
        <v>17</v>
      </c>
      <c r="K612" s="12" t="str">
        <f t="shared" ref="K612:K617" si="350">K611</f>
        <v>2853_01_01_S5_EM01_01_M3</v>
      </c>
      <c r="L612">
        <v>2023.1999999999998</v>
      </c>
    </row>
    <row r="613" spans="1:12" ht="21" hidden="1" customHeight="1" x14ac:dyDescent="0.25">
      <c r="A613" s="12" t="str">
        <f>A611</f>
        <v>ЩСС-5бл. (S5)</v>
      </c>
      <c r="B613" s="13" t="s">
        <v>21</v>
      </c>
      <c r="C613" s="14" t="s">
        <v>111</v>
      </c>
      <c r="D613" s="12" t="s">
        <v>112</v>
      </c>
      <c r="E613" s="13">
        <v>5719</v>
      </c>
      <c r="F613" s="15">
        <f t="shared" si="349"/>
        <v>3431.4</v>
      </c>
      <c r="G613" s="15">
        <f t="shared" si="347"/>
        <v>10294.200000000001</v>
      </c>
      <c r="H613" s="16">
        <v>3</v>
      </c>
      <c r="I613" s="17" t="s">
        <v>13</v>
      </c>
      <c r="J613" s="13" t="s">
        <v>17</v>
      </c>
      <c r="K613" s="12" t="str">
        <f>K611</f>
        <v>2853_01_01_S5_EM01_01_M3</v>
      </c>
      <c r="L613">
        <v>10294.200000000001</v>
      </c>
    </row>
    <row r="614" spans="1:12" ht="21" hidden="1" customHeight="1" x14ac:dyDescent="0.25">
      <c r="A614" s="12" t="str">
        <f>A611</f>
        <v>ЩСС-5бл. (S5)</v>
      </c>
      <c r="B614" s="13" t="s">
        <v>12</v>
      </c>
      <c r="C614" s="14" t="s">
        <v>46</v>
      </c>
      <c r="D614" s="12" t="s">
        <v>47</v>
      </c>
      <c r="E614" s="13">
        <v>783</v>
      </c>
      <c r="F614" s="15">
        <f t="shared" si="349"/>
        <v>469.79999999999995</v>
      </c>
      <c r="G614" s="15">
        <f t="shared" si="347"/>
        <v>469.79999999999995</v>
      </c>
      <c r="H614" s="16">
        <v>1</v>
      </c>
      <c r="I614" s="17" t="s">
        <v>13</v>
      </c>
      <c r="J614" s="13" t="s">
        <v>17</v>
      </c>
      <c r="K614" s="12" t="str">
        <f>K611</f>
        <v>2853_01_01_S5_EM01_01_M3</v>
      </c>
      <c r="L614">
        <v>469.79999999999995</v>
      </c>
    </row>
    <row r="615" spans="1:12" ht="24" hidden="1" customHeight="1" x14ac:dyDescent="0.25">
      <c r="A615" s="12" t="str">
        <f t="shared" si="348"/>
        <v>ЩСС-5бл. (S5)</v>
      </c>
      <c r="B615" s="12" t="s">
        <v>10</v>
      </c>
      <c r="C615" s="18" t="s">
        <v>10</v>
      </c>
      <c r="D615" s="12" t="s">
        <v>10</v>
      </c>
      <c r="E615" s="12">
        <f ca="1">OFFSET(E615,1,2)</f>
        <v>3000</v>
      </c>
      <c r="F615" s="15">
        <f ca="1">E615</f>
        <v>3000</v>
      </c>
      <c r="G615" s="15">
        <f t="shared" ca="1" si="347"/>
        <v>3000</v>
      </c>
      <c r="H615" s="12">
        <v>1</v>
      </c>
      <c r="I615" s="12" t="s">
        <v>13</v>
      </c>
      <c r="J615" s="12" t="s">
        <v>10</v>
      </c>
      <c r="K615" s="12" t="str">
        <f t="shared" si="350"/>
        <v>2853_01_01_S5_EM01_01_M3</v>
      </c>
      <c r="L615">
        <v>3000</v>
      </c>
    </row>
    <row r="616" spans="1:12" ht="21" hidden="1" customHeight="1" x14ac:dyDescent="0.25">
      <c r="A616" s="12" t="str">
        <f t="shared" si="348"/>
        <v>ЩСС-5бл. (S5)</v>
      </c>
      <c r="B616" s="12" t="s">
        <v>11</v>
      </c>
      <c r="C616" s="18" t="s">
        <v>11</v>
      </c>
      <c r="D616" s="12" t="s">
        <v>11</v>
      </c>
      <c r="E616" s="12">
        <v>0.5</v>
      </c>
      <c r="F616" s="15">
        <v>100</v>
      </c>
      <c r="G616" s="15">
        <f t="shared" si="347"/>
        <v>3000</v>
      </c>
      <c r="H616" s="12">
        <f>60*E616</f>
        <v>30</v>
      </c>
      <c r="I616" s="12" t="s">
        <v>13</v>
      </c>
      <c r="J616" s="12" t="s">
        <v>11</v>
      </c>
      <c r="K616" s="12" t="str">
        <f t="shared" si="350"/>
        <v>2853_01_01_S5_EM01_01_M3</v>
      </c>
      <c r="L616">
        <v>3000</v>
      </c>
    </row>
    <row r="617" spans="1:12" ht="30" customHeight="1" x14ac:dyDescent="0.25">
      <c r="A617" s="12" t="str">
        <f t="shared" si="348"/>
        <v>ЩСС-5бл. (S5)</v>
      </c>
      <c r="B617" s="19"/>
      <c r="C617" s="20"/>
      <c r="D617" s="21"/>
      <c r="E617" s="23"/>
      <c r="F617" s="25"/>
      <c r="G617" s="24">
        <f ca="1">SUM(G611:G616)</f>
        <v>24181.200000000001</v>
      </c>
      <c r="H617" s="20"/>
      <c r="I617" s="22"/>
      <c r="J617" s="20"/>
      <c r="K617" s="12" t="str">
        <f t="shared" si="350"/>
        <v>2853_01_01_S5_EM01_01_M3</v>
      </c>
      <c r="L617">
        <v>24181.200000000001</v>
      </c>
    </row>
    <row r="618" spans="1:12" ht="39.75" customHeight="1" x14ac:dyDescent="0.25">
      <c r="A618" s="5" t="str">
        <f>D618</f>
        <v>ЩС-5бл.  (S5)</v>
      </c>
      <c r="B618" s="6"/>
      <c r="C618" s="7"/>
      <c r="D618" s="6" t="s">
        <v>305</v>
      </c>
      <c r="E618" s="8"/>
      <c r="F618" s="8" t="s">
        <v>40</v>
      </c>
      <c r="G618" s="9"/>
      <c r="H618" s="10">
        <v>1</v>
      </c>
      <c r="I618" s="11" t="s">
        <v>7</v>
      </c>
      <c r="J618" s="6" t="s">
        <v>9</v>
      </c>
      <c r="K618" s="5" t="s">
        <v>158</v>
      </c>
    </row>
    <row r="619" spans="1:12" ht="21" hidden="1" customHeight="1" x14ac:dyDescent="0.25">
      <c r="A619" s="12" t="str">
        <f>A618</f>
        <v>ЩС-5бл.  (S5)</v>
      </c>
      <c r="B619" s="13" t="s">
        <v>8</v>
      </c>
      <c r="C619" s="14" t="s">
        <v>241</v>
      </c>
      <c r="D619" s="12" t="s">
        <v>242</v>
      </c>
      <c r="E619" s="13">
        <v>14900</v>
      </c>
      <c r="F619" s="15">
        <f>E619*0.6</f>
        <v>8940</v>
      </c>
      <c r="G619" s="15">
        <f t="shared" ref="G619:G625" si="351">H619*F619</f>
        <v>8940</v>
      </c>
      <c r="H619" s="16">
        <v>1</v>
      </c>
      <c r="I619" s="17" t="s">
        <v>13</v>
      </c>
      <c r="J619" s="13" t="s">
        <v>244</v>
      </c>
      <c r="K619" s="12" t="str">
        <f>K618</f>
        <v>2853_01_01_S5_EM01_01_M3</v>
      </c>
      <c r="L619">
        <v>8940</v>
      </c>
    </row>
    <row r="620" spans="1:12" ht="21" hidden="1" customHeight="1" x14ac:dyDescent="0.25">
      <c r="A620" s="12" t="str">
        <f t="shared" ref="A620" si="352">A619</f>
        <v>ЩС-5бл.  (S5)</v>
      </c>
      <c r="B620" s="13" t="s">
        <v>48</v>
      </c>
      <c r="C620" s="14" t="s">
        <v>51</v>
      </c>
      <c r="D620" s="12" t="s">
        <v>52</v>
      </c>
      <c r="E620" s="13">
        <v>3372</v>
      </c>
      <c r="F620" s="15">
        <f t="shared" ref="F620:F623" si="353">E620*0.6</f>
        <v>2023.1999999999998</v>
      </c>
      <c r="G620" s="15">
        <f t="shared" si="351"/>
        <v>2023.1999999999998</v>
      </c>
      <c r="H620" s="16">
        <v>1</v>
      </c>
      <c r="I620" s="17" t="s">
        <v>13</v>
      </c>
      <c r="J620" s="13" t="s">
        <v>17</v>
      </c>
      <c r="K620" s="12" t="str">
        <f t="shared" ref="K620" si="354">K619</f>
        <v>2853_01_01_S5_EM01_01_M3</v>
      </c>
      <c r="L620">
        <v>2023.1999999999998</v>
      </c>
    </row>
    <row r="621" spans="1:12" ht="21" hidden="1" customHeight="1" x14ac:dyDescent="0.25">
      <c r="A621" s="12" t="str">
        <f>A619</f>
        <v>ЩС-5бл.  (S5)</v>
      </c>
      <c r="B621" s="13" t="s">
        <v>21</v>
      </c>
      <c r="C621" s="14" t="s">
        <v>42</v>
      </c>
      <c r="D621" s="12" t="s">
        <v>43</v>
      </c>
      <c r="E621" s="13">
        <v>5104</v>
      </c>
      <c r="F621" s="15">
        <f t="shared" si="353"/>
        <v>3062.4</v>
      </c>
      <c r="G621" s="15">
        <f t="shared" si="351"/>
        <v>9187.2000000000007</v>
      </c>
      <c r="H621" s="16">
        <v>3</v>
      </c>
      <c r="I621" s="17" t="s">
        <v>13</v>
      </c>
      <c r="J621" s="13" t="s">
        <v>17</v>
      </c>
      <c r="K621" s="12" t="str">
        <f>K619</f>
        <v>2853_01_01_S5_EM01_01_M3</v>
      </c>
      <c r="L621">
        <v>9187.2000000000007</v>
      </c>
    </row>
    <row r="622" spans="1:12" ht="21" hidden="1" customHeight="1" x14ac:dyDescent="0.25">
      <c r="A622" s="12" t="str">
        <f>A620</f>
        <v>ЩС-5бл.  (S5)</v>
      </c>
      <c r="B622" s="13" t="s">
        <v>12</v>
      </c>
      <c r="C622" s="14" t="s">
        <v>46</v>
      </c>
      <c r="D622" s="12" t="s">
        <v>47</v>
      </c>
      <c r="E622" s="13">
        <v>783</v>
      </c>
      <c r="F622" s="15">
        <f t="shared" si="353"/>
        <v>469.79999999999995</v>
      </c>
      <c r="G622" s="15">
        <f t="shared" si="351"/>
        <v>469.79999999999995</v>
      </c>
      <c r="H622" s="16">
        <v>1</v>
      </c>
      <c r="I622" s="17" t="s">
        <v>13</v>
      </c>
      <c r="J622" s="13" t="s">
        <v>17</v>
      </c>
      <c r="K622" s="12" t="str">
        <f>K620</f>
        <v>2853_01_01_S5_EM01_01_M3</v>
      </c>
      <c r="L622">
        <v>469.79999999999995</v>
      </c>
    </row>
    <row r="623" spans="1:12" ht="21" hidden="1" customHeight="1" x14ac:dyDescent="0.25">
      <c r="A623" s="12" t="str">
        <f>A621</f>
        <v>ЩС-5бл.  (S5)</v>
      </c>
      <c r="B623" s="13" t="s">
        <v>119</v>
      </c>
      <c r="C623" s="14" t="s">
        <v>115</v>
      </c>
      <c r="D623" s="12" t="s">
        <v>116</v>
      </c>
      <c r="E623" s="13">
        <v>5354</v>
      </c>
      <c r="F623" s="15">
        <f t="shared" si="353"/>
        <v>3212.4</v>
      </c>
      <c r="G623" s="15">
        <f t="shared" si="351"/>
        <v>3212.4</v>
      </c>
      <c r="H623" s="16">
        <v>1</v>
      </c>
      <c r="I623" s="17" t="s">
        <v>13</v>
      </c>
      <c r="J623" s="13" t="s">
        <v>17</v>
      </c>
      <c r="K623" s="12" t="str">
        <f>K621</f>
        <v>2853_01_01_S5_EM01_01_M3</v>
      </c>
      <c r="L623">
        <v>3212.4</v>
      </c>
    </row>
    <row r="624" spans="1:12" ht="24" hidden="1" customHeight="1" x14ac:dyDescent="0.25">
      <c r="A624" s="12" t="str">
        <f>A620</f>
        <v>ЩС-5бл.  (S5)</v>
      </c>
      <c r="B624" s="12" t="s">
        <v>10</v>
      </c>
      <c r="C624" s="18" t="s">
        <v>10</v>
      </c>
      <c r="D624" s="12" t="s">
        <v>10</v>
      </c>
      <c r="E624" s="12">
        <f ca="1">OFFSET(E624,1,2)</f>
        <v>4200</v>
      </c>
      <c r="F624" s="15">
        <f ca="1">E624</f>
        <v>4200</v>
      </c>
      <c r="G624" s="15">
        <f t="shared" ca="1" si="351"/>
        <v>4200</v>
      </c>
      <c r="H624" s="12">
        <v>1</v>
      </c>
      <c r="I624" s="12" t="s">
        <v>13</v>
      </c>
      <c r="J624" s="12" t="s">
        <v>10</v>
      </c>
      <c r="K624" s="12" t="str">
        <f>K620</f>
        <v>2853_01_01_S5_EM01_01_M3</v>
      </c>
      <c r="L624">
        <v>4200</v>
      </c>
    </row>
    <row r="625" spans="1:12" ht="21" hidden="1" customHeight="1" x14ac:dyDescent="0.25">
      <c r="A625" s="12" t="str">
        <f t="shared" ref="A625:A626" si="355">A624</f>
        <v>ЩС-5бл.  (S5)</v>
      </c>
      <c r="B625" s="12" t="s">
        <v>11</v>
      </c>
      <c r="C625" s="18" t="s">
        <v>11</v>
      </c>
      <c r="D625" s="12" t="s">
        <v>11</v>
      </c>
      <c r="E625" s="12">
        <v>0.7</v>
      </c>
      <c r="F625" s="15">
        <v>100</v>
      </c>
      <c r="G625" s="15">
        <f t="shared" si="351"/>
        <v>4200</v>
      </c>
      <c r="H625" s="12">
        <f>60*E625</f>
        <v>42</v>
      </c>
      <c r="I625" s="12" t="s">
        <v>13</v>
      </c>
      <c r="J625" s="12" t="s">
        <v>11</v>
      </c>
      <c r="K625" s="12" t="str">
        <f t="shared" ref="K625:K626" si="356">K624</f>
        <v>2853_01_01_S5_EM01_01_M3</v>
      </c>
      <c r="L625">
        <v>4200</v>
      </c>
    </row>
    <row r="626" spans="1:12" ht="30" customHeight="1" x14ac:dyDescent="0.25">
      <c r="A626" s="12" t="str">
        <f t="shared" si="355"/>
        <v>ЩС-5бл.  (S5)</v>
      </c>
      <c r="B626" s="19"/>
      <c r="C626" s="20"/>
      <c r="D626" s="21"/>
      <c r="E626" s="23"/>
      <c r="F626" s="25"/>
      <c r="G626" s="24">
        <f ca="1">SUM(G619:G625)</f>
        <v>32232.600000000002</v>
      </c>
      <c r="H626" s="20"/>
      <c r="I626" s="22"/>
      <c r="J626" s="20"/>
      <c r="K626" s="12" t="str">
        <f t="shared" si="356"/>
        <v>2853_01_01_S5_EM01_01_M3</v>
      </c>
      <c r="L626">
        <v>32232.600000000002</v>
      </c>
    </row>
    <row r="627" spans="1:12" ht="39.75" customHeight="1" x14ac:dyDescent="0.25">
      <c r="A627" s="5" t="str">
        <f>D627</f>
        <v>ЩСН-5бл. (S5)</v>
      </c>
      <c r="B627" s="6"/>
      <c r="C627" s="7"/>
      <c r="D627" s="6" t="s">
        <v>306</v>
      </c>
      <c r="E627" s="8"/>
      <c r="F627" s="8" t="s">
        <v>40</v>
      </c>
      <c r="G627" s="9"/>
      <c r="H627" s="10">
        <v>1</v>
      </c>
      <c r="I627" s="11" t="s">
        <v>7</v>
      </c>
      <c r="J627" s="6" t="s">
        <v>9</v>
      </c>
      <c r="K627" s="5" t="s">
        <v>158</v>
      </c>
    </row>
    <row r="628" spans="1:12" ht="21" hidden="1" customHeight="1" x14ac:dyDescent="0.25">
      <c r="A628" s="12" t="str">
        <f>A627</f>
        <v>ЩСН-5бл. (S5)</v>
      </c>
      <c r="B628" s="13" t="s">
        <v>8</v>
      </c>
      <c r="C628" s="14" t="s">
        <v>239</v>
      </c>
      <c r="D628" s="12" t="s">
        <v>240</v>
      </c>
      <c r="E628" s="13">
        <v>8990</v>
      </c>
      <c r="F628" s="15">
        <f>E628*0.6</f>
        <v>5394</v>
      </c>
      <c r="G628" s="15">
        <f t="shared" ref="G628:G633" si="357">H628*F628</f>
        <v>5394</v>
      </c>
      <c r="H628" s="16">
        <v>1</v>
      </c>
      <c r="I628" s="17" t="s">
        <v>13</v>
      </c>
      <c r="J628" s="13" t="s">
        <v>244</v>
      </c>
      <c r="K628" s="12" t="str">
        <f>K627</f>
        <v>2853_01_01_S5_EM01_01_M3</v>
      </c>
      <c r="L628">
        <v>5394</v>
      </c>
    </row>
    <row r="629" spans="1:12" ht="21" hidden="1" customHeight="1" x14ac:dyDescent="0.25">
      <c r="A629" s="12" t="str">
        <f t="shared" ref="A629:A634" si="358">A628</f>
        <v>ЩСН-5бл. (S5)</v>
      </c>
      <c r="B629" s="13" t="s">
        <v>48</v>
      </c>
      <c r="C629" s="14" t="s">
        <v>49</v>
      </c>
      <c r="D629" s="12" t="s">
        <v>50</v>
      </c>
      <c r="E629" s="13">
        <v>3372</v>
      </c>
      <c r="F629" s="15">
        <f t="shared" ref="F629:F631" si="359">E629*0.6</f>
        <v>2023.1999999999998</v>
      </c>
      <c r="G629" s="15">
        <f t="shared" si="357"/>
        <v>2023.1999999999998</v>
      </c>
      <c r="H629" s="16">
        <v>1</v>
      </c>
      <c r="I629" s="17" t="s">
        <v>13</v>
      </c>
      <c r="J629" s="13" t="s">
        <v>17</v>
      </c>
      <c r="K629" s="12" t="str">
        <f t="shared" ref="K629:K634" si="360">K628</f>
        <v>2853_01_01_S5_EM01_01_M3</v>
      </c>
      <c r="L629">
        <v>2023.1999999999998</v>
      </c>
    </row>
    <row r="630" spans="1:12" ht="21" hidden="1" customHeight="1" x14ac:dyDescent="0.25">
      <c r="A630" s="12" t="str">
        <f>A628</f>
        <v>ЩСН-5бл. (S5)</v>
      </c>
      <c r="B630" s="13" t="s">
        <v>12</v>
      </c>
      <c r="C630" s="14" t="s">
        <v>151</v>
      </c>
      <c r="D630" s="12" t="s">
        <v>152</v>
      </c>
      <c r="E630" s="13">
        <v>3604</v>
      </c>
      <c r="F630" s="15">
        <f t="shared" si="359"/>
        <v>2162.4</v>
      </c>
      <c r="G630" s="15">
        <f t="shared" si="357"/>
        <v>2162.4</v>
      </c>
      <c r="H630" s="16">
        <v>1</v>
      </c>
      <c r="I630" s="17" t="s">
        <v>13</v>
      </c>
      <c r="J630" s="13" t="s">
        <v>17</v>
      </c>
      <c r="K630" s="12" t="str">
        <f>K628</f>
        <v>2853_01_01_S5_EM01_01_M3</v>
      </c>
      <c r="L630">
        <v>2162.4</v>
      </c>
    </row>
    <row r="631" spans="1:12" ht="21" hidden="1" customHeight="1" x14ac:dyDescent="0.25">
      <c r="A631" s="12" t="str">
        <f t="shared" ref="A631" si="361">A630</f>
        <v>ЩСН-5бл. (S5)</v>
      </c>
      <c r="B631" s="13" t="s">
        <v>12</v>
      </c>
      <c r="C631" s="14" t="s">
        <v>19</v>
      </c>
      <c r="D631" s="12" t="s">
        <v>20</v>
      </c>
      <c r="E631" s="13">
        <v>975</v>
      </c>
      <c r="F631" s="15">
        <f t="shared" si="359"/>
        <v>585</v>
      </c>
      <c r="G631" s="15">
        <f t="shared" si="357"/>
        <v>1170</v>
      </c>
      <c r="H631" s="16">
        <v>2</v>
      </c>
      <c r="I631" s="17" t="s">
        <v>13</v>
      </c>
      <c r="J631" s="13" t="s">
        <v>17</v>
      </c>
      <c r="K631" s="12" t="str">
        <f t="shared" ref="K631" si="362">K630</f>
        <v>2853_01_01_S5_EM01_01_M3</v>
      </c>
      <c r="L631">
        <v>1170</v>
      </c>
    </row>
    <row r="632" spans="1:12" ht="24" hidden="1" customHeight="1" x14ac:dyDescent="0.25">
      <c r="A632" s="12" t="str">
        <f t="shared" si="358"/>
        <v>ЩСН-5бл. (S5)</v>
      </c>
      <c r="B632" s="12" t="s">
        <v>10</v>
      </c>
      <c r="C632" s="18" t="s">
        <v>10</v>
      </c>
      <c r="D632" s="12" t="s">
        <v>10</v>
      </c>
      <c r="E632" s="12">
        <f ca="1">OFFSET(E632,1,2)</f>
        <v>3000</v>
      </c>
      <c r="F632" s="15">
        <f ca="1">E632</f>
        <v>3000</v>
      </c>
      <c r="G632" s="15">
        <f t="shared" ca="1" si="357"/>
        <v>3000</v>
      </c>
      <c r="H632" s="12">
        <v>1</v>
      </c>
      <c r="I632" s="12" t="s">
        <v>13</v>
      </c>
      <c r="J632" s="12" t="s">
        <v>10</v>
      </c>
      <c r="K632" s="12" t="str">
        <f t="shared" si="360"/>
        <v>2853_01_01_S5_EM01_01_M3</v>
      </c>
      <c r="L632">
        <v>3000</v>
      </c>
    </row>
    <row r="633" spans="1:12" ht="21" hidden="1" customHeight="1" x14ac:dyDescent="0.25">
      <c r="A633" s="12" t="str">
        <f t="shared" si="358"/>
        <v>ЩСН-5бл. (S5)</v>
      </c>
      <c r="B633" s="12" t="s">
        <v>11</v>
      </c>
      <c r="C633" s="18" t="s">
        <v>11</v>
      </c>
      <c r="D633" s="12" t="s">
        <v>11</v>
      </c>
      <c r="E633" s="12">
        <v>0.5</v>
      </c>
      <c r="F633" s="15">
        <v>100</v>
      </c>
      <c r="G633" s="15">
        <f t="shared" si="357"/>
        <v>3000</v>
      </c>
      <c r="H633" s="12">
        <f>60*E633</f>
        <v>30</v>
      </c>
      <c r="I633" s="12" t="s">
        <v>13</v>
      </c>
      <c r="J633" s="12" t="s">
        <v>11</v>
      </c>
      <c r="K633" s="12" t="str">
        <f t="shared" si="360"/>
        <v>2853_01_01_S5_EM01_01_M3</v>
      </c>
      <c r="L633">
        <v>3000</v>
      </c>
    </row>
    <row r="634" spans="1:12" ht="30" customHeight="1" x14ac:dyDescent="0.25">
      <c r="A634" s="12" t="str">
        <f t="shared" si="358"/>
        <v>ЩСН-5бл. (S5)</v>
      </c>
      <c r="B634" s="19"/>
      <c r="C634" s="20"/>
      <c r="D634" s="21"/>
      <c r="E634" s="23"/>
      <c r="F634" s="25"/>
      <c r="G634" s="24">
        <f ca="1">SUM(G628:G633)</f>
        <v>16749.599999999999</v>
      </c>
      <c r="H634" s="20"/>
      <c r="I634" s="22"/>
      <c r="J634" s="20"/>
      <c r="K634" s="12" t="str">
        <f t="shared" si="360"/>
        <v>2853_01_01_S5_EM01_01_M3</v>
      </c>
      <c r="L634">
        <v>16749.599999999999</v>
      </c>
    </row>
    <row r="635" spans="1:12" ht="39.75" customHeight="1" x14ac:dyDescent="0.25">
      <c r="A635" s="5" t="str">
        <f>D635</f>
        <v>ЩЭ-4 (5бл)  (S5)</v>
      </c>
      <c r="B635" s="6"/>
      <c r="C635" s="7"/>
      <c r="D635" s="6" t="s">
        <v>307</v>
      </c>
      <c r="E635" s="8"/>
      <c r="F635" s="8" t="s">
        <v>40</v>
      </c>
      <c r="G635" s="9"/>
      <c r="H635" s="10">
        <v>8</v>
      </c>
      <c r="I635" s="11" t="s">
        <v>7</v>
      </c>
      <c r="J635" s="6" t="s">
        <v>9</v>
      </c>
      <c r="K635" s="5" t="s">
        <v>158</v>
      </c>
    </row>
    <row r="636" spans="1:12" ht="21" hidden="1" customHeight="1" x14ac:dyDescent="0.25">
      <c r="A636" s="12" t="str">
        <f>A635</f>
        <v>ЩЭ-4 (5бл)  (S5)</v>
      </c>
      <c r="B636" s="13" t="s">
        <v>8</v>
      </c>
      <c r="C636" s="14" t="s">
        <v>341</v>
      </c>
      <c r="D636" s="12" t="s">
        <v>336</v>
      </c>
      <c r="E636" s="13">
        <v>89000</v>
      </c>
      <c r="F636" s="15">
        <f t="shared" ref="F636:F639" si="363">E636*0.6</f>
        <v>53400</v>
      </c>
      <c r="G636" s="15">
        <f t="shared" ref="G636:G642" si="364">H636*F636</f>
        <v>53400</v>
      </c>
      <c r="H636" s="16">
        <v>1</v>
      </c>
      <c r="I636" s="17" t="s">
        <v>13</v>
      </c>
      <c r="J636" s="13" t="s">
        <v>16</v>
      </c>
      <c r="K636" s="12" t="str">
        <f>K635</f>
        <v>2853_01_01_S5_EM01_01_M3</v>
      </c>
      <c r="L636">
        <v>53400</v>
      </c>
    </row>
    <row r="637" spans="1:12" ht="21" hidden="1" customHeight="1" x14ac:dyDescent="0.25">
      <c r="A637" s="12" t="str">
        <f t="shared" ref="A637:A643" si="365">A636</f>
        <v>ЩЭ-4 (5бл)  (S5)</v>
      </c>
      <c r="B637" s="13" t="s">
        <v>48</v>
      </c>
      <c r="C637" s="14" t="s">
        <v>206</v>
      </c>
      <c r="D637" s="12" t="s">
        <v>207</v>
      </c>
      <c r="E637" s="13">
        <v>1421</v>
      </c>
      <c r="F637" s="15">
        <f t="shared" si="363"/>
        <v>852.6</v>
      </c>
      <c r="G637" s="15">
        <f t="shared" si="364"/>
        <v>3410.4</v>
      </c>
      <c r="H637" s="16">
        <v>4</v>
      </c>
      <c r="I637" s="17" t="s">
        <v>13</v>
      </c>
      <c r="J637" s="13" t="s">
        <v>17</v>
      </c>
      <c r="K637" s="12" t="str">
        <f t="shared" ref="K637:K643" si="366">K636</f>
        <v>2853_01_01_S5_EM01_01_M3</v>
      </c>
      <c r="L637">
        <v>3410.4</v>
      </c>
    </row>
    <row r="638" spans="1:12" ht="21" hidden="1" customHeight="1" x14ac:dyDescent="0.25">
      <c r="A638" s="12" t="str">
        <f t="shared" si="365"/>
        <v>ЩЭ-4 (5бл)  (S5)</v>
      </c>
      <c r="B638" s="13" t="s">
        <v>21</v>
      </c>
      <c r="C638" s="14" t="s">
        <v>135</v>
      </c>
      <c r="D638" s="12" t="s">
        <v>136</v>
      </c>
      <c r="E638" s="13">
        <v>6215</v>
      </c>
      <c r="F638" s="15">
        <f t="shared" si="363"/>
        <v>3729</v>
      </c>
      <c r="G638" s="15">
        <f t="shared" si="364"/>
        <v>14916</v>
      </c>
      <c r="H638" s="16">
        <v>4</v>
      </c>
      <c r="I638" s="17" t="s">
        <v>13</v>
      </c>
      <c r="J638" s="13" t="s">
        <v>17</v>
      </c>
      <c r="K638" s="12" t="str">
        <f t="shared" si="366"/>
        <v>2853_01_01_S5_EM01_01_M3</v>
      </c>
      <c r="L638">
        <v>14916</v>
      </c>
    </row>
    <row r="639" spans="1:12" ht="22.5" hidden="1" customHeight="1" x14ac:dyDescent="0.25">
      <c r="A639" s="12" t="str">
        <f t="shared" si="365"/>
        <v>ЩЭ-4 (5бл)  (S5)</v>
      </c>
      <c r="B639" s="13" t="s">
        <v>141</v>
      </c>
      <c r="C639" s="14" t="s">
        <v>219</v>
      </c>
      <c r="D639" s="12" t="s">
        <v>220</v>
      </c>
      <c r="E639" s="13">
        <v>1738</v>
      </c>
      <c r="F639" s="15">
        <f t="shared" si="363"/>
        <v>1042.8</v>
      </c>
      <c r="G639" s="15">
        <f t="shared" si="364"/>
        <v>1042.8</v>
      </c>
      <c r="H639" s="16">
        <v>1</v>
      </c>
      <c r="I639" s="17" t="s">
        <v>13</v>
      </c>
      <c r="J639" s="13" t="s">
        <v>17</v>
      </c>
      <c r="K639" s="12" t="str">
        <f t="shared" si="366"/>
        <v>2853_01_01_S5_EM01_01_M3</v>
      </c>
      <c r="L639">
        <v>1042.8</v>
      </c>
    </row>
    <row r="640" spans="1:12" ht="22.5" hidden="1" customHeight="1" x14ac:dyDescent="0.25">
      <c r="A640" s="12" t="str">
        <f t="shared" si="365"/>
        <v>ЩЭ-4 (5бл)  (S5)</v>
      </c>
      <c r="B640" s="13" t="s">
        <v>18</v>
      </c>
      <c r="C640" s="14" t="s">
        <v>229</v>
      </c>
      <c r="D640" s="12" t="s">
        <v>230</v>
      </c>
      <c r="E640" s="13">
        <v>90000</v>
      </c>
      <c r="F640" s="15">
        <f t="shared" ref="F640" si="367">E640</f>
        <v>90000</v>
      </c>
      <c r="G640" s="15">
        <f t="shared" si="364"/>
        <v>360000</v>
      </c>
      <c r="H640" s="16">
        <v>4</v>
      </c>
      <c r="I640" s="17" t="s">
        <v>13</v>
      </c>
      <c r="J640" s="13" t="s">
        <v>24</v>
      </c>
      <c r="K640" s="12" t="str">
        <f t="shared" si="366"/>
        <v>2853_01_01_S5_EM01_01_M3</v>
      </c>
      <c r="L640">
        <v>360000</v>
      </c>
    </row>
    <row r="641" spans="1:12" ht="24" hidden="1" customHeight="1" x14ac:dyDescent="0.25">
      <c r="A641" s="12" t="str">
        <f t="shared" si="365"/>
        <v>ЩЭ-4 (5бл)  (S5)</v>
      </c>
      <c r="B641" s="12" t="s">
        <v>10</v>
      </c>
      <c r="C641" s="18" t="s">
        <v>10</v>
      </c>
      <c r="D641" s="12" t="s">
        <v>10</v>
      </c>
      <c r="E641" s="12">
        <f ca="1">OFFSET(E641,1,2)</f>
        <v>27000</v>
      </c>
      <c r="F641" s="15">
        <f ca="1">E641</f>
        <v>27000</v>
      </c>
      <c r="G641" s="15">
        <f t="shared" ca="1" si="364"/>
        <v>27000</v>
      </c>
      <c r="H641" s="12">
        <v>1</v>
      </c>
      <c r="I641" s="12" t="s">
        <v>13</v>
      </c>
      <c r="J641" s="12" t="s">
        <v>10</v>
      </c>
      <c r="K641" s="12" t="str">
        <f t="shared" si="366"/>
        <v>2853_01_01_S5_EM01_01_M3</v>
      </c>
      <c r="L641">
        <v>27000</v>
      </c>
    </row>
    <row r="642" spans="1:12" ht="21" hidden="1" customHeight="1" x14ac:dyDescent="0.25">
      <c r="A642" s="12" t="str">
        <f t="shared" si="365"/>
        <v>ЩЭ-4 (5бл)  (S5)</v>
      </c>
      <c r="B642" s="12" t="s">
        <v>11</v>
      </c>
      <c r="C642" s="18" t="s">
        <v>11</v>
      </c>
      <c r="D642" s="12" t="s">
        <v>11</v>
      </c>
      <c r="E642" s="12">
        <v>4.5</v>
      </c>
      <c r="F642" s="15">
        <v>100</v>
      </c>
      <c r="G642" s="15">
        <f t="shared" si="364"/>
        <v>27000</v>
      </c>
      <c r="H642" s="12">
        <f>60*E642</f>
        <v>270</v>
      </c>
      <c r="I642" s="12" t="s">
        <v>13</v>
      </c>
      <c r="J642" s="12" t="s">
        <v>11</v>
      </c>
      <c r="K642" s="12" t="str">
        <f t="shared" si="366"/>
        <v>2853_01_01_S5_EM01_01_M3</v>
      </c>
      <c r="L642">
        <v>27000</v>
      </c>
    </row>
    <row r="643" spans="1:12" ht="30" customHeight="1" x14ac:dyDescent="0.25">
      <c r="A643" s="12" t="str">
        <f t="shared" si="365"/>
        <v>ЩЭ-4 (5бл)  (S5)</v>
      </c>
      <c r="B643" s="19"/>
      <c r="C643" s="20"/>
      <c r="D643" s="21"/>
      <c r="E643" s="23"/>
      <c r="F643" s="25"/>
      <c r="G643" s="24">
        <f ca="1">SUM(G639:G642)</f>
        <v>415042.8</v>
      </c>
      <c r="H643" s="20"/>
      <c r="I643" s="22"/>
      <c r="J643" s="20"/>
      <c r="K643" s="12" t="str">
        <f t="shared" si="366"/>
        <v>2853_01_01_S5_EM01_01_M3</v>
      </c>
      <c r="L643">
        <v>415042.8</v>
      </c>
    </row>
    <row r="644" spans="1:12" ht="39.75" customHeight="1" x14ac:dyDescent="0.25">
      <c r="A644" s="5" t="str">
        <f>D644</f>
        <v>ЩК1 (S5)</v>
      </c>
      <c r="B644" s="6"/>
      <c r="C644" s="7"/>
      <c r="D644" s="6" t="s">
        <v>308</v>
      </c>
      <c r="E644" s="8"/>
      <c r="F644" s="8" t="s">
        <v>40</v>
      </c>
      <c r="G644" s="9"/>
      <c r="H644" s="10">
        <v>32</v>
      </c>
      <c r="I644" s="11" t="s">
        <v>7</v>
      </c>
      <c r="J644" s="6" t="s">
        <v>9</v>
      </c>
      <c r="K644" s="5" t="s">
        <v>158</v>
      </c>
    </row>
    <row r="645" spans="1:12" ht="21" hidden="1" customHeight="1" x14ac:dyDescent="0.25">
      <c r="A645" s="12" t="str">
        <f>A644</f>
        <v>ЩК1 (S5)</v>
      </c>
      <c r="B645" s="13" t="s">
        <v>8</v>
      </c>
      <c r="C645" s="14" t="s">
        <v>233</v>
      </c>
      <c r="D645" s="12" t="s">
        <v>234</v>
      </c>
      <c r="E645" s="13">
        <v>10050</v>
      </c>
      <c r="F645" s="15">
        <f t="shared" ref="F645:F650" si="368">E645*0.6</f>
        <v>6030</v>
      </c>
      <c r="G645" s="15">
        <f t="shared" ref="G645:G652" si="369">H645*F645</f>
        <v>6030</v>
      </c>
      <c r="H645" s="16">
        <v>1</v>
      </c>
      <c r="I645" s="17" t="s">
        <v>13</v>
      </c>
      <c r="J645" s="13" t="s">
        <v>16</v>
      </c>
      <c r="K645" s="12" t="str">
        <f>K644</f>
        <v>2853_01_01_S5_EM01_01_M3</v>
      </c>
      <c r="L645">
        <v>6030</v>
      </c>
    </row>
    <row r="646" spans="1:12" ht="21" hidden="1" customHeight="1" x14ac:dyDescent="0.25">
      <c r="A646" s="12" t="str">
        <f t="shared" ref="A646:A648" si="370">A645</f>
        <v>ЩК1 (S5)</v>
      </c>
      <c r="B646" s="13" t="s">
        <v>48</v>
      </c>
      <c r="C646" s="14" t="s">
        <v>129</v>
      </c>
      <c r="D646" s="12" t="s">
        <v>130</v>
      </c>
      <c r="E646" s="13">
        <v>2824</v>
      </c>
      <c r="F646" s="15">
        <f t="shared" si="368"/>
        <v>1694.3999999999999</v>
      </c>
      <c r="G646" s="15">
        <f t="shared" si="369"/>
        <v>1694.3999999999999</v>
      </c>
      <c r="H646" s="16">
        <v>1</v>
      </c>
      <c r="I646" s="17" t="s">
        <v>13</v>
      </c>
      <c r="J646" s="13" t="s">
        <v>17</v>
      </c>
      <c r="K646" s="12" t="str">
        <f t="shared" ref="K646:K648" si="371">K645</f>
        <v>2853_01_01_S5_EM01_01_M3</v>
      </c>
      <c r="L646">
        <v>1694.3999999999999</v>
      </c>
    </row>
    <row r="647" spans="1:12" ht="21" hidden="1" customHeight="1" x14ac:dyDescent="0.25">
      <c r="A647" s="12" t="str">
        <f t="shared" si="370"/>
        <v>ЩК1 (S5)</v>
      </c>
      <c r="B647" s="13" t="s">
        <v>128</v>
      </c>
      <c r="C647" s="14" t="s">
        <v>208</v>
      </c>
      <c r="D647" s="12" t="s">
        <v>209</v>
      </c>
      <c r="E647" s="13">
        <v>7422</v>
      </c>
      <c r="F647" s="15">
        <f t="shared" si="368"/>
        <v>4453.2</v>
      </c>
      <c r="G647" s="15">
        <f t="shared" si="369"/>
        <v>4453.2</v>
      </c>
      <c r="H647" s="16">
        <v>1</v>
      </c>
      <c r="I647" s="17" t="s">
        <v>13</v>
      </c>
      <c r="J647" s="13" t="s">
        <v>17</v>
      </c>
      <c r="K647" s="12" t="str">
        <f t="shared" si="371"/>
        <v>2853_01_01_S5_EM01_01_M3</v>
      </c>
      <c r="L647">
        <v>4453.2</v>
      </c>
    </row>
    <row r="648" spans="1:12" ht="21" hidden="1" customHeight="1" x14ac:dyDescent="0.25">
      <c r="A648" s="12" t="str">
        <f t="shared" si="370"/>
        <v>ЩК1 (S5)</v>
      </c>
      <c r="B648" s="13" t="s">
        <v>128</v>
      </c>
      <c r="C648" s="14" t="s">
        <v>126</v>
      </c>
      <c r="D648" s="12" t="s">
        <v>127</v>
      </c>
      <c r="E648" s="13">
        <v>7795</v>
      </c>
      <c r="F648" s="15">
        <f t="shared" si="368"/>
        <v>4677</v>
      </c>
      <c r="G648" s="15">
        <f t="shared" si="369"/>
        <v>4677</v>
      </c>
      <c r="H648" s="16">
        <v>1</v>
      </c>
      <c r="I648" s="17" t="s">
        <v>13</v>
      </c>
      <c r="J648" s="13" t="s">
        <v>17</v>
      </c>
      <c r="K648" s="12" t="str">
        <f t="shared" si="371"/>
        <v>2853_01_01_S5_EM01_01_M3</v>
      </c>
      <c r="L648">
        <v>4677</v>
      </c>
    </row>
    <row r="649" spans="1:12" ht="21" hidden="1" customHeight="1" x14ac:dyDescent="0.25">
      <c r="A649" s="12" t="str">
        <f>A644</f>
        <v>ЩК1 (S5)</v>
      </c>
      <c r="B649" s="13" t="s">
        <v>12</v>
      </c>
      <c r="C649" s="14" t="s">
        <v>67</v>
      </c>
      <c r="D649" s="12" t="s">
        <v>68</v>
      </c>
      <c r="E649" s="13">
        <v>796</v>
      </c>
      <c r="F649" s="15">
        <f t="shared" si="368"/>
        <v>477.59999999999997</v>
      </c>
      <c r="G649" s="15">
        <f t="shared" si="369"/>
        <v>1432.8</v>
      </c>
      <c r="H649" s="16">
        <v>3</v>
      </c>
      <c r="I649" s="17" t="s">
        <v>13</v>
      </c>
      <c r="J649" s="13" t="s">
        <v>17</v>
      </c>
      <c r="K649" s="12" t="str">
        <f>K644</f>
        <v>2853_01_01_S5_EM01_01_M3</v>
      </c>
      <c r="L649">
        <v>1432.8</v>
      </c>
    </row>
    <row r="650" spans="1:12" ht="21" hidden="1" customHeight="1" x14ac:dyDescent="0.25">
      <c r="A650" s="12" t="str">
        <f>A645</f>
        <v>ЩК1 (S5)</v>
      </c>
      <c r="B650" s="13" t="s">
        <v>12</v>
      </c>
      <c r="C650" s="14" t="s">
        <v>36</v>
      </c>
      <c r="D650" s="12" t="s">
        <v>37</v>
      </c>
      <c r="E650" s="13">
        <v>783</v>
      </c>
      <c r="F650" s="15">
        <f t="shared" si="368"/>
        <v>469.79999999999995</v>
      </c>
      <c r="G650" s="15">
        <f t="shared" si="369"/>
        <v>469.79999999999995</v>
      </c>
      <c r="H650" s="16">
        <v>1</v>
      </c>
      <c r="I650" s="17" t="s">
        <v>13</v>
      </c>
      <c r="J650" s="13" t="s">
        <v>17</v>
      </c>
      <c r="K650" s="12" t="str">
        <f>K645</f>
        <v>2853_01_01_S5_EM01_01_M3</v>
      </c>
      <c r="L650">
        <v>469.79999999999995</v>
      </c>
    </row>
    <row r="651" spans="1:12" ht="24" hidden="1" customHeight="1" x14ac:dyDescent="0.25">
      <c r="A651" s="12" t="str">
        <f t="shared" ref="A651:A653" si="372">A650</f>
        <v>ЩК1 (S5)</v>
      </c>
      <c r="B651" s="12" t="s">
        <v>10</v>
      </c>
      <c r="C651" s="18" t="s">
        <v>10</v>
      </c>
      <c r="D651" s="12" t="s">
        <v>10</v>
      </c>
      <c r="E651" s="12">
        <f ca="1">OFFSET(E651,1,2)</f>
        <v>4200</v>
      </c>
      <c r="F651" s="15">
        <f ca="1">E651</f>
        <v>4200</v>
      </c>
      <c r="G651" s="15">
        <f t="shared" ca="1" si="369"/>
        <v>4200</v>
      </c>
      <c r="H651" s="12">
        <v>1</v>
      </c>
      <c r="I651" s="12" t="s">
        <v>13</v>
      </c>
      <c r="J651" s="12" t="s">
        <v>10</v>
      </c>
      <c r="K651" s="12" t="str">
        <f t="shared" ref="K651:K653" si="373">K650</f>
        <v>2853_01_01_S5_EM01_01_M3</v>
      </c>
      <c r="L651">
        <v>4200</v>
      </c>
    </row>
    <row r="652" spans="1:12" ht="21" hidden="1" customHeight="1" x14ac:dyDescent="0.25">
      <c r="A652" s="12" t="str">
        <f t="shared" si="372"/>
        <v>ЩК1 (S5)</v>
      </c>
      <c r="B652" s="12" t="s">
        <v>11</v>
      </c>
      <c r="C652" s="18" t="s">
        <v>11</v>
      </c>
      <c r="D652" s="12" t="s">
        <v>11</v>
      </c>
      <c r="E652" s="12">
        <v>0.7</v>
      </c>
      <c r="F652" s="15">
        <v>100</v>
      </c>
      <c r="G652" s="15">
        <f t="shared" si="369"/>
        <v>4200</v>
      </c>
      <c r="H652" s="12">
        <f>60*E652</f>
        <v>42</v>
      </c>
      <c r="I652" s="12" t="s">
        <v>13</v>
      </c>
      <c r="J652" s="12" t="s">
        <v>11</v>
      </c>
      <c r="K652" s="12" t="str">
        <f t="shared" si="373"/>
        <v>2853_01_01_S5_EM01_01_M3</v>
      </c>
      <c r="L652">
        <v>4200</v>
      </c>
    </row>
    <row r="653" spans="1:12" ht="30" customHeight="1" x14ac:dyDescent="0.25">
      <c r="A653" s="12" t="str">
        <f t="shared" si="372"/>
        <v>ЩК1 (S5)</v>
      </c>
      <c r="B653" s="19"/>
      <c r="C653" s="20"/>
      <c r="D653" s="21"/>
      <c r="E653" s="23"/>
      <c r="F653" s="25"/>
      <c r="G653" s="24">
        <f ca="1">SUM(G645:G652)</f>
        <v>27157.199999999997</v>
      </c>
      <c r="H653" s="20"/>
      <c r="I653" s="22"/>
      <c r="J653" s="20"/>
      <c r="K653" s="12" t="str">
        <f t="shared" si="373"/>
        <v>2853_01_01_S5_EM01_01_M3</v>
      </c>
      <c r="L653">
        <v>27157.199999999997</v>
      </c>
    </row>
    <row r="654" spans="1:12" ht="39.75" customHeight="1" x14ac:dyDescent="0.25">
      <c r="A654" s="5" t="str">
        <f>D654</f>
        <v>ЩР-5.1, ЩР-5.2 (S5)</v>
      </c>
      <c r="B654" s="6"/>
      <c r="C654" s="7"/>
      <c r="D654" s="6" t="s">
        <v>309</v>
      </c>
      <c r="E654" s="8"/>
      <c r="F654" s="8" t="s">
        <v>40</v>
      </c>
      <c r="G654" s="9"/>
      <c r="H654" s="10">
        <v>2</v>
      </c>
      <c r="I654" s="11" t="s">
        <v>7</v>
      </c>
      <c r="J654" s="6" t="s">
        <v>9</v>
      </c>
      <c r="K654" s="5" t="s">
        <v>158</v>
      </c>
    </row>
    <row r="655" spans="1:12" ht="20.25" hidden="1" customHeight="1" x14ac:dyDescent="0.25">
      <c r="A655" s="12" t="str">
        <f>A654</f>
        <v>ЩР-5.1, ЩР-5.2 (S5)</v>
      </c>
      <c r="B655" s="13" t="s">
        <v>8</v>
      </c>
      <c r="C655" s="14" t="s">
        <v>345</v>
      </c>
      <c r="D655" s="12" t="s">
        <v>346</v>
      </c>
      <c r="E655" s="13">
        <v>10620</v>
      </c>
      <c r="F655" s="15">
        <f t="shared" ref="F655:F656" si="374">E655*0.6</f>
        <v>6372</v>
      </c>
      <c r="G655" s="15">
        <f t="shared" ref="G655:G658" si="375">H655*F655</f>
        <v>6372</v>
      </c>
      <c r="H655" s="16">
        <v>1</v>
      </c>
      <c r="I655" s="17" t="s">
        <v>13</v>
      </c>
      <c r="J655" s="13" t="s">
        <v>16</v>
      </c>
      <c r="K655" s="12" t="str">
        <f>K654</f>
        <v>2853_01_01_S5_EM01_01_M3</v>
      </c>
      <c r="L655">
        <v>6372</v>
      </c>
    </row>
    <row r="656" spans="1:12" ht="21" hidden="1" customHeight="1" x14ac:dyDescent="0.25">
      <c r="A656" s="12" t="str">
        <f t="shared" ref="A656:A659" si="376">A655</f>
        <v>ЩР-5.1, ЩР-5.2 (S5)</v>
      </c>
      <c r="B656" s="13" t="s">
        <v>48</v>
      </c>
      <c r="C656" s="14" t="s">
        <v>63</v>
      </c>
      <c r="D656" s="12" t="s">
        <v>64</v>
      </c>
      <c r="E656" s="13">
        <v>4217</v>
      </c>
      <c r="F656" s="15">
        <f t="shared" si="374"/>
        <v>2530.1999999999998</v>
      </c>
      <c r="G656" s="15">
        <f t="shared" si="375"/>
        <v>2530.1999999999998</v>
      </c>
      <c r="H656" s="16">
        <v>1</v>
      </c>
      <c r="I656" s="17" t="s">
        <v>13</v>
      </c>
      <c r="J656" s="13" t="s">
        <v>17</v>
      </c>
      <c r="K656" s="12" t="str">
        <f t="shared" ref="K656:K659" si="377">K655</f>
        <v>2853_01_01_S5_EM01_01_M3</v>
      </c>
      <c r="L656">
        <v>2530.1999999999998</v>
      </c>
    </row>
    <row r="657" spans="1:12" ht="24" hidden="1" customHeight="1" x14ac:dyDescent="0.25">
      <c r="A657" s="12" t="str">
        <f t="shared" si="376"/>
        <v>ЩР-5.1, ЩР-5.2 (S5)</v>
      </c>
      <c r="B657" s="12" t="s">
        <v>10</v>
      </c>
      <c r="C657" s="18" t="s">
        <v>10</v>
      </c>
      <c r="D657" s="12" t="s">
        <v>10</v>
      </c>
      <c r="E657" s="12">
        <f ca="1">OFFSET(E657,1,2)</f>
        <v>60</v>
      </c>
      <c r="F657" s="15">
        <f ca="1">E657</f>
        <v>60</v>
      </c>
      <c r="G657" s="15">
        <f t="shared" ca="1" si="375"/>
        <v>60</v>
      </c>
      <c r="H657" s="12">
        <v>1</v>
      </c>
      <c r="I657" s="12" t="s">
        <v>13</v>
      </c>
      <c r="J657" s="12" t="s">
        <v>10</v>
      </c>
      <c r="K657" s="12" t="str">
        <f t="shared" si="377"/>
        <v>2853_01_01_S5_EM01_01_M3</v>
      </c>
      <c r="L657">
        <v>60</v>
      </c>
    </row>
    <row r="658" spans="1:12" ht="21" hidden="1" customHeight="1" x14ac:dyDescent="0.25">
      <c r="A658" s="12" t="str">
        <f t="shared" si="376"/>
        <v>ЩР-5.1, ЩР-5.2 (S5)</v>
      </c>
      <c r="B658" s="12" t="s">
        <v>11</v>
      </c>
      <c r="C658" s="18" t="s">
        <v>11</v>
      </c>
      <c r="D658" s="12" t="s">
        <v>11</v>
      </c>
      <c r="E658" s="12">
        <v>0.01</v>
      </c>
      <c r="F658" s="15">
        <v>100</v>
      </c>
      <c r="G658" s="15">
        <f t="shared" si="375"/>
        <v>60</v>
      </c>
      <c r="H658" s="12">
        <f>60*E658</f>
        <v>0.6</v>
      </c>
      <c r="I658" s="12" t="s">
        <v>13</v>
      </c>
      <c r="J658" s="12" t="s">
        <v>11</v>
      </c>
      <c r="K658" s="12" t="str">
        <f t="shared" si="377"/>
        <v>2853_01_01_S5_EM01_01_M3</v>
      </c>
      <c r="L658">
        <v>60</v>
      </c>
    </row>
    <row r="659" spans="1:12" ht="30" customHeight="1" x14ac:dyDescent="0.25">
      <c r="A659" s="12" t="str">
        <f t="shared" si="376"/>
        <v>ЩР-5.1, ЩР-5.2 (S5)</v>
      </c>
      <c r="B659" s="19"/>
      <c r="C659" s="20"/>
      <c r="D659" s="21"/>
      <c r="E659" s="23"/>
      <c r="F659" s="25"/>
      <c r="G659" s="24">
        <f ca="1">SUM(G655:G658)</f>
        <v>9022.2000000000007</v>
      </c>
      <c r="H659" s="20"/>
      <c r="I659" s="22"/>
      <c r="J659" s="20"/>
      <c r="K659" s="12" t="str">
        <f t="shared" si="377"/>
        <v>2853_01_01_S5_EM01_01_M3</v>
      </c>
      <c r="L659">
        <v>9022.2000000000007</v>
      </c>
    </row>
    <row r="660" spans="1:12" ht="39.75" customHeight="1" x14ac:dyDescent="0.25">
      <c r="A660" s="5" t="str">
        <f>D660</f>
        <v>ЯТП-0,25-23УЗ  (S5)</v>
      </c>
      <c r="B660" s="6"/>
      <c r="C660" s="7"/>
      <c r="D660" s="6" t="s">
        <v>327</v>
      </c>
      <c r="E660" s="8"/>
      <c r="F660" s="8"/>
      <c r="G660" s="9"/>
      <c r="H660" s="10">
        <v>1</v>
      </c>
      <c r="I660" s="11" t="s">
        <v>7</v>
      </c>
      <c r="J660" s="6" t="s">
        <v>9</v>
      </c>
      <c r="K660" s="5" t="s">
        <v>158</v>
      </c>
    </row>
    <row r="661" spans="1:12" ht="21" customHeight="1" x14ac:dyDescent="0.25">
      <c r="A661" s="5" t="s">
        <v>159</v>
      </c>
      <c r="B661" s="6"/>
      <c r="C661" s="7"/>
      <c r="D661" s="6" t="s">
        <v>212</v>
      </c>
      <c r="E661" s="8"/>
      <c r="F661" s="8"/>
      <c r="G661" s="9"/>
      <c r="H661" s="10">
        <v>1</v>
      </c>
      <c r="I661" s="11" t="s">
        <v>7</v>
      </c>
      <c r="J661" s="6" t="s">
        <v>9</v>
      </c>
      <c r="K661" s="5" t="s">
        <v>171</v>
      </c>
    </row>
    <row r="662" spans="1:12" ht="21" hidden="1" customHeight="1" x14ac:dyDescent="0.25">
      <c r="A662" s="12" t="s">
        <v>159</v>
      </c>
      <c r="B662" s="13" t="s">
        <v>8</v>
      </c>
      <c r="C662" s="14" t="s">
        <v>187</v>
      </c>
      <c r="D662" s="12" t="s">
        <v>188</v>
      </c>
      <c r="E662" s="13">
        <v>30540</v>
      </c>
      <c r="F662" s="15">
        <f t="shared" ref="F662:F673" si="378">E662*0.6</f>
        <v>18324</v>
      </c>
      <c r="G662" s="15">
        <f t="shared" ref="G662:G677" si="379">H662*F662</f>
        <v>18324</v>
      </c>
      <c r="H662" s="16">
        <v>1</v>
      </c>
      <c r="I662" s="17" t="s">
        <v>13</v>
      </c>
      <c r="J662" s="13" t="s">
        <v>16</v>
      </c>
      <c r="K662" s="12" t="str">
        <f>K661</f>
        <v>2853_02_01_FO01_01_M3</v>
      </c>
      <c r="L662">
        <v>18324</v>
      </c>
    </row>
    <row r="663" spans="1:12" ht="21" hidden="1" customHeight="1" x14ac:dyDescent="0.25">
      <c r="A663" s="12" t="str">
        <f t="shared" ref="A663" si="380">A662</f>
        <v>ШНО (ЯУО9601-3474УХЛ4)</v>
      </c>
      <c r="B663" s="13" t="s">
        <v>48</v>
      </c>
      <c r="C663" s="14" t="s">
        <v>51</v>
      </c>
      <c r="D663" s="12" t="s">
        <v>52</v>
      </c>
      <c r="E663" s="13">
        <v>3372</v>
      </c>
      <c r="F663" s="15">
        <f t="shared" si="378"/>
        <v>2023.1999999999998</v>
      </c>
      <c r="G663" s="15">
        <f t="shared" si="379"/>
        <v>2023.1999999999998</v>
      </c>
      <c r="H663" s="16">
        <v>1</v>
      </c>
      <c r="I663" s="17" t="s">
        <v>13</v>
      </c>
      <c r="J663" s="13" t="s">
        <v>17</v>
      </c>
      <c r="K663" s="12" t="str">
        <f t="shared" ref="K663" si="381">K662</f>
        <v>2853_02_01_FO01_01_M3</v>
      </c>
      <c r="L663">
        <v>2023.1999999999998</v>
      </c>
    </row>
    <row r="664" spans="1:12" ht="21" hidden="1" customHeight="1" x14ac:dyDescent="0.25">
      <c r="A664" s="12" t="s">
        <v>159</v>
      </c>
      <c r="B664" s="13" t="s">
        <v>142</v>
      </c>
      <c r="C664" s="14" t="s">
        <v>172</v>
      </c>
      <c r="D664" s="12" t="s">
        <v>173</v>
      </c>
      <c r="E664" s="13">
        <v>13919</v>
      </c>
      <c r="F664" s="15">
        <f t="shared" si="378"/>
        <v>8351.4</v>
      </c>
      <c r="G664" s="15">
        <f t="shared" si="379"/>
        <v>8351.4</v>
      </c>
      <c r="H664" s="16">
        <v>1</v>
      </c>
      <c r="I664" s="17" t="s">
        <v>13</v>
      </c>
      <c r="J664" s="13" t="s">
        <v>17</v>
      </c>
      <c r="K664" s="12" t="str">
        <f t="shared" ref="K664:K678" si="382">K663</f>
        <v>2853_02_01_FO01_01_M3</v>
      </c>
      <c r="L664">
        <v>8351.4</v>
      </c>
    </row>
    <row r="665" spans="1:12" ht="21" hidden="1" customHeight="1" x14ac:dyDescent="0.25">
      <c r="A665" s="12" t="s">
        <v>159</v>
      </c>
      <c r="B665" s="13" t="s">
        <v>12</v>
      </c>
      <c r="C665" s="14" t="s">
        <v>138</v>
      </c>
      <c r="D665" s="12" t="s">
        <v>139</v>
      </c>
      <c r="E665" s="13">
        <v>2447</v>
      </c>
      <c r="F665" s="15">
        <f t="shared" si="378"/>
        <v>1468.2</v>
      </c>
      <c r="G665" s="15">
        <f t="shared" si="379"/>
        <v>4404.6000000000004</v>
      </c>
      <c r="H665" s="16">
        <v>3</v>
      </c>
      <c r="I665" s="17" t="s">
        <v>13</v>
      </c>
      <c r="J665" s="13" t="s">
        <v>17</v>
      </c>
      <c r="K665" s="12" t="str">
        <f t="shared" si="382"/>
        <v>2853_02_01_FO01_01_M3</v>
      </c>
      <c r="L665">
        <v>4404.6000000000004</v>
      </c>
    </row>
    <row r="666" spans="1:12" ht="21" hidden="1" customHeight="1" x14ac:dyDescent="0.25">
      <c r="A666" s="12" t="s">
        <v>159</v>
      </c>
      <c r="B666" s="13" t="s">
        <v>150</v>
      </c>
      <c r="C666" s="26" t="s">
        <v>160</v>
      </c>
      <c r="D666" s="12" t="s">
        <v>161</v>
      </c>
      <c r="E666" s="27">
        <v>2449</v>
      </c>
      <c r="F666" s="15">
        <f t="shared" si="378"/>
        <v>1469.3999999999999</v>
      </c>
      <c r="G666" s="15">
        <f t="shared" si="379"/>
        <v>1469.3999999999999</v>
      </c>
      <c r="H666" s="16">
        <v>1</v>
      </c>
      <c r="I666" s="17" t="s">
        <v>13</v>
      </c>
      <c r="J666" s="13" t="s">
        <v>17</v>
      </c>
      <c r="K666" s="12" t="str">
        <f t="shared" si="382"/>
        <v>2853_02_01_FO01_01_M3</v>
      </c>
      <c r="L666">
        <v>1469.3999999999999</v>
      </c>
    </row>
    <row r="667" spans="1:12" ht="21" hidden="1" customHeight="1" x14ac:dyDescent="0.25">
      <c r="A667" s="12" t="s">
        <v>159</v>
      </c>
      <c r="B667" s="13" t="s">
        <v>145</v>
      </c>
      <c r="C667" s="26" t="s">
        <v>146</v>
      </c>
      <c r="D667" s="12" t="s">
        <v>147</v>
      </c>
      <c r="E667" s="27">
        <v>589</v>
      </c>
      <c r="F667" s="15">
        <f t="shared" si="378"/>
        <v>353.4</v>
      </c>
      <c r="G667" s="15">
        <f t="shared" si="379"/>
        <v>353.4</v>
      </c>
      <c r="H667" s="16">
        <v>1</v>
      </c>
      <c r="I667" s="17" t="s">
        <v>13</v>
      </c>
      <c r="J667" s="13" t="s">
        <v>17</v>
      </c>
      <c r="K667" s="12" t="str">
        <f t="shared" si="382"/>
        <v>2853_02_01_FO01_01_M3</v>
      </c>
      <c r="L667">
        <v>353.4</v>
      </c>
    </row>
    <row r="668" spans="1:12" ht="21" hidden="1" customHeight="1" x14ac:dyDescent="0.25">
      <c r="A668" s="12" t="s">
        <v>159</v>
      </c>
      <c r="B668" s="13" t="s">
        <v>162</v>
      </c>
      <c r="C668" s="14" t="s">
        <v>163</v>
      </c>
      <c r="D668" s="12" t="s">
        <v>164</v>
      </c>
      <c r="E668" s="13">
        <v>689</v>
      </c>
      <c r="F668" s="15">
        <f t="shared" si="378"/>
        <v>413.4</v>
      </c>
      <c r="G668" s="15">
        <f t="shared" si="379"/>
        <v>413.4</v>
      </c>
      <c r="H668" s="16">
        <v>1</v>
      </c>
      <c r="I668" s="17" t="s">
        <v>13</v>
      </c>
      <c r="J668" s="13" t="s">
        <v>17</v>
      </c>
      <c r="K668" s="12" t="str">
        <f t="shared" si="382"/>
        <v>2853_02_01_FO01_01_M3</v>
      </c>
      <c r="L668">
        <v>413.4</v>
      </c>
    </row>
    <row r="669" spans="1:12" ht="21" hidden="1" customHeight="1" x14ac:dyDescent="0.25">
      <c r="A669" s="12" t="s">
        <v>159</v>
      </c>
      <c r="B669" s="13" t="s">
        <v>162</v>
      </c>
      <c r="C669" s="14" t="s">
        <v>165</v>
      </c>
      <c r="D669" s="12" t="s">
        <v>166</v>
      </c>
      <c r="E669" s="13">
        <v>689</v>
      </c>
      <c r="F669" s="15">
        <f t="shared" si="378"/>
        <v>413.4</v>
      </c>
      <c r="G669" s="15">
        <f t="shared" si="379"/>
        <v>413.4</v>
      </c>
      <c r="H669" s="16">
        <v>1</v>
      </c>
      <c r="I669" s="17" t="s">
        <v>13</v>
      </c>
      <c r="J669" s="13" t="s">
        <v>17</v>
      </c>
      <c r="K669" s="12" t="str">
        <f t="shared" si="382"/>
        <v>2853_02_01_FO01_01_M3</v>
      </c>
      <c r="L669">
        <v>413.4</v>
      </c>
    </row>
    <row r="670" spans="1:12" ht="21" hidden="1" customHeight="1" x14ac:dyDescent="0.25">
      <c r="A670" s="12" t="s">
        <v>159</v>
      </c>
      <c r="B670" s="13" t="s">
        <v>12</v>
      </c>
      <c r="C670" s="14" t="s">
        <v>19</v>
      </c>
      <c r="D670" s="12" t="s">
        <v>20</v>
      </c>
      <c r="E670" s="13">
        <v>975</v>
      </c>
      <c r="F670" s="15">
        <f t="shared" si="378"/>
        <v>585</v>
      </c>
      <c r="G670" s="15">
        <f t="shared" si="379"/>
        <v>585</v>
      </c>
      <c r="H670" s="16">
        <v>1</v>
      </c>
      <c r="I670" s="17" t="s">
        <v>13</v>
      </c>
      <c r="J670" s="13" t="s">
        <v>17</v>
      </c>
      <c r="K670" s="12" t="str">
        <f t="shared" si="382"/>
        <v>2853_02_01_FO01_01_M3</v>
      </c>
      <c r="L670">
        <v>585</v>
      </c>
    </row>
    <row r="671" spans="1:12" ht="21" hidden="1" customHeight="1" x14ac:dyDescent="0.25">
      <c r="A671" s="12" t="s">
        <v>159</v>
      </c>
      <c r="B671" s="13" t="s">
        <v>140</v>
      </c>
      <c r="C671" s="14" t="s">
        <v>148</v>
      </c>
      <c r="D671" s="12" t="s">
        <v>149</v>
      </c>
      <c r="E671" s="13">
        <v>4250</v>
      </c>
      <c r="F671" s="15">
        <f t="shared" si="378"/>
        <v>2550</v>
      </c>
      <c r="G671" s="15">
        <f t="shared" si="379"/>
        <v>2550</v>
      </c>
      <c r="H671" s="16">
        <v>1</v>
      </c>
      <c r="I671" s="17" t="s">
        <v>13</v>
      </c>
      <c r="J671" s="13" t="s">
        <v>17</v>
      </c>
      <c r="K671" s="12" t="str">
        <f t="shared" si="382"/>
        <v>2853_02_01_FO01_01_M3</v>
      </c>
      <c r="L671">
        <v>2550</v>
      </c>
    </row>
    <row r="672" spans="1:12" ht="21" hidden="1" customHeight="1" x14ac:dyDescent="0.25">
      <c r="A672" s="12" t="str">
        <f>A670</f>
        <v>ШНО (ЯУО9601-3474УХЛ4)</v>
      </c>
      <c r="B672" s="13" t="s">
        <v>21</v>
      </c>
      <c r="C672" s="14" t="s">
        <v>111</v>
      </c>
      <c r="D672" s="12" t="s">
        <v>112</v>
      </c>
      <c r="E672" s="13">
        <v>5719</v>
      </c>
      <c r="F672" s="15">
        <f t="shared" si="378"/>
        <v>3431.4</v>
      </c>
      <c r="G672" s="15">
        <f t="shared" si="379"/>
        <v>6862.8</v>
      </c>
      <c r="H672" s="16">
        <v>2</v>
      </c>
      <c r="I672" s="17" t="s">
        <v>13</v>
      </c>
      <c r="J672" s="13" t="s">
        <v>17</v>
      </c>
      <c r="K672" s="12" t="str">
        <f>K670</f>
        <v>2853_02_01_FO01_01_M3</v>
      </c>
      <c r="L672">
        <v>6862.8</v>
      </c>
    </row>
    <row r="673" spans="1:12" ht="21" hidden="1" customHeight="1" x14ac:dyDescent="0.25">
      <c r="A673" s="12" t="s">
        <v>159</v>
      </c>
      <c r="B673" s="13" t="s">
        <v>167</v>
      </c>
      <c r="C673" s="14" t="s">
        <v>168</v>
      </c>
      <c r="D673" s="12" t="s">
        <v>169</v>
      </c>
      <c r="E673" s="13">
        <v>18847</v>
      </c>
      <c r="F673" s="15">
        <f t="shared" si="378"/>
        <v>11308.199999999999</v>
      </c>
      <c r="G673" s="15">
        <f t="shared" si="379"/>
        <v>11308.199999999999</v>
      </c>
      <c r="H673" s="16">
        <v>1</v>
      </c>
      <c r="I673" s="17" t="s">
        <v>13</v>
      </c>
      <c r="J673" s="13" t="s">
        <v>17</v>
      </c>
      <c r="K673" s="12" t="str">
        <f>K671</f>
        <v>2853_02_01_FO01_01_M3</v>
      </c>
      <c r="L673">
        <v>11308.199999999999</v>
      </c>
    </row>
    <row r="674" spans="1:12" ht="21" hidden="1" customHeight="1" x14ac:dyDescent="0.25">
      <c r="A674" s="12" t="s">
        <v>159</v>
      </c>
      <c r="B674" s="13" t="s">
        <v>143</v>
      </c>
      <c r="C674" s="12" t="s">
        <v>170</v>
      </c>
      <c r="D674" s="12" t="s">
        <v>351</v>
      </c>
      <c r="E674" s="13">
        <v>6500</v>
      </c>
      <c r="F674" s="15">
        <f t="shared" ref="F674" si="383">E674</f>
        <v>6500</v>
      </c>
      <c r="G674" s="15">
        <f t="shared" si="379"/>
        <v>6500</v>
      </c>
      <c r="H674" s="16">
        <v>1</v>
      </c>
      <c r="I674" s="17" t="s">
        <v>13</v>
      </c>
      <c r="J674" s="13" t="s">
        <v>24</v>
      </c>
      <c r="K674" s="12" t="str">
        <f t="shared" si="382"/>
        <v>2853_02_01_FO01_01_M3</v>
      </c>
      <c r="L674">
        <v>6500</v>
      </c>
    </row>
    <row r="675" spans="1:12" ht="22.5" hidden="1" customHeight="1" x14ac:dyDescent="0.25">
      <c r="A675" s="12" t="str">
        <f>A673</f>
        <v>ШНО (ЯУО9601-3474УХЛ4)</v>
      </c>
      <c r="B675" s="13" t="s">
        <v>18</v>
      </c>
      <c r="C675" s="14" t="s">
        <v>227</v>
      </c>
      <c r="D675" s="12" t="s">
        <v>228</v>
      </c>
      <c r="E675" s="13">
        <v>90000</v>
      </c>
      <c r="F675" s="15">
        <f t="shared" ref="F675" si="384">E675</f>
        <v>90000</v>
      </c>
      <c r="G675" s="15">
        <f t="shared" si="379"/>
        <v>90000</v>
      </c>
      <c r="H675" s="16">
        <v>1</v>
      </c>
      <c r="I675" s="17" t="s">
        <v>13</v>
      </c>
      <c r="J675" s="13" t="s">
        <v>24</v>
      </c>
      <c r="K675" s="12" t="str">
        <f>K673</f>
        <v>2853_02_01_FO01_01_M3</v>
      </c>
      <c r="L675">
        <v>90000</v>
      </c>
    </row>
    <row r="676" spans="1:12" ht="21" hidden="1" customHeight="1" x14ac:dyDescent="0.25">
      <c r="A676" s="12" t="s">
        <v>159</v>
      </c>
      <c r="B676" s="12" t="s">
        <v>10</v>
      </c>
      <c r="C676" s="18" t="s">
        <v>10</v>
      </c>
      <c r="D676" s="12" t="s">
        <v>10</v>
      </c>
      <c r="E676" s="12">
        <f ca="1">OFFSET(E676,1,2)</f>
        <v>42000</v>
      </c>
      <c r="F676" s="15">
        <f ca="1">E676</f>
        <v>42000</v>
      </c>
      <c r="G676" s="15">
        <f t="shared" ca="1" si="379"/>
        <v>42000</v>
      </c>
      <c r="H676" s="12">
        <v>1</v>
      </c>
      <c r="I676" s="12" t="s">
        <v>13</v>
      </c>
      <c r="J676" s="12" t="s">
        <v>10</v>
      </c>
      <c r="K676" s="12" t="str">
        <f>K674</f>
        <v>2853_02_01_FO01_01_M3</v>
      </c>
      <c r="L676">
        <v>42000</v>
      </c>
    </row>
    <row r="677" spans="1:12" ht="21" hidden="1" customHeight="1" x14ac:dyDescent="0.25">
      <c r="A677" s="12" t="s">
        <v>159</v>
      </c>
      <c r="B677" s="12" t="s">
        <v>11</v>
      </c>
      <c r="C677" s="18" t="s">
        <v>11</v>
      </c>
      <c r="D677" s="12" t="s">
        <v>11</v>
      </c>
      <c r="E677" s="12">
        <v>7</v>
      </c>
      <c r="F677" s="15">
        <v>100</v>
      </c>
      <c r="G677" s="15">
        <f t="shared" si="379"/>
        <v>42000</v>
      </c>
      <c r="H677" s="12">
        <f>60*E677</f>
        <v>420</v>
      </c>
      <c r="I677" s="12" t="s">
        <v>13</v>
      </c>
      <c r="J677" s="12" t="s">
        <v>11</v>
      </c>
      <c r="K677" s="12" t="str">
        <f t="shared" si="382"/>
        <v>2853_02_01_FO01_01_M3</v>
      </c>
      <c r="L677">
        <v>42000</v>
      </c>
    </row>
    <row r="678" spans="1:12" ht="21" customHeight="1" x14ac:dyDescent="0.25">
      <c r="A678" s="12" t="s">
        <v>159</v>
      </c>
      <c r="B678" s="19"/>
      <c r="C678" s="20"/>
      <c r="D678" s="21"/>
      <c r="E678" s="23"/>
      <c r="F678" s="25"/>
      <c r="G678" s="24">
        <v>51424.800000000003</v>
      </c>
      <c r="H678" s="20"/>
      <c r="I678" s="22"/>
      <c r="J678" s="20"/>
      <c r="K678" s="12" t="str">
        <f t="shared" si="382"/>
        <v>2853_02_01_FO01_01_M3</v>
      </c>
      <c r="L678">
        <v>51424.800000000003</v>
      </c>
    </row>
    <row r="679" spans="1:12" ht="39.75" customHeight="1" x14ac:dyDescent="0.25">
      <c r="A679" s="5" t="str">
        <f>D679</f>
        <v>ЩР-1 (FO01)</v>
      </c>
      <c r="B679" s="6"/>
      <c r="C679" s="7"/>
      <c r="D679" s="6" t="s">
        <v>210</v>
      </c>
      <c r="E679" s="8"/>
      <c r="F679" s="8" t="s">
        <v>40</v>
      </c>
      <c r="G679" s="9"/>
      <c r="H679" s="10">
        <v>1</v>
      </c>
      <c r="I679" s="11" t="s">
        <v>7</v>
      </c>
      <c r="J679" s="6" t="s">
        <v>9</v>
      </c>
      <c r="K679" s="5" t="s">
        <v>171</v>
      </c>
    </row>
    <row r="680" spans="1:12" ht="21" hidden="1" customHeight="1" x14ac:dyDescent="0.25">
      <c r="A680" s="12" t="str">
        <f>A679</f>
        <v>ЩР-1 (FO01)</v>
      </c>
      <c r="B680" s="13" t="s">
        <v>8</v>
      </c>
      <c r="C680" s="14" t="s">
        <v>239</v>
      </c>
      <c r="D680" s="12" t="s">
        <v>240</v>
      </c>
      <c r="E680" s="13">
        <v>8990</v>
      </c>
      <c r="F680" s="15">
        <f t="shared" ref="F680:F682" si="385">E680*0.6</f>
        <v>5394</v>
      </c>
      <c r="G680" s="15">
        <f t="shared" ref="G680:G684" si="386">H680*F680</f>
        <v>5394</v>
      </c>
      <c r="H680" s="16">
        <v>1</v>
      </c>
      <c r="I680" s="17" t="s">
        <v>13</v>
      </c>
      <c r="J680" s="13" t="s">
        <v>16</v>
      </c>
      <c r="K680" s="12" t="str">
        <f>K679</f>
        <v>2853_02_01_FO01_01_M3</v>
      </c>
      <c r="L680">
        <v>5394</v>
      </c>
    </row>
    <row r="681" spans="1:12" ht="21" hidden="1" customHeight="1" x14ac:dyDescent="0.25">
      <c r="A681" s="12" t="str">
        <f t="shared" ref="A681" si="387">A680</f>
        <v>ЩР-1 (FO01)</v>
      </c>
      <c r="B681" s="13" t="s">
        <v>48</v>
      </c>
      <c r="C681" s="14" t="s">
        <v>49</v>
      </c>
      <c r="D681" s="12" t="s">
        <v>50</v>
      </c>
      <c r="E681" s="13">
        <v>3372</v>
      </c>
      <c r="F681" s="15">
        <f t="shared" si="385"/>
        <v>2023.1999999999998</v>
      </c>
      <c r="G681" s="15">
        <f t="shared" si="386"/>
        <v>2023.1999999999998</v>
      </c>
      <c r="H681" s="16">
        <v>1</v>
      </c>
      <c r="I681" s="17" t="s">
        <v>13</v>
      </c>
      <c r="J681" s="13" t="s">
        <v>17</v>
      </c>
      <c r="K681" s="12" t="str">
        <f t="shared" ref="K681" si="388">K680</f>
        <v>2853_02_01_FO01_01_M3</v>
      </c>
      <c r="L681">
        <v>2023.1999999999998</v>
      </c>
    </row>
    <row r="682" spans="1:12" ht="21" hidden="1" customHeight="1" x14ac:dyDescent="0.25">
      <c r="A682" s="12" t="str">
        <f t="shared" ref="A682:A685" si="389">A681</f>
        <v>ЩР-1 (FO01)</v>
      </c>
      <c r="B682" s="13" t="s">
        <v>21</v>
      </c>
      <c r="C682" s="14" t="s">
        <v>174</v>
      </c>
      <c r="D682" s="12" t="s">
        <v>175</v>
      </c>
      <c r="E682" s="13">
        <v>5884</v>
      </c>
      <c r="F682" s="15">
        <f t="shared" si="385"/>
        <v>3530.4</v>
      </c>
      <c r="G682" s="15">
        <f t="shared" si="386"/>
        <v>14121.6</v>
      </c>
      <c r="H682" s="16">
        <v>4</v>
      </c>
      <c r="I682" s="17" t="s">
        <v>13</v>
      </c>
      <c r="J682" s="13" t="s">
        <v>17</v>
      </c>
      <c r="K682" s="12" t="str">
        <f t="shared" ref="K682:K685" si="390">K681</f>
        <v>2853_02_01_FO01_01_M3</v>
      </c>
      <c r="L682">
        <v>14121.6</v>
      </c>
    </row>
    <row r="683" spans="1:12" ht="24" hidden="1" customHeight="1" x14ac:dyDescent="0.25">
      <c r="A683" s="12" t="str">
        <f t="shared" si="389"/>
        <v>ЩР-1 (FO01)</v>
      </c>
      <c r="B683" s="12" t="s">
        <v>10</v>
      </c>
      <c r="C683" s="18" t="s">
        <v>10</v>
      </c>
      <c r="D683" s="12" t="s">
        <v>10</v>
      </c>
      <c r="E683" s="12">
        <f ca="1">OFFSET(E683,1,2)</f>
        <v>3000</v>
      </c>
      <c r="F683" s="15">
        <f ca="1">E683</f>
        <v>3000</v>
      </c>
      <c r="G683" s="15">
        <f t="shared" ca="1" si="386"/>
        <v>3000</v>
      </c>
      <c r="H683" s="12">
        <v>1</v>
      </c>
      <c r="I683" s="12" t="s">
        <v>13</v>
      </c>
      <c r="J683" s="12" t="s">
        <v>10</v>
      </c>
      <c r="K683" s="12" t="str">
        <f t="shared" si="390"/>
        <v>2853_02_01_FO01_01_M3</v>
      </c>
      <c r="L683">
        <v>3000</v>
      </c>
    </row>
    <row r="684" spans="1:12" ht="21" hidden="1" customHeight="1" x14ac:dyDescent="0.25">
      <c r="A684" s="12" t="str">
        <f t="shared" si="389"/>
        <v>ЩР-1 (FO01)</v>
      </c>
      <c r="B684" s="12" t="s">
        <v>11</v>
      </c>
      <c r="C684" s="18" t="s">
        <v>11</v>
      </c>
      <c r="D684" s="12" t="s">
        <v>11</v>
      </c>
      <c r="E684" s="12">
        <v>0.5</v>
      </c>
      <c r="F684" s="15">
        <v>100</v>
      </c>
      <c r="G684" s="15">
        <f t="shared" si="386"/>
        <v>3000</v>
      </c>
      <c r="H684" s="12">
        <f>60*E684</f>
        <v>30</v>
      </c>
      <c r="I684" s="12" t="s">
        <v>13</v>
      </c>
      <c r="J684" s="12" t="s">
        <v>11</v>
      </c>
      <c r="K684" s="12" t="str">
        <f t="shared" si="390"/>
        <v>2853_02_01_FO01_01_M3</v>
      </c>
      <c r="L684">
        <v>3000</v>
      </c>
    </row>
    <row r="685" spans="1:12" ht="30" customHeight="1" x14ac:dyDescent="0.25">
      <c r="A685" s="12" t="str">
        <f t="shared" si="389"/>
        <v>ЩР-1 (FO01)</v>
      </c>
      <c r="B685" s="19"/>
      <c r="C685" s="20"/>
      <c r="D685" s="21"/>
      <c r="E685" s="23"/>
      <c r="F685" s="25"/>
      <c r="G685" s="24">
        <f ca="1">SUM(G680:G684)</f>
        <v>27538.799999999999</v>
      </c>
      <c r="H685" s="20"/>
      <c r="I685" s="22"/>
      <c r="J685" s="20"/>
      <c r="K685" s="12" t="str">
        <f t="shared" si="390"/>
        <v>2853_02_01_FO01_01_M3</v>
      </c>
      <c r="L685">
        <v>27538.799999999999</v>
      </c>
    </row>
    <row r="686" spans="1:12" ht="39.75" customHeight="1" x14ac:dyDescent="0.25">
      <c r="A686" s="5" t="str">
        <f>D686</f>
        <v>ЩР-2 (FO01)</v>
      </c>
      <c r="B686" s="6"/>
      <c r="C686" s="7"/>
      <c r="D686" s="6" t="s">
        <v>211</v>
      </c>
      <c r="E686" s="8"/>
      <c r="F686" s="8" t="s">
        <v>40</v>
      </c>
      <c r="G686" s="9"/>
      <c r="H686" s="10">
        <v>1</v>
      </c>
      <c r="I686" s="11" t="s">
        <v>7</v>
      </c>
      <c r="J686" s="6" t="s">
        <v>9</v>
      </c>
      <c r="K686" s="5" t="s">
        <v>171</v>
      </c>
    </row>
    <row r="687" spans="1:12" ht="21" hidden="1" customHeight="1" x14ac:dyDescent="0.25">
      <c r="A687" s="12" t="str">
        <f>A686</f>
        <v>ЩР-2 (FO01)</v>
      </c>
      <c r="B687" s="13" t="s">
        <v>8</v>
      </c>
      <c r="C687" s="14" t="s">
        <v>239</v>
      </c>
      <c r="D687" s="12" t="s">
        <v>240</v>
      </c>
      <c r="E687" s="13">
        <v>8990</v>
      </c>
      <c r="F687" s="15">
        <f t="shared" ref="F687:F689" si="391">E687*0.6</f>
        <v>5394</v>
      </c>
      <c r="G687" s="15">
        <f t="shared" ref="G687:G691" si="392">H687*F687</f>
        <v>5394</v>
      </c>
      <c r="H687" s="16">
        <v>1</v>
      </c>
      <c r="I687" s="17" t="s">
        <v>13</v>
      </c>
      <c r="J687" s="13" t="s">
        <v>16</v>
      </c>
      <c r="K687" s="12" t="str">
        <f>K686</f>
        <v>2853_02_01_FO01_01_M3</v>
      </c>
      <c r="L687">
        <v>5394</v>
      </c>
    </row>
    <row r="688" spans="1:12" ht="21" hidden="1" customHeight="1" x14ac:dyDescent="0.25">
      <c r="A688" s="12" t="str">
        <f t="shared" ref="A688:A692" si="393">A687</f>
        <v>ЩР-2 (FO01)</v>
      </c>
      <c r="B688" s="13" t="s">
        <v>48</v>
      </c>
      <c r="C688" s="14" t="s">
        <v>49</v>
      </c>
      <c r="D688" s="12" t="s">
        <v>50</v>
      </c>
      <c r="E688" s="13">
        <v>3372</v>
      </c>
      <c r="F688" s="15">
        <f t="shared" si="391"/>
        <v>2023.1999999999998</v>
      </c>
      <c r="G688" s="15">
        <f t="shared" si="392"/>
        <v>2023.1999999999998</v>
      </c>
      <c r="H688" s="16">
        <v>1</v>
      </c>
      <c r="I688" s="17" t="s">
        <v>13</v>
      </c>
      <c r="J688" s="13" t="s">
        <v>17</v>
      </c>
      <c r="K688" s="12" t="str">
        <f t="shared" ref="K688:K692" si="394">K687</f>
        <v>2853_02_01_FO01_01_M3</v>
      </c>
      <c r="L688">
        <v>2023.1999999999998</v>
      </c>
    </row>
    <row r="689" spans="1:12" ht="21" hidden="1" customHeight="1" x14ac:dyDescent="0.25">
      <c r="A689" s="12" t="str">
        <f t="shared" si="393"/>
        <v>ЩР-2 (FO01)</v>
      </c>
      <c r="B689" s="13" t="s">
        <v>21</v>
      </c>
      <c r="C689" s="14" t="s">
        <v>174</v>
      </c>
      <c r="D689" s="12" t="s">
        <v>175</v>
      </c>
      <c r="E689" s="13">
        <v>5884</v>
      </c>
      <c r="F689" s="15">
        <f t="shared" si="391"/>
        <v>3530.4</v>
      </c>
      <c r="G689" s="15">
        <f t="shared" si="392"/>
        <v>10591.2</v>
      </c>
      <c r="H689" s="16">
        <v>3</v>
      </c>
      <c r="I689" s="17" t="s">
        <v>13</v>
      </c>
      <c r="J689" s="13" t="s">
        <v>17</v>
      </c>
      <c r="K689" s="12" t="str">
        <f t="shared" si="394"/>
        <v>2853_02_01_FO01_01_M3</v>
      </c>
      <c r="L689">
        <v>10591.2</v>
      </c>
    </row>
    <row r="690" spans="1:12" ht="24" hidden="1" customHeight="1" x14ac:dyDescent="0.25">
      <c r="A690" s="12" t="str">
        <f t="shared" si="393"/>
        <v>ЩР-2 (FO01)</v>
      </c>
      <c r="B690" s="12" t="s">
        <v>10</v>
      </c>
      <c r="C690" s="18" t="s">
        <v>10</v>
      </c>
      <c r="D690" s="12" t="s">
        <v>10</v>
      </c>
      <c r="E690" s="12">
        <f ca="1">OFFSET(E690,1,2)</f>
        <v>3000</v>
      </c>
      <c r="F690" s="15">
        <f ca="1">E690</f>
        <v>3000</v>
      </c>
      <c r="G690" s="15">
        <f t="shared" ca="1" si="392"/>
        <v>3000</v>
      </c>
      <c r="H690" s="12">
        <v>1</v>
      </c>
      <c r="I690" s="12" t="s">
        <v>13</v>
      </c>
      <c r="J690" s="12" t="s">
        <v>10</v>
      </c>
      <c r="K690" s="12" t="str">
        <f t="shared" si="394"/>
        <v>2853_02_01_FO01_01_M3</v>
      </c>
      <c r="L690">
        <v>3000</v>
      </c>
    </row>
    <row r="691" spans="1:12" ht="21" hidden="1" customHeight="1" x14ac:dyDescent="0.25">
      <c r="A691" s="12" t="str">
        <f t="shared" si="393"/>
        <v>ЩР-2 (FO01)</v>
      </c>
      <c r="B691" s="12" t="s">
        <v>11</v>
      </c>
      <c r="C691" s="18" t="s">
        <v>11</v>
      </c>
      <c r="D691" s="12" t="s">
        <v>11</v>
      </c>
      <c r="E691" s="12">
        <v>0.5</v>
      </c>
      <c r="F691" s="15">
        <v>100</v>
      </c>
      <c r="G691" s="15">
        <f t="shared" si="392"/>
        <v>3000</v>
      </c>
      <c r="H691" s="12">
        <f>60*E691</f>
        <v>30</v>
      </c>
      <c r="I691" s="12" t="s">
        <v>13</v>
      </c>
      <c r="J691" s="12" t="s">
        <v>11</v>
      </c>
      <c r="K691" s="12" t="str">
        <f t="shared" si="394"/>
        <v>2853_02_01_FO01_01_M3</v>
      </c>
      <c r="L691">
        <v>3000</v>
      </c>
    </row>
    <row r="692" spans="1:12" ht="30" customHeight="1" x14ac:dyDescent="0.25">
      <c r="A692" s="12" t="str">
        <f t="shared" si="393"/>
        <v>ЩР-2 (FO01)</v>
      </c>
      <c r="B692" s="19"/>
      <c r="C692" s="20"/>
      <c r="D692" s="21"/>
      <c r="E692" s="23"/>
      <c r="F692" s="25"/>
      <c r="G692" s="24">
        <f ca="1">SUM(G687:G691)</f>
        <v>24008.400000000001</v>
      </c>
      <c r="H692" s="20"/>
      <c r="I692" s="22"/>
      <c r="J692" s="20"/>
      <c r="K692" s="12" t="str">
        <f t="shared" si="394"/>
        <v>2853_02_01_FO01_01_M3</v>
      </c>
      <c r="L692">
        <v>24008.400000000001</v>
      </c>
    </row>
    <row r="693" spans="1:12" ht="39.75" customHeight="1" x14ac:dyDescent="0.25">
      <c r="A693" s="5" t="str">
        <f>D693</f>
        <v>ВРЩ-п (ВРУ1-21-10) (P1)</v>
      </c>
      <c r="B693" s="6"/>
      <c r="C693" s="7"/>
      <c r="D693" s="6" t="s">
        <v>310</v>
      </c>
      <c r="E693" s="8"/>
      <c r="F693" s="8" t="s">
        <v>40</v>
      </c>
      <c r="G693" s="9"/>
      <c r="H693" s="10">
        <v>1</v>
      </c>
      <c r="I693" s="11" t="s">
        <v>7</v>
      </c>
      <c r="J693" s="6" t="s">
        <v>9</v>
      </c>
      <c r="K693" s="5" t="s">
        <v>180</v>
      </c>
    </row>
    <row r="694" spans="1:12" ht="21" hidden="1" customHeight="1" x14ac:dyDescent="0.25">
      <c r="A694" s="12" t="str">
        <f>A693</f>
        <v>ВРЩ-п (ВРУ1-21-10) (P1)</v>
      </c>
      <c r="B694" s="13" t="s">
        <v>8</v>
      </c>
      <c r="C694" s="14" t="s">
        <v>38</v>
      </c>
      <c r="D694" s="12" t="s">
        <v>39</v>
      </c>
      <c r="E694" s="13">
        <v>155000</v>
      </c>
      <c r="F694" s="15">
        <f>E694*0.6</f>
        <v>93000</v>
      </c>
      <c r="G694" s="15">
        <f t="shared" ref="G694:G710" si="395">H694*F694</f>
        <v>93000</v>
      </c>
      <c r="H694" s="16">
        <v>1</v>
      </c>
      <c r="I694" s="17" t="s">
        <v>13</v>
      </c>
      <c r="J694" s="13" t="s">
        <v>16</v>
      </c>
      <c r="K694" s="12" t="str">
        <f>K693</f>
        <v>2853_02_01_P1_EM01_01_M3</v>
      </c>
      <c r="L694">
        <v>93000</v>
      </c>
    </row>
    <row r="695" spans="1:12" ht="21" hidden="1" customHeight="1" x14ac:dyDescent="0.25">
      <c r="A695" s="12" t="str">
        <f t="shared" ref="A695:A711" si="396">A694</f>
        <v>ВРЩ-п (ВРУ1-21-10) (P1)</v>
      </c>
      <c r="B695" s="13" t="s">
        <v>25</v>
      </c>
      <c r="C695" s="14" t="s">
        <v>44</v>
      </c>
      <c r="D695" s="12" t="s">
        <v>45</v>
      </c>
      <c r="E695" s="13">
        <v>6018</v>
      </c>
      <c r="F695" s="15">
        <f>E695</f>
        <v>6018</v>
      </c>
      <c r="G695" s="15">
        <f t="shared" si="395"/>
        <v>36108</v>
      </c>
      <c r="H695" s="16">
        <v>6</v>
      </c>
      <c r="I695" s="17" t="s">
        <v>13</v>
      </c>
      <c r="J695" s="13" t="s">
        <v>24</v>
      </c>
      <c r="K695" s="12" t="str">
        <f t="shared" ref="K695:K711" si="397">K694</f>
        <v>2853_02_01_P1_EM01_01_M3</v>
      </c>
      <c r="L695">
        <v>36108</v>
      </c>
    </row>
    <row r="696" spans="1:12" ht="21" hidden="1" customHeight="1" x14ac:dyDescent="0.25">
      <c r="A696" s="12" t="str">
        <f t="shared" si="396"/>
        <v>ВРЩ-п (ВРУ1-21-10) (P1)</v>
      </c>
      <c r="B696" s="13" t="s">
        <v>29</v>
      </c>
      <c r="C696" s="14" t="s">
        <v>100</v>
      </c>
      <c r="D696" s="12" t="s">
        <v>101</v>
      </c>
      <c r="E696" s="13">
        <v>24948</v>
      </c>
      <c r="F696" s="15">
        <f>E696</f>
        <v>24948</v>
      </c>
      <c r="G696" s="15">
        <f t="shared" si="395"/>
        <v>24948</v>
      </c>
      <c r="H696" s="16">
        <v>1</v>
      </c>
      <c r="I696" s="17" t="s">
        <v>13</v>
      </c>
      <c r="J696" s="13" t="s">
        <v>24</v>
      </c>
      <c r="K696" s="12" t="str">
        <f t="shared" si="397"/>
        <v>2853_02_01_P1_EM01_01_M3</v>
      </c>
      <c r="L696">
        <v>24948</v>
      </c>
    </row>
    <row r="697" spans="1:12" ht="21" hidden="1" customHeight="1" x14ac:dyDescent="0.25">
      <c r="A697" s="12" t="str">
        <f t="shared" si="396"/>
        <v>ВРЩ-п (ВРУ1-21-10) (P1)</v>
      </c>
      <c r="B697" s="13" t="s">
        <v>30</v>
      </c>
      <c r="C697" s="14" t="s">
        <v>176</v>
      </c>
      <c r="D697" s="12" t="s">
        <v>177</v>
      </c>
      <c r="E697" s="13">
        <v>2225</v>
      </c>
      <c r="F697" s="15">
        <f t="shared" ref="F697:F706" si="398">E697*0.6</f>
        <v>1335</v>
      </c>
      <c r="G697" s="15">
        <f t="shared" si="395"/>
        <v>4005</v>
      </c>
      <c r="H697" s="16">
        <v>3</v>
      </c>
      <c r="I697" s="17" t="s">
        <v>13</v>
      </c>
      <c r="J697" s="13" t="s">
        <v>17</v>
      </c>
      <c r="K697" s="12" t="str">
        <f t="shared" si="397"/>
        <v>2853_02_01_P1_EM01_01_M3</v>
      </c>
      <c r="L697">
        <v>4005</v>
      </c>
    </row>
    <row r="698" spans="1:12" ht="21" hidden="1" customHeight="1" x14ac:dyDescent="0.25">
      <c r="A698" s="12" t="str">
        <f t="shared" si="396"/>
        <v>ВРЩ-п (ВРУ1-21-10) (P1)</v>
      </c>
      <c r="B698" s="13" t="s">
        <v>30</v>
      </c>
      <c r="C698" s="14" t="s">
        <v>88</v>
      </c>
      <c r="D698" s="12" t="s">
        <v>89</v>
      </c>
      <c r="E698" s="13">
        <v>4750</v>
      </c>
      <c r="F698" s="15">
        <f t="shared" si="398"/>
        <v>2850</v>
      </c>
      <c r="G698" s="15">
        <f t="shared" si="395"/>
        <v>8550</v>
      </c>
      <c r="H698" s="16">
        <v>3</v>
      </c>
      <c r="I698" s="17" t="s">
        <v>13</v>
      </c>
      <c r="J698" s="13" t="s">
        <v>17</v>
      </c>
      <c r="K698" s="12" t="str">
        <f t="shared" si="397"/>
        <v>2853_02_01_P1_EM01_01_M3</v>
      </c>
      <c r="L698">
        <v>8550</v>
      </c>
    </row>
    <row r="699" spans="1:12" ht="21" hidden="1" customHeight="1" x14ac:dyDescent="0.25">
      <c r="A699" s="12" t="str">
        <f t="shared" si="396"/>
        <v>ВРЩ-п (ВРУ1-21-10) (P1)</v>
      </c>
      <c r="B699" s="13" t="s">
        <v>33</v>
      </c>
      <c r="C699" s="14" t="s">
        <v>22</v>
      </c>
      <c r="D699" s="12" t="s">
        <v>23</v>
      </c>
      <c r="E699" s="13">
        <v>19443</v>
      </c>
      <c r="F699" s="15">
        <f t="shared" si="398"/>
        <v>11665.8</v>
      </c>
      <c r="G699" s="15">
        <f t="shared" si="395"/>
        <v>11665.8</v>
      </c>
      <c r="H699" s="16">
        <v>1</v>
      </c>
      <c r="I699" s="17" t="s">
        <v>13</v>
      </c>
      <c r="J699" s="13" t="s">
        <v>17</v>
      </c>
      <c r="K699" s="12" t="str">
        <f t="shared" si="397"/>
        <v>2853_02_01_P1_EM01_01_M3</v>
      </c>
      <c r="L699">
        <v>11665.8</v>
      </c>
    </row>
    <row r="700" spans="1:12" ht="21" hidden="1" customHeight="1" x14ac:dyDescent="0.25">
      <c r="A700" s="12" t="str">
        <f t="shared" si="396"/>
        <v>ВРЩ-п (ВРУ1-21-10) (P1)</v>
      </c>
      <c r="B700" s="13" t="s">
        <v>33</v>
      </c>
      <c r="C700" s="14" t="s">
        <v>31</v>
      </c>
      <c r="D700" s="12" t="s">
        <v>32</v>
      </c>
      <c r="E700" s="13">
        <v>19418</v>
      </c>
      <c r="F700" s="15">
        <f t="shared" si="398"/>
        <v>11650.8</v>
      </c>
      <c r="G700" s="15">
        <f t="shared" si="395"/>
        <v>11650.8</v>
      </c>
      <c r="H700" s="16">
        <v>1</v>
      </c>
      <c r="I700" s="17" t="s">
        <v>13</v>
      </c>
      <c r="J700" s="13" t="s">
        <v>17</v>
      </c>
      <c r="K700" s="12" t="str">
        <f t="shared" si="397"/>
        <v>2853_02_01_P1_EM01_01_M3</v>
      </c>
      <c r="L700">
        <v>11650.8</v>
      </c>
    </row>
    <row r="701" spans="1:12" ht="21" hidden="1" customHeight="1" x14ac:dyDescent="0.25">
      <c r="A701" s="12" t="str">
        <f t="shared" si="396"/>
        <v>ВРЩ-п (ВРУ1-21-10) (P1)</v>
      </c>
      <c r="B701" s="13" t="s">
        <v>33</v>
      </c>
      <c r="C701" s="14" t="s">
        <v>106</v>
      </c>
      <c r="D701" s="12" t="s">
        <v>107</v>
      </c>
      <c r="E701" s="13">
        <v>20174</v>
      </c>
      <c r="F701" s="15">
        <f t="shared" si="398"/>
        <v>12104.4</v>
      </c>
      <c r="G701" s="15">
        <f t="shared" si="395"/>
        <v>12104.4</v>
      </c>
      <c r="H701" s="16">
        <v>1</v>
      </c>
      <c r="I701" s="17" t="s">
        <v>13</v>
      </c>
      <c r="J701" s="13" t="s">
        <v>17</v>
      </c>
      <c r="K701" s="12" t="str">
        <f t="shared" si="397"/>
        <v>2853_02_01_P1_EM01_01_M3</v>
      </c>
      <c r="L701">
        <v>12104.4</v>
      </c>
    </row>
    <row r="702" spans="1:12" ht="21" hidden="1" customHeight="1" x14ac:dyDescent="0.25">
      <c r="A702" s="12" t="str">
        <f t="shared" si="396"/>
        <v>ВРЩ-п (ВРУ1-21-10) (P1)</v>
      </c>
      <c r="B702" s="13" t="s">
        <v>33</v>
      </c>
      <c r="C702" s="14" t="s">
        <v>94</v>
      </c>
      <c r="D702" s="12" t="s">
        <v>95</v>
      </c>
      <c r="E702" s="13">
        <v>19700</v>
      </c>
      <c r="F702" s="15">
        <f t="shared" si="398"/>
        <v>11820</v>
      </c>
      <c r="G702" s="15">
        <f t="shared" si="395"/>
        <v>23640</v>
      </c>
      <c r="H702" s="16">
        <v>2</v>
      </c>
      <c r="I702" s="17" t="s">
        <v>13</v>
      </c>
      <c r="J702" s="13" t="s">
        <v>17</v>
      </c>
      <c r="K702" s="12" t="str">
        <f t="shared" si="397"/>
        <v>2853_02_01_P1_EM01_01_M3</v>
      </c>
      <c r="L702">
        <v>23640</v>
      </c>
    </row>
    <row r="703" spans="1:12" ht="21" hidden="1" customHeight="1" x14ac:dyDescent="0.25">
      <c r="A703" s="12" t="str">
        <f t="shared" si="396"/>
        <v>ВРЩ-п (ВРУ1-21-10) (P1)</v>
      </c>
      <c r="B703" s="13" t="s">
        <v>33</v>
      </c>
      <c r="C703" s="14" t="s">
        <v>92</v>
      </c>
      <c r="D703" s="12" t="s">
        <v>93</v>
      </c>
      <c r="E703" s="13">
        <v>18139</v>
      </c>
      <c r="F703" s="15">
        <f t="shared" si="398"/>
        <v>10883.4</v>
      </c>
      <c r="G703" s="15">
        <f t="shared" si="395"/>
        <v>21766.799999999999</v>
      </c>
      <c r="H703" s="16">
        <v>2</v>
      </c>
      <c r="I703" s="17" t="s">
        <v>13</v>
      </c>
      <c r="J703" s="13" t="s">
        <v>17</v>
      </c>
      <c r="K703" s="12" t="str">
        <f t="shared" si="397"/>
        <v>2853_02_01_P1_EM01_01_M3</v>
      </c>
      <c r="L703">
        <v>21766.799999999999</v>
      </c>
    </row>
    <row r="704" spans="1:12" ht="21" hidden="1" customHeight="1" x14ac:dyDescent="0.25">
      <c r="A704" s="12" t="str">
        <f t="shared" si="396"/>
        <v>ВРЩ-п (ВРУ1-21-10) (P1)</v>
      </c>
      <c r="B704" s="13" t="s">
        <v>33</v>
      </c>
      <c r="C704" s="14" t="s">
        <v>178</v>
      </c>
      <c r="D704" s="12" t="s">
        <v>179</v>
      </c>
      <c r="E704" s="13">
        <v>17405</v>
      </c>
      <c r="F704" s="15">
        <f t="shared" si="398"/>
        <v>10443</v>
      </c>
      <c r="G704" s="15">
        <f t="shared" si="395"/>
        <v>10443</v>
      </c>
      <c r="H704" s="16">
        <v>1</v>
      </c>
      <c r="I704" s="17" t="s">
        <v>13</v>
      </c>
      <c r="J704" s="13" t="s">
        <v>17</v>
      </c>
      <c r="K704" s="12" t="str">
        <f t="shared" si="397"/>
        <v>2853_02_01_P1_EM01_01_M3</v>
      </c>
      <c r="L704">
        <v>10443</v>
      </c>
    </row>
    <row r="705" spans="1:12" ht="21" hidden="1" customHeight="1" x14ac:dyDescent="0.25">
      <c r="A705" s="12" t="str">
        <f t="shared" si="396"/>
        <v>ВРЩ-п (ВРУ1-21-10) (P1)</v>
      </c>
      <c r="B705" s="13" t="s">
        <v>12</v>
      </c>
      <c r="C705" s="14" t="s">
        <v>67</v>
      </c>
      <c r="D705" s="12" t="s">
        <v>68</v>
      </c>
      <c r="E705" s="13">
        <v>796</v>
      </c>
      <c r="F705" s="15">
        <f t="shared" si="398"/>
        <v>477.59999999999997</v>
      </c>
      <c r="G705" s="15">
        <f t="shared" si="395"/>
        <v>477.59999999999997</v>
      </c>
      <c r="H705" s="16">
        <v>1</v>
      </c>
      <c r="I705" s="17" t="s">
        <v>13</v>
      </c>
      <c r="J705" s="13" t="s">
        <v>17</v>
      </c>
      <c r="K705" s="12" t="str">
        <f t="shared" si="397"/>
        <v>2853_02_01_P1_EM01_01_M3</v>
      </c>
      <c r="L705">
        <v>477.59999999999997</v>
      </c>
    </row>
    <row r="706" spans="1:12" ht="21" hidden="1" customHeight="1" x14ac:dyDescent="0.25">
      <c r="A706" s="12" t="str">
        <f t="shared" si="396"/>
        <v>ВРЩ-п (ВРУ1-21-10) (P1)</v>
      </c>
      <c r="B706" s="13" t="s">
        <v>12</v>
      </c>
      <c r="C706" s="14" t="s">
        <v>19</v>
      </c>
      <c r="D706" s="12" t="s">
        <v>20</v>
      </c>
      <c r="E706" s="13">
        <v>975</v>
      </c>
      <c r="F706" s="15">
        <f t="shared" si="398"/>
        <v>585</v>
      </c>
      <c r="G706" s="15">
        <f t="shared" si="395"/>
        <v>1170</v>
      </c>
      <c r="H706" s="16">
        <v>2</v>
      </c>
      <c r="I706" s="17" t="s">
        <v>13</v>
      </c>
      <c r="J706" s="13" t="s">
        <v>17</v>
      </c>
      <c r="K706" s="12" t="str">
        <f t="shared" si="397"/>
        <v>2853_02_01_P1_EM01_01_M3</v>
      </c>
      <c r="L706">
        <v>1170</v>
      </c>
    </row>
    <row r="707" spans="1:12" ht="22.5" hidden="1" customHeight="1" x14ac:dyDescent="0.25">
      <c r="A707" s="12" t="str">
        <f t="shared" si="396"/>
        <v>ВРЩ-п (ВРУ1-21-10) (P1)</v>
      </c>
      <c r="B707" s="13" t="s">
        <v>18</v>
      </c>
      <c r="C707" s="14" t="s">
        <v>225</v>
      </c>
      <c r="D707" s="12" t="s">
        <v>226</v>
      </c>
      <c r="E707" s="13">
        <v>90000</v>
      </c>
      <c r="F707" s="15">
        <f t="shared" ref="F707:F708" si="399">E707</f>
        <v>90000</v>
      </c>
      <c r="G707" s="15">
        <f t="shared" si="395"/>
        <v>90000</v>
      </c>
      <c r="H707" s="16">
        <v>1</v>
      </c>
      <c r="I707" s="17" t="s">
        <v>13</v>
      </c>
      <c r="J707" s="13" t="s">
        <v>24</v>
      </c>
      <c r="K707" s="12" t="str">
        <f t="shared" si="397"/>
        <v>2853_02_01_P1_EM01_01_M3</v>
      </c>
      <c r="L707">
        <v>90000</v>
      </c>
    </row>
    <row r="708" spans="1:12" ht="21" hidden="1" customHeight="1" x14ac:dyDescent="0.25">
      <c r="A708" s="12" t="str">
        <f t="shared" si="396"/>
        <v>ВРЩ-п (ВРУ1-21-10) (P1)</v>
      </c>
      <c r="B708" s="13" t="s">
        <v>28</v>
      </c>
      <c r="C708" s="14"/>
      <c r="D708" s="12" t="s">
        <v>28</v>
      </c>
      <c r="E708" s="13">
        <v>1000</v>
      </c>
      <c r="F708" s="15">
        <f t="shared" si="399"/>
        <v>1000</v>
      </c>
      <c r="G708" s="15">
        <f t="shared" si="395"/>
        <v>1000</v>
      </c>
      <c r="H708" s="16">
        <v>1</v>
      </c>
      <c r="I708" s="17" t="s">
        <v>13</v>
      </c>
      <c r="J708" s="13" t="s">
        <v>24</v>
      </c>
      <c r="K708" s="12" t="str">
        <f t="shared" si="397"/>
        <v>2853_02_01_P1_EM01_01_M3</v>
      </c>
      <c r="L708">
        <v>1000</v>
      </c>
    </row>
    <row r="709" spans="1:12" ht="24" hidden="1" customHeight="1" x14ac:dyDescent="0.25">
      <c r="A709" s="12" t="str">
        <f t="shared" si="396"/>
        <v>ВРЩ-п (ВРУ1-21-10) (P1)</v>
      </c>
      <c r="B709" s="12" t="s">
        <v>10</v>
      </c>
      <c r="C709" s="18" t="s">
        <v>10</v>
      </c>
      <c r="D709" s="12" t="s">
        <v>10</v>
      </c>
      <c r="E709" s="12">
        <f ca="1">OFFSET(E709,1,2)</f>
        <v>48000</v>
      </c>
      <c r="F709" s="15">
        <f ca="1">E709</f>
        <v>48000</v>
      </c>
      <c r="G709" s="15">
        <f t="shared" ca="1" si="395"/>
        <v>48000</v>
      </c>
      <c r="H709" s="12">
        <v>1</v>
      </c>
      <c r="I709" s="12" t="s">
        <v>13</v>
      </c>
      <c r="J709" s="12" t="s">
        <v>10</v>
      </c>
      <c r="K709" s="12" t="str">
        <f t="shared" si="397"/>
        <v>2853_02_01_P1_EM01_01_M3</v>
      </c>
      <c r="L709">
        <v>48000</v>
      </c>
    </row>
    <row r="710" spans="1:12" ht="21" hidden="1" customHeight="1" x14ac:dyDescent="0.25">
      <c r="A710" s="12" t="str">
        <f t="shared" si="396"/>
        <v>ВРЩ-п (ВРУ1-21-10) (P1)</v>
      </c>
      <c r="B710" s="12" t="s">
        <v>11</v>
      </c>
      <c r="C710" s="18" t="s">
        <v>11</v>
      </c>
      <c r="D710" s="12" t="s">
        <v>11</v>
      </c>
      <c r="E710" s="12">
        <v>8</v>
      </c>
      <c r="F710" s="15">
        <v>100</v>
      </c>
      <c r="G710" s="15">
        <f t="shared" si="395"/>
        <v>48000</v>
      </c>
      <c r="H710" s="12">
        <f>60*E710</f>
        <v>480</v>
      </c>
      <c r="I710" s="12" t="s">
        <v>13</v>
      </c>
      <c r="J710" s="12" t="s">
        <v>11</v>
      </c>
      <c r="K710" s="12" t="str">
        <f t="shared" si="397"/>
        <v>2853_02_01_P1_EM01_01_M3</v>
      </c>
      <c r="L710">
        <v>48000</v>
      </c>
    </row>
    <row r="711" spans="1:12" ht="30" customHeight="1" x14ac:dyDescent="0.25">
      <c r="A711" s="12" t="str">
        <f t="shared" si="396"/>
        <v>ВРЩ-п (ВРУ1-21-10) (P1)</v>
      </c>
      <c r="B711" s="19"/>
      <c r="C711" s="20"/>
      <c r="D711" s="21"/>
      <c r="E711" s="23"/>
      <c r="F711" s="25"/>
      <c r="G711" s="24">
        <f ca="1">SUM(G694:G710)</f>
        <v>446529.39999999997</v>
      </c>
      <c r="H711" s="20"/>
      <c r="I711" s="22"/>
      <c r="J711" s="20"/>
      <c r="K711" s="12" t="str">
        <f t="shared" si="397"/>
        <v>2853_02_01_P1_EM01_01_M3</v>
      </c>
      <c r="L711">
        <v>446529.39999999997</v>
      </c>
    </row>
    <row r="712" spans="1:12" ht="39.75" customHeight="1" x14ac:dyDescent="0.25">
      <c r="A712" s="5" t="str">
        <f>D712</f>
        <v>ЩМП-п2(ЩМП-80.80.40) (P1)</v>
      </c>
      <c r="B712" s="6"/>
      <c r="C712" s="7"/>
      <c r="D712" s="6" t="s">
        <v>311</v>
      </c>
      <c r="E712" s="8"/>
      <c r="F712" s="8" t="s">
        <v>40</v>
      </c>
      <c r="G712" s="9"/>
      <c r="H712" s="10">
        <v>1</v>
      </c>
      <c r="I712" s="11" t="s">
        <v>7</v>
      </c>
      <c r="J712" s="6" t="s">
        <v>9</v>
      </c>
      <c r="K712" s="5" t="s">
        <v>180</v>
      </c>
    </row>
    <row r="713" spans="1:12" ht="21" hidden="1" customHeight="1" x14ac:dyDescent="0.25">
      <c r="A713" s="12" t="str">
        <f>A712</f>
        <v>ЩМП-п2(ЩМП-80.80.40) (P1)</v>
      </c>
      <c r="B713" s="13" t="s">
        <v>8</v>
      </c>
      <c r="C713" s="14" t="s">
        <v>344</v>
      </c>
      <c r="D713" s="12" t="s">
        <v>335</v>
      </c>
      <c r="E713" s="13">
        <v>58000</v>
      </c>
      <c r="F713" s="15">
        <f t="shared" ref="F713:F717" si="400">E713*0.6</f>
        <v>34800</v>
      </c>
      <c r="G713" s="15">
        <f t="shared" ref="G713:G721" si="401">H713*F713</f>
        <v>34800</v>
      </c>
      <c r="H713" s="16">
        <v>1</v>
      </c>
      <c r="I713" s="17" t="s">
        <v>13</v>
      </c>
      <c r="J713" s="13" t="s">
        <v>16</v>
      </c>
      <c r="K713" s="12" t="str">
        <f>K712</f>
        <v>2853_02_01_P1_EM01_01_M3</v>
      </c>
      <c r="L713">
        <v>34800</v>
      </c>
    </row>
    <row r="714" spans="1:12" ht="21" hidden="1" customHeight="1" x14ac:dyDescent="0.25">
      <c r="A714" s="12" t="str">
        <f t="shared" ref="A714:A722" si="402">A713</f>
        <v>ЩМП-п2(ЩМП-80.80.40) (P1)</v>
      </c>
      <c r="B714" s="13" t="s">
        <v>12</v>
      </c>
      <c r="C714" s="14" t="s">
        <v>96</v>
      </c>
      <c r="D714" s="12" t="s">
        <v>97</v>
      </c>
      <c r="E714" s="13">
        <v>2429</v>
      </c>
      <c r="F714" s="15">
        <f t="shared" si="400"/>
        <v>1457.3999999999999</v>
      </c>
      <c r="G714" s="15">
        <f t="shared" si="401"/>
        <v>2914.7999999999997</v>
      </c>
      <c r="H714" s="16">
        <v>2</v>
      </c>
      <c r="I714" s="17" t="s">
        <v>13</v>
      </c>
      <c r="J714" s="13" t="s">
        <v>17</v>
      </c>
      <c r="K714" s="12" t="str">
        <f t="shared" ref="K714:K722" si="403">K713</f>
        <v>2853_02_01_P1_EM01_01_M3</v>
      </c>
      <c r="L714">
        <v>2914.7999999999997</v>
      </c>
    </row>
    <row r="715" spans="1:12" ht="21" hidden="1" customHeight="1" x14ac:dyDescent="0.25">
      <c r="A715" s="12" t="str">
        <f t="shared" si="402"/>
        <v>ЩМП-п2(ЩМП-80.80.40) (P1)</v>
      </c>
      <c r="B715" s="13" t="s">
        <v>12</v>
      </c>
      <c r="C715" s="14" t="s">
        <v>36</v>
      </c>
      <c r="D715" s="12" t="s">
        <v>37</v>
      </c>
      <c r="E715" s="13">
        <v>783</v>
      </c>
      <c r="F715" s="15">
        <f t="shared" si="400"/>
        <v>469.79999999999995</v>
      </c>
      <c r="G715" s="15">
        <f t="shared" si="401"/>
        <v>469.79999999999995</v>
      </c>
      <c r="H715" s="16">
        <v>1</v>
      </c>
      <c r="I715" s="17" t="s">
        <v>13</v>
      </c>
      <c r="J715" s="13" t="s">
        <v>17</v>
      </c>
      <c r="K715" s="12" t="str">
        <f t="shared" si="403"/>
        <v>2853_02_01_P1_EM01_01_M3</v>
      </c>
      <c r="L715">
        <v>469.79999999999995</v>
      </c>
    </row>
    <row r="716" spans="1:12" ht="21" hidden="1" customHeight="1" x14ac:dyDescent="0.25">
      <c r="A716" s="12" t="str">
        <f t="shared" si="402"/>
        <v>ЩМП-п2(ЩМП-80.80.40) (P1)</v>
      </c>
      <c r="B716" s="13" t="s">
        <v>48</v>
      </c>
      <c r="C716" s="14" t="s">
        <v>51</v>
      </c>
      <c r="D716" s="12" t="s">
        <v>52</v>
      </c>
      <c r="E716" s="13">
        <v>3372</v>
      </c>
      <c r="F716" s="15">
        <f t="shared" si="400"/>
        <v>2023.1999999999998</v>
      </c>
      <c r="G716" s="15">
        <f t="shared" si="401"/>
        <v>4046.3999999999996</v>
      </c>
      <c r="H716" s="16">
        <v>2</v>
      </c>
      <c r="I716" s="17" t="s">
        <v>13</v>
      </c>
      <c r="J716" s="13" t="s">
        <v>17</v>
      </c>
      <c r="K716" s="12" t="str">
        <f t="shared" si="403"/>
        <v>2853_02_01_P1_EM01_01_M3</v>
      </c>
      <c r="L716">
        <v>4046.3999999999996</v>
      </c>
    </row>
    <row r="717" spans="1:12" ht="21" hidden="1" customHeight="1" x14ac:dyDescent="0.25">
      <c r="A717" s="12" t="str">
        <f t="shared" si="402"/>
        <v>ЩМП-п2(ЩМП-80.80.40) (P1)</v>
      </c>
      <c r="B717" s="13" t="s">
        <v>48</v>
      </c>
      <c r="C717" s="14" t="s">
        <v>183</v>
      </c>
      <c r="D717" s="12" t="s">
        <v>184</v>
      </c>
      <c r="E717" s="13">
        <v>1129</v>
      </c>
      <c r="F717" s="15">
        <f t="shared" si="400"/>
        <v>677.4</v>
      </c>
      <c r="G717" s="15">
        <f t="shared" si="401"/>
        <v>677.4</v>
      </c>
      <c r="H717" s="16">
        <v>1</v>
      </c>
      <c r="I717" s="17" t="s">
        <v>13</v>
      </c>
      <c r="J717" s="13" t="s">
        <v>17</v>
      </c>
      <c r="K717" s="12" t="str">
        <f t="shared" si="403"/>
        <v>2853_02_01_P1_EM01_01_M3</v>
      </c>
      <c r="L717">
        <v>677.4</v>
      </c>
    </row>
    <row r="718" spans="1:12" ht="22.5" hidden="1" customHeight="1" x14ac:dyDescent="0.25">
      <c r="A718" s="12" t="str">
        <f>A716</f>
        <v>ЩМП-п2(ЩМП-80.80.40) (P1)</v>
      </c>
      <c r="B718" s="13" t="s">
        <v>18</v>
      </c>
      <c r="C718" s="14" t="s">
        <v>231</v>
      </c>
      <c r="D718" s="12" t="s">
        <v>232</v>
      </c>
      <c r="E718" s="13">
        <v>50000</v>
      </c>
      <c r="F718" s="15">
        <f t="shared" ref="F718" si="404">E718</f>
        <v>50000</v>
      </c>
      <c r="G718" s="15">
        <f t="shared" si="401"/>
        <v>50000</v>
      </c>
      <c r="H718" s="16">
        <v>1</v>
      </c>
      <c r="I718" s="17" t="s">
        <v>13</v>
      </c>
      <c r="J718" s="13" t="s">
        <v>24</v>
      </c>
      <c r="K718" s="12" t="str">
        <f>K716</f>
        <v>2853_02_01_P1_EM01_01_M3</v>
      </c>
      <c r="L718">
        <v>50000</v>
      </c>
    </row>
    <row r="719" spans="1:12" ht="22.5" hidden="1" customHeight="1" x14ac:dyDescent="0.25">
      <c r="A719" s="12" t="str">
        <f t="shared" si="402"/>
        <v>ЩМП-п2(ЩМП-80.80.40) (P1)</v>
      </c>
      <c r="B719" s="13" t="s">
        <v>18</v>
      </c>
      <c r="C719" s="14" t="s">
        <v>227</v>
      </c>
      <c r="D719" s="12" t="s">
        <v>228</v>
      </c>
      <c r="E719" s="13">
        <v>90000</v>
      </c>
      <c r="F719" s="15">
        <f t="shared" ref="F719" si="405">E719</f>
        <v>90000</v>
      </c>
      <c r="G719" s="15">
        <f t="shared" si="401"/>
        <v>180000</v>
      </c>
      <c r="H719" s="16">
        <v>2</v>
      </c>
      <c r="I719" s="17" t="s">
        <v>13</v>
      </c>
      <c r="J719" s="13" t="s">
        <v>24</v>
      </c>
      <c r="K719" s="12" t="str">
        <f t="shared" si="403"/>
        <v>2853_02_01_P1_EM01_01_M3</v>
      </c>
      <c r="L719">
        <v>180000</v>
      </c>
    </row>
    <row r="720" spans="1:12" ht="24" hidden="1" customHeight="1" x14ac:dyDescent="0.25">
      <c r="A720" s="12" t="str">
        <f t="shared" si="402"/>
        <v>ЩМП-п2(ЩМП-80.80.40) (P1)</v>
      </c>
      <c r="B720" s="12" t="s">
        <v>10</v>
      </c>
      <c r="C720" s="18" t="s">
        <v>10</v>
      </c>
      <c r="D720" s="12" t="s">
        <v>10</v>
      </c>
      <c r="E720" s="12">
        <f ca="1">OFFSET(E720,1,2)</f>
        <v>15000</v>
      </c>
      <c r="F720" s="15">
        <f ca="1">E720</f>
        <v>15000</v>
      </c>
      <c r="G720" s="15">
        <f t="shared" ca="1" si="401"/>
        <v>15000</v>
      </c>
      <c r="H720" s="12">
        <v>1</v>
      </c>
      <c r="I720" s="12" t="s">
        <v>13</v>
      </c>
      <c r="J720" s="12" t="s">
        <v>10</v>
      </c>
      <c r="K720" s="12" t="str">
        <f t="shared" si="403"/>
        <v>2853_02_01_P1_EM01_01_M3</v>
      </c>
      <c r="L720">
        <v>15000</v>
      </c>
    </row>
    <row r="721" spans="1:12" ht="21" hidden="1" customHeight="1" x14ac:dyDescent="0.25">
      <c r="A721" s="12" t="str">
        <f t="shared" si="402"/>
        <v>ЩМП-п2(ЩМП-80.80.40) (P1)</v>
      </c>
      <c r="B721" s="12" t="s">
        <v>11</v>
      </c>
      <c r="C721" s="18" t="s">
        <v>11</v>
      </c>
      <c r="D721" s="12" t="s">
        <v>11</v>
      </c>
      <c r="E721" s="12">
        <v>2.5</v>
      </c>
      <c r="F721" s="15">
        <v>100</v>
      </c>
      <c r="G721" s="15">
        <f t="shared" si="401"/>
        <v>15000</v>
      </c>
      <c r="H721" s="12">
        <f>60*E721</f>
        <v>150</v>
      </c>
      <c r="I721" s="12" t="s">
        <v>13</v>
      </c>
      <c r="J721" s="12" t="s">
        <v>11</v>
      </c>
      <c r="K721" s="12" t="str">
        <f t="shared" si="403"/>
        <v>2853_02_01_P1_EM01_01_M3</v>
      </c>
      <c r="L721">
        <v>15000</v>
      </c>
    </row>
    <row r="722" spans="1:12" ht="30" customHeight="1" x14ac:dyDescent="0.25">
      <c r="A722" s="12" t="str">
        <f t="shared" si="402"/>
        <v>ЩМП-п2(ЩМП-80.80.40) (P1)</v>
      </c>
      <c r="B722" s="19"/>
      <c r="C722" s="20"/>
      <c r="D722" s="21"/>
      <c r="E722" s="23"/>
      <c r="F722" s="25"/>
      <c r="G722" s="24">
        <f ca="1">SUM(G713:G721)</f>
        <v>302908.40000000002</v>
      </c>
      <c r="H722" s="20"/>
      <c r="I722" s="22"/>
      <c r="J722" s="20"/>
      <c r="K722" s="12" t="str">
        <f t="shared" si="403"/>
        <v>2853_02_01_P1_EM01_01_M3</v>
      </c>
      <c r="L722">
        <v>302908.40000000002</v>
      </c>
    </row>
    <row r="723" spans="1:12" ht="39.75" customHeight="1" x14ac:dyDescent="0.25">
      <c r="A723" s="5" t="str">
        <f>D723</f>
        <v>АВР-п (P1)</v>
      </c>
      <c r="B723" s="6"/>
      <c r="C723" s="7"/>
      <c r="D723" s="6" t="s">
        <v>312</v>
      </c>
      <c r="E723" s="8"/>
      <c r="F723" s="8" t="s">
        <v>40</v>
      </c>
      <c r="G723" s="9"/>
      <c r="H723" s="10">
        <v>1</v>
      </c>
      <c r="I723" s="11" t="s">
        <v>7</v>
      </c>
      <c r="J723" s="6" t="s">
        <v>9</v>
      </c>
      <c r="K723" s="5" t="s">
        <v>180</v>
      </c>
      <c r="L723" s="28"/>
    </row>
    <row r="724" spans="1:12" ht="21" hidden="1" customHeight="1" x14ac:dyDescent="0.25">
      <c r="A724" s="12" t="str">
        <f>A723</f>
        <v>АВР-п (P1)</v>
      </c>
      <c r="B724" s="13" t="s">
        <v>8</v>
      </c>
      <c r="C724" s="14" t="s">
        <v>38</v>
      </c>
      <c r="D724" s="12" t="s">
        <v>358</v>
      </c>
      <c r="E724" s="13">
        <v>165000</v>
      </c>
      <c r="F724" s="15">
        <f>E724*0.6</f>
        <v>99000</v>
      </c>
      <c r="G724" s="15">
        <f t="shared" ref="G724:G730" si="406">H724*F724</f>
        <v>198000</v>
      </c>
      <c r="H724" s="16">
        <v>2</v>
      </c>
      <c r="I724" s="17" t="s">
        <v>13</v>
      </c>
      <c r="J724" s="13" t="s">
        <v>16</v>
      </c>
      <c r="K724" s="12" t="str">
        <f>K723</f>
        <v>2853_02_01_P1_EM01_01_M3</v>
      </c>
      <c r="L724" s="28">
        <v>198000</v>
      </c>
    </row>
    <row r="725" spans="1:12" ht="21" hidden="1" customHeight="1" x14ac:dyDescent="0.25">
      <c r="A725" s="12" t="str">
        <f t="shared" ref="A725:A731" si="407">A724</f>
        <v>АВР-п (P1)</v>
      </c>
      <c r="B725" s="13" t="s">
        <v>25</v>
      </c>
      <c r="C725" s="14" t="s">
        <v>109</v>
      </c>
      <c r="D725" s="12" t="s">
        <v>110</v>
      </c>
      <c r="E725" s="13">
        <v>5523</v>
      </c>
      <c r="F725" s="15">
        <f>E725</f>
        <v>5523</v>
      </c>
      <c r="G725" s="15">
        <f t="shared" si="406"/>
        <v>33138</v>
      </c>
      <c r="H725" s="16">
        <v>6</v>
      </c>
      <c r="I725" s="17" t="s">
        <v>13</v>
      </c>
      <c r="J725" s="13" t="s">
        <v>24</v>
      </c>
      <c r="K725" s="12" t="str">
        <f t="shared" ref="K725:K731" si="408">K724</f>
        <v>2853_02_01_P1_EM01_01_M3</v>
      </c>
      <c r="L725" s="28">
        <v>33138</v>
      </c>
    </row>
    <row r="726" spans="1:12" ht="21" hidden="1" customHeight="1" x14ac:dyDescent="0.25">
      <c r="A726" s="12" t="str">
        <f t="shared" si="407"/>
        <v>АВР-п (P1)</v>
      </c>
      <c r="B726" s="13" t="s">
        <v>41</v>
      </c>
      <c r="C726" s="14" t="s">
        <v>181</v>
      </c>
      <c r="D726" s="12" t="s">
        <v>182</v>
      </c>
      <c r="E726" s="13">
        <v>558288</v>
      </c>
      <c r="F726" s="15">
        <f>E726*0.6</f>
        <v>334972.79999999999</v>
      </c>
      <c r="G726" s="15">
        <f t="shared" si="406"/>
        <v>669945.59999999998</v>
      </c>
      <c r="H726" s="16">
        <v>2</v>
      </c>
      <c r="I726" s="17" t="s">
        <v>13</v>
      </c>
      <c r="J726" s="13" t="s">
        <v>17</v>
      </c>
      <c r="K726" s="12" t="str">
        <f t="shared" si="408"/>
        <v>2853_02_01_P1_EM01_01_M3</v>
      </c>
      <c r="L726" s="28">
        <v>669945.59999999998</v>
      </c>
    </row>
    <row r="727" spans="1:12" ht="22.5" hidden="1" customHeight="1" x14ac:dyDescent="0.25">
      <c r="A727" s="12" t="str">
        <f t="shared" si="407"/>
        <v>АВР-п (P1)</v>
      </c>
      <c r="B727" s="13" t="s">
        <v>18</v>
      </c>
      <c r="C727" s="14" t="s">
        <v>225</v>
      </c>
      <c r="D727" s="12" t="s">
        <v>226</v>
      </c>
      <c r="E727" s="13">
        <v>90000</v>
      </c>
      <c r="F727" s="15">
        <f t="shared" ref="F727:F728" si="409">E727</f>
        <v>90000</v>
      </c>
      <c r="G727" s="15">
        <f t="shared" si="406"/>
        <v>180000</v>
      </c>
      <c r="H727" s="16">
        <v>2</v>
      </c>
      <c r="I727" s="17" t="s">
        <v>13</v>
      </c>
      <c r="J727" s="13" t="s">
        <v>24</v>
      </c>
      <c r="K727" s="12" t="str">
        <f t="shared" si="408"/>
        <v>2853_02_01_P1_EM01_01_M3</v>
      </c>
      <c r="L727" s="28">
        <v>180000</v>
      </c>
    </row>
    <row r="728" spans="1:12" ht="21" hidden="1" customHeight="1" x14ac:dyDescent="0.25">
      <c r="A728" s="12" t="str">
        <f t="shared" si="407"/>
        <v>АВР-п (P1)</v>
      </c>
      <c r="B728" s="13" t="s">
        <v>28</v>
      </c>
      <c r="C728" s="14"/>
      <c r="D728" s="12" t="s">
        <v>28</v>
      </c>
      <c r="E728" s="13">
        <v>1000</v>
      </c>
      <c r="F728" s="15">
        <f t="shared" si="409"/>
        <v>1000</v>
      </c>
      <c r="G728" s="15">
        <f t="shared" si="406"/>
        <v>1000</v>
      </c>
      <c r="H728" s="16">
        <v>1</v>
      </c>
      <c r="I728" s="17" t="s">
        <v>13</v>
      </c>
      <c r="J728" s="13" t="s">
        <v>24</v>
      </c>
      <c r="K728" s="12" t="str">
        <f t="shared" si="408"/>
        <v>2853_02_01_P1_EM01_01_M3</v>
      </c>
      <c r="L728" s="28">
        <v>1000</v>
      </c>
    </row>
    <row r="729" spans="1:12" ht="24" hidden="1" customHeight="1" x14ac:dyDescent="0.25">
      <c r="A729" s="12" t="str">
        <f t="shared" si="407"/>
        <v>АВР-п (P1)</v>
      </c>
      <c r="B729" s="12" t="s">
        <v>10</v>
      </c>
      <c r="C729" s="18" t="s">
        <v>10</v>
      </c>
      <c r="D729" s="12" t="s">
        <v>10</v>
      </c>
      <c r="E729" s="12">
        <v>70000</v>
      </c>
      <c r="F729" s="15">
        <f>E729</f>
        <v>70000</v>
      </c>
      <c r="G729" s="15">
        <f t="shared" si="406"/>
        <v>70000</v>
      </c>
      <c r="H729" s="12">
        <v>1</v>
      </c>
      <c r="I729" s="12" t="s">
        <v>13</v>
      </c>
      <c r="J729" s="12" t="s">
        <v>10</v>
      </c>
      <c r="K729" s="12" t="str">
        <f t="shared" si="408"/>
        <v>2853_02_01_P1_EM01_01_M3</v>
      </c>
      <c r="L729" s="28">
        <v>70000</v>
      </c>
    </row>
    <row r="730" spans="1:12" ht="21" hidden="1" customHeight="1" x14ac:dyDescent="0.25">
      <c r="A730" s="12" t="str">
        <f t="shared" si="407"/>
        <v>АВР-п (P1)</v>
      </c>
      <c r="B730" s="12" t="s">
        <v>11</v>
      </c>
      <c r="C730" s="18" t="s">
        <v>11</v>
      </c>
      <c r="D730" s="12" t="s">
        <v>11</v>
      </c>
      <c r="E730" s="12">
        <v>12</v>
      </c>
      <c r="F730" s="15">
        <v>100</v>
      </c>
      <c r="G730" s="15">
        <f t="shared" si="406"/>
        <v>72000</v>
      </c>
      <c r="H730" s="12">
        <f>60*E730</f>
        <v>720</v>
      </c>
      <c r="I730" s="12" t="s">
        <v>13</v>
      </c>
      <c r="J730" s="12" t="s">
        <v>11</v>
      </c>
      <c r="K730" s="12" t="str">
        <f t="shared" si="408"/>
        <v>2853_02_01_P1_EM01_01_M3</v>
      </c>
      <c r="L730" s="28">
        <v>72000</v>
      </c>
    </row>
    <row r="731" spans="1:12" ht="30" customHeight="1" x14ac:dyDescent="0.25">
      <c r="A731" s="12" t="str">
        <f t="shared" si="407"/>
        <v>АВР-п (P1)</v>
      </c>
      <c r="B731" s="19"/>
      <c r="C731" s="20"/>
      <c r="D731" s="21"/>
      <c r="E731" s="23"/>
      <c r="F731" s="25"/>
      <c r="G731" s="24">
        <f>SUM(G724:G730)</f>
        <v>1224083.6000000001</v>
      </c>
      <c r="H731" s="20"/>
      <c r="I731" s="22"/>
      <c r="J731" s="20"/>
      <c r="K731" s="12" t="str">
        <f t="shared" si="408"/>
        <v>2853_02_01_P1_EM01_01_M3</v>
      </c>
      <c r="L731" s="28">
        <v>1224083.6000000001</v>
      </c>
    </row>
    <row r="732" spans="1:12" ht="39.75" customHeight="1" x14ac:dyDescent="0.25">
      <c r="A732" s="5" t="str">
        <f>D732</f>
        <v>ЩМП-п1 (ЩМП-80.80.40) (P1)</v>
      </c>
      <c r="B732" s="6"/>
      <c r="C732" s="7"/>
      <c r="D732" s="6" t="s">
        <v>313</v>
      </c>
      <c r="E732" s="8"/>
      <c r="F732" s="8" t="s">
        <v>40</v>
      </c>
      <c r="G732" s="9"/>
      <c r="H732" s="10">
        <v>1</v>
      </c>
      <c r="I732" s="11" t="s">
        <v>7</v>
      </c>
      <c r="J732" s="6" t="s">
        <v>9</v>
      </c>
      <c r="K732" s="5" t="s">
        <v>180</v>
      </c>
    </row>
    <row r="733" spans="1:12" ht="21" hidden="1" customHeight="1" x14ac:dyDescent="0.25">
      <c r="A733" s="12" t="str">
        <f>A732</f>
        <v>ЩМП-п1 (ЩМП-80.80.40) (P1)</v>
      </c>
      <c r="B733" s="13" t="s">
        <v>8</v>
      </c>
      <c r="C733" s="14" t="s">
        <v>344</v>
      </c>
      <c r="D733" s="12" t="s">
        <v>335</v>
      </c>
      <c r="E733" s="13">
        <v>58000</v>
      </c>
      <c r="F733" s="15">
        <f>E733*0.6</f>
        <v>34800</v>
      </c>
      <c r="G733" s="15">
        <f t="shared" ref="G733:G740" si="410">H733*F733</f>
        <v>34800</v>
      </c>
      <c r="H733" s="16">
        <v>1</v>
      </c>
      <c r="I733" s="17" t="s">
        <v>13</v>
      </c>
      <c r="J733" s="13" t="s">
        <v>16</v>
      </c>
      <c r="K733" s="12" t="str">
        <f>K732</f>
        <v>2853_02_01_P1_EM01_01_M3</v>
      </c>
      <c r="L733">
        <v>34800</v>
      </c>
    </row>
    <row r="734" spans="1:12" ht="21" hidden="1" customHeight="1" x14ac:dyDescent="0.25">
      <c r="A734" s="12" t="str">
        <f t="shared" ref="A734:A741" si="411">A733</f>
        <v>ЩМП-п1 (ЩМП-80.80.40) (P1)</v>
      </c>
      <c r="B734" s="13" t="s">
        <v>25</v>
      </c>
      <c r="C734" s="14" t="s">
        <v>109</v>
      </c>
      <c r="D734" s="12" t="s">
        <v>110</v>
      </c>
      <c r="E734" s="13">
        <v>5523</v>
      </c>
      <c r="F734" s="15">
        <f>E734</f>
        <v>5523</v>
      </c>
      <c r="G734" s="15">
        <f t="shared" si="410"/>
        <v>5523</v>
      </c>
      <c r="H734" s="16">
        <v>1</v>
      </c>
      <c r="I734" s="17" t="s">
        <v>13</v>
      </c>
      <c r="J734" s="13" t="s">
        <v>24</v>
      </c>
      <c r="K734" s="12" t="str">
        <f t="shared" ref="K734:K741" si="412">K733</f>
        <v>2853_02_01_P1_EM01_01_M3</v>
      </c>
      <c r="L734">
        <v>5523</v>
      </c>
    </row>
    <row r="735" spans="1:12" ht="21" hidden="1" customHeight="1" x14ac:dyDescent="0.25">
      <c r="A735" s="12" t="str">
        <f t="shared" si="411"/>
        <v>ЩМП-п1 (ЩМП-80.80.40) (P1)</v>
      </c>
      <c r="B735" s="13" t="s">
        <v>33</v>
      </c>
      <c r="C735" s="14" t="s">
        <v>90</v>
      </c>
      <c r="D735" s="12" t="s">
        <v>91</v>
      </c>
      <c r="E735" s="13">
        <v>33910</v>
      </c>
      <c r="F735" s="15">
        <f t="shared" ref="F735:F738" si="413">E735*0.6</f>
        <v>20346</v>
      </c>
      <c r="G735" s="15">
        <f t="shared" si="410"/>
        <v>40692</v>
      </c>
      <c r="H735" s="16">
        <v>2</v>
      </c>
      <c r="I735" s="17" t="s">
        <v>13</v>
      </c>
      <c r="J735" s="13" t="s">
        <v>17</v>
      </c>
      <c r="K735" s="12" t="str">
        <f t="shared" si="412"/>
        <v>2853_02_01_P1_EM01_01_M3</v>
      </c>
      <c r="L735">
        <v>40692</v>
      </c>
    </row>
    <row r="736" spans="1:12" ht="21" hidden="1" customHeight="1" x14ac:dyDescent="0.25">
      <c r="A736" s="12" t="str">
        <f t="shared" si="411"/>
        <v>ЩМП-п1 (ЩМП-80.80.40) (P1)</v>
      </c>
      <c r="B736" s="13" t="s">
        <v>12</v>
      </c>
      <c r="C736" s="14" t="s">
        <v>98</v>
      </c>
      <c r="D736" s="12" t="s">
        <v>99</v>
      </c>
      <c r="E736" s="13">
        <v>3604</v>
      </c>
      <c r="F736" s="15">
        <f t="shared" si="413"/>
        <v>2162.4</v>
      </c>
      <c r="G736" s="15">
        <f t="shared" si="410"/>
        <v>2162.4</v>
      </c>
      <c r="H736" s="16">
        <v>1</v>
      </c>
      <c r="I736" s="17" t="s">
        <v>13</v>
      </c>
      <c r="J736" s="13" t="s">
        <v>17</v>
      </c>
      <c r="K736" s="12" t="str">
        <f t="shared" si="412"/>
        <v>2853_02_01_P1_EM01_01_M3</v>
      </c>
      <c r="L736">
        <v>2162.4</v>
      </c>
    </row>
    <row r="737" spans="1:12" ht="21" hidden="1" customHeight="1" x14ac:dyDescent="0.25">
      <c r="A737" s="12" t="str">
        <f t="shared" si="411"/>
        <v>ЩМП-п1 (ЩМП-80.80.40) (P1)</v>
      </c>
      <c r="B737" s="13" t="s">
        <v>12</v>
      </c>
      <c r="C737" s="14" t="s">
        <v>96</v>
      </c>
      <c r="D737" s="12" t="s">
        <v>97</v>
      </c>
      <c r="E737" s="13">
        <v>2429</v>
      </c>
      <c r="F737" s="15">
        <f t="shared" si="413"/>
        <v>1457.3999999999999</v>
      </c>
      <c r="G737" s="15">
        <f t="shared" si="410"/>
        <v>1457.3999999999999</v>
      </c>
      <c r="H737" s="16">
        <v>1</v>
      </c>
      <c r="I737" s="17" t="s">
        <v>13</v>
      </c>
      <c r="J737" s="13" t="s">
        <v>17</v>
      </c>
      <c r="K737" s="12" t="str">
        <f t="shared" si="412"/>
        <v>2853_02_01_P1_EM01_01_M3</v>
      </c>
      <c r="L737">
        <v>1457.3999999999999</v>
      </c>
    </row>
    <row r="738" spans="1:12" ht="21" hidden="1" customHeight="1" x14ac:dyDescent="0.25">
      <c r="A738" s="12" t="str">
        <f t="shared" si="411"/>
        <v>ЩМП-п1 (ЩМП-80.80.40) (P1)</v>
      </c>
      <c r="B738" s="13" t="s">
        <v>12</v>
      </c>
      <c r="C738" s="14" t="s">
        <v>34</v>
      </c>
      <c r="D738" s="12" t="s">
        <v>35</v>
      </c>
      <c r="E738" s="13">
        <v>2337</v>
      </c>
      <c r="F738" s="15">
        <f t="shared" si="413"/>
        <v>1402.2</v>
      </c>
      <c r="G738" s="15">
        <f t="shared" si="410"/>
        <v>2804.4</v>
      </c>
      <c r="H738" s="16">
        <v>2</v>
      </c>
      <c r="I738" s="17" t="s">
        <v>13</v>
      </c>
      <c r="J738" s="13" t="s">
        <v>17</v>
      </c>
      <c r="K738" s="12" t="str">
        <f t="shared" si="412"/>
        <v>2853_02_01_P1_EM01_01_M3</v>
      </c>
      <c r="L738">
        <v>2804.4</v>
      </c>
    </row>
    <row r="739" spans="1:12" ht="24" hidden="1" customHeight="1" x14ac:dyDescent="0.25">
      <c r="A739" s="12" t="str">
        <f t="shared" si="411"/>
        <v>ЩМП-п1 (ЩМП-80.80.40) (P1)</v>
      </c>
      <c r="B739" s="12" t="s">
        <v>10</v>
      </c>
      <c r="C739" s="18" t="s">
        <v>10</v>
      </c>
      <c r="D739" s="12" t="s">
        <v>10</v>
      </c>
      <c r="E739" s="12">
        <f ca="1">OFFSET(E739,1,2)</f>
        <v>15000</v>
      </c>
      <c r="F739" s="15">
        <f ca="1">E739</f>
        <v>15000</v>
      </c>
      <c r="G739" s="15">
        <f t="shared" ca="1" si="410"/>
        <v>15000</v>
      </c>
      <c r="H739" s="12">
        <v>1</v>
      </c>
      <c r="I739" s="12" t="s">
        <v>13</v>
      </c>
      <c r="J739" s="12" t="s">
        <v>10</v>
      </c>
      <c r="K739" s="12" t="str">
        <f t="shared" si="412"/>
        <v>2853_02_01_P1_EM01_01_M3</v>
      </c>
      <c r="L739">
        <v>15000</v>
      </c>
    </row>
    <row r="740" spans="1:12" ht="21" hidden="1" customHeight="1" x14ac:dyDescent="0.25">
      <c r="A740" s="12" t="str">
        <f t="shared" si="411"/>
        <v>ЩМП-п1 (ЩМП-80.80.40) (P1)</v>
      </c>
      <c r="B740" s="12" t="s">
        <v>11</v>
      </c>
      <c r="C740" s="18" t="s">
        <v>11</v>
      </c>
      <c r="D740" s="12" t="s">
        <v>11</v>
      </c>
      <c r="E740" s="12">
        <v>2.5</v>
      </c>
      <c r="F740" s="15">
        <v>100</v>
      </c>
      <c r="G740" s="15">
        <f t="shared" si="410"/>
        <v>15000</v>
      </c>
      <c r="H740" s="12">
        <f>60*E740</f>
        <v>150</v>
      </c>
      <c r="I740" s="12" t="s">
        <v>13</v>
      </c>
      <c r="J740" s="12" t="s">
        <v>11</v>
      </c>
      <c r="K740" s="12" t="str">
        <f t="shared" si="412"/>
        <v>2853_02_01_P1_EM01_01_M3</v>
      </c>
      <c r="L740">
        <v>15000</v>
      </c>
    </row>
    <row r="741" spans="1:12" ht="30" customHeight="1" x14ac:dyDescent="0.25">
      <c r="A741" s="12" t="str">
        <f t="shared" si="411"/>
        <v>ЩМП-п1 (ЩМП-80.80.40) (P1)</v>
      </c>
      <c r="B741" s="19"/>
      <c r="C741" s="20"/>
      <c r="D741" s="21"/>
      <c r="E741" s="23"/>
      <c r="F741" s="25"/>
      <c r="G741" s="24">
        <f ca="1">SUM(G733:G740)</f>
        <v>117439.19999999998</v>
      </c>
      <c r="H741" s="20"/>
      <c r="I741" s="22"/>
      <c r="J741" s="20"/>
      <c r="K741" s="12" t="str">
        <f t="shared" si="412"/>
        <v>2853_02_01_P1_EM01_01_M3</v>
      </c>
      <c r="L741">
        <v>117439.19999999998</v>
      </c>
    </row>
    <row r="742" spans="1:12" ht="39.75" customHeight="1" x14ac:dyDescent="0.25">
      <c r="A742" s="5" t="str">
        <f>D742</f>
        <v>ЩО-P1 (P1)</v>
      </c>
      <c r="B742" s="6"/>
      <c r="C742" s="7"/>
      <c r="D742" s="6" t="s">
        <v>314</v>
      </c>
      <c r="E742" s="8"/>
      <c r="F742" s="8" t="s">
        <v>40</v>
      </c>
      <c r="G742" s="9"/>
      <c r="H742" s="10">
        <v>1</v>
      </c>
      <c r="I742" s="11" t="s">
        <v>7</v>
      </c>
      <c r="J742" s="6" t="s">
        <v>9</v>
      </c>
      <c r="K742" s="5" t="s">
        <v>180</v>
      </c>
    </row>
    <row r="743" spans="1:12" ht="21" hidden="1" customHeight="1" x14ac:dyDescent="0.25">
      <c r="A743" s="12" t="str">
        <f>A742</f>
        <v>ЩО-P1 (P1)</v>
      </c>
      <c r="B743" s="13" t="s">
        <v>8</v>
      </c>
      <c r="C743" s="14" t="s">
        <v>237</v>
      </c>
      <c r="D743" s="12" t="s">
        <v>238</v>
      </c>
      <c r="E743" s="13">
        <v>11700</v>
      </c>
      <c r="F743" s="15">
        <f>E743*0.6</f>
        <v>7020</v>
      </c>
      <c r="G743" s="15">
        <f t="shared" ref="G743:G748" si="414">H743*F743</f>
        <v>7020</v>
      </c>
      <c r="H743" s="16">
        <v>1</v>
      </c>
      <c r="I743" s="17" t="s">
        <v>13</v>
      </c>
      <c r="J743" s="13" t="s">
        <v>244</v>
      </c>
      <c r="K743" s="12" t="str">
        <f>K742</f>
        <v>2853_02_01_P1_EM01_01_M3</v>
      </c>
      <c r="L743">
        <v>7020</v>
      </c>
    </row>
    <row r="744" spans="1:12" ht="21" hidden="1" customHeight="1" x14ac:dyDescent="0.25">
      <c r="A744" s="12" t="str">
        <f t="shared" ref="A744:A749" si="415">A743</f>
        <v>ЩО-P1 (P1)</v>
      </c>
      <c r="B744" s="13" t="s">
        <v>48</v>
      </c>
      <c r="C744" s="14" t="s">
        <v>49</v>
      </c>
      <c r="D744" s="12" t="s">
        <v>50</v>
      </c>
      <c r="E744" s="13">
        <v>3372</v>
      </c>
      <c r="F744" s="15">
        <f t="shared" ref="F744:F745" si="416">E744*0.6</f>
        <v>2023.1999999999998</v>
      </c>
      <c r="G744" s="15">
        <f t="shared" si="414"/>
        <v>2023.1999999999998</v>
      </c>
      <c r="H744" s="16">
        <v>1</v>
      </c>
      <c r="I744" s="17" t="s">
        <v>13</v>
      </c>
      <c r="J744" s="13" t="s">
        <v>17</v>
      </c>
      <c r="K744" s="12" t="str">
        <f t="shared" ref="K744:K749" si="417">K743</f>
        <v>2853_02_01_P1_EM01_01_M3</v>
      </c>
      <c r="L744">
        <v>2023.1999999999998</v>
      </c>
    </row>
    <row r="745" spans="1:12" ht="21" hidden="1" customHeight="1" x14ac:dyDescent="0.25">
      <c r="A745" s="12" t="str">
        <f t="shared" si="415"/>
        <v>ЩО-P1 (P1)</v>
      </c>
      <c r="B745" s="13" t="s">
        <v>12</v>
      </c>
      <c r="C745" s="14" t="s">
        <v>19</v>
      </c>
      <c r="D745" s="12" t="s">
        <v>20</v>
      </c>
      <c r="E745" s="13">
        <v>975</v>
      </c>
      <c r="F745" s="15">
        <f t="shared" si="416"/>
        <v>585</v>
      </c>
      <c r="G745" s="15">
        <f t="shared" si="414"/>
        <v>4095</v>
      </c>
      <c r="H745" s="16">
        <v>7</v>
      </c>
      <c r="I745" s="17" t="s">
        <v>13</v>
      </c>
      <c r="J745" s="13" t="s">
        <v>17</v>
      </c>
      <c r="K745" s="12" t="str">
        <f t="shared" si="417"/>
        <v>2853_02_01_P1_EM01_01_M3</v>
      </c>
      <c r="L745">
        <v>4095</v>
      </c>
    </row>
    <row r="746" spans="1:12" ht="21" hidden="1" customHeight="1" x14ac:dyDescent="0.25">
      <c r="A746" s="12" t="str">
        <f t="shared" si="415"/>
        <v>ЩО-P1 (P1)</v>
      </c>
      <c r="B746" s="13" t="s">
        <v>143</v>
      </c>
      <c r="C746" s="12" t="s">
        <v>170</v>
      </c>
      <c r="D746" s="12" t="s">
        <v>351</v>
      </c>
      <c r="E746" s="13">
        <v>6500</v>
      </c>
      <c r="F746" s="15">
        <f t="shared" ref="F746" si="418">E746</f>
        <v>6500</v>
      </c>
      <c r="G746" s="15">
        <f t="shared" si="414"/>
        <v>6500</v>
      </c>
      <c r="H746" s="16">
        <v>1</v>
      </c>
      <c r="I746" s="17" t="s">
        <v>13</v>
      </c>
      <c r="J746" s="13" t="s">
        <v>24</v>
      </c>
      <c r="K746" s="12" t="str">
        <f t="shared" si="417"/>
        <v>2853_02_01_P1_EM01_01_M3</v>
      </c>
      <c r="L746">
        <v>6500</v>
      </c>
    </row>
    <row r="747" spans="1:12" ht="24" hidden="1" customHeight="1" x14ac:dyDescent="0.25">
      <c r="A747" s="12" t="str">
        <f>A745</f>
        <v>ЩО-P1 (P1)</v>
      </c>
      <c r="B747" s="12" t="s">
        <v>10</v>
      </c>
      <c r="C747" s="18" t="s">
        <v>10</v>
      </c>
      <c r="D747" s="12" t="s">
        <v>10</v>
      </c>
      <c r="E747" s="12">
        <f ca="1">OFFSET(E747,1,2)</f>
        <v>4200</v>
      </c>
      <c r="F747" s="15">
        <f ca="1">E747</f>
        <v>4200</v>
      </c>
      <c r="G747" s="15">
        <f t="shared" ca="1" si="414"/>
        <v>4200</v>
      </c>
      <c r="H747" s="12">
        <v>1</v>
      </c>
      <c r="I747" s="12" t="s">
        <v>13</v>
      </c>
      <c r="J747" s="12" t="s">
        <v>10</v>
      </c>
      <c r="K747" s="12" t="str">
        <f>K745</f>
        <v>2853_02_01_P1_EM01_01_M3</v>
      </c>
      <c r="L747">
        <v>4200</v>
      </c>
    </row>
    <row r="748" spans="1:12" ht="21" hidden="1" customHeight="1" x14ac:dyDescent="0.25">
      <c r="A748" s="12" t="str">
        <f t="shared" si="415"/>
        <v>ЩО-P1 (P1)</v>
      </c>
      <c r="B748" s="12" t="s">
        <v>11</v>
      </c>
      <c r="C748" s="18" t="s">
        <v>11</v>
      </c>
      <c r="D748" s="12" t="s">
        <v>11</v>
      </c>
      <c r="E748" s="12">
        <v>0.7</v>
      </c>
      <c r="F748" s="15">
        <v>100</v>
      </c>
      <c r="G748" s="15">
        <f t="shared" si="414"/>
        <v>4200</v>
      </c>
      <c r="H748" s="12">
        <f>60*E748</f>
        <v>42</v>
      </c>
      <c r="I748" s="12" t="s">
        <v>13</v>
      </c>
      <c r="J748" s="12" t="s">
        <v>11</v>
      </c>
      <c r="K748" s="12" t="str">
        <f t="shared" si="417"/>
        <v>2853_02_01_P1_EM01_01_M3</v>
      </c>
      <c r="L748">
        <v>4200</v>
      </c>
    </row>
    <row r="749" spans="1:12" ht="30" customHeight="1" x14ac:dyDescent="0.25">
      <c r="A749" s="12" t="str">
        <f t="shared" si="415"/>
        <v>ЩО-P1 (P1)</v>
      </c>
      <c r="B749" s="19"/>
      <c r="C749" s="20"/>
      <c r="D749" s="21"/>
      <c r="E749" s="23"/>
      <c r="F749" s="25"/>
      <c r="G749" s="24">
        <f ca="1">SUM(G743:G748)</f>
        <v>28038.2</v>
      </c>
      <c r="H749" s="20"/>
      <c r="I749" s="22"/>
      <c r="J749" s="20"/>
      <c r="K749" s="12" t="str">
        <f t="shared" si="417"/>
        <v>2853_02_01_P1_EM01_01_M3</v>
      </c>
      <c r="L749">
        <v>28038.2</v>
      </c>
    </row>
    <row r="750" spans="1:12" ht="39.75" customHeight="1" x14ac:dyDescent="0.25">
      <c r="A750" s="5" t="str">
        <f>D750</f>
        <v>ЩАО-P1 (P1)</v>
      </c>
      <c r="B750" s="6"/>
      <c r="C750" s="7"/>
      <c r="D750" s="6" t="s">
        <v>315</v>
      </c>
      <c r="E750" s="8"/>
      <c r="F750" s="8" t="s">
        <v>40</v>
      </c>
      <c r="G750" s="9"/>
      <c r="H750" s="10">
        <v>1</v>
      </c>
      <c r="I750" s="11" t="s">
        <v>7</v>
      </c>
      <c r="J750" s="6" t="s">
        <v>9</v>
      </c>
      <c r="K750" s="5" t="s">
        <v>180</v>
      </c>
    </row>
    <row r="751" spans="1:12" ht="21" hidden="1" customHeight="1" x14ac:dyDescent="0.25">
      <c r="A751" s="12" t="str">
        <f>A750</f>
        <v>ЩАО-P1 (P1)</v>
      </c>
      <c r="B751" s="13" t="s">
        <v>8</v>
      </c>
      <c r="C751" s="14" t="s">
        <v>237</v>
      </c>
      <c r="D751" s="12" t="s">
        <v>238</v>
      </c>
      <c r="E751" s="13">
        <v>11700</v>
      </c>
      <c r="F751" s="15">
        <f>E751*0.6</f>
        <v>7020</v>
      </c>
      <c r="G751" s="15">
        <f t="shared" ref="G751:G755" si="419">H751*F751</f>
        <v>7020</v>
      </c>
      <c r="H751" s="16">
        <v>1</v>
      </c>
      <c r="I751" s="17" t="s">
        <v>13</v>
      </c>
      <c r="J751" s="13" t="s">
        <v>244</v>
      </c>
      <c r="K751" s="12" t="str">
        <f>K750</f>
        <v>2853_02_01_P1_EM01_01_M3</v>
      </c>
      <c r="L751">
        <v>7020</v>
      </c>
    </row>
    <row r="752" spans="1:12" ht="21" hidden="1" customHeight="1" x14ac:dyDescent="0.25">
      <c r="A752" s="12" t="str">
        <f t="shared" ref="A752:A756" si="420">A751</f>
        <v>ЩАО-P1 (P1)</v>
      </c>
      <c r="B752" s="13" t="s">
        <v>48</v>
      </c>
      <c r="C752" s="14" t="s">
        <v>49</v>
      </c>
      <c r="D752" s="12" t="s">
        <v>50</v>
      </c>
      <c r="E752" s="13">
        <v>3372</v>
      </c>
      <c r="F752" s="15">
        <f t="shared" ref="F752:F753" si="421">E752*0.6</f>
        <v>2023.1999999999998</v>
      </c>
      <c r="G752" s="15">
        <f t="shared" si="419"/>
        <v>2023.1999999999998</v>
      </c>
      <c r="H752" s="16">
        <v>1</v>
      </c>
      <c r="I752" s="17" t="s">
        <v>13</v>
      </c>
      <c r="J752" s="13" t="s">
        <v>17</v>
      </c>
      <c r="K752" s="12" t="str">
        <f t="shared" ref="K752:K756" si="422">K751</f>
        <v>2853_02_01_P1_EM01_01_M3</v>
      </c>
      <c r="L752">
        <v>2023.1999999999998</v>
      </c>
    </row>
    <row r="753" spans="1:12" ht="21" hidden="1" customHeight="1" x14ac:dyDescent="0.25">
      <c r="A753" s="12" t="str">
        <f t="shared" si="420"/>
        <v>ЩАО-P1 (P1)</v>
      </c>
      <c r="B753" s="13" t="s">
        <v>12</v>
      </c>
      <c r="C753" s="14" t="s">
        <v>19</v>
      </c>
      <c r="D753" s="12" t="s">
        <v>20</v>
      </c>
      <c r="E753" s="13">
        <v>975</v>
      </c>
      <c r="F753" s="15">
        <f t="shared" si="421"/>
        <v>585</v>
      </c>
      <c r="G753" s="15">
        <f t="shared" si="419"/>
        <v>3510</v>
      </c>
      <c r="H753" s="16">
        <v>6</v>
      </c>
      <c r="I753" s="17" t="s">
        <v>13</v>
      </c>
      <c r="J753" s="13" t="s">
        <v>17</v>
      </c>
      <c r="K753" s="12" t="str">
        <f t="shared" si="422"/>
        <v>2853_02_01_P1_EM01_01_M3</v>
      </c>
      <c r="L753">
        <v>3510</v>
      </c>
    </row>
    <row r="754" spans="1:12" ht="24" hidden="1" customHeight="1" x14ac:dyDescent="0.25">
      <c r="A754" s="12" t="str">
        <f>A753</f>
        <v>ЩАО-P1 (P1)</v>
      </c>
      <c r="B754" s="12" t="s">
        <v>10</v>
      </c>
      <c r="C754" s="18" t="s">
        <v>10</v>
      </c>
      <c r="D754" s="12" t="s">
        <v>10</v>
      </c>
      <c r="E754" s="12">
        <f ca="1">OFFSET(E754,1,2)</f>
        <v>4200</v>
      </c>
      <c r="F754" s="15">
        <f ca="1">E754</f>
        <v>4200</v>
      </c>
      <c r="G754" s="15">
        <f t="shared" ca="1" si="419"/>
        <v>4200</v>
      </c>
      <c r="H754" s="12">
        <v>1</v>
      </c>
      <c r="I754" s="12" t="s">
        <v>13</v>
      </c>
      <c r="J754" s="12" t="s">
        <v>10</v>
      </c>
      <c r="K754" s="12" t="str">
        <f>K753</f>
        <v>2853_02_01_P1_EM01_01_M3</v>
      </c>
      <c r="L754">
        <v>4200</v>
      </c>
    </row>
    <row r="755" spans="1:12" ht="21" hidden="1" customHeight="1" x14ac:dyDescent="0.25">
      <c r="A755" s="12" t="str">
        <f t="shared" si="420"/>
        <v>ЩАО-P1 (P1)</v>
      </c>
      <c r="B755" s="12" t="s">
        <v>11</v>
      </c>
      <c r="C755" s="18" t="s">
        <v>11</v>
      </c>
      <c r="D755" s="12" t="s">
        <v>11</v>
      </c>
      <c r="E755" s="12">
        <v>0.7</v>
      </c>
      <c r="F755" s="15">
        <v>100</v>
      </c>
      <c r="G755" s="15">
        <f t="shared" si="419"/>
        <v>4200</v>
      </c>
      <c r="H755" s="12">
        <f>60*E755</f>
        <v>42</v>
      </c>
      <c r="I755" s="12" t="s">
        <v>13</v>
      </c>
      <c r="J755" s="12" t="s">
        <v>11</v>
      </c>
      <c r="K755" s="12" t="str">
        <f t="shared" si="422"/>
        <v>2853_02_01_P1_EM01_01_M3</v>
      </c>
      <c r="L755">
        <v>4200</v>
      </c>
    </row>
    <row r="756" spans="1:12" ht="30" customHeight="1" x14ac:dyDescent="0.25">
      <c r="A756" s="12" t="str">
        <f t="shared" si="420"/>
        <v>ЩАО-P1 (P1)</v>
      </c>
      <c r="B756" s="19"/>
      <c r="C756" s="20"/>
      <c r="D756" s="21"/>
      <c r="E756" s="23"/>
      <c r="F756" s="25"/>
      <c r="G756" s="24">
        <f ca="1">SUM(G751:G755)</f>
        <v>20953.2</v>
      </c>
      <c r="H756" s="20"/>
      <c r="I756" s="22"/>
      <c r="J756" s="20"/>
      <c r="K756" s="12" t="str">
        <f t="shared" si="422"/>
        <v>2853_02_01_P1_EM01_01_M3</v>
      </c>
      <c r="L756">
        <v>20953.2</v>
      </c>
    </row>
    <row r="757" spans="1:12" ht="39.75" customHeight="1" x14ac:dyDescent="0.25">
      <c r="A757" s="5" t="str">
        <f>D757</f>
        <v>ЩСС-P1 (P1)</v>
      </c>
      <c r="B757" s="6"/>
      <c r="C757" s="7"/>
      <c r="D757" s="6" t="s">
        <v>316</v>
      </c>
      <c r="E757" s="8"/>
      <c r="F757" s="8" t="s">
        <v>40</v>
      </c>
      <c r="G757" s="9"/>
      <c r="H757" s="10">
        <v>1</v>
      </c>
      <c r="I757" s="11" t="s">
        <v>7</v>
      </c>
      <c r="J757" s="6" t="s">
        <v>9</v>
      </c>
      <c r="K757" s="5" t="s">
        <v>180</v>
      </c>
    </row>
    <row r="758" spans="1:12" ht="21" hidden="1" customHeight="1" x14ac:dyDescent="0.25">
      <c r="A758" s="12" t="str">
        <f>A757</f>
        <v>ЩСС-P1 (P1)</v>
      </c>
      <c r="B758" s="13" t="s">
        <v>8</v>
      </c>
      <c r="C758" s="14" t="s">
        <v>237</v>
      </c>
      <c r="D758" s="12" t="s">
        <v>238</v>
      </c>
      <c r="E758" s="13">
        <v>11700</v>
      </c>
      <c r="F758" s="15">
        <f>E758*0.6</f>
        <v>7020</v>
      </c>
      <c r="G758" s="15">
        <f t="shared" ref="G758:G764" si="423">H758*F758</f>
        <v>7020</v>
      </c>
      <c r="H758" s="16">
        <v>1</v>
      </c>
      <c r="I758" s="17" t="s">
        <v>13</v>
      </c>
      <c r="J758" s="13" t="s">
        <v>244</v>
      </c>
      <c r="K758" s="12" t="str">
        <f>K757</f>
        <v>2853_02_01_P1_EM01_01_M3</v>
      </c>
      <c r="L758">
        <v>7020</v>
      </c>
    </row>
    <row r="759" spans="1:12" ht="21" hidden="1" customHeight="1" x14ac:dyDescent="0.25">
      <c r="A759" s="12" t="str">
        <f t="shared" ref="A759:A765" si="424">A758</f>
        <v>ЩСС-P1 (P1)</v>
      </c>
      <c r="B759" s="13" t="s">
        <v>48</v>
      </c>
      <c r="C759" s="14" t="s">
        <v>49</v>
      </c>
      <c r="D759" s="12" t="s">
        <v>50</v>
      </c>
      <c r="E759" s="13">
        <v>3372</v>
      </c>
      <c r="F759" s="15">
        <f t="shared" ref="F759:F762" si="425">E759*0.6</f>
        <v>2023.1999999999998</v>
      </c>
      <c r="G759" s="15">
        <f t="shared" si="423"/>
        <v>2023.1999999999998</v>
      </c>
      <c r="H759" s="16">
        <v>1</v>
      </c>
      <c r="I759" s="17" t="s">
        <v>13</v>
      </c>
      <c r="J759" s="13" t="s">
        <v>17</v>
      </c>
      <c r="K759" s="12" t="str">
        <f t="shared" ref="K759:K765" si="426">K758</f>
        <v>2853_02_01_P1_EM01_01_M3</v>
      </c>
      <c r="L759">
        <v>2023.1999999999998</v>
      </c>
    </row>
    <row r="760" spans="1:12" ht="21" hidden="1" customHeight="1" x14ac:dyDescent="0.25">
      <c r="A760" s="12" t="str">
        <f>A758</f>
        <v>ЩСС-P1 (P1)</v>
      </c>
      <c r="B760" s="13" t="s">
        <v>21</v>
      </c>
      <c r="C760" s="14" t="s">
        <v>111</v>
      </c>
      <c r="D760" s="12" t="s">
        <v>112</v>
      </c>
      <c r="E760" s="13">
        <v>5719</v>
      </c>
      <c r="F760" s="15">
        <f t="shared" si="425"/>
        <v>3431.4</v>
      </c>
      <c r="G760" s="15">
        <f t="shared" si="423"/>
        <v>10294.200000000001</v>
      </c>
      <c r="H760" s="16">
        <v>3</v>
      </c>
      <c r="I760" s="17" t="s">
        <v>13</v>
      </c>
      <c r="J760" s="13" t="s">
        <v>17</v>
      </c>
      <c r="K760" s="12" t="str">
        <f>K758</f>
        <v>2853_02_01_P1_EM01_01_M3</v>
      </c>
      <c r="L760">
        <v>10294.200000000001</v>
      </c>
    </row>
    <row r="761" spans="1:12" ht="21" hidden="1" customHeight="1" x14ac:dyDescent="0.25">
      <c r="A761" s="12" t="str">
        <f>A758</f>
        <v>ЩСС-P1 (P1)</v>
      </c>
      <c r="B761" s="13" t="s">
        <v>12</v>
      </c>
      <c r="C761" s="14" t="s">
        <v>46</v>
      </c>
      <c r="D761" s="12" t="s">
        <v>47</v>
      </c>
      <c r="E761" s="13">
        <v>783</v>
      </c>
      <c r="F761" s="15">
        <f t="shared" si="425"/>
        <v>469.79999999999995</v>
      </c>
      <c r="G761" s="15">
        <f t="shared" si="423"/>
        <v>469.79999999999995</v>
      </c>
      <c r="H761" s="16">
        <v>1</v>
      </c>
      <c r="I761" s="17" t="s">
        <v>13</v>
      </c>
      <c r="J761" s="13" t="s">
        <v>17</v>
      </c>
      <c r="K761" s="12" t="str">
        <f>K758</f>
        <v>2853_02_01_P1_EM01_01_M3</v>
      </c>
      <c r="L761">
        <v>469.79999999999995</v>
      </c>
    </row>
    <row r="762" spans="1:12" ht="21" hidden="1" customHeight="1" x14ac:dyDescent="0.25">
      <c r="A762" s="12" t="str">
        <f t="shared" ref="A762" si="427">A761</f>
        <v>ЩСС-P1 (P1)</v>
      </c>
      <c r="B762" s="13" t="s">
        <v>12</v>
      </c>
      <c r="C762" s="14" t="s">
        <v>19</v>
      </c>
      <c r="D762" s="12" t="s">
        <v>20</v>
      </c>
      <c r="E762" s="13">
        <v>975</v>
      </c>
      <c r="F762" s="15">
        <f t="shared" si="425"/>
        <v>585</v>
      </c>
      <c r="G762" s="15">
        <f t="shared" si="423"/>
        <v>585</v>
      </c>
      <c r="H762" s="16">
        <v>1</v>
      </c>
      <c r="I762" s="17" t="s">
        <v>13</v>
      </c>
      <c r="J762" s="13" t="s">
        <v>17</v>
      </c>
      <c r="K762" s="12" t="str">
        <f t="shared" ref="K762" si="428">K761</f>
        <v>2853_02_01_P1_EM01_01_M3</v>
      </c>
      <c r="L762">
        <v>585</v>
      </c>
    </row>
    <row r="763" spans="1:12" ht="24" hidden="1" customHeight="1" x14ac:dyDescent="0.25">
      <c r="A763" s="12" t="str">
        <f>A761</f>
        <v>ЩСС-P1 (P1)</v>
      </c>
      <c r="B763" s="12" t="s">
        <v>10</v>
      </c>
      <c r="C763" s="18" t="s">
        <v>10</v>
      </c>
      <c r="D763" s="12" t="s">
        <v>10</v>
      </c>
      <c r="E763" s="12">
        <f ca="1">OFFSET(E763,1,2)</f>
        <v>4200</v>
      </c>
      <c r="F763" s="15">
        <f ca="1">E763</f>
        <v>4200</v>
      </c>
      <c r="G763" s="15">
        <f t="shared" ca="1" si="423"/>
        <v>4200</v>
      </c>
      <c r="H763" s="12">
        <v>1</v>
      </c>
      <c r="I763" s="12" t="s">
        <v>13</v>
      </c>
      <c r="J763" s="12" t="s">
        <v>10</v>
      </c>
      <c r="K763" s="12" t="str">
        <f>K761</f>
        <v>2853_02_01_P1_EM01_01_M3</v>
      </c>
      <c r="L763">
        <v>4200</v>
      </c>
    </row>
    <row r="764" spans="1:12" ht="21" hidden="1" customHeight="1" x14ac:dyDescent="0.25">
      <c r="A764" s="12" t="str">
        <f t="shared" si="424"/>
        <v>ЩСС-P1 (P1)</v>
      </c>
      <c r="B764" s="12" t="s">
        <v>11</v>
      </c>
      <c r="C764" s="18" t="s">
        <v>11</v>
      </c>
      <c r="D764" s="12" t="s">
        <v>11</v>
      </c>
      <c r="E764" s="12">
        <v>0.7</v>
      </c>
      <c r="F764" s="15">
        <v>100</v>
      </c>
      <c r="G764" s="15">
        <f t="shared" si="423"/>
        <v>4200</v>
      </c>
      <c r="H764" s="12">
        <f>60*E764</f>
        <v>42</v>
      </c>
      <c r="I764" s="12" t="s">
        <v>13</v>
      </c>
      <c r="J764" s="12" t="s">
        <v>11</v>
      </c>
      <c r="K764" s="12" t="str">
        <f t="shared" si="426"/>
        <v>2853_02_01_P1_EM01_01_M3</v>
      </c>
      <c r="L764">
        <v>4200</v>
      </c>
    </row>
    <row r="765" spans="1:12" ht="30" customHeight="1" x14ac:dyDescent="0.25">
      <c r="A765" s="12" t="str">
        <f t="shared" si="424"/>
        <v>ЩСС-P1 (P1)</v>
      </c>
      <c r="B765" s="19"/>
      <c r="C765" s="20"/>
      <c r="D765" s="21"/>
      <c r="E765" s="23"/>
      <c r="F765" s="25"/>
      <c r="G765" s="24">
        <f ca="1">SUM(G758:G764)</f>
        <v>28792.2</v>
      </c>
      <c r="H765" s="20"/>
      <c r="I765" s="22"/>
      <c r="J765" s="20"/>
      <c r="K765" s="12" t="str">
        <f t="shared" si="426"/>
        <v>2853_02_01_P1_EM01_01_M3</v>
      </c>
      <c r="L765">
        <v>28792.2</v>
      </c>
    </row>
    <row r="766" spans="1:12" ht="39.75" customHeight="1" x14ac:dyDescent="0.25">
      <c r="A766" s="5" t="str">
        <f>D766</f>
        <v>ЩРохр-P1 (P1)</v>
      </c>
      <c r="B766" s="6"/>
      <c r="C766" s="7"/>
      <c r="D766" s="6" t="s">
        <v>317</v>
      </c>
      <c r="E766" s="8"/>
      <c r="F766" s="8" t="s">
        <v>40</v>
      </c>
      <c r="G766" s="9"/>
      <c r="H766" s="10">
        <v>1</v>
      </c>
      <c r="I766" s="11" t="s">
        <v>7</v>
      </c>
      <c r="J766" s="6" t="s">
        <v>9</v>
      </c>
      <c r="K766" s="5" t="s">
        <v>180</v>
      </c>
    </row>
    <row r="767" spans="1:12" ht="21" hidden="1" customHeight="1" x14ac:dyDescent="0.25">
      <c r="A767" s="12" t="str">
        <f>A766</f>
        <v>ЩРохр-P1 (P1)</v>
      </c>
      <c r="B767" s="13" t="s">
        <v>8</v>
      </c>
      <c r="C767" s="14" t="s">
        <v>239</v>
      </c>
      <c r="D767" s="12" t="s">
        <v>240</v>
      </c>
      <c r="E767" s="13">
        <v>8990</v>
      </c>
      <c r="F767" s="15">
        <f>E767*0.6</f>
        <v>5394</v>
      </c>
      <c r="G767" s="15">
        <f t="shared" ref="G767:G772" si="429">H767*F767</f>
        <v>5394</v>
      </c>
      <c r="H767" s="16">
        <v>1</v>
      </c>
      <c r="I767" s="17" t="s">
        <v>13</v>
      </c>
      <c r="J767" s="13" t="s">
        <v>244</v>
      </c>
      <c r="K767" s="12" t="str">
        <f>K766</f>
        <v>2853_02_01_P1_EM01_01_M3</v>
      </c>
      <c r="L767">
        <v>5394</v>
      </c>
    </row>
    <row r="768" spans="1:12" ht="21" hidden="1" customHeight="1" x14ac:dyDescent="0.25">
      <c r="A768" s="12" t="str">
        <f t="shared" ref="A768" si="430">A767</f>
        <v>ЩРохр-P1 (P1)</v>
      </c>
      <c r="B768" s="13" t="s">
        <v>48</v>
      </c>
      <c r="C768" s="14" t="s">
        <v>51</v>
      </c>
      <c r="D768" s="12" t="s">
        <v>52</v>
      </c>
      <c r="E768" s="13">
        <v>3372</v>
      </c>
      <c r="F768" s="15">
        <f t="shared" ref="F768:F770" si="431">E768*0.6</f>
        <v>2023.1999999999998</v>
      </c>
      <c r="G768" s="15">
        <f t="shared" si="429"/>
        <v>2023.1999999999998</v>
      </c>
      <c r="H768" s="16">
        <v>1</v>
      </c>
      <c r="I768" s="17" t="s">
        <v>13</v>
      </c>
      <c r="J768" s="13" t="s">
        <v>17</v>
      </c>
      <c r="K768" s="12" t="str">
        <f t="shared" ref="K768" si="432">K767</f>
        <v>2853_02_01_P1_EM01_01_M3</v>
      </c>
      <c r="L768">
        <v>2023.1999999999998</v>
      </c>
    </row>
    <row r="769" spans="1:12" ht="21" hidden="1" customHeight="1" x14ac:dyDescent="0.25">
      <c r="A769" s="12" t="str">
        <f>A767</f>
        <v>ЩРохр-P1 (P1)</v>
      </c>
      <c r="B769" s="13" t="s">
        <v>21</v>
      </c>
      <c r="C769" s="14" t="s">
        <v>42</v>
      </c>
      <c r="D769" s="12" t="s">
        <v>43</v>
      </c>
      <c r="E769" s="13">
        <v>5104</v>
      </c>
      <c r="F769" s="15">
        <f t="shared" si="431"/>
        <v>3062.4</v>
      </c>
      <c r="G769" s="15">
        <f t="shared" si="429"/>
        <v>6124.8</v>
      </c>
      <c r="H769" s="16">
        <v>2</v>
      </c>
      <c r="I769" s="17" t="s">
        <v>13</v>
      </c>
      <c r="J769" s="13" t="s">
        <v>17</v>
      </c>
      <c r="K769" s="12" t="str">
        <f>K767</f>
        <v>2853_02_01_P1_EM01_01_M3</v>
      </c>
      <c r="L769">
        <v>6124.8</v>
      </c>
    </row>
    <row r="770" spans="1:12" ht="21" hidden="1" customHeight="1" x14ac:dyDescent="0.25">
      <c r="A770" s="12" t="str">
        <f>A767</f>
        <v>ЩРохр-P1 (P1)</v>
      </c>
      <c r="B770" s="13" t="s">
        <v>12</v>
      </c>
      <c r="C770" s="14" t="s">
        <v>46</v>
      </c>
      <c r="D770" s="12" t="s">
        <v>47</v>
      </c>
      <c r="E770" s="13">
        <v>783</v>
      </c>
      <c r="F770" s="15">
        <f t="shared" si="431"/>
        <v>469.79999999999995</v>
      </c>
      <c r="G770" s="15">
        <f t="shared" si="429"/>
        <v>1409.3999999999999</v>
      </c>
      <c r="H770" s="16">
        <v>3</v>
      </c>
      <c r="I770" s="17" t="s">
        <v>13</v>
      </c>
      <c r="J770" s="13" t="s">
        <v>17</v>
      </c>
      <c r="K770" s="12" t="str">
        <f>K767</f>
        <v>2853_02_01_P1_EM01_01_M3</v>
      </c>
      <c r="L770">
        <v>1409.3999999999999</v>
      </c>
    </row>
    <row r="771" spans="1:12" ht="24" hidden="1" customHeight="1" x14ac:dyDescent="0.25">
      <c r="A771" s="12" t="str">
        <f>A770</f>
        <v>ЩРохр-P1 (P1)</v>
      </c>
      <c r="B771" s="12" t="s">
        <v>10</v>
      </c>
      <c r="C771" s="18" t="s">
        <v>10</v>
      </c>
      <c r="D771" s="12" t="s">
        <v>10</v>
      </c>
      <c r="E771" s="12">
        <f ca="1">OFFSET(E771,1,2)</f>
        <v>3000</v>
      </c>
      <c r="F771" s="15">
        <f ca="1">E771</f>
        <v>3000</v>
      </c>
      <c r="G771" s="15">
        <f t="shared" ca="1" si="429"/>
        <v>3000</v>
      </c>
      <c r="H771" s="12">
        <v>1</v>
      </c>
      <c r="I771" s="12" t="s">
        <v>13</v>
      </c>
      <c r="J771" s="12" t="s">
        <v>10</v>
      </c>
      <c r="K771" s="12" t="str">
        <f>K770</f>
        <v>2853_02_01_P1_EM01_01_M3</v>
      </c>
      <c r="L771">
        <v>3000</v>
      </c>
    </row>
    <row r="772" spans="1:12" ht="21" hidden="1" customHeight="1" x14ac:dyDescent="0.25">
      <c r="A772" s="12" t="str">
        <f t="shared" ref="A772:A773" si="433">A771</f>
        <v>ЩРохр-P1 (P1)</v>
      </c>
      <c r="B772" s="12" t="s">
        <v>11</v>
      </c>
      <c r="C772" s="18" t="s">
        <v>11</v>
      </c>
      <c r="D772" s="12" t="s">
        <v>11</v>
      </c>
      <c r="E772" s="12">
        <v>0.5</v>
      </c>
      <c r="F772" s="15">
        <v>100</v>
      </c>
      <c r="G772" s="15">
        <f t="shared" si="429"/>
        <v>3000</v>
      </c>
      <c r="H772" s="12">
        <f>60*E772</f>
        <v>30</v>
      </c>
      <c r="I772" s="12" t="s">
        <v>13</v>
      </c>
      <c r="J772" s="12" t="s">
        <v>11</v>
      </c>
      <c r="K772" s="12" t="str">
        <f t="shared" ref="K772:K773" si="434">K771</f>
        <v>2853_02_01_P1_EM01_01_M3</v>
      </c>
      <c r="L772">
        <v>3000</v>
      </c>
    </row>
    <row r="773" spans="1:12" ht="30" customHeight="1" x14ac:dyDescent="0.25">
      <c r="A773" s="12" t="str">
        <f t="shared" si="433"/>
        <v>ЩРохр-P1 (P1)</v>
      </c>
      <c r="B773" s="19"/>
      <c r="C773" s="20"/>
      <c r="D773" s="21"/>
      <c r="E773" s="23"/>
      <c r="F773" s="25"/>
      <c r="G773" s="24">
        <f ca="1">SUM(G767:G772)</f>
        <v>20951.400000000001</v>
      </c>
      <c r="H773" s="20"/>
      <c r="I773" s="22"/>
      <c r="J773" s="20"/>
      <c r="K773" s="12" t="str">
        <f t="shared" si="434"/>
        <v>2853_02_01_P1_EM01_01_M3</v>
      </c>
      <c r="L773">
        <v>20951.400000000001</v>
      </c>
    </row>
    <row r="774" spans="1:12" ht="39.75" customHeight="1" x14ac:dyDescent="0.25">
      <c r="A774" s="5" t="str">
        <f>D774</f>
        <v>ЩР-п (P1)</v>
      </c>
      <c r="B774" s="6"/>
      <c r="C774" s="7"/>
      <c r="D774" s="6" t="s">
        <v>318</v>
      </c>
      <c r="E774" s="8"/>
      <c r="F774" s="8" t="s">
        <v>40</v>
      </c>
      <c r="G774" s="9"/>
      <c r="H774" s="10">
        <v>1</v>
      </c>
      <c r="I774" s="11" t="s">
        <v>7</v>
      </c>
      <c r="J774" s="6" t="s">
        <v>9</v>
      </c>
      <c r="K774" s="5" t="s">
        <v>180</v>
      </c>
    </row>
    <row r="775" spans="1:12" ht="21" hidden="1" customHeight="1" x14ac:dyDescent="0.25">
      <c r="A775" s="12" t="str">
        <f>A774</f>
        <v>ЩР-п (P1)</v>
      </c>
      <c r="B775" s="13" t="s">
        <v>8</v>
      </c>
      <c r="C775" s="14" t="s">
        <v>241</v>
      </c>
      <c r="D775" s="12" t="s">
        <v>242</v>
      </c>
      <c r="E775" s="13">
        <v>14900</v>
      </c>
      <c r="F775" s="15">
        <f>E775*0.6</f>
        <v>8940</v>
      </c>
      <c r="G775" s="15">
        <f t="shared" ref="G775:G781" si="435">H775*F775</f>
        <v>8940</v>
      </c>
      <c r="H775" s="16">
        <v>1</v>
      </c>
      <c r="I775" s="17" t="s">
        <v>13</v>
      </c>
      <c r="J775" s="13" t="s">
        <v>244</v>
      </c>
      <c r="K775" s="12" t="str">
        <f>K774</f>
        <v>2853_02_01_P1_EM01_01_M3</v>
      </c>
      <c r="L775">
        <v>8940</v>
      </c>
    </row>
    <row r="776" spans="1:12" ht="21" hidden="1" customHeight="1" x14ac:dyDescent="0.25">
      <c r="A776" s="12" t="str">
        <f t="shared" ref="A776" si="436">A775</f>
        <v>ЩР-п (P1)</v>
      </c>
      <c r="B776" s="13" t="s">
        <v>48</v>
      </c>
      <c r="C776" s="14" t="s">
        <v>51</v>
      </c>
      <c r="D776" s="12" t="s">
        <v>52</v>
      </c>
      <c r="E776" s="13">
        <v>3372</v>
      </c>
      <c r="F776" s="15">
        <f t="shared" ref="F776:F779" si="437">E776*0.6</f>
        <v>2023.1999999999998</v>
      </c>
      <c r="G776" s="15">
        <f t="shared" si="435"/>
        <v>2023.1999999999998</v>
      </c>
      <c r="H776" s="16">
        <v>1</v>
      </c>
      <c r="I776" s="17" t="s">
        <v>13</v>
      </c>
      <c r="J776" s="13" t="s">
        <v>17</v>
      </c>
      <c r="K776" s="12" t="str">
        <f t="shared" ref="K776" si="438">K775</f>
        <v>2853_02_01_P1_EM01_01_M3</v>
      </c>
      <c r="L776">
        <v>2023.1999999999998</v>
      </c>
    </row>
    <row r="777" spans="1:12" ht="21" hidden="1" customHeight="1" x14ac:dyDescent="0.25">
      <c r="A777" s="12" t="str">
        <f>A775</f>
        <v>ЩР-п (P1)</v>
      </c>
      <c r="B777" s="13" t="s">
        <v>21</v>
      </c>
      <c r="C777" s="14" t="s">
        <v>42</v>
      </c>
      <c r="D777" s="12" t="s">
        <v>43</v>
      </c>
      <c r="E777" s="13">
        <v>5104</v>
      </c>
      <c r="F777" s="15">
        <f t="shared" si="437"/>
        <v>3062.4</v>
      </c>
      <c r="G777" s="15">
        <f t="shared" si="435"/>
        <v>15312</v>
      </c>
      <c r="H777" s="16">
        <v>5</v>
      </c>
      <c r="I777" s="17" t="s">
        <v>13</v>
      </c>
      <c r="J777" s="13" t="s">
        <v>17</v>
      </c>
      <c r="K777" s="12" t="str">
        <f>K775</f>
        <v>2853_02_01_P1_EM01_01_M3</v>
      </c>
      <c r="L777">
        <v>15312</v>
      </c>
    </row>
    <row r="778" spans="1:12" ht="21" hidden="1" customHeight="1" x14ac:dyDescent="0.25">
      <c r="A778" s="12" t="str">
        <f>A775</f>
        <v>ЩР-п (P1)</v>
      </c>
      <c r="B778" s="13" t="s">
        <v>12</v>
      </c>
      <c r="C778" s="14" t="s">
        <v>46</v>
      </c>
      <c r="D778" s="12" t="s">
        <v>47</v>
      </c>
      <c r="E778" s="13">
        <v>783</v>
      </c>
      <c r="F778" s="15">
        <f t="shared" si="437"/>
        <v>469.79999999999995</v>
      </c>
      <c r="G778" s="15">
        <f t="shared" si="435"/>
        <v>469.79999999999995</v>
      </c>
      <c r="H778" s="16">
        <v>1</v>
      </c>
      <c r="I778" s="17" t="s">
        <v>13</v>
      </c>
      <c r="J778" s="13" t="s">
        <v>17</v>
      </c>
      <c r="K778" s="12" t="str">
        <f>K775</f>
        <v>2853_02_01_P1_EM01_01_M3</v>
      </c>
      <c r="L778">
        <v>469.79999999999995</v>
      </c>
    </row>
    <row r="779" spans="1:12" ht="21" hidden="1" customHeight="1" x14ac:dyDescent="0.25">
      <c r="A779" s="12" t="str">
        <f>A777</f>
        <v>ЩР-п (P1)</v>
      </c>
      <c r="B779" s="13" t="s">
        <v>119</v>
      </c>
      <c r="C779" s="14" t="s">
        <v>115</v>
      </c>
      <c r="D779" s="12" t="s">
        <v>116</v>
      </c>
      <c r="E779" s="13">
        <v>5354</v>
      </c>
      <c r="F779" s="15">
        <f t="shared" si="437"/>
        <v>3212.4</v>
      </c>
      <c r="G779" s="15">
        <f t="shared" si="435"/>
        <v>3212.4</v>
      </c>
      <c r="H779" s="16">
        <v>1</v>
      </c>
      <c r="I779" s="17" t="s">
        <v>13</v>
      </c>
      <c r="J779" s="13" t="s">
        <v>17</v>
      </c>
      <c r="K779" s="12" t="str">
        <f>K777</f>
        <v>2853_02_01_P1_EM01_01_M3</v>
      </c>
      <c r="L779">
        <v>3212.4</v>
      </c>
    </row>
    <row r="780" spans="1:12" ht="24" hidden="1" customHeight="1" x14ac:dyDescent="0.25">
      <c r="A780" s="12" t="str">
        <f>A778</f>
        <v>ЩР-п (P1)</v>
      </c>
      <c r="B780" s="12" t="s">
        <v>10</v>
      </c>
      <c r="C780" s="18" t="s">
        <v>10</v>
      </c>
      <c r="D780" s="12" t="s">
        <v>10</v>
      </c>
      <c r="E780" s="12">
        <f ca="1">OFFSET(E780,1,2)</f>
        <v>6000</v>
      </c>
      <c r="F780" s="15">
        <f ca="1">E780</f>
        <v>6000</v>
      </c>
      <c r="G780" s="15">
        <f t="shared" ca="1" si="435"/>
        <v>6000</v>
      </c>
      <c r="H780" s="12">
        <v>1</v>
      </c>
      <c r="I780" s="12" t="s">
        <v>13</v>
      </c>
      <c r="J780" s="12" t="s">
        <v>10</v>
      </c>
      <c r="K780" s="12" t="str">
        <f>K778</f>
        <v>2853_02_01_P1_EM01_01_M3</v>
      </c>
      <c r="L780">
        <v>6000</v>
      </c>
    </row>
    <row r="781" spans="1:12" ht="21" hidden="1" customHeight="1" x14ac:dyDescent="0.25">
      <c r="A781" s="12" t="str">
        <f t="shared" ref="A781:A782" si="439">A780</f>
        <v>ЩР-п (P1)</v>
      </c>
      <c r="B781" s="12" t="s">
        <v>11</v>
      </c>
      <c r="C781" s="18" t="s">
        <v>11</v>
      </c>
      <c r="D781" s="12" t="s">
        <v>11</v>
      </c>
      <c r="E781" s="12">
        <v>1</v>
      </c>
      <c r="F781" s="15">
        <v>100</v>
      </c>
      <c r="G781" s="15">
        <f t="shared" si="435"/>
        <v>6000</v>
      </c>
      <c r="H781" s="12">
        <f>60*E781</f>
        <v>60</v>
      </c>
      <c r="I781" s="12" t="s">
        <v>13</v>
      </c>
      <c r="J781" s="12" t="s">
        <v>11</v>
      </c>
      <c r="K781" s="12" t="str">
        <f t="shared" ref="K781:K782" si="440">K780</f>
        <v>2853_02_01_P1_EM01_01_M3</v>
      </c>
      <c r="L781">
        <v>6000</v>
      </c>
    </row>
    <row r="782" spans="1:12" ht="30" customHeight="1" x14ac:dyDescent="0.25">
      <c r="A782" s="12" t="str">
        <f t="shared" si="439"/>
        <v>ЩР-п (P1)</v>
      </c>
      <c r="B782" s="19"/>
      <c r="C782" s="20"/>
      <c r="D782" s="21"/>
      <c r="E782" s="23"/>
      <c r="F782" s="25"/>
      <c r="G782" s="24">
        <f ca="1">SUM(G775:G781)</f>
        <v>41957.4</v>
      </c>
      <c r="H782" s="20"/>
      <c r="I782" s="22"/>
      <c r="J782" s="20"/>
      <c r="K782" s="12" t="str">
        <f t="shared" si="440"/>
        <v>2853_02_01_P1_EM01_01_M3</v>
      </c>
      <c r="L782">
        <v>41957.4</v>
      </c>
    </row>
    <row r="783" spans="1:12" ht="39.75" customHeight="1" x14ac:dyDescent="0.25">
      <c r="A783" s="5" t="str">
        <f>D783</f>
        <v>ЩСН-P1 (P1)</v>
      </c>
      <c r="B783" s="6"/>
      <c r="C783" s="7"/>
      <c r="D783" s="6" t="s">
        <v>319</v>
      </c>
      <c r="E783" s="8"/>
      <c r="F783" s="8" t="s">
        <v>40</v>
      </c>
      <c r="G783" s="9"/>
      <c r="H783" s="10">
        <v>1</v>
      </c>
      <c r="I783" s="11" t="s">
        <v>7</v>
      </c>
      <c r="J783" s="6" t="s">
        <v>9</v>
      </c>
      <c r="K783" s="5" t="s">
        <v>180</v>
      </c>
    </row>
    <row r="784" spans="1:12" ht="21" hidden="1" customHeight="1" x14ac:dyDescent="0.25">
      <c r="A784" s="12" t="str">
        <f>A783</f>
        <v>ЩСН-P1 (P1)</v>
      </c>
      <c r="B784" s="13" t="s">
        <v>8</v>
      </c>
      <c r="C784" s="14" t="s">
        <v>241</v>
      </c>
      <c r="D784" s="12" t="s">
        <v>242</v>
      </c>
      <c r="E784" s="13">
        <v>14900</v>
      </c>
      <c r="F784" s="15">
        <f>E784*0.6</f>
        <v>8940</v>
      </c>
      <c r="G784" s="15">
        <f t="shared" ref="G784:G788" si="441">H784*F784</f>
        <v>8940</v>
      </c>
      <c r="H784" s="16">
        <v>1</v>
      </c>
      <c r="I784" s="17" t="s">
        <v>13</v>
      </c>
      <c r="J784" s="13" t="s">
        <v>244</v>
      </c>
      <c r="K784" s="12" t="str">
        <f>K783</f>
        <v>2853_02_01_P1_EM01_01_M3</v>
      </c>
      <c r="L784">
        <v>8940</v>
      </c>
    </row>
    <row r="785" spans="1:12" ht="21" hidden="1" customHeight="1" x14ac:dyDescent="0.25">
      <c r="A785" s="12" t="str">
        <f t="shared" ref="A785:A789" si="442">A784</f>
        <v>ЩСН-P1 (P1)</v>
      </c>
      <c r="B785" s="13" t="s">
        <v>48</v>
      </c>
      <c r="C785" s="14" t="s">
        <v>51</v>
      </c>
      <c r="D785" s="12" t="s">
        <v>52</v>
      </c>
      <c r="E785" s="13">
        <v>3372</v>
      </c>
      <c r="F785" s="15">
        <f t="shared" ref="F785:F786" si="443">E785*0.6</f>
        <v>2023.1999999999998</v>
      </c>
      <c r="G785" s="15">
        <f t="shared" si="441"/>
        <v>2023.1999999999998</v>
      </c>
      <c r="H785" s="16">
        <v>1</v>
      </c>
      <c r="I785" s="17" t="s">
        <v>13</v>
      </c>
      <c r="J785" s="13" t="s">
        <v>17</v>
      </c>
      <c r="K785" s="12" t="str">
        <f t="shared" ref="K785:K789" si="444">K784</f>
        <v>2853_02_01_P1_EM01_01_M3</v>
      </c>
      <c r="L785">
        <v>2023.1999999999998</v>
      </c>
    </row>
    <row r="786" spans="1:12" ht="21" hidden="1" customHeight="1" x14ac:dyDescent="0.25">
      <c r="A786" s="12" t="str">
        <f t="shared" si="442"/>
        <v>ЩСН-P1 (P1)</v>
      </c>
      <c r="B786" s="13" t="s">
        <v>21</v>
      </c>
      <c r="C786" s="14" t="s">
        <v>42</v>
      </c>
      <c r="D786" s="12" t="s">
        <v>43</v>
      </c>
      <c r="E786" s="13">
        <v>5104</v>
      </c>
      <c r="F786" s="15">
        <f t="shared" si="443"/>
        <v>3062.4</v>
      </c>
      <c r="G786" s="15">
        <f t="shared" si="441"/>
        <v>24499.200000000001</v>
      </c>
      <c r="H786" s="16">
        <v>8</v>
      </c>
      <c r="I786" s="17" t="s">
        <v>13</v>
      </c>
      <c r="J786" s="13" t="s">
        <v>17</v>
      </c>
      <c r="K786" s="12" t="str">
        <f t="shared" si="444"/>
        <v>2853_02_01_P1_EM01_01_M3</v>
      </c>
      <c r="L786">
        <v>24499.200000000001</v>
      </c>
    </row>
    <row r="787" spans="1:12" ht="24" hidden="1" customHeight="1" x14ac:dyDescent="0.25">
      <c r="A787" s="12" t="str">
        <f t="shared" si="442"/>
        <v>ЩСН-P1 (P1)</v>
      </c>
      <c r="B787" s="12" t="s">
        <v>10</v>
      </c>
      <c r="C787" s="18" t="s">
        <v>10</v>
      </c>
      <c r="D787" s="12" t="s">
        <v>10</v>
      </c>
      <c r="E787" s="12">
        <f ca="1">OFFSET(E787,1,2)</f>
        <v>6000</v>
      </c>
      <c r="F787" s="15">
        <f ca="1">E787</f>
        <v>6000</v>
      </c>
      <c r="G787" s="15">
        <f t="shared" ca="1" si="441"/>
        <v>6000</v>
      </c>
      <c r="H787" s="12">
        <v>1</v>
      </c>
      <c r="I787" s="12" t="s">
        <v>13</v>
      </c>
      <c r="J787" s="12" t="s">
        <v>10</v>
      </c>
      <c r="K787" s="12" t="str">
        <f t="shared" si="444"/>
        <v>2853_02_01_P1_EM01_01_M3</v>
      </c>
      <c r="L787">
        <v>6000</v>
      </c>
    </row>
    <row r="788" spans="1:12" ht="21" hidden="1" customHeight="1" x14ac:dyDescent="0.25">
      <c r="A788" s="12" t="str">
        <f t="shared" si="442"/>
        <v>ЩСН-P1 (P1)</v>
      </c>
      <c r="B788" s="12" t="s">
        <v>11</v>
      </c>
      <c r="C788" s="18" t="s">
        <v>11</v>
      </c>
      <c r="D788" s="12" t="s">
        <v>11</v>
      </c>
      <c r="E788" s="12">
        <v>1</v>
      </c>
      <c r="F788" s="15">
        <v>100</v>
      </c>
      <c r="G788" s="15">
        <f t="shared" si="441"/>
        <v>6000</v>
      </c>
      <c r="H788" s="12">
        <f>60*E788</f>
        <v>60</v>
      </c>
      <c r="I788" s="12" t="s">
        <v>13</v>
      </c>
      <c r="J788" s="12" t="s">
        <v>11</v>
      </c>
      <c r="K788" s="12" t="str">
        <f t="shared" si="444"/>
        <v>2853_02_01_P1_EM01_01_M3</v>
      </c>
      <c r="L788">
        <v>6000</v>
      </c>
    </row>
    <row r="789" spans="1:12" ht="30" customHeight="1" x14ac:dyDescent="0.25">
      <c r="A789" s="12" t="str">
        <f t="shared" si="442"/>
        <v>ЩСН-P1 (P1)</v>
      </c>
      <c r="B789" s="19"/>
      <c r="C789" s="20"/>
      <c r="D789" s="21"/>
      <c r="E789" s="23"/>
      <c r="F789" s="25"/>
      <c r="G789" s="24">
        <f ca="1">SUM(G784:G788)</f>
        <v>47462.400000000001</v>
      </c>
      <c r="H789" s="20"/>
      <c r="I789" s="22"/>
      <c r="J789" s="20"/>
      <c r="K789" s="12" t="str">
        <f t="shared" si="444"/>
        <v>2853_02_01_P1_EM01_01_M3</v>
      </c>
      <c r="L789">
        <v>47462.400000000001</v>
      </c>
    </row>
    <row r="790" spans="1:12" ht="39.75" customHeight="1" x14ac:dyDescent="0.25">
      <c r="A790" s="5" t="str">
        <f>D790</f>
        <v>ЩС-JET (P1)</v>
      </c>
      <c r="B790" s="6"/>
      <c r="C790" s="7"/>
      <c r="D790" s="6" t="s">
        <v>320</v>
      </c>
      <c r="E790" s="8"/>
      <c r="F790" s="8" t="s">
        <v>40</v>
      </c>
      <c r="G790" s="9"/>
      <c r="H790" s="10">
        <v>1</v>
      </c>
      <c r="I790" s="11" t="s">
        <v>7</v>
      </c>
      <c r="J790" s="6" t="s">
        <v>9</v>
      </c>
      <c r="K790" s="5" t="s">
        <v>180</v>
      </c>
    </row>
    <row r="791" spans="1:12" ht="21" hidden="1" customHeight="1" x14ac:dyDescent="0.25">
      <c r="A791" s="12" t="str">
        <f>A790</f>
        <v>ЩС-JET (P1)</v>
      </c>
      <c r="B791" s="13" t="s">
        <v>8</v>
      </c>
      <c r="C791" s="14" t="s">
        <v>241</v>
      </c>
      <c r="D791" s="12" t="s">
        <v>242</v>
      </c>
      <c r="E791" s="13">
        <v>14900</v>
      </c>
      <c r="F791" s="15">
        <f>E791*0.6</f>
        <v>8940</v>
      </c>
      <c r="G791" s="15">
        <f t="shared" ref="G791:G794" si="445">H791*F791</f>
        <v>8940</v>
      </c>
      <c r="H791" s="16">
        <v>1</v>
      </c>
      <c r="I791" s="17" t="s">
        <v>13</v>
      </c>
      <c r="J791" s="13" t="s">
        <v>244</v>
      </c>
      <c r="K791" s="12" t="str">
        <f>K790</f>
        <v>2853_02_01_P1_EM01_01_M3</v>
      </c>
      <c r="L791">
        <v>8940</v>
      </c>
    </row>
    <row r="792" spans="1:12" ht="21" hidden="1" customHeight="1" x14ac:dyDescent="0.25">
      <c r="A792" s="12" t="str">
        <f t="shared" ref="A792:A795" si="446">A791</f>
        <v>ЩС-JET (P1)</v>
      </c>
      <c r="B792" s="13" t="s">
        <v>48</v>
      </c>
      <c r="C792" s="14" t="s">
        <v>90</v>
      </c>
      <c r="D792" s="12" t="s">
        <v>91</v>
      </c>
      <c r="E792" s="13">
        <v>33910</v>
      </c>
      <c r="F792" s="15">
        <f>E792*0.6</f>
        <v>20346</v>
      </c>
      <c r="G792" s="15">
        <f t="shared" si="445"/>
        <v>20346</v>
      </c>
      <c r="H792" s="16">
        <v>1</v>
      </c>
      <c r="I792" s="17" t="s">
        <v>13</v>
      </c>
      <c r="J792" s="13" t="s">
        <v>17</v>
      </c>
      <c r="K792" s="12" t="str">
        <f t="shared" ref="K792:K795" si="447">K791</f>
        <v>2853_02_01_P1_EM01_01_M3</v>
      </c>
      <c r="L792">
        <v>20346</v>
      </c>
    </row>
    <row r="793" spans="1:12" ht="24" hidden="1" customHeight="1" x14ac:dyDescent="0.25">
      <c r="A793" s="12" t="str">
        <f t="shared" si="446"/>
        <v>ЩС-JET (P1)</v>
      </c>
      <c r="B793" s="12" t="s">
        <v>10</v>
      </c>
      <c r="C793" s="18" t="s">
        <v>10</v>
      </c>
      <c r="D793" s="12" t="s">
        <v>10</v>
      </c>
      <c r="E793" s="12">
        <f ca="1">OFFSET(E793,1,2)</f>
        <v>6000</v>
      </c>
      <c r="F793" s="15">
        <f ca="1">E793</f>
        <v>6000</v>
      </c>
      <c r="G793" s="15">
        <f t="shared" ca="1" si="445"/>
        <v>6000</v>
      </c>
      <c r="H793" s="12">
        <v>1</v>
      </c>
      <c r="I793" s="12" t="s">
        <v>13</v>
      </c>
      <c r="J793" s="12" t="s">
        <v>10</v>
      </c>
      <c r="K793" s="12" t="str">
        <f t="shared" si="447"/>
        <v>2853_02_01_P1_EM01_01_M3</v>
      </c>
      <c r="L793">
        <v>6000</v>
      </c>
    </row>
    <row r="794" spans="1:12" ht="21" hidden="1" customHeight="1" x14ac:dyDescent="0.25">
      <c r="A794" s="12" t="str">
        <f t="shared" si="446"/>
        <v>ЩС-JET (P1)</v>
      </c>
      <c r="B794" s="12" t="s">
        <v>11</v>
      </c>
      <c r="C794" s="18" t="s">
        <v>11</v>
      </c>
      <c r="D794" s="12" t="s">
        <v>11</v>
      </c>
      <c r="E794" s="12">
        <v>1</v>
      </c>
      <c r="F794" s="15">
        <v>100</v>
      </c>
      <c r="G794" s="15">
        <f t="shared" si="445"/>
        <v>6000</v>
      </c>
      <c r="H794" s="12">
        <f>60*E794</f>
        <v>60</v>
      </c>
      <c r="I794" s="12" t="s">
        <v>13</v>
      </c>
      <c r="J794" s="12" t="s">
        <v>11</v>
      </c>
      <c r="K794" s="12" t="str">
        <f t="shared" si="447"/>
        <v>2853_02_01_P1_EM01_01_M3</v>
      </c>
      <c r="L794">
        <v>6000</v>
      </c>
    </row>
    <row r="795" spans="1:12" ht="30" customHeight="1" x14ac:dyDescent="0.25">
      <c r="A795" s="12" t="str">
        <f t="shared" si="446"/>
        <v>ЩС-JET (P1)</v>
      </c>
      <c r="B795" s="19"/>
      <c r="C795" s="20"/>
      <c r="D795" s="21"/>
      <c r="E795" s="23"/>
      <c r="F795" s="25"/>
      <c r="G795" s="24">
        <f ca="1">SUM(G791:G794)</f>
        <v>41286</v>
      </c>
      <c r="H795" s="20"/>
      <c r="I795" s="22"/>
      <c r="J795" s="20"/>
      <c r="K795" s="12" t="str">
        <f t="shared" si="447"/>
        <v>2853_02_01_P1_EM01_01_M3</v>
      </c>
      <c r="L795">
        <v>41286</v>
      </c>
    </row>
    <row r="796" spans="1:12" ht="39.75" customHeight="1" x14ac:dyDescent="0.25">
      <c r="A796" s="5" t="str">
        <f>D796</f>
        <v>ЩС-АПТ (P1)</v>
      </c>
      <c r="B796" s="6"/>
      <c r="C796" s="7"/>
      <c r="D796" s="6" t="s">
        <v>321</v>
      </c>
      <c r="E796" s="8"/>
      <c r="F796" s="8" t="s">
        <v>40</v>
      </c>
      <c r="G796" s="9"/>
      <c r="H796" s="10">
        <v>1</v>
      </c>
      <c r="I796" s="11" t="s">
        <v>7</v>
      </c>
      <c r="J796" s="6" t="s">
        <v>9</v>
      </c>
      <c r="K796" s="5" t="s">
        <v>180</v>
      </c>
    </row>
    <row r="797" spans="1:12" ht="21" hidden="1" customHeight="1" x14ac:dyDescent="0.25">
      <c r="A797" s="12" t="str">
        <f>A796</f>
        <v>ЩС-АПТ (P1)</v>
      </c>
      <c r="B797" s="13" t="s">
        <v>8</v>
      </c>
      <c r="C797" s="14" t="s">
        <v>368</v>
      </c>
      <c r="D797" s="12" t="s">
        <v>369</v>
      </c>
      <c r="E797" s="13">
        <v>53990</v>
      </c>
      <c r="F797" s="15">
        <f>E797*0.6</f>
        <v>32394</v>
      </c>
      <c r="G797" s="15">
        <f t="shared" ref="G797:G803" si="448">H797*F797</f>
        <v>32394</v>
      </c>
      <c r="H797" s="16">
        <v>1</v>
      </c>
      <c r="I797" s="17" t="s">
        <v>13</v>
      </c>
      <c r="J797" s="13" t="s">
        <v>244</v>
      </c>
      <c r="K797" s="12" t="str">
        <f>K796</f>
        <v>2853_02_01_P1_EM01_01_M3</v>
      </c>
      <c r="L797">
        <v>32394</v>
      </c>
    </row>
    <row r="798" spans="1:12" ht="21" hidden="1" customHeight="1" x14ac:dyDescent="0.25">
      <c r="A798" s="12" t="str">
        <f t="shared" ref="A798:A804" si="449">A797</f>
        <v>ЩС-АПТ (P1)</v>
      </c>
      <c r="B798" s="13" t="s">
        <v>48</v>
      </c>
      <c r="C798" s="14" t="s">
        <v>90</v>
      </c>
      <c r="D798" s="12" t="s">
        <v>91</v>
      </c>
      <c r="E798" s="13">
        <v>33910</v>
      </c>
      <c r="F798" s="15">
        <f t="shared" ref="F798:F801" si="450">E798*0.6</f>
        <v>20346</v>
      </c>
      <c r="G798" s="15">
        <f t="shared" si="448"/>
        <v>20346</v>
      </c>
      <c r="H798" s="16">
        <v>1</v>
      </c>
      <c r="I798" s="17" t="s">
        <v>13</v>
      </c>
      <c r="J798" s="13" t="s">
        <v>17</v>
      </c>
      <c r="K798" s="12" t="str">
        <f t="shared" ref="K798:K804" si="451">K797</f>
        <v>2853_02_01_P1_EM01_01_M3</v>
      </c>
      <c r="L798">
        <v>20346</v>
      </c>
    </row>
    <row r="799" spans="1:12" ht="21" hidden="1" customHeight="1" x14ac:dyDescent="0.25">
      <c r="A799" s="12" t="str">
        <f t="shared" si="449"/>
        <v>ЩС-АПТ (P1)</v>
      </c>
      <c r="B799" s="13" t="s">
        <v>33</v>
      </c>
      <c r="C799" s="14" t="s">
        <v>185</v>
      </c>
      <c r="D799" s="12" t="s">
        <v>186</v>
      </c>
      <c r="E799" s="13">
        <v>19760</v>
      </c>
      <c r="F799" s="15">
        <f t="shared" si="450"/>
        <v>11856</v>
      </c>
      <c r="G799" s="15">
        <f t="shared" si="448"/>
        <v>11856</v>
      </c>
      <c r="H799" s="16">
        <v>1</v>
      </c>
      <c r="I799" s="17" t="s">
        <v>13</v>
      </c>
      <c r="J799" s="13" t="s">
        <v>17</v>
      </c>
      <c r="K799" s="12" t="str">
        <f t="shared" si="451"/>
        <v>2853_02_01_P1_EM01_01_M3</v>
      </c>
      <c r="L799">
        <v>11856</v>
      </c>
    </row>
    <row r="800" spans="1:12" ht="21" hidden="1" customHeight="1" x14ac:dyDescent="0.25">
      <c r="A800" s="12" t="str">
        <f t="shared" si="449"/>
        <v>ЩС-АПТ (P1)</v>
      </c>
      <c r="B800" s="13" t="s">
        <v>12</v>
      </c>
      <c r="C800" s="14" t="s">
        <v>117</v>
      </c>
      <c r="D800" s="12" t="s">
        <v>118</v>
      </c>
      <c r="E800" s="13">
        <v>3644</v>
      </c>
      <c r="F800" s="15">
        <f t="shared" si="450"/>
        <v>2186.4</v>
      </c>
      <c r="G800" s="15">
        <f t="shared" si="448"/>
        <v>4372.8</v>
      </c>
      <c r="H800" s="16">
        <v>2</v>
      </c>
      <c r="I800" s="17" t="s">
        <v>13</v>
      </c>
      <c r="J800" s="13" t="s">
        <v>17</v>
      </c>
      <c r="K800" s="12" t="str">
        <f t="shared" si="451"/>
        <v>2853_02_01_P1_EM01_01_M3</v>
      </c>
      <c r="L800">
        <v>4372.8</v>
      </c>
    </row>
    <row r="801" spans="1:12" ht="21" hidden="1" customHeight="1" x14ac:dyDescent="0.25">
      <c r="A801" s="12" t="str">
        <f t="shared" si="449"/>
        <v>ЩС-АПТ (P1)</v>
      </c>
      <c r="B801" s="13" t="s">
        <v>12</v>
      </c>
      <c r="C801" s="14" t="s">
        <v>156</v>
      </c>
      <c r="D801" s="12" t="s">
        <v>157</v>
      </c>
      <c r="E801" s="13">
        <v>3604</v>
      </c>
      <c r="F801" s="15">
        <f t="shared" si="450"/>
        <v>2162.4</v>
      </c>
      <c r="G801" s="15">
        <f t="shared" si="448"/>
        <v>2162.4</v>
      </c>
      <c r="H801" s="16">
        <v>1</v>
      </c>
      <c r="I801" s="17" t="s">
        <v>13</v>
      </c>
      <c r="J801" s="13" t="s">
        <v>17</v>
      </c>
      <c r="K801" s="12" t="str">
        <f t="shared" si="451"/>
        <v>2853_02_01_P1_EM01_01_M3</v>
      </c>
      <c r="L801">
        <v>2162.4</v>
      </c>
    </row>
    <row r="802" spans="1:12" ht="24" hidden="1" customHeight="1" x14ac:dyDescent="0.25">
      <c r="A802" s="12" t="str">
        <f>A798</f>
        <v>ЩС-АПТ (P1)</v>
      </c>
      <c r="B802" s="12" t="s">
        <v>10</v>
      </c>
      <c r="C802" s="18" t="s">
        <v>10</v>
      </c>
      <c r="D802" s="12" t="s">
        <v>10</v>
      </c>
      <c r="E802" s="12">
        <f ca="1">OFFSET(E802,1,2)</f>
        <v>18000</v>
      </c>
      <c r="F802" s="15">
        <f ca="1">E802</f>
        <v>18000</v>
      </c>
      <c r="G802" s="15">
        <f t="shared" ca="1" si="448"/>
        <v>18000</v>
      </c>
      <c r="H802" s="12">
        <v>1</v>
      </c>
      <c r="I802" s="12" t="s">
        <v>13</v>
      </c>
      <c r="J802" s="12" t="s">
        <v>10</v>
      </c>
      <c r="K802" s="12" t="str">
        <f>K798</f>
        <v>2853_02_01_P1_EM01_01_M3</v>
      </c>
      <c r="L802">
        <v>18000</v>
      </c>
    </row>
    <row r="803" spans="1:12" ht="21" hidden="1" customHeight="1" x14ac:dyDescent="0.25">
      <c r="A803" s="12" t="str">
        <f t="shared" si="449"/>
        <v>ЩС-АПТ (P1)</v>
      </c>
      <c r="B803" s="12" t="s">
        <v>11</v>
      </c>
      <c r="C803" s="18" t="s">
        <v>11</v>
      </c>
      <c r="D803" s="12" t="s">
        <v>11</v>
      </c>
      <c r="E803" s="12">
        <v>3</v>
      </c>
      <c r="F803" s="15">
        <v>100</v>
      </c>
      <c r="G803" s="15">
        <f t="shared" si="448"/>
        <v>18000</v>
      </c>
      <c r="H803" s="12">
        <f>60*E803</f>
        <v>180</v>
      </c>
      <c r="I803" s="12" t="s">
        <v>13</v>
      </c>
      <c r="J803" s="12" t="s">
        <v>11</v>
      </c>
      <c r="K803" s="12" t="str">
        <f t="shared" si="451"/>
        <v>2853_02_01_P1_EM01_01_M3</v>
      </c>
      <c r="L803">
        <v>18000</v>
      </c>
    </row>
    <row r="804" spans="1:12" ht="30" customHeight="1" x14ac:dyDescent="0.25">
      <c r="A804" s="12" t="str">
        <f t="shared" si="449"/>
        <v>ЩС-АПТ (P1)</v>
      </c>
      <c r="B804" s="19"/>
      <c r="C804" s="20"/>
      <c r="D804" s="21"/>
      <c r="E804" s="23"/>
      <c r="F804" s="25"/>
      <c r="G804" s="24">
        <f ca="1">SUM(G797:G803)</f>
        <v>107131.2</v>
      </c>
      <c r="H804" s="20"/>
      <c r="I804" s="22"/>
      <c r="J804" s="20"/>
      <c r="K804" s="12" t="str">
        <f t="shared" si="451"/>
        <v>2853_02_01_P1_EM01_01_M3</v>
      </c>
      <c r="L804">
        <v>107131.2</v>
      </c>
    </row>
    <row r="805" spans="1:12" ht="39.75" customHeight="1" x14ac:dyDescent="0.25">
      <c r="A805" s="5" t="str">
        <f>D805</f>
        <v>ЩС-1 (P1)  (P1)</v>
      </c>
      <c r="B805" s="6"/>
      <c r="C805" s="7"/>
      <c r="D805" s="6" t="s">
        <v>322</v>
      </c>
      <c r="E805" s="8"/>
      <c r="F805" s="8" t="s">
        <v>40</v>
      </c>
      <c r="G805" s="9"/>
      <c r="H805" s="10">
        <v>1</v>
      </c>
      <c r="I805" s="11" t="s">
        <v>7</v>
      </c>
      <c r="J805" s="6" t="s">
        <v>9</v>
      </c>
      <c r="K805" s="5" t="s">
        <v>180</v>
      </c>
    </row>
    <row r="806" spans="1:12" ht="21" hidden="1" customHeight="1" x14ac:dyDescent="0.25">
      <c r="A806" s="12" t="str">
        <f>A805</f>
        <v>ЩС-1 (P1)  (P1)</v>
      </c>
      <c r="B806" s="13" t="s">
        <v>8</v>
      </c>
      <c r="C806" s="14" t="s">
        <v>241</v>
      </c>
      <c r="D806" s="12" t="s">
        <v>242</v>
      </c>
      <c r="E806" s="13">
        <v>14900</v>
      </c>
      <c r="F806" s="15">
        <f>E806*0.6</f>
        <v>8940</v>
      </c>
      <c r="G806" s="15">
        <f t="shared" ref="G806:G810" si="452">H806*F806</f>
        <v>8940</v>
      </c>
      <c r="H806" s="16">
        <v>1</v>
      </c>
      <c r="I806" s="17" t="s">
        <v>13</v>
      </c>
      <c r="J806" s="13" t="s">
        <v>244</v>
      </c>
      <c r="K806" s="12" t="str">
        <f>K805</f>
        <v>2853_02_01_P1_EM01_01_M3</v>
      </c>
      <c r="L806">
        <v>8940</v>
      </c>
    </row>
    <row r="807" spans="1:12" ht="21" hidden="1" customHeight="1" x14ac:dyDescent="0.25">
      <c r="A807" s="12" t="str">
        <f t="shared" ref="A807" si="453">A806</f>
        <v>ЩС-1 (P1)  (P1)</v>
      </c>
      <c r="B807" s="13" t="s">
        <v>48</v>
      </c>
      <c r="C807" s="14" t="s">
        <v>51</v>
      </c>
      <c r="D807" s="12" t="s">
        <v>52</v>
      </c>
      <c r="E807" s="13">
        <v>3372</v>
      </c>
      <c r="F807" s="15">
        <f t="shared" ref="F807:F808" si="454">E807*0.6</f>
        <v>2023.1999999999998</v>
      </c>
      <c r="G807" s="15">
        <f t="shared" si="452"/>
        <v>2023.1999999999998</v>
      </c>
      <c r="H807" s="16">
        <v>1</v>
      </c>
      <c r="I807" s="17" t="s">
        <v>13</v>
      </c>
      <c r="J807" s="13" t="s">
        <v>17</v>
      </c>
      <c r="K807" s="12" t="str">
        <f t="shared" ref="K807" si="455">K806</f>
        <v>2853_02_01_P1_EM01_01_M3</v>
      </c>
      <c r="L807">
        <v>2023.1999999999998</v>
      </c>
    </row>
    <row r="808" spans="1:12" ht="21" hidden="1" customHeight="1" x14ac:dyDescent="0.25">
      <c r="A808" s="12" t="str">
        <f>A807</f>
        <v>ЩС-1 (P1)  (P1)</v>
      </c>
      <c r="B808" s="13" t="s">
        <v>12</v>
      </c>
      <c r="C808" s="14" t="s">
        <v>46</v>
      </c>
      <c r="D808" s="12" t="s">
        <v>47</v>
      </c>
      <c r="E808" s="13">
        <v>783</v>
      </c>
      <c r="F808" s="15">
        <f t="shared" si="454"/>
        <v>469.79999999999995</v>
      </c>
      <c r="G808" s="15">
        <f t="shared" si="452"/>
        <v>1879.1999999999998</v>
      </c>
      <c r="H808" s="16">
        <v>4</v>
      </c>
      <c r="I808" s="17" t="s">
        <v>13</v>
      </c>
      <c r="J808" s="13" t="s">
        <v>17</v>
      </c>
      <c r="K808" s="12" t="str">
        <f>K807</f>
        <v>2853_02_01_P1_EM01_01_M3</v>
      </c>
      <c r="L808">
        <v>1879.1999999999998</v>
      </c>
    </row>
    <row r="809" spans="1:12" ht="24" hidden="1" customHeight="1" x14ac:dyDescent="0.25">
      <c r="A809" s="12" t="str">
        <f>A807</f>
        <v>ЩС-1 (P1)  (P1)</v>
      </c>
      <c r="B809" s="12" t="s">
        <v>10</v>
      </c>
      <c r="C809" s="18" t="s">
        <v>10</v>
      </c>
      <c r="D809" s="12" t="s">
        <v>10</v>
      </c>
      <c r="E809" s="12">
        <f ca="1">OFFSET(E809,1,2)</f>
        <v>4200</v>
      </c>
      <c r="F809" s="15">
        <f ca="1">E809</f>
        <v>4200</v>
      </c>
      <c r="G809" s="15">
        <f t="shared" ca="1" si="452"/>
        <v>4200</v>
      </c>
      <c r="H809" s="12">
        <v>1</v>
      </c>
      <c r="I809" s="12" t="s">
        <v>13</v>
      </c>
      <c r="J809" s="12" t="s">
        <v>10</v>
      </c>
      <c r="K809" s="12" t="str">
        <f>K807</f>
        <v>2853_02_01_P1_EM01_01_M3</v>
      </c>
      <c r="L809">
        <v>4200</v>
      </c>
    </row>
    <row r="810" spans="1:12" ht="21" hidden="1" customHeight="1" x14ac:dyDescent="0.25">
      <c r="A810" s="12" t="str">
        <f t="shared" ref="A810:A811" si="456">A809</f>
        <v>ЩС-1 (P1)  (P1)</v>
      </c>
      <c r="B810" s="12" t="s">
        <v>11</v>
      </c>
      <c r="C810" s="18" t="s">
        <v>11</v>
      </c>
      <c r="D810" s="12" t="s">
        <v>11</v>
      </c>
      <c r="E810" s="12">
        <v>0.7</v>
      </c>
      <c r="F810" s="15">
        <v>100</v>
      </c>
      <c r="G810" s="15">
        <f t="shared" si="452"/>
        <v>4200</v>
      </c>
      <c r="H810" s="12">
        <f>60*E810</f>
        <v>42</v>
      </c>
      <c r="I810" s="12" t="s">
        <v>13</v>
      </c>
      <c r="J810" s="12" t="s">
        <v>11</v>
      </c>
      <c r="K810" s="12" t="str">
        <f t="shared" ref="K810:K811" si="457">K809</f>
        <v>2853_02_01_P1_EM01_01_M3</v>
      </c>
      <c r="L810">
        <v>4200</v>
      </c>
    </row>
    <row r="811" spans="1:12" ht="30" customHeight="1" x14ac:dyDescent="0.25">
      <c r="A811" s="12" t="str">
        <f t="shared" si="456"/>
        <v>ЩС-1 (P1)  (P1)</v>
      </c>
      <c r="B811" s="19"/>
      <c r="C811" s="20"/>
      <c r="D811" s="21"/>
      <c r="E811" s="23"/>
      <c r="F811" s="25"/>
      <c r="G811" s="24">
        <f ca="1">SUM(G806:G810)</f>
        <v>21242.400000000001</v>
      </c>
      <c r="H811" s="20"/>
      <c r="I811" s="22"/>
      <c r="J811" s="20"/>
      <c r="K811" s="12" t="str">
        <f t="shared" si="457"/>
        <v>2853_02_01_P1_EM01_01_M3</v>
      </c>
      <c r="L811">
        <v>21242.400000000001</v>
      </c>
    </row>
    <row r="812" spans="1:12" ht="39.75" customHeight="1" x14ac:dyDescent="0.25">
      <c r="A812" s="5" t="str">
        <f>D812</f>
        <v>ЩРсерв (P1)  (P1)</v>
      </c>
      <c r="B812" s="6"/>
      <c r="C812" s="7"/>
      <c r="D812" s="6" t="s">
        <v>323</v>
      </c>
      <c r="E812" s="8"/>
      <c r="F812" s="8" t="s">
        <v>40</v>
      </c>
      <c r="G812" s="9"/>
      <c r="H812" s="10">
        <v>1</v>
      </c>
      <c r="I812" s="11" t="s">
        <v>7</v>
      </c>
      <c r="J812" s="6" t="s">
        <v>9</v>
      </c>
      <c r="K812" s="5" t="s">
        <v>180</v>
      </c>
    </row>
    <row r="813" spans="1:12" ht="21" hidden="1" customHeight="1" x14ac:dyDescent="0.25">
      <c r="A813" s="12" t="str">
        <f>A812</f>
        <v>ЩРсерв (P1)  (P1)</v>
      </c>
      <c r="B813" s="13" t="s">
        <v>8</v>
      </c>
      <c r="C813" s="14" t="s">
        <v>241</v>
      </c>
      <c r="D813" s="12" t="s">
        <v>242</v>
      </c>
      <c r="E813" s="13">
        <v>14900</v>
      </c>
      <c r="F813" s="15">
        <f>E813*0.6</f>
        <v>8940</v>
      </c>
      <c r="G813" s="15">
        <f t="shared" ref="G813:G819" si="458">H813*F813</f>
        <v>8940</v>
      </c>
      <c r="H813" s="16">
        <v>1</v>
      </c>
      <c r="I813" s="17" t="s">
        <v>13</v>
      </c>
      <c r="J813" s="13" t="s">
        <v>244</v>
      </c>
      <c r="K813" s="12" t="str">
        <f>K812</f>
        <v>2853_02_01_P1_EM01_01_M3</v>
      </c>
      <c r="L813">
        <v>8940</v>
      </c>
    </row>
    <row r="814" spans="1:12" ht="21" hidden="1" customHeight="1" x14ac:dyDescent="0.25">
      <c r="A814" s="12" t="str">
        <f t="shared" ref="A814" si="459">A813</f>
        <v>ЩРсерв (P1)  (P1)</v>
      </c>
      <c r="B814" s="13" t="s">
        <v>48</v>
      </c>
      <c r="C814" s="14" t="s">
        <v>51</v>
      </c>
      <c r="D814" s="12" t="s">
        <v>52</v>
      </c>
      <c r="E814" s="13">
        <v>3372</v>
      </c>
      <c r="F814" s="15">
        <f t="shared" ref="F814:F817" si="460">E814*0.6</f>
        <v>2023.1999999999998</v>
      </c>
      <c r="G814" s="15">
        <f t="shared" si="458"/>
        <v>2023.1999999999998</v>
      </c>
      <c r="H814" s="16">
        <v>1</v>
      </c>
      <c r="I814" s="17" t="s">
        <v>13</v>
      </c>
      <c r="J814" s="13" t="s">
        <v>17</v>
      </c>
      <c r="K814" s="12" t="str">
        <f t="shared" ref="K814" si="461">K813</f>
        <v>2853_02_01_P1_EM01_01_M3</v>
      </c>
      <c r="L814">
        <v>2023.1999999999998</v>
      </c>
    </row>
    <row r="815" spans="1:12" ht="21" hidden="1" customHeight="1" x14ac:dyDescent="0.25">
      <c r="A815" s="12" t="str">
        <f>A814</f>
        <v>ЩРсерв (P1)  (P1)</v>
      </c>
      <c r="B815" s="13" t="s">
        <v>12</v>
      </c>
      <c r="C815" s="14" t="s">
        <v>46</v>
      </c>
      <c r="D815" s="12" t="s">
        <v>47</v>
      </c>
      <c r="E815" s="13">
        <v>783</v>
      </c>
      <c r="F815" s="15">
        <f t="shared" si="460"/>
        <v>469.79999999999995</v>
      </c>
      <c r="G815" s="15">
        <f t="shared" si="458"/>
        <v>939.59999999999991</v>
      </c>
      <c r="H815" s="16">
        <v>2</v>
      </c>
      <c r="I815" s="17" t="s">
        <v>13</v>
      </c>
      <c r="J815" s="13" t="s">
        <v>17</v>
      </c>
      <c r="K815" s="12" t="str">
        <f>K814</f>
        <v>2853_02_01_P1_EM01_01_M3</v>
      </c>
      <c r="L815">
        <v>939.59999999999991</v>
      </c>
    </row>
    <row r="816" spans="1:12" ht="21" hidden="1" customHeight="1" x14ac:dyDescent="0.25">
      <c r="A816" s="12" t="str">
        <f t="shared" ref="A816" si="462">A815</f>
        <v>ЩРсерв (P1)  (P1)</v>
      </c>
      <c r="B816" s="13" t="s">
        <v>21</v>
      </c>
      <c r="C816" s="14" t="s">
        <v>42</v>
      </c>
      <c r="D816" s="12" t="s">
        <v>43</v>
      </c>
      <c r="E816" s="13">
        <v>5104</v>
      </c>
      <c r="F816" s="15">
        <f t="shared" si="460"/>
        <v>3062.4</v>
      </c>
      <c r="G816" s="15">
        <f t="shared" si="458"/>
        <v>6124.8</v>
      </c>
      <c r="H816" s="16">
        <v>2</v>
      </c>
      <c r="I816" s="17" t="s">
        <v>13</v>
      </c>
      <c r="J816" s="13" t="s">
        <v>17</v>
      </c>
      <c r="K816" s="12" t="str">
        <f t="shared" ref="K816" si="463">K815</f>
        <v>2853_02_01_P1_EM01_01_M3</v>
      </c>
      <c r="L816">
        <v>6124.8</v>
      </c>
    </row>
    <row r="817" spans="1:12" ht="21" hidden="1" customHeight="1" x14ac:dyDescent="0.25">
      <c r="A817" s="12" t="str">
        <f>A815</f>
        <v>ЩРсерв (P1)  (P1)</v>
      </c>
      <c r="B817" s="13" t="s">
        <v>119</v>
      </c>
      <c r="C817" s="14" t="s">
        <v>115</v>
      </c>
      <c r="D817" s="12" t="s">
        <v>116</v>
      </c>
      <c r="E817" s="13">
        <v>5354</v>
      </c>
      <c r="F817" s="15">
        <f t="shared" si="460"/>
        <v>3212.4</v>
      </c>
      <c r="G817" s="15">
        <f t="shared" si="458"/>
        <v>3212.4</v>
      </c>
      <c r="H817" s="16">
        <v>1</v>
      </c>
      <c r="I817" s="17" t="s">
        <v>13</v>
      </c>
      <c r="J817" s="13" t="s">
        <v>17</v>
      </c>
      <c r="K817" s="12" t="str">
        <f>K815</f>
        <v>2853_02_01_P1_EM01_01_M3</v>
      </c>
      <c r="L817">
        <v>3212.4</v>
      </c>
    </row>
    <row r="818" spans="1:12" ht="24" hidden="1" customHeight="1" x14ac:dyDescent="0.25">
      <c r="A818" s="12" t="str">
        <f>A814</f>
        <v>ЩРсерв (P1)  (P1)</v>
      </c>
      <c r="B818" s="12" t="s">
        <v>10</v>
      </c>
      <c r="C818" s="18" t="s">
        <v>10</v>
      </c>
      <c r="D818" s="12" t="s">
        <v>10</v>
      </c>
      <c r="E818" s="12">
        <f ca="1">OFFSET(E818,1,2)</f>
        <v>4200</v>
      </c>
      <c r="F818" s="15">
        <f ca="1">E818</f>
        <v>4200</v>
      </c>
      <c r="G818" s="15">
        <f t="shared" ca="1" si="458"/>
        <v>4200</v>
      </c>
      <c r="H818" s="12">
        <v>1</v>
      </c>
      <c r="I818" s="12" t="s">
        <v>13</v>
      </c>
      <c r="J818" s="12" t="s">
        <v>10</v>
      </c>
      <c r="K818" s="12" t="str">
        <f>K814</f>
        <v>2853_02_01_P1_EM01_01_M3</v>
      </c>
      <c r="L818">
        <v>4200</v>
      </c>
    </row>
    <row r="819" spans="1:12" ht="21" hidden="1" customHeight="1" x14ac:dyDescent="0.25">
      <c r="A819" s="12" t="str">
        <f t="shared" ref="A819:A820" si="464">A818</f>
        <v>ЩРсерв (P1)  (P1)</v>
      </c>
      <c r="B819" s="12" t="s">
        <v>11</v>
      </c>
      <c r="C819" s="18" t="s">
        <v>11</v>
      </c>
      <c r="D819" s="12" t="s">
        <v>11</v>
      </c>
      <c r="E819" s="12">
        <v>0.7</v>
      </c>
      <c r="F819" s="15">
        <v>100</v>
      </c>
      <c r="G819" s="15">
        <f t="shared" si="458"/>
        <v>4200</v>
      </c>
      <c r="H819" s="12">
        <f>60*E819</f>
        <v>42</v>
      </c>
      <c r="I819" s="12" t="s">
        <v>13</v>
      </c>
      <c r="J819" s="12" t="s">
        <v>11</v>
      </c>
      <c r="K819" s="12" t="str">
        <f t="shared" ref="K819:K820" si="465">K818</f>
        <v>2853_02_01_P1_EM01_01_M3</v>
      </c>
      <c r="L819">
        <v>4200</v>
      </c>
    </row>
    <row r="820" spans="1:12" ht="30" customHeight="1" x14ac:dyDescent="0.25">
      <c r="A820" s="12" t="str">
        <f t="shared" si="464"/>
        <v>ЩРсерв (P1)  (P1)</v>
      </c>
      <c r="B820" s="19"/>
      <c r="C820" s="20"/>
      <c r="D820" s="21"/>
      <c r="E820" s="23"/>
      <c r="F820" s="25"/>
      <c r="G820" s="24">
        <f ca="1">SUM(G813:G819)</f>
        <v>29640.000000000004</v>
      </c>
      <c r="H820" s="20"/>
      <c r="I820" s="22"/>
      <c r="J820" s="20"/>
      <c r="K820" s="12" t="str">
        <f t="shared" si="465"/>
        <v>2853_02_01_P1_EM01_01_M3</v>
      </c>
      <c r="L820">
        <v>29640.000000000004</v>
      </c>
    </row>
    <row r="821" spans="1:12" ht="39.75" customHeight="1" x14ac:dyDescent="0.25">
      <c r="A821" s="5" t="str">
        <f>D821</f>
        <v>ЯТП-0,25-23УЗ (P1)</v>
      </c>
      <c r="B821" s="6"/>
      <c r="C821" s="7"/>
      <c r="D821" s="6" t="s">
        <v>324</v>
      </c>
      <c r="E821" s="8"/>
      <c r="F821" s="8"/>
      <c r="G821" s="9"/>
      <c r="H821" s="10">
        <v>11</v>
      </c>
      <c r="I821" s="11" t="s">
        <v>7</v>
      </c>
      <c r="J821" s="6" t="s">
        <v>9</v>
      </c>
      <c r="K821" s="5" t="s">
        <v>180</v>
      </c>
    </row>
    <row r="822" spans="1:12" ht="39.75" customHeight="1" x14ac:dyDescent="0.25">
      <c r="A822" s="5" t="str">
        <f>D822</f>
        <v>КРМ-2 (УКМ-58 0,4-33-УЗ)  (P1)</v>
      </c>
      <c r="B822" s="6"/>
      <c r="C822" s="7"/>
      <c r="D822" s="6" t="s">
        <v>326</v>
      </c>
      <c r="E822" s="8"/>
      <c r="F822" s="8"/>
      <c r="G822" s="9"/>
      <c r="H822" s="10">
        <v>1</v>
      </c>
      <c r="I822" s="11" t="s">
        <v>7</v>
      </c>
      <c r="J822" s="6" t="s">
        <v>9</v>
      </c>
      <c r="K822" s="5" t="s">
        <v>180</v>
      </c>
    </row>
    <row r="823" spans="1:12" ht="21" hidden="1" customHeight="1" x14ac:dyDescent="0.25">
      <c r="A823" s="12" t="str">
        <f>A822</f>
        <v>КРМ-2 (УКМ-58 0,4-33-УЗ)  (P1)</v>
      </c>
      <c r="B823" s="13" t="s">
        <v>8</v>
      </c>
      <c r="C823" s="14" t="s">
        <v>343</v>
      </c>
      <c r="D823" s="12" t="s">
        <v>342</v>
      </c>
      <c r="E823" s="13">
        <v>38650</v>
      </c>
      <c r="F823" s="15">
        <f t="shared" ref="F823:F832" si="466">E823*0.6</f>
        <v>23190</v>
      </c>
      <c r="G823" s="15">
        <f t="shared" ref="G823:G834" si="467">H823*F823</f>
        <v>23190</v>
      </c>
      <c r="H823" s="16">
        <v>1</v>
      </c>
      <c r="I823" s="17" t="s">
        <v>13</v>
      </c>
      <c r="J823" s="13" t="s">
        <v>16</v>
      </c>
      <c r="K823" s="12" t="str">
        <f>K822</f>
        <v>2853_02_01_P1_EM01_01_M3</v>
      </c>
      <c r="L823">
        <v>23190</v>
      </c>
    </row>
    <row r="824" spans="1:12" ht="21" hidden="1" customHeight="1" x14ac:dyDescent="0.25">
      <c r="A824" s="12" t="str">
        <f t="shared" ref="A824:A835" si="468">A823</f>
        <v>КРМ-2 (УКМ-58 0,4-33-УЗ)  (P1)</v>
      </c>
      <c r="B824" s="13" t="s">
        <v>12</v>
      </c>
      <c r="C824" s="26" t="s">
        <v>77</v>
      </c>
      <c r="D824" s="12" t="s">
        <v>78</v>
      </c>
      <c r="E824" s="27">
        <v>3641</v>
      </c>
      <c r="F824" s="15">
        <f t="shared" si="466"/>
        <v>2184.6</v>
      </c>
      <c r="G824" s="15">
        <f t="shared" si="467"/>
        <v>2184.6</v>
      </c>
      <c r="H824" s="16">
        <v>1</v>
      </c>
      <c r="I824" s="17" t="s">
        <v>13</v>
      </c>
      <c r="J824" s="13" t="s">
        <v>17</v>
      </c>
      <c r="K824" s="12" t="str">
        <f t="shared" ref="K824:K835" si="469">K823</f>
        <v>2853_02_01_P1_EM01_01_M3</v>
      </c>
      <c r="L824">
        <v>2184.6</v>
      </c>
    </row>
    <row r="825" spans="1:12" ht="27.75" hidden="1" customHeight="1" x14ac:dyDescent="0.25">
      <c r="A825" s="12" t="str">
        <f t="shared" si="468"/>
        <v>КРМ-2 (УКМ-58 0,4-33-УЗ)  (P1)</v>
      </c>
      <c r="B825" s="13" t="s">
        <v>142</v>
      </c>
      <c r="C825" s="14" t="s">
        <v>189</v>
      </c>
      <c r="D825" s="12" t="s">
        <v>190</v>
      </c>
      <c r="E825" s="13">
        <v>13217</v>
      </c>
      <c r="F825" s="15">
        <f t="shared" si="466"/>
        <v>7930.2</v>
      </c>
      <c r="G825" s="15">
        <f t="shared" si="467"/>
        <v>47581.2</v>
      </c>
      <c r="H825" s="16">
        <v>6</v>
      </c>
      <c r="I825" s="17" t="s">
        <v>13</v>
      </c>
      <c r="J825" s="13" t="s">
        <v>17</v>
      </c>
      <c r="K825" s="12" t="str">
        <f t="shared" si="469"/>
        <v>2853_02_01_P1_EM01_01_M3</v>
      </c>
      <c r="L825">
        <v>47581.2</v>
      </c>
    </row>
    <row r="826" spans="1:12" ht="21" hidden="1" customHeight="1" x14ac:dyDescent="0.25">
      <c r="A826" s="12" t="str">
        <f t="shared" si="468"/>
        <v>КРМ-2 (УКМ-58 0,4-33-УЗ)  (P1)</v>
      </c>
      <c r="B826" s="13" t="s">
        <v>12</v>
      </c>
      <c r="C826" s="26" t="s">
        <v>34</v>
      </c>
      <c r="D826" s="12" t="s">
        <v>35</v>
      </c>
      <c r="E826" s="27">
        <v>2337</v>
      </c>
      <c r="F826" s="15">
        <f t="shared" si="466"/>
        <v>1402.2</v>
      </c>
      <c r="G826" s="15">
        <f t="shared" si="467"/>
        <v>8413.2000000000007</v>
      </c>
      <c r="H826" s="16">
        <v>6</v>
      </c>
      <c r="I826" s="17" t="s">
        <v>13</v>
      </c>
      <c r="J826" s="13" t="s">
        <v>17</v>
      </c>
      <c r="K826" s="12" t="str">
        <f t="shared" si="469"/>
        <v>2853_02_01_P1_EM01_01_M3</v>
      </c>
      <c r="L826">
        <v>8413.2000000000007</v>
      </c>
    </row>
    <row r="827" spans="1:12" ht="21" hidden="1" customHeight="1" x14ac:dyDescent="0.25">
      <c r="A827" s="12" t="str">
        <f t="shared" si="468"/>
        <v>КРМ-2 (УКМ-58 0,4-33-УЗ)  (P1)</v>
      </c>
      <c r="B827" s="13" t="s">
        <v>60</v>
      </c>
      <c r="C827" s="26" t="s">
        <v>213</v>
      </c>
      <c r="D827" s="12" t="s">
        <v>214</v>
      </c>
      <c r="E827" s="27">
        <v>23408</v>
      </c>
      <c r="F827" s="15">
        <f t="shared" si="466"/>
        <v>14044.8</v>
      </c>
      <c r="G827" s="15">
        <f t="shared" si="467"/>
        <v>28089.599999999999</v>
      </c>
      <c r="H827" s="16">
        <v>2</v>
      </c>
      <c r="I827" s="17" t="s">
        <v>13</v>
      </c>
      <c r="J827" s="13" t="s">
        <v>17</v>
      </c>
      <c r="K827" s="12" t="str">
        <f t="shared" si="469"/>
        <v>2853_02_01_P1_EM01_01_M3</v>
      </c>
      <c r="L827">
        <v>28089.599999999999</v>
      </c>
    </row>
    <row r="828" spans="1:12" ht="21" hidden="1" customHeight="1" x14ac:dyDescent="0.25">
      <c r="A828" s="12" t="str">
        <f t="shared" si="468"/>
        <v>КРМ-2 (УКМ-58 0,4-33-УЗ)  (P1)</v>
      </c>
      <c r="B828" s="13" t="s">
        <v>60</v>
      </c>
      <c r="C828" s="26" t="s">
        <v>215</v>
      </c>
      <c r="D828" s="12" t="s">
        <v>216</v>
      </c>
      <c r="E828" s="27">
        <v>30378</v>
      </c>
      <c r="F828" s="15">
        <f t="shared" si="466"/>
        <v>18226.8</v>
      </c>
      <c r="G828" s="15">
        <f t="shared" si="467"/>
        <v>18226.8</v>
      </c>
      <c r="H828" s="16">
        <v>1</v>
      </c>
      <c r="I828" s="17" t="s">
        <v>13</v>
      </c>
      <c r="J828" s="13" t="s">
        <v>17</v>
      </c>
      <c r="K828" s="12" t="str">
        <f t="shared" si="469"/>
        <v>2853_02_01_P1_EM01_01_M3</v>
      </c>
      <c r="L828">
        <v>18226.8</v>
      </c>
    </row>
    <row r="829" spans="1:12" ht="21" hidden="1" customHeight="1" x14ac:dyDescent="0.25">
      <c r="A829" s="12" t="str">
        <f>A827</f>
        <v>КРМ-2 (УКМ-58 0,4-33-УЗ)  (P1)</v>
      </c>
      <c r="B829" s="13" t="s">
        <v>145</v>
      </c>
      <c r="C829" s="26" t="s">
        <v>193</v>
      </c>
      <c r="D829" s="12" t="s">
        <v>194</v>
      </c>
      <c r="E829" s="27">
        <v>571</v>
      </c>
      <c r="F829" s="15">
        <f t="shared" si="466"/>
        <v>342.59999999999997</v>
      </c>
      <c r="G829" s="15">
        <f t="shared" si="467"/>
        <v>342.59999999999997</v>
      </c>
      <c r="H829" s="16">
        <v>1</v>
      </c>
      <c r="I829" s="17" t="s">
        <v>13</v>
      </c>
      <c r="J829" s="13" t="s">
        <v>17</v>
      </c>
      <c r="K829" s="12" t="str">
        <f>K827</f>
        <v>2853_02_01_P1_EM01_01_M3</v>
      </c>
      <c r="L829">
        <v>342.59999999999997</v>
      </c>
    </row>
    <row r="830" spans="1:12" ht="21" hidden="1" customHeight="1" x14ac:dyDescent="0.25">
      <c r="A830" s="12" t="str">
        <f t="shared" si="468"/>
        <v>КРМ-2 (УКМ-58 0,4-33-УЗ)  (P1)</v>
      </c>
      <c r="B830" s="13" t="s">
        <v>12</v>
      </c>
      <c r="C830" s="14" t="s">
        <v>195</v>
      </c>
      <c r="D830" s="12" t="s">
        <v>196</v>
      </c>
      <c r="E830" s="13">
        <v>1086</v>
      </c>
      <c r="F830" s="15">
        <f t="shared" si="466"/>
        <v>651.6</v>
      </c>
      <c r="G830" s="15">
        <f t="shared" si="467"/>
        <v>1303.2</v>
      </c>
      <c r="H830" s="16">
        <v>2</v>
      </c>
      <c r="I830" s="17" t="s">
        <v>13</v>
      </c>
      <c r="J830" s="13" t="s">
        <v>17</v>
      </c>
      <c r="K830" s="12" t="str">
        <f t="shared" si="469"/>
        <v>2853_02_01_P1_EM01_01_M3</v>
      </c>
      <c r="L830">
        <v>1303.2</v>
      </c>
    </row>
    <row r="831" spans="1:12" ht="21" hidden="1" customHeight="1" x14ac:dyDescent="0.25">
      <c r="A831" s="12" t="str">
        <f t="shared" si="468"/>
        <v>КРМ-2 (УКМ-58 0,4-33-УЗ)  (P1)</v>
      </c>
      <c r="B831" s="13" t="s">
        <v>197</v>
      </c>
      <c r="C831" s="26" t="s">
        <v>198</v>
      </c>
      <c r="D831" s="12" t="s">
        <v>199</v>
      </c>
      <c r="E831" s="27">
        <v>70078</v>
      </c>
      <c r="F831" s="15">
        <f t="shared" si="466"/>
        <v>42046.799999999996</v>
      </c>
      <c r="G831" s="15">
        <f t="shared" si="467"/>
        <v>42046.799999999996</v>
      </c>
      <c r="H831" s="16">
        <v>1</v>
      </c>
      <c r="I831" s="17" t="s">
        <v>13</v>
      </c>
      <c r="J831" s="13" t="s">
        <v>17</v>
      </c>
      <c r="K831" s="12" t="str">
        <f t="shared" si="469"/>
        <v>2853_02_01_P1_EM01_01_M3</v>
      </c>
      <c r="L831">
        <v>42046.799999999996</v>
      </c>
    </row>
    <row r="832" spans="1:12" ht="21" hidden="1" customHeight="1" x14ac:dyDescent="0.25">
      <c r="A832" s="12" t="str">
        <f t="shared" si="468"/>
        <v>КРМ-2 (УКМ-58 0,4-33-УЗ)  (P1)</v>
      </c>
      <c r="B832" s="13" t="s">
        <v>150</v>
      </c>
      <c r="C832" s="14" t="s">
        <v>200</v>
      </c>
      <c r="D832" s="12" t="s">
        <v>201</v>
      </c>
      <c r="E832" s="13">
        <v>1836</v>
      </c>
      <c r="F832" s="15">
        <f t="shared" si="466"/>
        <v>1101.5999999999999</v>
      </c>
      <c r="G832" s="15">
        <f t="shared" si="467"/>
        <v>1101.5999999999999</v>
      </c>
      <c r="H832" s="16">
        <v>1</v>
      </c>
      <c r="I832" s="17" t="s">
        <v>13</v>
      </c>
      <c r="J832" s="13" t="s">
        <v>17</v>
      </c>
      <c r="K832" s="12" t="str">
        <f t="shared" si="469"/>
        <v>2853_02_01_P1_EM01_01_M3</v>
      </c>
      <c r="L832">
        <v>1101.5999999999999</v>
      </c>
    </row>
    <row r="833" spans="1:12" ht="24" hidden="1" customHeight="1" x14ac:dyDescent="0.25">
      <c r="A833" s="12" t="str">
        <f t="shared" si="468"/>
        <v>КРМ-2 (УКМ-58 0,4-33-УЗ)  (P1)</v>
      </c>
      <c r="B833" s="12" t="s">
        <v>10</v>
      </c>
      <c r="C833" s="18" t="s">
        <v>10</v>
      </c>
      <c r="D833" s="12" t="s">
        <v>10</v>
      </c>
      <c r="E833" s="12">
        <f ca="1">OFFSET(E833,1,2)</f>
        <v>36000</v>
      </c>
      <c r="F833" s="15">
        <f ca="1">E833</f>
        <v>36000</v>
      </c>
      <c r="G833" s="15">
        <f t="shared" ca="1" si="467"/>
        <v>36000</v>
      </c>
      <c r="H833" s="12">
        <v>1</v>
      </c>
      <c r="I833" s="12" t="s">
        <v>13</v>
      </c>
      <c r="J833" s="12" t="s">
        <v>10</v>
      </c>
      <c r="K833" s="12" t="str">
        <f t="shared" si="469"/>
        <v>2853_02_01_P1_EM01_01_M3</v>
      </c>
      <c r="L833">
        <v>36000</v>
      </c>
    </row>
    <row r="834" spans="1:12" ht="21" hidden="1" customHeight="1" x14ac:dyDescent="0.25">
      <c r="A834" s="12" t="str">
        <f t="shared" si="468"/>
        <v>КРМ-2 (УКМ-58 0,4-33-УЗ)  (P1)</v>
      </c>
      <c r="B834" s="12" t="s">
        <v>11</v>
      </c>
      <c r="C834" s="18" t="s">
        <v>11</v>
      </c>
      <c r="D834" s="12" t="s">
        <v>11</v>
      </c>
      <c r="E834" s="12">
        <v>6</v>
      </c>
      <c r="F834" s="15">
        <v>100</v>
      </c>
      <c r="G834" s="15">
        <f t="shared" si="467"/>
        <v>36000</v>
      </c>
      <c r="H834" s="12">
        <f>60*E834</f>
        <v>360</v>
      </c>
      <c r="I834" s="12" t="s">
        <v>13</v>
      </c>
      <c r="J834" s="12" t="s">
        <v>11</v>
      </c>
      <c r="K834" s="12" t="str">
        <f t="shared" si="469"/>
        <v>2853_02_01_P1_EM01_01_M3</v>
      </c>
      <c r="L834">
        <v>36000</v>
      </c>
    </row>
    <row r="835" spans="1:12" ht="30" customHeight="1" x14ac:dyDescent="0.25">
      <c r="A835" s="12" t="str">
        <f t="shared" si="468"/>
        <v>КРМ-2 (УКМ-58 0,4-33-УЗ)  (P1)</v>
      </c>
      <c r="B835" s="19"/>
      <c r="C835" s="20"/>
      <c r="D835" s="21"/>
      <c r="E835" s="23"/>
      <c r="F835" s="25"/>
      <c r="G835" s="24">
        <f ca="1">SUM(G823:G834)</f>
        <v>244479.59999999998</v>
      </c>
      <c r="H835" s="20"/>
      <c r="I835" s="22"/>
      <c r="J835" s="20"/>
      <c r="K835" s="12" t="str">
        <f t="shared" si="469"/>
        <v>2853_02_01_P1_EM01_01_M3</v>
      </c>
      <c r="L835">
        <v>244479.59999999998</v>
      </c>
    </row>
    <row r="836" spans="1:12" ht="39.75" customHeight="1" x14ac:dyDescent="0.25">
      <c r="A836" s="5" t="str">
        <f>D836</f>
        <v>КРМ-1 (УКМ-58 0,4-12,5-УЗ)  (P1)</v>
      </c>
      <c r="B836" s="6"/>
      <c r="C836" s="7"/>
      <c r="D836" s="6" t="s">
        <v>325</v>
      </c>
      <c r="E836" s="8"/>
      <c r="F836" s="8"/>
      <c r="G836" s="9"/>
      <c r="H836" s="10">
        <v>1</v>
      </c>
      <c r="I836" s="11" t="s">
        <v>7</v>
      </c>
      <c r="J836" s="6" t="s">
        <v>9</v>
      </c>
      <c r="K836" s="5" t="s">
        <v>180</v>
      </c>
    </row>
    <row r="837" spans="1:12" ht="21" hidden="1" customHeight="1" x14ac:dyDescent="0.25">
      <c r="A837" s="12" t="str">
        <f>A836</f>
        <v>КРМ-1 (УКМ-58 0,4-12,5-УЗ)  (P1)</v>
      </c>
      <c r="B837" s="13" t="s">
        <v>8</v>
      </c>
      <c r="C837" s="14" t="s">
        <v>343</v>
      </c>
      <c r="D837" s="12" t="s">
        <v>342</v>
      </c>
      <c r="E837" s="13">
        <v>38650</v>
      </c>
      <c r="F837" s="15">
        <f t="shared" ref="F837:F846" si="470">E837*0.6</f>
        <v>23190</v>
      </c>
      <c r="G837" s="15">
        <f t="shared" ref="G837:G848" si="471">H837*F837</f>
        <v>23190</v>
      </c>
      <c r="H837" s="16">
        <v>1</v>
      </c>
      <c r="I837" s="17" t="s">
        <v>13</v>
      </c>
      <c r="J837" s="13" t="s">
        <v>16</v>
      </c>
      <c r="K837" s="12" t="str">
        <f>K836</f>
        <v>2853_02_01_P1_EM01_01_M3</v>
      </c>
      <c r="L837">
        <v>23190</v>
      </c>
    </row>
    <row r="838" spans="1:12" ht="21" hidden="1" customHeight="1" x14ac:dyDescent="0.25">
      <c r="A838" s="12" t="str">
        <f t="shared" ref="A838:A849" si="472">A837</f>
        <v>КРМ-1 (УКМ-58 0,4-12,5-УЗ)  (P1)</v>
      </c>
      <c r="B838" s="13" t="s">
        <v>12</v>
      </c>
      <c r="C838" s="26" t="s">
        <v>77</v>
      </c>
      <c r="D838" s="12" t="s">
        <v>78</v>
      </c>
      <c r="E838" s="27">
        <v>3641</v>
      </c>
      <c r="F838" s="15">
        <f t="shared" si="470"/>
        <v>2184.6</v>
      </c>
      <c r="G838" s="15">
        <f t="shared" si="471"/>
        <v>2184.6</v>
      </c>
      <c r="H838" s="16">
        <v>1</v>
      </c>
      <c r="I838" s="17" t="s">
        <v>13</v>
      </c>
      <c r="J838" s="13" t="s">
        <v>17</v>
      </c>
      <c r="K838" s="12" t="str">
        <f t="shared" ref="K838:K849" si="473">K837</f>
        <v>2853_02_01_P1_EM01_01_M3</v>
      </c>
      <c r="L838">
        <v>2184.6</v>
      </c>
    </row>
    <row r="839" spans="1:12" ht="27.75" hidden="1" customHeight="1" x14ac:dyDescent="0.25">
      <c r="A839" s="12" t="str">
        <f t="shared" si="472"/>
        <v>КРМ-1 (УКМ-58 0,4-12,5-УЗ)  (P1)</v>
      </c>
      <c r="B839" s="13" t="s">
        <v>142</v>
      </c>
      <c r="C839" s="14" t="s">
        <v>189</v>
      </c>
      <c r="D839" s="12" t="s">
        <v>190</v>
      </c>
      <c r="E839" s="13">
        <v>13217</v>
      </c>
      <c r="F839" s="15">
        <f t="shared" si="470"/>
        <v>7930.2</v>
      </c>
      <c r="G839" s="15">
        <f t="shared" si="471"/>
        <v>47581.2</v>
      </c>
      <c r="H839" s="16">
        <v>6</v>
      </c>
      <c r="I839" s="17" t="s">
        <v>13</v>
      </c>
      <c r="J839" s="13" t="s">
        <v>17</v>
      </c>
      <c r="K839" s="12" t="str">
        <f t="shared" si="473"/>
        <v>2853_02_01_P1_EM01_01_M3</v>
      </c>
      <c r="L839">
        <v>47581.2</v>
      </c>
    </row>
    <row r="840" spans="1:12" ht="21" hidden="1" customHeight="1" x14ac:dyDescent="0.25">
      <c r="A840" s="12" t="str">
        <f t="shared" si="472"/>
        <v>КРМ-1 (УКМ-58 0,4-12,5-УЗ)  (P1)</v>
      </c>
      <c r="B840" s="13" t="s">
        <v>12</v>
      </c>
      <c r="C840" s="26" t="s">
        <v>34</v>
      </c>
      <c r="D840" s="12" t="s">
        <v>35</v>
      </c>
      <c r="E840" s="27">
        <v>2337</v>
      </c>
      <c r="F840" s="15">
        <f t="shared" si="470"/>
        <v>1402.2</v>
      </c>
      <c r="G840" s="15">
        <f t="shared" si="471"/>
        <v>8413.2000000000007</v>
      </c>
      <c r="H840" s="16">
        <v>6</v>
      </c>
      <c r="I840" s="17" t="s">
        <v>13</v>
      </c>
      <c r="J840" s="13" t="s">
        <v>17</v>
      </c>
      <c r="K840" s="12" t="str">
        <f t="shared" si="473"/>
        <v>2853_02_01_P1_EM01_01_M3</v>
      </c>
      <c r="L840">
        <v>8413.2000000000007</v>
      </c>
    </row>
    <row r="841" spans="1:12" ht="21" hidden="1" customHeight="1" x14ac:dyDescent="0.25">
      <c r="A841" s="12" t="str">
        <f t="shared" si="472"/>
        <v>КРМ-1 (УКМ-58 0,4-12,5-УЗ)  (P1)</v>
      </c>
      <c r="B841" s="13" t="s">
        <v>60</v>
      </c>
      <c r="C841" s="26" t="s">
        <v>191</v>
      </c>
      <c r="D841" s="12" t="s">
        <v>192</v>
      </c>
      <c r="E841" s="27">
        <v>17619</v>
      </c>
      <c r="F841" s="15">
        <f t="shared" si="470"/>
        <v>10571.4</v>
      </c>
      <c r="G841" s="15">
        <f t="shared" si="471"/>
        <v>10571.4</v>
      </c>
      <c r="H841" s="16">
        <v>1</v>
      </c>
      <c r="I841" s="17" t="s">
        <v>13</v>
      </c>
      <c r="J841" s="13" t="s">
        <v>17</v>
      </c>
      <c r="K841" s="12" t="str">
        <f t="shared" si="473"/>
        <v>2853_02_01_P1_EM01_01_M3</v>
      </c>
      <c r="L841">
        <v>10571.4</v>
      </c>
    </row>
    <row r="842" spans="1:12" ht="21" hidden="1" customHeight="1" x14ac:dyDescent="0.25">
      <c r="A842" s="12" t="str">
        <f t="shared" si="472"/>
        <v>КРМ-1 (УКМ-58 0,4-12,5-УЗ)  (P1)</v>
      </c>
      <c r="B842" s="13" t="s">
        <v>60</v>
      </c>
      <c r="C842" s="26" t="s">
        <v>217</v>
      </c>
      <c r="D842" s="12" t="s">
        <v>218</v>
      </c>
      <c r="E842" s="27">
        <v>19489</v>
      </c>
      <c r="F842" s="15">
        <f t="shared" si="470"/>
        <v>11693.4</v>
      </c>
      <c r="G842" s="15">
        <f t="shared" si="471"/>
        <v>11693.4</v>
      </c>
      <c r="H842" s="16">
        <v>1</v>
      </c>
      <c r="I842" s="17" t="s">
        <v>13</v>
      </c>
      <c r="J842" s="13" t="s">
        <v>17</v>
      </c>
      <c r="K842" s="12" t="str">
        <f t="shared" si="473"/>
        <v>2853_02_01_P1_EM01_01_M3</v>
      </c>
      <c r="L842">
        <v>11693.4</v>
      </c>
    </row>
    <row r="843" spans="1:12" ht="21" hidden="1" customHeight="1" x14ac:dyDescent="0.25">
      <c r="A843" s="12" t="str">
        <f>A841</f>
        <v>КРМ-1 (УКМ-58 0,4-12,5-УЗ)  (P1)</v>
      </c>
      <c r="B843" s="13" t="s">
        <v>145</v>
      </c>
      <c r="C843" s="26" t="s">
        <v>193</v>
      </c>
      <c r="D843" s="12" t="s">
        <v>194</v>
      </c>
      <c r="E843" s="27">
        <v>571</v>
      </c>
      <c r="F843" s="15">
        <f t="shared" si="470"/>
        <v>342.59999999999997</v>
      </c>
      <c r="G843" s="15">
        <f t="shared" si="471"/>
        <v>342.59999999999997</v>
      </c>
      <c r="H843" s="16">
        <v>1</v>
      </c>
      <c r="I843" s="17" t="s">
        <v>13</v>
      </c>
      <c r="J843" s="13" t="s">
        <v>17</v>
      </c>
      <c r="K843" s="12" t="str">
        <f>K841</f>
        <v>2853_02_01_P1_EM01_01_M3</v>
      </c>
      <c r="L843">
        <v>342.59999999999997</v>
      </c>
    </row>
    <row r="844" spans="1:12" ht="21" hidden="1" customHeight="1" x14ac:dyDescent="0.25">
      <c r="A844" s="12" t="str">
        <f t="shared" si="472"/>
        <v>КРМ-1 (УКМ-58 0,4-12,5-УЗ)  (P1)</v>
      </c>
      <c r="B844" s="13" t="s">
        <v>12</v>
      </c>
      <c r="C844" s="14" t="s">
        <v>195</v>
      </c>
      <c r="D844" s="12" t="s">
        <v>196</v>
      </c>
      <c r="E844" s="13">
        <v>1086</v>
      </c>
      <c r="F844" s="15">
        <f t="shared" si="470"/>
        <v>651.6</v>
      </c>
      <c r="G844" s="15">
        <f t="shared" si="471"/>
        <v>1303.2</v>
      </c>
      <c r="H844" s="16">
        <v>2</v>
      </c>
      <c r="I844" s="17" t="s">
        <v>13</v>
      </c>
      <c r="J844" s="13" t="s">
        <v>17</v>
      </c>
      <c r="K844" s="12" t="str">
        <f t="shared" si="473"/>
        <v>2853_02_01_P1_EM01_01_M3</v>
      </c>
      <c r="L844">
        <v>1303.2</v>
      </c>
    </row>
    <row r="845" spans="1:12" ht="21" hidden="1" customHeight="1" x14ac:dyDescent="0.25">
      <c r="A845" s="12" t="str">
        <f t="shared" si="472"/>
        <v>КРМ-1 (УКМ-58 0,4-12,5-УЗ)  (P1)</v>
      </c>
      <c r="B845" s="13" t="s">
        <v>197</v>
      </c>
      <c r="C845" s="26" t="s">
        <v>198</v>
      </c>
      <c r="D845" s="12" t="s">
        <v>199</v>
      </c>
      <c r="E845" s="27">
        <v>70078</v>
      </c>
      <c r="F845" s="15">
        <f t="shared" si="470"/>
        <v>42046.799999999996</v>
      </c>
      <c r="G845" s="15">
        <f t="shared" si="471"/>
        <v>42046.799999999996</v>
      </c>
      <c r="H845" s="16">
        <v>1</v>
      </c>
      <c r="I845" s="17" t="s">
        <v>13</v>
      </c>
      <c r="J845" s="13" t="s">
        <v>17</v>
      </c>
      <c r="K845" s="12" t="str">
        <f t="shared" si="473"/>
        <v>2853_02_01_P1_EM01_01_M3</v>
      </c>
      <c r="L845">
        <v>42046.799999999996</v>
      </c>
    </row>
    <row r="846" spans="1:12" ht="21" hidden="1" customHeight="1" x14ac:dyDescent="0.25">
      <c r="A846" s="12" t="str">
        <f t="shared" si="472"/>
        <v>КРМ-1 (УКМ-58 0,4-12,5-УЗ)  (P1)</v>
      </c>
      <c r="B846" s="13" t="s">
        <v>150</v>
      </c>
      <c r="C846" s="14" t="s">
        <v>200</v>
      </c>
      <c r="D846" s="12" t="s">
        <v>201</v>
      </c>
      <c r="E846" s="13">
        <v>1836</v>
      </c>
      <c r="F846" s="15">
        <f t="shared" si="470"/>
        <v>1101.5999999999999</v>
      </c>
      <c r="G846" s="15">
        <f t="shared" si="471"/>
        <v>1101.5999999999999</v>
      </c>
      <c r="H846" s="16">
        <v>1</v>
      </c>
      <c r="I846" s="17" t="s">
        <v>13</v>
      </c>
      <c r="J846" s="13" t="s">
        <v>17</v>
      </c>
      <c r="K846" s="12" t="str">
        <f t="shared" si="473"/>
        <v>2853_02_01_P1_EM01_01_M3</v>
      </c>
      <c r="L846">
        <v>1101.5999999999999</v>
      </c>
    </row>
    <row r="847" spans="1:12" ht="24" hidden="1" customHeight="1" x14ac:dyDescent="0.25">
      <c r="A847" s="12" t="str">
        <f t="shared" si="472"/>
        <v>КРМ-1 (УКМ-58 0,4-12,5-УЗ)  (P1)</v>
      </c>
      <c r="B847" s="12" t="s">
        <v>10</v>
      </c>
      <c r="C847" s="18" t="s">
        <v>10</v>
      </c>
      <c r="D847" s="12" t="s">
        <v>10</v>
      </c>
      <c r="E847" s="12">
        <f ca="1">OFFSET(E847,1,2)</f>
        <v>36000</v>
      </c>
      <c r="F847" s="15">
        <f ca="1">E847</f>
        <v>36000</v>
      </c>
      <c r="G847" s="15">
        <f t="shared" ca="1" si="471"/>
        <v>36000</v>
      </c>
      <c r="H847" s="12">
        <v>1</v>
      </c>
      <c r="I847" s="12" t="s">
        <v>13</v>
      </c>
      <c r="J847" s="12" t="s">
        <v>10</v>
      </c>
      <c r="K847" s="12" t="str">
        <f t="shared" si="473"/>
        <v>2853_02_01_P1_EM01_01_M3</v>
      </c>
      <c r="L847">
        <v>36000</v>
      </c>
    </row>
    <row r="848" spans="1:12" ht="21" hidden="1" customHeight="1" x14ac:dyDescent="0.25">
      <c r="A848" s="12" t="str">
        <f t="shared" si="472"/>
        <v>КРМ-1 (УКМ-58 0,4-12,5-УЗ)  (P1)</v>
      </c>
      <c r="B848" s="12" t="s">
        <v>11</v>
      </c>
      <c r="C848" s="18" t="s">
        <v>11</v>
      </c>
      <c r="D848" s="12" t="s">
        <v>11</v>
      </c>
      <c r="E848" s="12">
        <v>6</v>
      </c>
      <c r="F848" s="15">
        <v>100</v>
      </c>
      <c r="G848" s="15">
        <f t="shared" si="471"/>
        <v>36000</v>
      </c>
      <c r="H848" s="12">
        <f>60*E848</f>
        <v>360</v>
      </c>
      <c r="I848" s="12" t="s">
        <v>13</v>
      </c>
      <c r="J848" s="12" t="s">
        <v>11</v>
      </c>
      <c r="K848" s="12" t="str">
        <f t="shared" si="473"/>
        <v>2853_02_01_P1_EM01_01_M3</v>
      </c>
      <c r="L848">
        <v>36000</v>
      </c>
    </row>
    <row r="849" spans="1:12" ht="30" customHeight="1" x14ac:dyDescent="0.25">
      <c r="A849" s="12" t="str">
        <f t="shared" si="472"/>
        <v>КРМ-1 (УКМ-58 0,4-12,5-УЗ)  (P1)</v>
      </c>
      <c r="B849" s="19"/>
      <c r="C849" s="20"/>
      <c r="D849" s="21"/>
      <c r="E849" s="23"/>
      <c r="F849" s="25"/>
      <c r="G849" s="24">
        <f ca="1">SUM(G837:G848)</f>
        <v>220427.99999999997</v>
      </c>
      <c r="H849" s="20"/>
      <c r="I849" s="22"/>
      <c r="J849" s="20"/>
      <c r="K849" s="12" t="str">
        <f t="shared" si="473"/>
        <v>2853_02_01_P1_EM01_01_M3</v>
      </c>
      <c r="L849">
        <v>220427.99999999997</v>
      </c>
    </row>
  </sheetData>
  <autoFilter ref="A1:J849" xr:uid="{0E2C231C-0991-4FBE-BD8E-9CD4D9BF51D9}">
    <filterColumn colId="8">
      <filters blank="1">
        <filter val="комплект"/>
      </filters>
    </filterColumn>
  </autoFilter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yusuf kaplan</cp:lastModifiedBy>
  <cp:revision>3</cp:revision>
  <dcterms:created xsi:type="dcterms:W3CDTF">2015-06-05T18:19:34Z</dcterms:created>
  <dcterms:modified xsi:type="dcterms:W3CDTF">2026-10-20T10:35:11Z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