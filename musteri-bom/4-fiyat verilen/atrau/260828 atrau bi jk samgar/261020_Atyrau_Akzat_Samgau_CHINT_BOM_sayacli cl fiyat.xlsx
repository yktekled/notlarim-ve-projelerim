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EA5A8934-9EF3-4B6E-9E7C-242B9C21BA7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_xlnm._FilterDatabase" localSheetId="0" hidden="1">TEKLIF!$A$15:$K$117</definedName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TEKLIF!$A$1:$H$141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7" i="4" l="1"/>
  <c r="G116" i="4"/>
  <c r="D117" i="4"/>
  <c r="G114" i="4"/>
  <c r="G115" i="4"/>
  <c r="I126" i="4"/>
  <c r="J126" i="4" s="1"/>
  <c r="I125" i="4"/>
  <c r="I124" i="4"/>
  <c r="I123" i="4"/>
  <c r="I122" i="4"/>
  <c r="J122" i="4" s="1"/>
  <c r="I121" i="4"/>
  <c r="J121" i="4" s="1"/>
  <c r="I120" i="4"/>
  <c r="J120" i="4" s="1"/>
  <c r="I119" i="4"/>
  <c r="J119" i="4" s="1"/>
  <c r="I117" i="4"/>
  <c r="J125" i="4" l="1"/>
  <c r="J124" i="4"/>
  <c r="J123" i="4"/>
  <c r="I113" i="4" l="1"/>
  <c r="I111" i="4"/>
  <c r="I109" i="4"/>
  <c r="I107" i="4"/>
  <c r="I108" i="4" l="1"/>
  <c r="I112" i="4"/>
  <c r="I110" i="4"/>
  <c r="J113" i="4"/>
  <c r="J111" i="4"/>
  <c r="J110" i="4"/>
  <c r="G113" i="4" l="1"/>
  <c r="K113" i="4"/>
  <c r="K111" i="4"/>
  <c r="G111" i="4"/>
  <c r="G110" i="4"/>
  <c r="K110" i="4"/>
  <c r="J109" i="4"/>
  <c r="J107" i="4"/>
  <c r="J108" i="4" l="1"/>
  <c r="K109" i="4"/>
  <c r="G109" i="4"/>
  <c r="G107" i="4"/>
  <c r="K107" i="4"/>
  <c r="I100" i="4"/>
  <c r="J112" i="4"/>
  <c r="K108" i="4" l="1"/>
  <c r="G108" i="4"/>
  <c r="I99" i="4"/>
  <c r="K112" i="4"/>
  <c r="G112" i="4"/>
  <c r="I106" i="4"/>
  <c r="I101" i="4"/>
  <c r="I97" i="4"/>
  <c r="I95" i="4"/>
  <c r="I78" i="4"/>
  <c r="I96" i="4"/>
  <c r="I76" i="4"/>
  <c r="I56" i="4"/>
  <c r="I41" i="4"/>
  <c r="I28" i="4"/>
  <c r="I57" i="4"/>
  <c r="I19" i="4"/>
  <c r="I91" i="4"/>
  <c r="I81" i="4"/>
  <c r="I36" i="4"/>
  <c r="I32" i="4"/>
  <c r="I33" i="4"/>
  <c r="I37" i="4"/>
  <c r="I80" i="4"/>
  <c r="I63" i="4"/>
  <c r="I45" i="4"/>
  <c r="I83" i="4"/>
  <c r="I93" i="4"/>
  <c r="I90" i="4"/>
  <c r="I92" i="4"/>
  <c r="I87" i="4"/>
  <c r="I82" i="4"/>
  <c r="I88" i="4"/>
  <c r="I84" i="4"/>
  <c r="I59" i="4"/>
  <c r="I79" i="4"/>
  <c r="I30" i="4"/>
  <c r="I89" i="4"/>
  <c r="I75" i="4"/>
  <c r="I98" i="4"/>
  <c r="I94" i="4"/>
  <c r="I27" i="4"/>
  <c r="I66" i="4"/>
  <c r="I58" i="4"/>
  <c r="I29" i="4"/>
  <c r="I86" i="4"/>
  <c r="I85" i="4"/>
  <c r="I39" i="4"/>
  <c r="I67" i="4"/>
  <c r="I35" i="4"/>
  <c r="I26" i="4"/>
  <c r="I60" i="4"/>
  <c r="I43" i="4"/>
  <c r="I31" i="4"/>
  <c r="I64" i="4"/>
  <c r="I73" i="4"/>
  <c r="I77" i="4"/>
  <c r="I40" i="4"/>
  <c r="I44" i="4"/>
  <c r="I55" i="4"/>
  <c r="I61" i="4"/>
  <c r="I62" i="4"/>
  <c r="I72" i="4"/>
  <c r="I74" i="4"/>
  <c r="I42" i="4" l="1"/>
  <c r="I38" i="4"/>
  <c r="I34" i="4"/>
  <c r="J100" i="4"/>
  <c r="I105" i="4"/>
  <c r="J99" i="4"/>
  <c r="I102" i="4"/>
  <c r="I104" i="4"/>
  <c r="I103" i="4"/>
  <c r="I54" i="4"/>
  <c r="J78" i="4"/>
  <c r="I65" i="4"/>
  <c r="I48" i="4"/>
  <c r="I23" i="4"/>
  <c r="I50" i="4"/>
  <c r="I53" i="4"/>
  <c r="I49" i="4"/>
  <c r="I22" i="4"/>
  <c r="I69" i="4"/>
  <c r="J106" i="4" l="1"/>
  <c r="K100" i="4"/>
  <c r="G100" i="4"/>
  <c r="K99" i="4"/>
  <c r="G99" i="4"/>
  <c r="K78" i="4"/>
  <c r="G78" i="4"/>
  <c r="J101" i="4"/>
  <c r="J97" i="4"/>
  <c r="J95" i="4"/>
  <c r="J38" i="4"/>
  <c r="J85" i="4"/>
  <c r="J29" i="4"/>
  <c r="J41" i="4"/>
  <c r="J19" i="4"/>
  <c r="J54" i="4"/>
  <c r="J91" i="4"/>
  <c r="J81" i="4"/>
  <c r="J36" i="4"/>
  <c r="J32" i="4"/>
  <c r="J33" i="4"/>
  <c r="J34" i="4"/>
  <c r="J37" i="4"/>
  <c r="J80" i="4"/>
  <c r="J63" i="4"/>
  <c r="J45" i="4"/>
  <c r="J104" i="4"/>
  <c r="J103" i="4"/>
  <c r="J105" i="4"/>
  <c r="J83" i="4"/>
  <c r="J93" i="4"/>
  <c r="J90" i="4"/>
  <c r="J92" i="4"/>
  <c r="J87" i="4"/>
  <c r="J82" i="4"/>
  <c r="J88" i="4"/>
  <c r="J84" i="4"/>
  <c r="J59" i="4"/>
  <c r="J79" i="4"/>
  <c r="J30" i="4"/>
  <c r="J89" i="4"/>
  <c r="J75" i="4"/>
  <c r="J98" i="4"/>
  <c r="J94" i="4"/>
  <c r="J40" i="4"/>
  <c r="J39" i="4"/>
  <c r="J31" i="4"/>
  <c r="J64" i="4"/>
  <c r="J73" i="4"/>
  <c r="J48" i="4"/>
  <c r="J42" i="4"/>
  <c r="J86" i="4"/>
  <c r="J61" i="4"/>
  <c r="J62" i="4"/>
  <c r="J72" i="4"/>
  <c r="J74" i="4"/>
  <c r="J77" i="4"/>
  <c r="J58" i="4" l="1"/>
  <c r="J28" i="4"/>
  <c r="J27" i="4"/>
  <c r="G27" i="4" s="1"/>
  <c r="J26" i="4"/>
  <c r="J23" i="4"/>
  <c r="G106" i="4"/>
  <c r="K106" i="4"/>
  <c r="J76" i="4"/>
  <c r="J57" i="4"/>
  <c r="J96" i="4"/>
  <c r="J43" i="4"/>
  <c r="J102" i="4"/>
  <c r="J65" i="4"/>
  <c r="J22" i="4"/>
  <c r="J35" i="4"/>
  <c r="J44" i="4"/>
  <c r="J55" i="4"/>
  <c r="J66" i="4"/>
  <c r="J67" i="4"/>
  <c r="J56" i="4"/>
  <c r="J60" i="4"/>
  <c r="G101" i="4"/>
  <c r="K101" i="4"/>
  <c r="K97" i="4"/>
  <c r="G97" i="4"/>
  <c r="K95" i="4"/>
  <c r="G95" i="4"/>
  <c r="K38" i="4"/>
  <c r="G38" i="4"/>
  <c r="K85" i="4"/>
  <c r="G85" i="4"/>
  <c r="G29" i="4"/>
  <c r="K29" i="4"/>
  <c r="K41" i="4"/>
  <c r="G41" i="4"/>
  <c r="K19" i="4"/>
  <c r="G19" i="4"/>
  <c r="K54" i="4"/>
  <c r="G54" i="4"/>
  <c r="K91" i="4"/>
  <c r="G91" i="4"/>
  <c r="K81" i="4"/>
  <c r="G81" i="4"/>
  <c r="K36" i="4"/>
  <c r="G36" i="4"/>
  <c r="K32" i="4"/>
  <c r="G32" i="4"/>
  <c r="K33" i="4"/>
  <c r="G33" i="4"/>
  <c r="K34" i="4"/>
  <c r="G34" i="4"/>
  <c r="G37" i="4"/>
  <c r="K37" i="4"/>
  <c r="K80" i="4"/>
  <c r="G80" i="4"/>
  <c r="K63" i="4"/>
  <c r="G63" i="4"/>
  <c r="K45" i="4"/>
  <c r="G45" i="4"/>
  <c r="K104" i="4"/>
  <c r="G104" i="4"/>
  <c r="K103" i="4"/>
  <c r="G103" i="4"/>
  <c r="K105" i="4"/>
  <c r="G105" i="4"/>
  <c r="G83" i="4"/>
  <c r="K83" i="4"/>
  <c r="K93" i="4"/>
  <c r="G93" i="4"/>
  <c r="G90" i="4"/>
  <c r="K90" i="4"/>
  <c r="K92" i="4"/>
  <c r="G92" i="4"/>
  <c r="K87" i="4"/>
  <c r="G87" i="4"/>
  <c r="K82" i="4"/>
  <c r="G82" i="4"/>
  <c r="K88" i="4"/>
  <c r="G88" i="4"/>
  <c r="K84" i="4"/>
  <c r="G84" i="4"/>
  <c r="K59" i="4"/>
  <c r="G59" i="4"/>
  <c r="K79" i="4"/>
  <c r="G79" i="4"/>
  <c r="K30" i="4"/>
  <c r="G30" i="4"/>
  <c r="G89" i="4"/>
  <c r="K89" i="4"/>
  <c r="G75" i="4"/>
  <c r="K75" i="4"/>
  <c r="K98" i="4"/>
  <c r="G98" i="4"/>
  <c r="K94" i="4"/>
  <c r="G94" i="4"/>
  <c r="K40" i="4"/>
  <c r="G40" i="4"/>
  <c r="K39" i="4"/>
  <c r="G39" i="4"/>
  <c r="K31" i="4"/>
  <c r="G31" i="4"/>
  <c r="K64" i="4"/>
  <c r="G64" i="4"/>
  <c r="G73" i="4"/>
  <c r="K73" i="4"/>
  <c r="K48" i="4"/>
  <c r="G48" i="4"/>
  <c r="K42" i="4"/>
  <c r="G42" i="4"/>
  <c r="K86" i="4"/>
  <c r="G86" i="4"/>
  <c r="G61" i="4"/>
  <c r="K61" i="4"/>
  <c r="K62" i="4"/>
  <c r="G62" i="4"/>
  <c r="K72" i="4"/>
  <c r="G72" i="4"/>
  <c r="K74" i="4"/>
  <c r="G74" i="4"/>
  <c r="K77" i="4"/>
  <c r="G77" i="4"/>
  <c r="J50" i="4"/>
  <c r="J53" i="4"/>
  <c r="J49" i="4"/>
  <c r="J69" i="4"/>
  <c r="G58" i="4" l="1"/>
  <c r="K58" i="4"/>
  <c r="G28" i="4"/>
  <c r="K28" i="4"/>
  <c r="K27" i="4"/>
  <c r="K26" i="4"/>
  <c r="G26" i="4"/>
  <c r="K23" i="4"/>
  <c r="G23" i="4"/>
  <c r="K76" i="4"/>
  <c r="G76" i="4"/>
  <c r="K57" i="4"/>
  <c r="G57" i="4"/>
  <c r="G96" i="4"/>
  <c r="K96" i="4"/>
  <c r="K43" i="4"/>
  <c r="G43" i="4"/>
  <c r="K102" i="4"/>
  <c r="G102" i="4"/>
  <c r="K65" i="4"/>
  <c r="G65" i="4"/>
  <c r="K22" i="4"/>
  <c r="G22" i="4"/>
  <c r="K35" i="4"/>
  <c r="G35" i="4"/>
  <c r="K44" i="4"/>
  <c r="G44" i="4"/>
  <c r="K55" i="4"/>
  <c r="G55" i="4"/>
  <c r="K66" i="4"/>
  <c r="G66" i="4"/>
  <c r="K67" i="4"/>
  <c r="G67" i="4"/>
  <c r="K56" i="4"/>
  <c r="G56" i="4"/>
  <c r="G60" i="4"/>
  <c r="K60" i="4"/>
  <c r="K50" i="4"/>
  <c r="G50" i="4"/>
  <c r="G53" i="4"/>
  <c r="K53" i="4"/>
  <c r="G49" i="4"/>
  <c r="K49" i="4"/>
  <c r="K69" i="4"/>
  <c r="G69" i="4"/>
  <c r="I47" i="4" l="1"/>
  <c r="J47" i="4" l="1"/>
  <c r="K47" i="4" l="1"/>
  <c r="G47" i="4"/>
  <c r="I16" i="4" l="1"/>
  <c r="J16" i="4" l="1"/>
  <c r="G16" i="4" l="1"/>
  <c r="K16" i="4"/>
  <c r="I18" i="4" l="1"/>
  <c r="J18" i="4" l="1"/>
  <c r="K18" i="4" l="1"/>
  <c r="G18" i="4"/>
  <c r="I70" i="4" l="1"/>
  <c r="I71" i="4" l="1"/>
  <c r="J70" i="4" l="1"/>
  <c r="K70" i="4" l="1"/>
  <c r="G70" i="4"/>
  <c r="J71" i="4"/>
  <c r="K71" i="4" l="1"/>
  <c r="G71" i="4"/>
  <c r="I51" i="4" l="1"/>
  <c r="I52" i="4"/>
  <c r="I21" i="4"/>
  <c r="I20" i="4"/>
  <c r="I46" i="4" l="1"/>
  <c r="J51" i="4"/>
  <c r="J52" i="4" l="1"/>
  <c r="G51" i="4"/>
  <c r="K51" i="4"/>
  <c r="J21" i="4"/>
  <c r="J20" i="4"/>
  <c r="G52" i="4" l="1"/>
  <c r="K52" i="4"/>
  <c r="G21" i="4"/>
  <c r="K21" i="4"/>
  <c r="K20" i="4"/>
  <c r="G20" i="4"/>
  <c r="J46" i="4" l="1"/>
  <c r="K46" i="4" l="1"/>
  <c r="G46" i="4"/>
  <c r="I24" i="4" l="1"/>
  <c r="J24" i="4" l="1"/>
  <c r="K24" i="4" l="1"/>
  <c r="G24" i="4"/>
  <c r="I25" i="4" l="1"/>
  <c r="I68" i="4" l="1"/>
  <c r="J25" i="4" l="1"/>
  <c r="I17" i="4"/>
  <c r="G25" i="4" l="1"/>
  <c r="K25" i="4"/>
  <c r="J17" i="4" l="1"/>
  <c r="J68" i="4"/>
  <c r="G17" i="4" l="1"/>
  <c r="K17" i="4"/>
  <c r="G68" i="4"/>
  <c r="K68" i="4"/>
  <c r="K117" i="4" l="1"/>
</calcChain>
</file>

<file path=xl/sharedStrings.xml><?xml version="1.0" encoding="utf-8"?>
<sst xmlns="http://schemas.openxmlformats.org/spreadsheetml/2006/main" count="258" uniqueCount="142">
  <si>
    <t>ВУ-1 (ВРУ1-13-20 ухл4) (S1) (260901 akzat samgau)</t>
  </si>
  <si>
    <t>TEKLED electric</t>
  </si>
  <si>
    <t>ВРУ-1 (ВРУ1-ИНД тип5-00 ухл4) (S1) (260901 akzat samgau)</t>
  </si>
  <si>
    <t>АВР-1 (S1) (260901 akzat samgau)</t>
  </si>
  <si>
    <t>ЩМП-1.1 (ЩМП-140.80.40 УХЛ1 IP66) (S1) (260901 akzat samgau)</t>
  </si>
  <si>
    <t>РЩоф-1 (ВРУ1-50-00-ухл4) (S1) (260901 akzat samgau)</t>
  </si>
  <si>
    <t>ЩМПоф.-1.1 (ЩМП-120.80.40 УХЛ1 IP66) (S1) (260901 akzat samgau)</t>
  </si>
  <si>
    <t>ЩМПоф.-2.1 (ЩМП-120.80.40 УХЛ1 IP66) (S1) (260901 akzat samgau)</t>
  </si>
  <si>
    <t>ВЩоф2 (ВРУ1-ИНД тип3-00 ухл4) (S1) (260901 akzat samgau)</t>
  </si>
  <si>
    <t>ЩР-6.1 (ЩМП-40.30.20 УХЛ1 IP66) (S1) (260901 akzat samgau)</t>
  </si>
  <si>
    <t>ЩО-1бл. (S1) (260901 akzat samgau)</t>
  </si>
  <si>
    <t>ЩАО-1бл. (S1) (260901 akzat samgau)</t>
  </si>
  <si>
    <t>ЩСС-1бл. (S1) (260901 akzat samgau)</t>
  </si>
  <si>
    <t>ЩС-1бл. (S1) (260901 akzat samgau)</t>
  </si>
  <si>
    <t>ЩСд (S1) (260901 akzat samgau)</t>
  </si>
  <si>
    <t>ЩР-М (S1) (260901 akzat samgau)</t>
  </si>
  <si>
    <t>ЩЭ-5 (S1) (260901 akzat samgau)</t>
  </si>
  <si>
    <t>ЩЭ-6 (S2) (260901 akzat samgau)</t>
  </si>
  <si>
    <t>ЩЭ-4 (S3) (260901 akzat samgau)</t>
  </si>
  <si>
    <t>ЩЭ-5 (S4) (260901 akzat samgau)</t>
  </si>
  <si>
    <t>ЩЭ-4 (S4) (260901 akzat samgau)</t>
  </si>
  <si>
    <t>ЩЭ-4 (5бл) (S5) (260901 akzat samgau)</t>
  </si>
  <si>
    <t>ЩО-2бл. (S2) (260901 akzat samgau)</t>
  </si>
  <si>
    <t>ЩАО-2бл. (S2) (260901 akzat samgau)</t>
  </si>
  <si>
    <t>ЩСС-2бл. (S2) (260901 akzat samgau)</t>
  </si>
  <si>
    <t>ЩС-2бл. (S2) (260901 akzat samgau)</t>
  </si>
  <si>
    <t>ЩО-3бл. (S3) (260901 akzat samgau)</t>
  </si>
  <si>
    <t>ЩАО-3бл. (S3) (260901 akzat samgau)</t>
  </si>
  <si>
    <t>ЩСС-3бл. (S3) (260901 akzat samgau)</t>
  </si>
  <si>
    <t>ЩС-3бл. (S3) (260901 akzat samgau)</t>
  </si>
  <si>
    <t>ЩУкот (S3) (260901 akzat samgau)</t>
  </si>
  <si>
    <t>ВЩ-2 (ВРУ1-11-10) (S4) (260901 akzat samgau)</t>
  </si>
  <si>
    <t>РЩ-2 (ВРУ1-инд-5-00-ухл4) (S4) (260901 akzat samgau)</t>
  </si>
  <si>
    <t>АВР-2 (S4) (260901 akzat samgau)</t>
  </si>
  <si>
    <t>ЩМП-2.1 (ЩМП-140.80.40 У2 IP54) (S4) (260901 akzat samgau)</t>
  </si>
  <si>
    <t>ВЩоф-3 (ВРУ1-ИНД тип2-00 ухл4) (S4) (260901 akzat samgau)</t>
  </si>
  <si>
    <t>РЩоф-3 (ВРУ1-50-00-ухл4) (S4) (260901 akzat samgau)</t>
  </si>
  <si>
    <t>ЩМПоф.-3.2 (ЩМП-120.80.40 УХЛ1 IP66) (S4) (260901 akzat samgau)</t>
  </si>
  <si>
    <t>ЩМПоф.-3.3 (ЩМП-120.80.40 УХЛ1 IP66) (S4) (260901 akzat samgau)</t>
  </si>
  <si>
    <t>ЩО-4бл. (S4) (260901 akzat samgau)</t>
  </si>
  <si>
    <t>ЩАО-4бл. (S4) (260901 akzat samgau)</t>
  </si>
  <si>
    <t>ЩСС-4бл. (S4) (260901 akzat samgau)</t>
  </si>
  <si>
    <t>ЩС-4бл. (S4) (260901 akzat samgau)</t>
  </si>
  <si>
    <t>ЩСд (S4) (260901 akzat samgau)</t>
  </si>
  <si>
    <t>ЩО-5бл. (S5) (260901 akzat samgau)</t>
  </si>
  <si>
    <t>ЩАО-5бл. (S5) (260901 akzat samgau)</t>
  </si>
  <si>
    <t>ЩСС-5бл. (S5) (260901 akzat samgau)</t>
  </si>
  <si>
    <t>ЩС-5бл. (S5) (260901 akzat samgau)</t>
  </si>
  <si>
    <t>ЩСН-5бл. (S5) (260901 akzat samgau)</t>
  </si>
  <si>
    <t>ШНО (ЯУО, щит фасадного освещения) (FO) (260901 akzat samgau)</t>
  </si>
  <si>
    <t>ЩР-1 (FO) (260901 akzat samgau)</t>
  </si>
  <si>
    <t>ЩР-2 (FO) (260901 akzat samgau)</t>
  </si>
  <si>
    <t>ВРЩ-п (ВРУ1-21-10) (P1) (260901 akzat samgau)</t>
  </si>
  <si>
    <t>АВР-п (P1) (260901 akzat samgau)</t>
  </si>
  <si>
    <t>ЩМП-п1 (ЩМП-80.80.40) (P1) (260901 akzat samgau)</t>
  </si>
  <si>
    <t>ЩМП-п2 (ЩМП-80.80.40) (P1) (260901 akzat samgau)</t>
  </si>
  <si>
    <t>ЩО-P1 (P1) (260901 akzat samgau)</t>
  </si>
  <si>
    <t>ЩАО-P1 (P1) (260901 akzat samgau)</t>
  </si>
  <si>
    <t>ЩСС-P1 (P1) (260901 akzat samgau)</t>
  </si>
  <si>
    <t>ЩРохр-P1 (P1) (260901 akzat samgau)</t>
  </si>
  <si>
    <t>ЩР-п (P1) (260901 akzat samgau)</t>
  </si>
  <si>
    <t>ЩСН-P1 (P1) (260901 akzat samgau)</t>
  </si>
  <si>
    <t>ЩС-АПТ (P1) (260901 akzat samgau)</t>
  </si>
  <si>
    <t>ЩС-1 (P1) (260901 akzat samgau)</t>
  </si>
  <si>
    <t>ЩРсерв (P1) (260901 akzat samgau)</t>
  </si>
  <si>
    <t>ЩР-1.1 (S1) (260901 akzat samgau)</t>
  </si>
  <si>
    <t>ЩР-1.2 (S1) (260901 akzat samgau)</t>
  </si>
  <si>
    <t>ЩР-6.2 (S1) (260901 akzat samgau)</t>
  </si>
  <si>
    <t>ЩР-2.1 (S2) (260901 akzat samgau)</t>
  </si>
  <si>
    <t>ЩР-2.2 (S2) (260901 akzat samgau)</t>
  </si>
  <si>
    <t>ЩР-2.3 (S2) (260901 akzat samgau)</t>
  </si>
  <si>
    <t>ЩР-3.1 (S3) (260901 akzat samgau)</t>
  </si>
  <si>
    <t>ЩР-3.2 (S3) (260901 akzat samgau)</t>
  </si>
  <si>
    <t>ЩР-3.3 (S3) (260901 akzat samgau)</t>
  </si>
  <si>
    <t>ЩР-4.1 (S4) (260901 akzat samgau)</t>
  </si>
  <si>
    <t>ЩР-4.2 (S4) (260901 akzat samgau)</t>
  </si>
  <si>
    <t>ЩР-5.1 (S5) (260901 akzat samgau)</t>
  </si>
  <si>
    <t>ЩР-5.2 (S5) (260901 akzat samgau)</t>
  </si>
  <si>
    <t>ЩК1 (S1) (260901 akzat samgau)</t>
  </si>
  <si>
    <t>ЩК2 (S1) (260901 akzat samgau)</t>
  </si>
  <si>
    <t>ЩК1 (S2) (260901 akzat samgau)</t>
  </si>
  <si>
    <t>ЩК2 (S2) (260901 akzat samgau)</t>
  </si>
  <si>
    <t>ЩК1 (S3) (260901 akzat samgau)</t>
  </si>
  <si>
    <t>ЩК2 (S3) (260901 akzat samgau)</t>
  </si>
  <si>
    <t>ЩК1 (S4) (260901 akzat samgau)</t>
  </si>
  <si>
    <t>ЩК1 (S5) (260901 akzat samgau)</t>
  </si>
  <si>
    <t>КРМ-1 (УКМ-58 0,4-12,5-УЗ) (S1) (260901 akzat samgau)</t>
  </si>
  <si>
    <t>КРМ-2 (УКМ-58 0,4-25-УЗ) (S4) (260901 akzat samgau)</t>
  </si>
  <si>
    <t>КРМ-2 (УКМ-58 0,4-33-УЗ) (P1) (260901 akzat samgau)</t>
  </si>
  <si>
    <t>КРМ-1 (УКМ-58 0,4-12,5-УЗ) (P1) (260901 akzat samgau)</t>
  </si>
  <si>
    <t>ЩС-JET (P1) (260901 akzat samgau)</t>
  </si>
  <si>
    <t>ЯТП-0,25-23УЗ (S1) (260901 akzat samgau)</t>
  </si>
  <si>
    <t>ЯТП-0,25-23УЗ (S2) (260901 akzat samgau)</t>
  </si>
  <si>
    <t>ЯТП-0,25-23УЗ (ЯТП 220/36В) (S3) (260901 akzat samgau)</t>
  </si>
  <si>
    <t>ЯТП-0,25-23УЗ (ЯТП 220/12В) (S3) (260901 akzat samgau)</t>
  </si>
  <si>
    <t>ЯТП-0,25-23УЗ (ЯТП 220/36В) (S5) (260901 akzat samgau)</t>
  </si>
  <si>
    <t>ЯТП-0,25-23УЗ (S5) (260901 akzat samgau)</t>
  </si>
  <si>
    <t>ЯТП-0,25-23УЗ (P1) (260901 akzat samgau)</t>
  </si>
  <si>
    <t>BI GROUP</t>
  </si>
  <si>
    <t>ЖК «Зымыран» (Akzat) — 94732/25.05.22, секции 1–5, паркинг, ФО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</si>
  <si>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</si>
  <si>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</si>
  <si>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</si>
  <si>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</si>
  <si>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</si>
  <si>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</si>
  <si>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</si>
  <si>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</si>
  <si>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</si>
  <si>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</si>
  <si>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</si>
  <si>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</si>
  <si>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</si>
  <si>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</si>
  <si>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</si>
  <si>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</si>
  <si>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</si>
  <si>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</si>
  <si>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</si>
  <si>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</si>
  <si>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</si>
  <si>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</si>
  <si>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</si>
  <si>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</si>
  <si>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</si>
  <si>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</si>
  <si>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</si>
  <si>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</si>
  <si>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</si>
  <si>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</si>
  <si>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</si>
  <si>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ВЩоф1 (ВРУ1-ИНД тип3-00 ухл4) (S1) (260901 akzat samgau)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</si>
  <si>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</si>
  <si>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</si>
  <si>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</si>
  <si>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</si>
  <si>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</si>
  <si>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</si>
  <si>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</si>
  <si>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ЩОВ-п (щит обогрева воронок паркинга, тип-2) (261022 obogrev voronok)</t>
  </si>
  <si>
    <t>ЩОВ-ж (щит обогрева воронок жилья, тип-2) (261022 obogrev voronok)</t>
  </si>
  <si>
    <t xml:space="preserve">Ящик с рубильником (ЯРВ) 25А (261022 obogrev voronok)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</si>
</sst>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34</xdr:row>
      <xdr:rowOff>142920</xdr:rowOff>
    </xdr:from>
    <xdr:to>
      <xdr:col>1</xdr:col>
      <xdr:colOff>1228320</xdr:colOff>
      <xdr:row>34</xdr:row>
      <xdr:rowOff>390240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306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35</xdr:row>
      <xdr:rowOff>142920</xdr:rowOff>
    </xdr:from>
    <xdr:to>
      <xdr:col>1</xdr:col>
      <xdr:colOff>1228320</xdr:colOff>
      <xdr:row>35</xdr:row>
      <xdr:rowOff>390240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839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36</xdr:row>
      <xdr:rowOff>142920</xdr:rowOff>
    </xdr:from>
    <xdr:to>
      <xdr:col>1</xdr:col>
      <xdr:colOff>1228320</xdr:colOff>
      <xdr:row>36</xdr:row>
      <xdr:rowOff>390240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373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37</xdr:row>
      <xdr:rowOff>142920</xdr:rowOff>
    </xdr:from>
    <xdr:to>
      <xdr:col>1</xdr:col>
      <xdr:colOff>1228320</xdr:colOff>
      <xdr:row>37</xdr:row>
      <xdr:rowOff>390240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906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38</xdr:row>
      <xdr:rowOff>142920</xdr:rowOff>
    </xdr:from>
    <xdr:to>
      <xdr:col>1</xdr:col>
      <xdr:colOff>1228320</xdr:colOff>
      <xdr:row>38</xdr:row>
      <xdr:rowOff>390240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440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39</xdr:row>
      <xdr:rowOff>142920</xdr:rowOff>
    </xdr:from>
    <xdr:to>
      <xdr:col>1</xdr:col>
      <xdr:colOff>1228320</xdr:colOff>
      <xdr:row>39</xdr:row>
      <xdr:rowOff>390240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973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40</xdr:row>
      <xdr:rowOff>142920</xdr:rowOff>
    </xdr:from>
    <xdr:to>
      <xdr:col>1</xdr:col>
      <xdr:colOff>1228320</xdr:colOff>
      <xdr:row>40</xdr:row>
      <xdr:rowOff>390240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7507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41</xdr:row>
      <xdr:rowOff>142920</xdr:rowOff>
    </xdr:from>
    <xdr:to>
      <xdr:col>1</xdr:col>
      <xdr:colOff>1228320</xdr:colOff>
      <xdr:row>41</xdr:row>
      <xdr:rowOff>390240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040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42</xdr:row>
      <xdr:rowOff>142920</xdr:rowOff>
    </xdr:from>
    <xdr:to>
      <xdr:col>1</xdr:col>
      <xdr:colOff>1228320</xdr:colOff>
      <xdr:row>42</xdr:row>
      <xdr:rowOff>390240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573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43</xdr:row>
      <xdr:rowOff>142920</xdr:rowOff>
    </xdr:from>
    <xdr:to>
      <xdr:col>1</xdr:col>
      <xdr:colOff>1228320</xdr:colOff>
      <xdr:row>43</xdr:row>
      <xdr:rowOff>390240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107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44</xdr:row>
      <xdr:rowOff>142920</xdr:rowOff>
    </xdr:from>
    <xdr:to>
      <xdr:col>1</xdr:col>
      <xdr:colOff>1228320</xdr:colOff>
      <xdr:row>44</xdr:row>
      <xdr:rowOff>390240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640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45</xdr:row>
      <xdr:rowOff>142920</xdr:rowOff>
    </xdr:from>
    <xdr:to>
      <xdr:col>1</xdr:col>
      <xdr:colOff>1228320</xdr:colOff>
      <xdr:row>45</xdr:row>
      <xdr:rowOff>390240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174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46</xdr:row>
      <xdr:rowOff>142920</xdr:rowOff>
    </xdr:from>
    <xdr:to>
      <xdr:col>1</xdr:col>
      <xdr:colOff>1228320</xdr:colOff>
      <xdr:row>46</xdr:row>
      <xdr:rowOff>390240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707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47</xdr:row>
      <xdr:rowOff>142920</xdr:rowOff>
    </xdr:from>
    <xdr:to>
      <xdr:col>1</xdr:col>
      <xdr:colOff>1228320</xdr:colOff>
      <xdr:row>47</xdr:row>
      <xdr:rowOff>390240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240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48</xdr:row>
      <xdr:rowOff>142920</xdr:rowOff>
    </xdr:from>
    <xdr:to>
      <xdr:col>1</xdr:col>
      <xdr:colOff>1228320</xdr:colOff>
      <xdr:row>48</xdr:row>
      <xdr:rowOff>390240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774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49</xdr:row>
      <xdr:rowOff>142920</xdr:rowOff>
    </xdr:from>
    <xdr:to>
      <xdr:col>1</xdr:col>
      <xdr:colOff>1228320</xdr:colOff>
      <xdr:row>49</xdr:row>
      <xdr:rowOff>390240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2307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50</xdr:row>
      <xdr:rowOff>142920</xdr:rowOff>
    </xdr:from>
    <xdr:to>
      <xdr:col>1</xdr:col>
      <xdr:colOff>1228320</xdr:colOff>
      <xdr:row>50</xdr:row>
      <xdr:rowOff>390240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2840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51</xdr:row>
      <xdr:rowOff>142920</xdr:rowOff>
    </xdr:from>
    <xdr:to>
      <xdr:col>1</xdr:col>
      <xdr:colOff>1228320</xdr:colOff>
      <xdr:row>51</xdr:row>
      <xdr:rowOff>390240</xdr:rowOff>
    </xdr:to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3374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52</xdr:row>
      <xdr:rowOff>142920</xdr:rowOff>
    </xdr:from>
    <xdr:to>
      <xdr:col>1</xdr:col>
      <xdr:colOff>1228320</xdr:colOff>
      <xdr:row>52</xdr:row>
      <xdr:rowOff>390240</xdr:rowOff>
    </xdr:to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3907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53</xdr:row>
      <xdr:rowOff>142920</xdr:rowOff>
    </xdr:from>
    <xdr:to>
      <xdr:col>1</xdr:col>
      <xdr:colOff>1228320</xdr:colOff>
      <xdr:row>53</xdr:row>
      <xdr:rowOff>390240</xdr:rowOff>
    </xdr:to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4441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54</xdr:row>
      <xdr:rowOff>142920</xdr:rowOff>
    </xdr:from>
    <xdr:to>
      <xdr:col>1</xdr:col>
      <xdr:colOff>1228320</xdr:colOff>
      <xdr:row>54</xdr:row>
      <xdr:rowOff>390240</xdr:rowOff>
    </xdr:to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4974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55</xdr:row>
      <xdr:rowOff>142920</xdr:rowOff>
    </xdr:from>
    <xdr:to>
      <xdr:col>1</xdr:col>
      <xdr:colOff>1228320</xdr:colOff>
      <xdr:row>55</xdr:row>
      <xdr:rowOff>390240</xdr:rowOff>
    </xdr:to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5508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56</xdr:row>
      <xdr:rowOff>142920</xdr:rowOff>
    </xdr:from>
    <xdr:to>
      <xdr:col>1</xdr:col>
      <xdr:colOff>1228320</xdr:colOff>
      <xdr:row>56</xdr:row>
      <xdr:rowOff>390240</xdr:rowOff>
    </xdr:to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6041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57</xdr:row>
      <xdr:rowOff>142920</xdr:rowOff>
    </xdr:from>
    <xdr:to>
      <xdr:col>1</xdr:col>
      <xdr:colOff>1228320</xdr:colOff>
      <xdr:row>57</xdr:row>
      <xdr:rowOff>390240</xdr:rowOff>
    </xdr:to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6574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58</xdr:row>
      <xdr:rowOff>142920</xdr:rowOff>
    </xdr:from>
    <xdr:to>
      <xdr:col>1</xdr:col>
      <xdr:colOff>1228320</xdr:colOff>
      <xdr:row>58</xdr:row>
      <xdr:rowOff>390240</xdr:rowOff>
    </xdr:to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7108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59</xdr:row>
      <xdr:rowOff>142920</xdr:rowOff>
    </xdr:from>
    <xdr:to>
      <xdr:col>1</xdr:col>
      <xdr:colOff>1228320</xdr:colOff>
      <xdr:row>59</xdr:row>
      <xdr:rowOff>390240</xdr:rowOff>
    </xdr:to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7641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60</xdr:row>
      <xdr:rowOff>142920</xdr:rowOff>
    </xdr:from>
    <xdr:to>
      <xdr:col>1</xdr:col>
      <xdr:colOff>1228320</xdr:colOff>
      <xdr:row>60</xdr:row>
      <xdr:rowOff>390240</xdr:rowOff>
    </xdr:to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8175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61</xdr:row>
      <xdr:rowOff>142920</xdr:rowOff>
    </xdr:from>
    <xdr:to>
      <xdr:col>1</xdr:col>
      <xdr:colOff>1228320</xdr:colOff>
      <xdr:row>61</xdr:row>
      <xdr:rowOff>390240</xdr:rowOff>
    </xdr:to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8708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62</xdr:row>
      <xdr:rowOff>142920</xdr:rowOff>
    </xdr:from>
    <xdr:to>
      <xdr:col>1</xdr:col>
      <xdr:colOff>1228320</xdr:colOff>
      <xdr:row>62</xdr:row>
      <xdr:rowOff>390240</xdr:rowOff>
    </xdr:to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9241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63</xdr:row>
      <xdr:rowOff>142920</xdr:rowOff>
    </xdr:from>
    <xdr:to>
      <xdr:col>1</xdr:col>
      <xdr:colOff>1228320</xdr:colOff>
      <xdr:row>63</xdr:row>
      <xdr:rowOff>390240</xdr:rowOff>
    </xdr:to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9775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64</xdr:row>
      <xdr:rowOff>142920</xdr:rowOff>
    </xdr:from>
    <xdr:to>
      <xdr:col>1</xdr:col>
      <xdr:colOff>1228320</xdr:colOff>
      <xdr:row>64</xdr:row>
      <xdr:rowOff>390240</xdr:rowOff>
    </xdr:to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0308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65</xdr:row>
      <xdr:rowOff>142920</xdr:rowOff>
    </xdr:from>
    <xdr:to>
      <xdr:col>1</xdr:col>
      <xdr:colOff>1228320</xdr:colOff>
      <xdr:row>65</xdr:row>
      <xdr:rowOff>390240</xdr:rowOff>
    </xdr:to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0841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66</xdr:row>
      <xdr:rowOff>142920</xdr:rowOff>
    </xdr:from>
    <xdr:to>
      <xdr:col>1</xdr:col>
      <xdr:colOff>1228320</xdr:colOff>
      <xdr:row>66</xdr:row>
      <xdr:rowOff>390240</xdr:rowOff>
    </xdr:to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1375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67</xdr:row>
      <xdr:rowOff>142920</xdr:rowOff>
    </xdr:from>
    <xdr:to>
      <xdr:col>1</xdr:col>
      <xdr:colOff>1228320</xdr:colOff>
      <xdr:row>67</xdr:row>
      <xdr:rowOff>390240</xdr:rowOff>
    </xdr:to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1908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68</xdr:row>
      <xdr:rowOff>142920</xdr:rowOff>
    </xdr:from>
    <xdr:to>
      <xdr:col>1</xdr:col>
      <xdr:colOff>1228320</xdr:colOff>
      <xdr:row>68</xdr:row>
      <xdr:rowOff>390240</xdr:rowOff>
    </xdr:to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2442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69</xdr:row>
      <xdr:rowOff>142920</xdr:rowOff>
    </xdr:from>
    <xdr:to>
      <xdr:col>1</xdr:col>
      <xdr:colOff>1228320</xdr:colOff>
      <xdr:row>69</xdr:row>
      <xdr:rowOff>390240</xdr:rowOff>
    </xdr:to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2975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70</xdr:row>
      <xdr:rowOff>142920</xdr:rowOff>
    </xdr:from>
    <xdr:to>
      <xdr:col>1</xdr:col>
      <xdr:colOff>1228320</xdr:colOff>
      <xdr:row>70</xdr:row>
      <xdr:rowOff>390240</xdr:rowOff>
    </xdr:to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3509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71</xdr:row>
      <xdr:rowOff>142920</xdr:rowOff>
    </xdr:from>
    <xdr:to>
      <xdr:col>1</xdr:col>
      <xdr:colOff>1228320</xdr:colOff>
      <xdr:row>71</xdr:row>
      <xdr:rowOff>390240</xdr:rowOff>
    </xdr:to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4042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72</xdr:row>
      <xdr:rowOff>142920</xdr:rowOff>
    </xdr:from>
    <xdr:to>
      <xdr:col>1</xdr:col>
      <xdr:colOff>1228320</xdr:colOff>
      <xdr:row>72</xdr:row>
      <xdr:rowOff>390240</xdr:rowOff>
    </xdr:to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4575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73</xdr:row>
      <xdr:rowOff>142920</xdr:rowOff>
    </xdr:from>
    <xdr:to>
      <xdr:col>1</xdr:col>
      <xdr:colOff>1228320</xdr:colOff>
      <xdr:row>73</xdr:row>
      <xdr:rowOff>390240</xdr:rowOff>
    </xdr:to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5109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74</xdr:row>
      <xdr:rowOff>142920</xdr:rowOff>
    </xdr:from>
    <xdr:to>
      <xdr:col>1</xdr:col>
      <xdr:colOff>1228320</xdr:colOff>
      <xdr:row>74</xdr:row>
      <xdr:rowOff>390240</xdr:rowOff>
    </xdr:to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5642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75</xdr:row>
      <xdr:rowOff>142920</xdr:rowOff>
    </xdr:from>
    <xdr:to>
      <xdr:col>1</xdr:col>
      <xdr:colOff>1228320</xdr:colOff>
      <xdr:row>75</xdr:row>
      <xdr:rowOff>390240</xdr:rowOff>
    </xdr:to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6176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76</xdr:row>
      <xdr:rowOff>142920</xdr:rowOff>
    </xdr:from>
    <xdr:to>
      <xdr:col>1</xdr:col>
      <xdr:colOff>1228320</xdr:colOff>
      <xdr:row>76</xdr:row>
      <xdr:rowOff>390240</xdr:rowOff>
    </xdr:to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6709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77</xdr:row>
      <xdr:rowOff>142920</xdr:rowOff>
    </xdr:from>
    <xdr:to>
      <xdr:col>1</xdr:col>
      <xdr:colOff>1228320</xdr:colOff>
      <xdr:row>77</xdr:row>
      <xdr:rowOff>390240</xdr:rowOff>
    </xdr:to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7242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78</xdr:row>
      <xdr:rowOff>142920</xdr:rowOff>
    </xdr:from>
    <xdr:to>
      <xdr:col>1</xdr:col>
      <xdr:colOff>1228320</xdr:colOff>
      <xdr:row>78</xdr:row>
      <xdr:rowOff>390240</xdr:rowOff>
    </xdr:to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7776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79</xdr:row>
      <xdr:rowOff>142920</xdr:rowOff>
    </xdr:from>
    <xdr:to>
      <xdr:col>1</xdr:col>
      <xdr:colOff>1228320</xdr:colOff>
      <xdr:row>79</xdr:row>
      <xdr:rowOff>390240</xdr:rowOff>
    </xdr:to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8309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80</xdr:row>
      <xdr:rowOff>142920</xdr:rowOff>
    </xdr:from>
    <xdr:to>
      <xdr:col>1</xdr:col>
      <xdr:colOff>1228320</xdr:colOff>
      <xdr:row>80</xdr:row>
      <xdr:rowOff>390240</xdr:rowOff>
    </xdr:to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8842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81</xdr:row>
      <xdr:rowOff>142920</xdr:rowOff>
    </xdr:from>
    <xdr:to>
      <xdr:col>1</xdr:col>
      <xdr:colOff>1228320</xdr:colOff>
      <xdr:row>81</xdr:row>
      <xdr:rowOff>390240</xdr:rowOff>
    </xdr:to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9376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82</xdr:row>
      <xdr:rowOff>142920</xdr:rowOff>
    </xdr:from>
    <xdr:to>
      <xdr:col>1</xdr:col>
      <xdr:colOff>1228320</xdr:colOff>
      <xdr:row>82</xdr:row>
      <xdr:rowOff>390240</xdr:rowOff>
    </xdr:to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9909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83</xdr:row>
      <xdr:rowOff>142920</xdr:rowOff>
    </xdr:from>
    <xdr:to>
      <xdr:col>1</xdr:col>
      <xdr:colOff>1228320</xdr:colOff>
      <xdr:row>83</xdr:row>
      <xdr:rowOff>390240</xdr:rowOff>
    </xdr:to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0443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84</xdr:row>
      <xdr:rowOff>142920</xdr:rowOff>
    </xdr:from>
    <xdr:to>
      <xdr:col>1</xdr:col>
      <xdr:colOff>1228320</xdr:colOff>
      <xdr:row>84</xdr:row>
      <xdr:rowOff>390240</xdr:rowOff>
    </xdr:to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0976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85</xdr:row>
      <xdr:rowOff>142920</xdr:rowOff>
    </xdr:from>
    <xdr:to>
      <xdr:col>1</xdr:col>
      <xdr:colOff>1228320</xdr:colOff>
      <xdr:row>85</xdr:row>
      <xdr:rowOff>390240</xdr:rowOff>
    </xdr:to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510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86</xdr:row>
      <xdr:rowOff>142920</xdr:rowOff>
    </xdr:from>
    <xdr:to>
      <xdr:col>1</xdr:col>
      <xdr:colOff>1228320</xdr:colOff>
      <xdr:row>86</xdr:row>
      <xdr:rowOff>390240</xdr:rowOff>
    </xdr:to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2043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87</xdr:row>
      <xdr:rowOff>142920</xdr:rowOff>
    </xdr:from>
    <xdr:to>
      <xdr:col>1</xdr:col>
      <xdr:colOff>1228320</xdr:colOff>
      <xdr:row>87</xdr:row>
      <xdr:rowOff>390240</xdr:rowOff>
    </xdr:to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2576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88</xdr:row>
      <xdr:rowOff>142920</xdr:rowOff>
    </xdr:from>
    <xdr:to>
      <xdr:col>1</xdr:col>
      <xdr:colOff>1228320</xdr:colOff>
      <xdr:row>88</xdr:row>
      <xdr:rowOff>390240</xdr:rowOff>
    </xdr:to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3110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89</xdr:row>
      <xdr:rowOff>142920</xdr:rowOff>
    </xdr:from>
    <xdr:to>
      <xdr:col>1</xdr:col>
      <xdr:colOff>1228320</xdr:colOff>
      <xdr:row>89</xdr:row>
      <xdr:rowOff>390240</xdr:rowOff>
    </xdr:to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3643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90</xdr:row>
      <xdr:rowOff>142920</xdr:rowOff>
    </xdr:from>
    <xdr:to>
      <xdr:col>1</xdr:col>
      <xdr:colOff>1228320</xdr:colOff>
      <xdr:row>90</xdr:row>
      <xdr:rowOff>390240</xdr:rowOff>
    </xdr:to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4177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91</xdr:row>
      <xdr:rowOff>142920</xdr:rowOff>
    </xdr:from>
    <xdr:to>
      <xdr:col>1</xdr:col>
      <xdr:colOff>1228320</xdr:colOff>
      <xdr:row>91</xdr:row>
      <xdr:rowOff>390240</xdr:rowOff>
    </xdr:to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4710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92</xdr:row>
      <xdr:rowOff>142920</xdr:rowOff>
    </xdr:from>
    <xdr:to>
      <xdr:col>1</xdr:col>
      <xdr:colOff>1228320</xdr:colOff>
      <xdr:row>92</xdr:row>
      <xdr:rowOff>390240</xdr:rowOff>
    </xdr:to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5243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93</xdr:row>
      <xdr:rowOff>142920</xdr:rowOff>
    </xdr:from>
    <xdr:to>
      <xdr:col>1</xdr:col>
      <xdr:colOff>1228320</xdr:colOff>
      <xdr:row>93</xdr:row>
      <xdr:rowOff>390240</xdr:rowOff>
    </xdr:to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5777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94</xdr:row>
      <xdr:rowOff>142920</xdr:rowOff>
    </xdr:from>
    <xdr:to>
      <xdr:col>1</xdr:col>
      <xdr:colOff>1228320</xdr:colOff>
      <xdr:row>94</xdr:row>
      <xdr:rowOff>390240</xdr:rowOff>
    </xdr:to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6310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95</xdr:row>
      <xdr:rowOff>142920</xdr:rowOff>
    </xdr:from>
    <xdr:to>
      <xdr:col>1</xdr:col>
      <xdr:colOff>1228320</xdr:colOff>
      <xdr:row>95</xdr:row>
      <xdr:rowOff>390240</xdr:rowOff>
    </xdr:to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6843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96</xdr:row>
      <xdr:rowOff>142920</xdr:rowOff>
    </xdr:from>
    <xdr:to>
      <xdr:col>1</xdr:col>
      <xdr:colOff>1228320</xdr:colOff>
      <xdr:row>96</xdr:row>
      <xdr:rowOff>390240</xdr:rowOff>
    </xdr:to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377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97</xdr:row>
      <xdr:rowOff>142920</xdr:rowOff>
    </xdr:from>
    <xdr:to>
      <xdr:col>1</xdr:col>
      <xdr:colOff>1228320</xdr:colOff>
      <xdr:row>97</xdr:row>
      <xdr:rowOff>390240</xdr:rowOff>
    </xdr:to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910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98</xdr:row>
      <xdr:rowOff>142920</xdr:rowOff>
    </xdr:from>
    <xdr:to>
      <xdr:col>1</xdr:col>
      <xdr:colOff>1228320</xdr:colOff>
      <xdr:row>98</xdr:row>
      <xdr:rowOff>390240</xdr:rowOff>
    </xdr:to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8444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99</xdr:row>
      <xdr:rowOff>142920</xdr:rowOff>
    </xdr:from>
    <xdr:to>
      <xdr:col>1</xdr:col>
      <xdr:colOff>1228320</xdr:colOff>
      <xdr:row>99</xdr:row>
      <xdr:rowOff>390240</xdr:rowOff>
    </xdr:to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8977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100</xdr:row>
      <xdr:rowOff>142920</xdr:rowOff>
    </xdr:from>
    <xdr:to>
      <xdr:col>1</xdr:col>
      <xdr:colOff>1228320</xdr:colOff>
      <xdr:row>100</xdr:row>
      <xdr:rowOff>390240</xdr:rowOff>
    </xdr:to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9511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101</xdr:row>
      <xdr:rowOff>142920</xdr:rowOff>
    </xdr:from>
    <xdr:to>
      <xdr:col>1</xdr:col>
      <xdr:colOff>1228320</xdr:colOff>
      <xdr:row>101</xdr:row>
      <xdr:rowOff>390240</xdr:rowOff>
    </xdr:to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0044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102</xdr:row>
      <xdr:rowOff>142920</xdr:rowOff>
    </xdr:from>
    <xdr:to>
      <xdr:col>1</xdr:col>
      <xdr:colOff>1228320</xdr:colOff>
      <xdr:row>102</xdr:row>
      <xdr:rowOff>390240</xdr:rowOff>
    </xdr:to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0577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103</xdr:row>
      <xdr:rowOff>142920</xdr:rowOff>
    </xdr:from>
    <xdr:to>
      <xdr:col>1</xdr:col>
      <xdr:colOff>1228320</xdr:colOff>
      <xdr:row>103</xdr:row>
      <xdr:rowOff>390240</xdr:rowOff>
    </xdr:to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1111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104</xdr:row>
      <xdr:rowOff>142920</xdr:rowOff>
    </xdr:from>
    <xdr:to>
      <xdr:col>1</xdr:col>
      <xdr:colOff>1228320</xdr:colOff>
      <xdr:row>104</xdr:row>
      <xdr:rowOff>390240</xdr:rowOff>
    </xdr:to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1644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105</xdr:row>
      <xdr:rowOff>142920</xdr:rowOff>
    </xdr:from>
    <xdr:to>
      <xdr:col>1</xdr:col>
      <xdr:colOff>1228320</xdr:colOff>
      <xdr:row>105</xdr:row>
      <xdr:rowOff>390240</xdr:rowOff>
    </xdr:to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178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106</xdr:row>
      <xdr:rowOff>142920</xdr:rowOff>
    </xdr:from>
    <xdr:to>
      <xdr:col>1</xdr:col>
      <xdr:colOff>1228320</xdr:colOff>
      <xdr:row>106</xdr:row>
      <xdr:rowOff>390240</xdr:rowOff>
    </xdr:to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711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107</xdr:row>
      <xdr:rowOff>142920</xdr:rowOff>
    </xdr:from>
    <xdr:to>
      <xdr:col>1</xdr:col>
      <xdr:colOff>1228320</xdr:colOff>
      <xdr:row>107</xdr:row>
      <xdr:rowOff>390240</xdr:rowOff>
    </xdr:to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3244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108</xdr:row>
      <xdr:rowOff>142920</xdr:rowOff>
    </xdr:from>
    <xdr:to>
      <xdr:col>1</xdr:col>
      <xdr:colOff>1228320</xdr:colOff>
      <xdr:row>108</xdr:row>
      <xdr:rowOff>390240</xdr:rowOff>
    </xdr:to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3778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109</xdr:row>
      <xdr:rowOff>142920</xdr:rowOff>
    </xdr:from>
    <xdr:to>
      <xdr:col>1</xdr:col>
      <xdr:colOff>1228320</xdr:colOff>
      <xdr:row>109</xdr:row>
      <xdr:rowOff>390240</xdr:rowOff>
    </xdr:to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4311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110</xdr:row>
      <xdr:rowOff>142920</xdr:rowOff>
    </xdr:from>
    <xdr:to>
      <xdr:col>1</xdr:col>
      <xdr:colOff>1228320</xdr:colOff>
      <xdr:row>110</xdr:row>
      <xdr:rowOff>390240</xdr:rowOff>
    </xdr:to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4844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111</xdr:row>
      <xdr:rowOff>142920</xdr:rowOff>
    </xdr:from>
    <xdr:to>
      <xdr:col>1</xdr:col>
      <xdr:colOff>1228320</xdr:colOff>
      <xdr:row>111</xdr:row>
      <xdr:rowOff>390240</xdr:rowOff>
    </xdr:to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5378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112</xdr:row>
      <xdr:rowOff>142920</xdr:rowOff>
    </xdr:from>
    <xdr:to>
      <xdr:col>1</xdr:col>
      <xdr:colOff>1228320</xdr:colOff>
      <xdr:row>112</xdr:row>
      <xdr:rowOff>390240</xdr:rowOff>
    </xdr:to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5911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139</xdr:row>
      <xdr:rowOff>19080</xdr:rowOff>
    </xdr:from>
    <xdr:to>
      <xdr:col>2</xdr:col>
      <xdr:colOff>2666580</xdr:colOff>
      <xdr:row>139</xdr:row>
      <xdr:rowOff>399600</xdr:rowOff>
    </xdr:to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617601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114300</xdr:colOff>
      <xdr:row>113</xdr:row>
      <xdr:rowOff>152400</xdr:rowOff>
    </xdr:from>
    <xdr:to>
      <xdr:col>1</xdr:col>
      <xdr:colOff>1209420</xdr:colOff>
      <xdr:row>113</xdr:row>
      <xdr:rowOff>399720</xdr:rowOff>
    </xdr:to>
    <xdr:pic>
      <xdr:nvPicPr>
        <xdr:cNvPr id="103" name="Image 100" descr="Picture">
          <a:extLst>
            <a:ext uri="{FF2B5EF4-FFF2-40B4-BE49-F238E27FC236}">
              <a16:creationId xmlns:a16="http://schemas.microsoft.com/office/drawing/2014/main" id="{BE0591C0-23B5-4800-B9D4-BC88D2E638E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7675" y="56454675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47625</xdr:colOff>
      <xdr:row>114</xdr:row>
      <xdr:rowOff>142875</xdr:rowOff>
    </xdr:from>
    <xdr:to>
      <xdr:col>1</xdr:col>
      <xdr:colOff>1142745</xdr:colOff>
      <xdr:row>114</xdr:row>
      <xdr:rowOff>390195</xdr:rowOff>
    </xdr:to>
    <xdr:pic>
      <xdr:nvPicPr>
        <xdr:cNvPr id="104" name="Image 100" descr="Picture">
          <a:extLst>
            <a:ext uri="{FF2B5EF4-FFF2-40B4-BE49-F238E27FC236}">
              <a16:creationId xmlns:a16="http://schemas.microsoft.com/office/drawing/2014/main" id="{A738E01D-9427-4E53-912F-5436FBD7819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0" y="5697855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76200</xdr:colOff>
      <xdr:row>115</xdr:row>
      <xdr:rowOff>133350</xdr:rowOff>
    </xdr:from>
    <xdr:to>
      <xdr:col>1</xdr:col>
      <xdr:colOff>1171320</xdr:colOff>
      <xdr:row>115</xdr:row>
      <xdr:rowOff>380670</xdr:rowOff>
    </xdr:to>
    <xdr:pic>
      <xdr:nvPicPr>
        <xdr:cNvPr id="105" name="Image 100" descr="Picture">
          <a:extLst>
            <a:ext uri="{FF2B5EF4-FFF2-40B4-BE49-F238E27FC236}">
              <a16:creationId xmlns:a16="http://schemas.microsoft.com/office/drawing/2014/main" id="{5A45DAC6-F720-4482-B149-C95678B07E4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9575" y="57502425"/>
          <a:ext cx="1095120" cy="24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DA0F62-E14F-4948-B226-B3EFC4DB75D7}">
  <we:reference id="wa200004933" version="1.0.0.0" store="tr-TR" storeType="OMEX"/>
  <we:alternateReferences>
    <we:reference id="wa200004933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_xldudf_FUZZY_FUZZYLOOKUP</we:customFunctionIds>
        <we:customFunctionIds>_xldudf_FUZZY_FUZZYMATCHARRAY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40"/>
  <sheetViews>
    <sheetView showGridLines="0" tabSelected="1" topLeftCell="A107" zoomScaleNormal="100" workbookViewId="0">
      <selection activeCell="P113" sqref="P113"/>
    </sheetView>
  </sheetViews>
  <sheetFormatPr defaultColWidth="8.570312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4.42578125" customWidth="1"/>
    <col min="8" max="8" width="15" customWidth="1"/>
    <col min="9" max="11" width="40" hidden="1" customWidth="1" outlineLevel="1"/>
    <col min="12" max="12" width="8.5703125" collapsed="1"/>
  </cols>
  <sheetData>
    <row r="1" spans="1:11" ht="30" customHeight="1" x14ac:dyDescent="0.25">
      <c r="G1" s="22" t="s">
        <v>1</v>
      </c>
      <c r="H1" s="22"/>
    </row>
    <row r="2" spans="1:11" ht="30" customHeight="1" x14ac:dyDescent="0.25">
      <c r="G2" s="22"/>
      <c r="H2" s="22"/>
    </row>
    <row r="3" spans="1:11" ht="13.5" customHeight="1" x14ac:dyDescent="0.25">
      <c r="G3" s="22"/>
      <c r="H3" s="22"/>
    </row>
    <row r="5" spans="1:11" ht="27.75" customHeight="1" x14ac:dyDescent="0.25">
      <c r="A5" s="23" t="s">
        <v>103</v>
      </c>
      <c r="B5" s="23"/>
      <c r="C5" s="23"/>
      <c r="D5" s="23"/>
      <c r="E5" s="23"/>
      <c r="F5" s="23"/>
      <c r="G5" s="23"/>
      <c r="H5" s="23"/>
    </row>
    <row r="7" spans="1:11" ht="15.75" customHeight="1" x14ac:dyDescent="0.25">
      <c r="A7" s="21" t="s">
        <v>104</v>
      </c>
      <c r="B7" s="21"/>
      <c r="C7" s="2">
        <v>9890900000</v>
      </c>
      <c r="D7" s="19" t="s">
        <v>105</v>
      </c>
      <c r="E7" s="19"/>
      <c r="F7" s="20" t="s">
        <v>98</v>
      </c>
      <c r="G7" s="20"/>
      <c r="H7" s="20"/>
    </row>
    <row r="8" spans="1:11" ht="27.75" customHeight="1" x14ac:dyDescent="0.25">
      <c r="A8" s="21" t="s">
        <v>106</v>
      </c>
      <c r="B8" s="21"/>
      <c r="C8" s="4">
        <v>46315</v>
      </c>
      <c r="D8" s="19" t="s">
        <v>107</v>
      </c>
      <c r="E8" s="19"/>
      <c r="F8" s="20" t="s">
        <v>132</v>
      </c>
      <c r="G8" s="20"/>
      <c r="H8" s="20"/>
    </row>
    <row r="9" spans="1:11" ht="27.75" customHeight="1" x14ac:dyDescent="0.25">
      <c r="D9" s="19" t="s">
        <v>108</v>
      </c>
      <c r="E9" s="19"/>
      <c r="F9" s="20" t="s">
        <v>99</v>
      </c>
      <c r="G9" s="20"/>
      <c r="H9" s="20"/>
    </row>
    <row r="10" spans="1:11" ht="15" customHeight="1" x14ac:dyDescent="0.25">
      <c r="D10" s="19" t="s">
        <v>109</v>
      </c>
      <c r="E10" s="19"/>
      <c r="F10" s="20" t="s">
        <v>132</v>
      </c>
      <c r="G10" s="20"/>
      <c r="H10" s="20"/>
    </row>
    <row r="11" spans="1:11" ht="15" customHeight="1" x14ac:dyDescent="0.25">
      <c r="D11" s="19" t="s">
        <v>110</v>
      </c>
      <c r="E11" s="19"/>
      <c r="F11" s="20" t="s">
        <v>132</v>
      </c>
      <c r="G11" s="20"/>
      <c r="H11" s="20"/>
    </row>
    <row r="12" spans="1:11" ht="15" customHeight="1" x14ac:dyDescent="0.25">
      <c r="D12" s="19" t="s">
        <v>111</v>
      </c>
      <c r="E12" s="19"/>
      <c r="F12" s="20" t="s">
        <v>132</v>
      </c>
      <c r="G12" s="20"/>
      <c r="H12" s="20"/>
    </row>
    <row r="13" spans="1:11" ht="15" customHeight="1" x14ac:dyDescent="0.25">
      <c r="D13" s="19" t="s">
        <v>112</v>
      </c>
      <c r="E13" s="19"/>
      <c r="F13" s="20" t="s">
        <v>132</v>
      </c>
      <c r="G13" s="20"/>
      <c r="H13" s="20"/>
    </row>
    <row r="15" spans="1:11" ht="39.75" customHeight="1" x14ac:dyDescent="0.25">
      <c r="A15" s="5" t="s">
        <v>113</v>
      </c>
      <c r="B15" s="5" t="s">
        <v>114</v>
      </c>
      <c r="C15" s="5" t="s">
        <v>115</v>
      </c>
      <c r="D15" s="5" t="s">
        <v>116</v>
      </c>
      <c r="E15" s="5" t="s">
        <v>117</v>
      </c>
      <c r="F15" s="5" t="s">
        <v>118</v>
      </c>
      <c r="G15" s="5" t="s">
        <v>119</v>
      </c>
      <c r="H15" s="5" t="s">
        <v>120</v>
      </c>
      <c r="I15" s="3" t="s">
        <v>121</v>
      </c>
      <c r="J15" s="3" t="s">
        <v>122</v>
      </c>
      <c r="K15" s="3" t="s">
        <v>123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124</v>
      </c>
      <c r="F16" s="10">
        <v>759856</v>
      </c>
      <c r="G16" s="10">
        <f t="shared" ref="G16:G47" si="0">IF(F16="","",D16*F16)</f>
        <v>759856</v>
      </c>
      <c r="H16" s="6">
        <v>35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47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124</v>
      </c>
      <c r="F17" s="10">
        <v>596730</v>
      </c>
      <c r="G17" s="10">
        <f t="shared" si="0"/>
        <v>596730</v>
      </c>
      <c r="H17" s="6">
        <v>35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124</v>
      </c>
      <c r="F18" s="10">
        <v>833927</v>
      </c>
      <c r="G18" s="10">
        <f t="shared" si="0"/>
        <v>833927</v>
      </c>
      <c r="H18" s="6">
        <v>35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124</v>
      </c>
      <c r="F19" s="10">
        <v>464111</v>
      </c>
      <c r="G19" s="10">
        <f t="shared" si="0"/>
        <v>464111</v>
      </c>
      <c r="H19" s="6">
        <v>35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131</v>
      </c>
      <c r="D20" s="9">
        <v>1</v>
      </c>
      <c r="E20" s="6" t="s">
        <v>124</v>
      </c>
      <c r="F20" s="10">
        <v>448271</v>
      </c>
      <c r="G20" s="10">
        <f t="shared" si="0"/>
        <v>448271</v>
      </c>
      <c r="H20" s="6">
        <v>35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5</v>
      </c>
      <c r="D21" s="9">
        <v>1</v>
      </c>
      <c r="E21" s="6" t="s">
        <v>124</v>
      </c>
      <c r="F21" s="10">
        <v>371559</v>
      </c>
      <c r="G21" s="10">
        <f t="shared" si="0"/>
        <v>371559</v>
      </c>
      <c r="H21" s="6">
        <v>35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6</v>
      </c>
      <c r="D22" s="9">
        <v>1</v>
      </c>
      <c r="E22" s="6" t="s">
        <v>124</v>
      </c>
      <c r="F22" s="10">
        <v>788086</v>
      </c>
      <c r="G22" s="10">
        <f t="shared" si="0"/>
        <v>788086</v>
      </c>
      <c r="H22" s="6">
        <v>35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7</v>
      </c>
      <c r="D23" s="9">
        <v>1</v>
      </c>
      <c r="E23" s="6" t="s">
        <v>124</v>
      </c>
      <c r="F23" s="10">
        <v>403817</v>
      </c>
      <c r="G23" s="10">
        <f t="shared" si="0"/>
        <v>403817</v>
      </c>
      <c r="H23" s="6">
        <v>35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8</v>
      </c>
      <c r="D24" s="9">
        <v>1</v>
      </c>
      <c r="E24" s="6" t="s">
        <v>124</v>
      </c>
      <c r="F24" s="10">
        <v>450877</v>
      </c>
      <c r="G24" s="10">
        <f t="shared" si="0"/>
        <v>450877</v>
      </c>
      <c r="H24" s="6">
        <v>35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42" customHeight="1" x14ac:dyDescent="0.25">
      <c r="A25" s="6">
        <v>10</v>
      </c>
      <c r="B25" s="7"/>
      <c r="C25" s="8" t="s">
        <v>9</v>
      </c>
      <c r="D25" s="9">
        <v>1</v>
      </c>
      <c r="E25" s="6" t="s">
        <v>124</v>
      </c>
      <c r="F25" s="10">
        <v>100265</v>
      </c>
      <c r="G25" s="10">
        <f t="shared" si="0"/>
        <v>100265</v>
      </c>
      <c r="H25" s="6">
        <v>35</v>
      </c>
      <c r="I25" s="3" t="e">
        <f>TRIM(#REF!&amp;" "&amp;#REF!)</f>
        <v>#REF!</v>
      </c>
      <c r="J25" s="11" t="e">
        <f>IF(KAR_ORANI="","",ROUND(#REF!*(1+KAR_ORANI)*(1-ISKONTO),0))</f>
        <v>#REF!</v>
      </c>
      <c r="K25" s="11" t="e">
        <f t="shared" si="1"/>
        <v>#REF!</v>
      </c>
    </row>
    <row r="26" spans="1:11" ht="42" customHeight="1" x14ac:dyDescent="0.25">
      <c r="A26" s="6">
        <v>11</v>
      </c>
      <c r="B26" s="7"/>
      <c r="C26" s="8" t="s">
        <v>10</v>
      </c>
      <c r="D26" s="9">
        <v>1</v>
      </c>
      <c r="E26" s="6" t="s">
        <v>124</v>
      </c>
      <c r="F26" s="10">
        <v>42822</v>
      </c>
      <c r="G26" s="10">
        <f t="shared" si="0"/>
        <v>42822</v>
      </c>
      <c r="H26" s="6">
        <v>35</v>
      </c>
      <c r="I26" s="3" t="e">
        <f>TRIM(#REF!&amp;" "&amp;#REF!)</f>
        <v>#REF!</v>
      </c>
      <c r="J26" s="11" t="e">
        <f>IF(KAR_ORANI="","",ROUND(#REF!*(1+KAR_ORANI)*(1-ISKONTO),0))</f>
        <v>#REF!</v>
      </c>
      <c r="K26" s="11" t="e">
        <f t="shared" si="1"/>
        <v>#REF!</v>
      </c>
    </row>
    <row r="27" spans="1:11" ht="42" customHeight="1" x14ac:dyDescent="0.25">
      <c r="A27" s="6">
        <v>12</v>
      </c>
      <c r="B27" s="7"/>
      <c r="C27" s="8" t="s">
        <v>11</v>
      </c>
      <c r="D27" s="9">
        <v>1</v>
      </c>
      <c r="E27" s="6" t="s">
        <v>124</v>
      </c>
      <c r="F27" s="10">
        <v>31858</v>
      </c>
      <c r="G27" s="10">
        <f t="shared" si="0"/>
        <v>31858</v>
      </c>
      <c r="H27" s="6">
        <v>35</v>
      </c>
      <c r="I27" s="3" t="e">
        <f>TRIM(#REF!&amp;" "&amp;#REF!)</f>
        <v>#REF!</v>
      </c>
      <c r="J27" s="11" t="e">
        <f>IF(KAR_ORANI="","",ROUND(#REF!*(1+KAR_ORANI)*(1-ISKONTO),0))</f>
        <v>#REF!</v>
      </c>
      <c r="K27" s="11" t="e">
        <f t="shared" si="1"/>
        <v>#REF!</v>
      </c>
    </row>
    <row r="28" spans="1:11" ht="42" customHeight="1" x14ac:dyDescent="0.25">
      <c r="A28" s="6">
        <v>13</v>
      </c>
      <c r="B28" s="7"/>
      <c r="C28" s="8" t="s">
        <v>12</v>
      </c>
      <c r="D28" s="9">
        <v>1</v>
      </c>
      <c r="E28" s="6" t="s">
        <v>124</v>
      </c>
      <c r="F28" s="10">
        <v>41119</v>
      </c>
      <c r="G28" s="10">
        <f t="shared" si="0"/>
        <v>41119</v>
      </c>
      <c r="H28" s="6">
        <v>35</v>
      </c>
      <c r="I28" s="3" t="e">
        <f>TRIM(#REF!&amp;" "&amp;#REF!)</f>
        <v>#REF!</v>
      </c>
      <c r="J28" s="11" t="e">
        <f>IF(KAR_ORANI="","",ROUND(#REF!*(1+KAR_ORANI)*(1-ISKONTO),0))</f>
        <v>#REF!</v>
      </c>
      <c r="K28" s="11" t="e">
        <f t="shared" si="1"/>
        <v>#REF!</v>
      </c>
    </row>
    <row r="29" spans="1:11" ht="42" customHeight="1" x14ac:dyDescent="0.25">
      <c r="A29" s="6">
        <v>14</v>
      </c>
      <c r="B29" s="7"/>
      <c r="C29" s="8" t="s">
        <v>13</v>
      </c>
      <c r="D29" s="9">
        <v>1</v>
      </c>
      <c r="E29" s="6" t="s">
        <v>124</v>
      </c>
      <c r="F29" s="10">
        <v>47666</v>
      </c>
      <c r="G29" s="10">
        <f t="shared" si="0"/>
        <v>47666</v>
      </c>
      <c r="H29" s="6">
        <v>35</v>
      </c>
      <c r="I29" s="3" t="e">
        <f>TRIM(#REF!&amp;" "&amp;#REF!)</f>
        <v>#REF!</v>
      </c>
      <c r="J29" s="11" t="e">
        <f>IF(KAR_ORANI="","",ROUND(#REF!*(1+KAR_ORANI)*(1-ISKONTO),0))</f>
        <v>#REF!</v>
      </c>
      <c r="K29" s="11" t="e">
        <f t="shared" si="1"/>
        <v>#REF!</v>
      </c>
    </row>
    <row r="30" spans="1:11" ht="42" customHeight="1" x14ac:dyDescent="0.25">
      <c r="A30" s="6">
        <v>15</v>
      </c>
      <c r="B30" s="7"/>
      <c r="C30" s="8" t="s">
        <v>14</v>
      </c>
      <c r="D30" s="9">
        <v>1</v>
      </c>
      <c r="E30" s="6" t="s">
        <v>124</v>
      </c>
      <c r="F30" s="10">
        <v>109944</v>
      </c>
      <c r="G30" s="10">
        <f t="shared" si="0"/>
        <v>109944</v>
      </c>
      <c r="H30" s="6">
        <v>35</v>
      </c>
      <c r="I30" s="3" t="e">
        <f>TRIM(#REF!&amp;" "&amp;#REF!)</f>
        <v>#REF!</v>
      </c>
      <c r="J30" s="11" t="e">
        <f>IF(KAR_ORANI="","",ROUND(#REF!*(1+KAR_ORANI)*(1-ISKONTO),0))</f>
        <v>#REF!</v>
      </c>
      <c r="K30" s="11" t="e">
        <f t="shared" si="1"/>
        <v>#REF!</v>
      </c>
    </row>
    <row r="31" spans="1:11" ht="42" customHeight="1" x14ac:dyDescent="0.25">
      <c r="A31" s="6">
        <v>16</v>
      </c>
      <c r="B31" s="7"/>
      <c r="C31" s="8" t="s">
        <v>15</v>
      </c>
      <c r="D31" s="9">
        <v>1</v>
      </c>
      <c r="E31" s="6" t="s">
        <v>124</v>
      </c>
      <c r="F31" s="10">
        <v>46803</v>
      </c>
      <c r="G31" s="10">
        <f t="shared" si="0"/>
        <v>46803</v>
      </c>
      <c r="H31" s="6">
        <v>35</v>
      </c>
      <c r="I31" s="3" t="e">
        <f>TRIM(#REF!&amp;" "&amp;#REF!)</f>
        <v>#REF!</v>
      </c>
      <c r="J31" s="11" t="e">
        <f>IF(KAR_ORANI="","",ROUND(#REF!*(1+KAR_ORANI)*(1-ISKONTO),0))</f>
        <v>#REF!</v>
      </c>
      <c r="K31" s="11" t="e">
        <f t="shared" si="1"/>
        <v>#REF!</v>
      </c>
    </row>
    <row r="32" spans="1:11" ht="42" customHeight="1" x14ac:dyDescent="0.25">
      <c r="A32" s="6">
        <v>17</v>
      </c>
      <c r="B32" s="7"/>
      <c r="C32" s="8" t="s">
        <v>16</v>
      </c>
      <c r="D32" s="9">
        <v>8</v>
      </c>
      <c r="E32" s="6" t="s">
        <v>124</v>
      </c>
      <c r="F32" s="10">
        <v>511063</v>
      </c>
      <c r="G32" s="10">
        <f t="shared" si="0"/>
        <v>4088504</v>
      </c>
      <c r="H32" s="6">
        <v>35</v>
      </c>
      <c r="I32" s="3" t="e">
        <f>TRIM(#REF!&amp;" "&amp;#REF!)</f>
        <v>#REF!</v>
      </c>
      <c r="J32" s="11" t="e">
        <f>IF(KAR_ORANI="","",ROUND(#REF!*(1+KAR_ORANI)*(1-ISKONTO),0))</f>
        <v>#REF!</v>
      </c>
      <c r="K32" s="11" t="e">
        <f t="shared" si="1"/>
        <v>#REF!</v>
      </c>
    </row>
    <row r="33" spans="1:11" ht="42" customHeight="1" x14ac:dyDescent="0.25">
      <c r="A33" s="6">
        <v>18</v>
      </c>
      <c r="B33" s="7"/>
      <c r="C33" s="8" t="s">
        <v>17</v>
      </c>
      <c r="D33" s="9">
        <v>8</v>
      </c>
      <c r="E33" s="6" t="s">
        <v>124</v>
      </c>
      <c r="F33" s="10">
        <v>595243</v>
      </c>
      <c r="G33" s="10">
        <f t="shared" si="0"/>
        <v>4761944</v>
      </c>
      <c r="H33" s="6">
        <v>35</v>
      </c>
      <c r="I33" s="3" t="e">
        <f>TRIM(#REF!&amp;" "&amp;#REF!)</f>
        <v>#REF!</v>
      </c>
      <c r="J33" s="11" t="e">
        <f>IF(KAR_ORANI="","",ROUND(#REF!*(1+KAR_ORANI)*(1-ISKONTO),0))</f>
        <v>#REF!</v>
      </c>
      <c r="K33" s="11" t="e">
        <f t="shared" si="1"/>
        <v>#REF!</v>
      </c>
    </row>
    <row r="34" spans="1:11" ht="42" customHeight="1" x14ac:dyDescent="0.25">
      <c r="A34" s="6">
        <v>19</v>
      </c>
      <c r="B34" s="7"/>
      <c r="C34" s="8" t="s">
        <v>18</v>
      </c>
      <c r="D34" s="9">
        <v>8</v>
      </c>
      <c r="E34" s="6" t="s">
        <v>124</v>
      </c>
      <c r="F34" s="10">
        <v>430553</v>
      </c>
      <c r="G34" s="10">
        <f t="shared" si="0"/>
        <v>3444424</v>
      </c>
      <c r="H34" s="6">
        <v>35</v>
      </c>
      <c r="I34" s="3" t="e">
        <f>TRIM(#REF!&amp;" "&amp;#REF!)</f>
        <v>#REF!</v>
      </c>
      <c r="J34" s="11" t="e">
        <f>IF(KAR_ORANI="","",ROUND(#REF!*(1+KAR_ORANI)*(1-ISKONTO),0))</f>
        <v>#REF!</v>
      </c>
      <c r="K34" s="11" t="e">
        <f t="shared" si="1"/>
        <v>#REF!</v>
      </c>
    </row>
    <row r="35" spans="1:11" ht="42" customHeight="1" x14ac:dyDescent="0.25">
      <c r="A35" s="6">
        <v>20</v>
      </c>
      <c r="B35" s="7"/>
      <c r="C35" s="8" t="s">
        <v>19</v>
      </c>
      <c r="D35" s="9">
        <v>8</v>
      </c>
      <c r="E35" s="6" t="s">
        <v>124</v>
      </c>
      <c r="F35" s="10">
        <v>511063</v>
      </c>
      <c r="G35" s="10">
        <f t="shared" si="0"/>
        <v>4088504</v>
      </c>
      <c r="H35" s="6">
        <v>35</v>
      </c>
      <c r="I35" s="3" t="e">
        <f>TRIM(#REF!&amp;" "&amp;#REF!)</f>
        <v>#REF!</v>
      </c>
      <c r="J35" s="11" t="e">
        <f>IF(KAR_ORANI="","",ROUND(#REF!*(1+KAR_ORANI)*(1-ISKONTO),0))</f>
        <v>#REF!</v>
      </c>
      <c r="K35" s="11" t="e">
        <f t="shared" si="1"/>
        <v>#REF!</v>
      </c>
    </row>
    <row r="36" spans="1:11" ht="42" customHeight="1" x14ac:dyDescent="0.25">
      <c r="A36" s="6">
        <v>21</v>
      </c>
      <c r="B36" s="7"/>
      <c r="C36" s="8" t="s">
        <v>20</v>
      </c>
      <c r="D36" s="9">
        <v>1</v>
      </c>
      <c r="E36" s="6" t="s">
        <v>124</v>
      </c>
      <c r="F36" s="10">
        <v>430553</v>
      </c>
      <c r="G36" s="10">
        <f t="shared" si="0"/>
        <v>430553</v>
      </c>
      <c r="H36" s="6">
        <v>35</v>
      </c>
      <c r="I36" s="3" t="e">
        <f>TRIM(#REF!&amp;" "&amp;#REF!)</f>
        <v>#REF!</v>
      </c>
      <c r="J36" s="11" t="e">
        <f>IF(KAR_ORANI="","",ROUND(#REF!*(1+KAR_ORANI)*(1-ISKONTO),0))</f>
        <v>#REF!</v>
      </c>
      <c r="K36" s="11" t="e">
        <f t="shared" si="1"/>
        <v>#REF!</v>
      </c>
    </row>
    <row r="37" spans="1:11" ht="42" customHeight="1" x14ac:dyDescent="0.25">
      <c r="A37" s="6">
        <v>22</v>
      </c>
      <c r="B37" s="7"/>
      <c r="C37" s="8" t="s">
        <v>21</v>
      </c>
      <c r="D37" s="9">
        <v>8</v>
      </c>
      <c r="E37" s="6" t="s">
        <v>124</v>
      </c>
      <c r="F37" s="10">
        <v>430553</v>
      </c>
      <c r="G37" s="10">
        <f t="shared" si="0"/>
        <v>3444424</v>
      </c>
      <c r="H37" s="6">
        <v>35</v>
      </c>
      <c r="I37" s="3" t="e">
        <f>TRIM(#REF!&amp;" "&amp;#REF!)</f>
        <v>#REF!</v>
      </c>
      <c r="J37" s="11" t="e">
        <f>IF(KAR_ORANI="","",ROUND(#REF!*(1+KAR_ORANI)*(1-ISKONTO),0))</f>
        <v>#REF!</v>
      </c>
      <c r="K37" s="11" t="e">
        <f t="shared" si="1"/>
        <v>#REF!</v>
      </c>
    </row>
    <row r="38" spans="1:11" ht="42" customHeight="1" x14ac:dyDescent="0.25">
      <c r="A38" s="6">
        <v>23</v>
      </c>
      <c r="B38" s="7"/>
      <c r="C38" s="8" t="s">
        <v>22</v>
      </c>
      <c r="D38" s="9">
        <v>1</v>
      </c>
      <c r="E38" s="6" t="s">
        <v>124</v>
      </c>
      <c r="F38" s="10">
        <v>44346</v>
      </c>
      <c r="G38" s="10">
        <f t="shared" si="0"/>
        <v>44346</v>
      </c>
      <c r="H38" s="6">
        <v>35</v>
      </c>
      <c r="I38" s="3" t="e">
        <f>TRIM(#REF!&amp;" "&amp;#REF!)</f>
        <v>#REF!</v>
      </c>
      <c r="J38" s="11" t="e">
        <f>IF(KAR_ORANI="","",ROUND(#REF!*(1+KAR_ORANI)*(1-ISKONTO),0))</f>
        <v>#REF!</v>
      </c>
      <c r="K38" s="11" t="e">
        <f t="shared" si="1"/>
        <v>#REF!</v>
      </c>
    </row>
    <row r="39" spans="1:11" ht="42" customHeight="1" x14ac:dyDescent="0.25">
      <c r="A39" s="6">
        <v>24</v>
      </c>
      <c r="B39" s="7"/>
      <c r="C39" s="8" t="s">
        <v>23</v>
      </c>
      <c r="D39" s="9">
        <v>1</v>
      </c>
      <c r="E39" s="6" t="s">
        <v>124</v>
      </c>
      <c r="F39" s="10">
        <v>42525</v>
      </c>
      <c r="G39" s="10">
        <f t="shared" si="0"/>
        <v>42525</v>
      </c>
      <c r="H39" s="6">
        <v>35</v>
      </c>
      <c r="I39" s="3" t="e">
        <f>TRIM(#REF!&amp;" "&amp;#REF!)</f>
        <v>#REF!</v>
      </c>
      <c r="J39" s="11" t="e">
        <f>IF(KAR_ORANI="","",ROUND(#REF!*(1+KAR_ORANI)*(1-ISKONTO),0))</f>
        <v>#REF!</v>
      </c>
      <c r="K39" s="11" t="e">
        <f t="shared" si="1"/>
        <v>#REF!</v>
      </c>
    </row>
    <row r="40" spans="1:11" ht="42" customHeight="1" x14ac:dyDescent="0.25">
      <c r="A40" s="6">
        <v>25</v>
      </c>
      <c r="B40" s="7"/>
      <c r="C40" s="8" t="s">
        <v>24</v>
      </c>
      <c r="D40" s="9">
        <v>1</v>
      </c>
      <c r="E40" s="6" t="s">
        <v>124</v>
      </c>
      <c r="F40" s="10">
        <v>41119</v>
      </c>
      <c r="G40" s="10">
        <f t="shared" si="0"/>
        <v>41119</v>
      </c>
      <c r="H40" s="6">
        <v>35</v>
      </c>
      <c r="I40" s="3" t="e">
        <f>TRIM(#REF!&amp;" "&amp;#REF!)</f>
        <v>#REF!</v>
      </c>
      <c r="J40" s="11" t="e">
        <f>IF(KAR_ORANI="","",ROUND(#REF!*(1+KAR_ORANI)*(1-ISKONTO),0))</f>
        <v>#REF!</v>
      </c>
      <c r="K40" s="11" t="e">
        <f t="shared" si="1"/>
        <v>#REF!</v>
      </c>
    </row>
    <row r="41" spans="1:11" ht="42" customHeight="1" x14ac:dyDescent="0.25">
      <c r="A41" s="6">
        <v>26</v>
      </c>
      <c r="B41" s="7"/>
      <c r="C41" s="8" t="s">
        <v>25</v>
      </c>
      <c r="D41" s="9">
        <v>1</v>
      </c>
      <c r="E41" s="6" t="s">
        <v>124</v>
      </c>
      <c r="F41" s="10">
        <v>55602</v>
      </c>
      <c r="G41" s="10">
        <f t="shared" si="0"/>
        <v>55602</v>
      </c>
      <c r="H41" s="6">
        <v>35</v>
      </c>
      <c r="I41" s="3" t="e">
        <f>TRIM(#REF!&amp;" "&amp;#REF!)</f>
        <v>#REF!</v>
      </c>
      <c r="J41" s="11" t="e">
        <f>IF(KAR_ORANI="","",ROUND(#REF!*(1+KAR_ORANI)*(1-ISKONTO),0))</f>
        <v>#REF!</v>
      </c>
      <c r="K41" s="11" t="e">
        <f t="shared" si="1"/>
        <v>#REF!</v>
      </c>
    </row>
    <row r="42" spans="1:11" ht="42" customHeight="1" x14ac:dyDescent="0.25">
      <c r="A42" s="6">
        <v>27</v>
      </c>
      <c r="B42" s="7"/>
      <c r="C42" s="8" t="s">
        <v>26</v>
      </c>
      <c r="D42" s="9">
        <v>1</v>
      </c>
      <c r="E42" s="6" t="s">
        <v>124</v>
      </c>
      <c r="F42" s="10">
        <v>40453</v>
      </c>
      <c r="G42" s="10">
        <f t="shared" si="0"/>
        <v>40453</v>
      </c>
      <c r="H42" s="6">
        <v>35</v>
      </c>
      <c r="I42" s="3" t="e">
        <f>TRIM(#REF!&amp;" "&amp;#REF!)</f>
        <v>#REF!</v>
      </c>
      <c r="J42" s="11" t="e">
        <f>IF(KAR_ORANI="","",ROUND(#REF!*(1+KAR_ORANI)*(1-ISKONTO),0))</f>
        <v>#REF!</v>
      </c>
      <c r="K42" s="11" t="e">
        <f t="shared" si="1"/>
        <v>#REF!</v>
      </c>
    </row>
    <row r="43" spans="1:11" ht="42" customHeight="1" x14ac:dyDescent="0.25">
      <c r="A43" s="6">
        <v>28</v>
      </c>
      <c r="B43" s="7"/>
      <c r="C43" s="8" t="s">
        <v>27</v>
      </c>
      <c r="D43" s="9">
        <v>1</v>
      </c>
      <c r="E43" s="6" t="s">
        <v>124</v>
      </c>
      <c r="F43" s="10">
        <v>39183</v>
      </c>
      <c r="G43" s="10">
        <f t="shared" si="0"/>
        <v>39183</v>
      </c>
      <c r="H43" s="6">
        <v>35</v>
      </c>
      <c r="I43" s="3" t="e">
        <f>TRIM(#REF!&amp;" "&amp;#REF!)</f>
        <v>#REF!</v>
      </c>
      <c r="J43" s="11" t="e">
        <f>IF(KAR_ORANI="","",ROUND(#REF!*(1+KAR_ORANI)*(1-ISKONTO),0))</f>
        <v>#REF!</v>
      </c>
      <c r="K43" s="11" t="e">
        <f t="shared" si="1"/>
        <v>#REF!</v>
      </c>
    </row>
    <row r="44" spans="1:11" ht="42" customHeight="1" x14ac:dyDescent="0.25">
      <c r="A44" s="6">
        <v>29</v>
      </c>
      <c r="B44" s="7"/>
      <c r="C44" s="8" t="s">
        <v>28</v>
      </c>
      <c r="D44" s="9">
        <v>1</v>
      </c>
      <c r="E44" s="6" t="s">
        <v>124</v>
      </c>
      <c r="F44" s="10">
        <v>41119</v>
      </c>
      <c r="G44" s="10">
        <f t="shared" si="0"/>
        <v>41119</v>
      </c>
      <c r="H44" s="6">
        <v>35</v>
      </c>
      <c r="I44" s="3" t="e">
        <f>TRIM(#REF!&amp;" "&amp;#REF!)</f>
        <v>#REF!</v>
      </c>
      <c r="J44" s="11" t="e">
        <f>IF(KAR_ORANI="","",ROUND(#REF!*(1+KAR_ORANI)*(1-ISKONTO),0))</f>
        <v>#REF!</v>
      </c>
      <c r="K44" s="11" t="e">
        <f t="shared" si="1"/>
        <v>#REF!</v>
      </c>
    </row>
    <row r="45" spans="1:11" ht="42" customHeight="1" x14ac:dyDescent="0.25">
      <c r="A45" s="6">
        <v>30</v>
      </c>
      <c r="B45" s="7"/>
      <c r="C45" s="8" t="s">
        <v>29</v>
      </c>
      <c r="D45" s="9">
        <v>1</v>
      </c>
      <c r="E45" s="6" t="s">
        <v>124</v>
      </c>
      <c r="F45" s="10">
        <v>76650</v>
      </c>
      <c r="G45" s="10">
        <f t="shared" si="0"/>
        <v>76650</v>
      </c>
      <c r="H45" s="6">
        <v>35</v>
      </c>
      <c r="I45" s="3" t="e">
        <f>TRIM(#REF!&amp;" "&amp;#REF!)</f>
        <v>#REF!</v>
      </c>
      <c r="J45" s="11" t="e">
        <f>IF(KAR_ORANI="","",ROUND(#REF!*(1+KAR_ORANI)*(1-ISKONTO),0))</f>
        <v>#REF!</v>
      </c>
      <c r="K45" s="11" t="e">
        <f t="shared" si="1"/>
        <v>#REF!</v>
      </c>
    </row>
    <row r="46" spans="1:11" ht="42" customHeight="1" x14ac:dyDescent="0.25">
      <c r="A46" s="6">
        <v>31</v>
      </c>
      <c r="B46" s="7"/>
      <c r="C46" s="8" t="s">
        <v>30</v>
      </c>
      <c r="D46" s="9">
        <v>1</v>
      </c>
      <c r="E46" s="6" t="s">
        <v>124</v>
      </c>
      <c r="F46" s="10">
        <v>648175</v>
      </c>
      <c r="G46" s="10">
        <f t="shared" si="0"/>
        <v>648175</v>
      </c>
      <c r="H46" s="6">
        <v>35</v>
      </c>
      <c r="I46" s="3" t="e">
        <f>TRIM(#REF!&amp;" "&amp;#REF!)</f>
        <v>#REF!</v>
      </c>
      <c r="J46" s="11" t="e">
        <f>IF(KAR_ORANI="","",ROUND(#REF!*(1+KAR_ORANI)*(1-ISKONTO),0))</f>
        <v>#REF!</v>
      </c>
      <c r="K46" s="11" t="e">
        <f t="shared" si="1"/>
        <v>#REF!</v>
      </c>
    </row>
    <row r="47" spans="1:11" ht="42" customHeight="1" x14ac:dyDescent="0.25">
      <c r="A47" s="6">
        <v>32</v>
      </c>
      <c r="B47" s="7"/>
      <c r="C47" s="8" t="s">
        <v>31</v>
      </c>
      <c r="D47" s="9">
        <v>1</v>
      </c>
      <c r="E47" s="6" t="s">
        <v>124</v>
      </c>
      <c r="F47" s="10">
        <v>754993</v>
      </c>
      <c r="G47" s="10">
        <f t="shared" si="0"/>
        <v>754993</v>
      </c>
      <c r="H47" s="6">
        <v>35</v>
      </c>
      <c r="I47" s="3" t="e">
        <f>TRIM(#REF!&amp;" "&amp;#REF!)</f>
        <v>#REF!</v>
      </c>
      <c r="J47" s="11" t="e">
        <f>IF(KAR_ORANI="","",ROUND(#REF!*(1+KAR_ORANI)*(1-ISKONTO),0))</f>
        <v>#REF!</v>
      </c>
      <c r="K47" s="11" t="e">
        <f t="shared" si="1"/>
        <v>#REF!</v>
      </c>
    </row>
    <row r="48" spans="1:11" ht="42" customHeight="1" x14ac:dyDescent="0.25">
      <c r="A48" s="6">
        <v>33</v>
      </c>
      <c r="B48" s="7"/>
      <c r="C48" s="8" t="s">
        <v>32</v>
      </c>
      <c r="D48" s="9">
        <v>1</v>
      </c>
      <c r="E48" s="6" t="s">
        <v>124</v>
      </c>
      <c r="F48" s="10">
        <v>593579</v>
      </c>
      <c r="G48" s="10">
        <f t="shared" ref="G48:G79" si="2">IF(F48="","",D48*F48)</f>
        <v>593579</v>
      </c>
      <c r="H48" s="6">
        <v>35</v>
      </c>
      <c r="I48" s="3" t="e">
        <f>TRIM(#REF!&amp;" "&amp;#REF!)</f>
        <v>#REF!</v>
      </c>
      <c r="J48" s="11" t="e">
        <f>IF(KAR_ORANI="","",ROUND(#REF!*(1+KAR_ORANI)*(1-ISKONTO),0))</f>
        <v>#REF!</v>
      </c>
      <c r="K48" s="11" t="e">
        <f t="shared" ref="K48:K79" si="3">IF(J48="","",D48*J48)</f>
        <v>#REF!</v>
      </c>
    </row>
    <row r="49" spans="1:11" ht="42" customHeight="1" x14ac:dyDescent="0.25">
      <c r="A49" s="6">
        <v>34</v>
      </c>
      <c r="B49" s="7"/>
      <c r="C49" s="8" t="s">
        <v>33</v>
      </c>
      <c r="D49" s="9">
        <v>1</v>
      </c>
      <c r="E49" s="6" t="s">
        <v>124</v>
      </c>
      <c r="F49" s="10">
        <v>791664</v>
      </c>
      <c r="G49" s="10">
        <f t="shared" si="2"/>
        <v>791664</v>
      </c>
      <c r="H49" s="6">
        <v>35</v>
      </c>
      <c r="I49" s="3" t="e">
        <f>TRIM(#REF!&amp;" "&amp;#REF!)</f>
        <v>#REF!</v>
      </c>
      <c r="J49" s="11" t="e">
        <f>IF(KAR_ORANI="","",ROUND(#REF!*(1+KAR_ORANI)*(1-ISKONTO),0))</f>
        <v>#REF!</v>
      </c>
      <c r="K49" s="11" t="e">
        <f t="shared" si="3"/>
        <v>#REF!</v>
      </c>
    </row>
    <row r="50" spans="1:11" ht="42" customHeight="1" x14ac:dyDescent="0.25">
      <c r="A50" s="6">
        <v>35</v>
      </c>
      <c r="B50" s="7"/>
      <c r="C50" s="8" t="s">
        <v>34</v>
      </c>
      <c r="D50" s="9">
        <v>0</v>
      </c>
      <c r="E50" s="6" t="s">
        <v>124</v>
      </c>
      <c r="F50" s="10">
        <v>744836</v>
      </c>
      <c r="G50" s="10">
        <f t="shared" si="2"/>
        <v>0</v>
      </c>
      <c r="H50" s="6">
        <v>35</v>
      </c>
      <c r="I50" s="3" t="e">
        <f>TRIM(#REF!&amp;" "&amp;#REF!)</f>
        <v>#REF!</v>
      </c>
      <c r="J50" s="11" t="e">
        <f>IF(KAR_ORANI="","",ROUND(#REF!*(1+KAR_ORANI)*(1-ISKONTO),0))</f>
        <v>#REF!</v>
      </c>
      <c r="K50" s="11" t="e">
        <f t="shared" si="3"/>
        <v>#REF!</v>
      </c>
    </row>
    <row r="51" spans="1:11" ht="42" customHeight="1" x14ac:dyDescent="0.25">
      <c r="A51" s="6">
        <v>36</v>
      </c>
      <c r="B51" s="7"/>
      <c r="C51" s="8" t="s">
        <v>35</v>
      </c>
      <c r="D51" s="9">
        <v>1</v>
      </c>
      <c r="E51" s="6" t="s">
        <v>124</v>
      </c>
      <c r="F51" s="10">
        <v>450877</v>
      </c>
      <c r="G51" s="10">
        <f t="shared" si="2"/>
        <v>450877</v>
      </c>
      <c r="H51" s="6">
        <v>35</v>
      </c>
      <c r="I51" s="3" t="e">
        <f>TRIM(#REF!&amp;" "&amp;#REF!)</f>
        <v>#REF!</v>
      </c>
      <c r="J51" s="11" t="e">
        <f>IF(KAR_ORANI="","",ROUND(#REF!*(1+KAR_ORANI)*(1-ISKONTO),0))</f>
        <v>#REF!</v>
      </c>
      <c r="K51" s="11" t="e">
        <f t="shared" si="3"/>
        <v>#REF!</v>
      </c>
    </row>
    <row r="52" spans="1:11" ht="42" customHeight="1" x14ac:dyDescent="0.25">
      <c r="A52" s="6">
        <v>37</v>
      </c>
      <c r="B52" s="7"/>
      <c r="C52" s="8" t="s">
        <v>36</v>
      </c>
      <c r="D52" s="9">
        <v>1</v>
      </c>
      <c r="E52" s="6" t="s">
        <v>124</v>
      </c>
      <c r="F52" s="10">
        <v>368575</v>
      </c>
      <c r="G52" s="10">
        <f t="shared" si="2"/>
        <v>368575</v>
      </c>
      <c r="H52" s="6">
        <v>35</v>
      </c>
      <c r="I52" s="3" t="e">
        <f>TRIM(#REF!&amp;" "&amp;#REF!)</f>
        <v>#REF!</v>
      </c>
      <c r="J52" s="11" t="e">
        <f>IF(KAR_ORANI="","",ROUND(#REF!*(1+KAR_ORANI)*(1-ISKONTO),0))</f>
        <v>#REF!</v>
      </c>
      <c r="K52" s="11" t="e">
        <f t="shared" si="3"/>
        <v>#REF!</v>
      </c>
    </row>
    <row r="53" spans="1:11" ht="42" customHeight="1" x14ac:dyDescent="0.25">
      <c r="A53" s="6">
        <v>38</v>
      </c>
      <c r="B53" s="7"/>
      <c r="C53" s="8" t="s">
        <v>37</v>
      </c>
      <c r="D53" s="9">
        <v>1</v>
      </c>
      <c r="E53" s="6" t="s">
        <v>124</v>
      </c>
      <c r="F53" s="10">
        <v>709526</v>
      </c>
      <c r="G53" s="10">
        <f t="shared" si="2"/>
        <v>709526</v>
      </c>
      <c r="H53" s="6">
        <v>35</v>
      </c>
      <c r="I53" s="3" t="e">
        <f>TRIM(#REF!&amp;" "&amp;#REF!)</f>
        <v>#REF!</v>
      </c>
      <c r="J53" s="11" t="e">
        <f>IF(KAR_ORANI="","",ROUND(#REF!*(1+KAR_ORANI)*(1-ISKONTO),0))</f>
        <v>#REF!</v>
      </c>
      <c r="K53" s="11" t="e">
        <f t="shared" si="3"/>
        <v>#REF!</v>
      </c>
    </row>
    <row r="54" spans="1:11" ht="42" customHeight="1" x14ac:dyDescent="0.25">
      <c r="A54" s="6">
        <v>39</v>
      </c>
      <c r="B54" s="7"/>
      <c r="C54" s="8" t="s">
        <v>38</v>
      </c>
      <c r="D54" s="9">
        <v>1</v>
      </c>
      <c r="E54" s="6" t="s">
        <v>124</v>
      </c>
      <c r="F54" s="10">
        <v>566182</v>
      </c>
      <c r="G54" s="10">
        <f t="shared" si="2"/>
        <v>566182</v>
      </c>
      <c r="H54" s="6">
        <v>35</v>
      </c>
      <c r="I54" s="3" t="e">
        <f>TRIM(#REF!&amp;" "&amp;#REF!)</f>
        <v>#REF!</v>
      </c>
      <c r="J54" s="11" t="e">
        <f>IF(KAR_ORANI="","",ROUND(#REF!*(1+KAR_ORANI)*(1-ISKONTO),0))</f>
        <v>#REF!</v>
      </c>
      <c r="K54" s="11" t="e">
        <f t="shared" si="3"/>
        <v>#REF!</v>
      </c>
    </row>
    <row r="55" spans="1:11" ht="42" customHeight="1" x14ac:dyDescent="0.25">
      <c r="A55" s="6">
        <v>40</v>
      </c>
      <c r="B55" s="7"/>
      <c r="C55" s="8" t="s">
        <v>39</v>
      </c>
      <c r="D55" s="9">
        <v>1</v>
      </c>
      <c r="E55" s="6" t="s">
        <v>124</v>
      </c>
      <c r="F55" s="10">
        <v>44346</v>
      </c>
      <c r="G55" s="10">
        <f t="shared" si="2"/>
        <v>44346</v>
      </c>
      <c r="H55" s="6">
        <v>35</v>
      </c>
      <c r="I55" s="3" t="e">
        <f>TRIM(#REF!&amp;" "&amp;#REF!)</f>
        <v>#REF!</v>
      </c>
      <c r="J55" s="11" t="e">
        <f>IF(KAR_ORANI="","",ROUND(#REF!*(1+KAR_ORANI)*(1-ISKONTO),0))</f>
        <v>#REF!</v>
      </c>
      <c r="K55" s="11" t="e">
        <f t="shared" si="3"/>
        <v>#REF!</v>
      </c>
    </row>
    <row r="56" spans="1:11" ht="42" customHeight="1" x14ac:dyDescent="0.25">
      <c r="A56" s="6">
        <v>41</v>
      </c>
      <c r="B56" s="7"/>
      <c r="C56" s="8" t="s">
        <v>40</v>
      </c>
      <c r="D56" s="9">
        <v>1</v>
      </c>
      <c r="E56" s="6" t="s">
        <v>124</v>
      </c>
      <c r="F56" s="10">
        <v>46196</v>
      </c>
      <c r="G56" s="10">
        <f t="shared" si="2"/>
        <v>46196</v>
      </c>
      <c r="H56" s="6">
        <v>35</v>
      </c>
      <c r="I56" s="3" t="e">
        <f>TRIM(#REF!&amp;" "&amp;#REF!)</f>
        <v>#REF!</v>
      </c>
      <c r="J56" s="11" t="e">
        <f>IF(KAR_ORANI="","",ROUND(#REF!*(1+KAR_ORANI)*(1-ISKONTO),0))</f>
        <v>#REF!</v>
      </c>
      <c r="K56" s="11" t="e">
        <f t="shared" si="3"/>
        <v>#REF!</v>
      </c>
    </row>
    <row r="57" spans="1:11" ht="42" customHeight="1" x14ac:dyDescent="0.25">
      <c r="A57" s="6">
        <v>42</v>
      </c>
      <c r="B57" s="7"/>
      <c r="C57" s="8" t="s">
        <v>41</v>
      </c>
      <c r="D57" s="9">
        <v>1</v>
      </c>
      <c r="E57" s="6" t="s">
        <v>124</v>
      </c>
      <c r="F57" s="10">
        <v>41119</v>
      </c>
      <c r="G57" s="10">
        <f t="shared" si="2"/>
        <v>41119</v>
      </c>
      <c r="H57" s="6">
        <v>35</v>
      </c>
      <c r="I57" s="3" t="e">
        <f>TRIM(#REF!&amp;" "&amp;#REF!)</f>
        <v>#REF!</v>
      </c>
      <c r="J57" s="11" t="e">
        <f>IF(KAR_ORANI="","",ROUND(#REF!*(1+KAR_ORANI)*(1-ISKONTO),0))</f>
        <v>#REF!</v>
      </c>
      <c r="K57" s="11" t="e">
        <f t="shared" si="3"/>
        <v>#REF!</v>
      </c>
    </row>
    <row r="58" spans="1:11" ht="42" customHeight="1" x14ac:dyDescent="0.25">
      <c r="A58" s="6">
        <v>43</v>
      </c>
      <c r="B58" s="7"/>
      <c r="C58" s="8" t="s">
        <v>42</v>
      </c>
      <c r="D58" s="9">
        <v>1</v>
      </c>
      <c r="E58" s="6" t="s">
        <v>124</v>
      </c>
      <c r="F58" s="10">
        <v>48922</v>
      </c>
      <c r="G58" s="10">
        <f t="shared" si="2"/>
        <v>48922</v>
      </c>
      <c r="H58" s="6">
        <v>35</v>
      </c>
      <c r="I58" s="3" t="e">
        <f>TRIM(#REF!&amp;" "&amp;#REF!)</f>
        <v>#REF!</v>
      </c>
      <c r="J58" s="11" t="e">
        <f>IF(KAR_ORANI="","",ROUND(#REF!*(1+KAR_ORANI)*(1-ISKONTO),0))</f>
        <v>#REF!</v>
      </c>
      <c r="K58" s="11" t="e">
        <f t="shared" si="3"/>
        <v>#REF!</v>
      </c>
    </row>
    <row r="59" spans="1:11" ht="42" customHeight="1" x14ac:dyDescent="0.25">
      <c r="A59" s="6">
        <v>44</v>
      </c>
      <c r="B59" s="7"/>
      <c r="C59" s="8" t="s">
        <v>43</v>
      </c>
      <c r="D59" s="9">
        <v>1</v>
      </c>
      <c r="E59" s="6" t="s">
        <v>124</v>
      </c>
      <c r="F59" s="10">
        <v>101888</v>
      </c>
      <c r="G59" s="10">
        <f t="shared" si="2"/>
        <v>101888</v>
      </c>
      <c r="H59" s="6">
        <v>35</v>
      </c>
      <c r="I59" s="3" t="e">
        <f>TRIM(#REF!&amp;" "&amp;#REF!)</f>
        <v>#REF!</v>
      </c>
      <c r="J59" s="11" t="e">
        <f>IF(KAR_ORANI="","",ROUND(#REF!*(1+KAR_ORANI)*(1-ISKONTO),0))</f>
        <v>#REF!</v>
      </c>
      <c r="K59" s="11" t="e">
        <f t="shared" si="3"/>
        <v>#REF!</v>
      </c>
    </row>
    <row r="60" spans="1:11" ht="42" customHeight="1" x14ac:dyDescent="0.25">
      <c r="A60" s="6">
        <v>45</v>
      </c>
      <c r="B60" s="7"/>
      <c r="C60" s="8" t="s">
        <v>44</v>
      </c>
      <c r="D60" s="9">
        <v>1</v>
      </c>
      <c r="E60" s="6" t="s">
        <v>124</v>
      </c>
      <c r="F60" s="10">
        <v>44346</v>
      </c>
      <c r="G60" s="10">
        <f t="shared" si="2"/>
        <v>44346</v>
      </c>
      <c r="H60" s="6">
        <v>35</v>
      </c>
      <c r="I60" s="3" t="e">
        <f>TRIM(#REF!&amp;" "&amp;#REF!)</f>
        <v>#REF!</v>
      </c>
      <c r="J60" s="11" t="e">
        <f>IF(KAR_ORANI="","",ROUND(#REF!*(1+KAR_ORANI)*(1-ISKONTO),0))</f>
        <v>#REF!</v>
      </c>
      <c r="K60" s="11" t="e">
        <f t="shared" si="3"/>
        <v>#REF!</v>
      </c>
    </row>
    <row r="61" spans="1:11" ht="42" customHeight="1" x14ac:dyDescent="0.25">
      <c r="A61" s="6">
        <v>46</v>
      </c>
      <c r="B61" s="7"/>
      <c r="C61" s="8" t="s">
        <v>45</v>
      </c>
      <c r="D61" s="9">
        <v>1</v>
      </c>
      <c r="E61" s="6" t="s">
        <v>124</v>
      </c>
      <c r="F61" s="10">
        <v>46196</v>
      </c>
      <c r="G61" s="10">
        <f t="shared" si="2"/>
        <v>46196</v>
      </c>
      <c r="H61" s="6">
        <v>35</v>
      </c>
      <c r="I61" s="3" t="e">
        <f>TRIM(#REF!&amp;" "&amp;#REF!)</f>
        <v>#REF!</v>
      </c>
      <c r="J61" s="11" t="e">
        <f>IF(KAR_ORANI="","",ROUND(#REF!*(1+KAR_ORANI)*(1-ISKONTO),0))</f>
        <v>#REF!</v>
      </c>
      <c r="K61" s="11" t="e">
        <f t="shared" si="3"/>
        <v>#REF!</v>
      </c>
    </row>
    <row r="62" spans="1:11" ht="42" customHeight="1" x14ac:dyDescent="0.25">
      <c r="A62" s="6">
        <v>47</v>
      </c>
      <c r="B62" s="7"/>
      <c r="C62" s="8" t="s">
        <v>46</v>
      </c>
      <c r="D62" s="9">
        <v>1</v>
      </c>
      <c r="E62" s="6" t="s">
        <v>124</v>
      </c>
      <c r="F62" s="10">
        <v>41119</v>
      </c>
      <c r="G62" s="10">
        <f t="shared" si="2"/>
        <v>41119</v>
      </c>
      <c r="H62" s="6">
        <v>35</v>
      </c>
      <c r="I62" s="3" t="e">
        <f>TRIM(#REF!&amp;" "&amp;#REF!)</f>
        <v>#REF!</v>
      </c>
      <c r="J62" s="11" t="e">
        <f>IF(KAR_ORANI="","",ROUND(#REF!*(1+KAR_ORANI)*(1-ISKONTO),0))</f>
        <v>#REF!</v>
      </c>
      <c r="K62" s="11" t="e">
        <f t="shared" si="3"/>
        <v>#REF!</v>
      </c>
    </row>
    <row r="63" spans="1:11" ht="42" customHeight="1" x14ac:dyDescent="0.25">
      <c r="A63" s="6">
        <v>48</v>
      </c>
      <c r="B63" s="7"/>
      <c r="C63" s="8" t="s">
        <v>47</v>
      </c>
      <c r="D63" s="9">
        <v>1</v>
      </c>
      <c r="E63" s="6" t="s">
        <v>124</v>
      </c>
      <c r="F63" s="10">
        <v>50881</v>
      </c>
      <c r="G63" s="10">
        <f t="shared" si="2"/>
        <v>50881</v>
      </c>
      <c r="H63" s="6">
        <v>35</v>
      </c>
      <c r="I63" s="3" t="e">
        <f>TRIM(#REF!&amp;" "&amp;#REF!)</f>
        <v>#REF!</v>
      </c>
      <c r="J63" s="11" t="e">
        <f>IF(KAR_ORANI="","",ROUND(#REF!*(1+KAR_ORANI)*(1-ISKONTO),0))</f>
        <v>#REF!</v>
      </c>
      <c r="K63" s="11" t="e">
        <f t="shared" si="3"/>
        <v>#REF!</v>
      </c>
    </row>
    <row r="64" spans="1:11" ht="42" customHeight="1" x14ac:dyDescent="0.25">
      <c r="A64" s="6">
        <v>49</v>
      </c>
      <c r="B64" s="7"/>
      <c r="C64" s="8" t="s">
        <v>48</v>
      </c>
      <c r="D64" s="9">
        <v>1</v>
      </c>
      <c r="E64" s="6" t="s">
        <v>124</v>
      </c>
      <c r="F64" s="10">
        <v>27219</v>
      </c>
      <c r="G64" s="10">
        <f t="shared" si="2"/>
        <v>27219</v>
      </c>
      <c r="H64" s="6">
        <v>35</v>
      </c>
      <c r="I64" s="3" t="e">
        <f>TRIM(#REF!&amp;" "&amp;#REF!)</f>
        <v>#REF!</v>
      </c>
      <c r="J64" s="11" t="e">
        <f>IF(KAR_ORANI="","",ROUND(#REF!*(1+KAR_ORANI)*(1-ISKONTO),0))</f>
        <v>#REF!</v>
      </c>
      <c r="K64" s="11" t="e">
        <f t="shared" si="3"/>
        <v>#REF!</v>
      </c>
    </row>
    <row r="65" spans="1:11" ht="42" customHeight="1" x14ac:dyDescent="0.25">
      <c r="A65" s="6">
        <v>50</v>
      </c>
      <c r="B65" s="7"/>
      <c r="C65" s="8" t="s">
        <v>49</v>
      </c>
      <c r="D65" s="9">
        <v>0</v>
      </c>
      <c r="E65" s="6" t="s">
        <v>124</v>
      </c>
      <c r="F65" s="10">
        <v>260039</v>
      </c>
      <c r="G65" s="10">
        <f t="shared" si="2"/>
        <v>0</v>
      </c>
      <c r="H65" s="6">
        <v>35</v>
      </c>
      <c r="I65" s="3" t="e">
        <f>TRIM(#REF!&amp;" "&amp;#REF!)</f>
        <v>#REF!</v>
      </c>
      <c r="J65" s="11" t="e">
        <f>IF(KAR_ORANI="","",ROUND(#REF!*(1+KAR_ORANI)*(1-ISKONTO),0))</f>
        <v>#REF!</v>
      </c>
      <c r="K65" s="11" t="e">
        <f t="shared" si="3"/>
        <v>#REF!</v>
      </c>
    </row>
    <row r="66" spans="1:11" ht="42" customHeight="1" x14ac:dyDescent="0.25">
      <c r="A66" s="6">
        <v>51</v>
      </c>
      <c r="B66" s="7"/>
      <c r="C66" s="8" t="s">
        <v>50</v>
      </c>
      <c r="D66" s="9">
        <v>0</v>
      </c>
      <c r="E66" s="6" t="s">
        <v>124</v>
      </c>
      <c r="F66" s="10">
        <v>48150</v>
      </c>
      <c r="G66" s="10">
        <f t="shared" si="2"/>
        <v>0</v>
      </c>
      <c r="H66" s="6">
        <v>35</v>
      </c>
      <c r="I66" s="3" t="e">
        <f>TRIM(#REF!&amp;" "&amp;#REF!)</f>
        <v>#REF!</v>
      </c>
      <c r="J66" s="11" t="e">
        <f>IF(KAR_ORANI="","",ROUND(#REF!*(1+KAR_ORANI)*(1-ISKONTO),0))</f>
        <v>#REF!</v>
      </c>
      <c r="K66" s="11" t="e">
        <f t="shared" si="3"/>
        <v>#REF!</v>
      </c>
    </row>
    <row r="67" spans="1:11" ht="42" customHeight="1" x14ac:dyDescent="0.25">
      <c r="A67" s="6">
        <v>52</v>
      </c>
      <c r="B67" s="7"/>
      <c r="C67" s="8" t="s">
        <v>51</v>
      </c>
      <c r="D67" s="9">
        <v>0</v>
      </c>
      <c r="E67" s="6" t="s">
        <v>124</v>
      </c>
      <c r="F67" s="10">
        <v>40326</v>
      </c>
      <c r="G67" s="10">
        <f t="shared" si="2"/>
        <v>0</v>
      </c>
      <c r="H67" s="6">
        <v>35</v>
      </c>
      <c r="I67" s="3" t="e">
        <f>TRIM(#REF!&amp;" "&amp;#REF!)</f>
        <v>#REF!</v>
      </c>
      <c r="J67" s="11" t="e">
        <f>IF(KAR_ORANI="","",ROUND(#REF!*(1+KAR_ORANI)*(1-ISKONTO),0))</f>
        <v>#REF!</v>
      </c>
      <c r="K67" s="11" t="e">
        <f t="shared" si="3"/>
        <v>#REF!</v>
      </c>
    </row>
    <row r="68" spans="1:11" ht="42" customHeight="1" x14ac:dyDescent="0.25">
      <c r="A68" s="6">
        <v>53</v>
      </c>
      <c r="B68" s="7"/>
      <c r="C68" s="8" t="s">
        <v>52</v>
      </c>
      <c r="D68" s="9">
        <v>1</v>
      </c>
      <c r="E68" s="6" t="s">
        <v>124</v>
      </c>
      <c r="F68" s="10">
        <v>765921</v>
      </c>
      <c r="G68" s="10">
        <f t="shared" si="2"/>
        <v>765921</v>
      </c>
      <c r="H68" s="6">
        <v>35</v>
      </c>
      <c r="I68" s="3" t="e">
        <f>TRIM(#REF!&amp;" "&amp;#REF!)</f>
        <v>#REF!</v>
      </c>
      <c r="J68" s="11" t="e">
        <f>IF(KAR_ORANI="","",ROUND(#REF!*(1+KAR_ORANI)*(1-ISKONTO),0))</f>
        <v>#REF!</v>
      </c>
      <c r="K68" s="11" t="e">
        <f t="shared" si="3"/>
        <v>#REF!</v>
      </c>
    </row>
    <row r="69" spans="1:11" ht="42" customHeight="1" x14ac:dyDescent="0.25">
      <c r="A69" s="6">
        <v>54</v>
      </c>
      <c r="B69" s="7"/>
      <c r="C69" s="8" t="s">
        <v>53</v>
      </c>
      <c r="D69" s="9">
        <v>1</v>
      </c>
      <c r="E69" s="6" t="s">
        <v>124</v>
      </c>
      <c r="F69" s="10">
        <v>1670882</v>
      </c>
      <c r="G69" s="10">
        <f t="shared" si="2"/>
        <v>1670882</v>
      </c>
      <c r="H69" s="6">
        <v>35</v>
      </c>
      <c r="I69" s="3" t="e">
        <f>TRIM(#REF!&amp;" "&amp;#REF!)</f>
        <v>#REF!</v>
      </c>
      <c r="J69" s="11" t="e">
        <f>IF(KAR_ORANI="","",ROUND(#REF!*(1+KAR_ORANI)*(1-ISKONTO),0))</f>
        <v>#REF!</v>
      </c>
      <c r="K69" s="11" t="e">
        <f t="shared" si="3"/>
        <v>#REF!</v>
      </c>
    </row>
    <row r="70" spans="1:11" ht="42" customHeight="1" x14ac:dyDescent="0.25">
      <c r="A70" s="6">
        <v>55</v>
      </c>
      <c r="B70" s="7"/>
      <c r="C70" s="8" t="s">
        <v>54</v>
      </c>
      <c r="D70" s="9">
        <v>1</v>
      </c>
      <c r="E70" s="6" t="s">
        <v>124</v>
      </c>
      <c r="F70" s="10">
        <v>266219</v>
      </c>
      <c r="G70" s="10">
        <f t="shared" si="2"/>
        <v>266219</v>
      </c>
      <c r="H70" s="6">
        <v>35</v>
      </c>
      <c r="I70" s="3" t="e">
        <f>TRIM(#REF!&amp;" "&amp;#REF!)</f>
        <v>#REF!</v>
      </c>
      <c r="J70" s="11" t="e">
        <f>IF(KAR_ORANI="","",ROUND(#REF!*(1+KAR_ORANI)*(1-ISKONTO),0))</f>
        <v>#REF!</v>
      </c>
      <c r="K70" s="11" t="e">
        <f t="shared" si="3"/>
        <v>#REF!</v>
      </c>
    </row>
    <row r="71" spans="1:11" ht="42" customHeight="1" x14ac:dyDescent="0.25">
      <c r="A71" s="6">
        <v>56</v>
      </c>
      <c r="B71" s="7"/>
      <c r="C71" s="8" t="s">
        <v>55</v>
      </c>
      <c r="D71" s="9">
        <v>1</v>
      </c>
      <c r="E71" s="6" t="s">
        <v>124</v>
      </c>
      <c r="F71" s="10">
        <v>419748</v>
      </c>
      <c r="G71" s="10">
        <f t="shared" si="2"/>
        <v>419748</v>
      </c>
      <c r="H71" s="6">
        <v>35</v>
      </c>
      <c r="I71" s="3" t="e">
        <f>TRIM(#REF!&amp;" "&amp;#REF!)</f>
        <v>#REF!</v>
      </c>
      <c r="J71" s="11" t="e">
        <f>IF(KAR_ORANI="","",ROUND(#REF!*(1+KAR_ORANI)*(1-ISKONTO),0))</f>
        <v>#REF!</v>
      </c>
      <c r="K71" s="11" t="e">
        <f t="shared" si="3"/>
        <v>#REF!</v>
      </c>
    </row>
    <row r="72" spans="1:11" ht="42" customHeight="1" x14ac:dyDescent="0.25">
      <c r="A72" s="6">
        <v>57</v>
      </c>
      <c r="B72" s="7"/>
      <c r="C72" s="8" t="s">
        <v>56</v>
      </c>
      <c r="D72" s="9">
        <v>1</v>
      </c>
      <c r="E72" s="6" t="s">
        <v>124</v>
      </c>
      <c r="F72" s="10">
        <v>45098</v>
      </c>
      <c r="G72" s="10">
        <f t="shared" si="2"/>
        <v>45098</v>
      </c>
      <c r="H72" s="6">
        <v>35</v>
      </c>
      <c r="I72" s="3" t="e">
        <f>TRIM(#REF!&amp;" "&amp;#REF!)</f>
        <v>#REF!</v>
      </c>
      <c r="J72" s="11" t="e">
        <f>IF(KAR_ORANI="","",ROUND(#REF!*(1+KAR_ORANI)*(1-ISKONTO),0))</f>
        <v>#REF!</v>
      </c>
      <c r="K72" s="11" t="e">
        <f t="shared" si="3"/>
        <v>#REF!</v>
      </c>
    </row>
    <row r="73" spans="1:11" ht="42" customHeight="1" x14ac:dyDescent="0.25">
      <c r="A73" s="6">
        <v>58</v>
      </c>
      <c r="B73" s="7"/>
      <c r="C73" s="8" t="s">
        <v>57</v>
      </c>
      <c r="D73" s="9">
        <v>1</v>
      </c>
      <c r="E73" s="6" t="s">
        <v>124</v>
      </c>
      <c r="F73" s="10">
        <v>38569</v>
      </c>
      <c r="G73" s="10">
        <f t="shared" si="2"/>
        <v>38569</v>
      </c>
      <c r="H73" s="6">
        <v>35</v>
      </c>
      <c r="I73" s="3" t="e">
        <f>TRIM(#REF!&amp;" "&amp;#REF!)</f>
        <v>#REF!</v>
      </c>
      <c r="J73" s="11" t="e">
        <f>IF(KAR_ORANI="","",ROUND(#REF!*(1+KAR_ORANI)*(1-ISKONTO),0))</f>
        <v>#REF!</v>
      </c>
      <c r="K73" s="11" t="e">
        <f t="shared" si="3"/>
        <v>#REF!</v>
      </c>
    </row>
    <row r="74" spans="1:11" ht="42" customHeight="1" x14ac:dyDescent="0.25">
      <c r="A74" s="6">
        <v>59</v>
      </c>
      <c r="B74" s="7"/>
      <c r="C74" s="8" t="s">
        <v>58</v>
      </c>
      <c r="D74" s="9">
        <v>1</v>
      </c>
      <c r="E74" s="6" t="s">
        <v>124</v>
      </c>
      <c r="F74" s="10">
        <v>46477</v>
      </c>
      <c r="G74" s="10">
        <f t="shared" si="2"/>
        <v>46477</v>
      </c>
      <c r="H74" s="6">
        <v>35</v>
      </c>
      <c r="I74" s="3" t="e">
        <f>TRIM(#REF!&amp;" "&amp;#REF!)</f>
        <v>#REF!</v>
      </c>
      <c r="J74" s="11" t="e">
        <f>IF(KAR_ORANI="","",ROUND(#REF!*(1+KAR_ORANI)*(1-ISKONTO),0))</f>
        <v>#REF!</v>
      </c>
      <c r="K74" s="11" t="e">
        <f t="shared" si="3"/>
        <v>#REF!</v>
      </c>
    </row>
    <row r="75" spans="1:11" ht="42" customHeight="1" x14ac:dyDescent="0.25">
      <c r="A75" s="6">
        <v>60</v>
      </c>
      <c r="B75" s="7"/>
      <c r="C75" s="8" t="s">
        <v>59</v>
      </c>
      <c r="D75" s="9">
        <v>1</v>
      </c>
      <c r="E75" s="6" t="s">
        <v>124</v>
      </c>
      <c r="F75" s="10">
        <v>35903</v>
      </c>
      <c r="G75" s="10">
        <f t="shared" si="2"/>
        <v>35903</v>
      </c>
      <c r="H75" s="6">
        <v>35</v>
      </c>
      <c r="I75" s="3" t="e">
        <f>TRIM(#REF!&amp;" "&amp;#REF!)</f>
        <v>#REF!</v>
      </c>
      <c r="J75" s="11" t="e">
        <f>IF(KAR_ORANI="","",ROUND(#REF!*(1+KAR_ORANI)*(1-ISKONTO),0))</f>
        <v>#REF!</v>
      </c>
      <c r="K75" s="11" t="e">
        <f t="shared" si="3"/>
        <v>#REF!</v>
      </c>
    </row>
    <row r="76" spans="1:11" ht="42" customHeight="1" x14ac:dyDescent="0.25">
      <c r="A76" s="6">
        <v>61</v>
      </c>
      <c r="B76" s="7"/>
      <c r="C76" s="8" t="s">
        <v>60</v>
      </c>
      <c r="D76" s="9">
        <v>1</v>
      </c>
      <c r="E76" s="6" t="s">
        <v>124</v>
      </c>
      <c r="F76" s="10">
        <v>65203</v>
      </c>
      <c r="G76" s="10">
        <f t="shared" si="2"/>
        <v>65203</v>
      </c>
      <c r="H76" s="6">
        <v>35</v>
      </c>
      <c r="I76" s="3" t="e">
        <f>TRIM(#REF!&amp;" "&amp;#REF!)</f>
        <v>#REF!</v>
      </c>
      <c r="J76" s="11" t="e">
        <f>IF(KAR_ORANI="","",ROUND(#REF!*(1+KAR_ORANI)*(1-ISKONTO),0))</f>
        <v>#REF!</v>
      </c>
      <c r="K76" s="11" t="e">
        <f t="shared" si="3"/>
        <v>#REF!</v>
      </c>
    </row>
    <row r="77" spans="1:11" ht="42" customHeight="1" x14ac:dyDescent="0.25">
      <c r="A77" s="6">
        <v>62</v>
      </c>
      <c r="B77" s="7"/>
      <c r="C77" s="8" t="s">
        <v>61</v>
      </c>
      <c r="D77" s="9">
        <v>1</v>
      </c>
      <c r="E77" s="6" t="s">
        <v>124</v>
      </c>
      <c r="F77" s="10">
        <v>72970</v>
      </c>
      <c r="G77" s="10">
        <f t="shared" si="2"/>
        <v>72970</v>
      </c>
      <c r="H77" s="6">
        <v>35</v>
      </c>
      <c r="I77" s="3" t="e">
        <f>TRIM(#REF!&amp;" "&amp;#REF!)</f>
        <v>#REF!</v>
      </c>
      <c r="J77" s="11" t="e">
        <f>IF(KAR_ORANI="","",ROUND(#REF!*(1+KAR_ORANI)*(1-ISKONTO),0))</f>
        <v>#REF!</v>
      </c>
      <c r="K77" s="11" t="e">
        <f t="shared" si="3"/>
        <v>#REF!</v>
      </c>
    </row>
    <row r="78" spans="1:11" ht="42" customHeight="1" x14ac:dyDescent="0.25">
      <c r="A78" s="6">
        <v>63</v>
      </c>
      <c r="B78" s="7"/>
      <c r="C78" s="8" t="s">
        <v>62</v>
      </c>
      <c r="D78" s="9">
        <v>1</v>
      </c>
      <c r="E78" s="6" t="s">
        <v>124</v>
      </c>
      <c r="F78" s="10">
        <v>147999</v>
      </c>
      <c r="G78" s="10">
        <f t="shared" si="2"/>
        <v>147999</v>
      </c>
      <c r="H78" s="6">
        <v>35</v>
      </c>
      <c r="I78" s="3" t="e">
        <f>TRIM(#REF!&amp;" "&amp;#REF!)</f>
        <v>#REF!</v>
      </c>
      <c r="J78" s="11" t="e">
        <f>IF(KAR_ORANI="","",ROUND(#REF!*(1+KAR_ORANI)*(1-ISKONTO),0))</f>
        <v>#REF!</v>
      </c>
      <c r="K78" s="11" t="e">
        <f t="shared" si="3"/>
        <v>#REF!</v>
      </c>
    </row>
    <row r="79" spans="1:11" ht="42" customHeight="1" x14ac:dyDescent="0.25">
      <c r="A79" s="6">
        <v>64</v>
      </c>
      <c r="B79" s="7"/>
      <c r="C79" s="8" t="s">
        <v>63</v>
      </c>
      <c r="D79" s="9">
        <v>1</v>
      </c>
      <c r="E79" s="6" t="s">
        <v>124</v>
      </c>
      <c r="F79" s="10">
        <v>26773</v>
      </c>
      <c r="G79" s="10">
        <f t="shared" si="2"/>
        <v>26773</v>
      </c>
      <c r="H79" s="6">
        <v>35</v>
      </c>
      <c r="I79" s="3" t="e">
        <f>TRIM(#REF!&amp;" "&amp;#REF!)</f>
        <v>#REF!</v>
      </c>
      <c r="J79" s="11" t="e">
        <f>IF(KAR_ORANI="","",ROUND(#REF!*(1+KAR_ORANI)*(1-ISKONTO),0))</f>
        <v>#REF!</v>
      </c>
      <c r="K79" s="11" t="e">
        <f t="shared" si="3"/>
        <v>#REF!</v>
      </c>
    </row>
    <row r="80" spans="1:11" ht="42" customHeight="1" x14ac:dyDescent="0.25">
      <c r="A80" s="6">
        <v>65</v>
      </c>
      <c r="B80" s="7"/>
      <c r="C80" s="8" t="s">
        <v>64</v>
      </c>
      <c r="D80" s="9">
        <v>1</v>
      </c>
      <c r="E80" s="6" t="s">
        <v>124</v>
      </c>
      <c r="F80" s="10">
        <v>44140</v>
      </c>
      <c r="G80" s="10">
        <f t="shared" ref="G80:G111" si="4">IF(F80="","",D80*F80)</f>
        <v>44140</v>
      </c>
      <c r="H80" s="6">
        <v>35</v>
      </c>
      <c r="I80" s="3" t="e">
        <f>TRIM(#REF!&amp;" "&amp;#REF!)</f>
        <v>#REF!</v>
      </c>
      <c r="J80" s="11" t="e">
        <f>IF(KAR_ORANI="","",ROUND(#REF!*(1+KAR_ORANI)*(1-ISKONTO),0))</f>
        <v>#REF!</v>
      </c>
      <c r="K80" s="11" t="e">
        <f t="shared" ref="K80:K111" si="5">IF(J80="","",D80*J80)</f>
        <v>#REF!</v>
      </c>
    </row>
    <row r="81" spans="1:11" ht="42" customHeight="1" x14ac:dyDescent="0.25">
      <c r="A81" s="6">
        <v>66</v>
      </c>
      <c r="B81" s="7"/>
      <c r="C81" s="8" t="s">
        <v>65</v>
      </c>
      <c r="D81" s="9">
        <v>1</v>
      </c>
      <c r="E81" s="6" t="s">
        <v>124</v>
      </c>
      <c r="F81" s="10">
        <v>22908</v>
      </c>
      <c r="G81" s="10">
        <f t="shared" si="4"/>
        <v>22908</v>
      </c>
      <c r="H81" s="6">
        <v>35</v>
      </c>
      <c r="I81" s="3" t="e">
        <f>TRIM(#REF!&amp;" "&amp;#REF!)</f>
        <v>#REF!</v>
      </c>
      <c r="J81" s="11" t="e">
        <f>IF(KAR_ORANI="","",ROUND(#REF!*(1+KAR_ORANI)*(1-ISKONTO),0))</f>
        <v>#REF!</v>
      </c>
      <c r="K81" s="11" t="e">
        <f t="shared" si="5"/>
        <v>#REF!</v>
      </c>
    </row>
    <row r="82" spans="1:11" ht="42" customHeight="1" x14ac:dyDescent="0.25">
      <c r="A82" s="6">
        <v>67</v>
      </c>
      <c r="B82" s="7"/>
      <c r="C82" s="8" t="s">
        <v>66</v>
      </c>
      <c r="D82" s="9">
        <v>1</v>
      </c>
      <c r="E82" s="6" t="s">
        <v>124</v>
      </c>
      <c r="F82" s="10">
        <v>25529</v>
      </c>
      <c r="G82" s="10">
        <f t="shared" si="4"/>
        <v>25529</v>
      </c>
      <c r="H82" s="6">
        <v>35</v>
      </c>
      <c r="I82" s="3" t="e">
        <f>TRIM(#REF!&amp;" "&amp;#REF!)</f>
        <v>#REF!</v>
      </c>
      <c r="J82" s="11" t="e">
        <f>IF(KAR_ORANI="","",ROUND(#REF!*(1+KAR_ORANI)*(1-ISKONTO),0))</f>
        <v>#REF!</v>
      </c>
      <c r="K82" s="11" t="e">
        <f t="shared" si="5"/>
        <v>#REF!</v>
      </c>
    </row>
    <row r="83" spans="1:11" ht="42" customHeight="1" x14ac:dyDescent="0.25">
      <c r="A83" s="6">
        <v>68</v>
      </c>
      <c r="B83" s="7"/>
      <c r="C83" s="8" t="s">
        <v>67</v>
      </c>
      <c r="D83" s="9">
        <v>1</v>
      </c>
      <c r="E83" s="6" t="s">
        <v>124</v>
      </c>
      <c r="F83" s="10">
        <v>28531</v>
      </c>
      <c r="G83" s="10">
        <f t="shared" si="4"/>
        <v>28531</v>
      </c>
      <c r="H83" s="6">
        <v>35</v>
      </c>
      <c r="I83" s="3" t="e">
        <f>TRIM(#REF!&amp;" "&amp;#REF!)</f>
        <v>#REF!</v>
      </c>
      <c r="J83" s="11" t="e">
        <f>IF(KAR_ORANI="","",ROUND(#REF!*(1+KAR_ORANI)*(1-ISKONTO),0))</f>
        <v>#REF!</v>
      </c>
      <c r="K83" s="11" t="e">
        <f t="shared" si="5"/>
        <v>#REF!</v>
      </c>
    </row>
    <row r="84" spans="1:11" ht="42" customHeight="1" x14ac:dyDescent="0.25">
      <c r="A84" s="6">
        <v>69</v>
      </c>
      <c r="B84" s="7"/>
      <c r="C84" s="8" t="s">
        <v>68</v>
      </c>
      <c r="D84" s="9">
        <v>1</v>
      </c>
      <c r="E84" s="6" t="s">
        <v>124</v>
      </c>
      <c r="F84" s="10">
        <v>25529</v>
      </c>
      <c r="G84" s="10">
        <f t="shared" si="4"/>
        <v>25529</v>
      </c>
      <c r="H84" s="6">
        <v>35</v>
      </c>
      <c r="I84" s="3" t="e">
        <f>TRIM(#REF!&amp;" "&amp;#REF!)</f>
        <v>#REF!</v>
      </c>
      <c r="J84" s="11" t="e">
        <f>IF(KAR_ORANI="","",ROUND(#REF!*(1+KAR_ORANI)*(1-ISKONTO),0))</f>
        <v>#REF!</v>
      </c>
      <c r="K84" s="11" t="e">
        <f t="shared" si="5"/>
        <v>#REF!</v>
      </c>
    </row>
    <row r="85" spans="1:11" ht="42" customHeight="1" x14ac:dyDescent="0.25">
      <c r="A85" s="6">
        <v>70</v>
      </c>
      <c r="B85" s="7"/>
      <c r="C85" s="8" t="s">
        <v>69</v>
      </c>
      <c r="D85" s="9">
        <v>1</v>
      </c>
      <c r="E85" s="6" t="s">
        <v>124</v>
      </c>
      <c r="F85" s="10">
        <v>22908</v>
      </c>
      <c r="G85" s="10">
        <f t="shared" si="4"/>
        <v>22908</v>
      </c>
      <c r="H85" s="6">
        <v>35</v>
      </c>
      <c r="I85" s="3" t="e">
        <f>TRIM(#REF!&amp;" "&amp;#REF!)</f>
        <v>#REF!</v>
      </c>
      <c r="J85" s="11" t="e">
        <f>IF(KAR_ORANI="","",ROUND(#REF!*(1+KAR_ORANI)*(1-ISKONTO),0))</f>
        <v>#REF!</v>
      </c>
      <c r="K85" s="11" t="e">
        <f t="shared" si="5"/>
        <v>#REF!</v>
      </c>
    </row>
    <row r="86" spans="1:11" ht="42" customHeight="1" x14ac:dyDescent="0.25">
      <c r="A86" s="6">
        <v>71</v>
      </c>
      <c r="B86" s="7"/>
      <c r="C86" s="8" t="s">
        <v>70</v>
      </c>
      <c r="D86" s="9">
        <v>1</v>
      </c>
      <c r="E86" s="6" t="s">
        <v>124</v>
      </c>
      <c r="F86" s="10">
        <v>25529</v>
      </c>
      <c r="G86" s="10">
        <f t="shared" si="4"/>
        <v>25529</v>
      </c>
      <c r="H86" s="6">
        <v>35</v>
      </c>
      <c r="I86" s="3" t="e">
        <f>TRIM(#REF!&amp;" "&amp;#REF!)</f>
        <v>#REF!</v>
      </c>
      <c r="J86" s="11" t="e">
        <f>IF(KAR_ORANI="","",ROUND(#REF!*(1+KAR_ORANI)*(1-ISKONTO),0))</f>
        <v>#REF!</v>
      </c>
      <c r="K86" s="11" t="e">
        <f t="shared" si="5"/>
        <v>#REF!</v>
      </c>
    </row>
    <row r="87" spans="1:11" ht="42" customHeight="1" x14ac:dyDescent="0.25">
      <c r="A87" s="6">
        <v>72</v>
      </c>
      <c r="B87" s="7"/>
      <c r="C87" s="8" t="s">
        <v>71</v>
      </c>
      <c r="D87" s="9">
        <v>1</v>
      </c>
      <c r="E87" s="6" t="s">
        <v>124</v>
      </c>
      <c r="F87" s="10">
        <v>25529</v>
      </c>
      <c r="G87" s="10">
        <f t="shared" si="4"/>
        <v>25529</v>
      </c>
      <c r="H87" s="6">
        <v>35</v>
      </c>
      <c r="I87" s="3" t="e">
        <f>TRIM(#REF!&amp;" "&amp;#REF!)</f>
        <v>#REF!</v>
      </c>
      <c r="J87" s="11" t="e">
        <f>IF(KAR_ORANI="","",ROUND(#REF!*(1+KAR_ORANI)*(1-ISKONTO),0))</f>
        <v>#REF!</v>
      </c>
      <c r="K87" s="11" t="e">
        <f t="shared" si="5"/>
        <v>#REF!</v>
      </c>
    </row>
    <row r="88" spans="1:11" ht="42" customHeight="1" x14ac:dyDescent="0.25">
      <c r="A88" s="6">
        <v>73</v>
      </c>
      <c r="B88" s="7"/>
      <c r="C88" s="8" t="s">
        <v>72</v>
      </c>
      <c r="D88" s="9">
        <v>1</v>
      </c>
      <c r="E88" s="6" t="s">
        <v>124</v>
      </c>
      <c r="F88" s="10">
        <v>25529</v>
      </c>
      <c r="G88" s="10">
        <f t="shared" si="4"/>
        <v>25529</v>
      </c>
      <c r="H88" s="6">
        <v>35</v>
      </c>
      <c r="I88" s="3" t="e">
        <f>TRIM(#REF!&amp;" "&amp;#REF!)</f>
        <v>#REF!</v>
      </c>
      <c r="J88" s="11" t="e">
        <f>IF(KAR_ORANI="","",ROUND(#REF!*(1+KAR_ORANI)*(1-ISKONTO),0))</f>
        <v>#REF!</v>
      </c>
      <c r="K88" s="11" t="e">
        <f t="shared" si="5"/>
        <v>#REF!</v>
      </c>
    </row>
    <row r="89" spans="1:11" ht="42" customHeight="1" x14ac:dyDescent="0.25">
      <c r="A89" s="6">
        <v>74</v>
      </c>
      <c r="B89" s="7"/>
      <c r="C89" s="8" t="s">
        <v>73</v>
      </c>
      <c r="D89" s="9">
        <v>1</v>
      </c>
      <c r="E89" s="6" t="s">
        <v>124</v>
      </c>
      <c r="F89" s="10">
        <v>22908</v>
      </c>
      <c r="G89" s="10">
        <f t="shared" si="4"/>
        <v>22908</v>
      </c>
      <c r="H89" s="6">
        <v>35</v>
      </c>
      <c r="I89" s="3" t="e">
        <f>TRIM(#REF!&amp;" "&amp;#REF!)</f>
        <v>#REF!</v>
      </c>
      <c r="J89" s="11" t="e">
        <f>IF(KAR_ORANI="","",ROUND(#REF!*(1+KAR_ORANI)*(1-ISKONTO),0))</f>
        <v>#REF!</v>
      </c>
      <c r="K89" s="11" t="e">
        <f t="shared" si="5"/>
        <v>#REF!</v>
      </c>
    </row>
    <row r="90" spans="1:11" ht="42" customHeight="1" x14ac:dyDescent="0.25">
      <c r="A90" s="6">
        <v>75</v>
      </c>
      <c r="B90" s="7"/>
      <c r="C90" s="8" t="s">
        <v>74</v>
      </c>
      <c r="D90" s="9">
        <v>1</v>
      </c>
      <c r="E90" s="6" t="s">
        <v>124</v>
      </c>
      <c r="F90" s="10">
        <v>25529</v>
      </c>
      <c r="G90" s="10">
        <f t="shared" si="4"/>
        <v>25529</v>
      </c>
      <c r="H90" s="6">
        <v>35</v>
      </c>
      <c r="I90" s="3" t="e">
        <f>TRIM(#REF!&amp;" "&amp;#REF!)</f>
        <v>#REF!</v>
      </c>
      <c r="J90" s="11" t="e">
        <f>IF(KAR_ORANI="","",ROUND(#REF!*(1+KAR_ORANI)*(1-ISKONTO),0))</f>
        <v>#REF!</v>
      </c>
      <c r="K90" s="11" t="e">
        <f t="shared" si="5"/>
        <v>#REF!</v>
      </c>
    </row>
    <row r="91" spans="1:11" ht="42" customHeight="1" x14ac:dyDescent="0.25">
      <c r="A91" s="6">
        <v>76</v>
      </c>
      <c r="B91" s="7"/>
      <c r="C91" s="8" t="s">
        <v>75</v>
      </c>
      <c r="D91" s="9">
        <v>1</v>
      </c>
      <c r="E91" s="6" t="s">
        <v>124</v>
      </c>
      <c r="F91" s="10">
        <v>22908</v>
      </c>
      <c r="G91" s="10">
        <f t="shared" si="4"/>
        <v>22908</v>
      </c>
      <c r="H91" s="6">
        <v>35</v>
      </c>
      <c r="I91" s="3" t="e">
        <f>TRIM(#REF!&amp;" "&amp;#REF!)</f>
        <v>#REF!</v>
      </c>
      <c r="J91" s="11" t="e">
        <f>IF(KAR_ORANI="","",ROUND(#REF!*(1+KAR_ORANI)*(1-ISKONTO),0))</f>
        <v>#REF!</v>
      </c>
      <c r="K91" s="11" t="e">
        <f t="shared" si="5"/>
        <v>#REF!</v>
      </c>
    </row>
    <row r="92" spans="1:11" ht="42" customHeight="1" x14ac:dyDescent="0.25">
      <c r="A92" s="6">
        <v>77</v>
      </c>
      <c r="B92" s="7"/>
      <c r="C92" s="8" t="s">
        <v>76</v>
      </c>
      <c r="D92" s="9">
        <v>1</v>
      </c>
      <c r="E92" s="6" t="s">
        <v>124</v>
      </c>
      <c r="F92" s="10">
        <v>25529</v>
      </c>
      <c r="G92" s="10">
        <f t="shared" si="4"/>
        <v>25529</v>
      </c>
      <c r="H92" s="6">
        <v>35</v>
      </c>
      <c r="I92" s="3" t="e">
        <f>TRIM(#REF!&amp;" "&amp;#REF!)</f>
        <v>#REF!</v>
      </c>
      <c r="J92" s="11" t="e">
        <f>IF(KAR_ORANI="","",ROUND(#REF!*(1+KAR_ORANI)*(1-ISKONTO),0))</f>
        <v>#REF!</v>
      </c>
      <c r="K92" s="11" t="e">
        <f t="shared" si="5"/>
        <v>#REF!</v>
      </c>
    </row>
    <row r="93" spans="1:11" ht="42" customHeight="1" x14ac:dyDescent="0.25">
      <c r="A93" s="6">
        <v>78</v>
      </c>
      <c r="B93" s="7"/>
      <c r="C93" s="8" t="s">
        <v>77</v>
      </c>
      <c r="D93" s="9">
        <v>1</v>
      </c>
      <c r="E93" s="6" t="s">
        <v>124</v>
      </c>
      <c r="F93" s="10">
        <v>25529</v>
      </c>
      <c r="G93" s="10">
        <f t="shared" si="4"/>
        <v>25529</v>
      </c>
      <c r="H93" s="6">
        <v>35</v>
      </c>
      <c r="I93" s="3" t="e">
        <f>TRIM(#REF!&amp;" "&amp;#REF!)</f>
        <v>#REF!</v>
      </c>
      <c r="J93" s="11" t="e">
        <f>IF(KAR_ORANI="","",ROUND(#REF!*(1+KAR_ORANI)*(1-ISKONTO),0))</f>
        <v>#REF!</v>
      </c>
      <c r="K93" s="11" t="e">
        <f t="shared" si="5"/>
        <v>#REF!</v>
      </c>
    </row>
    <row r="94" spans="1:11" ht="42" customHeight="1" x14ac:dyDescent="0.25">
      <c r="A94" s="6">
        <v>79</v>
      </c>
      <c r="B94" s="7"/>
      <c r="C94" s="8" t="s">
        <v>78</v>
      </c>
      <c r="D94" s="9">
        <v>32</v>
      </c>
      <c r="E94" s="6" t="s">
        <v>124</v>
      </c>
      <c r="F94" s="10">
        <v>44185</v>
      </c>
      <c r="G94" s="10">
        <f t="shared" si="4"/>
        <v>1413920</v>
      </c>
      <c r="H94" s="6">
        <v>35</v>
      </c>
      <c r="I94" s="3" t="e">
        <f>TRIM(#REF!&amp;" "&amp;#REF!)</f>
        <v>#REF!</v>
      </c>
      <c r="J94" s="11" t="e">
        <f>IF(KAR_ORANI="","",ROUND(#REF!*(1+KAR_ORANI)*(1-ISKONTO),0))</f>
        <v>#REF!</v>
      </c>
      <c r="K94" s="11" t="e">
        <f t="shared" si="5"/>
        <v>#REF!</v>
      </c>
    </row>
    <row r="95" spans="1:11" ht="42" customHeight="1" x14ac:dyDescent="0.25">
      <c r="A95" s="6">
        <v>80</v>
      </c>
      <c r="B95" s="7"/>
      <c r="C95" s="8" t="s">
        <v>79</v>
      </c>
      <c r="D95" s="9">
        <v>8</v>
      </c>
      <c r="E95" s="6" t="s">
        <v>124</v>
      </c>
      <c r="F95" s="10">
        <v>54931</v>
      </c>
      <c r="G95" s="10">
        <f t="shared" si="4"/>
        <v>439448</v>
      </c>
      <c r="H95" s="6">
        <v>35</v>
      </c>
      <c r="I95" s="3" t="e">
        <f>TRIM(#REF!&amp;" "&amp;#REF!)</f>
        <v>#REF!</v>
      </c>
      <c r="J95" s="11" t="e">
        <f>IF(KAR_ORANI="","",ROUND(#REF!*(1+KAR_ORANI)*(1-ISKONTO),0))</f>
        <v>#REF!</v>
      </c>
      <c r="K95" s="11" t="e">
        <f t="shared" si="5"/>
        <v>#REF!</v>
      </c>
    </row>
    <row r="96" spans="1:11" ht="42" customHeight="1" x14ac:dyDescent="0.25">
      <c r="A96" s="6">
        <v>81</v>
      </c>
      <c r="B96" s="7"/>
      <c r="C96" s="8" t="s">
        <v>80</v>
      </c>
      <c r="D96" s="9">
        <v>48</v>
      </c>
      <c r="E96" s="6" t="s">
        <v>124</v>
      </c>
      <c r="F96" s="10">
        <v>42940</v>
      </c>
      <c r="G96" s="10">
        <f t="shared" si="4"/>
        <v>2061120</v>
      </c>
      <c r="H96" s="6">
        <v>35</v>
      </c>
      <c r="I96" s="3" t="e">
        <f>TRIM(#REF!&amp;" "&amp;#REF!)</f>
        <v>#REF!</v>
      </c>
      <c r="J96" s="11" t="e">
        <f>IF(KAR_ORANI="","",ROUND(#REF!*(1+KAR_ORANI)*(1-ISKONTO),0))</f>
        <v>#REF!</v>
      </c>
      <c r="K96" s="11" t="e">
        <f t="shared" si="5"/>
        <v>#REF!</v>
      </c>
    </row>
    <row r="97" spans="1:11" ht="42" customHeight="1" x14ac:dyDescent="0.25">
      <c r="A97" s="6">
        <v>82</v>
      </c>
      <c r="B97" s="7"/>
      <c r="C97" s="8" t="s">
        <v>81</v>
      </c>
      <c r="D97" s="9">
        <v>16</v>
      </c>
      <c r="E97" s="6" t="s">
        <v>124</v>
      </c>
      <c r="F97" s="10">
        <v>54931</v>
      </c>
      <c r="G97" s="10">
        <f t="shared" si="4"/>
        <v>878896</v>
      </c>
      <c r="H97" s="6">
        <v>35</v>
      </c>
      <c r="I97" s="3" t="e">
        <f>TRIM(#REF!&amp;" "&amp;#REF!)</f>
        <v>#REF!</v>
      </c>
      <c r="J97" s="11" t="e">
        <f>IF(KAR_ORANI="","",ROUND(#REF!*(1+KAR_ORANI)*(1-ISKONTO),0))</f>
        <v>#REF!</v>
      </c>
      <c r="K97" s="11" t="e">
        <f t="shared" si="5"/>
        <v>#REF!</v>
      </c>
    </row>
    <row r="98" spans="1:11" ht="42" customHeight="1" x14ac:dyDescent="0.25">
      <c r="A98" s="6">
        <v>83</v>
      </c>
      <c r="B98" s="7"/>
      <c r="C98" s="8" t="s">
        <v>82</v>
      </c>
      <c r="D98" s="9">
        <v>24</v>
      </c>
      <c r="E98" s="6" t="s">
        <v>124</v>
      </c>
      <c r="F98" s="10">
        <v>44185</v>
      </c>
      <c r="G98" s="10">
        <f t="shared" si="4"/>
        <v>1060440</v>
      </c>
      <c r="H98" s="6">
        <v>35</v>
      </c>
      <c r="I98" s="3" t="e">
        <f>TRIM(#REF!&amp;" "&amp;#REF!)</f>
        <v>#REF!</v>
      </c>
      <c r="J98" s="11" t="e">
        <f>IF(KAR_ORANI="","",ROUND(#REF!*(1+KAR_ORANI)*(1-ISKONTO),0))</f>
        <v>#REF!</v>
      </c>
      <c r="K98" s="11" t="e">
        <f t="shared" si="5"/>
        <v>#REF!</v>
      </c>
    </row>
    <row r="99" spans="1:11" ht="42" customHeight="1" x14ac:dyDescent="0.25">
      <c r="A99" s="6">
        <v>84</v>
      </c>
      <c r="B99" s="7"/>
      <c r="C99" s="8" t="s">
        <v>83</v>
      </c>
      <c r="D99" s="9">
        <v>8</v>
      </c>
      <c r="E99" s="6" t="s">
        <v>124</v>
      </c>
      <c r="F99" s="10">
        <v>54931</v>
      </c>
      <c r="G99" s="10">
        <f t="shared" si="4"/>
        <v>439448</v>
      </c>
      <c r="H99" s="6">
        <v>35</v>
      </c>
      <c r="I99" s="3" t="e">
        <f>TRIM(#REF!&amp;" "&amp;#REF!)</f>
        <v>#REF!</v>
      </c>
      <c r="J99" s="11" t="e">
        <f>IF(KAR_ORANI="","",ROUND(#REF!*(1+KAR_ORANI)*(1-ISKONTO),0))</f>
        <v>#REF!</v>
      </c>
      <c r="K99" s="11" t="e">
        <f t="shared" si="5"/>
        <v>#REF!</v>
      </c>
    </row>
    <row r="100" spans="1:11" ht="42" customHeight="1" x14ac:dyDescent="0.25">
      <c r="A100" s="6">
        <v>85</v>
      </c>
      <c r="B100" s="7"/>
      <c r="C100" s="8" t="s">
        <v>84</v>
      </c>
      <c r="D100" s="9">
        <v>44</v>
      </c>
      <c r="E100" s="6" t="s">
        <v>124</v>
      </c>
      <c r="F100" s="10">
        <v>41080</v>
      </c>
      <c r="G100" s="10">
        <f t="shared" si="4"/>
        <v>1807520</v>
      </c>
      <c r="H100" s="6">
        <v>35</v>
      </c>
      <c r="I100" s="3" t="e">
        <f>TRIM(#REF!&amp;" "&amp;#REF!)</f>
        <v>#REF!</v>
      </c>
      <c r="J100" s="11" t="e">
        <f>IF(KAR_ORANI="","",ROUND(#REF!*(1+KAR_ORANI)*(1-ISKONTO),0))</f>
        <v>#REF!</v>
      </c>
      <c r="K100" s="11" t="e">
        <f t="shared" si="5"/>
        <v>#REF!</v>
      </c>
    </row>
    <row r="101" spans="1:11" ht="42" customHeight="1" x14ac:dyDescent="0.25">
      <c r="A101" s="6">
        <v>86</v>
      </c>
      <c r="B101" s="7"/>
      <c r="C101" s="8" t="s">
        <v>85</v>
      </c>
      <c r="D101" s="9">
        <v>32</v>
      </c>
      <c r="E101" s="6" t="s">
        <v>124</v>
      </c>
      <c r="F101" s="10">
        <v>47407</v>
      </c>
      <c r="G101" s="10">
        <f t="shared" si="4"/>
        <v>1517024</v>
      </c>
      <c r="H101" s="6">
        <v>35</v>
      </c>
      <c r="I101" s="3" t="e">
        <f>TRIM(#REF!&amp;" "&amp;#REF!)</f>
        <v>#REF!</v>
      </c>
      <c r="J101" s="11" t="e">
        <f>IF(KAR_ORANI="","",ROUND(#REF!*(1+KAR_ORANI)*(1-ISKONTO),0))</f>
        <v>#REF!</v>
      </c>
      <c r="K101" s="11" t="e">
        <f t="shared" si="5"/>
        <v>#REF!</v>
      </c>
    </row>
    <row r="102" spans="1:11" ht="42" customHeight="1" x14ac:dyDescent="0.25">
      <c r="A102" s="6">
        <v>87</v>
      </c>
      <c r="B102" s="7"/>
      <c r="C102" s="8" t="s">
        <v>86</v>
      </c>
      <c r="D102" s="9">
        <v>1</v>
      </c>
      <c r="E102" s="6" t="s">
        <v>124</v>
      </c>
      <c r="F102" s="10">
        <v>290256</v>
      </c>
      <c r="G102" s="10">
        <f t="shared" si="4"/>
        <v>290256</v>
      </c>
      <c r="H102" s="6">
        <v>35</v>
      </c>
      <c r="I102" s="3" t="e">
        <f>TRIM(#REF!&amp;" "&amp;#REF!)</f>
        <v>#REF!</v>
      </c>
      <c r="J102" s="11" t="e">
        <f>IF(KAR_ORANI="","",ROUND(#REF!*(1+KAR_ORANI)*(1-ISKONTO),0))</f>
        <v>#REF!</v>
      </c>
      <c r="K102" s="11" t="e">
        <f t="shared" si="5"/>
        <v>#REF!</v>
      </c>
    </row>
    <row r="103" spans="1:11" ht="42" customHeight="1" x14ac:dyDescent="0.25">
      <c r="A103" s="6">
        <v>88</v>
      </c>
      <c r="B103" s="7"/>
      <c r="C103" s="8" t="s">
        <v>87</v>
      </c>
      <c r="D103" s="9">
        <v>1</v>
      </c>
      <c r="E103" s="6" t="s">
        <v>124</v>
      </c>
      <c r="F103" s="10">
        <v>306263</v>
      </c>
      <c r="G103" s="10">
        <f t="shared" si="4"/>
        <v>306263</v>
      </c>
      <c r="H103" s="6">
        <v>35</v>
      </c>
      <c r="I103" s="3" t="e">
        <f>TRIM(#REF!&amp;" "&amp;#REF!)</f>
        <v>#REF!</v>
      </c>
      <c r="J103" s="11" t="e">
        <f>IF(KAR_ORANI="","",ROUND(#REF!*(1+KAR_ORANI)*(1-ISKONTO),0))</f>
        <v>#REF!</v>
      </c>
      <c r="K103" s="11" t="e">
        <f t="shared" si="5"/>
        <v>#REF!</v>
      </c>
    </row>
    <row r="104" spans="1:11" ht="42" customHeight="1" x14ac:dyDescent="0.25">
      <c r="A104" s="6">
        <v>89</v>
      </c>
      <c r="B104" s="7"/>
      <c r="C104" s="8" t="s">
        <v>88</v>
      </c>
      <c r="D104" s="9">
        <v>1</v>
      </c>
      <c r="E104" s="6" t="s">
        <v>124</v>
      </c>
      <c r="F104" s="10">
        <v>327161</v>
      </c>
      <c r="G104" s="10">
        <f t="shared" si="4"/>
        <v>327161</v>
      </c>
      <c r="H104" s="6">
        <v>35</v>
      </c>
      <c r="I104" s="3" t="e">
        <f>TRIM(#REF!&amp;" "&amp;#REF!)</f>
        <v>#REF!</v>
      </c>
      <c r="J104" s="11" t="e">
        <f>IF(KAR_ORANI="","",ROUND(#REF!*(1+KAR_ORANI)*(1-ISKONTO),0))</f>
        <v>#REF!</v>
      </c>
      <c r="K104" s="11" t="e">
        <f t="shared" si="5"/>
        <v>#REF!</v>
      </c>
    </row>
    <row r="105" spans="1:11" ht="42" customHeight="1" x14ac:dyDescent="0.25">
      <c r="A105" s="6">
        <v>90</v>
      </c>
      <c r="B105" s="7"/>
      <c r="C105" s="8" t="s">
        <v>89</v>
      </c>
      <c r="D105" s="9">
        <v>1</v>
      </c>
      <c r="E105" s="6" t="s">
        <v>124</v>
      </c>
      <c r="F105" s="10">
        <v>289771</v>
      </c>
      <c r="G105" s="10">
        <f t="shared" si="4"/>
        <v>289771</v>
      </c>
      <c r="H105" s="6">
        <v>35</v>
      </c>
      <c r="I105" s="3" t="e">
        <f>TRIM(#REF!&amp;" "&amp;#REF!)</f>
        <v>#REF!</v>
      </c>
      <c r="J105" s="11" t="e">
        <f>IF(KAR_ORANI="","",ROUND(#REF!*(1+KAR_ORANI)*(1-ISKONTO),0))</f>
        <v>#REF!</v>
      </c>
      <c r="K105" s="11" t="e">
        <f t="shared" si="5"/>
        <v>#REF!</v>
      </c>
    </row>
    <row r="106" spans="1:11" ht="42" customHeight="1" x14ac:dyDescent="0.25">
      <c r="A106" s="6">
        <v>91</v>
      </c>
      <c r="B106" s="7"/>
      <c r="C106" s="8" t="s">
        <v>90</v>
      </c>
      <c r="D106" s="9">
        <v>1</v>
      </c>
      <c r="E106" s="6" t="s">
        <v>124</v>
      </c>
      <c r="F106" s="10">
        <v>93201</v>
      </c>
      <c r="G106" s="10">
        <f t="shared" si="4"/>
        <v>93201</v>
      </c>
      <c r="H106" s="6">
        <v>35</v>
      </c>
      <c r="I106" s="3" t="e">
        <f>TRIM(#REF!&amp;" "&amp;#REF!)</f>
        <v>#REF!</v>
      </c>
      <c r="J106" s="11" t="e">
        <f>IF(KAR_ORANI="","",ROUND(#REF!*(1+KAR_ORANI)*(1-ISKONTO),0))</f>
        <v>#REF!</v>
      </c>
      <c r="K106" s="11" t="e">
        <f t="shared" si="5"/>
        <v>#REF!</v>
      </c>
    </row>
    <row r="107" spans="1:11" ht="42" customHeight="1" x14ac:dyDescent="0.25">
      <c r="A107" s="6">
        <v>92</v>
      </c>
      <c r="B107" s="7"/>
      <c r="C107" s="8" t="s">
        <v>91</v>
      </c>
      <c r="D107" s="9">
        <v>1</v>
      </c>
      <c r="E107" s="6" t="s">
        <v>124</v>
      </c>
      <c r="F107" s="10">
        <v>35960</v>
      </c>
      <c r="G107" s="10">
        <f t="shared" si="4"/>
        <v>35960</v>
      </c>
      <c r="H107" s="6">
        <v>35</v>
      </c>
      <c r="I107" s="3" t="e">
        <f>TRIM(#REF!&amp;" "&amp;#REF!)</f>
        <v>#REF!</v>
      </c>
      <c r="J107" s="11" t="e">
        <f>IF(KAR_ORANI="","",ROUND(#REF!*(1+KAR_ORANI)*(1-ISKONTO),0))</f>
        <v>#REF!</v>
      </c>
      <c r="K107" s="11" t="e">
        <f t="shared" si="5"/>
        <v>#REF!</v>
      </c>
    </row>
    <row r="108" spans="1:11" ht="42" customHeight="1" x14ac:dyDescent="0.25">
      <c r="A108" s="6">
        <v>93</v>
      </c>
      <c r="B108" s="7"/>
      <c r="C108" s="8" t="s">
        <v>92</v>
      </c>
      <c r="D108" s="9">
        <v>1</v>
      </c>
      <c r="E108" s="6" t="s">
        <v>124</v>
      </c>
      <c r="F108" s="10">
        <v>35960</v>
      </c>
      <c r="G108" s="10">
        <f t="shared" si="4"/>
        <v>35960</v>
      </c>
      <c r="H108" s="6">
        <v>35</v>
      </c>
      <c r="I108" s="3" t="e">
        <f>TRIM(#REF!&amp;" "&amp;#REF!)</f>
        <v>#REF!</v>
      </c>
      <c r="J108" s="11" t="e">
        <f>IF(KAR_ORANI="","",ROUND(#REF!*(1+KAR_ORANI)*(1-ISKONTO),0))</f>
        <v>#REF!</v>
      </c>
      <c r="K108" s="11" t="e">
        <f t="shared" si="5"/>
        <v>#REF!</v>
      </c>
    </row>
    <row r="109" spans="1:11" ht="42" customHeight="1" x14ac:dyDescent="0.25">
      <c r="A109" s="6">
        <v>94</v>
      </c>
      <c r="B109" s="7"/>
      <c r="C109" s="8" t="s">
        <v>93</v>
      </c>
      <c r="D109" s="9">
        <v>2</v>
      </c>
      <c r="E109" s="6" t="s">
        <v>124</v>
      </c>
      <c r="F109" s="10">
        <v>35960</v>
      </c>
      <c r="G109" s="10">
        <f t="shared" si="4"/>
        <v>71920</v>
      </c>
      <c r="H109" s="6">
        <v>35</v>
      </c>
      <c r="I109" s="3" t="e">
        <f>TRIM(#REF!&amp;" "&amp;#REF!)</f>
        <v>#REF!</v>
      </c>
      <c r="J109" s="11" t="e">
        <f>IF(KAR_ORANI="","",ROUND(#REF!*(1+KAR_ORANI)*(1-ISKONTO),0))</f>
        <v>#REF!</v>
      </c>
      <c r="K109" s="11" t="e">
        <f t="shared" si="5"/>
        <v>#REF!</v>
      </c>
    </row>
    <row r="110" spans="1:11" ht="42" customHeight="1" x14ac:dyDescent="0.25">
      <c r="A110" s="6">
        <v>95</v>
      </c>
      <c r="B110" s="7"/>
      <c r="C110" s="8" t="s">
        <v>94</v>
      </c>
      <c r="D110" s="9">
        <v>1</v>
      </c>
      <c r="E110" s="6" t="s">
        <v>124</v>
      </c>
      <c r="F110" s="10">
        <v>35960</v>
      </c>
      <c r="G110" s="10">
        <f t="shared" si="4"/>
        <v>35960</v>
      </c>
      <c r="H110" s="6">
        <v>35</v>
      </c>
      <c r="I110" s="3" t="e">
        <f>TRIM(#REF!&amp;" "&amp;#REF!)</f>
        <v>#REF!</v>
      </c>
      <c r="J110" s="11" t="e">
        <f>IF(KAR_ORANI="","",ROUND(#REF!*(1+KAR_ORANI)*(1-ISKONTO),0))</f>
        <v>#REF!</v>
      </c>
      <c r="K110" s="11" t="e">
        <f t="shared" si="5"/>
        <v>#REF!</v>
      </c>
    </row>
    <row r="111" spans="1:11" ht="42" customHeight="1" x14ac:dyDescent="0.25">
      <c r="A111" s="6">
        <v>96</v>
      </c>
      <c r="B111" s="7"/>
      <c r="C111" s="8" t="s">
        <v>95</v>
      </c>
      <c r="D111" s="9">
        <v>1</v>
      </c>
      <c r="E111" s="6" t="s">
        <v>124</v>
      </c>
      <c r="F111" s="10">
        <v>35960</v>
      </c>
      <c r="G111" s="10">
        <f t="shared" si="4"/>
        <v>35960</v>
      </c>
      <c r="H111" s="6">
        <v>35</v>
      </c>
      <c r="I111" s="3" t="e">
        <f>TRIM(#REF!&amp;" "&amp;#REF!)</f>
        <v>#REF!</v>
      </c>
      <c r="J111" s="11" t="e">
        <f>IF(KAR_ORANI="","",ROUND(#REF!*(1+KAR_ORANI)*(1-ISKONTO),0))</f>
        <v>#REF!</v>
      </c>
      <c r="K111" s="11" t="e">
        <f t="shared" si="5"/>
        <v>#REF!</v>
      </c>
    </row>
    <row r="112" spans="1:11" ht="42" customHeight="1" x14ac:dyDescent="0.25">
      <c r="A112" s="6">
        <v>97</v>
      </c>
      <c r="B112" s="7"/>
      <c r="C112" s="8" t="s">
        <v>96</v>
      </c>
      <c r="D112" s="9">
        <v>1</v>
      </c>
      <c r="E112" s="6" t="s">
        <v>124</v>
      </c>
      <c r="F112" s="10">
        <v>35960</v>
      </c>
      <c r="G112" s="10">
        <f t="shared" ref="G112:G116" si="6">IF(F112="","",D112*F112)</f>
        <v>35960</v>
      </c>
      <c r="H112" s="6">
        <v>35</v>
      </c>
      <c r="I112" s="3" t="e">
        <f>TRIM(#REF!&amp;" "&amp;#REF!)</f>
        <v>#REF!</v>
      </c>
      <c r="J112" s="11" t="e">
        <f>IF(KAR_ORANI="","",ROUND(#REF!*(1+KAR_ORANI)*(1-ISKONTO),0))</f>
        <v>#REF!</v>
      </c>
      <c r="K112" s="11" t="e">
        <f t="shared" ref="K112:K113" si="7">IF(J112="","",D112*J112)</f>
        <v>#REF!</v>
      </c>
    </row>
    <row r="113" spans="1:11" ht="42" customHeight="1" x14ac:dyDescent="0.25">
      <c r="A113" s="6">
        <v>98</v>
      </c>
      <c r="B113" s="7"/>
      <c r="C113" s="8" t="s">
        <v>97</v>
      </c>
      <c r="D113" s="9">
        <v>11</v>
      </c>
      <c r="E113" s="6" t="s">
        <v>124</v>
      </c>
      <c r="F113" s="10">
        <v>35960</v>
      </c>
      <c r="G113" s="10">
        <f t="shared" si="6"/>
        <v>395560</v>
      </c>
      <c r="H113" s="6">
        <v>35</v>
      </c>
      <c r="I113" s="3" t="e">
        <f>TRIM(#REF!&amp;" "&amp;#REF!)</f>
        <v>#REF!</v>
      </c>
      <c r="J113" s="11" t="e">
        <f>IF(KAR_ORANI="","",ROUND(#REF!*(1+KAR_ORANI)*(1-ISKONTO),0))</f>
        <v>#REF!</v>
      </c>
      <c r="K113" s="11" t="e">
        <f t="shared" si="7"/>
        <v>#REF!</v>
      </c>
    </row>
    <row r="114" spans="1:11" ht="42" customHeight="1" x14ac:dyDescent="0.25">
      <c r="A114" s="6"/>
      <c r="B114" s="7"/>
      <c r="C114" s="8" t="s">
        <v>139</v>
      </c>
      <c r="D114" s="9">
        <v>1</v>
      </c>
      <c r="E114" s="6" t="s">
        <v>124</v>
      </c>
      <c r="F114" s="10">
        <v>166278</v>
      </c>
      <c r="G114" s="10">
        <f t="shared" si="6"/>
        <v>166278</v>
      </c>
      <c r="H114" s="6">
        <v>35</v>
      </c>
      <c r="I114" s="3"/>
      <c r="J114" s="11"/>
      <c r="K114" s="11"/>
    </row>
    <row r="115" spans="1:11" ht="42" customHeight="1" x14ac:dyDescent="0.25">
      <c r="A115" s="6"/>
      <c r="B115" s="7"/>
      <c r="C115" s="8" t="s">
        <v>140</v>
      </c>
      <c r="D115" s="9">
        <v>5</v>
      </c>
      <c r="E115" s="6" t="s">
        <v>124</v>
      </c>
      <c r="F115" s="10">
        <v>149943</v>
      </c>
      <c r="G115" s="10">
        <f t="shared" si="6"/>
        <v>749715</v>
      </c>
      <c r="H115" s="6">
        <v>35</v>
      </c>
      <c r="I115" s="3"/>
      <c r="J115" s="11"/>
      <c r="K115" s="11"/>
    </row>
    <row r="116" spans="1:11" ht="42" customHeight="1" x14ac:dyDescent="0.25">
      <c r="A116" s="6"/>
      <c r="B116" s="7"/>
      <c r="C116" s="24" t="s">
        <v>141</v>
      </c>
      <c r="D116" s="9">
        <v>5</v>
      </c>
      <c r="E116" s="6" t="s">
        <v>124</v>
      </c>
      <c r="F116" s="10">
        <v>50530</v>
      </c>
      <c r="G116" s="10">
        <f t="shared" si="6"/>
        <v>252650</v>
      </c>
      <c r="H116" s="6">
        <v>35</v>
      </c>
      <c r="I116" s="3"/>
      <c r="J116" s="11"/>
      <c r="K116" s="11"/>
    </row>
    <row r="117" spans="1:11" s="28" customFormat="1" ht="21.75" customHeight="1" x14ac:dyDescent="0.25">
      <c r="A117" s="25"/>
      <c r="B117" s="5" t="s">
        <v>125</v>
      </c>
      <c r="C117" s="25"/>
      <c r="D117" s="26">
        <f>SUM(D16:D116)</f>
        <v>355</v>
      </c>
      <c r="E117" s="25"/>
      <c r="F117" s="25"/>
      <c r="G117" s="12">
        <f>SUM(G16:G116)</f>
        <v>48263552</v>
      </c>
      <c r="H117" s="25"/>
      <c r="I117" s="27" t="e">
        <f>IF(KAR_ORANI="","KÂR ORANI GİRİLMEDİ","")</f>
        <v>#REF!</v>
      </c>
      <c r="K117" s="29" t="e">
        <f>SUM(K16:K113)</f>
        <v>#REF!</v>
      </c>
    </row>
    <row r="119" spans="1:11" ht="24" customHeight="1" x14ac:dyDescent="0.25">
      <c r="A119" s="18" t="s">
        <v>133</v>
      </c>
      <c r="B119" s="18"/>
      <c r="C119" s="18"/>
      <c r="D119" s="18"/>
      <c r="E119" s="18"/>
      <c r="F119" s="18"/>
      <c r="G119" s="18"/>
      <c r="H119" s="18"/>
      <c r="I119" s="3" t="e">
        <f>IF(GECERLILIK&lt;&gt;"","Срок действия ценового предложения "&amp;GECERLILIK&amp;" рабочих дней.","")</f>
        <v>#REF!</v>
      </c>
      <c r="J119" s="3" t="e">
        <f>IF(I119="","",COUNTIF(I$119:I119,"?*"))</f>
        <v>#REF!</v>
      </c>
    </row>
    <row r="120" spans="1:11" ht="24" customHeight="1" x14ac:dyDescent="0.25">
      <c r="A120" s="18" t="s">
        <v>134</v>
      </c>
      <c r="B120" s="18"/>
      <c r="C120" s="18"/>
      <c r="D120" s="18"/>
      <c r="E120" s="18"/>
      <c r="F120" s="18"/>
      <c r="G120" s="18"/>
      <c r="H120" s="18"/>
      <c r="I120" s="3" t="e">
        <f>IF(TESLIM_YERI&lt;&gt;"","Место поставки: "&amp;TESLIM_YERI&amp;".","")</f>
        <v>#REF!</v>
      </c>
      <c r="J120" s="3" t="e">
        <f>IF(I120="","",COUNTIF(I$119:I120,"?*"))</f>
        <v>#REF!</v>
      </c>
    </row>
    <row r="121" spans="1:11" ht="24" customHeight="1" x14ac:dyDescent="0.25">
      <c r="A121" s="18" t="s">
        <v>135</v>
      </c>
      <c r="B121" s="18"/>
      <c r="C121" s="18"/>
      <c r="D121" s="18"/>
      <c r="E121" s="18"/>
      <c r="F121" s="18"/>
      <c r="G121" s="18"/>
      <c r="H121" s="18"/>
      <c r="I121" s="3" t="e">
        <f>IF(ODEME&lt;&gt;"","Условия оплаты: "&amp;ODEME&amp;".","")</f>
        <v>#REF!</v>
      </c>
      <c r="J121" s="3" t="e">
        <f>IF(I121="","",COUNTIF(I$119:I121,"?*"))</f>
        <v>#REF!</v>
      </c>
    </row>
    <row r="122" spans="1:11" ht="24" customHeight="1" x14ac:dyDescent="0.25">
      <c r="A122" s="18" t="s">
        <v>136</v>
      </c>
      <c r="B122" s="18"/>
      <c r="C122" s="18"/>
      <c r="D122" s="18"/>
      <c r="E122" s="18"/>
      <c r="F122" s="18"/>
      <c r="G122" s="18"/>
      <c r="H122" s="18"/>
      <c r="I122" s="3" t="e">
        <f>IF(GARANTI&lt;&gt;"","Гарантия: "&amp;GARANTI&amp;".","")</f>
        <v>#REF!</v>
      </c>
      <c r="J122" s="3" t="e">
        <f>IF(I122="","",COUNTIF(I$119:I122,"?*"))</f>
        <v>#REF!</v>
      </c>
    </row>
    <row r="123" spans="1:11" ht="24" customHeight="1" x14ac:dyDescent="0.25">
      <c r="A123" s="18" t="s">
        <v>137</v>
      </c>
      <c r="B123" s="18"/>
      <c r="C123" s="18"/>
      <c r="D123" s="18"/>
      <c r="E123" s="18"/>
      <c r="F123" s="18"/>
      <c r="G123" s="18"/>
      <c r="H123" s="18"/>
      <c r="I123" s="3" t="e">
        <f>IF(1=1,"В щитах с системой сборных шин применяются "&amp;IF(BARA_MALZEME="AL","алюминиевые (Al)","медные (Cu)")&amp;" шины.","")</f>
        <v>#REF!</v>
      </c>
      <c r="J123" s="3" t="e">
        <f>IF(I123="","",COUNTIF(I$119:I123,"?*"))</f>
        <v>#REF!</v>
      </c>
    </row>
    <row r="124" spans="1:11" ht="24" customHeight="1" x14ac:dyDescent="0.25">
      <c r="A124" s="18" t="s">
        <v>132</v>
      </c>
      <c r="B124" s="18"/>
      <c r="C124" s="18"/>
      <c r="D124" s="18"/>
      <c r="E124" s="18"/>
      <c r="F124" s="18"/>
      <c r="G124" s="18"/>
      <c r="H124" s="18"/>
      <c r="I124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124" s="3" t="e">
        <f>IF(I124="","",COUNTIF(I$119:I124,"?*"))</f>
        <v>#REF!</v>
      </c>
    </row>
    <row r="125" spans="1:11" ht="24" customHeight="1" x14ac:dyDescent="0.25">
      <c r="A125" s="18" t="s">
        <v>132</v>
      </c>
      <c r="B125" s="18"/>
      <c r="C125" s="18"/>
      <c r="D125" s="18"/>
      <c r="E125" s="18"/>
      <c r="F125" s="18"/>
      <c r="G125" s="18"/>
      <c r="H125" s="18"/>
      <c r="I125" s="3" t="e">
        <f>IF(SERTIFIKAT&lt;&gt;"",SERTIFIKAT,"")</f>
        <v>#REF!</v>
      </c>
      <c r="J125" s="3" t="e">
        <f>IF(I125="","",COUNTIF(I$119:I125,"?*"))</f>
        <v>#REF!</v>
      </c>
    </row>
    <row r="126" spans="1:11" ht="24" customHeight="1" x14ac:dyDescent="0.25">
      <c r="A126" s="18" t="s">
        <v>132</v>
      </c>
      <c r="B126" s="18"/>
      <c r="C126" s="18"/>
      <c r="D126" s="18"/>
      <c r="E126" s="18"/>
      <c r="F126" s="18"/>
      <c r="G126" s="18"/>
      <c r="H126" s="18"/>
      <c r="I126" s="3" t="e">
        <f>IF(PROJE_NOT&lt;&gt;"",PROJE_NOT,"")</f>
        <v>#REF!</v>
      </c>
      <c r="J126" s="3" t="e">
        <f>IF(I126="","",COUNTIF(I$119:I126,"?*"))</f>
        <v>#REF!</v>
      </c>
    </row>
    <row r="128" spans="1:11" ht="19.5" customHeight="1" x14ac:dyDescent="0.25">
      <c r="A128" s="14" t="s">
        <v>132</v>
      </c>
      <c r="B128" s="14"/>
      <c r="C128" s="14"/>
      <c r="D128" s="14"/>
      <c r="E128" s="14"/>
      <c r="F128" s="14"/>
      <c r="G128" s="14"/>
      <c r="H128" s="14"/>
    </row>
    <row r="130" spans="1:8" ht="15" customHeight="1" x14ac:dyDescent="0.25">
      <c r="A130" s="15" t="s">
        <v>126</v>
      </c>
      <c r="B130" s="15"/>
      <c r="C130" s="15"/>
    </row>
    <row r="131" spans="1:8" x14ac:dyDescent="0.25">
      <c r="A131" s="15" t="s">
        <v>132</v>
      </c>
      <c r="B131" s="15"/>
      <c r="C131" s="15"/>
      <c r="F131" s="15" t="s">
        <v>132</v>
      </c>
      <c r="G131" s="15"/>
      <c r="H131" s="15"/>
    </row>
    <row r="134" spans="1:8" x14ac:dyDescent="0.25">
      <c r="A134" s="13" t="s">
        <v>127</v>
      </c>
      <c r="B134" s="13"/>
      <c r="C134" s="1" t="s">
        <v>138</v>
      </c>
      <c r="E134" s="16" t="s">
        <v>128</v>
      </c>
      <c r="F134" s="16"/>
      <c r="G134" s="17" t="s">
        <v>132</v>
      </c>
      <c r="H134" s="17"/>
    </row>
    <row r="135" spans="1:8" x14ac:dyDescent="0.25">
      <c r="A135" s="13" t="s">
        <v>129</v>
      </c>
      <c r="B135" s="13"/>
      <c r="C135" s="1" t="s">
        <v>138</v>
      </c>
    </row>
    <row r="136" spans="1:8" x14ac:dyDescent="0.25">
      <c r="A136" s="13" t="s">
        <v>130</v>
      </c>
      <c r="B136" s="13"/>
      <c r="C136" s="1" t="s">
        <v>138</v>
      </c>
    </row>
    <row r="137" spans="1:8" x14ac:dyDescent="0.25">
      <c r="A137" s="13" t="s">
        <v>100</v>
      </c>
      <c r="B137" s="13"/>
      <c r="C137" s="1" t="s">
        <v>138</v>
      </c>
    </row>
    <row r="138" spans="1:8" x14ac:dyDescent="0.25">
      <c r="A138" s="13" t="s">
        <v>101</v>
      </c>
      <c r="B138" s="13"/>
      <c r="C138" s="1" t="s">
        <v>138</v>
      </c>
    </row>
    <row r="139" spans="1:8" x14ac:dyDescent="0.25">
      <c r="A139" s="13" t="s">
        <v>102</v>
      </c>
      <c r="B139" s="13"/>
      <c r="C139" s="1" t="s">
        <v>138</v>
      </c>
    </row>
    <row r="140" spans="1:8" ht="33.75" customHeight="1" x14ac:dyDescent="0.25"/>
  </sheetData>
  <autoFilter ref="A15:K117" xr:uid="{00000000-0001-0000-0300-000000000000}"/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8:H128"/>
    <mergeCell ref="A130:C130"/>
    <mergeCell ref="A131:C131"/>
    <mergeCell ref="F131:H131"/>
    <mergeCell ref="A134:B134"/>
    <mergeCell ref="E134:F134"/>
    <mergeCell ref="G134:H134"/>
    <mergeCell ref="A135:B135"/>
    <mergeCell ref="A136:B136"/>
    <mergeCell ref="A137:B137"/>
    <mergeCell ref="A138:B138"/>
    <mergeCell ref="A139:B139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2026-10-20T17:08:05Z</dcterms:created>
  <dcterms:modified xsi:type="dcterms:W3CDTF">2026-10-22T05:55:14Z</dcterms:modified>
  <dc:language>en-US</dc:language>
</cp:coreProperties>
</file>