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1 guldana batıs alyans\"/>
    </mc:Choice>
  </mc:AlternateContent>
  <xr:revisionPtr revIDLastSave="0" documentId="13_ncr:1_{E92F1888-A11A-406E-9E9F-6F167C3564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TEKLIF!$A$1:$H$45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4" l="1"/>
  <c r="J30" i="4" s="1"/>
  <c r="I29" i="4"/>
  <c r="I28" i="4"/>
  <c r="I27" i="4"/>
  <c r="I26" i="4"/>
  <c r="J26" i="4" s="1"/>
  <c r="I25" i="4"/>
  <c r="J25" i="4" s="1"/>
  <c r="I24" i="4"/>
  <c r="J24" i="4" s="1"/>
  <c r="I23" i="4"/>
  <c r="I21" i="4"/>
  <c r="G17" i="4" l="1"/>
  <c r="G20" i="4"/>
  <c r="J27" i="4"/>
  <c r="J29" i="4"/>
  <c r="J28" i="4"/>
  <c r="J23" i="4"/>
  <c r="G18" i="4"/>
  <c r="G21" i="4" s="1"/>
  <c r="I16" i="4" l="1"/>
  <c r="I17" i="4" l="1"/>
  <c r="I18" i="4"/>
  <c r="I20" i="4" l="1"/>
  <c r="I19" i="4"/>
  <c r="J16" i="4"/>
  <c r="G16" i="4" l="1"/>
  <c r="K16" i="4"/>
  <c r="J17" i="4"/>
  <c r="K17" i="4" s="1"/>
  <c r="J18" i="4"/>
  <c r="K18" i="4" s="1"/>
  <c r="J20" i="4" l="1"/>
  <c r="K20" i="4" s="1"/>
  <c r="J19" i="4"/>
  <c r="G19" i="4" l="1"/>
  <c r="K19" i="4"/>
  <c r="K21" i="4" s="1"/>
</calcChain>
</file>

<file path=xl/sharedStrings.xml><?xml version="1.0" encoding="utf-8"?>
<sst xmlns="http://schemas.openxmlformats.org/spreadsheetml/2006/main" count="66" uniqueCount="50">
  <si>
    <t>BATIS ALYANS</t>
  </si>
  <si>
    <t>Guldana</t>
  </si>
  <si>
    <t>ТОО "TEK LED"</t>
  </si>
  <si>
    <t>Директор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</si>
  <si>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</si>
  <si>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</si>
  <si>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</si>
  <si>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</si>
  <si>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</si>
  <si>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</si>
  <si>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</si>
  <si>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</si>
  <si>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</si>
  <si>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</si>
  <si>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</si>
  <si>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</si>
  <si>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</si>
  <si>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</si>
  <si>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</si>
  <si>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</si>
  <si>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</si>
  <si>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</si>
  <si>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</si>
  <si>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</si>
  <si>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</si>
  <si>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</si>
  <si>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</si>
  <si>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</si>
  <si>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</si>
  <si>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</si>
  <si>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</si>
  <si>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</si>
  <si>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</si>
  <si>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</si>
  <si>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</si>
  <si>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1) Срок действия ценового предложения 5 рабочих дней.</t>
  </si>
  <si>
    <t>2) Место поставки: ATRAU.</t>
  </si>
  <si>
    <t>3) Условия оплаты: 1.</t>
  </si>
  <si>
    <t>4) Гарантия: 12 mesiat.</t>
  </si>
  <si>
    <t>5) В щитах с системой сборных шин применяются алюминиевые (Al) шины.</t>
  </si>
  <si>
    <t>6) Коммутационная аппаратура (автоматические выключатели, рубильники, контакторы и др.): CHINT и альтернативный.</t>
  </si>
  <si>
    <t>7) У компании есть сертификат отечественного производителя «Сертификат CT-KZ», международные сертификаты и сертификат ISO 9001-2015.</t>
  </si>
  <si>
    <t/>
  </si>
  <si>
    <t xml:space="preserve">:   </t>
  </si>
  <si>
    <t>:   yusuf.kaplan@tekled.com</t>
  </si>
  <si>
    <t>РЩ-1 (260923 BATS ALYNS)</t>
  </si>
  <si>
    <t>РЩ-2 (260923 BATS ALYNS)</t>
  </si>
  <si>
    <t>ВРУ (260923 BATS ALYNS)</t>
  </si>
  <si>
    <t>ЩСП (260923 BATS ALYNS)</t>
  </si>
  <si>
    <t>РЩ-3 (260923 BATS ALYNS)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</si>
</sst>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95310</xdr:colOff>
      <xdr:row>0</xdr:row>
      <xdr:rowOff>142965</xdr:rowOff>
    </xdr:from>
    <xdr:to>
      <xdr:col>2</xdr:col>
      <xdr:colOff>942750</xdr:colOff>
      <xdr:row>1</xdr:row>
      <xdr:rowOff>352125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310" y="142965"/>
          <a:ext cx="2514315" cy="5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43</xdr:row>
      <xdr:rowOff>19080</xdr:rowOff>
    </xdr:from>
    <xdr:to>
      <xdr:col>2</xdr:col>
      <xdr:colOff>2666580</xdr:colOff>
      <xdr:row>43</xdr:row>
      <xdr:rowOff>399600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21539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4"/>
  <sheetViews>
    <sheetView showGridLines="0" tabSelected="1" topLeftCell="A9" zoomScaleNormal="100" workbookViewId="0">
      <selection activeCell="S17" sqref="S17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14" t="s">
        <v>2</v>
      </c>
      <c r="H1" s="14"/>
    </row>
    <row r="2" spans="1:11" ht="30" customHeight="1" x14ac:dyDescent="0.25">
      <c r="G2" s="14"/>
      <c r="H2" s="14"/>
    </row>
    <row r="3" spans="1:11" ht="13.5" customHeight="1" x14ac:dyDescent="0.25">
      <c r="G3" s="14"/>
      <c r="H3" s="14"/>
    </row>
    <row r="5" spans="1:11" ht="27.75" customHeight="1" x14ac:dyDescent="0.25">
      <c r="A5" s="15" t="s">
        <v>7</v>
      </c>
      <c r="B5" s="15"/>
      <c r="C5" s="15"/>
      <c r="D5" s="15"/>
      <c r="E5" s="15"/>
      <c r="F5" s="15"/>
      <c r="G5" s="15"/>
      <c r="H5" s="15"/>
    </row>
    <row r="7" spans="1:11" ht="15.75" customHeight="1" x14ac:dyDescent="0.25">
      <c r="A7" s="16" t="s">
        <v>8</v>
      </c>
      <c r="B7" s="16"/>
      <c r="C7" s="2">
        <v>9890900052</v>
      </c>
      <c r="D7" s="17" t="s">
        <v>9</v>
      </c>
      <c r="E7" s="17"/>
      <c r="F7" s="18" t="s">
        <v>0</v>
      </c>
      <c r="G7" s="18"/>
      <c r="H7" s="18"/>
    </row>
    <row r="8" spans="1:11" ht="27.75" customHeight="1" x14ac:dyDescent="0.25">
      <c r="A8" s="16" t="s">
        <v>10</v>
      </c>
      <c r="B8" s="16"/>
      <c r="C8" s="4">
        <v>46288</v>
      </c>
      <c r="D8" s="17" t="s">
        <v>11</v>
      </c>
      <c r="E8" s="17"/>
      <c r="F8" s="18" t="s">
        <v>42</v>
      </c>
      <c r="G8" s="18"/>
      <c r="H8" s="18"/>
    </row>
    <row r="9" spans="1:11" ht="27.75" customHeight="1" x14ac:dyDescent="0.25">
      <c r="D9" s="17" t="s">
        <v>12</v>
      </c>
      <c r="E9" s="17"/>
      <c r="F9" s="18" t="s">
        <v>1</v>
      </c>
      <c r="G9" s="18"/>
      <c r="H9" s="18"/>
    </row>
    <row r="10" spans="1:11" ht="15" customHeight="1" x14ac:dyDescent="0.25">
      <c r="D10" s="17" t="s">
        <v>13</v>
      </c>
      <c r="E10" s="17"/>
      <c r="F10" s="18" t="s">
        <v>42</v>
      </c>
      <c r="G10" s="18"/>
      <c r="H10" s="18"/>
    </row>
    <row r="11" spans="1:11" ht="15" customHeight="1" x14ac:dyDescent="0.25">
      <c r="D11" s="17" t="s">
        <v>14</v>
      </c>
      <c r="E11" s="17"/>
      <c r="F11" s="18" t="s">
        <v>42</v>
      </c>
      <c r="G11" s="18"/>
      <c r="H11" s="18"/>
    </row>
    <row r="12" spans="1:11" ht="15" customHeight="1" x14ac:dyDescent="0.25">
      <c r="D12" s="17" t="s">
        <v>15</v>
      </c>
      <c r="E12" s="17"/>
      <c r="F12" s="18" t="s">
        <v>42</v>
      </c>
      <c r="G12" s="18"/>
      <c r="H12" s="18"/>
    </row>
    <row r="13" spans="1:11" ht="15" customHeight="1" x14ac:dyDescent="0.25">
      <c r="D13" s="17" t="s">
        <v>16</v>
      </c>
      <c r="E13" s="17"/>
      <c r="F13" s="18" t="s">
        <v>42</v>
      </c>
      <c r="G13" s="18"/>
      <c r="H13" s="18"/>
    </row>
    <row r="15" spans="1:11" ht="39.75" customHeight="1" x14ac:dyDescent="0.25">
      <c r="A15" s="5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  <c r="I15" s="3" t="s">
        <v>25</v>
      </c>
      <c r="J15" s="3" t="s">
        <v>26</v>
      </c>
      <c r="K15" s="3" t="s">
        <v>27</v>
      </c>
    </row>
    <row r="16" spans="1:11" ht="42" customHeight="1" x14ac:dyDescent="0.25">
      <c r="A16" s="6">
        <v>1</v>
      </c>
      <c r="B16" s="7"/>
      <c r="C16" s="8" t="s">
        <v>45</v>
      </c>
      <c r="D16" s="9">
        <v>1</v>
      </c>
      <c r="E16" s="6" t="s">
        <v>28</v>
      </c>
      <c r="F16" s="10">
        <v>513603.92</v>
      </c>
      <c r="G16" s="10">
        <f>IF(F16="","",D16*F16)</f>
        <v>513603.92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>IF(J16="","",D16*J16)</f>
        <v>#REF!</v>
      </c>
    </row>
    <row r="17" spans="1:11" ht="42" customHeight="1" x14ac:dyDescent="0.25">
      <c r="A17" s="6">
        <v>2</v>
      </c>
      <c r="B17" s="7"/>
      <c r="C17" s="8" t="s">
        <v>46</v>
      </c>
      <c r="D17" s="9">
        <v>1</v>
      </c>
      <c r="E17" s="6" t="s">
        <v>28</v>
      </c>
      <c r="F17" s="10">
        <v>552178.56000000006</v>
      </c>
      <c r="G17" s="10">
        <f>IF(F17="","",D17*F17)</f>
        <v>552178.56000000006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>IF(J17="","",D17*J17)</f>
        <v>#REF!</v>
      </c>
    </row>
    <row r="18" spans="1:11" ht="42" customHeight="1" x14ac:dyDescent="0.25">
      <c r="A18" s="6">
        <v>3</v>
      </c>
      <c r="B18" s="7"/>
      <c r="C18" s="8" t="s">
        <v>47</v>
      </c>
      <c r="D18" s="9">
        <v>1</v>
      </c>
      <c r="E18" s="6" t="s">
        <v>28</v>
      </c>
      <c r="F18" s="10">
        <v>1015222.72</v>
      </c>
      <c r="G18" s="10">
        <f>IF(F18="","",D18*F18)</f>
        <v>1015222.72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>IF(J18="","",D18*J18)</f>
        <v>#REF!</v>
      </c>
    </row>
    <row r="19" spans="1:11" ht="42" customHeight="1" x14ac:dyDescent="0.25">
      <c r="A19" s="6">
        <v>4</v>
      </c>
      <c r="B19" s="7"/>
      <c r="C19" s="8" t="s">
        <v>48</v>
      </c>
      <c r="D19" s="9">
        <v>1</v>
      </c>
      <c r="E19" s="6" t="s">
        <v>28</v>
      </c>
      <c r="F19" s="10">
        <v>455967</v>
      </c>
      <c r="G19" s="10">
        <f>IF(F19="","",D19*F19)</f>
        <v>455967</v>
      </c>
      <c r="H19" s="6">
        <v>25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>IF(J19="","",D19*J19)</f>
        <v>#REF!</v>
      </c>
    </row>
    <row r="20" spans="1:11" ht="42" customHeight="1" x14ac:dyDescent="0.25">
      <c r="A20" s="6">
        <v>5</v>
      </c>
      <c r="B20" s="7"/>
      <c r="C20" s="8" t="s">
        <v>49</v>
      </c>
      <c r="D20" s="9">
        <v>1</v>
      </c>
      <c r="E20" s="6" t="s">
        <v>28</v>
      </c>
      <c r="F20" s="10">
        <v>328129.2</v>
      </c>
      <c r="G20" s="10">
        <f>IF(F20="","",D20*F20)</f>
        <v>328129.2</v>
      </c>
      <c r="H20" s="6">
        <v>25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>IF(J20="","",D20*J20)</f>
        <v>#REF!</v>
      </c>
    </row>
    <row r="21" spans="1:11" ht="21.75" customHeight="1" x14ac:dyDescent="0.25">
      <c r="A21" s="12"/>
      <c r="B21" s="5" t="s">
        <v>29</v>
      </c>
      <c r="C21" s="12"/>
      <c r="D21" s="12"/>
      <c r="E21" s="12"/>
      <c r="F21" s="12"/>
      <c r="G21" s="13">
        <f>SUM(G16:G20)</f>
        <v>2865101.4000000004</v>
      </c>
      <c r="H21" s="12"/>
      <c r="I21" s="3" t="e">
        <f>IF(KAR_ORANI="","KÂR ORANI GİRİLMEDİ","")</f>
        <v>#REF!</v>
      </c>
      <c r="K21" s="11" t="e">
        <f>SUM(K16:K20)</f>
        <v>#REF!</v>
      </c>
    </row>
    <row r="23" spans="1:11" ht="24" customHeight="1" x14ac:dyDescent="0.25">
      <c r="A23" s="19" t="s">
        <v>35</v>
      </c>
      <c r="B23" s="19"/>
      <c r="C23" s="19"/>
      <c r="D23" s="19"/>
      <c r="E23" s="19"/>
      <c r="F23" s="19"/>
      <c r="G23" s="19"/>
      <c r="H23" s="19"/>
      <c r="I23" s="3" t="e">
        <f>IF(GECERLILIK&lt;&gt;"","Срок действия ценового предложения "&amp;GECERLILIK&amp;" рабочих дней.","")</f>
        <v>#REF!</v>
      </c>
      <c r="J23" s="3" t="e">
        <f>IF(I23="","",COUNTIF(I$23:I23,"?*"))</f>
        <v>#REF!</v>
      </c>
    </row>
    <row r="24" spans="1:11" ht="24" customHeight="1" x14ac:dyDescent="0.25">
      <c r="A24" s="19" t="s">
        <v>36</v>
      </c>
      <c r="B24" s="19"/>
      <c r="C24" s="19"/>
      <c r="D24" s="19"/>
      <c r="E24" s="19"/>
      <c r="F24" s="19"/>
      <c r="G24" s="19"/>
      <c r="H24" s="19"/>
      <c r="I24" s="3" t="e">
        <f>IF(TESLIM_YERI&lt;&gt;"","Место поставки: "&amp;TESLIM_YERI&amp;".","")</f>
        <v>#REF!</v>
      </c>
      <c r="J24" s="3" t="e">
        <f>IF(I24="","",COUNTIF(I$23:I24,"?*"))</f>
        <v>#REF!</v>
      </c>
    </row>
    <row r="25" spans="1:11" ht="24" customHeight="1" x14ac:dyDescent="0.25">
      <c r="A25" s="19" t="s">
        <v>37</v>
      </c>
      <c r="B25" s="19"/>
      <c r="C25" s="19"/>
      <c r="D25" s="19"/>
      <c r="E25" s="19"/>
      <c r="F25" s="19"/>
      <c r="G25" s="19"/>
      <c r="H25" s="19"/>
      <c r="I25" s="3" t="e">
        <f>IF(ODEME&lt;&gt;"","Условия оплаты: "&amp;ODEME&amp;".","")</f>
        <v>#REF!</v>
      </c>
      <c r="J25" s="3" t="e">
        <f>IF(I25="","",COUNTIF(I$23:I25,"?*"))</f>
        <v>#REF!</v>
      </c>
    </row>
    <row r="26" spans="1:11" ht="24" customHeight="1" x14ac:dyDescent="0.25">
      <c r="A26" s="19" t="s">
        <v>38</v>
      </c>
      <c r="B26" s="19"/>
      <c r="C26" s="19"/>
      <c r="D26" s="19"/>
      <c r="E26" s="19"/>
      <c r="F26" s="19"/>
      <c r="G26" s="19"/>
      <c r="H26" s="19"/>
      <c r="I26" s="3" t="e">
        <f>IF(GARANTI&lt;&gt;"","Гарантия: "&amp;GARANTI&amp;".","")</f>
        <v>#REF!</v>
      </c>
      <c r="J26" s="3" t="e">
        <f>IF(I26="","",COUNTIF(I$23:I26,"?*"))</f>
        <v>#REF!</v>
      </c>
    </row>
    <row r="27" spans="1:11" ht="24" customHeight="1" x14ac:dyDescent="0.25">
      <c r="A27" s="19" t="s">
        <v>39</v>
      </c>
      <c r="B27" s="19"/>
      <c r="C27" s="19"/>
      <c r="D27" s="19"/>
      <c r="E27" s="19"/>
      <c r="F27" s="19"/>
      <c r="G27" s="19"/>
      <c r="H27" s="19"/>
      <c r="I27" s="3" t="e">
        <f>IF(1=1,"В щитах с системой сборных шин применяются "&amp;IF(BARA_MALZEME="AL","алюминиевые (Al)","медные (Cu)")&amp;" шины.","")</f>
        <v>#REF!</v>
      </c>
      <c r="J27" s="3" t="e">
        <f>IF(I27="","",COUNTIF(I$23:I27,"?*"))</f>
        <v>#REF!</v>
      </c>
    </row>
    <row r="28" spans="1:11" ht="24" customHeight="1" x14ac:dyDescent="0.25">
      <c r="A28" s="19" t="s">
        <v>40</v>
      </c>
      <c r="B28" s="19"/>
      <c r="C28" s="19"/>
      <c r="D28" s="19"/>
      <c r="E28" s="19"/>
      <c r="F28" s="19"/>
      <c r="G28" s="19"/>
      <c r="H28" s="19"/>
      <c r="I28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8" s="3" t="e">
        <f>IF(I28="","",COUNTIF(I$23:I28,"?*"))</f>
        <v>#REF!</v>
      </c>
    </row>
    <row r="29" spans="1:11" ht="24" customHeight="1" x14ac:dyDescent="0.25">
      <c r="A29" s="19" t="s">
        <v>41</v>
      </c>
      <c r="B29" s="19"/>
      <c r="C29" s="19"/>
      <c r="D29" s="19"/>
      <c r="E29" s="19"/>
      <c r="F29" s="19"/>
      <c r="G29" s="19"/>
      <c r="H29" s="19"/>
      <c r="I29" s="3" t="e">
        <f>IF(SERTIFIKAT&lt;&gt;"",SERTIFIKAT,"")</f>
        <v>#REF!</v>
      </c>
      <c r="J29" s="3" t="e">
        <f>IF(I29="","",COUNTIF(I$23:I29,"?*"))</f>
        <v>#REF!</v>
      </c>
    </row>
    <row r="30" spans="1:11" ht="24" customHeight="1" x14ac:dyDescent="0.25">
      <c r="A30" s="19" t="s">
        <v>42</v>
      </c>
      <c r="B30" s="19"/>
      <c r="C30" s="19"/>
      <c r="D30" s="19"/>
      <c r="E30" s="19"/>
      <c r="F30" s="19"/>
      <c r="G30" s="19"/>
      <c r="H30" s="19"/>
      <c r="I30" s="3" t="e">
        <f>IF(PROJE_NOT&lt;&gt;"",PROJE_NOT,"")</f>
        <v>#REF!</v>
      </c>
      <c r="J30" s="3" t="e">
        <f>IF(I30="","",COUNTIF(I$23:I30,"?*"))</f>
        <v>#REF!</v>
      </c>
    </row>
    <row r="32" spans="1:11" ht="19.5" customHeight="1" x14ac:dyDescent="0.25">
      <c r="A32" s="20" t="s">
        <v>42</v>
      </c>
      <c r="B32" s="20"/>
      <c r="C32" s="20"/>
      <c r="D32" s="20"/>
      <c r="E32" s="20"/>
      <c r="F32" s="20"/>
      <c r="G32" s="20"/>
      <c r="H32" s="20"/>
    </row>
    <row r="34" spans="1:8" ht="15" customHeight="1" x14ac:dyDescent="0.25">
      <c r="A34" s="21" t="s">
        <v>30</v>
      </c>
      <c r="B34" s="21"/>
      <c r="C34" s="21"/>
    </row>
    <row r="35" spans="1:8" x14ac:dyDescent="0.25">
      <c r="A35" s="21" t="s">
        <v>3</v>
      </c>
      <c r="B35" s="21"/>
      <c r="C35" s="21"/>
      <c r="F35" s="21" t="s">
        <v>42</v>
      </c>
      <c r="G35" s="21"/>
      <c r="H35" s="21"/>
    </row>
    <row r="38" spans="1:8" x14ac:dyDescent="0.25">
      <c r="A38" s="22" t="s">
        <v>31</v>
      </c>
      <c r="B38" s="22"/>
      <c r="C38" s="1" t="s">
        <v>43</v>
      </c>
      <c r="E38" s="23" t="s">
        <v>32</v>
      </c>
      <c r="F38" s="23"/>
      <c r="G38" s="24" t="s">
        <v>42</v>
      </c>
      <c r="H38" s="24"/>
    </row>
    <row r="39" spans="1:8" x14ac:dyDescent="0.25">
      <c r="A39" s="22" t="s">
        <v>33</v>
      </c>
      <c r="B39" s="22"/>
      <c r="C39" s="1" t="s">
        <v>43</v>
      </c>
    </row>
    <row r="40" spans="1:8" x14ac:dyDescent="0.25">
      <c r="A40" s="22" t="s">
        <v>34</v>
      </c>
      <c r="B40" s="22"/>
      <c r="C40" s="1" t="s">
        <v>44</v>
      </c>
    </row>
    <row r="41" spans="1:8" x14ac:dyDescent="0.25">
      <c r="A41" s="22" t="s">
        <v>4</v>
      </c>
      <c r="B41" s="22"/>
      <c r="C41" s="1" t="s">
        <v>43</v>
      </c>
    </row>
    <row r="42" spans="1:8" x14ac:dyDescent="0.25">
      <c r="A42" s="22" t="s">
        <v>5</v>
      </c>
      <c r="B42" s="22"/>
      <c r="C42" s="1" t="s">
        <v>43</v>
      </c>
    </row>
    <row r="43" spans="1:8" x14ac:dyDescent="0.25">
      <c r="A43" s="22" t="s">
        <v>6</v>
      </c>
      <c r="B43" s="22"/>
      <c r="C43" s="1" t="s">
        <v>43</v>
      </c>
    </row>
    <row r="44" spans="1:8" ht="33.75" customHeight="1" x14ac:dyDescent="0.25"/>
  </sheetData>
  <mergeCells count="38">
    <mergeCell ref="A39:B39"/>
    <mergeCell ref="A40:B40"/>
    <mergeCell ref="A41:B41"/>
    <mergeCell ref="A42:B42"/>
    <mergeCell ref="A43:B43"/>
    <mergeCell ref="A32:H32"/>
    <mergeCell ref="A34:C34"/>
    <mergeCell ref="A35:C35"/>
    <mergeCell ref="F35:H35"/>
    <mergeCell ref="A38:B38"/>
    <mergeCell ref="E38:F38"/>
    <mergeCell ref="G38:H38"/>
    <mergeCell ref="A26:H26"/>
    <mergeCell ref="A27:H27"/>
    <mergeCell ref="A28:H28"/>
    <mergeCell ref="A29:H29"/>
    <mergeCell ref="A30:H30"/>
    <mergeCell ref="D13:E13"/>
    <mergeCell ref="F13:H13"/>
    <mergeCell ref="A23:H23"/>
    <mergeCell ref="A24:H24"/>
    <mergeCell ref="A25:H25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2026-09-23T04:53:06Z</dcterms:created>
  <dcterms:modified xsi:type="dcterms:W3CDTF">2026-09-23T07:15:19Z</dcterms:modified>
  <dc:language>en-US</dc:language>
</cp:coreProperties>
</file>