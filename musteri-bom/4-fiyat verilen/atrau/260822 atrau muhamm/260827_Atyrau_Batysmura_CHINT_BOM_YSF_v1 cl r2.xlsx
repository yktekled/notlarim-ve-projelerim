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2 atrau muhamm\"/>
    </mc:Choice>
  </mc:AlternateContent>
  <xr:revisionPtr revIDLastSave="0" documentId="13_ncr:1_{972551FB-157A-46F0-A1D1-2C7C65D887D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  <sheet name="СВОД" sheetId="2" r:id="rId2"/>
    <sheet name="Kurallar" sheetId="3" r:id="rId3"/>
    <sheet name="KP-TEKLIF" sheetId="4" r:id="rId4"/>
  </sheets>
  <definedNames>
    <definedName name="_xlnm._FilterDatabase" localSheetId="0" hidden="1">BOM!$A$4:$O$994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51" i="1" l="1"/>
  <c r="H851" i="1" s="1"/>
  <c r="G655" i="1"/>
  <c r="H655" i="1" s="1"/>
  <c r="G586" i="1"/>
  <c r="H586" i="1" s="1"/>
  <c r="L586" i="1" s="1"/>
  <c r="G573" i="1"/>
  <c r="H573" i="1" s="1"/>
  <c r="G312" i="1"/>
  <c r="H312" i="1" s="1"/>
  <c r="G303" i="1"/>
  <c r="H303" i="1" s="1"/>
  <c r="L303" i="1" s="1"/>
  <c r="G277" i="1"/>
  <c r="H277" i="1" s="1"/>
  <c r="G222" i="1"/>
  <c r="H222" i="1" s="1"/>
  <c r="L222" i="1" s="1"/>
  <c r="G651" i="1"/>
  <c r="H651" i="1" s="1"/>
  <c r="G984" i="1"/>
  <c r="H984" i="1" s="1"/>
  <c r="L984" i="1" s="1"/>
  <c r="G953" i="1"/>
  <c r="H953" i="1" s="1"/>
  <c r="L953" i="1" s="1"/>
  <c r="G946" i="1"/>
  <c r="H946" i="1" s="1"/>
  <c r="L946" i="1" s="1"/>
  <c r="G939" i="1"/>
  <c r="H939" i="1" s="1"/>
  <c r="L939" i="1" s="1"/>
  <c r="G928" i="1"/>
  <c r="H928" i="1" s="1"/>
  <c r="L928" i="1" s="1"/>
  <c r="G918" i="1"/>
  <c r="H918" i="1" s="1"/>
  <c r="L918" i="1" s="1"/>
  <c r="G910" i="1"/>
  <c r="H910" i="1" s="1"/>
  <c r="L910" i="1" s="1"/>
  <c r="G902" i="1"/>
  <c r="H902" i="1" s="1"/>
  <c r="L902" i="1" s="1"/>
  <c r="G894" i="1"/>
  <c r="H894" i="1" s="1"/>
  <c r="L894" i="1" s="1"/>
  <c r="G886" i="1"/>
  <c r="H886" i="1" s="1"/>
  <c r="L886" i="1" s="1"/>
  <c r="G869" i="1"/>
  <c r="H869" i="1" s="1"/>
  <c r="L869" i="1" s="1"/>
  <c r="G857" i="1"/>
  <c r="H857" i="1" s="1"/>
  <c r="L857" i="1" s="1"/>
  <c r="G845" i="1"/>
  <c r="H845" i="1" s="1"/>
  <c r="L845" i="1" s="1"/>
  <c r="G833" i="1"/>
  <c r="H833" i="1" s="1"/>
  <c r="L833" i="1" s="1"/>
  <c r="G820" i="1"/>
  <c r="H820" i="1" s="1"/>
  <c r="L820" i="1" s="1"/>
  <c r="G808" i="1"/>
  <c r="H808" i="1" s="1"/>
  <c r="L808" i="1" s="1"/>
  <c r="G787" i="1"/>
  <c r="H787" i="1" s="1"/>
  <c r="L787" i="1" s="1"/>
  <c r="G772" i="1"/>
  <c r="H772" i="1" s="1"/>
  <c r="L772" i="1" s="1"/>
  <c r="G761" i="1"/>
  <c r="H761" i="1" s="1"/>
  <c r="L761" i="1" s="1"/>
  <c r="G750" i="1"/>
  <c r="H750" i="1" s="1"/>
  <c r="L750" i="1" s="1"/>
  <c r="G740" i="1"/>
  <c r="H740" i="1" s="1"/>
  <c r="L740" i="1" s="1"/>
  <c r="G732" i="1"/>
  <c r="H732" i="1" s="1"/>
  <c r="L732" i="1" s="1"/>
  <c r="G721" i="1"/>
  <c r="H721" i="1" s="1"/>
  <c r="L721" i="1" s="1"/>
  <c r="G713" i="1"/>
  <c r="H713" i="1" s="1"/>
  <c r="L713" i="1" s="1"/>
  <c r="G704" i="1"/>
  <c r="H704" i="1" s="1"/>
  <c r="L704" i="1" s="1"/>
  <c r="G696" i="1"/>
  <c r="H696" i="1" s="1"/>
  <c r="L696" i="1" s="1"/>
  <c r="G690" i="1"/>
  <c r="H690" i="1" s="1"/>
  <c r="L690" i="1" s="1"/>
  <c r="G684" i="1"/>
  <c r="H684" i="1" s="1"/>
  <c r="L684" i="1" s="1"/>
  <c r="G672" i="1"/>
  <c r="H672" i="1" s="1"/>
  <c r="L672" i="1" s="1"/>
  <c r="G663" i="1"/>
  <c r="H663" i="1" s="1"/>
  <c r="L663" i="1" s="1"/>
  <c r="G650" i="1"/>
  <c r="H650" i="1" s="1"/>
  <c r="L650" i="1" s="1"/>
  <c r="G638" i="1"/>
  <c r="H638" i="1" s="1"/>
  <c r="L638" i="1" s="1"/>
  <c r="G630" i="1"/>
  <c r="H630" i="1" s="1"/>
  <c r="L630" i="1" s="1"/>
  <c r="G622" i="1"/>
  <c r="H622" i="1" s="1"/>
  <c r="L622" i="1" s="1"/>
  <c r="G606" i="1"/>
  <c r="H606" i="1" s="1"/>
  <c r="L606" i="1" s="1"/>
  <c r="G592" i="1"/>
  <c r="H592" i="1" s="1"/>
  <c r="L592" i="1" s="1"/>
  <c r="G580" i="1"/>
  <c r="H580" i="1" s="1"/>
  <c r="L580" i="1" s="1"/>
  <c r="G567" i="1"/>
  <c r="H567" i="1" s="1"/>
  <c r="L567" i="1" s="1"/>
  <c r="G546" i="1"/>
  <c r="H546" i="1" s="1"/>
  <c r="L546" i="1" s="1"/>
  <c r="G535" i="1"/>
  <c r="H535" i="1" s="1"/>
  <c r="L535" i="1" s="1"/>
  <c r="G524" i="1"/>
  <c r="H524" i="1" s="1"/>
  <c r="L524" i="1" s="1"/>
  <c r="G514" i="1"/>
  <c r="H514" i="1" s="1"/>
  <c r="L514" i="1" s="1"/>
  <c r="G503" i="1"/>
  <c r="H503" i="1" s="1"/>
  <c r="L503" i="1" s="1"/>
  <c r="G497" i="1"/>
  <c r="H497" i="1" s="1"/>
  <c r="L497" i="1" s="1"/>
  <c r="G491" i="1"/>
  <c r="H491" i="1" s="1"/>
  <c r="L491" i="1" s="1"/>
  <c r="G485" i="1"/>
  <c r="H485" i="1" s="1"/>
  <c r="L485" i="1" s="1"/>
  <c r="G473" i="1"/>
  <c r="H473" i="1" s="1"/>
  <c r="L473" i="1" s="1"/>
  <c r="G452" i="1"/>
  <c r="H452" i="1" s="1"/>
  <c r="L452" i="1" s="1"/>
  <c r="G437" i="1"/>
  <c r="H437" i="1" s="1"/>
  <c r="L437" i="1" s="1"/>
  <c r="G422" i="1"/>
  <c r="H422" i="1" s="1"/>
  <c r="L422" i="1" s="1"/>
  <c r="G411" i="1"/>
  <c r="H411" i="1" s="1"/>
  <c r="L411" i="1" s="1"/>
  <c r="G400" i="1"/>
  <c r="H400" i="1" s="1"/>
  <c r="L400" i="1" s="1"/>
  <c r="G390" i="1"/>
  <c r="H390" i="1" s="1"/>
  <c r="L390" i="1" s="1"/>
  <c r="G382" i="1"/>
  <c r="H382" i="1" s="1"/>
  <c r="L382" i="1" s="1"/>
  <c r="G373" i="1"/>
  <c r="H373" i="1" s="1"/>
  <c r="L373" i="1" s="1"/>
  <c r="G362" i="1"/>
  <c r="H362" i="1" s="1"/>
  <c r="L362" i="1" s="1"/>
  <c r="G354" i="1"/>
  <c r="H354" i="1" s="1"/>
  <c r="L354" i="1" s="1"/>
  <c r="G346" i="1"/>
  <c r="H346" i="1" s="1"/>
  <c r="L346" i="1" s="1"/>
  <c r="G340" i="1"/>
  <c r="H340" i="1" s="1"/>
  <c r="L340" i="1" s="1"/>
  <c r="G334" i="1"/>
  <c r="H334" i="1" s="1"/>
  <c r="L334" i="1" s="1"/>
  <c r="G322" i="1"/>
  <c r="H322" i="1" s="1"/>
  <c r="L322" i="1" s="1"/>
  <c r="G310" i="1"/>
  <c r="H310" i="1" s="1"/>
  <c r="L310" i="1" s="1"/>
  <c r="G294" i="1"/>
  <c r="H294" i="1" s="1"/>
  <c r="L294" i="1" s="1"/>
  <c r="G285" i="1"/>
  <c r="H285" i="1" s="1"/>
  <c r="L285" i="1" s="1"/>
  <c r="G273" i="1"/>
  <c r="H273" i="1" s="1"/>
  <c r="L273" i="1" s="1"/>
  <c r="G261" i="1"/>
  <c r="H261" i="1" s="1"/>
  <c r="L261" i="1" s="1"/>
  <c r="G253" i="1"/>
  <c r="H253" i="1" s="1"/>
  <c r="L253" i="1" s="1"/>
  <c r="G241" i="1"/>
  <c r="H241" i="1" s="1"/>
  <c r="L241" i="1" s="1"/>
  <c r="G228" i="1"/>
  <c r="H228" i="1" s="1"/>
  <c r="L228" i="1" s="1"/>
  <c r="G216" i="1"/>
  <c r="H216" i="1" s="1"/>
  <c r="L216" i="1" s="1"/>
  <c r="G203" i="1"/>
  <c r="H203" i="1" s="1"/>
  <c r="L203" i="1" s="1"/>
  <c r="G182" i="1"/>
  <c r="H182" i="1" s="1"/>
  <c r="G167" i="1"/>
  <c r="H167" i="1" s="1"/>
  <c r="L167" i="1" s="1"/>
  <c r="G152" i="1"/>
  <c r="H152" i="1" s="1"/>
  <c r="G141" i="1"/>
  <c r="H141" i="1" s="1"/>
  <c r="G130" i="1"/>
  <c r="H130" i="1" s="1"/>
  <c r="L130" i="1" s="1"/>
  <c r="G120" i="1"/>
  <c r="H120" i="1" s="1"/>
  <c r="G109" i="1"/>
  <c r="H109" i="1" s="1"/>
  <c r="L109" i="1" s="1"/>
  <c r="G100" i="1"/>
  <c r="H100" i="1" s="1"/>
  <c r="G94" i="1"/>
  <c r="H94" i="1" s="1"/>
  <c r="L94" i="1" s="1"/>
  <c r="G88" i="1"/>
  <c r="H88" i="1" s="1"/>
  <c r="G82" i="1"/>
  <c r="H82" i="1" s="1"/>
  <c r="G61" i="1"/>
  <c r="H61" i="1" s="1"/>
  <c r="G50" i="1"/>
  <c r="H50" i="1" s="1"/>
  <c r="L50" i="1" s="1"/>
  <c r="G39" i="1"/>
  <c r="H39" i="1" s="1"/>
  <c r="L39" i="1" s="1"/>
  <c r="G29" i="1"/>
  <c r="H29" i="1" s="1"/>
  <c r="L29" i="1" s="1"/>
  <c r="G18" i="1"/>
  <c r="H18" i="1" s="1"/>
  <c r="L18" i="1" s="1"/>
  <c r="G12" i="1"/>
  <c r="H12" i="1" s="1"/>
  <c r="G852" i="1"/>
  <c r="H852" i="1" s="1"/>
  <c r="L852" i="1" s="1"/>
  <c r="G826" i="1"/>
  <c r="H826" i="1" s="1"/>
  <c r="L826" i="1" s="1"/>
  <c r="G744" i="1"/>
  <c r="H744" i="1" s="1"/>
  <c r="L744" i="1" s="1"/>
  <c r="G679" i="1"/>
  <c r="H679" i="1" s="1"/>
  <c r="L679" i="1" s="1"/>
  <c r="G656" i="1"/>
  <c r="H656" i="1" s="1"/>
  <c r="L656" i="1" s="1"/>
  <c r="G617" i="1"/>
  <c r="H617" i="1" s="1"/>
  <c r="L617" i="1" s="1"/>
  <c r="G601" i="1"/>
  <c r="H601" i="1" s="1"/>
  <c r="L601" i="1" s="1"/>
  <c r="G587" i="1"/>
  <c r="H587" i="1" s="1"/>
  <c r="L587" i="1" s="1"/>
  <c r="G571" i="1"/>
  <c r="H571" i="1" s="1"/>
  <c r="L571" i="1" s="1"/>
  <c r="G518" i="1"/>
  <c r="H518" i="1" s="1"/>
  <c r="L518" i="1" s="1"/>
  <c r="G394" i="1"/>
  <c r="H394" i="1" s="1"/>
  <c r="L394" i="1" s="1"/>
  <c r="G329" i="1"/>
  <c r="H329" i="1" s="1"/>
  <c r="L329" i="1" s="1"/>
  <c r="G317" i="1"/>
  <c r="H317" i="1" s="1"/>
  <c r="L317" i="1" s="1"/>
  <c r="G313" i="1"/>
  <c r="H313" i="1" s="1"/>
  <c r="L313" i="1" s="1"/>
  <c r="G302" i="1"/>
  <c r="H302" i="1" s="1"/>
  <c r="L302" i="1" s="1"/>
  <c r="G278" i="1"/>
  <c r="H278" i="1" s="1"/>
  <c r="L278" i="1" s="1"/>
  <c r="G248" i="1"/>
  <c r="H248" i="1" s="1"/>
  <c r="L248" i="1" s="1"/>
  <c r="G236" i="1"/>
  <c r="H236" i="1" s="1"/>
  <c r="L236" i="1" s="1"/>
  <c r="G223" i="1"/>
  <c r="H223" i="1" s="1"/>
  <c r="L223" i="1" s="1"/>
  <c r="G207" i="1"/>
  <c r="H207" i="1" s="1"/>
  <c r="L207" i="1" s="1"/>
  <c r="G124" i="1"/>
  <c r="H124" i="1" s="1"/>
  <c r="L124" i="1" s="1"/>
  <c r="G33" i="1"/>
  <c r="H33" i="1" s="1"/>
  <c r="L33" i="1" s="1"/>
  <c r="G204" i="1"/>
  <c r="H204" i="1" s="1"/>
  <c r="G803" i="1"/>
  <c r="H803" i="1" s="1"/>
  <c r="G804" i="1" s="1"/>
  <c r="H804" i="1" s="1"/>
  <c r="G562" i="1"/>
  <c r="H562" i="1" s="1"/>
  <c r="G563" i="1" s="1"/>
  <c r="H563" i="1" s="1"/>
  <c r="G468" i="1"/>
  <c r="H468" i="1" s="1"/>
  <c r="G469" i="1" s="1"/>
  <c r="H469" i="1" s="1"/>
  <c r="G198" i="1"/>
  <c r="H198" i="1" s="1"/>
  <c r="G199" i="1" s="1"/>
  <c r="H199" i="1" s="1"/>
  <c r="L199" i="1" s="1"/>
  <c r="G77" i="1"/>
  <c r="H77" i="1" s="1"/>
  <c r="G78" i="1" s="1"/>
  <c r="H78" i="1" s="1"/>
  <c r="L78" i="1" s="1"/>
  <c r="B6" i="1"/>
  <c r="B7" i="1" s="1"/>
  <c r="B8" i="1" s="1"/>
  <c r="B9" i="1" s="1"/>
  <c r="B12" i="1"/>
  <c r="B13" i="1" s="1"/>
  <c r="B14" i="1" s="1"/>
  <c r="B15" i="1" s="1"/>
  <c r="B18" i="1"/>
  <c r="B19" i="1" s="1"/>
  <c r="B20" i="1" s="1"/>
  <c r="B21" i="1" s="1"/>
  <c r="B22" i="1" s="1"/>
  <c r="B23" i="1" s="1"/>
  <c r="B24" i="1" s="1"/>
  <c r="B25" i="1" s="1"/>
  <c r="B26" i="1" s="1"/>
  <c r="B29" i="1"/>
  <c r="B30" i="1" s="1"/>
  <c r="B31" i="1" s="1"/>
  <c r="B32" i="1" s="1"/>
  <c r="B33" i="1" s="1"/>
  <c r="B34" i="1" s="1"/>
  <c r="B35" i="1" s="1"/>
  <c r="B36" i="1" s="1"/>
  <c r="B39" i="1"/>
  <c r="B40" i="1" s="1"/>
  <c r="B41" i="1" s="1"/>
  <c r="B42" i="1" s="1"/>
  <c r="B43" i="1" s="1"/>
  <c r="B44" i="1" s="1"/>
  <c r="B45" i="1" s="1"/>
  <c r="B46" i="1" s="1"/>
  <c r="B47" i="1" s="1"/>
  <c r="B50" i="1"/>
  <c r="B51" i="1" s="1"/>
  <c r="B52" i="1" s="1"/>
  <c r="B53" i="1" s="1"/>
  <c r="B54" i="1" s="1"/>
  <c r="B55" i="1" s="1"/>
  <c r="B56" i="1" s="1"/>
  <c r="B57" i="1" s="1"/>
  <c r="B58" i="1" s="1"/>
  <c r="B61" i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6" i="1"/>
  <c r="B77" i="1" s="1"/>
  <c r="B78" i="1" s="1"/>
  <c r="B79" i="1" s="1"/>
  <c r="B82" i="1"/>
  <c r="B83" i="1" s="1"/>
  <c r="B84" i="1" s="1"/>
  <c r="B85" i="1" s="1"/>
  <c r="B88" i="1"/>
  <c r="B89" i="1" s="1"/>
  <c r="B90" i="1" s="1"/>
  <c r="B91" i="1" s="1"/>
  <c r="B94" i="1"/>
  <c r="B95" i="1" s="1"/>
  <c r="B96" i="1" s="1"/>
  <c r="B97" i="1" s="1"/>
  <c r="B100" i="1"/>
  <c r="B101" i="1" s="1"/>
  <c r="B102" i="1" s="1"/>
  <c r="B103" i="1" s="1"/>
  <c r="B104" i="1" s="1"/>
  <c r="B105" i="1" s="1"/>
  <c r="B106" i="1" s="1"/>
  <c r="B109" i="1"/>
  <c r="B110" i="1" s="1"/>
  <c r="B111" i="1" s="1"/>
  <c r="B112" i="1" s="1"/>
  <c r="B113" i="1" s="1"/>
  <c r="B114" i="1" s="1"/>
  <c r="B115" i="1" s="1"/>
  <c r="B116" i="1" s="1"/>
  <c r="B117" i="1" s="1"/>
  <c r="B120" i="1"/>
  <c r="B121" i="1" s="1"/>
  <c r="B122" i="1" s="1"/>
  <c r="B123" i="1" s="1"/>
  <c r="B124" i="1" s="1"/>
  <c r="B125" i="1" s="1"/>
  <c r="B126" i="1" s="1"/>
  <c r="B127" i="1" s="1"/>
  <c r="B130" i="1"/>
  <c r="B131" i="1" s="1"/>
  <c r="B132" i="1" s="1"/>
  <c r="B133" i="1" s="1"/>
  <c r="B134" i="1" s="1"/>
  <c r="B135" i="1" s="1"/>
  <c r="B136" i="1" s="1"/>
  <c r="B137" i="1" s="1"/>
  <c r="B138" i="1" s="1"/>
  <c r="B141" i="1"/>
  <c r="B142" i="1" s="1"/>
  <c r="B143" i="1" s="1"/>
  <c r="B144" i="1" s="1"/>
  <c r="B145" i="1" s="1"/>
  <c r="B146" i="1" s="1"/>
  <c r="B147" i="1" s="1"/>
  <c r="B148" i="1" s="1"/>
  <c r="B149" i="1" s="1"/>
  <c r="B152" i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7" i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2" i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7" i="1"/>
  <c r="B198" i="1" s="1"/>
  <c r="B199" i="1" s="1"/>
  <c r="B200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6" i="1"/>
  <c r="B217" i="1" s="1"/>
  <c r="B218" i="1" s="1"/>
  <c r="B219" i="1" s="1"/>
  <c r="B220" i="1" s="1"/>
  <c r="B221" i="1" s="1"/>
  <c r="B222" i="1" s="1"/>
  <c r="B223" i="1" s="1"/>
  <c r="B224" i="1" s="1"/>
  <c r="B225" i="1" s="1"/>
  <c r="B228" i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41" i="1"/>
  <c r="B242" i="1" s="1"/>
  <c r="B243" i="1" s="1"/>
  <c r="B244" i="1" s="1"/>
  <c r="B245" i="1" s="1"/>
  <c r="B246" i="1" s="1"/>
  <c r="B247" i="1" s="1"/>
  <c r="B248" i="1" s="1"/>
  <c r="B249" i="1" s="1"/>
  <c r="B250" i="1" s="1"/>
  <c r="B253" i="1"/>
  <c r="B254" i="1" s="1"/>
  <c r="B255" i="1" s="1"/>
  <c r="B256" i="1" s="1"/>
  <c r="B257" i="1" s="1"/>
  <c r="B258" i="1" s="1"/>
  <c r="B261" i="1"/>
  <c r="B262" i="1" s="1"/>
  <c r="B263" i="1" s="1"/>
  <c r="B264" i="1" s="1"/>
  <c r="B265" i="1" s="1"/>
  <c r="B266" i="1" s="1"/>
  <c r="B267" i="1" s="1"/>
  <c r="B268" i="1" s="1"/>
  <c r="B269" i="1" s="1"/>
  <c r="B270" i="1" s="1"/>
  <c r="B273" i="1"/>
  <c r="B274" i="1" s="1"/>
  <c r="B275" i="1" s="1"/>
  <c r="B276" i="1" s="1"/>
  <c r="B277" i="1" s="1"/>
  <c r="B278" i="1" s="1"/>
  <c r="B279" i="1" s="1"/>
  <c r="B280" i="1" s="1"/>
  <c r="B281" i="1" s="1"/>
  <c r="B282" i="1" s="1"/>
  <c r="B285" i="1"/>
  <c r="B286" i="1" s="1"/>
  <c r="B287" i="1" s="1"/>
  <c r="B288" i="1" s="1"/>
  <c r="B289" i="1" s="1"/>
  <c r="B290" i="1" s="1"/>
  <c r="B291" i="1" s="1"/>
  <c r="B294" i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10" i="1"/>
  <c r="B311" i="1" s="1"/>
  <c r="B312" i="1" s="1"/>
  <c r="B313" i="1" s="1"/>
  <c r="B314" i="1" s="1"/>
  <c r="B315" i="1" s="1"/>
  <c r="B316" i="1" s="1"/>
  <c r="B317" i="1" s="1"/>
  <c r="B318" i="1" s="1"/>
  <c r="B319" i="1" s="1"/>
  <c r="B322" i="1"/>
  <c r="B323" i="1" s="1"/>
  <c r="B324" i="1" s="1"/>
  <c r="B325" i="1" s="1"/>
  <c r="B326" i="1" s="1"/>
  <c r="B327" i="1" s="1"/>
  <c r="B328" i="1" s="1"/>
  <c r="B329" i="1" s="1"/>
  <c r="B330" i="1" s="1"/>
  <c r="B331" i="1" s="1"/>
  <c r="B334" i="1"/>
  <c r="B335" i="1" s="1"/>
  <c r="B336" i="1" s="1"/>
  <c r="B337" i="1" s="1"/>
  <c r="B340" i="1"/>
  <c r="B341" i="1" s="1"/>
  <c r="B342" i="1" s="1"/>
  <c r="B343" i="1" s="1"/>
  <c r="B346" i="1"/>
  <c r="B347" i="1" s="1"/>
  <c r="B348" i="1" s="1"/>
  <c r="B349" i="1" s="1"/>
  <c r="B350" i="1" s="1"/>
  <c r="B351" i="1" s="1"/>
  <c r="B354" i="1"/>
  <c r="B355" i="1" s="1"/>
  <c r="B356" i="1" s="1"/>
  <c r="B357" i="1" s="1"/>
  <c r="B358" i="1" s="1"/>
  <c r="B359" i="1" s="1"/>
  <c r="B362" i="1"/>
  <c r="B363" i="1" s="1"/>
  <c r="B364" i="1" s="1"/>
  <c r="B365" i="1" s="1"/>
  <c r="B366" i="1" s="1"/>
  <c r="B367" i="1" s="1"/>
  <c r="B368" i="1" s="1"/>
  <c r="B369" i="1" s="1"/>
  <c r="B370" i="1" s="1"/>
  <c r="B373" i="1"/>
  <c r="B374" i="1" s="1"/>
  <c r="B375" i="1" s="1"/>
  <c r="B376" i="1" s="1"/>
  <c r="B377" i="1" s="1"/>
  <c r="B378" i="1" s="1"/>
  <c r="B379" i="1" s="1"/>
  <c r="B382" i="1"/>
  <c r="B383" i="1" s="1"/>
  <c r="B384" i="1" s="1"/>
  <c r="B385" i="1" s="1"/>
  <c r="B386" i="1" s="1"/>
  <c r="B387" i="1" s="1"/>
  <c r="B390" i="1"/>
  <c r="B391" i="1" s="1"/>
  <c r="B392" i="1" s="1"/>
  <c r="B393" i="1" s="1"/>
  <c r="B394" i="1" s="1"/>
  <c r="B395" i="1" s="1"/>
  <c r="B396" i="1" s="1"/>
  <c r="B397" i="1" s="1"/>
  <c r="B400" i="1"/>
  <c r="B401" i="1" s="1"/>
  <c r="B402" i="1" s="1"/>
  <c r="B403" i="1" s="1"/>
  <c r="B404" i="1" s="1"/>
  <c r="B405" i="1" s="1"/>
  <c r="B406" i="1" s="1"/>
  <c r="B407" i="1" s="1"/>
  <c r="B408" i="1" s="1"/>
  <c r="B411" i="1"/>
  <c r="B412" i="1" s="1"/>
  <c r="B413" i="1" s="1"/>
  <c r="B414" i="1" s="1"/>
  <c r="B415" i="1" s="1"/>
  <c r="B416" i="1" s="1"/>
  <c r="B417" i="1" s="1"/>
  <c r="B418" i="1" s="1"/>
  <c r="B419" i="1" s="1"/>
  <c r="B422" i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7" i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2" i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7" i="1"/>
  <c r="B468" i="1" s="1"/>
  <c r="B469" i="1" s="1"/>
  <c r="B470" i="1" s="1"/>
  <c r="B473" i="1"/>
  <c r="B474" i="1" s="1"/>
  <c r="B475" i="1" s="1"/>
  <c r="B476" i="1" s="1"/>
  <c r="B477" i="1" s="1"/>
  <c r="B478" i="1" s="1"/>
  <c r="B479" i="1" s="1"/>
  <c r="B480" i="1" s="1"/>
  <c r="B481" i="1" s="1"/>
  <c r="B482" i="1" s="1"/>
  <c r="B485" i="1"/>
  <c r="B486" i="1" s="1"/>
  <c r="B487" i="1" s="1"/>
  <c r="B488" i="1" s="1"/>
  <c r="B491" i="1"/>
  <c r="B492" i="1" s="1"/>
  <c r="B493" i="1" s="1"/>
  <c r="B494" i="1" s="1"/>
  <c r="B497" i="1"/>
  <c r="B498" i="1" s="1"/>
  <c r="B499" i="1" s="1"/>
  <c r="B500" i="1" s="1"/>
  <c r="B503" i="1"/>
  <c r="B504" i="1" s="1"/>
  <c r="B505" i="1" s="1"/>
  <c r="B506" i="1" s="1"/>
  <c r="B507" i="1" s="1"/>
  <c r="B508" i="1" s="1"/>
  <c r="B509" i="1" s="1"/>
  <c r="B510" i="1" s="1"/>
  <c r="B511" i="1" s="1"/>
  <c r="B514" i="1"/>
  <c r="B515" i="1" s="1"/>
  <c r="B516" i="1" s="1"/>
  <c r="B517" i="1" s="1"/>
  <c r="B518" i="1" s="1"/>
  <c r="B519" i="1" s="1"/>
  <c r="B520" i="1" s="1"/>
  <c r="B521" i="1" s="1"/>
  <c r="B524" i="1"/>
  <c r="B525" i="1" s="1"/>
  <c r="B526" i="1" s="1"/>
  <c r="B527" i="1" s="1"/>
  <c r="B528" i="1" s="1"/>
  <c r="B529" i="1" s="1"/>
  <c r="B530" i="1" s="1"/>
  <c r="B531" i="1" s="1"/>
  <c r="B532" i="1" s="1"/>
  <c r="B535" i="1"/>
  <c r="B536" i="1" s="1"/>
  <c r="B537" i="1" s="1"/>
  <c r="B538" i="1" s="1"/>
  <c r="B539" i="1" s="1"/>
  <c r="B540" i="1" s="1"/>
  <c r="B541" i="1" s="1"/>
  <c r="B542" i="1" s="1"/>
  <c r="B543" i="1" s="1"/>
  <c r="B546" i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61" i="1"/>
  <c r="B562" i="1" s="1"/>
  <c r="B563" i="1" s="1"/>
  <c r="B564" i="1" s="1"/>
  <c r="B567" i="1"/>
  <c r="B568" i="1" s="1"/>
  <c r="B569" i="1" s="1"/>
  <c r="B570" i="1" s="1"/>
  <c r="B571" i="1" s="1"/>
  <c r="B572" i="1" s="1"/>
  <c r="B573" i="1" s="1"/>
  <c r="B574" i="1" s="1"/>
  <c r="B575" i="1" s="1"/>
  <c r="B576" i="1" s="1"/>
  <c r="B580" i="1"/>
  <c r="B581" i="1" s="1"/>
  <c r="B582" i="1" s="1"/>
  <c r="B583" i="1" s="1"/>
  <c r="B584" i="1" s="1"/>
  <c r="B585" i="1" s="1"/>
  <c r="B586" i="1" s="1"/>
  <c r="B587" i="1" s="1"/>
  <c r="B588" i="1" s="1"/>
  <c r="B589" i="1" s="1"/>
  <c r="B592" i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6" i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2" i="1"/>
  <c r="B623" i="1" s="1"/>
  <c r="B624" i="1" s="1"/>
  <c r="B625" i="1" s="1"/>
  <c r="B626" i="1" s="1"/>
  <c r="B627" i="1" s="1"/>
  <c r="B630" i="1"/>
  <c r="B631" i="1" s="1"/>
  <c r="B632" i="1" s="1"/>
  <c r="B633" i="1" s="1"/>
  <c r="B634" i="1" s="1"/>
  <c r="B635" i="1" s="1"/>
  <c r="B638" i="1"/>
  <c r="B639" i="1" s="1"/>
  <c r="B640" i="1" s="1"/>
  <c r="B641" i="1" s="1"/>
  <c r="B642" i="1" s="1"/>
  <c r="B643" i="1" s="1"/>
  <c r="B644" i="1" s="1"/>
  <c r="B645" i="1" s="1"/>
  <c r="B646" i="1" s="1"/>
  <c r="B647" i="1" s="1"/>
  <c r="B650" i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3" i="1"/>
  <c r="B664" i="1" s="1"/>
  <c r="B665" i="1" s="1"/>
  <c r="B666" i="1" s="1"/>
  <c r="B667" i="1" s="1"/>
  <c r="B668" i="1" s="1"/>
  <c r="B672" i="1"/>
  <c r="B673" i="1" s="1"/>
  <c r="B674" i="1" s="1"/>
  <c r="B675" i="1" s="1"/>
  <c r="B676" i="1" s="1"/>
  <c r="B677" i="1" s="1"/>
  <c r="B678" i="1" s="1"/>
  <c r="B679" i="1" s="1"/>
  <c r="B680" i="1" s="1"/>
  <c r="B681" i="1" s="1"/>
  <c r="B684" i="1"/>
  <c r="B685" i="1" s="1"/>
  <c r="B686" i="1" s="1"/>
  <c r="B687" i="1" s="1"/>
  <c r="B690" i="1"/>
  <c r="B691" i="1" s="1"/>
  <c r="B692" i="1" s="1"/>
  <c r="B693" i="1" s="1"/>
  <c r="B696" i="1"/>
  <c r="B697" i="1" s="1"/>
  <c r="B698" i="1" s="1"/>
  <c r="B699" i="1" s="1"/>
  <c r="B700" i="1" s="1"/>
  <c r="B701" i="1" s="1"/>
  <c r="B704" i="1"/>
  <c r="B705" i="1" s="1"/>
  <c r="B706" i="1" s="1"/>
  <c r="B707" i="1" s="1"/>
  <c r="B708" i="1" s="1"/>
  <c r="B709" i="1" s="1"/>
  <c r="B710" i="1" s="1"/>
  <c r="B713" i="1"/>
  <c r="B714" i="1" s="1"/>
  <c r="B715" i="1" s="1"/>
  <c r="B716" i="1" s="1"/>
  <c r="B717" i="1" s="1"/>
  <c r="B718" i="1" s="1"/>
  <c r="B721" i="1"/>
  <c r="B722" i="1" s="1"/>
  <c r="B723" i="1" s="1"/>
  <c r="B724" i="1" s="1"/>
  <c r="B725" i="1" s="1"/>
  <c r="B726" i="1" s="1"/>
  <c r="B727" i="1" s="1"/>
  <c r="B728" i="1" s="1"/>
  <c r="B729" i="1" s="1"/>
  <c r="B732" i="1"/>
  <c r="B733" i="1" s="1"/>
  <c r="B734" i="1" s="1"/>
  <c r="B735" i="1" s="1"/>
  <c r="B736" i="1" s="1"/>
  <c r="B737" i="1" s="1"/>
  <c r="B740" i="1"/>
  <c r="B741" i="1" s="1"/>
  <c r="B742" i="1" s="1"/>
  <c r="B743" i="1" s="1"/>
  <c r="B744" i="1" s="1"/>
  <c r="B745" i="1" s="1"/>
  <c r="B746" i="1" s="1"/>
  <c r="B747" i="1" s="1"/>
  <c r="B750" i="1"/>
  <c r="B751" i="1" s="1"/>
  <c r="B752" i="1" s="1"/>
  <c r="B753" i="1" s="1"/>
  <c r="B754" i="1" s="1"/>
  <c r="B755" i="1" s="1"/>
  <c r="B756" i="1" s="1"/>
  <c r="B757" i="1" s="1"/>
  <c r="B758" i="1" s="1"/>
  <c r="B761" i="1"/>
  <c r="B762" i="1" s="1"/>
  <c r="B763" i="1" s="1"/>
  <c r="B764" i="1" s="1"/>
  <c r="B765" i="1" s="1"/>
  <c r="B766" i="1" s="1"/>
  <c r="B767" i="1" s="1"/>
  <c r="B768" i="1" s="1"/>
  <c r="B769" i="1" s="1"/>
  <c r="B772" i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7" i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2" i="1"/>
  <c r="B803" i="1" s="1"/>
  <c r="B804" i="1" s="1"/>
  <c r="B805" i="1" s="1"/>
  <c r="B808" i="1"/>
  <c r="B809" i="1" s="1"/>
  <c r="B810" i="1" s="1"/>
  <c r="B811" i="1" s="1"/>
  <c r="B812" i="1" s="1"/>
  <c r="B813" i="1" s="1"/>
  <c r="B814" i="1" s="1"/>
  <c r="B815" i="1" s="1"/>
  <c r="B816" i="1" s="1"/>
  <c r="B817" i="1" s="1"/>
  <c r="B820" i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3" i="1"/>
  <c r="B834" i="1" s="1"/>
  <c r="B835" i="1" s="1"/>
  <c r="B836" i="1" s="1"/>
  <c r="B837" i="1" s="1"/>
  <c r="B838" i="1" s="1"/>
  <c r="B839" i="1" s="1"/>
  <c r="B840" i="1" s="1"/>
  <c r="B841" i="1" s="1"/>
  <c r="B842" i="1" s="1"/>
  <c r="B845" i="1"/>
  <c r="B846" i="1" s="1"/>
  <c r="B847" i="1" s="1"/>
  <c r="B848" i="1" s="1"/>
  <c r="B849" i="1" s="1"/>
  <c r="B850" i="1" s="1"/>
  <c r="B851" i="1" s="1"/>
  <c r="B852" i="1" s="1"/>
  <c r="B853" i="1" s="1"/>
  <c r="B854" i="1" s="1"/>
  <c r="B857" i="1"/>
  <c r="B858" i="1" s="1"/>
  <c r="B859" i="1" s="1"/>
  <c r="B860" i="1" s="1"/>
  <c r="B861" i="1" s="1"/>
  <c r="B862" i="1" s="1"/>
  <c r="B863" i="1" s="1"/>
  <c r="B864" i="1" s="1"/>
  <c r="B865" i="1" s="1"/>
  <c r="B866" i="1" s="1"/>
  <c r="B869" i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6" i="1"/>
  <c r="B887" i="1" s="1"/>
  <c r="B888" i="1" s="1"/>
  <c r="B889" i="1" s="1"/>
  <c r="B890" i="1" s="1"/>
  <c r="B891" i="1" s="1"/>
  <c r="B894" i="1"/>
  <c r="B895" i="1" s="1"/>
  <c r="B896" i="1" s="1"/>
  <c r="B897" i="1" s="1"/>
  <c r="B898" i="1" s="1"/>
  <c r="B899" i="1" s="1"/>
  <c r="B902" i="1"/>
  <c r="B903" i="1" s="1"/>
  <c r="B904" i="1" s="1"/>
  <c r="B905" i="1" s="1"/>
  <c r="B906" i="1" s="1"/>
  <c r="B907" i="1" s="1"/>
  <c r="B910" i="1"/>
  <c r="B911" i="1" s="1"/>
  <c r="B912" i="1" s="1"/>
  <c r="B913" i="1" s="1"/>
  <c r="B914" i="1" s="1"/>
  <c r="B915" i="1" s="1"/>
  <c r="B918" i="1"/>
  <c r="B919" i="1" s="1"/>
  <c r="B920" i="1" s="1"/>
  <c r="B921" i="1" s="1"/>
  <c r="B922" i="1" s="1"/>
  <c r="B923" i="1" s="1"/>
  <c r="B924" i="1" s="1"/>
  <c r="B925" i="1" s="1"/>
  <c r="B928" i="1"/>
  <c r="B929" i="1" s="1"/>
  <c r="B930" i="1" s="1"/>
  <c r="B931" i="1" s="1"/>
  <c r="B932" i="1" s="1"/>
  <c r="B933" i="1" s="1"/>
  <c r="B934" i="1" s="1"/>
  <c r="B935" i="1" s="1"/>
  <c r="B936" i="1" s="1"/>
  <c r="B939" i="1"/>
  <c r="B940" i="1" s="1"/>
  <c r="B941" i="1" s="1"/>
  <c r="B942" i="1" s="1"/>
  <c r="B943" i="1" s="1"/>
  <c r="B946" i="1"/>
  <c r="B947" i="1" s="1"/>
  <c r="B948" i="1" s="1"/>
  <c r="B949" i="1" s="1"/>
  <c r="B950" i="1" s="1"/>
  <c r="B953" i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4" i="1"/>
  <c r="B985" i="1" s="1"/>
  <c r="B986" i="1" s="1"/>
  <c r="B987" i="1" s="1"/>
  <c r="B988" i="1" s="1"/>
  <c r="B989" i="1" s="1"/>
  <c r="B990" i="1" s="1"/>
  <c r="B991" i="1" s="1"/>
  <c r="B992" i="1" s="1"/>
  <c r="B993" i="1" s="1"/>
  <c r="F98" i="2"/>
  <c r="C98" i="2"/>
  <c r="G993" i="1"/>
  <c r="O991" i="1"/>
  <c r="G991" i="1"/>
  <c r="H991" i="1" s="1"/>
  <c r="L991" i="1" s="1"/>
  <c r="O990" i="1"/>
  <c r="G990" i="1"/>
  <c r="H990" i="1" s="1"/>
  <c r="L990" i="1" s="1"/>
  <c r="O989" i="1"/>
  <c r="G989" i="1"/>
  <c r="H989" i="1" s="1"/>
  <c r="L989" i="1" s="1"/>
  <c r="O988" i="1"/>
  <c r="G988" i="1"/>
  <c r="H988" i="1" s="1"/>
  <c r="L988" i="1" s="1"/>
  <c r="O987" i="1"/>
  <c r="G987" i="1"/>
  <c r="H987" i="1" s="1"/>
  <c r="L987" i="1" s="1"/>
  <c r="O986" i="1"/>
  <c r="G986" i="1"/>
  <c r="H986" i="1" s="1"/>
  <c r="L986" i="1" s="1"/>
  <c r="O985" i="1"/>
  <c r="G985" i="1"/>
  <c r="H985" i="1" s="1"/>
  <c r="L985" i="1" s="1"/>
  <c r="O984" i="1"/>
  <c r="G981" i="1"/>
  <c r="O979" i="1"/>
  <c r="G979" i="1"/>
  <c r="H979" i="1" s="1"/>
  <c r="L979" i="1" s="1"/>
  <c r="O978" i="1"/>
  <c r="G978" i="1"/>
  <c r="H978" i="1" s="1"/>
  <c r="L978" i="1" s="1"/>
  <c r="O977" i="1"/>
  <c r="G977" i="1"/>
  <c r="H977" i="1" s="1"/>
  <c r="L977" i="1" s="1"/>
  <c r="O976" i="1"/>
  <c r="G976" i="1"/>
  <c r="H976" i="1" s="1"/>
  <c r="L976" i="1" s="1"/>
  <c r="O975" i="1"/>
  <c r="G975" i="1"/>
  <c r="H975" i="1" s="1"/>
  <c r="L975" i="1" s="1"/>
  <c r="O974" i="1"/>
  <c r="G974" i="1"/>
  <c r="H974" i="1" s="1"/>
  <c r="L974" i="1" s="1"/>
  <c r="O973" i="1"/>
  <c r="G973" i="1"/>
  <c r="H973" i="1" s="1"/>
  <c r="L973" i="1" s="1"/>
  <c r="O972" i="1"/>
  <c r="G972" i="1"/>
  <c r="H972" i="1" s="1"/>
  <c r="L972" i="1" s="1"/>
  <c r="O971" i="1"/>
  <c r="G971" i="1"/>
  <c r="H971" i="1" s="1"/>
  <c r="L971" i="1" s="1"/>
  <c r="O970" i="1"/>
  <c r="G970" i="1"/>
  <c r="H970" i="1" s="1"/>
  <c r="L970" i="1" s="1"/>
  <c r="O969" i="1"/>
  <c r="G969" i="1"/>
  <c r="H969" i="1" s="1"/>
  <c r="L969" i="1" s="1"/>
  <c r="O968" i="1"/>
  <c r="G968" i="1"/>
  <c r="H968" i="1" s="1"/>
  <c r="L968" i="1" s="1"/>
  <c r="O967" i="1"/>
  <c r="G967" i="1"/>
  <c r="H967" i="1" s="1"/>
  <c r="L967" i="1" s="1"/>
  <c r="O966" i="1"/>
  <c r="G966" i="1"/>
  <c r="H966" i="1" s="1"/>
  <c r="L966" i="1" s="1"/>
  <c r="O965" i="1"/>
  <c r="G965" i="1"/>
  <c r="H965" i="1" s="1"/>
  <c r="L965" i="1" s="1"/>
  <c r="O964" i="1"/>
  <c r="G964" i="1"/>
  <c r="H964" i="1" s="1"/>
  <c r="L964" i="1" s="1"/>
  <c r="O963" i="1"/>
  <c r="G963" i="1"/>
  <c r="H963" i="1" s="1"/>
  <c r="L963" i="1" s="1"/>
  <c r="O962" i="1"/>
  <c r="G962" i="1"/>
  <c r="H962" i="1" s="1"/>
  <c r="L962" i="1" s="1"/>
  <c r="O961" i="1"/>
  <c r="G961" i="1"/>
  <c r="H961" i="1" s="1"/>
  <c r="L961" i="1" s="1"/>
  <c r="O960" i="1"/>
  <c r="G960" i="1"/>
  <c r="H960" i="1" s="1"/>
  <c r="L960" i="1" s="1"/>
  <c r="O959" i="1"/>
  <c r="G959" i="1"/>
  <c r="H959" i="1" s="1"/>
  <c r="L959" i="1" s="1"/>
  <c r="O958" i="1"/>
  <c r="G958" i="1"/>
  <c r="H958" i="1" s="1"/>
  <c r="L958" i="1" s="1"/>
  <c r="O957" i="1"/>
  <c r="G957" i="1"/>
  <c r="H957" i="1" s="1"/>
  <c r="L957" i="1" s="1"/>
  <c r="O956" i="1"/>
  <c r="G956" i="1"/>
  <c r="H956" i="1" s="1"/>
  <c r="L956" i="1" s="1"/>
  <c r="O955" i="1"/>
  <c r="G955" i="1"/>
  <c r="H955" i="1" s="1"/>
  <c r="L955" i="1" s="1"/>
  <c r="O954" i="1"/>
  <c r="G954" i="1"/>
  <c r="H954" i="1" s="1"/>
  <c r="L954" i="1" s="1"/>
  <c r="O953" i="1"/>
  <c r="G950" i="1"/>
  <c r="O948" i="1"/>
  <c r="G948" i="1"/>
  <c r="H948" i="1" s="1"/>
  <c r="L948" i="1" s="1"/>
  <c r="O947" i="1"/>
  <c r="G947" i="1"/>
  <c r="H947" i="1" s="1"/>
  <c r="L947" i="1" s="1"/>
  <c r="O946" i="1"/>
  <c r="G943" i="1"/>
  <c r="O941" i="1"/>
  <c r="G941" i="1"/>
  <c r="H941" i="1" s="1"/>
  <c r="L941" i="1" s="1"/>
  <c r="O940" i="1"/>
  <c r="G940" i="1"/>
  <c r="H940" i="1" s="1"/>
  <c r="L940" i="1" s="1"/>
  <c r="O939" i="1"/>
  <c r="G936" i="1"/>
  <c r="O934" i="1"/>
  <c r="G934" i="1"/>
  <c r="H934" i="1" s="1"/>
  <c r="L934" i="1" s="1"/>
  <c r="O933" i="1"/>
  <c r="G933" i="1"/>
  <c r="H933" i="1" s="1"/>
  <c r="L933" i="1" s="1"/>
  <c r="O932" i="1"/>
  <c r="G932" i="1"/>
  <c r="H932" i="1" s="1"/>
  <c r="L932" i="1" s="1"/>
  <c r="O931" i="1"/>
  <c r="G931" i="1"/>
  <c r="H931" i="1" s="1"/>
  <c r="L931" i="1" s="1"/>
  <c r="O930" i="1"/>
  <c r="G930" i="1"/>
  <c r="H930" i="1" s="1"/>
  <c r="L930" i="1" s="1"/>
  <c r="O929" i="1"/>
  <c r="G929" i="1"/>
  <c r="H929" i="1" s="1"/>
  <c r="L929" i="1" s="1"/>
  <c r="O928" i="1"/>
  <c r="G925" i="1"/>
  <c r="O923" i="1"/>
  <c r="G923" i="1"/>
  <c r="H923" i="1" s="1"/>
  <c r="L923" i="1" s="1"/>
  <c r="O922" i="1"/>
  <c r="G922" i="1"/>
  <c r="H922" i="1" s="1"/>
  <c r="L922" i="1" s="1"/>
  <c r="O921" i="1"/>
  <c r="G921" i="1"/>
  <c r="H921" i="1" s="1"/>
  <c r="L921" i="1" s="1"/>
  <c r="O920" i="1"/>
  <c r="G920" i="1"/>
  <c r="H920" i="1" s="1"/>
  <c r="L920" i="1" s="1"/>
  <c r="O919" i="1"/>
  <c r="G919" i="1"/>
  <c r="H919" i="1" s="1"/>
  <c r="L919" i="1" s="1"/>
  <c r="O918" i="1"/>
  <c r="G915" i="1"/>
  <c r="O913" i="1"/>
  <c r="G913" i="1"/>
  <c r="H913" i="1" s="1"/>
  <c r="O912" i="1"/>
  <c r="G912" i="1"/>
  <c r="H912" i="1" s="1"/>
  <c r="L912" i="1" s="1"/>
  <c r="O911" i="1"/>
  <c r="G911" i="1"/>
  <c r="H911" i="1" s="1"/>
  <c r="L911" i="1" s="1"/>
  <c r="O910" i="1"/>
  <c r="G907" i="1"/>
  <c r="O905" i="1"/>
  <c r="G905" i="1"/>
  <c r="H905" i="1" s="1"/>
  <c r="L905" i="1" s="1"/>
  <c r="O904" i="1"/>
  <c r="G904" i="1"/>
  <c r="H904" i="1" s="1"/>
  <c r="L904" i="1" s="1"/>
  <c r="O903" i="1"/>
  <c r="G903" i="1"/>
  <c r="H903" i="1" s="1"/>
  <c r="L903" i="1" s="1"/>
  <c r="O902" i="1"/>
  <c r="G899" i="1"/>
  <c r="O897" i="1"/>
  <c r="G897" i="1"/>
  <c r="H897" i="1" s="1"/>
  <c r="L897" i="1" s="1"/>
  <c r="O896" i="1"/>
  <c r="G896" i="1"/>
  <c r="H896" i="1" s="1"/>
  <c r="L896" i="1" s="1"/>
  <c r="O895" i="1"/>
  <c r="G895" i="1"/>
  <c r="H895" i="1" s="1"/>
  <c r="L895" i="1" s="1"/>
  <c r="O894" i="1"/>
  <c r="G891" i="1"/>
  <c r="O889" i="1"/>
  <c r="G889" i="1"/>
  <c r="H889" i="1" s="1"/>
  <c r="L889" i="1" s="1"/>
  <c r="O888" i="1"/>
  <c r="G888" i="1"/>
  <c r="H888" i="1" s="1"/>
  <c r="L888" i="1" s="1"/>
  <c r="O887" i="1"/>
  <c r="G887" i="1"/>
  <c r="H887" i="1" s="1"/>
  <c r="L887" i="1" s="1"/>
  <c r="O886" i="1"/>
  <c r="G883" i="1"/>
  <c r="O881" i="1"/>
  <c r="G881" i="1"/>
  <c r="H881" i="1" s="1"/>
  <c r="L881" i="1" s="1"/>
  <c r="O880" i="1"/>
  <c r="G880" i="1"/>
  <c r="H880" i="1" s="1"/>
  <c r="L880" i="1" s="1"/>
  <c r="O879" i="1"/>
  <c r="G879" i="1"/>
  <c r="H879" i="1" s="1"/>
  <c r="L879" i="1" s="1"/>
  <c r="O878" i="1"/>
  <c r="G878" i="1"/>
  <c r="H878" i="1" s="1"/>
  <c r="L878" i="1" s="1"/>
  <c r="O877" i="1"/>
  <c r="G877" i="1"/>
  <c r="H877" i="1" s="1"/>
  <c r="L877" i="1" s="1"/>
  <c r="O876" i="1"/>
  <c r="G876" i="1"/>
  <c r="H876" i="1" s="1"/>
  <c r="L876" i="1" s="1"/>
  <c r="O875" i="1"/>
  <c r="G875" i="1"/>
  <c r="H875" i="1" s="1"/>
  <c r="L875" i="1" s="1"/>
  <c r="O874" i="1"/>
  <c r="G874" i="1"/>
  <c r="H874" i="1" s="1"/>
  <c r="O873" i="1"/>
  <c r="G873" i="1"/>
  <c r="H873" i="1" s="1"/>
  <c r="L873" i="1" s="1"/>
  <c r="O872" i="1"/>
  <c r="G872" i="1"/>
  <c r="H872" i="1" s="1"/>
  <c r="L872" i="1" s="1"/>
  <c r="O871" i="1"/>
  <c r="G871" i="1"/>
  <c r="H871" i="1" s="1"/>
  <c r="L871" i="1" s="1"/>
  <c r="O870" i="1"/>
  <c r="G870" i="1"/>
  <c r="H870" i="1" s="1"/>
  <c r="L870" i="1" s="1"/>
  <c r="O869" i="1"/>
  <c r="G866" i="1"/>
  <c r="O864" i="1"/>
  <c r="G864" i="1"/>
  <c r="H864" i="1" s="1"/>
  <c r="L864" i="1" s="1"/>
  <c r="O863" i="1"/>
  <c r="G863" i="1"/>
  <c r="H863" i="1" s="1"/>
  <c r="L863" i="1" s="1"/>
  <c r="O862" i="1"/>
  <c r="G862" i="1"/>
  <c r="H862" i="1" s="1"/>
  <c r="L862" i="1" s="1"/>
  <c r="O861" i="1"/>
  <c r="G861" i="1"/>
  <c r="H861" i="1" s="1"/>
  <c r="L861" i="1" s="1"/>
  <c r="O860" i="1"/>
  <c r="G860" i="1"/>
  <c r="H860" i="1" s="1"/>
  <c r="L860" i="1" s="1"/>
  <c r="O859" i="1"/>
  <c r="G859" i="1"/>
  <c r="H859" i="1" s="1"/>
  <c r="L859" i="1" s="1"/>
  <c r="O858" i="1"/>
  <c r="G858" i="1"/>
  <c r="H858" i="1" s="1"/>
  <c r="L858" i="1" s="1"/>
  <c r="O857" i="1"/>
  <c r="G854" i="1"/>
  <c r="O852" i="1"/>
  <c r="O851" i="1"/>
  <c r="O850" i="1"/>
  <c r="G850" i="1"/>
  <c r="H850" i="1" s="1"/>
  <c r="L850" i="1" s="1"/>
  <c r="O849" i="1"/>
  <c r="G849" i="1"/>
  <c r="H849" i="1" s="1"/>
  <c r="L849" i="1" s="1"/>
  <c r="O848" i="1"/>
  <c r="G848" i="1"/>
  <c r="H848" i="1" s="1"/>
  <c r="L848" i="1" s="1"/>
  <c r="O847" i="1"/>
  <c r="G847" i="1"/>
  <c r="H847" i="1" s="1"/>
  <c r="L847" i="1" s="1"/>
  <c r="O846" i="1"/>
  <c r="G846" i="1"/>
  <c r="H846" i="1" s="1"/>
  <c r="O845" i="1"/>
  <c r="G842" i="1"/>
  <c r="O840" i="1"/>
  <c r="G840" i="1"/>
  <c r="H840" i="1" s="1"/>
  <c r="L840" i="1" s="1"/>
  <c r="O839" i="1"/>
  <c r="G839" i="1"/>
  <c r="H839" i="1" s="1"/>
  <c r="L839" i="1" s="1"/>
  <c r="O838" i="1"/>
  <c r="G838" i="1"/>
  <c r="H838" i="1" s="1"/>
  <c r="L838" i="1" s="1"/>
  <c r="O837" i="1"/>
  <c r="G837" i="1"/>
  <c r="H837" i="1" s="1"/>
  <c r="L837" i="1" s="1"/>
  <c r="O836" i="1"/>
  <c r="G836" i="1"/>
  <c r="H836" i="1" s="1"/>
  <c r="L836" i="1" s="1"/>
  <c r="O835" i="1"/>
  <c r="G835" i="1"/>
  <c r="H835" i="1" s="1"/>
  <c r="L835" i="1" s="1"/>
  <c r="O834" i="1"/>
  <c r="G834" i="1"/>
  <c r="H834" i="1" s="1"/>
  <c r="O833" i="1"/>
  <c r="G830" i="1"/>
  <c r="O828" i="1"/>
  <c r="G828" i="1"/>
  <c r="H828" i="1" s="1"/>
  <c r="L828" i="1" s="1"/>
  <c r="O827" i="1"/>
  <c r="G827" i="1"/>
  <c r="H827" i="1" s="1"/>
  <c r="L827" i="1" s="1"/>
  <c r="O826" i="1"/>
  <c r="O825" i="1"/>
  <c r="G825" i="1"/>
  <c r="H825" i="1" s="1"/>
  <c r="L825" i="1" s="1"/>
  <c r="O824" i="1"/>
  <c r="G824" i="1"/>
  <c r="H824" i="1" s="1"/>
  <c r="L824" i="1" s="1"/>
  <c r="O823" i="1"/>
  <c r="G823" i="1"/>
  <c r="H823" i="1" s="1"/>
  <c r="L823" i="1" s="1"/>
  <c r="O822" i="1"/>
  <c r="G822" i="1"/>
  <c r="H822" i="1" s="1"/>
  <c r="L822" i="1" s="1"/>
  <c r="O821" i="1"/>
  <c r="G821" i="1"/>
  <c r="H821" i="1" s="1"/>
  <c r="L821" i="1" s="1"/>
  <c r="O820" i="1"/>
  <c r="G817" i="1"/>
  <c r="O815" i="1"/>
  <c r="G815" i="1"/>
  <c r="H815" i="1" s="1"/>
  <c r="L815" i="1" s="1"/>
  <c r="O814" i="1"/>
  <c r="G814" i="1"/>
  <c r="H814" i="1" s="1"/>
  <c r="L814" i="1" s="1"/>
  <c r="O813" i="1"/>
  <c r="G813" i="1"/>
  <c r="H813" i="1" s="1"/>
  <c r="L813" i="1" s="1"/>
  <c r="O812" i="1"/>
  <c r="G812" i="1"/>
  <c r="H812" i="1" s="1"/>
  <c r="L812" i="1" s="1"/>
  <c r="O811" i="1"/>
  <c r="G811" i="1"/>
  <c r="H811" i="1" s="1"/>
  <c r="L811" i="1" s="1"/>
  <c r="O810" i="1"/>
  <c r="G810" i="1"/>
  <c r="H810" i="1" s="1"/>
  <c r="L810" i="1" s="1"/>
  <c r="O809" i="1"/>
  <c r="G809" i="1"/>
  <c r="H809" i="1" s="1"/>
  <c r="L809" i="1" s="1"/>
  <c r="O808" i="1"/>
  <c r="G805" i="1"/>
  <c r="O803" i="1"/>
  <c r="O802" i="1"/>
  <c r="G799" i="1"/>
  <c r="O797" i="1"/>
  <c r="G797" i="1"/>
  <c r="H797" i="1" s="1"/>
  <c r="L797" i="1" s="1"/>
  <c r="O796" i="1"/>
  <c r="G796" i="1"/>
  <c r="H796" i="1" s="1"/>
  <c r="L796" i="1" s="1"/>
  <c r="O795" i="1"/>
  <c r="G795" i="1"/>
  <c r="H795" i="1" s="1"/>
  <c r="L795" i="1" s="1"/>
  <c r="O794" i="1"/>
  <c r="G794" i="1"/>
  <c r="H794" i="1" s="1"/>
  <c r="L794" i="1" s="1"/>
  <c r="O793" i="1"/>
  <c r="G793" i="1"/>
  <c r="H793" i="1" s="1"/>
  <c r="L793" i="1" s="1"/>
  <c r="O792" i="1"/>
  <c r="G792" i="1"/>
  <c r="H792" i="1" s="1"/>
  <c r="L792" i="1" s="1"/>
  <c r="O791" i="1"/>
  <c r="G791" i="1"/>
  <c r="H791" i="1" s="1"/>
  <c r="L791" i="1" s="1"/>
  <c r="O790" i="1"/>
  <c r="G790" i="1"/>
  <c r="H790" i="1" s="1"/>
  <c r="L790" i="1" s="1"/>
  <c r="O789" i="1"/>
  <c r="G789" i="1"/>
  <c r="H789" i="1" s="1"/>
  <c r="L789" i="1" s="1"/>
  <c r="O788" i="1"/>
  <c r="G788" i="1"/>
  <c r="H788" i="1" s="1"/>
  <c r="L788" i="1" s="1"/>
  <c r="O787" i="1"/>
  <c r="G784" i="1"/>
  <c r="O782" i="1"/>
  <c r="G782" i="1"/>
  <c r="H782" i="1" s="1"/>
  <c r="L782" i="1" s="1"/>
  <c r="O781" i="1"/>
  <c r="G781" i="1"/>
  <c r="H781" i="1" s="1"/>
  <c r="L781" i="1" s="1"/>
  <c r="O780" i="1"/>
  <c r="G780" i="1"/>
  <c r="H780" i="1" s="1"/>
  <c r="L780" i="1" s="1"/>
  <c r="O779" i="1"/>
  <c r="G779" i="1"/>
  <c r="H779" i="1" s="1"/>
  <c r="L779" i="1" s="1"/>
  <c r="O778" i="1"/>
  <c r="G778" i="1"/>
  <c r="H778" i="1" s="1"/>
  <c r="L778" i="1" s="1"/>
  <c r="O777" i="1"/>
  <c r="G777" i="1"/>
  <c r="H777" i="1" s="1"/>
  <c r="L777" i="1" s="1"/>
  <c r="O776" i="1"/>
  <c r="G776" i="1"/>
  <c r="H776" i="1" s="1"/>
  <c r="L776" i="1" s="1"/>
  <c r="O775" i="1"/>
  <c r="G775" i="1"/>
  <c r="H775" i="1" s="1"/>
  <c r="L775" i="1" s="1"/>
  <c r="O774" i="1"/>
  <c r="G774" i="1"/>
  <c r="H774" i="1" s="1"/>
  <c r="L774" i="1" s="1"/>
  <c r="O773" i="1"/>
  <c r="G773" i="1"/>
  <c r="H773" i="1" s="1"/>
  <c r="L773" i="1" s="1"/>
  <c r="O772" i="1"/>
  <c r="G769" i="1"/>
  <c r="O767" i="1"/>
  <c r="G767" i="1"/>
  <c r="H767" i="1" s="1"/>
  <c r="L767" i="1" s="1"/>
  <c r="O766" i="1"/>
  <c r="G766" i="1"/>
  <c r="H766" i="1" s="1"/>
  <c r="L766" i="1" s="1"/>
  <c r="O765" i="1"/>
  <c r="G765" i="1"/>
  <c r="H765" i="1" s="1"/>
  <c r="L765" i="1" s="1"/>
  <c r="O764" i="1"/>
  <c r="G764" i="1"/>
  <c r="H764" i="1" s="1"/>
  <c r="L764" i="1" s="1"/>
  <c r="O763" i="1"/>
  <c r="G763" i="1"/>
  <c r="H763" i="1" s="1"/>
  <c r="L763" i="1" s="1"/>
  <c r="O762" i="1"/>
  <c r="G762" i="1"/>
  <c r="H762" i="1" s="1"/>
  <c r="L762" i="1" s="1"/>
  <c r="O761" i="1"/>
  <c r="G758" i="1"/>
  <c r="O756" i="1"/>
  <c r="G756" i="1"/>
  <c r="H756" i="1" s="1"/>
  <c r="L756" i="1" s="1"/>
  <c r="O755" i="1"/>
  <c r="G755" i="1"/>
  <c r="H755" i="1" s="1"/>
  <c r="L755" i="1" s="1"/>
  <c r="O754" i="1"/>
  <c r="G754" i="1"/>
  <c r="H754" i="1" s="1"/>
  <c r="L754" i="1" s="1"/>
  <c r="O753" i="1"/>
  <c r="G753" i="1"/>
  <c r="H753" i="1" s="1"/>
  <c r="L753" i="1" s="1"/>
  <c r="O752" i="1"/>
  <c r="G752" i="1"/>
  <c r="H752" i="1" s="1"/>
  <c r="L752" i="1" s="1"/>
  <c r="O751" i="1"/>
  <c r="G751" i="1"/>
  <c r="H751" i="1" s="1"/>
  <c r="L751" i="1" s="1"/>
  <c r="O750" i="1"/>
  <c r="G747" i="1"/>
  <c r="O745" i="1"/>
  <c r="G745" i="1"/>
  <c r="H745" i="1" s="1"/>
  <c r="L745" i="1" s="1"/>
  <c r="O744" i="1"/>
  <c r="O743" i="1"/>
  <c r="G743" i="1"/>
  <c r="H743" i="1" s="1"/>
  <c r="L743" i="1" s="1"/>
  <c r="O742" i="1"/>
  <c r="G742" i="1"/>
  <c r="H742" i="1" s="1"/>
  <c r="L742" i="1" s="1"/>
  <c r="O741" i="1"/>
  <c r="G741" i="1"/>
  <c r="H741" i="1" s="1"/>
  <c r="L741" i="1" s="1"/>
  <c r="O740" i="1"/>
  <c r="G737" i="1"/>
  <c r="O735" i="1"/>
  <c r="G735" i="1"/>
  <c r="H735" i="1" s="1"/>
  <c r="L735" i="1" s="1"/>
  <c r="O734" i="1"/>
  <c r="G734" i="1"/>
  <c r="H734" i="1" s="1"/>
  <c r="L734" i="1" s="1"/>
  <c r="O733" i="1"/>
  <c r="G733" i="1"/>
  <c r="H733" i="1" s="1"/>
  <c r="L733" i="1" s="1"/>
  <c r="O732" i="1"/>
  <c r="G729" i="1"/>
  <c r="O727" i="1"/>
  <c r="G727" i="1"/>
  <c r="H727" i="1" s="1"/>
  <c r="L727" i="1" s="1"/>
  <c r="O726" i="1"/>
  <c r="G726" i="1"/>
  <c r="H726" i="1" s="1"/>
  <c r="L726" i="1" s="1"/>
  <c r="O725" i="1"/>
  <c r="G725" i="1"/>
  <c r="H725" i="1" s="1"/>
  <c r="L725" i="1" s="1"/>
  <c r="O724" i="1"/>
  <c r="G724" i="1"/>
  <c r="H724" i="1" s="1"/>
  <c r="L724" i="1" s="1"/>
  <c r="O723" i="1"/>
  <c r="G723" i="1"/>
  <c r="H723" i="1" s="1"/>
  <c r="L723" i="1" s="1"/>
  <c r="O722" i="1"/>
  <c r="G722" i="1"/>
  <c r="H722" i="1" s="1"/>
  <c r="L722" i="1" s="1"/>
  <c r="O721" i="1"/>
  <c r="G718" i="1"/>
  <c r="O716" i="1"/>
  <c r="G716" i="1"/>
  <c r="H716" i="1" s="1"/>
  <c r="L716" i="1" s="1"/>
  <c r="O715" i="1"/>
  <c r="G715" i="1"/>
  <c r="H715" i="1" s="1"/>
  <c r="L715" i="1" s="1"/>
  <c r="O714" i="1"/>
  <c r="G714" i="1"/>
  <c r="H714" i="1" s="1"/>
  <c r="L714" i="1" s="1"/>
  <c r="O713" i="1"/>
  <c r="G710" i="1"/>
  <c r="O708" i="1"/>
  <c r="G708" i="1"/>
  <c r="H708" i="1" s="1"/>
  <c r="L708" i="1" s="1"/>
  <c r="O707" i="1"/>
  <c r="G707" i="1"/>
  <c r="H707" i="1" s="1"/>
  <c r="L707" i="1" s="1"/>
  <c r="O706" i="1"/>
  <c r="G706" i="1"/>
  <c r="H706" i="1" s="1"/>
  <c r="O705" i="1"/>
  <c r="G705" i="1"/>
  <c r="H705" i="1" s="1"/>
  <c r="L705" i="1" s="1"/>
  <c r="O704" i="1"/>
  <c r="G701" i="1"/>
  <c r="O699" i="1"/>
  <c r="G699" i="1"/>
  <c r="H699" i="1" s="1"/>
  <c r="L699" i="1" s="1"/>
  <c r="O698" i="1"/>
  <c r="G698" i="1"/>
  <c r="H698" i="1" s="1"/>
  <c r="L698" i="1" s="1"/>
  <c r="O697" i="1"/>
  <c r="G697" i="1"/>
  <c r="H697" i="1" s="1"/>
  <c r="L697" i="1" s="1"/>
  <c r="O696" i="1"/>
  <c r="G693" i="1"/>
  <c r="O691" i="1"/>
  <c r="G691" i="1"/>
  <c r="H691" i="1" s="1"/>
  <c r="O690" i="1"/>
  <c r="G687" i="1"/>
  <c r="O685" i="1"/>
  <c r="G685" i="1"/>
  <c r="H685" i="1" s="1"/>
  <c r="L685" i="1" s="1"/>
  <c r="O684" i="1"/>
  <c r="G681" i="1"/>
  <c r="O679" i="1"/>
  <c r="O678" i="1"/>
  <c r="G678" i="1"/>
  <c r="H678" i="1" s="1"/>
  <c r="L678" i="1" s="1"/>
  <c r="O677" i="1"/>
  <c r="G677" i="1"/>
  <c r="H677" i="1" s="1"/>
  <c r="L677" i="1" s="1"/>
  <c r="O676" i="1"/>
  <c r="G676" i="1"/>
  <c r="H676" i="1" s="1"/>
  <c r="L676" i="1" s="1"/>
  <c r="O675" i="1"/>
  <c r="G675" i="1"/>
  <c r="H675" i="1" s="1"/>
  <c r="L675" i="1" s="1"/>
  <c r="O674" i="1"/>
  <c r="G674" i="1"/>
  <c r="H674" i="1" s="1"/>
  <c r="L674" i="1" s="1"/>
  <c r="O673" i="1"/>
  <c r="G673" i="1"/>
  <c r="H673" i="1" s="1"/>
  <c r="O672" i="1"/>
  <c r="G669" i="1"/>
  <c r="O667" i="1"/>
  <c r="G667" i="1"/>
  <c r="H667" i="1" s="1"/>
  <c r="L667" i="1" s="1"/>
  <c r="O666" i="1"/>
  <c r="G666" i="1"/>
  <c r="H666" i="1" s="1"/>
  <c r="L666" i="1" s="1"/>
  <c r="O665" i="1"/>
  <c r="G665" i="1"/>
  <c r="H665" i="1" s="1"/>
  <c r="L665" i="1" s="1"/>
  <c r="O664" i="1"/>
  <c r="G664" i="1"/>
  <c r="H664" i="1" s="1"/>
  <c r="O663" i="1"/>
  <c r="G660" i="1"/>
  <c r="O658" i="1"/>
  <c r="G658" i="1"/>
  <c r="H658" i="1" s="1"/>
  <c r="L658" i="1" s="1"/>
  <c r="O657" i="1"/>
  <c r="G657" i="1"/>
  <c r="H657" i="1" s="1"/>
  <c r="L657" i="1" s="1"/>
  <c r="O656" i="1"/>
  <c r="O655" i="1"/>
  <c r="O654" i="1"/>
  <c r="G654" i="1"/>
  <c r="H654" i="1" s="1"/>
  <c r="L654" i="1" s="1"/>
  <c r="O653" i="1"/>
  <c r="G653" i="1"/>
  <c r="H653" i="1" s="1"/>
  <c r="L653" i="1" s="1"/>
  <c r="O652" i="1"/>
  <c r="G652" i="1"/>
  <c r="H652" i="1" s="1"/>
  <c r="L652" i="1" s="1"/>
  <c r="O651" i="1"/>
  <c r="O650" i="1"/>
  <c r="G647" i="1"/>
  <c r="O645" i="1"/>
  <c r="G645" i="1"/>
  <c r="H645" i="1" s="1"/>
  <c r="L645" i="1" s="1"/>
  <c r="O644" i="1"/>
  <c r="G644" i="1"/>
  <c r="H644" i="1" s="1"/>
  <c r="L644" i="1" s="1"/>
  <c r="O643" i="1"/>
  <c r="G643" i="1"/>
  <c r="H643" i="1" s="1"/>
  <c r="L643" i="1" s="1"/>
  <c r="O642" i="1"/>
  <c r="G642" i="1"/>
  <c r="H642" i="1" s="1"/>
  <c r="L642" i="1" s="1"/>
  <c r="O641" i="1"/>
  <c r="G641" i="1"/>
  <c r="H641" i="1" s="1"/>
  <c r="O640" i="1"/>
  <c r="G640" i="1"/>
  <c r="H640" i="1" s="1"/>
  <c r="L640" i="1" s="1"/>
  <c r="O639" i="1"/>
  <c r="G639" i="1"/>
  <c r="H639" i="1" s="1"/>
  <c r="L639" i="1" s="1"/>
  <c r="O638" i="1"/>
  <c r="G635" i="1"/>
  <c r="O633" i="1"/>
  <c r="G633" i="1"/>
  <c r="H633" i="1" s="1"/>
  <c r="L633" i="1" s="1"/>
  <c r="O632" i="1"/>
  <c r="G632" i="1"/>
  <c r="H632" i="1" s="1"/>
  <c r="L632" i="1" s="1"/>
  <c r="O631" i="1"/>
  <c r="G631" i="1"/>
  <c r="H631" i="1" s="1"/>
  <c r="L631" i="1" s="1"/>
  <c r="O630" i="1"/>
  <c r="G627" i="1"/>
  <c r="O625" i="1"/>
  <c r="G625" i="1"/>
  <c r="H625" i="1" s="1"/>
  <c r="L625" i="1" s="1"/>
  <c r="O624" i="1"/>
  <c r="G624" i="1"/>
  <c r="H624" i="1" s="1"/>
  <c r="L624" i="1" s="1"/>
  <c r="O623" i="1"/>
  <c r="G623" i="1"/>
  <c r="H623" i="1" s="1"/>
  <c r="L623" i="1" s="1"/>
  <c r="O622" i="1"/>
  <c r="G619" i="1"/>
  <c r="O617" i="1"/>
  <c r="O616" i="1"/>
  <c r="G616" i="1"/>
  <c r="H616" i="1" s="1"/>
  <c r="L616" i="1" s="1"/>
  <c r="O615" i="1"/>
  <c r="G615" i="1"/>
  <c r="H615" i="1" s="1"/>
  <c r="L615" i="1" s="1"/>
  <c r="O614" i="1"/>
  <c r="G614" i="1"/>
  <c r="H614" i="1" s="1"/>
  <c r="L614" i="1" s="1"/>
  <c r="O613" i="1"/>
  <c r="G613" i="1"/>
  <c r="H613" i="1" s="1"/>
  <c r="L613" i="1" s="1"/>
  <c r="O612" i="1"/>
  <c r="G612" i="1"/>
  <c r="H612" i="1" s="1"/>
  <c r="L612" i="1" s="1"/>
  <c r="O611" i="1"/>
  <c r="G611" i="1"/>
  <c r="H611" i="1" s="1"/>
  <c r="L611" i="1" s="1"/>
  <c r="O610" i="1"/>
  <c r="G610" i="1"/>
  <c r="H610" i="1" s="1"/>
  <c r="L610" i="1" s="1"/>
  <c r="O609" i="1"/>
  <c r="G609" i="1"/>
  <c r="H609" i="1" s="1"/>
  <c r="L609" i="1" s="1"/>
  <c r="O608" i="1"/>
  <c r="G608" i="1"/>
  <c r="H608" i="1" s="1"/>
  <c r="L608" i="1" s="1"/>
  <c r="O607" i="1"/>
  <c r="G607" i="1"/>
  <c r="H607" i="1" s="1"/>
  <c r="L607" i="1" s="1"/>
  <c r="O606" i="1"/>
  <c r="G603" i="1"/>
  <c r="O601" i="1"/>
  <c r="O600" i="1"/>
  <c r="G600" i="1"/>
  <c r="H600" i="1" s="1"/>
  <c r="L600" i="1" s="1"/>
  <c r="O599" i="1"/>
  <c r="G599" i="1"/>
  <c r="H599" i="1" s="1"/>
  <c r="L599" i="1" s="1"/>
  <c r="O598" i="1"/>
  <c r="G598" i="1"/>
  <c r="H598" i="1" s="1"/>
  <c r="L598" i="1" s="1"/>
  <c r="O597" i="1"/>
  <c r="G597" i="1"/>
  <c r="H597" i="1" s="1"/>
  <c r="L597" i="1" s="1"/>
  <c r="O596" i="1"/>
  <c r="G596" i="1"/>
  <c r="H596" i="1" s="1"/>
  <c r="L596" i="1" s="1"/>
  <c r="O595" i="1"/>
  <c r="G595" i="1"/>
  <c r="H595" i="1" s="1"/>
  <c r="L595" i="1" s="1"/>
  <c r="O594" i="1"/>
  <c r="G594" i="1"/>
  <c r="H594" i="1" s="1"/>
  <c r="O593" i="1"/>
  <c r="G593" i="1"/>
  <c r="H593" i="1" s="1"/>
  <c r="L593" i="1" s="1"/>
  <c r="O592" i="1"/>
  <c r="G589" i="1"/>
  <c r="O587" i="1"/>
  <c r="O586" i="1"/>
  <c r="O585" i="1"/>
  <c r="G585" i="1"/>
  <c r="H585" i="1" s="1"/>
  <c r="O584" i="1"/>
  <c r="G584" i="1"/>
  <c r="H584" i="1" s="1"/>
  <c r="L584" i="1" s="1"/>
  <c r="O583" i="1"/>
  <c r="G583" i="1"/>
  <c r="H583" i="1" s="1"/>
  <c r="L583" i="1" s="1"/>
  <c r="O582" i="1"/>
  <c r="G582" i="1"/>
  <c r="H582" i="1" s="1"/>
  <c r="L582" i="1" s="1"/>
  <c r="O581" i="1"/>
  <c r="G581" i="1"/>
  <c r="H581" i="1" s="1"/>
  <c r="L581" i="1" s="1"/>
  <c r="O580" i="1"/>
  <c r="G577" i="1"/>
  <c r="O575" i="1"/>
  <c r="G575" i="1"/>
  <c r="H575" i="1" s="1"/>
  <c r="L575" i="1" s="1"/>
  <c r="O574" i="1"/>
  <c r="G574" i="1"/>
  <c r="H574" i="1" s="1"/>
  <c r="L574" i="1" s="1"/>
  <c r="O573" i="1"/>
  <c r="O572" i="1"/>
  <c r="G572" i="1"/>
  <c r="H572" i="1" s="1"/>
  <c r="L572" i="1" s="1"/>
  <c r="O571" i="1"/>
  <c r="O570" i="1"/>
  <c r="G570" i="1"/>
  <c r="H570" i="1" s="1"/>
  <c r="L570" i="1" s="1"/>
  <c r="O569" i="1"/>
  <c r="G569" i="1"/>
  <c r="H569" i="1" s="1"/>
  <c r="L569" i="1" s="1"/>
  <c r="O568" i="1"/>
  <c r="G568" i="1"/>
  <c r="H568" i="1" s="1"/>
  <c r="O567" i="1"/>
  <c r="G564" i="1"/>
  <c r="O562" i="1"/>
  <c r="O561" i="1"/>
  <c r="G558" i="1"/>
  <c r="O556" i="1"/>
  <c r="G556" i="1"/>
  <c r="H556" i="1" s="1"/>
  <c r="L556" i="1" s="1"/>
  <c r="O555" i="1"/>
  <c r="G555" i="1"/>
  <c r="H555" i="1" s="1"/>
  <c r="L555" i="1" s="1"/>
  <c r="O554" i="1"/>
  <c r="G554" i="1"/>
  <c r="H554" i="1" s="1"/>
  <c r="L554" i="1" s="1"/>
  <c r="O553" i="1"/>
  <c r="G553" i="1"/>
  <c r="H553" i="1" s="1"/>
  <c r="L553" i="1" s="1"/>
  <c r="O552" i="1"/>
  <c r="G552" i="1"/>
  <c r="H552" i="1" s="1"/>
  <c r="L552" i="1" s="1"/>
  <c r="O551" i="1"/>
  <c r="G551" i="1"/>
  <c r="H551" i="1" s="1"/>
  <c r="L551" i="1" s="1"/>
  <c r="O550" i="1"/>
  <c r="G550" i="1"/>
  <c r="H550" i="1" s="1"/>
  <c r="L550" i="1" s="1"/>
  <c r="O549" i="1"/>
  <c r="G549" i="1"/>
  <c r="H549" i="1" s="1"/>
  <c r="L549" i="1" s="1"/>
  <c r="O548" i="1"/>
  <c r="G548" i="1"/>
  <c r="H548" i="1" s="1"/>
  <c r="L548" i="1" s="1"/>
  <c r="O547" i="1"/>
  <c r="G547" i="1"/>
  <c r="H547" i="1" s="1"/>
  <c r="L547" i="1" s="1"/>
  <c r="O546" i="1"/>
  <c r="G543" i="1"/>
  <c r="O541" i="1"/>
  <c r="G541" i="1"/>
  <c r="H541" i="1" s="1"/>
  <c r="L541" i="1" s="1"/>
  <c r="O540" i="1"/>
  <c r="G540" i="1"/>
  <c r="H540" i="1" s="1"/>
  <c r="L540" i="1" s="1"/>
  <c r="O539" i="1"/>
  <c r="G539" i="1"/>
  <c r="H539" i="1" s="1"/>
  <c r="L539" i="1" s="1"/>
  <c r="O538" i="1"/>
  <c r="G538" i="1"/>
  <c r="H538" i="1" s="1"/>
  <c r="L538" i="1" s="1"/>
  <c r="O537" i="1"/>
  <c r="G537" i="1"/>
  <c r="H537" i="1" s="1"/>
  <c r="L537" i="1" s="1"/>
  <c r="O536" i="1"/>
  <c r="G536" i="1"/>
  <c r="H536" i="1" s="1"/>
  <c r="L536" i="1" s="1"/>
  <c r="O535" i="1"/>
  <c r="G532" i="1"/>
  <c r="O530" i="1"/>
  <c r="G530" i="1"/>
  <c r="H530" i="1" s="1"/>
  <c r="L530" i="1" s="1"/>
  <c r="O529" i="1"/>
  <c r="G529" i="1"/>
  <c r="H529" i="1" s="1"/>
  <c r="L529" i="1" s="1"/>
  <c r="O528" i="1"/>
  <c r="G528" i="1"/>
  <c r="H528" i="1" s="1"/>
  <c r="L528" i="1" s="1"/>
  <c r="O527" i="1"/>
  <c r="G527" i="1"/>
  <c r="H527" i="1" s="1"/>
  <c r="L527" i="1" s="1"/>
  <c r="O526" i="1"/>
  <c r="G526" i="1"/>
  <c r="H526" i="1" s="1"/>
  <c r="L526" i="1" s="1"/>
  <c r="O525" i="1"/>
  <c r="G525" i="1"/>
  <c r="H525" i="1" s="1"/>
  <c r="L525" i="1" s="1"/>
  <c r="O524" i="1"/>
  <c r="G521" i="1"/>
  <c r="O519" i="1"/>
  <c r="G519" i="1"/>
  <c r="H519" i="1" s="1"/>
  <c r="L519" i="1" s="1"/>
  <c r="O518" i="1"/>
  <c r="O517" i="1"/>
  <c r="G517" i="1"/>
  <c r="H517" i="1" s="1"/>
  <c r="L517" i="1" s="1"/>
  <c r="O516" i="1"/>
  <c r="G516" i="1"/>
  <c r="H516" i="1" s="1"/>
  <c r="L516" i="1" s="1"/>
  <c r="O515" i="1"/>
  <c r="G515" i="1"/>
  <c r="H515" i="1" s="1"/>
  <c r="L515" i="1" s="1"/>
  <c r="O514" i="1"/>
  <c r="G511" i="1"/>
  <c r="O509" i="1"/>
  <c r="G509" i="1"/>
  <c r="H509" i="1" s="1"/>
  <c r="L509" i="1" s="1"/>
  <c r="O508" i="1"/>
  <c r="G508" i="1"/>
  <c r="H508" i="1" s="1"/>
  <c r="L508" i="1" s="1"/>
  <c r="O507" i="1"/>
  <c r="G507" i="1"/>
  <c r="H507" i="1" s="1"/>
  <c r="L507" i="1" s="1"/>
  <c r="O506" i="1"/>
  <c r="G506" i="1"/>
  <c r="H506" i="1" s="1"/>
  <c r="L506" i="1" s="1"/>
  <c r="O505" i="1"/>
  <c r="G505" i="1"/>
  <c r="H505" i="1" s="1"/>
  <c r="L505" i="1" s="1"/>
  <c r="O504" i="1"/>
  <c r="G504" i="1"/>
  <c r="H504" i="1" s="1"/>
  <c r="L504" i="1" s="1"/>
  <c r="O503" i="1"/>
  <c r="G500" i="1"/>
  <c r="O498" i="1"/>
  <c r="G498" i="1"/>
  <c r="H498" i="1" s="1"/>
  <c r="L498" i="1" s="1"/>
  <c r="O497" i="1"/>
  <c r="G494" i="1"/>
  <c r="O492" i="1"/>
  <c r="G492" i="1"/>
  <c r="H492" i="1" s="1"/>
  <c r="L492" i="1" s="1"/>
  <c r="O491" i="1"/>
  <c r="G488" i="1"/>
  <c r="O486" i="1"/>
  <c r="G486" i="1"/>
  <c r="H486" i="1" s="1"/>
  <c r="L486" i="1" s="1"/>
  <c r="O485" i="1"/>
  <c r="G482" i="1"/>
  <c r="O480" i="1"/>
  <c r="G480" i="1"/>
  <c r="H480" i="1" s="1"/>
  <c r="L480" i="1" s="1"/>
  <c r="O479" i="1"/>
  <c r="G479" i="1"/>
  <c r="H479" i="1" s="1"/>
  <c r="L479" i="1" s="1"/>
  <c r="O478" i="1"/>
  <c r="G478" i="1"/>
  <c r="H478" i="1" s="1"/>
  <c r="L478" i="1" s="1"/>
  <c r="O477" i="1"/>
  <c r="G477" i="1"/>
  <c r="H477" i="1" s="1"/>
  <c r="L477" i="1" s="1"/>
  <c r="O476" i="1"/>
  <c r="G476" i="1"/>
  <c r="H476" i="1" s="1"/>
  <c r="L476" i="1" s="1"/>
  <c r="O475" i="1"/>
  <c r="G475" i="1"/>
  <c r="H475" i="1" s="1"/>
  <c r="L475" i="1" s="1"/>
  <c r="O474" i="1"/>
  <c r="G474" i="1"/>
  <c r="H474" i="1" s="1"/>
  <c r="L474" i="1" s="1"/>
  <c r="O473" i="1"/>
  <c r="G470" i="1"/>
  <c r="O468" i="1"/>
  <c r="O467" i="1"/>
  <c r="G464" i="1"/>
  <c r="O462" i="1"/>
  <c r="G462" i="1"/>
  <c r="H462" i="1" s="1"/>
  <c r="L462" i="1" s="1"/>
  <c r="O461" i="1"/>
  <c r="G461" i="1"/>
  <c r="H461" i="1" s="1"/>
  <c r="L461" i="1" s="1"/>
  <c r="O460" i="1"/>
  <c r="G460" i="1"/>
  <c r="H460" i="1" s="1"/>
  <c r="L460" i="1" s="1"/>
  <c r="O459" i="1"/>
  <c r="G459" i="1"/>
  <c r="H459" i="1" s="1"/>
  <c r="L459" i="1" s="1"/>
  <c r="O458" i="1"/>
  <c r="G458" i="1"/>
  <c r="H458" i="1" s="1"/>
  <c r="L458" i="1" s="1"/>
  <c r="O457" i="1"/>
  <c r="G457" i="1"/>
  <c r="H457" i="1" s="1"/>
  <c r="L457" i="1" s="1"/>
  <c r="O456" i="1"/>
  <c r="G456" i="1"/>
  <c r="H456" i="1" s="1"/>
  <c r="L456" i="1" s="1"/>
  <c r="O455" i="1"/>
  <c r="G455" i="1"/>
  <c r="H455" i="1" s="1"/>
  <c r="L455" i="1" s="1"/>
  <c r="O454" i="1"/>
  <c r="G454" i="1"/>
  <c r="H454" i="1" s="1"/>
  <c r="L454" i="1" s="1"/>
  <c r="O453" i="1"/>
  <c r="G453" i="1"/>
  <c r="H453" i="1" s="1"/>
  <c r="L453" i="1" s="1"/>
  <c r="O452" i="1"/>
  <c r="G449" i="1"/>
  <c r="O447" i="1"/>
  <c r="G447" i="1"/>
  <c r="H447" i="1" s="1"/>
  <c r="L447" i="1" s="1"/>
  <c r="O446" i="1"/>
  <c r="G446" i="1"/>
  <c r="H446" i="1" s="1"/>
  <c r="L446" i="1" s="1"/>
  <c r="O445" i="1"/>
  <c r="G445" i="1"/>
  <c r="H445" i="1" s="1"/>
  <c r="L445" i="1" s="1"/>
  <c r="O444" i="1"/>
  <c r="G444" i="1"/>
  <c r="H444" i="1" s="1"/>
  <c r="L444" i="1" s="1"/>
  <c r="O443" i="1"/>
  <c r="G443" i="1"/>
  <c r="H443" i="1" s="1"/>
  <c r="L443" i="1" s="1"/>
  <c r="O442" i="1"/>
  <c r="G442" i="1"/>
  <c r="H442" i="1" s="1"/>
  <c r="L442" i="1" s="1"/>
  <c r="O441" i="1"/>
  <c r="G441" i="1"/>
  <c r="H441" i="1" s="1"/>
  <c r="L441" i="1" s="1"/>
  <c r="O440" i="1"/>
  <c r="G440" i="1"/>
  <c r="H440" i="1" s="1"/>
  <c r="L440" i="1" s="1"/>
  <c r="O439" i="1"/>
  <c r="G439" i="1"/>
  <c r="H439" i="1" s="1"/>
  <c r="L439" i="1" s="1"/>
  <c r="O438" i="1"/>
  <c r="G438" i="1"/>
  <c r="H438" i="1" s="1"/>
  <c r="L438" i="1" s="1"/>
  <c r="O437" i="1"/>
  <c r="G434" i="1"/>
  <c r="O432" i="1"/>
  <c r="G432" i="1"/>
  <c r="H432" i="1" s="1"/>
  <c r="L432" i="1" s="1"/>
  <c r="O431" i="1"/>
  <c r="G431" i="1"/>
  <c r="H431" i="1" s="1"/>
  <c r="L431" i="1" s="1"/>
  <c r="O430" i="1"/>
  <c r="G430" i="1"/>
  <c r="H430" i="1" s="1"/>
  <c r="L430" i="1" s="1"/>
  <c r="O429" i="1"/>
  <c r="G429" i="1"/>
  <c r="H429" i="1" s="1"/>
  <c r="L429" i="1" s="1"/>
  <c r="O428" i="1"/>
  <c r="G428" i="1"/>
  <c r="H428" i="1" s="1"/>
  <c r="L428" i="1" s="1"/>
  <c r="O427" i="1"/>
  <c r="G427" i="1"/>
  <c r="H427" i="1" s="1"/>
  <c r="L427" i="1" s="1"/>
  <c r="O426" i="1"/>
  <c r="G426" i="1"/>
  <c r="H426" i="1" s="1"/>
  <c r="L426" i="1" s="1"/>
  <c r="O425" i="1"/>
  <c r="G425" i="1"/>
  <c r="H425" i="1" s="1"/>
  <c r="L425" i="1" s="1"/>
  <c r="O424" i="1"/>
  <c r="G424" i="1"/>
  <c r="H424" i="1" s="1"/>
  <c r="L424" i="1" s="1"/>
  <c r="O423" i="1"/>
  <c r="G423" i="1"/>
  <c r="H423" i="1" s="1"/>
  <c r="L423" i="1" s="1"/>
  <c r="O422" i="1"/>
  <c r="G419" i="1"/>
  <c r="O417" i="1"/>
  <c r="G417" i="1"/>
  <c r="H417" i="1" s="1"/>
  <c r="L417" i="1" s="1"/>
  <c r="O416" i="1"/>
  <c r="G416" i="1"/>
  <c r="H416" i="1" s="1"/>
  <c r="L416" i="1" s="1"/>
  <c r="O415" i="1"/>
  <c r="G415" i="1"/>
  <c r="H415" i="1" s="1"/>
  <c r="L415" i="1" s="1"/>
  <c r="O414" i="1"/>
  <c r="G414" i="1"/>
  <c r="H414" i="1" s="1"/>
  <c r="L414" i="1" s="1"/>
  <c r="O413" i="1"/>
  <c r="G413" i="1"/>
  <c r="H413" i="1" s="1"/>
  <c r="L413" i="1" s="1"/>
  <c r="O412" i="1"/>
  <c r="G412" i="1"/>
  <c r="H412" i="1" s="1"/>
  <c r="L412" i="1" s="1"/>
  <c r="O411" i="1"/>
  <c r="G408" i="1"/>
  <c r="O406" i="1"/>
  <c r="G406" i="1"/>
  <c r="H406" i="1" s="1"/>
  <c r="L406" i="1" s="1"/>
  <c r="O405" i="1"/>
  <c r="G405" i="1"/>
  <c r="H405" i="1" s="1"/>
  <c r="L405" i="1" s="1"/>
  <c r="O404" i="1"/>
  <c r="G404" i="1"/>
  <c r="H404" i="1" s="1"/>
  <c r="L404" i="1" s="1"/>
  <c r="O403" i="1"/>
  <c r="G403" i="1"/>
  <c r="H403" i="1" s="1"/>
  <c r="L403" i="1" s="1"/>
  <c r="O402" i="1"/>
  <c r="G402" i="1"/>
  <c r="H402" i="1" s="1"/>
  <c r="L402" i="1" s="1"/>
  <c r="O401" i="1"/>
  <c r="G401" i="1"/>
  <c r="H401" i="1" s="1"/>
  <c r="L401" i="1" s="1"/>
  <c r="O400" i="1"/>
  <c r="G397" i="1"/>
  <c r="O395" i="1"/>
  <c r="G395" i="1"/>
  <c r="H395" i="1" s="1"/>
  <c r="L395" i="1" s="1"/>
  <c r="O394" i="1"/>
  <c r="O393" i="1"/>
  <c r="G393" i="1"/>
  <c r="H393" i="1" s="1"/>
  <c r="L393" i="1" s="1"/>
  <c r="O392" i="1"/>
  <c r="G392" i="1"/>
  <c r="H392" i="1" s="1"/>
  <c r="O391" i="1"/>
  <c r="G391" i="1"/>
  <c r="H391" i="1" s="1"/>
  <c r="L391" i="1" s="1"/>
  <c r="O390" i="1"/>
  <c r="G387" i="1"/>
  <c r="O385" i="1"/>
  <c r="G385" i="1"/>
  <c r="H385" i="1" s="1"/>
  <c r="L385" i="1" s="1"/>
  <c r="O384" i="1"/>
  <c r="G384" i="1"/>
  <c r="H384" i="1" s="1"/>
  <c r="L384" i="1" s="1"/>
  <c r="O383" i="1"/>
  <c r="G383" i="1"/>
  <c r="H383" i="1" s="1"/>
  <c r="L383" i="1" s="1"/>
  <c r="O382" i="1"/>
  <c r="G379" i="1"/>
  <c r="O377" i="1"/>
  <c r="G377" i="1"/>
  <c r="H377" i="1" s="1"/>
  <c r="L377" i="1" s="1"/>
  <c r="O376" i="1"/>
  <c r="G376" i="1"/>
  <c r="H376" i="1" s="1"/>
  <c r="L376" i="1" s="1"/>
  <c r="O375" i="1"/>
  <c r="G375" i="1"/>
  <c r="H375" i="1" s="1"/>
  <c r="L375" i="1" s="1"/>
  <c r="O374" i="1"/>
  <c r="G374" i="1"/>
  <c r="H374" i="1" s="1"/>
  <c r="L374" i="1" s="1"/>
  <c r="O373" i="1"/>
  <c r="G370" i="1"/>
  <c r="O368" i="1"/>
  <c r="G368" i="1"/>
  <c r="H368" i="1" s="1"/>
  <c r="L368" i="1" s="1"/>
  <c r="O367" i="1"/>
  <c r="G367" i="1"/>
  <c r="H367" i="1" s="1"/>
  <c r="L367" i="1" s="1"/>
  <c r="O366" i="1"/>
  <c r="G366" i="1"/>
  <c r="H366" i="1" s="1"/>
  <c r="L366" i="1" s="1"/>
  <c r="O365" i="1"/>
  <c r="G365" i="1"/>
  <c r="H365" i="1" s="1"/>
  <c r="L365" i="1" s="1"/>
  <c r="O364" i="1"/>
  <c r="G364" i="1"/>
  <c r="H364" i="1" s="1"/>
  <c r="L364" i="1" s="1"/>
  <c r="O363" i="1"/>
  <c r="G363" i="1"/>
  <c r="H363" i="1" s="1"/>
  <c r="L363" i="1" s="1"/>
  <c r="O362" i="1"/>
  <c r="G359" i="1"/>
  <c r="O357" i="1"/>
  <c r="G357" i="1"/>
  <c r="H357" i="1" s="1"/>
  <c r="L357" i="1" s="1"/>
  <c r="O356" i="1"/>
  <c r="G356" i="1"/>
  <c r="H356" i="1" s="1"/>
  <c r="L356" i="1" s="1"/>
  <c r="O355" i="1"/>
  <c r="G355" i="1"/>
  <c r="H355" i="1" s="1"/>
  <c r="L355" i="1" s="1"/>
  <c r="O354" i="1"/>
  <c r="G351" i="1"/>
  <c r="O349" i="1"/>
  <c r="G349" i="1"/>
  <c r="H349" i="1" s="1"/>
  <c r="L349" i="1" s="1"/>
  <c r="O348" i="1"/>
  <c r="G348" i="1"/>
  <c r="H348" i="1" s="1"/>
  <c r="L348" i="1" s="1"/>
  <c r="O347" i="1"/>
  <c r="G347" i="1"/>
  <c r="H347" i="1" s="1"/>
  <c r="L347" i="1" s="1"/>
  <c r="O346" i="1"/>
  <c r="G343" i="1"/>
  <c r="O341" i="1"/>
  <c r="G341" i="1"/>
  <c r="H341" i="1" s="1"/>
  <c r="L341" i="1" s="1"/>
  <c r="O340" i="1"/>
  <c r="G337" i="1"/>
  <c r="O335" i="1"/>
  <c r="G335" i="1"/>
  <c r="H335" i="1" s="1"/>
  <c r="L335" i="1" s="1"/>
  <c r="O334" i="1"/>
  <c r="G331" i="1"/>
  <c r="O329" i="1"/>
  <c r="O328" i="1"/>
  <c r="G328" i="1"/>
  <c r="H328" i="1" s="1"/>
  <c r="L328" i="1" s="1"/>
  <c r="O327" i="1"/>
  <c r="G327" i="1"/>
  <c r="H327" i="1" s="1"/>
  <c r="L327" i="1" s="1"/>
  <c r="O326" i="1"/>
  <c r="G326" i="1"/>
  <c r="H326" i="1" s="1"/>
  <c r="L326" i="1" s="1"/>
  <c r="O325" i="1"/>
  <c r="G325" i="1"/>
  <c r="H325" i="1" s="1"/>
  <c r="L325" i="1" s="1"/>
  <c r="O324" i="1"/>
  <c r="G324" i="1"/>
  <c r="H324" i="1" s="1"/>
  <c r="O323" i="1"/>
  <c r="G323" i="1"/>
  <c r="H323" i="1" s="1"/>
  <c r="L323" i="1" s="1"/>
  <c r="O322" i="1"/>
  <c r="G319" i="1"/>
  <c r="O317" i="1"/>
  <c r="O316" i="1"/>
  <c r="G316" i="1"/>
  <c r="H316" i="1" s="1"/>
  <c r="L316" i="1" s="1"/>
  <c r="O315" i="1"/>
  <c r="G315" i="1"/>
  <c r="H315" i="1" s="1"/>
  <c r="L315" i="1" s="1"/>
  <c r="O314" i="1"/>
  <c r="G314" i="1"/>
  <c r="H314" i="1" s="1"/>
  <c r="L314" i="1" s="1"/>
  <c r="O313" i="1"/>
  <c r="O312" i="1"/>
  <c r="O311" i="1"/>
  <c r="G311" i="1"/>
  <c r="H311" i="1" s="1"/>
  <c r="L311" i="1" s="1"/>
  <c r="O310" i="1"/>
  <c r="G307" i="1"/>
  <c r="O305" i="1"/>
  <c r="G305" i="1"/>
  <c r="H305" i="1" s="1"/>
  <c r="L305" i="1" s="1"/>
  <c r="O304" i="1"/>
  <c r="G304" i="1"/>
  <c r="H304" i="1" s="1"/>
  <c r="L304" i="1" s="1"/>
  <c r="O303" i="1"/>
  <c r="O302" i="1"/>
  <c r="O301" i="1"/>
  <c r="G301" i="1"/>
  <c r="H301" i="1" s="1"/>
  <c r="L301" i="1" s="1"/>
  <c r="O300" i="1"/>
  <c r="G300" i="1"/>
  <c r="H300" i="1" s="1"/>
  <c r="L300" i="1" s="1"/>
  <c r="O299" i="1"/>
  <c r="G299" i="1"/>
  <c r="H299" i="1" s="1"/>
  <c r="L299" i="1" s="1"/>
  <c r="O298" i="1"/>
  <c r="G298" i="1"/>
  <c r="H298" i="1" s="1"/>
  <c r="L298" i="1" s="1"/>
  <c r="O297" i="1"/>
  <c r="G297" i="1"/>
  <c r="H297" i="1" s="1"/>
  <c r="L297" i="1" s="1"/>
  <c r="O296" i="1"/>
  <c r="G296" i="1"/>
  <c r="H296" i="1" s="1"/>
  <c r="L296" i="1" s="1"/>
  <c r="O295" i="1"/>
  <c r="G295" i="1"/>
  <c r="H295" i="1" s="1"/>
  <c r="O294" i="1"/>
  <c r="G291" i="1"/>
  <c r="O289" i="1"/>
  <c r="G289" i="1"/>
  <c r="H289" i="1" s="1"/>
  <c r="L289" i="1" s="1"/>
  <c r="O288" i="1"/>
  <c r="G288" i="1"/>
  <c r="H288" i="1" s="1"/>
  <c r="L288" i="1" s="1"/>
  <c r="O287" i="1"/>
  <c r="G287" i="1"/>
  <c r="H287" i="1" s="1"/>
  <c r="L287" i="1" s="1"/>
  <c r="O286" i="1"/>
  <c r="G286" i="1"/>
  <c r="H286" i="1" s="1"/>
  <c r="L286" i="1" s="1"/>
  <c r="O285" i="1"/>
  <c r="G282" i="1"/>
  <c r="O280" i="1"/>
  <c r="G280" i="1"/>
  <c r="H280" i="1" s="1"/>
  <c r="L280" i="1" s="1"/>
  <c r="O279" i="1"/>
  <c r="G279" i="1"/>
  <c r="H279" i="1" s="1"/>
  <c r="L279" i="1" s="1"/>
  <c r="O278" i="1"/>
  <c r="O277" i="1"/>
  <c r="O276" i="1"/>
  <c r="G276" i="1"/>
  <c r="H276" i="1" s="1"/>
  <c r="L276" i="1" s="1"/>
  <c r="O275" i="1"/>
  <c r="G275" i="1"/>
  <c r="H275" i="1" s="1"/>
  <c r="L275" i="1" s="1"/>
  <c r="O274" i="1"/>
  <c r="G274" i="1"/>
  <c r="H274" i="1" s="1"/>
  <c r="O273" i="1"/>
  <c r="G270" i="1"/>
  <c r="O268" i="1"/>
  <c r="G268" i="1"/>
  <c r="H268" i="1" s="1"/>
  <c r="L268" i="1" s="1"/>
  <c r="O267" i="1"/>
  <c r="G267" i="1"/>
  <c r="H267" i="1" s="1"/>
  <c r="L267" i="1" s="1"/>
  <c r="O266" i="1"/>
  <c r="G266" i="1"/>
  <c r="H266" i="1" s="1"/>
  <c r="L266" i="1" s="1"/>
  <c r="O265" i="1"/>
  <c r="G265" i="1"/>
  <c r="H265" i="1" s="1"/>
  <c r="L265" i="1" s="1"/>
  <c r="O264" i="1"/>
  <c r="G264" i="1"/>
  <c r="H264" i="1" s="1"/>
  <c r="L264" i="1" s="1"/>
  <c r="O263" i="1"/>
  <c r="G263" i="1"/>
  <c r="H263" i="1" s="1"/>
  <c r="L263" i="1" s="1"/>
  <c r="O262" i="1"/>
  <c r="G262" i="1"/>
  <c r="H262" i="1" s="1"/>
  <c r="L262" i="1" s="1"/>
  <c r="O261" i="1"/>
  <c r="G258" i="1"/>
  <c r="O256" i="1"/>
  <c r="G256" i="1"/>
  <c r="H256" i="1" s="1"/>
  <c r="L256" i="1" s="1"/>
  <c r="O255" i="1"/>
  <c r="G255" i="1"/>
  <c r="H255" i="1" s="1"/>
  <c r="L255" i="1" s="1"/>
  <c r="O254" i="1"/>
  <c r="G254" i="1"/>
  <c r="H254" i="1" s="1"/>
  <c r="L254" i="1" s="1"/>
  <c r="O253" i="1"/>
  <c r="G250" i="1"/>
  <c r="O248" i="1"/>
  <c r="O247" i="1"/>
  <c r="G247" i="1"/>
  <c r="H247" i="1" s="1"/>
  <c r="L247" i="1" s="1"/>
  <c r="O246" i="1"/>
  <c r="G246" i="1"/>
  <c r="H246" i="1" s="1"/>
  <c r="L246" i="1" s="1"/>
  <c r="O245" i="1"/>
  <c r="G245" i="1"/>
  <c r="H245" i="1" s="1"/>
  <c r="L245" i="1" s="1"/>
  <c r="O244" i="1"/>
  <c r="G244" i="1"/>
  <c r="H244" i="1" s="1"/>
  <c r="L244" i="1" s="1"/>
  <c r="O243" i="1"/>
  <c r="G243" i="1"/>
  <c r="H243" i="1" s="1"/>
  <c r="L243" i="1" s="1"/>
  <c r="O242" i="1"/>
  <c r="G242" i="1"/>
  <c r="H242" i="1" s="1"/>
  <c r="L242" i="1" s="1"/>
  <c r="O241" i="1"/>
  <c r="G238" i="1"/>
  <c r="O236" i="1"/>
  <c r="O235" i="1"/>
  <c r="G235" i="1"/>
  <c r="H235" i="1" s="1"/>
  <c r="L235" i="1" s="1"/>
  <c r="O234" i="1"/>
  <c r="G234" i="1"/>
  <c r="H234" i="1" s="1"/>
  <c r="L234" i="1" s="1"/>
  <c r="O233" i="1"/>
  <c r="G233" i="1"/>
  <c r="H233" i="1" s="1"/>
  <c r="L233" i="1" s="1"/>
  <c r="O232" i="1"/>
  <c r="G232" i="1"/>
  <c r="H232" i="1" s="1"/>
  <c r="L232" i="1" s="1"/>
  <c r="O231" i="1"/>
  <c r="G231" i="1"/>
  <c r="H231" i="1" s="1"/>
  <c r="L231" i="1" s="1"/>
  <c r="O230" i="1"/>
  <c r="G230" i="1"/>
  <c r="H230" i="1" s="1"/>
  <c r="L230" i="1" s="1"/>
  <c r="O229" i="1"/>
  <c r="G229" i="1"/>
  <c r="H229" i="1" s="1"/>
  <c r="L229" i="1" s="1"/>
  <c r="O228" i="1"/>
  <c r="G225" i="1"/>
  <c r="O223" i="1"/>
  <c r="O222" i="1"/>
  <c r="O221" i="1"/>
  <c r="G221" i="1"/>
  <c r="H221" i="1" s="1"/>
  <c r="L221" i="1" s="1"/>
  <c r="O220" i="1"/>
  <c r="G220" i="1"/>
  <c r="H220" i="1" s="1"/>
  <c r="L220" i="1" s="1"/>
  <c r="O219" i="1"/>
  <c r="G219" i="1"/>
  <c r="H219" i="1" s="1"/>
  <c r="L219" i="1" s="1"/>
  <c r="O218" i="1"/>
  <c r="G218" i="1"/>
  <c r="H218" i="1" s="1"/>
  <c r="L218" i="1" s="1"/>
  <c r="O217" i="1"/>
  <c r="G217" i="1"/>
  <c r="H217" i="1" s="1"/>
  <c r="L217" i="1" s="1"/>
  <c r="O216" i="1"/>
  <c r="G213" i="1"/>
  <c r="O211" i="1"/>
  <c r="G211" i="1"/>
  <c r="H211" i="1" s="1"/>
  <c r="L211" i="1" s="1"/>
  <c r="O210" i="1"/>
  <c r="G210" i="1"/>
  <c r="H210" i="1" s="1"/>
  <c r="L210" i="1" s="1"/>
  <c r="O209" i="1"/>
  <c r="G209" i="1"/>
  <c r="H209" i="1" s="1"/>
  <c r="L209" i="1" s="1"/>
  <c r="O208" i="1"/>
  <c r="G208" i="1"/>
  <c r="H208" i="1" s="1"/>
  <c r="L208" i="1" s="1"/>
  <c r="O207" i="1"/>
  <c r="O206" i="1"/>
  <c r="G206" i="1"/>
  <c r="H206" i="1" s="1"/>
  <c r="L206" i="1" s="1"/>
  <c r="O205" i="1"/>
  <c r="G205" i="1"/>
  <c r="H205" i="1" s="1"/>
  <c r="O204" i="1"/>
  <c r="O203" i="1"/>
  <c r="G200" i="1"/>
  <c r="O198" i="1"/>
  <c r="O197" i="1"/>
  <c r="G194" i="1"/>
  <c r="O192" i="1"/>
  <c r="G192" i="1"/>
  <c r="H192" i="1" s="1"/>
  <c r="L192" i="1" s="1"/>
  <c r="O191" i="1"/>
  <c r="G191" i="1"/>
  <c r="H191" i="1" s="1"/>
  <c r="L191" i="1" s="1"/>
  <c r="O190" i="1"/>
  <c r="G190" i="1"/>
  <c r="H190" i="1" s="1"/>
  <c r="L190" i="1" s="1"/>
  <c r="O189" i="1"/>
  <c r="G189" i="1"/>
  <c r="H189" i="1" s="1"/>
  <c r="L189" i="1" s="1"/>
  <c r="O188" i="1"/>
  <c r="G188" i="1"/>
  <c r="H188" i="1" s="1"/>
  <c r="L188" i="1" s="1"/>
  <c r="O187" i="1"/>
  <c r="G187" i="1"/>
  <c r="H187" i="1" s="1"/>
  <c r="L187" i="1" s="1"/>
  <c r="O186" i="1"/>
  <c r="G186" i="1"/>
  <c r="H186" i="1" s="1"/>
  <c r="L186" i="1" s="1"/>
  <c r="O185" i="1"/>
  <c r="G185" i="1"/>
  <c r="H185" i="1" s="1"/>
  <c r="L185" i="1" s="1"/>
  <c r="O184" i="1"/>
  <c r="G184" i="1"/>
  <c r="H184" i="1" s="1"/>
  <c r="L184" i="1" s="1"/>
  <c r="O183" i="1"/>
  <c r="G183" i="1"/>
  <c r="H183" i="1" s="1"/>
  <c r="L183" i="1" s="1"/>
  <c r="O182" i="1"/>
  <c r="G179" i="1"/>
  <c r="O177" i="1"/>
  <c r="G177" i="1"/>
  <c r="H177" i="1" s="1"/>
  <c r="L177" i="1" s="1"/>
  <c r="O176" i="1"/>
  <c r="G176" i="1"/>
  <c r="H176" i="1" s="1"/>
  <c r="L176" i="1" s="1"/>
  <c r="O175" i="1"/>
  <c r="G175" i="1"/>
  <c r="H175" i="1" s="1"/>
  <c r="L175" i="1" s="1"/>
  <c r="O174" i="1"/>
  <c r="G174" i="1"/>
  <c r="H174" i="1" s="1"/>
  <c r="L174" i="1" s="1"/>
  <c r="O173" i="1"/>
  <c r="G173" i="1"/>
  <c r="H173" i="1" s="1"/>
  <c r="L173" i="1" s="1"/>
  <c r="O172" i="1"/>
  <c r="G172" i="1"/>
  <c r="H172" i="1" s="1"/>
  <c r="L172" i="1" s="1"/>
  <c r="O171" i="1"/>
  <c r="G171" i="1"/>
  <c r="H171" i="1" s="1"/>
  <c r="L171" i="1" s="1"/>
  <c r="O170" i="1"/>
  <c r="G170" i="1"/>
  <c r="H170" i="1" s="1"/>
  <c r="L170" i="1" s="1"/>
  <c r="O169" i="1"/>
  <c r="G169" i="1"/>
  <c r="H169" i="1" s="1"/>
  <c r="L169" i="1" s="1"/>
  <c r="O168" i="1"/>
  <c r="G168" i="1"/>
  <c r="H168" i="1" s="1"/>
  <c r="O167" i="1"/>
  <c r="G164" i="1"/>
  <c r="O162" i="1"/>
  <c r="G162" i="1"/>
  <c r="H162" i="1" s="1"/>
  <c r="L162" i="1" s="1"/>
  <c r="O161" i="1"/>
  <c r="G161" i="1"/>
  <c r="H161" i="1" s="1"/>
  <c r="L161" i="1" s="1"/>
  <c r="O160" i="1"/>
  <c r="G160" i="1"/>
  <c r="H160" i="1" s="1"/>
  <c r="L160" i="1" s="1"/>
  <c r="O159" i="1"/>
  <c r="G159" i="1"/>
  <c r="H159" i="1" s="1"/>
  <c r="L159" i="1" s="1"/>
  <c r="O158" i="1"/>
  <c r="G158" i="1"/>
  <c r="H158" i="1" s="1"/>
  <c r="L158" i="1" s="1"/>
  <c r="O157" i="1"/>
  <c r="G157" i="1"/>
  <c r="H157" i="1" s="1"/>
  <c r="L157" i="1" s="1"/>
  <c r="O156" i="1"/>
  <c r="G156" i="1"/>
  <c r="H156" i="1" s="1"/>
  <c r="L156" i="1" s="1"/>
  <c r="O155" i="1"/>
  <c r="G155" i="1"/>
  <c r="H155" i="1" s="1"/>
  <c r="L155" i="1" s="1"/>
  <c r="O154" i="1"/>
  <c r="G154" i="1"/>
  <c r="H154" i="1" s="1"/>
  <c r="L154" i="1" s="1"/>
  <c r="O153" i="1"/>
  <c r="G153" i="1"/>
  <c r="H153" i="1" s="1"/>
  <c r="L153" i="1" s="1"/>
  <c r="O152" i="1"/>
  <c r="G149" i="1"/>
  <c r="O147" i="1"/>
  <c r="G147" i="1"/>
  <c r="H147" i="1" s="1"/>
  <c r="L147" i="1" s="1"/>
  <c r="O146" i="1"/>
  <c r="G146" i="1"/>
  <c r="H146" i="1" s="1"/>
  <c r="L146" i="1" s="1"/>
  <c r="O145" i="1"/>
  <c r="G145" i="1"/>
  <c r="H145" i="1" s="1"/>
  <c r="L145" i="1" s="1"/>
  <c r="O144" i="1"/>
  <c r="G144" i="1"/>
  <c r="H144" i="1" s="1"/>
  <c r="L144" i="1" s="1"/>
  <c r="O143" i="1"/>
  <c r="G143" i="1"/>
  <c r="H143" i="1" s="1"/>
  <c r="L143" i="1" s="1"/>
  <c r="O142" i="1"/>
  <c r="G142" i="1"/>
  <c r="H142" i="1" s="1"/>
  <c r="L142" i="1" s="1"/>
  <c r="O141" i="1"/>
  <c r="G138" i="1"/>
  <c r="O136" i="1"/>
  <c r="G136" i="1"/>
  <c r="H136" i="1" s="1"/>
  <c r="L136" i="1" s="1"/>
  <c r="O135" i="1"/>
  <c r="G135" i="1"/>
  <c r="H135" i="1" s="1"/>
  <c r="L135" i="1" s="1"/>
  <c r="O134" i="1"/>
  <c r="G134" i="1"/>
  <c r="H134" i="1" s="1"/>
  <c r="L134" i="1" s="1"/>
  <c r="O133" i="1"/>
  <c r="G133" i="1"/>
  <c r="H133" i="1" s="1"/>
  <c r="L133" i="1" s="1"/>
  <c r="O132" i="1"/>
  <c r="G132" i="1"/>
  <c r="H132" i="1" s="1"/>
  <c r="L132" i="1" s="1"/>
  <c r="O131" i="1"/>
  <c r="G131" i="1"/>
  <c r="H131" i="1" s="1"/>
  <c r="L131" i="1" s="1"/>
  <c r="O130" i="1"/>
  <c r="G127" i="1"/>
  <c r="O125" i="1"/>
  <c r="G125" i="1"/>
  <c r="H125" i="1" s="1"/>
  <c r="L125" i="1" s="1"/>
  <c r="O124" i="1"/>
  <c r="O123" i="1"/>
  <c r="G123" i="1"/>
  <c r="H123" i="1" s="1"/>
  <c r="L123" i="1" s="1"/>
  <c r="O122" i="1"/>
  <c r="G122" i="1"/>
  <c r="H122" i="1" s="1"/>
  <c r="L122" i="1" s="1"/>
  <c r="O121" i="1"/>
  <c r="G121" i="1"/>
  <c r="H121" i="1" s="1"/>
  <c r="L121" i="1" s="1"/>
  <c r="O120" i="1"/>
  <c r="G117" i="1"/>
  <c r="O115" i="1"/>
  <c r="G115" i="1"/>
  <c r="H115" i="1" s="1"/>
  <c r="L115" i="1" s="1"/>
  <c r="O114" i="1"/>
  <c r="G114" i="1"/>
  <c r="H114" i="1" s="1"/>
  <c r="L114" i="1" s="1"/>
  <c r="O113" i="1"/>
  <c r="G113" i="1"/>
  <c r="H113" i="1" s="1"/>
  <c r="L113" i="1" s="1"/>
  <c r="O112" i="1"/>
  <c r="G112" i="1"/>
  <c r="H112" i="1" s="1"/>
  <c r="L112" i="1" s="1"/>
  <c r="O111" i="1"/>
  <c r="G111" i="1"/>
  <c r="H111" i="1" s="1"/>
  <c r="L111" i="1" s="1"/>
  <c r="O110" i="1"/>
  <c r="G110" i="1"/>
  <c r="H110" i="1" s="1"/>
  <c r="L110" i="1" s="1"/>
  <c r="O109" i="1"/>
  <c r="G106" i="1"/>
  <c r="O104" i="1"/>
  <c r="G104" i="1"/>
  <c r="H104" i="1" s="1"/>
  <c r="L104" i="1" s="1"/>
  <c r="O103" i="1"/>
  <c r="G103" i="1"/>
  <c r="H103" i="1" s="1"/>
  <c r="L103" i="1" s="1"/>
  <c r="O102" i="1"/>
  <c r="G102" i="1"/>
  <c r="H102" i="1" s="1"/>
  <c r="O101" i="1"/>
  <c r="G101" i="1"/>
  <c r="H101" i="1" s="1"/>
  <c r="L101" i="1" s="1"/>
  <c r="O100" i="1"/>
  <c r="G97" i="1"/>
  <c r="O95" i="1"/>
  <c r="G95" i="1"/>
  <c r="H95" i="1" s="1"/>
  <c r="L95" i="1" s="1"/>
  <c r="O94" i="1"/>
  <c r="G91" i="1"/>
  <c r="O89" i="1"/>
  <c r="G89" i="1"/>
  <c r="H89" i="1" s="1"/>
  <c r="L89" i="1" s="1"/>
  <c r="O88" i="1"/>
  <c r="G85" i="1"/>
  <c r="O83" i="1"/>
  <c r="G83" i="1"/>
  <c r="H83" i="1" s="1"/>
  <c r="L83" i="1" s="1"/>
  <c r="O82" i="1"/>
  <c r="G79" i="1"/>
  <c r="O77" i="1"/>
  <c r="O76" i="1"/>
  <c r="G73" i="1"/>
  <c r="O71" i="1"/>
  <c r="G71" i="1"/>
  <c r="H71" i="1" s="1"/>
  <c r="L71" i="1" s="1"/>
  <c r="O70" i="1"/>
  <c r="G70" i="1"/>
  <c r="H70" i="1" s="1"/>
  <c r="L70" i="1" s="1"/>
  <c r="O69" i="1"/>
  <c r="G69" i="1"/>
  <c r="H69" i="1" s="1"/>
  <c r="L69" i="1" s="1"/>
  <c r="O68" i="1"/>
  <c r="G68" i="1"/>
  <c r="H68" i="1" s="1"/>
  <c r="L68" i="1" s="1"/>
  <c r="O67" i="1"/>
  <c r="G67" i="1"/>
  <c r="H67" i="1" s="1"/>
  <c r="L67" i="1" s="1"/>
  <c r="O66" i="1"/>
  <c r="G66" i="1"/>
  <c r="H66" i="1" s="1"/>
  <c r="L66" i="1" s="1"/>
  <c r="O65" i="1"/>
  <c r="G65" i="1"/>
  <c r="H65" i="1" s="1"/>
  <c r="L65" i="1" s="1"/>
  <c r="O64" i="1"/>
  <c r="G64" i="1"/>
  <c r="H64" i="1" s="1"/>
  <c r="L64" i="1" s="1"/>
  <c r="O63" i="1"/>
  <c r="G63" i="1"/>
  <c r="H63" i="1" s="1"/>
  <c r="L63" i="1" s="1"/>
  <c r="O62" i="1"/>
  <c r="G62" i="1"/>
  <c r="H62" i="1" s="1"/>
  <c r="L62" i="1" s="1"/>
  <c r="O61" i="1"/>
  <c r="G58" i="1"/>
  <c r="O56" i="1"/>
  <c r="G56" i="1"/>
  <c r="H56" i="1" s="1"/>
  <c r="L56" i="1" s="1"/>
  <c r="O55" i="1"/>
  <c r="G55" i="1"/>
  <c r="H55" i="1" s="1"/>
  <c r="L55" i="1" s="1"/>
  <c r="O54" i="1"/>
  <c r="G54" i="1"/>
  <c r="H54" i="1" s="1"/>
  <c r="L54" i="1" s="1"/>
  <c r="O53" i="1"/>
  <c r="G53" i="1"/>
  <c r="H53" i="1" s="1"/>
  <c r="O52" i="1"/>
  <c r="G52" i="1"/>
  <c r="H52" i="1" s="1"/>
  <c r="L52" i="1" s="1"/>
  <c r="O51" i="1"/>
  <c r="G51" i="1"/>
  <c r="H51" i="1" s="1"/>
  <c r="L51" i="1" s="1"/>
  <c r="O50" i="1"/>
  <c r="G47" i="1"/>
  <c r="O45" i="1"/>
  <c r="G45" i="1"/>
  <c r="H45" i="1" s="1"/>
  <c r="L45" i="1" s="1"/>
  <c r="O44" i="1"/>
  <c r="G44" i="1"/>
  <c r="H44" i="1" s="1"/>
  <c r="L44" i="1" s="1"/>
  <c r="O43" i="1"/>
  <c r="G43" i="1"/>
  <c r="H43" i="1" s="1"/>
  <c r="L43" i="1" s="1"/>
  <c r="O42" i="1"/>
  <c r="G42" i="1"/>
  <c r="H42" i="1" s="1"/>
  <c r="L42" i="1" s="1"/>
  <c r="O41" i="1"/>
  <c r="G41" i="1"/>
  <c r="H41" i="1" s="1"/>
  <c r="L41" i="1" s="1"/>
  <c r="O40" i="1"/>
  <c r="G40" i="1"/>
  <c r="H40" i="1" s="1"/>
  <c r="L40" i="1" s="1"/>
  <c r="O39" i="1"/>
  <c r="G36" i="1"/>
  <c r="O34" i="1"/>
  <c r="G34" i="1"/>
  <c r="H34" i="1" s="1"/>
  <c r="L34" i="1" s="1"/>
  <c r="O33" i="1"/>
  <c r="O32" i="1"/>
  <c r="G32" i="1"/>
  <c r="H32" i="1" s="1"/>
  <c r="L32" i="1" s="1"/>
  <c r="O31" i="1"/>
  <c r="G31" i="1"/>
  <c r="H31" i="1" s="1"/>
  <c r="L31" i="1" s="1"/>
  <c r="O30" i="1"/>
  <c r="G30" i="1"/>
  <c r="H30" i="1" s="1"/>
  <c r="L30" i="1" s="1"/>
  <c r="O29" i="1"/>
  <c r="G26" i="1"/>
  <c r="O24" i="1"/>
  <c r="G24" i="1"/>
  <c r="H24" i="1" s="1"/>
  <c r="L24" i="1" s="1"/>
  <c r="O23" i="1"/>
  <c r="G23" i="1"/>
  <c r="H23" i="1" s="1"/>
  <c r="L23" i="1" s="1"/>
  <c r="O22" i="1"/>
  <c r="G22" i="1"/>
  <c r="H22" i="1" s="1"/>
  <c r="L22" i="1" s="1"/>
  <c r="O21" i="1"/>
  <c r="G21" i="1"/>
  <c r="H21" i="1" s="1"/>
  <c r="L21" i="1" s="1"/>
  <c r="O20" i="1"/>
  <c r="G20" i="1"/>
  <c r="H20" i="1" s="1"/>
  <c r="L20" i="1" s="1"/>
  <c r="O19" i="1"/>
  <c r="G19" i="1"/>
  <c r="H19" i="1" s="1"/>
  <c r="L19" i="1" s="1"/>
  <c r="O18" i="1"/>
  <c r="G15" i="1"/>
  <c r="O13" i="1"/>
  <c r="G13" i="1"/>
  <c r="H13" i="1" s="1"/>
  <c r="L13" i="1" s="1"/>
  <c r="O12" i="1"/>
  <c r="G9" i="1"/>
  <c r="O7" i="1"/>
  <c r="G7" i="1"/>
  <c r="H7" i="1" s="1"/>
  <c r="L7" i="1" s="1"/>
  <c r="O6" i="1"/>
  <c r="G6" i="1"/>
  <c r="H6" i="1" s="1"/>
  <c r="L6" i="1" s="1"/>
  <c r="G224" i="1" l="1"/>
  <c r="L312" i="1"/>
  <c r="L851" i="1"/>
  <c r="B577" i="1"/>
  <c r="B669" i="1"/>
  <c r="I943" i="1"/>
  <c r="F943" i="1" s="1"/>
  <c r="I343" i="1"/>
  <c r="F343" i="1" s="1"/>
  <c r="I950" i="1"/>
  <c r="H950" i="1" s="1"/>
  <c r="L950" i="1" s="1"/>
  <c r="I687" i="1"/>
  <c r="H687" i="1" s="1"/>
  <c r="L687" i="1" s="1"/>
  <c r="I805" i="1"/>
  <c r="F805" i="1" s="1"/>
  <c r="I494" i="1"/>
  <c r="F494" i="1" s="1"/>
  <c r="I79" i="1"/>
  <c r="F79" i="1" s="1"/>
  <c r="I470" i="1"/>
  <c r="F470" i="1" s="1"/>
  <c r="I488" i="1"/>
  <c r="F488" i="1" s="1"/>
  <c r="I701" i="1"/>
  <c r="F701" i="1" s="1"/>
  <c r="I319" i="1"/>
  <c r="F319" i="1" s="1"/>
  <c r="I9" i="1"/>
  <c r="F9" i="1" s="1"/>
  <c r="I15" i="1"/>
  <c r="F15" i="1" s="1"/>
  <c r="I387" i="1"/>
  <c r="F387" i="1" s="1"/>
  <c r="I669" i="1"/>
  <c r="F669" i="1" s="1"/>
  <c r="I500" i="1"/>
  <c r="I543" i="1"/>
  <c r="F543" i="1" s="1"/>
  <c r="I891" i="1"/>
  <c r="F891" i="1" s="1"/>
  <c r="I883" i="1"/>
  <c r="F883" i="1" s="1"/>
  <c r="I85" i="1"/>
  <c r="F85" i="1" s="1"/>
  <c r="I359" i="1"/>
  <c r="F359" i="1" s="1"/>
  <c r="I408" i="1"/>
  <c r="F408" i="1" s="1"/>
  <c r="G576" i="1"/>
  <c r="H576" i="1" s="1"/>
  <c r="L576" i="1" s="1"/>
  <c r="I635" i="1"/>
  <c r="F635" i="1" s="1"/>
  <c r="I710" i="1"/>
  <c r="H710" i="1" s="1"/>
  <c r="L710" i="1" s="1"/>
  <c r="I718" i="1"/>
  <c r="F718" i="1" s="1"/>
  <c r="I36" i="1"/>
  <c r="F36" i="1" s="1"/>
  <c r="I842" i="1"/>
  <c r="F842" i="1" s="1"/>
  <c r="G14" i="1"/>
  <c r="H14" i="1" s="1"/>
  <c r="L14" i="1" s="1"/>
  <c r="I258" i="1"/>
  <c r="F258" i="1" s="1"/>
  <c r="I854" i="1"/>
  <c r="F854" i="1" s="1"/>
  <c r="I250" i="1"/>
  <c r="F250" i="1" s="1"/>
  <c r="I907" i="1"/>
  <c r="F907" i="1" s="1"/>
  <c r="I532" i="1"/>
  <c r="F532" i="1" s="1"/>
  <c r="I331" i="1"/>
  <c r="F331" i="1" s="1"/>
  <c r="I577" i="1"/>
  <c r="F577" i="1" s="1"/>
  <c r="I747" i="1"/>
  <c r="F747" i="1" s="1"/>
  <c r="I26" i="1"/>
  <c r="F26" i="1" s="1"/>
  <c r="I97" i="1"/>
  <c r="F97" i="1" s="1"/>
  <c r="G757" i="1"/>
  <c r="H757" i="1" s="1"/>
  <c r="L757" i="1" s="1"/>
  <c r="I866" i="1"/>
  <c r="F866" i="1" s="1"/>
  <c r="I899" i="1"/>
  <c r="F899" i="1" s="1"/>
  <c r="I397" i="1"/>
  <c r="F397" i="1" s="1"/>
  <c r="I434" i="1"/>
  <c r="F434" i="1" s="1"/>
  <c r="I589" i="1"/>
  <c r="F589" i="1" s="1"/>
  <c r="I681" i="1"/>
  <c r="H681" i="1" s="1"/>
  <c r="I993" i="1"/>
  <c r="F993" i="1" s="1"/>
  <c r="I564" i="1"/>
  <c r="F564" i="1" s="1"/>
  <c r="I282" i="1"/>
  <c r="F282" i="1" s="1"/>
  <c r="I238" i="1"/>
  <c r="F238" i="1" s="1"/>
  <c r="I149" i="1"/>
  <c r="H149" i="1" s="1"/>
  <c r="L149" i="1" s="1"/>
  <c r="I91" i="1"/>
  <c r="I200" i="1"/>
  <c r="I307" i="1"/>
  <c r="F307" i="1" s="1"/>
  <c r="I464" i="1"/>
  <c r="F464" i="1" s="1"/>
  <c r="I981" i="1"/>
  <c r="F981" i="1" s="1"/>
  <c r="I627" i="1"/>
  <c r="F627" i="1" s="1"/>
  <c r="I693" i="1"/>
  <c r="H693" i="1" s="1"/>
  <c r="L693" i="1" s="1"/>
  <c r="I799" i="1"/>
  <c r="F799" i="1" s="1"/>
  <c r="I925" i="1"/>
  <c r="F925" i="1" s="1"/>
  <c r="I47" i="1"/>
  <c r="F47" i="1" s="1"/>
  <c r="I73" i="1"/>
  <c r="F73" i="1" s="1"/>
  <c r="I351" i="1"/>
  <c r="F351" i="1" s="1"/>
  <c r="G212" i="1"/>
  <c r="H212" i="1" s="1"/>
  <c r="L212" i="1" s="1"/>
  <c r="G510" i="1"/>
  <c r="H510" i="1" s="1"/>
  <c r="L510" i="1" s="1"/>
  <c r="G418" i="1"/>
  <c r="H418" i="1" s="1"/>
  <c r="L418" i="1" s="1"/>
  <c r="G746" i="1"/>
  <c r="H746" i="1" s="1"/>
  <c r="L746" i="1" s="1"/>
  <c r="G358" i="1"/>
  <c r="H358" i="1" s="1"/>
  <c r="L358" i="1" s="1"/>
  <c r="G618" i="1"/>
  <c r="H618" i="1" s="1"/>
  <c r="L618" i="1" s="1"/>
  <c r="G90" i="1"/>
  <c r="H90" i="1" s="1"/>
  <c r="L90" i="1" s="1"/>
  <c r="G396" i="1"/>
  <c r="H396" i="1" s="1"/>
  <c r="L396" i="1" s="1"/>
  <c r="G680" i="1"/>
  <c r="H680" i="1" s="1"/>
  <c r="L680" i="1" s="1"/>
  <c r="L120" i="1"/>
  <c r="G126" i="1"/>
  <c r="H126" i="1" s="1"/>
  <c r="L126" i="1" s="1"/>
  <c r="G148" i="1"/>
  <c r="H148" i="1" s="1"/>
  <c r="L148" i="1" s="1"/>
  <c r="L141" i="1"/>
  <c r="L102" i="1"/>
  <c r="G105" i="1"/>
  <c r="H105" i="1" s="1"/>
  <c r="L105" i="1" s="1"/>
  <c r="L168" i="1"/>
  <c r="G407" i="1"/>
  <c r="H407" i="1" s="1"/>
  <c r="L407" i="1" s="1"/>
  <c r="G290" i="1"/>
  <c r="H290" i="1" s="1"/>
  <c r="L290" i="1" s="1"/>
  <c r="G481" i="1"/>
  <c r="H481" i="1" s="1"/>
  <c r="L481" i="1" s="1"/>
  <c r="G96" i="1"/>
  <c r="H96" i="1" s="1"/>
  <c r="L96" i="1" s="1"/>
  <c r="I106" i="1"/>
  <c r="L274" i="1"/>
  <c r="G46" i="1"/>
  <c r="H46" i="1" s="1"/>
  <c r="L46" i="1" s="1"/>
  <c r="L53" i="1"/>
  <c r="G137" i="1"/>
  <c r="H137" i="1" s="1"/>
  <c r="L137" i="1" s="1"/>
  <c r="G163" i="1"/>
  <c r="H163" i="1" s="1"/>
  <c r="L163" i="1" s="1"/>
  <c r="L152" i="1"/>
  <c r="I213" i="1"/>
  <c r="F213" i="1" s="1"/>
  <c r="G386" i="1"/>
  <c r="H386" i="1" s="1"/>
  <c r="L386" i="1" s="1"/>
  <c r="I164" i="1"/>
  <c r="G178" i="1"/>
  <c r="H178" i="1" s="1"/>
  <c r="L178" i="1" s="1"/>
  <c r="L324" i="1"/>
  <c r="G330" i="1"/>
  <c r="H330" i="1" s="1"/>
  <c r="L330" i="1" s="1"/>
  <c r="G717" i="1"/>
  <c r="H717" i="1" s="1"/>
  <c r="L717" i="1" s="1"/>
  <c r="G35" i="1"/>
  <c r="H35" i="1" s="1"/>
  <c r="L35" i="1" s="1"/>
  <c r="L82" i="1"/>
  <c r="G84" i="1"/>
  <c r="H84" i="1" s="1"/>
  <c r="L84" i="1" s="1"/>
  <c r="I138" i="1"/>
  <c r="G306" i="1"/>
  <c r="H306" i="1" s="1"/>
  <c r="L306" i="1" s="1"/>
  <c r="G448" i="1"/>
  <c r="H448" i="1" s="1"/>
  <c r="L448" i="1" s="1"/>
  <c r="L585" i="1"/>
  <c r="G588" i="1"/>
  <c r="H588" i="1" s="1"/>
  <c r="L588" i="1" s="1"/>
  <c r="L706" i="1"/>
  <c r="G709" i="1"/>
  <c r="H709" i="1" s="1"/>
  <c r="L709" i="1" s="1"/>
  <c r="G72" i="1"/>
  <c r="H72" i="1" s="1"/>
  <c r="L72" i="1" s="1"/>
  <c r="L61" i="1"/>
  <c r="G57" i="1"/>
  <c r="H57" i="1" s="1"/>
  <c r="L57" i="1" s="1"/>
  <c r="G116" i="1"/>
  <c r="H116" i="1" s="1"/>
  <c r="L116" i="1" s="1"/>
  <c r="L205" i="1"/>
  <c r="H224" i="1"/>
  <c r="L224" i="1" s="1"/>
  <c r="I270" i="1"/>
  <c r="G542" i="1"/>
  <c r="H542" i="1" s="1"/>
  <c r="L691" i="1"/>
  <c r="L641" i="1"/>
  <c r="G646" i="1"/>
  <c r="H646" i="1" s="1"/>
  <c r="L646" i="1" s="1"/>
  <c r="I58" i="1"/>
  <c r="I117" i="1"/>
  <c r="G193" i="1"/>
  <c r="H193" i="1" s="1"/>
  <c r="L193" i="1" s="1"/>
  <c r="L182" i="1"/>
  <c r="I225" i="1"/>
  <c r="G237" i="1"/>
  <c r="H237" i="1" s="1"/>
  <c r="L237" i="1" s="1"/>
  <c r="G249" i="1"/>
  <c r="H249" i="1" s="1"/>
  <c r="L249" i="1" s="1"/>
  <c r="G281" i="1"/>
  <c r="H281" i="1" s="1"/>
  <c r="L281" i="1" s="1"/>
  <c r="G668" i="1"/>
  <c r="H668" i="1" s="1"/>
  <c r="L668" i="1" s="1"/>
  <c r="L12" i="1"/>
  <c r="I127" i="1"/>
  <c r="I179" i="1"/>
  <c r="I194" i="1"/>
  <c r="G269" i="1"/>
  <c r="H269" i="1" s="1"/>
  <c r="L269" i="1" s="1"/>
  <c r="L563" i="1"/>
  <c r="G8" i="1"/>
  <c r="H8" i="1" s="1"/>
  <c r="L8" i="1" s="1"/>
  <c r="G25" i="1"/>
  <c r="H25" i="1" s="1"/>
  <c r="L25" i="1" s="1"/>
  <c r="G336" i="1"/>
  <c r="H336" i="1" s="1"/>
  <c r="G531" i="1"/>
  <c r="H531" i="1" s="1"/>
  <c r="L594" i="1"/>
  <c r="G700" i="1"/>
  <c r="H700" i="1" s="1"/>
  <c r="L700" i="1" s="1"/>
  <c r="G898" i="1"/>
  <c r="H898" i="1" s="1"/>
  <c r="L898" i="1" s="1"/>
  <c r="G350" i="1"/>
  <c r="H350" i="1" s="1"/>
  <c r="L350" i="1" s="1"/>
  <c r="I379" i="1"/>
  <c r="F379" i="1" s="1"/>
  <c r="L846" i="1"/>
  <c r="L874" i="1"/>
  <c r="G890" i="1"/>
  <c r="H890" i="1" s="1"/>
  <c r="L890" i="1" s="1"/>
  <c r="G728" i="1"/>
  <c r="H728" i="1" s="1"/>
  <c r="L728" i="1" s="1"/>
  <c r="L295" i="1"/>
  <c r="I337" i="1"/>
  <c r="I482" i="1"/>
  <c r="F482" i="1" s="1"/>
  <c r="G493" i="1"/>
  <c r="H493" i="1" s="1"/>
  <c r="L493" i="1" s="1"/>
  <c r="I511" i="1"/>
  <c r="F511" i="1" s="1"/>
  <c r="I558" i="1"/>
  <c r="L673" i="1"/>
  <c r="G686" i="1"/>
  <c r="H686" i="1" s="1"/>
  <c r="I729" i="1"/>
  <c r="G736" i="1"/>
  <c r="H736" i="1" s="1"/>
  <c r="L736" i="1" s="1"/>
  <c r="I830" i="1"/>
  <c r="G865" i="1"/>
  <c r="H865" i="1" s="1"/>
  <c r="L865" i="1" s="1"/>
  <c r="G433" i="1"/>
  <c r="H433" i="1" s="1"/>
  <c r="L433" i="1" s="1"/>
  <c r="G626" i="1"/>
  <c r="H626" i="1" s="1"/>
  <c r="L626" i="1" s="1"/>
  <c r="I758" i="1"/>
  <c r="F758" i="1" s="1"/>
  <c r="L88" i="1"/>
  <c r="L100" i="1"/>
  <c r="I619" i="1"/>
  <c r="F619" i="1" s="1"/>
  <c r="L804" i="1"/>
  <c r="G257" i="1"/>
  <c r="H257" i="1" s="1"/>
  <c r="L257" i="1" s="1"/>
  <c r="G369" i="1"/>
  <c r="H369" i="1" s="1"/>
  <c r="L369" i="1" s="1"/>
  <c r="G557" i="1"/>
  <c r="H557" i="1" s="1"/>
  <c r="L557" i="1" s="1"/>
  <c r="L568" i="1"/>
  <c r="I660" i="1"/>
  <c r="F660" i="1" s="1"/>
  <c r="G783" i="1"/>
  <c r="H783" i="1" s="1"/>
  <c r="L783" i="1" s="1"/>
  <c r="L392" i="1"/>
  <c r="G463" i="1"/>
  <c r="H463" i="1" s="1"/>
  <c r="L463" i="1" s="1"/>
  <c r="G520" i="1"/>
  <c r="H520" i="1" s="1"/>
  <c r="L520" i="1" s="1"/>
  <c r="G602" i="1"/>
  <c r="H602" i="1" s="1"/>
  <c r="L602" i="1" s="1"/>
  <c r="I370" i="1"/>
  <c r="G378" i="1"/>
  <c r="H378" i="1" s="1"/>
  <c r="L378" i="1" s="1"/>
  <c r="I449" i="1"/>
  <c r="G499" i="1"/>
  <c r="H499" i="1" s="1"/>
  <c r="L499" i="1" s="1"/>
  <c r="G659" i="1"/>
  <c r="H659" i="1" s="1"/>
  <c r="L659" i="1" s="1"/>
  <c r="L651" i="1"/>
  <c r="L664" i="1"/>
  <c r="I769" i="1"/>
  <c r="I521" i="1"/>
  <c r="I291" i="1"/>
  <c r="I603" i="1"/>
  <c r="I647" i="1"/>
  <c r="F647" i="1" s="1"/>
  <c r="G342" i="1"/>
  <c r="H342" i="1" s="1"/>
  <c r="G318" i="1"/>
  <c r="H318" i="1" s="1"/>
  <c r="L318" i="1" s="1"/>
  <c r="I419" i="1"/>
  <c r="L469" i="1"/>
  <c r="G487" i="1"/>
  <c r="H487" i="1" s="1"/>
  <c r="L487" i="1" s="1"/>
  <c r="L913" i="1"/>
  <c r="G914" i="1"/>
  <c r="H914" i="1" s="1"/>
  <c r="L914" i="1" s="1"/>
  <c r="G942" i="1"/>
  <c r="H942" i="1" s="1"/>
  <c r="L942" i="1" s="1"/>
  <c r="G692" i="1"/>
  <c r="H692" i="1" s="1"/>
  <c r="L692" i="1" s="1"/>
  <c r="I737" i="1"/>
  <c r="F737" i="1" s="1"/>
  <c r="G906" i="1"/>
  <c r="H906" i="1" s="1"/>
  <c r="L906" i="1" s="1"/>
  <c r="I936" i="1"/>
  <c r="G992" i="1"/>
  <c r="H992" i="1" s="1"/>
  <c r="L992" i="1" s="1"/>
  <c r="G798" i="1"/>
  <c r="H798" i="1" s="1"/>
  <c r="L798" i="1" s="1"/>
  <c r="G816" i="1"/>
  <c r="H816" i="1" s="1"/>
  <c r="L816" i="1" s="1"/>
  <c r="I817" i="1"/>
  <c r="F817" i="1" s="1"/>
  <c r="G829" i="1"/>
  <c r="H829" i="1" s="1"/>
  <c r="L829" i="1" s="1"/>
  <c r="I915" i="1"/>
  <c r="G980" i="1"/>
  <c r="H980" i="1" s="1"/>
  <c r="L980" i="1" s="1"/>
  <c r="G634" i="1"/>
  <c r="H634" i="1" s="1"/>
  <c r="L634" i="1" s="1"/>
  <c r="G768" i="1"/>
  <c r="H768" i="1" s="1"/>
  <c r="L768" i="1" s="1"/>
  <c r="G853" i="1"/>
  <c r="H853" i="1" s="1"/>
  <c r="L853" i="1" s="1"/>
  <c r="G924" i="1"/>
  <c r="H924" i="1" s="1"/>
  <c r="L924" i="1" s="1"/>
  <c r="G841" i="1"/>
  <c r="H841" i="1" s="1"/>
  <c r="L841" i="1" s="1"/>
  <c r="L834" i="1"/>
  <c r="G935" i="1"/>
  <c r="H935" i="1" s="1"/>
  <c r="L935" i="1" s="1"/>
  <c r="I784" i="1"/>
  <c r="F784" i="1" s="1"/>
  <c r="G882" i="1"/>
  <c r="H882" i="1" s="1"/>
  <c r="L882" i="1" s="1"/>
  <c r="G949" i="1"/>
  <c r="H949" i="1" s="1"/>
  <c r="L949" i="1" s="1"/>
  <c r="F950" i="1" l="1"/>
  <c r="H669" i="1"/>
  <c r="L669" i="1" s="1"/>
  <c r="H943" i="1"/>
  <c r="L943" i="1" s="1"/>
  <c r="L944" i="1" s="1"/>
  <c r="E94" i="2" s="1"/>
  <c r="H635" i="1"/>
  <c r="L635" i="1" s="1"/>
  <c r="L636" i="1" s="1"/>
  <c r="E64" i="2" s="1"/>
  <c r="H150" i="1"/>
  <c r="D19" i="2" s="1"/>
  <c r="H343" i="1"/>
  <c r="L343" i="1" s="1"/>
  <c r="H351" i="1"/>
  <c r="L351" i="1" s="1"/>
  <c r="L352" i="1" s="1"/>
  <c r="E37" i="2" s="1"/>
  <c r="F687" i="1"/>
  <c r="H387" i="1"/>
  <c r="L387" i="1" s="1"/>
  <c r="L388" i="1" s="1"/>
  <c r="E41" i="2" s="1"/>
  <c r="F710" i="1"/>
  <c r="H805" i="1"/>
  <c r="L805" i="1" s="1"/>
  <c r="L806" i="1" s="1"/>
  <c r="E81" i="2" s="1"/>
  <c r="H670" i="1"/>
  <c r="D67" i="2" s="1"/>
  <c r="H981" i="1"/>
  <c r="L981" i="1" s="1"/>
  <c r="L982" i="1" s="1"/>
  <c r="E96" i="2" s="1"/>
  <c r="L951" i="1"/>
  <c r="E95" i="2" s="1"/>
  <c r="H883" i="1"/>
  <c r="L883" i="1" s="1"/>
  <c r="L884" i="1" s="1"/>
  <c r="E87" i="2" s="1"/>
  <c r="H470" i="1"/>
  <c r="H494" i="1"/>
  <c r="L494" i="1" s="1"/>
  <c r="L495" i="1" s="1"/>
  <c r="E51" i="2" s="1"/>
  <c r="H79" i="1"/>
  <c r="L79" i="1" s="1"/>
  <c r="L80" i="1" s="1"/>
  <c r="E11" i="2" s="1"/>
  <c r="H258" i="1"/>
  <c r="L258" i="1" s="1"/>
  <c r="L259" i="1" s="1"/>
  <c r="E28" i="2" s="1"/>
  <c r="H434" i="1"/>
  <c r="L434" i="1" s="1"/>
  <c r="L435" i="1" s="1"/>
  <c r="E45" i="2" s="1"/>
  <c r="H718" i="1"/>
  <c r="L718" i="1" s="1"/>
  <c r="L719" i="1" s="1"/>
  <c r="E73" i="2" s="1"/>
  <c r="H701" i="1"/>
  <c r="L701" i="1" s="1"/>
  <c r="L702" i="1" s="1"/>
  <c r="E71" i="2" s="1"/>
  <c r="H15" i="1"/>
  <c r="H319" i="1"/>
  <c r="L670" i="1"/>
  <c r="E67" i="2" s="1"/>
  <c r="H331" i="1"/>
  <c r="H944" i="1"/>
  <c r="D94" i="2" s="1"/>
  <c r="H379" i="1"/>
  <c r="L379" i="1" s="1"/>
  <c r="L380" i="1" s="1"/>
  <c r="E40" i="2" s="1"/>
  <c r="H993" i="1"/>
  <c r="L993" i="1" s="1"/>
  <c r="L994" i="1" s="1"/>
  <c r="E97" i="2" s="1"/>
  <c r="H543" i="1"/>
  <c r="L543" i="1" s="1"/>
  <c r="H397" i="1"/>
  <c r="L397" i="1" s="1"/>
  <c r="L398" i="1" s="1"/>
  <c r="E42" i="2" s="1"/>
  <c r="H9" i="1"/>
  <c r="L9" i="1" s="1"/>
  <c r="L10" i="1" s="1"/>
  <c r="E4" i="2" s="1"/>
  <c r="H36" i="1"/>
  <c r="H488" i="1"/>
  <c r="L488" i="1" s="1"/>
  <c r="L489" i="1" s="1"/>
  <c r="E50" i="2" s="1"/>
  <c r="H891" i="1"/>
  <c r="F693" i="1"/>
  <c r="H627" i="1"/>
  <c r="L627" i="1" s="1"/>
  <c r="L628" i="1" s="1"/>
  <c r="E63" i="2" s="1"/>
  <c r="H907" i="1"/>
  <c r="L907" i="1" s="1"/>
  <c r="L908" i="1" s="1"/>
  <c r="E90" i="2" s="1"/>
  <c r="H307" i="1"/>
  <c r="L307" i="1" s="1"/>
  <c r="L308" i="1" s="1"/>
  <c r="E32" i="2" s="1"/>
  <c r="H85" i="1"/>
  <c r="L85" i="1" s="1"/>
  <c r="L86" i="1" s="1"/>
  <c r="E12" i="2" s="1"/>
  <c r="H359" i="1"/>
  <c r="L359" i="1" s="1"/>
  <c r="L360" i="1" s="1"/>
  <c r="E38" i="2" s="1"/>
  <c r="F681" i="1"/>
  <c r="H564" i="1"/>
  <c r="L564" i="1" s="1"/>
  <c r="L565" i="1" s="1"/>
  <c r="E58" i="2" s="1"/>
  <c r="H619" i="1"/>
  <c r="L619" i="1" s="1"/>
  <c r="L620" i="1" s="1"/>
  <c r="E62" i="2" s="1"/>
  <c r="H282" i="1"/>
  <c r="L282" i="1" s="1"/>
  <c r="L283" i="1" s="1"/>
  <c r="E30" i="2" s="1"/>
  <c r="H842" i="1"/>
  <c r="H500" i="1"/>
  <c r="L500" i="1" s="1"/>
  <c r="L501" i="1" s="1"/>
  <c r="E52" i="2" s="1"/>
  <c r="F500" i="1"/>
  <c r="H866" i="1"/>
  <c r="H26" i="1"/>
  <c r="L26" i="1" s="1"/>
  <c r="L27" i="1" s="1"/>
  <c r="E6" i="2" s="1"/>
  <c r="H97" i="1"/>
  <c r="L97" i="1" s="1"/>
  <c r="L98" i="1" s="1"/>
  <c r="E14" i="2" s="1"/>
  <c r="H408" i="1"/>
  <c r="L408" i="1" s="1"/>
  <c r="L409" i="1" s="1"/>
  <c r="E43" i="2" s="1"/>
  <c r="H925" i="1"/>
  <c r="L925" i="1" s="1"/>
  <c r="L926" i="1" s="1"/>
  <c r="E92" i="2" s="1"/>
  <c r="H747" i="1"/>
  <c r="H758" i="1"/>
  <c r="H660" i="1"/>
  <c r="L660" i="1" s="1"/>
  <c r="L661" i="1" s="1"/>
  <c r="E66" i="2" s="1"/>
  <c r="H647" i="1"/>
  <c r="L647" i="1" s="1"/>
  <c r="L648" i="1" s="1"/>
  <c r="E65" i="2" s="1"/>
  <c r="H200" i="1"/>
  <c r="F200" i="1"/>
  <c r="H91" i="1"/>
  <c r="L91" i="1" s="1"/>
  <c r="L92" i="1" s="1"/>
  <c r="E13" i="2" s="1"/>
  <c r="F91" i="1"/>
  <c r="H899" i="1"/>
  <c r="L899" i="1" s="1"/>
  <c r="L900" i="1" s="1"/>
  <c r="E89" i="2" s="1"/>
  <c r="H577" i="1"/>
  <c r="L577" i="1" s="1"/>
  <c r="L578" i="1" s="1"/>
  <c r="E59" i="2" s="1"/>
  <c r="H589" i="1"/>
  <c r="H73" i="1"/>
  <c r="L73" i="1" s="1"/>
  <c r="L74" i="1" s="1"/>
  <c r="E10" i="2" s="1"/>
  <c r="H250" i="1"/>
  <c r="L250" i="1" s="1"/>
  <c r="L251" i="1" s="1"/>
  <c r="E27" i="2" s="1"/>
  <c r="H47" i="1"/>
  <c r="H464" i="1"/>
  <c r="L464" i="1" s="1"/>
  <c r="L465" i="1" s="1"/>
  <c r="E47" i="2" s="1"/>
  <c r="F149" i="1"/>
  <c r="H799" i="1"/>
  <c r="L799" i="1" s="1"/>
  <c r="L800" i="1" s="1"/>
  <c r="E80" i="2" s="1"/>
  <c r="H213" i="1"/>
  <c r="L213" i="1" s="1"/>
  <c r="L214" i="1" s="1"/>
  <c r="E24" i="2" s="1"/>
  <c r="H532" i="1"/>
  <c r="L532" i="1" s="1"/>
  <c r="H854" i="1"/>
  <c r="L854" i="1" s="1"/>
  <c r="L855" i="1" s="1"/>
  <c r="E85" i="2" s="1"/>
  <c r="H238" i="1"/>
  <c r="L711" i="1"/>
  <c r="E72" i="2" s="1"/>
  <c r="L694" i="1"/>
  <c r="E70" i="2" s="1"/>
  <c r="H521" i="1"/>
  <c r="F521" i="1"/>
  <c r="F558" i="1"/>
  <c r="H558" i="1"/>
  <c r="H194" i="1"/>
  <c r="L194" i="1" s="1"/>
  <c r="L195" i="1" s="1"/>
  <c r="E22" i="2" s="1"/>
  <c r="F194" i="1"/>
  <c r="H117" i="1"/>
  <c r="L117" i="1" s="1"/>
  <c r="L118" i="1" s="1"/>
  <c r="E16" i="2" s="1"/>
  <c r="F117" i="1"/>
  <c r="H936" i="1"/>
  <c r="L936" i="1" s="1"/>
  <c r="L937" i="1" s="1"/>
  <c r="E93" i="2" s="1"/>
  <c r="F936" i="1"/>
  <c r="H769" i="1"/>
  <c r="L769" i="1" s="1"/>
  <c r="L770" i="1" s="1"/>
  <c r="E78" i="2" s="1"/>
  <c r="F769" i="1"/>
  <c r="H370" i="1"/>
  <c r="L370" i="1" s="1"/>
  <c r="L371" i="1" s="1"/>
  <c r="E39" i="2" s="1"/>
  <c r="F370" i="1"/>
  <c r="H179" i="1"/>
  <c r="L179" i="1" s="1"/>
  <c r="L180" i="1" s="1"/>
  <c r="E21" i="2" s="1"/>
  <c r="F179" i="1"/>
  <c r="H58" i="1"/>
  <c r="F58" i="1"/>
  <c r="L542" i="1"/>
  <c r="H784" i="1"/>
  <c r="L784" i="1" s="1"/>
  <c r="L785" i="1" s="1"/>
  <c r="E79" i="2" s="1"/>
  <c r="H127" i="1"/>
  <c r="L127" i="1" s="1"/>
  <c r="L128" i="1" s="1"/>
  <c r="E17" i="2" s="1"/>
  <c r="F127" i="1"/>
  <c r="H270" i="1"/>
  <c r="F270" i="1"/>
  <c r="H138" i="1"/>
  <c r="L138" i="1" s="1"/>
  <c r="L139" i="1" s="1"/>
  <c r="E18" i="2" s="1"/>
  <c r="F138" i="1"/>
  <c r="F830" i="1"/>
  <c r="H830" i="1"/>
  <c r="L531" i="1"/>
  <c r="L681" i="1"/>
  <c r="L682" i="1" s="1"/>
  <c r="E68" i="2" s="1"/>
  <c r="H682" i="1"/>
  <c r="F419" i="1"/>
  <c r="H419" i="1"/>
  <c r="H951" i="1"/>
  <c r="H817" i="1"/>
  <c r="L342" i="1"/>
  <c r="L150" i="1"/>
  <c r="E19" i="2" s="1"/>
  <c r="H915" i="1"/>
  <c r="F915" i="1"/>
  <c r="H729" i="1"/>
  <c r="F729" i="1"/>
  <c r="F337" i="1"/>
  <c r="H337" i="1"/>
  <c r="L337" i="1" s="1"/>
  <c r="H164" i="1"/>
  <c r="F164" i="1"/>
  <c r="H482" i="1"/>
  <c r="L482" i="1" s="1"/>
  <c r="L483" i="1" s="1"/>
  <c r="E49" i="2" s="1"/>
  <c r="H636" i="1"/>
  <c r="H711" i="1"/>
  <c r="L336" i="1"/>
  <c r="H225" i="1"/>
  <c r="F225" i="1"/>
  <c r="H511" i="1"/>
  <c r="F449" i="1"/>
  <c r="H449" i="1"/>
  <c r="H737" i="1"/>
  <c r="H694" i="1"/>
  <c r="H106" i="1"/>
  <c r="L106" i="1" s="1"/>
  <c r="L107" i="1" s="1"/>
  <c r="E15" i="2" s="1"/>
  <c r="F106" i="1"/>
  <c r="H291" i="1"/>
  <c r="F291" i="1"/>
  <c r="H603" i="1"/>
  <c r="F603" i="1"/>
  <c r="L686" i="1"/>
  <c r="L688" i="1" s="1"/>
  <c r="E69" i="2" s="1"/>
  <c r="H688" i="1"/>
  <c r="L344" i="1" l="1"/>
  <c r="E36" i="2" s="1"/>
  <c r="H352" i="1"/>
  <c r="D37" i="2" s="1"/>
  <c r="D22" i="4"/>
  <c r="E22" i="4" s="1"/>
  <c r="H388" i="1"/>
  <c r="D41" i="2" s="1"/>
  <c r="H565" i="1"/>
  <c r="D58" i="2" s="1"/>
  <c r="H982" i="1"/>
  <c r="D96" i="2" s="1"/>
  <c r="H398" i="1"/>
  <c r="D42" i="2" s="1"/>
  <c r="H806" i="1"/>
  <c r="D84" i="4" s="1"/>
  <c r="E84" i="4" s="1"/>
  <c r="H344" i="1"/>
  <c r="D36" i="2" s="1"/>
  <c r="L533" i="1"/>
  <c r="E55" i="2" s="1"/>
  <c r="D70" i="4"/>
  <c r="E70" i="4" s="1"/>
  <c r="H994" i="1"/>
  <c r="D97" i="2" s="1"/>
  <c r="H495" i="1"/>
  <c r="D54" i="4" s="1"/>
  <c r="E54" i="4" s="1"/>
  <c r="D97" i="4"/>
  <c r="E97" i="4" s="1"/>
  <c r="H80" i="1"/>
  <c r="D11" i="2" s="1"/>
  <c r="H139" i="1"/>
  <c r="D18" i="2" s="1"/>
  <c r="H98" i="1"/>
  <c r="D14" i="2" s="1"/>
  <c r="H195" i="1"/>
  <c r="D25" i="4" s="1"/>
  <c r="E25" i="4" s="1"/>
  <c r="H214" i="1"/>
  <c r="D24" i="2" s="1"/>
  <c r="H884" i="1"/>
  <c r="D90" i="4" s="1"/>
  <c r="E90" i="4" s="1"/>
  <c r="H544" i="1"/>
  <c r="D56" i="2" s="1"/>
  <c r="H251" i="1"/>
  <c r="D30" i="4" s="1"/>
  <c r="E30" i="4" s="1"/>
  <c r="H533" i="1"/>
  <c r="D58" i="4" s="1"/>
  <c r="E58" i="4" s="1"/>
  <c r="H308" i="1"/>
  <c r="D32" i="2" s="1"/>
  <c r="H578" i="1"/>
  <c r="D62" i="4" s="1"/>
  <c r="E62" i="4" s="1"/>
  <c r="H371" i="1"/>
  <c r="D42" i="4" s="1"/>
  <c r="E42" i="4" s="1"/>
  <c r="H259" i="1"/>
  <c r="D28" i="2" s="1"/>
  <c r="H435" i="1"/>
  <c r="D48" i="4" s="1"/>
  <c r="E48" i="4" s="1"/>
  <c r="H283" i="1"/>
  <c r="D30" i="2" s="1"/>
  <c r="H380" i="1"/>
  <c r="D43" i="4" s="1"/>
  <c r="E43" i="4" s="1"/>
  <c r="H800" i="1"/>
  <c r="D83" i="4" s="1"/>
  <c r="E83" i="4" s="1"/>
  <c r="H719" i="1"/>
  <c r="D76" i="4" s="1"/>
  <c r="E76" i="4" s="1"/>
  <c r="H483" i="1"/>
  <c r="D52" i="4" s="1"/>
  <c r="E52" i="4" s="1"/>
  <c r="H92" i="1"/>
  <c r="H900" i="1"/>
  <c r="D89" i="2" s="1"/>
  <c r="L470" i="1"/>
  <c r="L471" i="1" s="1"/>
  <c r="E48" i="2" s="1"/>
  <c r="H471" i="1"/>
  <c r="H501" i="1"/>
  <c r="D52" i="2" s="1"/>
  <c r="H702" i="1"/>
  <c r="D71" i="2" s="1"/>
  <c r="H937" i="1"/>
  <c r="D96" i="4" s="1"/>
  <c r="E96" i="4" s="1"/>
  <c r="H628" i="1"/>
  <c r="D63" i="2" s="1"/>
  <c r="H908" i="1"/>
  <c r="D90" i="2" s="1"/>
  <c r="H489" i="1"/>
  <c r="D50" i="2" s="1"/>
  <c r="H926" i="1"/>
  <c r="D95" i="4" s="1"/>
  <c r="E95" i="4" s="1"/>
  <c r="H855" i="1"/>
  <c r="D85" i="2" s="1"/>
  <c r="L200" i="1"/>
  <c r="L201" i="1" s="1"/>
  <c r="E23" i="2" s="1"/>
  <c r="H201" i="1"/>
  <c r="L842" i="1"/>
  <c r="L843" i="1" s="1"/>
  <c r="E84" i="2" s="1"/>
  <c r="H843" i="1"/>
  <c r="H338" i="1"/>
  <c r="D38" i="4" s="1"/>
  <c r="E38" i="4" s="1"/>
  <c r="H648" i="1"/>
  <c r="D65" i="2" s="1"/>
  <c r="L47" i="1"/>
  <c r="L48" i="1" s="1"/>
  <c r="E8" i="2" s="1"/>
  <c r="H48" i="1"/>
  <c r="L758" i="1"/>
  <c r="L759" i="1" s="1"/>
  <c r="E77" i="2" s="1"/>
  <c r="H759" i="1"/>
  <c r="H360" i="1"/>
  <c r="L15" i="1"/>
  <c r="L16" i="1" s="1"/>
  <c r="E5" i="2" s="1"/>
  <c r="H16" i="1"/>
  <c r="L338" i="1"/>
  <c r="E35" i="2" s="1"/>
  <c r="L747" i="1"/>
  <c r="L748" i="1" s="1"/>
  <c r="E76" i="2" s="1"/>
  <c r="H748" i="1"/>
  <c r="L331" i="1"/>
  <c r="L332" i="1" s="1"/>
  <c r="E34" i="2" s="1"/>
  <c r="H332" i="1"/>
  <c r="L36" i="1"/>
  <c r="L37" i="1" s="1"/>
  <c r="E7" i="2" s="1"/>
  <c r="H37" i="1"/>
  <c r="H770" i="1"/>
  <c r="D78" i="2" s="1"/>
  <c r="H620" i="1"/>
  <c r="D62" i="2" s="1"/>
  <c r="H10" i="1"/>
  <c r="D7" i="4" s="1"/>
  <c r="E7" i="4" s="1"/>
  <c r="L589" i="1"/>
  <c r="L590" i="1" s="1"/>
  <c r="E60" i="2" s="1"/>
  <c r="H590" i="1"/>
  <c r="H661" i="1"/>
  <c r="D66" i="2" s="1"/>
  <c r="H27" i="1"/>
  <c r="D6" i="2" s="1"/>
  <c r="L238" i="1"/>
  <c r="L239" i="1" s="1"/>
  <c r="E26" i="2" s="1"/>
  <c r="H239" i="1"/>
  <c r="H465" i="1"/>
  <c r="D47" i="2" s="1"/>
  <c r="L544" i="1"/>
  <c r="E56" i="2" s="1"/>
  <c r="L866" i="1"/>
  <c r="L867" i="1" s="1"/>
  <c r="E86" i="2" s="1"/>
  <c r="H867" i="1"/>
  <c r="H180" i="1"/>
  <c r="D24" i="4" s="1"/>
  <c r="E24" i="4" s="1"/>
  <c r="H409" i="1"/>
  <c r="D43" i="2" s="1"/>
  <c r="H74" i="1"/>
  <c r="D13" i="4" s="1"/>
  <c r="E13" i="4" s="1"/>
  <c r="L319" i="1"/>
  <c r="L320" i="1" s="1"/>
  <c r="E33" i="2" s="1"/>
  <c r="H320" i="1"/>
  <c r="H107" i="1"/>
  <c r="D18" i="4" s="1"/>
  <c r="E18" i="4" s="1"/>
  <c r="L891" i="1"/>
  <c r="L892" i="1" s="1"/>
  <c r="E88" i="2" s="1"/>
  <c r="H892" i="1"/>
  <c r="H86" i="1"/>
  <c r="D44" i="4"/>
  <c r="E44" i="4" s="1"/>
  <c r="H512" i="1"/>
  <c r="L511" i="1"/>
  <c r="L512" i="1" s="1"/>
  <c r="E53" i="2" s="1"/>
  <c r="D64" i="2"/>
  <c r="D67" i="4"/>
  <c r="E67" i="4" s="1"/>
  <c r="L164" i="1"/>
  <c r="L165" i="1" s="1"/>
  <c r="E20" i="2" s="1"/>
  <c r="H165" i="1"/>
  <c r="H128" i="1"/>
  <c r="L521" i="1"/>
  <c r="L522" i="1" s="1"/>
  <c r="E54" i="2" s="1"/>
  <c r="H522" i="1"/>
  <c r="L603" i="1"/>
  <c r="L604" i="1" s="1"/>
  <c r="E61" i="2" s="1"/>
  <c r="H604" i="1"/>
  <c r="L225" i="1"/>
  <c r="L226" i="1" s="1"/>
  <c r="E25" i="2" s="1"/>
  <c r="H226" i="1"/>
  <c r="D95" i="2"/>
  <c r="D98" i="4"/>
  <c r="E98" i="4" s="1"/>
  <c r="L558" i="1"/>
  <c r="L559" i="1" s="1"/>
  <c r="E57" i="2" s="1"/>
  <c r="H559" i="1"/>
  <c r="D68" i="2"/>
  <c r="D71" i="4"/>
  <c r="E71" i="4" s="1"/>
  <c r="L915" i="1"/>
  <c r="L916" i="1" s="1"/>
  <c r="E91" i="2" s="1"/>
  <c r="H916" i="1"/>
  <c r="H785" i="1"/>
  <c r="L729" i="1"/>
  <c r="L730" i="1" s="1"/>
  <c r="E74" i="2" s="1"/>
  <c r="H730" i="1"/>
  <c r="L419" i="1"/>
  <c r="L420" i="1" s="1"/>
  <c r="E44" i="2" s="1"/>
  <c r="H420" i="1"/>
  <c r="L291" i="1"/>
  <c r="L292" i="1" s="1"/>
  <c r="E31" i="2" s="1"/>
  <c r="H292" i="1"/>
  <c r="H118" i="1"/>
  <c r="L817" i="1"/>
  <c r="L818" i="1" s="1"/>
  <c r="E82" i="2" s="1"/>
  <c r="H818" i="1"/>
  <c r="L737" i="1"/>
  <c r="L738" i="1" s="1"/>
  <c r="E75" i="2" s="1"/>
  <c r="H738" i="1"/>
  <c r="D72" i="2"/>
  <c r="D75" i="4"/>
  <c r="E75" i="4" s="1"/>
  <c r="L830" i="1"/>
  <c r="L831" i="1" s="1"/>
  <c r="E83" i="2" s="1"/>
  <c r="H831" i="1"/>
  <c r="L270" i="1"/>
  <c r="L271" i="1" s="1"/>
  <c r="E29" i="2" s="1"/>
  <c r="H271" i="1"/>
  <c r="L58" i="1"/>
  <c r="L59" i="1" s="1"/>
  <c r="E9" i="2" s="1"/>
  <c r="H59" i="1"/>
  <c r="D70" i="2"/>
  <c r="D73" i="4"/>
  <c r="E73" i="4" s="1"/>
  <c r="D72" i="4"/>
  <c r="E72" i="4" s="1"/>
  <c r="D69" i="2"/>
  <c r="L449" i="1"/>
  <c r="L450" i="1" s="1"/>
  <c r="E46" i="2" s="1"/>
  <c r="H450" i="1"/>
  <c r="D40" i="4" l="1"/>
  <c r="E40" i="4" s="1"/>
  <c r="D45" i="4"/>
  <c r="E45" i="4" s="1"/>
  <c r="D61" i="4"/>
  <c r="E61" i="4" s="1"/>
  <c r="D99" i="4"/>
  <c r="E99" i="4" s="1"/>
  <c r="D39" i="4"/>
  <c r="E39" i="4" s="1"/>
  <c r="D59" i="2"/>
  <c r="D14" i="4"/>
  <c r="E14" i="4" s="1"/>
  <c r="D81" i="2"/>
  <c r="D39" i="2"/>
  <c r="D100" i="4"/>
  <c r="E100" i="4" s="1"/>
  <c r="D40" i="2"/>
  <c r="D88" i="4"/>
  <c r="E88" i="4" s="1"/>
  <c r="D31" i="4"/>
  <c r="E31" i="4" s="1"/>
  <c r="D74" i="4"/>
  <c r="E74" i="4" s="1"/>
  <c r="D51" i="2"/>
  <c r="D21" i="4"/>
  <c r="E21" i="4" s="1"/>
  <c r="D92" i="2"/>
  <c r="D27" i="2"/>
  <c r="D22" i="2"/>
  <c r="D80" i="2"/>
  <c r="D59" i="4"/>
  <c r="E59" i="4" s="1"/>
  <c r="D27" i="4"/>
  <c r="E27" i="4" s="1"/>
  <c r="D55" i="2"/>
  <c r="D17" i="4"/>
  <c r="E17" i="4" s="1"/>
  <c r="D87" i="2"/>
  <c r="D35" i="4"/>
  <c r="E35" i="4" s="1"/>
  <c r="D45" i="2"/>
  <c r="D73" i="2"/>
  <c r="D10" i="2"/>
  <c r="D33" i="4"/>
  <c r="E33" i="4" s="1"/>
  <c r="D65" i="4"/>
  <c r="E65" i="4" s="1"/>
  <c r="D53" i="4"/>
  <c r="E53" i="4" s="1"/>
  <c r="D92" i="4"/>
  <c r="E92" i="4" s="1"/>
  <c r="D49" i="2"/>
  <c r="D93" i="4"/>
  <c r="E93" i="4" s="1"/>
  <c r="D15" i="2"/>
  <c r="D55" i="4"/>
  <c r="E55" i="4" s="1"/>
  <c r="D13" i="2"/>
  <c r="D16" i="4"/>
  <c r="E16" i="4" s="1"/>
  <c r="D68" i="4"/>
  <c r="E68" i="4" s="1"/>
  <c r="D51" i="4"/>
  <c r="E51" i="4" s="1"/>
  <c r="D48" i="2"/>
  <c r="D9" i="4"/>
  <c r="E9" i="4" s="1"/>
  <c r="D66" i="4"/>
  <c r="E66" i="4" s="1"/>
  <c r="D69" i="4"/>
  <c r="E69" i="4" s="1"/>
  <c r="D50" i="4"/>
  <c r="E50" i="4" s="1"/>
  <c r="D93" i="2"/>
  <c r="D38" i="2"/>
  <c r="D41" i="4"/>
  <c r="E41" i="4" s="1"/>
  <c r="D86" i="2"/>
  <c r="D89" i="4"/>
  <c r="E89" i="4" s="1"/>
  <c r="D4" i="2"/>
  <c r="D10" i="4"/>
  <c r="E10" i="4" s="1"/>
  <c r="D7" i="2"/>
  <c r="D8" i="2"/>
  <c r="D11" i="4"/>
  <c r="E11" i="4" s="1"/>
  <c r="D81" i="4"/>
  <c r="E81" i="4" s="1"/>
  <c r="D88" i="2"/>
  <c r="D91" i="4"/>
  <c r="E91" i="4" s="1"/>
  <c r="D34" i="2"/>
  <c r="D37" i="4"/>
  <c r="E37" i="4" s="1"/>
  <c r="D77" i="2"/>
  <c r="D80" i="4"/>
  <c r="E80" i="4" s="1"/>
  <c r="D12" i="2"/>
  <c r="D15" i="4"/>
  <c r="E15" i="4" s="1"/>
  <c r="D79" i="4"/>
  <c r="E79" i="4" s="1"/>
  <c r="D76" i="2"/>
  <c r="D26" i="2"/>
  <c r="D29" i="4"/>
  <c r="E29" i="4" s="1"/>
  <c r="D35" i="2"/>
  <c r="D21" i="2"/>
  <c r="D36" i="4"/>
  <c r="E36" i="4" s="1"/>
  <c r="D33" i="2"/>
  <c r="D84" i="2"/>
  <c r="D87" i="4"/>
  <c r="E87" i="4" s="1"/>
  <c r="D46" i="4"/>
  <c r="E46" i="4" s="1"/>
  <c r="D23" i="2"/>
  <c r="D26" i="4"/>
  <c r="E26" i="4" s="1"/>
  <c r="D60" i="2"/>
  <c r="D63" i="4"/>
  <c r="E63" i="4" s="1"/>
  <c r="D8" i="4"/>
  <c r="E8" i="4" s="1"/>
  <c r="D5" i="2"/>
  <c r="E98" i="2"/>
  <c r="D83" i="2"/>
  <c r="D86" i="4"/>
  <c r="E86" i="4" s="1"/>
  <c r="D20" i="2"/>
  <c r="D23" i="4"/>
  <c r="E23" i="4" s="1"/>
  <c r="D79" i="2"/>
  <c r="D82" i="4"/>
  <c r="E82" i="4" s="1"/>
  <c r="D54" i="2"/>
  <c r="D57" i="4"/>
  <c r="E57" i="4" s="1"/>
  <c r="D17" i="2"/>
  <c r="D20" i="4"/>
  <c r="E20" i="4" s="1"/>
  <c r="D78" i="4"/>
  <c r="E78" i="4" s="1"/>
  <c r="D75" i="2"/>
  <c r="D61" i="2"/>
  <c r="D64" i="4"/>
  <c r="E64" i="4" s="1"/>
  <c r="D53" i="2"/>
  <c r="D56" i="4"/>
  <c r="E56" i="4" s="1"/>
  <c r="D46" i="2"/>
  <c r="D49" i="4"/>
  <c r="E49" i="4" s="1"/>
  <c r="D31" i="2"/>
  <c r="D34" i="4"/>
  <c r="E34" i="4" s="1"/>
  <c r="D44" i="2"/>
  <c r="D47" i="4"/>
  <c r="E47" i="4" s="1"/>
  <c r="D25" i="2"/>
  <c r="D28" i="4"/>
  <c r="E28" i="4" s="1"/>
  <c r="D12" i="4"/>
  <c r="E12" i="4" s="1"/>
  <c r="D9" i="2"/>
  <c r="D82" i="2"/>
  <c r="D85" i="4"/>
  <c r="E85" i="4" s="1"/>
  <c r="D74" i="2"/>
  <c r="D77" i="4"/>
  <c r="E77" i="4" s="1"/>
  <c r="L995" i="1"/>
  <c r="D29" i="2"/>
  <c r="D32" i="4"/>
  <c r="E32" i="4" s="1"/>
  <c r="D16" i="2"/>
  <c r="D19" i="4"/>
  <c r="E19" i="4" s="1"/>
  <c r="D91" i="2"/>
  <c r="D94" i="4"/>
  <c r="E94" i="4" s="1"/>
  <c r="D60" i="4"/>
  <c r="E60" i="4" s="1"/>
  <c r="D57" i="2"/>
  <c r="E101" i="4" l="1"/>
  <c r="E102" i="4" s="1"/>
  <c r="E103" i="4" s="1"/>
</calcChain>
</file>

<file path=xl/sharedStrings.xml><?xml version="1.0" encoding="utf-8"?>
<sst xmlns="http://schemas.openxmlformats.org/spreadsheetml/2006/main" count="6247" uniqueCount="777">
  <si>
    <t>YSF HICH — 260827 ATYRAU BATYSMURA PRIME 2 — CHINT PANO BOM v1</t>
  </si>
  <si>
    <t>Fiyat: CHINT ×0.60 | KAZTEK/TEKSAN ×1.00 | EKT ×1.00 | SAIMAN ×1.00 | Katsayilar: Kurallar sayfasi (sari hucreler)</t>
  </si>
  <si>
    <t>ROW</t>
  </si>
  <si>
    <t>Наименование1</t>
  </si>
  <si>
    <t>Тип</t>
  </si>
  <si>
    <t>Артикул</t>
  </si>
  <si>
    <t>Номенклатура</t>
  </si>
  <si>
    <t>Цена (лист)</t>
  </si>
  <si>
    <t>Нетто KZT</t>
  </si>
  <si>
    <t>Сумма KZT (1 щит)</t>
  </si>
  <si>
    <t>Кол-во</t>
  </si>
  <si>
    <t>Ед.изм.</t>
  </si>
  <si>
    <t>Завод</t>
  </si>
  <si>
    <t>Сумма KZT (проект)</t>
  </si>
  <si>
    <t>Группа</t>
  </si>
  <si>
    <t>Norm anahtarı</t>
  </si>
  <si>
    <t>Norm dk/ad</t>
  </si>
  <si>
    <t>ЩС-1(S1)</t>
  </si>
  <si>
    <t>щит</t>
  </si>
  <si>
    <t>компл.</t>
  </si>
  <si>
    <t>korpus</t>
  </si>
  <si>
    <t>719-15410</t>
  </si>
  <si>
    <t>Мет.Корпус ЩМП-1 (395х310х150) УХЛ3 IP54</t>
  </si>
  <si>
    <t>шт.</t>
  </si>
  <si>
    <t>KAZTEK</t>
  </si>
  <si>
    <t>KORPUS_KUCUK</t>
  </si>
  <si>
    <t>rubilnik</t>
  </si>
  <si>
    <t>193184</t>
  </si>
  <si>
    <t>Выключатель нагрузки NXHB-125 3P 80A (R)</t>
  </si>
  <si>
    <t>CHINT</t>
  </si>
  <si>
    <t>RUBILNIK_BUYUK</t>
  </si>
  <si>
    <t>монтажный материал</t>
  </si>
  <si>
    <t>Монтажный материал / montaj sarf malzemesi (%3)</t>
  </si>
  <si>
    <t>TEKLED</t>
  </si>
  <si>
    <t>монтажная работа</t>
  </si>
  <si>
    <t>Монтажные работы / pano montaj-kablaj isciligi (norm × adet × test kats.)</t>
  </si>
  <si>
    <t>мин</t>
  </si>
  <si>
    <t>Toplam ЩС-1(S1)</t>
  </si>
  <si>
    <t>Toplam ЩС-1(S1) — 1 щит / проект 1 шт</t>
  </si>
  <si>
    <t>ЩС-2(S1)</t>
  </si>
  <si>
    <t>193183</t>
  </si>
  <si>
    <t>Выключатель нагрузки NXHB-125 3P 63A (R)</t>
  </si>
  <si>
    <t>RUBILNIK_63</t>
  </si>
  <si>
    <t>Toplam ЩС-2(S1)</t>
  </si>
  <si>
    <t>Toplam ЩС-2(S1) — 1 щит / проект 1 шт</t>
  </si>
  <si>
    <t>ЩОВ_S1</t>
  </si>
  <si>
    <t>714-15045</t>
  </si>
  <si>
    <t>Мет. Корпус ЩРН-24 (395x310x120) IP54 (TS)</t>
  </si>
  <si>
    <t>193180</t>
  </si>
  <si>
    <t>Выключатель нагрузки NXHB-125 3P 20A (R)</t>
  </si>
  <si>
    <t>DİF</t>
  </si>
  <si>
    <t>515373</t>
  </si>
  <si>
    <t>Диф. авт. выкл. NXBLE-63YH 1P+N C10 30mA тип AC, 6kA (R)</t>
  </si>
  <si>
    <t>DIF</t>
  </si>
  <si>
    <t>OTO</t>
  </si>
  <si>
    <t>296708</t>
  </si>
  <si>
    <t>Авт. выкл. NXB-63S 1P 6А 4.5kA х-ка C (R)</t>
  </si>
  <si>
    <t>OTO_1P</t>
  </si>
  <si>
    <t>kontaktör</t>
  </si>
  <si>
    <t>256085</t>
  </si>
  <si>
    <t>Контактор модульный NCH8-20/40 20A 4НО AC220/230В 50Гц (R)</t>
  </si>
  <si>
    <t>KONTAKTOR</t>
  </si>
  <si>
    <t>Röle</t>
  </si>
  <si>
    <t>311100868</t>
  </si>
  <si>
    <t>Регулятор температуры F&amp;F RT-820, 24-264В, АС/DC, 1NO/NC, 16А NEW</t>
  </si>
  <si>
    <t>EKT</t>
  </si>
  <si>
    <t>ROLE</t>
  </si>
  <si>
    <t>blok</t>
  </si>
  <si>
    <t>030200224</t>
  </si>
  <si>
    <t>IMT35091 Распред. коробка о/у 100х100х50 IP55 (45)</t>
  </si>
  <si>
    <t>BLOK</t>
  </si>
  <si>
    <t>Toplam ЩОВ_S1</t>
  </si>
  <si>
    <t>Toplam ЩОВ_S1 — 1 щит / проект 1 шт</t>
  </si>
  <si>
    <t>ЩЭ_S1</t>
  </si>
  <si>
    <t>710-1593801</t>
  </si>
  <si>
    <t>KORPUS_ORTA</t>
  </si>
  <si>
    <t>193169</t>
  </si>
  <si>
    <t>Выключатель нагрузки NXHB-125 1P 63A (R)</t>
  </si>
  <si>
    <t>515414</t>
  </si>
  <si>
    <t>Диф. авт. выкл. NXBLE-63YH 1P+N C50 300mA тип AC, 6kA (R)</t>
  </si>
  <si>
    <t>193181</t>
  </si>
  <si>
    <t>Выключатель нагрузки NXHB-125 3P 32A (R)</t>
  </si>
  <si>
    <t>sayac</t>
  </si>
  <si>
    <t>730-58052</t>
  </si>
  <si>
    <t>Счет.элек Меркурий 1Ф 1 тариф 201.5 5(60А) механ.</t>
  </si>
  <si>
    <t>SAYAC</t>
  </si>
  <si>
    <t>diger</t>
  </si>
  <si>
    <t>775001</t>
  </si>
  <si>
    <t>Розетка AC30-111 с заземляющим контактом на DIN-рейку (R)</t>
  </si>
  <si>
    <t>DIGER</t>
  </si>
  <si>
    <t>Toplam ЩЭ_S1</t>
  </si>
  <si>
    <t>Toplam ЩЭ_S1 — 1 щит / проект 8 шт</t>
  </si>
  <si>
    <t>ЩК_S1</t>
  </si>
  <si>
    <t>296710</t>
  </si>
  <si>
    <t>Авт. выкл. NXB-63S 1P 16А 4.5kA х-ка C (R)</t>
  </si>
  <si>
    <t>296711</t>
  </si>
  <si>
    <t>Авт. выкл. NXB-63S 1P 20А 4.5kA х-ка C (R)</t>
  </si>
  <si>
    <t>515408</t>
  </si>
  <si>
    <t>Диф. авт. выкл. NXBLE-63YH 1P+N C40 30mA тип AC, 6kA (R)</t>
  </si>
  <si>
    <t>515387</t>
  </si>
  <si>
    <t>Диф. авт. выкл. NXBLE-63YH 1P+N C20 30mA тип AC, 6kA (R)</t>
  </si>
  <si>
    <t>256095</t>
  </si>
  <si>
    <t>Контактор модульный NCH8-63/11 63A 1НЗ+1НО AC220/230В 50Гц (R)</t>
  </si>
  <si>
    <t>Toplam ЩК_S1</t>
  </si>
  <si>
    <t>Toplam ЩК_S1 — 1 щит / проект 16 шт</t>
  </si>
  <si>
    <t>ЩК2_S1</t>
  </si>
  <si>
    <t>Toplam ЩК2_S1</t>
  </si>
  <si>
    <t>Toplam ЩК2_S1 — 1 щит / проект 16 шт</t>
  </si>
  <si>
    <t>ПД1 (ШУН/В-R3 2,2 квТ) (S1)</t>
  </si>
  <si>
    <t>719-15430</t>
  </si>
  <si>
    <t>Мет.Корпус ЩМП-2 (500x400x220) IP31</t>
  </si>
  <si>
    <t>296839</t>
  </si>
  <si>
    <t>Авт. выкл. NXB-63S 3P 10А 4.5kA х-ка D (R)</t>
  </si>
  <si>
    <t>OTO_3P</t>
  </si>
  <si>
    <t>836704</t>
  </si>
  <si>
    <t>Контактор NXC-09 9A 220В/АС3 1НО+1НЗ 50Гц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</si>
  <si>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</si>
  <si>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</si>
  <si>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</si>
  <si>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</si>
  <si>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</si>
  <si>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</si>
  <si>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296705</t>
  </si>
  <si>
    <t>Авт. выкл. NXB-63S 1P 2А 4.5kA х-ка C (R)</t>
  </si>
  <si>
    <t>837114</t>
  </si>
  <si>
    <t>Тепловое реле NXR-25 4-6A (R)</t>
  </si>
  <si>
    <t>938251</t>
  </si>
  <si>
    <t>Приставка доп.контакты AX-3X/22 к контактору NXC-06~630 (R)</t>
  </si>
  <si>
    <t>285448</t>
  </si>
  <si>
    <t>Промежуточное реле JZX-22F(D) 4 конт. с инд. LED 3А 220В AC (R)</t>
  </si>
  <si>
    <t>285976</t>
  </si>
  <si>
    <t>Розетка CZY14A для JZX-22F(D) 4 контакта</t>
  </si>
  <si>
    <t>Toplam ПД1 (ШУН/В-R3 2,2 квТ) (S1)</t>
  </si>
  <si>
    <t>Toplam ПД1 (ШУН/В-R3 2,2 квТ) (S1) — 1 щит / проект 1 шт</t>
  </si>
  <si>
    <t>В1 (S1)</t>
  </si>
  <si>
    <t>FİYAT YOK</t>
  </si>
  <si>
    <t>Korpus ölçüsü ve IP değeri üretim öncesi fiziksel yerleşimle teyit edilecek</t>
  </si>
  <si>
    <t>TEKSAN/TEKLED</t>
  </si>
  <si>
    <t>ПМЛ1220 7-10А</t>
  </si>
  <si>
    <t>PYS</t>
  </si>
  <si>
    <t>Toplam В1 (S1)</t>
  </si>
  <si>
    <t>Toplam В1 (S1) — 1 щит / проект 1 шт</t>
  </si>
  <si>
    <t>ЩС-1(S2)</t>
  </si>
  <si>
    <t>719-15400</t>
  </si>
  <si>
    <t>Мет.ЩМП-4 (800x600x350) IP31</t>
  </si>
  <si>
    <t>TMŞ</t>
  </si>
  <si>
    <t>131367</t>
  </si>
  <si>
    <t>Авт. выкл. NXM-250S/3Р 200A 36кА (R)</t>
  </si>
  <si>
    <t>TMS_250</t>
  </si>
  <si>
    <t>BARA_M</t>
  </si>
  <si>
    <t>Toplam ЩС-1(S2)</t>
  </si>
  <si>
    <t>Toplam ЩС-1(S2) — 1 щит / проект 1 шт</t>
  </si>
  <si>
    <t>ЩС-2, ЩС-4(S2)</t>
  </si>
  <si>
    <t>714-15005</t>
  </si>
  <si>
    <t>Pano met.ShRn-12 b/o (313х268х120)S/U 36 IP31 (TS)</t>
  </si>
  <si>
    <t>Toplam ЩС-2, ЩС-4(S2)</t>
  </si>
  <si>
    <t>Toplam ЩС-2, ЩС-4(S2) — 1 щит / проект 2 шт</t>
  </si>
  <si>
    <t>ЩС-3(S2)</t>
  </si>
  <si>
    <t>Toplam ЩС-3(S2)</t>
  </si>
  <si>
    <t>Toplam ЩС-3(S2) — 1 щит / проект 1 шт</t>
  </si>
  <si>
    <t>ЩС-ДУ(S2)</t>
  </si>
  <si>
    <t>296831</t>
  </si>
  <si>
    <t>Авт. выкл. NXB-63S 3P 40А 4.5kA х-ка C (R)</t>
  </si>
  <si>
    <t>296826</t>
  </si>
  <si>
    <t>Авт. выкл. NXB-63S 3P 10А 4.5kA х-ка C (R)</t>
  </si>
  <si>
    <t>296709</t>
  </si>
  <si>
    <t>Авт. выкл. NXB-63S 1P 10А 4.5kA х-ка C (R)</t>
  </si>
  <si>
    <t>Toplam ЩС-ДУ(S2)</t>
  </si>
  <si>
    <t>Toplam ЩС-ДУ(S2) — 1 щит / проект 1 шт</t>
  </si>
  <si>
    <t>ЩОВ_S2</t>
  </si>
  <si>
    <t>Toplam ЩОВ_S2</t>
  </si>
  <si>
    <t>Toplam ЩОВ_S2 — 1 щит / проект 1 шт</t>
  </si>
  <si>
    <t>ЩЭ_S2</t>
  </si>
  <si>
    <t>710-1593920</t>
  </si>
  <si>
    <t>Toplam ЩЭ_S2</t>
  </si>
  <si>
    <t>Toplam ЩЭ_S2 — 1 щит / проект 11 шт</t>
  </si>
  <si>
    <t>ЩК_S2</t>
  </si>
  <si>
    <t>Toplam ЩК_S2</t>
  </si>
  <si>
    <t>Toplam ЩК_S2 — 1 щит / проект 33 шт</t>
  </si>
  <si>
    <t>ЩК2_S2</t>
  </si>
  <si>
    <t>Toplam ЩК2_S2</t>
  </si>
  <si>
    <t>Toplam ЩК2_S2 — 1 щит / проект 22 шт</t>
  </si>
  <si>
    <t>ДУ1 (ШУН/В-R3 15.0 квТ) (S2)</t>
  </si>
  <si>
    <t>296845</t>
  </si>
  <si>
    <t>Авт. выкл. NXB-63S 3P 50А 4.5kA х-ка D (R)</t>
  </si>
  <si>
    <t>836853</t>
  </si>
  <si>
    <t>Контактор NXC-38 38A 220АС 1НО+1НЗ 50Гц (R)</t>
  </si>
  <si>
    <t>837122</t>
  </si>
  <si>
    <t>Тепловое реле NXR-100 23A-32A (R)</t>
  </si>
  <si>
    <t>Toplam ДУ1 (ШУН/В-R3 15.0 квТ) (S2)</t>
  </si>
  <si>
    <t>Toplam ДУ1 (ШУН/В-R3 15.0 квТ) (S2) — 1 щит / проект 1 шт</t>
  </si>
  <si>
    <t>ПД1 (ШУН/В-R3 2,2 квТ) (S2)</t>
  </si>
  <si>
    <t>Toplam ПД1 (ШУН/В-R3 2,2 квТ) (S2)</t>
  </si>
  <si>
    <t>Toplam ПД1 (ШУН/В-R3 2,2 квТ) (S2) — 1 щит / проект 1 шт</t>
  </si>
  <si>
    <t>ПД2 (ШУН/В-R3 11 квТ) (S2)</t>
  </si>
  <si>
    <t>296844</t>
  </si>
  <si>
    <t>Авт. выкл. NXB-63S 3P 40А 4.5kA х-ка D (R)</t>
  </si>
  <si>
    <t>836851</t>
  </si>
  <si>
    <t>Контактор NXC-25 25A 220В/АС3 1НО+1НЗ 50Гц (R)</t>
  </si>
  <si>
    <t>837119</t>
  </si>
  <si>
    <t>Тепловое реле NXR-25 17-25A (R)</t>
  </si>
  <si>
    <t>Toplam ПД2 (ШУН/В-R3 11 квТ) (S2)</t>
  </si>
  <si>
    <t>Toplam ПД2 (ШУН/В-R3 11 квТ) (S2) — 1 щит / проект 1 шт</t>
  </si>
  <si>
    <t>В2 (S2)</t>
  </si>
  <si>
    <t>Toplam В2 (S2)</t>
  </si>
  <si>
    <t>Toplam В2 (S2) — 1 щит / проект 2 шт</t>
  </si>
  <si>
    <t>ВРУ (ВРУ-1-13-20 УХЛ4) (S3)</t>
  </si>
  <si>
    <t>719-15043</t>
  </si>
  <si>
    <t>Мет. Щит ВРУ 1700х800х450+10CM База</t>
  </si>
  <si>
    <t>KORPUS_DIKILI</t>
  </si>
  <si>
    <t>521368</t>
  </si>
  <si>
    <t>Держатель плавкой вставки RT36-2-400, габарит 2, 400А</t>
  </si>
  <si>
    <t>730-58055</t>
  </si>
  <si>
    <t>Счет.элек Меркурий 3ф 230 ART-02 PQCSIN</t>
  </si>
  <si>
    <t>tt</t>
  </si>
  <si>
    <t>ITT20-2-05-0250</t>
  </si>
  <si>
    <t>Трансформатор тока ТТИ-30 250/5А 5ВА 0,5 IEK E-PRO</t>
  </si>
  <si>
    <t>TT</t>
  </si>
  <si>
    <t>opn</t>
  </si>
  <si>
    <t>252494</t>
  </si>
  <si>
    <t>Ограничитель имп. перенапр. NU6-IIG 1Р In=15kA Uc=440B Im=40kA (R)</t>
  </si>
  <si>
    <t>OPN</t>
  </si>
  <si>
    <t>296830</t>
  </si>
  <si>
    <t>Авт. выкл. NXB-63S 3P 32А 4.5kA х-ка C (R)</t>
  </si>
  <si>
    <t>Toplam ВРУ (ВРУ-1-13-20 УХЛ4) (S3)</t>
  </si>
  <si>
    <t>Toplam ВРУ (ВРУ-1-13-20 УХЛ4) (S3) — 1 щит / проект 1 шт</t>
  </si>
  <si>
    <t>АВР-160А (ША8333-160-74 УХЛ4) (S3)</t>
  </si>
  <si>
    <t>719-15616</t>
  </si>
  <si>
    <t>Мет. Корпус (Пустой) (1800x700x450)+10CM База IP31</t>
  </si>
  <si>
    <t>131365</t>
  </si>
  <si>
    <t>Авт. выкл. NXM-250S/3Р 160A 36кА (R)</t>
  </si>
  <si>
    <t>296825</t>
  </si>
  <si>
    <t>Авт. выкл. NXB-63S 3P 6А 4.5kA х-ка C (R)</t>
  </si>
  <si>
    <t>836523</t>
  </si>
  <si>
    <t>Контактор NXC-225 225A 220В/АС3 2НО+2НЗ 50Гц (R)</t>
  </si>
  <si>
    <t>938256</t>
  </si>
  <si>
    <t>Приставка доп.контакты AX-3X/11 к контактору NXC-06~630 (R)</t>
  </si>
  <si>
    <t>310008</t>
  </si>
  <si>
    <t>Реле контроля фаз NJB1-X AC380V (R)</t>
  </si>
  <si>
    <t>VU</t>
  </si>
  <si>
    <t>Трансформатор тока ТОП-0,66 У3 кл.точ. 0,5 150A</t>
  </si>
  <si>
    <t>SAIMAN</t>
  </si>
  <si>
    <t>Toplam АВР-160А (ША8333-160-74 УХЛ4) (S3)</t>
  </si>
  <si>
    <t>Toplam АВР-160А (ША8333-160-74 УХЛ4) (S3) — 1 щит / проект 1 шт</t>
  </si>
  <si>
    <t>РЩ1(ВРУ1-ИНД тип5-00) (S3)</t>
  </si>
  <si>
    <t>131363</t>
  </si>
  <si>
    <t>Авт. выкл. NXM-125S/3Р 125A 25кА (R)</t>
  </si>
  <si>
    <t>296829</t>
  </si>
  <si>
    <t>Авт. выкл. NXB-63S 3P 25А 4.5kA х-ка C (R)</t>
  </si>
  <si>
    <t>296827</t>
  </si>
  <si>
    <t>Авт. выкл. NXB-63S 3P 16А 4.5kA х-ка C (R)</t>
  </si>
  <si>
    <t>730-58056</t>
  </si>
  <si>
    <t>Счет.элек Меркурий 3ф 230 ART-02 CN 100A</t>
  </si>
  <si>
    <t>Toplam РЩ1(ВРУ1-ИНД тип5-00) (S3)</t>
  </si>
  <si>
    <t>Toplam РЩ1(ВРУ1-ИНД тип5-00) (S3) — 1 щит / проект 1 шт</t>
  </si>
  <si>
    <t>ЩАВР (S3)</t>
  </si>
  <si>
    <t>719-15445</t>
  </si>
  <si>
    <t>Мет.Корпус ЩМП-5 (1000x650x300) IP31</t>
  </si>
  <si>
    <t>296833</t>
  </si>
  <si>
    <t>Авт. выкл. NXB-63S 3P 63А 4.5kA х-ка C (R)</t>
  </si>
  <si>
    <t>296843</t>
  </si>
  <si>
    <t>Авт. выкл. NXB-63S 3P 32А 4.5kA х-ка D (R)</t>
  </si>
  <si>
    <t>Toplam ЩАВР (S3)</t>
  </si>
  <si>
    <t>Toplam ЩАВР (S3) — 1 щит / проект 1 шт</t>
  </si>
  <si>
    <t>ЯРВ_S3</t>
  </si>
  <si>
    <t>193185</t>
  </si>
  <si>
    <t>Выключатель нагрузки NXHB-125 3P 100A (R)</t>
  </si>
  <si>
    <t>521341</t>
  </si>
  <si>
    <t>Плавкая вставка предохранителя RT36-00-160, габарит 00, 32А</t>
  </si>
  <si>
    <t>521260</t>
  </si>
  <si>
    <t>Держатель плавкой вставки RT36-00-160, габарит 00, 160А</t>
  </si>
  <si>
    <t>Toplam ЯРВ_S3</t>
  </si>
  <si>
    <t>Toplam ЯРВ_S3 — 1 щит / проект 4 шт</t>
  </si>
  <si>
    <t>БАУО_S3</t>
  </si>
  <si>
    <t>515380</t>
  </si>
  <si>
    <t>Диф. авт. выкл. NXBLE-63YH 1P+N C16 30mA тип AC, 6kA (R)</t>
  </si>
  <si>
    <t>256054</t>
  </si>
  <si>
    <t>Контактор модульный NCH8-20/20 20A 2НО AC220/230В 50Гц (R)</t>
  </si>
  <si>
    <t>836852</t>
  </si>
  <si>
    <t>Контактор NXC-32 32A 220В/АС3 1НО+1НЗ 50Гц (R)</t>
  </si>
  <si>
    <t>130300434</t>
  </si>
  <si>
    <t>Фотореле ФР-7Е с выносн. фотоэлементом 220В 50Гц (8..20лк.,1.5м/кабель,8А,2НО)</t>
  </si>
  <si>
    <t>Toplam БАУО_S3</t>
  </si>
  <si>
    <t>Toplam БАУО_S3 — 1 щит / проект 1 шт</t>
  </si>
  <si>
    <t>ВЩ1-ВП (ВРУ1-ИНД-тип2-00 УХЛ4) (S3)</t>
  </si>
  <si>
    <t>521215</t>
  </si>
  <si>
    <t>Плавкая вставка предохранителя RT36-2-400, габарит 2, 315А</t>
  </si>
  <si>
    <t>270300021_</t>
  </si>
  <si>
    <t>Toplam ВЩ1-ВП (ВРУ1-ИНД-тип2-00 УХЛ4) (S3)</t>
  </si>
  <si>
    <t>Toplam ВЩ1-ВП (ВРУ1-ИНД-тип2-00 УХЛ4) (S3) — 1 щит / проект 1 шт</t>
  </si>
  <si>
    <t>ВЩ1-РП (ВРУ1-50-00 УХЛ4) (S3)</t>
  </si>
  <si>
    <t>131369</t>
  </si>
  <si>
    <t>Авт. выкл. NXM-250S/3Р 250A 36кА (R)</t>
  </si>
  <si>
    <t>131362</t>
  </si>
  <si>
    <t>Авт. выкл. NXM-125S/3Р 100A 25кА (R)</t>
  </si>
  <si>
    <t>131361</t>
  </si>
  <si>
    <t>Авт. выкл. NXM-125S/3Р 80A 25кА (R)</t>
  </si>
  <si>
    <t>Toplam ВЩ1-РП (ВРУ1-50-00 УХЛ4) (S3)</t>
  </si>
  <si>
    <t>Toplam ВЩ1-РП (ВРУ1-50-00 УХЛ4) (S3) — 1 щит / проект 1 шт</t>
  </si>
  <si>
    <t>ВЩ2-ВП (ВРУ1-26-60 УХЛ4) (S3)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</si>
  <si>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</si>
  <si>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</si>
  <si>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</si>
  <si>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</si>
  <si>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ITT20-2-05-0200</t>
  </si>
  <si>
    <t>Трансформатор тока ТТИ-30 200/5А 5ВА 0,5 IEK E-PRO</t>
  </si>
  <si>
    <t>Toplam ВЩ2-ВП (ВРУ1-26-60 УХЛ4) (S3)</t>
  </si>
  <si>
    <t>Toplam ВЩ2-ВП (ВРУ1-26-60 УХЛ4) (S3) — 1 щит / проект 1 шт</t>
  </si>
  <si>
    <t>ШУ1-ВП (S3)</t>
  </si>
  <si>
    <t>719-15386</t>
  </si>
  <si>
    <t>ЩМП (инд.) IP31 (1250х750х150мм)</t>
  </si>
  <si>
    <t>TJ</t>
  </si>
  <si>
    <t>Трансформатор тока ТОП-0,66 У3 кл.точ. 0,5 200A</t>
  </si>
  <si>
    <t>Toplam ШУ1-ВП (S3)</t>
  </si>
  <si>
    <t>Toplam ШУ1-ВП (S3) — 1 щит / проект 1 шт</t>
  </si>
  <si>
    <t>ШУ2-ВП (S3)</t>
  </si>
  <si>
    <t>131360</t>
  </si>
  <si>
    <t>Авт. выкл. NXM-125S/3Р 63A 25кА (R)</t>
  </si>
  <si>
    <t>296828</t>
  </si>
  <si>
    <t>Авт. выкл. NXB-63S 3P 20А 4.5kA х-ка C (R)</t>
  </si>
  <si>
    <t>Toplam ШУ2-ВП (S3)</t>
  </si>
  <si>
    <t>Toplam ШУ2-ВП (S3) — 1 щит / проект 1 шт</t>
  </si>
  <si>
    <t>ЩС-5(S3)</t>
  </si>
  <si>
    <t>712-03002</t>
  </si>
  <si>
    <t>Щит расп. x6, пласт., о/у, крышка проз., IP40, кор</t>
  </si>
  <si>
    <t>Toplam ЩС-5(S3)</t>
  </si>
  <si>
    <t>Toplam ЩС-5(S3) — 1 щит / проект 1 шт</t>
  </si>
  <si>
    <t>ЩС-6(S3)</t>
  </si>
  <si>
    <t>Toplam ЩС-6(S3)</t>
  </si>
  <si>
    <t>Toplam ЩС-6(S3) — 1 щит / проект 1 шт</t>
  </si>
  <si>
    <t>ЩС-м(S3)</t>
  </si>
  <si>
    <t>713-15005</t>
  </si>
  <si>
    <t>Pano met.ShRv-12b/o(319х277х120)S/A36IP31(TS)</t>
  </si>
  <si>
    <t>Toplam ЩС-м(S3)</t>
  </si>
  <si>
    <t>Toplam ЩС-м(S3) — 1 щит / проект 1 шт</t>
  </si>
  <si>
    <t>ЩСВж_S3</t>
  </si>
  <si>
    <t>814989</t>
  </si>
  <si>
    <t>Независимый расцепитель SHT-X1 AC230V/400V для NXB-63 (R)</t>
  </si>
  <si>
    <t>Toplam ЩСВж_S3</t>
  </si>
  <si>
    <t>Toplam ЩСВж_S3 — 1 щит / проект 1 шт</t>
  </si>
  <si>
    <t>ЩОВ_S3</t>
  </si>
  <si>
    <t>Toplam ЩОВ_S3</t>
  </si>
  <si>
    <t>Toplam ЩОВ_S3 — 1 щит / проект 1 шт</t>
  </si>
  <si>
    <t>ЩС-ДУ(S3)</t>
  </si>
  <si>
    <t>714-15027</t>
  </si>
  <si>
    <t>Мет. Корпус ЩРН-18 (395x310x120мм) IP54 (TS)</t>
  </si>
  <si>
    <t>Toplam ЩС-ДУ(S3)</t>
  </si>
  <si>
    <t>Toplam ЩС-ДУ(S3) — 1 щит / проект 1 шт</t>
  </si>
  <si>
    <t>ЩС-С(S3)</t>
  </si>
  <si>
    <t>714-15010</t>
  </si>
  <si>
    <t>Pano met.ShRn-24 b/o (398х312х120)S/U 36 IP31 (TS)</t>
  </si>
  <si>
    <t>Toplam ЩС-С(S3)</t>
  </si>
  <si>
    <t>Toplam ЩС-С(S3) — 1 щит / проект 1 шт</t>
  </si>
  <si>
    <t>ЩЭ_S3</t>
  </si>
  <si>
    <t>710-159380</t>
  </si>
  <si>
    <t>Toplam ЩЭ_S3</t>
  </si>
  <si>
    <t>Toplam ЩЭ_S3 — 1 щит / проект 11 шт</t>
  </si>
  <si>
    <t>ЩК_S3</t>
  </si>
  <si>
    <t>Toplam ЩК_S3</t>
  </si>
  <si>
    <t>Toplam ЩК_S3 — 1 щит / проект 33 шт</t>
  </si>
  <si>
    <t>ЩК2_S3</t>
  </si>
  <si>
    <t>Toplam ЩК2_S3</t>
  </si>
  <si>
    <t>Toplam ЩК2_S3 — 1 щит / проект 33 шт</t>
  </si>
  <si>
    <t>ДУ1 (ШУН/В-R3 15.0 квТ) (S3)</t>
  </si>
  <si>
    <t>Toplam ДУ1 (ШУН/В-R3 15.0 квТ) (S3)</t>
  </si>
  <si>
    <t>Toplam ДУ1 (ШУН/В-R3 15.0 квТ) (S3) — 1 щит / проект 1 шт</t>
  </si>
  <si>
    <t>ПД1 (ШУН/В-R3 2,2 квТ) (S3)</t>
  </si>
  <si>
    <t>Toplam ПД1 (ШУН/В-R3 2,2 квТ) (S3)</t>
  </si>
  <si>
    <t>Toplam ПД1 (ШУН/В-R3 2,2 квТ) (S3) — 1 щит / проект 1 шт</t>
  </si>
  <si>
    <t>ПД2 (ШУН/В-R3 11 квТ) (S3)</t>
  </si>
  <si>
    <t>Toplam ПД2 (ШУН/В-R3 11 квТ) (S3)</t>
  </si>
  <si>
    <t>Toplam ПД2 (ШУН/В-R3 11 квТ) (S3) — 1 щит / проект 1 шт</t>
  </si>
  <si>
    <t>В2 (S3)</t>
  </si>
  <si>
    <t>Toplam В2 (S3)</t>
  </si>
  <si>
    <t>Toplam В2 (S3) — 1 щит / проект 2 шт</t>
  </si>
  <si>
    <t>КРМ (УКМ-58 0,4-12,5-2,5-УЗ) (S3)</t>
  </si>
  <si>
    <t>193182</t>
  </si>
  <si>
    <t>Выключатель нагрузки NXHB-125 3P 40A (R)</t>
  </si>
  <si>
    <t>507002</t>
  </si>
  <si>
    <t>Регулятор реактивной мощности JKF8-12 с 12-тью контурами</t>
  </si>
  <si>
    <t>Toplam КРМ (УКМ-58 0,4-12,5-2,5-УЗ) (S3)</t>
  </si>
  <si>
    <t>Toplam КРМ (УКМ-58 0,4-12,5-2,5-УЗ) (S3) — 1 щит / проект 1 шт</t>
  </si>
  <si>
    <t>ЩС-5(S4,6)</t>
  </si>
  <si>
    <t>Toplam ЩС-5(S4,6)</t>
  </si>
  <si>
    <t>Toplam ЩС-5(S4,6) — 1 щит / проект 1 шт</t>
  </si>
  <si>
    <t>ЩС-6(S4,6)</t>
  </si>
  <si>
    <t>Toplam ЩС-6(S4,6)</t>
  </si>
  <si>
    <t>Toplam ЩС-6(S4,6) — 1 щит / проект 1 шт</t>
  </si>
  <si>
    <t>ЩС-7(S4,6)</t>
  </si>
  <si>
    <t>Toplam ЩС-7(S4,6)</t>
  </si>
  <si>
    <t>Toplam ЩС-7(S4,6) — 1 щит / проект 1 шт</t>
  </si>
  <si>
    <t>ЩОВ_S4,6</t>
  </si>
  <si>
    <t>Toplam ЩОВ_S4,6</t>
  </si>
  <si>
    <t>Toplam ЩОВ_S4,6 — 1 щит / проект 1 шт</t>
  </si>
  <si>
    <t>ЩЭ_S4,6</t>
  </si>
  <si>
    <t>Toplam ЩЭ_S4,6</t>
  </si>
  <si>
    <t>Toplam ЩЭ_S4,6 — 1 щит / проект 11 шт</t>
  </si>
  <si>
    <t>ЩК_S4,6</t>
  </si>
  <si>
    <t>Toplam ЩК_S4,6</t>
  </si>
  <si>
    <t>Toplam ЩК_S4,6 — 1 щит / проект 22 шт</t>
  </si>
  <si>
    <t>ЩК2_S4,6</t>
  </si>
  <si>
    <t>Toplam ЩК2_S4,6</t>
  </si>
  <si>
    <t>Toplam ЩК2_S4,6 — 1 щит / проект 22 шт</t>
  </si>
  <si>
    <t>ПД1 (ШУН/В-R3 2,2 квТ) (S4,6)</t>
  </si>
  <si>
    <t>Toplam ПД1 (ШУН/В-R3 2,2 квТ) (S4,6)</t>
  </si>
  <si>
    <t>Toplam ПД1 (ШУН/В-R3 2,2 квТ) (S4,6) — 1 щит / проект 1 шт</t>
  </si>
  <si>
    <t>В1(S4,6)</t>
  </si>
  <si>
    <t>Toplam В1(S4,6)</t>
  </si>
  <si>
    <t>Toplam В1(S4,6) — 1 щит / проект 1 шт</t>
  </si>
  <si>
    <t>ВЩ1 (ВРУ-1-13-20 УХЛ4) (S5)</t>
  </si>
  <si>
    <t>Toplam ВЩ1 (ВРУ-1-13-20 УХЛ4) (S5)</t>
  </si>
  <si>
    <t>Toplam ВЩ1 (ВРУ-1-13-20 УХЛ4) (S5) — 1 щит / проект 1 шт</t>
  </si>
  <si>
    <t>АВР-160А (ША8333-160-74 УХЛ4) (S5)</t>
  </si>
  <si>
    <t>836545</t>
  </si>
  <si>
    <t>Контактор NXC-330 330A 220В/АС3 2НО+2НЗ 50Гц (R)</t>
  </si>
  <si>
    <t>VJ</t>
  </si>
  <si>
    <t>Трансформатор тока ТШП-0,66 У3 кл.точ. 0,5 250A</t>
  </si>
  <si>
    <t>Toplam АВР-160А (ША8333-160-74 УХЛ4) (S5)</t>
  </si>
  <si>
    <t>Toplam АВР-160А (ША8333-160-74 УХЛ4) (S5) — 1 щит / проект 1 шт</t>
  </si>
  <si>
    <t>РЩ1(ВРУ1-ИНД тип5-00) (S5)</t>
  </si>
  <si>
    <t>Toplam РЩ1(ВРУ1-ИНД тип5-00) (S5)</t>
  </si>
  <si>
    <t>Toplam РЩ1(ВРУ1-ИНД тип5-00) (S5) — 1 щит / проект 1 шт</t>
  </si>
  <si>
    <t>ЩАВР (S5)</t>
  </si>
  <si>
    <t>Toplam ЩАВР (S5)</t>
  </si>
  <si>
    <t>Toplam ЩАВР (S5) — 1 щит / проект 1 шт</t>
  </si>
  <si>
    <t>ЯРВ_S5 (ЯРВ-63) (S5)</t>
  </si>
  <si>
    <t>521347</t>
  </si>
  <si>
    <t>Плавкая вставка предохранителя RT36-00-160, габарит 00, 63А</t>
  </si>
  <si>
    <t>Toplam ЯРВ_S5 (ЯРВ-63) (S5)</t>
  </si>
  <si>
    <t>Toplam ЯРВ_S5 (ЯРВ-63) (S5) — 1 щит / проект 3 шт</t>
  </si>
  <si>
    <t>ЯРВ_S5 (ЯРВ-40) (S5)</t>
  </si>
  <si>
    <t>521344</t>
  </si>
  <si>
    <t>Плавкая вставка предохранителя RT36-00-160, габарит 00, 40А</t>
  </si>
  <si>
    <t>Toplam ЯРВ_S5 (ЯРВ-40) (S5)</t>
  </si>
  <si>
    <t>Toplam ЯРВ_S5 (ЯРВ-40) (S5) — 1 щит / проект 1 шт</t>
  </si>
  <si>
    <t>БАУО_S5</t>
  </si>
  <si>
    <t>Toplam БАУО_S5</t>
  </si>
  <si>
    <t>Toplam БАУО_S5 — 1 щит / проект 1 шт</t>
  </si>
  <si>
    <t>ВЩ-ВП (ВРУ1-ИНД-тип2-00 УХЛ4) (S5)</t>
  </si>
  <si>
    <t>521200</t>
  </si>
  <si>
    <t>Плавкая вставка предохранителя RT36-3-630, габарит 3, 500А</t>
  </si>
  <si>
    <t>521369</t>
  </si>
  <si>
    <t>Держатель плавкой вставки RT36-3-630, габарит 3, 630А</t>
  </si>
  <si>
    <t>270300234_</t>
  </si>
  <si>
    <t>Трансформатор тока ТТИ-40 500/5А 5ВА 0,5 IEK</t>
  </si>
  <si>
    <t>Toplam ВЩ-ВП (ВРУ1-ИНД-тип2-00 УХЛ4) (S5)</t>
  </si>
  <si>
    <t>Toplam ВЩ-ВП (ВРУ1-ИНД-тип2-00 УХЛ4) (S5) — 1 щит / проект 1 шт</t>
  </si>
  <si>
    <t>ВЩ-РП (ВРУ1-50-00 УХЛ4) (S5)</t>
  </si>
  <si>
    <t>Toplam ВЩ-РП (ВРУ1-50-00 УХЛ4) (S5)</t>
  </si>
  <si>
    <t>Toplam ВЩ-РП (ВРУ1-50-00 УХЛ4) (S5) — 1 щит / проект 1 шт</t>
  </si>
  <si>
    <t>ШУ_ВП (ВРУ1-50-00 УХЛ4) (S5)</t>
  </si>
  <si>
    <t>730-58064</t>
  </si>
  <si>
    <t>Счет. элек. Меркурий 3ф 230 ART-02 RN 100A</t>
  </si>
  <si>
    <t>Toplam ШУ_ВП (ВРУ1-50-00 УХЛ4) (S5)</t>
  </si>
  <si>
    <t>Toplam ШУ_ВП (ВРУ1-50-00 УХЛ4) (S5) — 1 щит / проект 1 шт</t>
  </si>
  <si>
    <t>ЩС-3(S5)</t>
  </si>
  <si>
    <t>Toplam ЩС-3(S5)</t>
  </si>
  <si>
    <t>Toplam ЩС-3(S5) — 1 щит / проект 1 шт</t>
  </si>
  <si>
    <t>ЩС-4(S5)</t>
  </si>
  <si>
    <t>Toplam ЩС-4(S5)</t>
  </si>
  <si>
    <t>Toplam ЩС-4(S5) — 1 щит / проект 1 шт</t>
  </si>
  <si>
    <t>ЩС-м(S5)</t>
  </si>
  <si>
    <t>Toplam ЩС-м(S5)</t>
  </si>
  <si>
    <t>Toplam ЩС-м(S5) — 1 щит / проект 1 шт</t>
  </si>
  <si>
    <t>ЩС-ДУ(S5)</t>
  </si>
  <si>
    <t>296840</t>
  </si>
  <si>
    <t>Авт. выкл. NXB-63S 3P 16А 4.5kA х-ка D (R)</t>
  </si>
  <si>
    <t>Toplam ЩС-ДУ(S5)</t>
  </si>
  <si>
    <t>Toplam ЩС-ДУ(S5) — 1 щит / проект 1 шт</t>
  </si>
  <si>
    <t>ЩСВж_S5</t>
  </si>
  <si>
    <t>Toplam ЩСВж_S5</t>
  </si>
  <si>
    <t>Toplam ЩСВж_S5 — 1 щит / проект 1 шт</t>
  </si>
  <si>
    <t>ЩОВ_S5</t>
  </si>
  <si>
    <t>Toplam ЩОВ_S5</t>
  </si>
  <si>
    <t>Toplam ЩОВ_S5 — 1 щит / проект 1 шт</t>
  </si>
  <si>
    <t>ЩС-С(S5)</t>
  </si>
  <si>
    <t>Toplam ЩС-С(S5)</t>
  </si>
  <si>
    <t>Toplam ЩС-С(S5) — 1 щит / проект 1 шт</t>
  </si>
  <si>
    <t>ЩЭ_S5</t>
  </si>
  <si>
    <t>710-15939</t>
  </si>
  <si>
    <t>Toplam ЩЭ_S5</t>
  </si>
  <si>
    <t>Toplam ЩЭ_S5 — 1 щит / проект 8 шт</t>
  </si>
  <si>
    <t>ЩК_S5</t>
  </si>
  <si>
    <t>Toplam ЩК_S5</t>
  </si>
  <si>
    <t>Toplam ЩК_S5 — 1 щит / проект 9 шт</t>
  </si>
  <si>
    <t>ЩК2_S5</t>
  </si>
  <si>
    <t>Toplam ЩК2_S5</t>
  </si>
  <si>
    <t>Toplam ЩК2_S5 — 1 щит / проект 31 шт</t>
  </si>
  <si>
    <t>ДУ1, ПД2 (ШУН/В-R3 15.0 квТ) (S5)</t>
  </si>
  <si>
    <t>Toplam ДУ1, ПД2 (ШУН/В-R3 15.0 квТ) (S5)</t>
  </si>
  <si>
    <t>Toplam ДУ1, ПД2 (ШУН/В-R3 15.0 квТ) (S5) — 1 щит / проект 2 шт</t>
  </si>
  <si>
    <t>ПД1 (ШУН/В-R3 2,2 квТ) (S5)</t>
  </si>
  <si>
    <t>Toplam ПД1 (ШУН/В-R3 2,2 квТ) (S5)</t>
  </si>
  <si>
    <t>Toplam ПД1 (ШУН/В-R3 2,2 квТ) (S5) — 1 щит / проект 1 шт</t>
  </si>
  <si>
    <t>В1 (S5)</t>
  </si>
  <si>
    <t>Toplam В1 (S5)</t>
  </si>
  <si>
    <t>Toplam В1 (S5) — 1 щит / проект 1 шт</t>
  </si>
  <si>
    <t>КРМ (УКМ-58 0,4-30-УЗ) (S5)</t>
  </si>
  <si>
    <t>Toplam КРМ (УКМ-58 0,4-30-УЗ) (S5)</t>
  </si>
  <si>
    <t>Toplam КРМ (УКМ-58 0,4-30-УЗ) (S5) — 1 щит / проект 1 шт</t>
  </si>
  <si>
    <t>ВРУ (ВРУ-1-21-10 УХЛ4) (P1)</t>
  </si>
  <si>
    <t>844301</t>
  </si>
  <si>
    <t>Авт. выкл. NXM-125S/3Р 40A 25кА (R)</t>
  </si>
  <si>
    <t>Toplam ВРУ (ВРУ-1-21-10 УХЛ4) (P1)</t>
  </si>
  <si>
    <t>Toplam ВРУ (ВРУ-1-21-10 УХЛ4) (P1) — 1 щит / проект 1 шт</t>
  </si>
  <si>
    <t>ВРУп (ВРУ1-21-10 УХЛ4) (P1)</t>
  </si>
  <si>
    <t>844299</t>
  </si>
  <si>
    <t>Авт. выкл. NXM-125S/3Р 25A 25кА (R)</t>
  </si>
  <si>
    <t>844300</t>
  </si>
  <si>
    <t>Авт. выкл. NXM-125S/3Р 32A 25кА (R)</t>
  </si>
  <si>
    <t>521366</t>
  </si>
  <si>
    <t>Держатель плавкой вставки RT36-0-160, габарит 0, 160А</t>
  </si>
  <si>
    <t>521227</t>
  </si>
  <si>
    <t>Плавкая вставка предохранителя RT36-0-160, габарит 0, 63А</t>
  </si>
  <si>
    <t>LI</t>
  </si>
  <si>
    <t>Дала CA4-Э720 R ТХ IР П RS Д (3x220/380V 10-100A)</t>
  </si>
  <si>
    <t>Toplam ВРУп (ВРУ1-21-10 УХЛ4) (P1)</t>
  </si>
  <si>
    <t>Toplam ВРУп (ВРУ1-21-10 УХЛ4) (P1) — 1 щит / проект 1 шт</t>
  </si>
  <si>
    <t>АВР (P1)</t>
  </si>
  <si>
    <t>836542</t>
  </si>
  <si>
    <t>Контактор NXC-265 265A 220В/АС3 2НО+2НЗ 50Гц (R)</t>
  </si>
  <si>
    <t>Toplam АВР (P1)</t>
  </si>
  <si>
    <t>Toplam АВР (P1) — 1 щит / проект 1 шт</t>
  </si>
  <si>
    <t>ЩУ-Jet (P1)</t>
  </si>
  <si>
    <t>296842</t>
  </si>
  <si>
    <t>Авт. выкл. NXB-63S 3P 25А 4.5kA х-ка D (R)</t>
  </si>
  <si>
    <t>296838</t>
  </si>
  <si>
    <t>Авт. выкл. NXB-63S 3P 6А 4.5kA х-ка D (R)</t>
  </si>
  <si>
    <t>296824</t>
  </si>
  <si>
    <t>Авт. выкл. NXB-63S 3P 4А 4.5kA х-ка C (R)</t>
  </si>
  <si>
    <t>Toplam ЩУ-Jet (P1)</t>
  </si>
  <si>
    <t>Toplam ЩУ-Jet (P1) — 1 щит / проект 1 шт</t>
  </si>
  <si>
    <t>ЩУ-Апт(P1)</t>
  </si>
  <si>
    <t>296846</t>
  </si>
  <si>
    <t>Авт. выкл. NXB-63S 3P 63А 4.5kA х-ка D (R)</t>
  </si>
  <si>
    <t>837125</t>
  </si>
  <si>
    <t>Тепловое реле NXR-100 48A-65A (R)</t>
  </si>
  <si>
    <t>837100</t>
  </si>
  <si>
    <t>Тепловое реле NXR-12 2.5-4A (R)</t>
  </si>
  <si>
    <t>574849</t>
  </si>
  <si>
    <t>Переключатель NP2-BD33, 3 положения с фиксацией, 2НО IP40</t>
  </si>
  <si>
    <t>Toplam ЩУ-Апт(P1)</t>
  </si>
  <si>
    <t>Toplam ЩУ-Апт(P1) — 1 щит / проект 1 шт</t>
  </si>
  <si>
    <t>ЩУп-1 (P1)</t>
  </si>
  <si>
    <t>NX</t>
  </si>
  <si>
    <t>Дала СА4-Э720 (3x220/380V 10-100A)</t>
  </si>
  <si>
    <t>Toplam ЩУп-1 (P1)</t>
  </si>
  <si>
    <t>Toplam ЩУп-1 (P1) — 1 щит / проект 1 шт</t>
  </si>
  <si>
    <t>ЩР-АВР(ПР11-3067-54 У1) (P1)</t>
  </si>
  <si>
    <t>719-15440</t>
  </si>
  <si>
    <t>Мет.Корпус ЩМП-4 (800x650x250) IP31</t>
  </si>
  <si>
    <t>Toplam ЩР-АВР(ПР11-3067-54 У1) (P1)</t>
  </si>
  <si>
    <t>Toplam ЩР-АВР(ПР11-3067-54 У1) (P1) — 1 щит / проект 1 шт</t>
  </si>
  <si>
    <t>ЩС-Р (P1)</t>
  </si>
  <si>
    <t>714-15015</t>
  </si>
  <si>
    <t>Pano met.ShRn-36 b/o (312х540х120)S/U 36 IP31 (TS)</t>
  </si>
  <si>
    <t>515394</t>
  </si>
  <si>
    <t>Диф. авт. выкл. NXBLE-63YH 1P+N C25 30mA тип AC, 6kA (R)</t>
  </si>
  <si>
    <t>Toplam ЩС-Р (P1)</t>
  </si>
  <si>
    <t>Toplam ЩС-Р (P1) — 1 щит / проект 1 шт</t>
  </si>
  <si>
    <t>ЩС-1 (P1)</t>
  </si>
  <si>
    <t>Toplam ЩС-1 (P1)</t>
  </si>
  <si>
    <t>Toplam ЩС-1 (P1) — 1 щит / проект 1 шт</t>
  </si>
  <si>
    <t>ЩС-CC (P1)</t>
  </si>
  <si>
    <t>296712</t>
  </si>
  <si>
    <t>Авт. выкл. NXB-63S 1P 25А 4.5kA х-ка C (R)</t>
  </si>
  <si>
    <t>539847</t>
  </si>
  <si>
    <t>Диф. авт. выкл. NXBLE-63YH 3P+N C16 30mA тип AC, 6kA (R)</t>
  </si>
  <si>
    <t>Toplam ЩС-CC (P1)</t>
  </si>
  <si>
    <t>Toplam ЩС-CC (P1) — 1 щит / проект 1 шт</t>
  </si>
  <si>
    <t>ЩОВ_P1</t>
  </si>
  <si>
    <t>Toplam ЩОВ_P1</t>
  </si>
  <si>
    <t>Toplam ЩОВ_P1 — 1 щит / проект 1 шт</t>
  </si>
  <si>
    <t>Щоп-1 (P1)</t>
  </si>
  <si>
    <t>Toplam Щоп-1 (P1)</t>
  </si>
  <si>
    <t>Toplam Щоп-1 (P1) — 1 щит / проект 1 шт</t>
  </si>
  <si>
    <t>ЩАОп-1</t>
  </si>
  <si>
    <t>Toplam ЩАОп-1</t>
  </si>
  <si>
    <t>Toplam ЩАОп-1 — 1 щит / проект 1 шт</t>
  </si>
  <si>
    <t>ЩУНп (P1)</t>
  </si>
  <si>
    <t>296832</t>
  </si>
  <si>
    <t>Авт. выкл. NXB-63S 3P 50А 4.5kA х-ка C (R)</t>
  </si>
  <si>
    <t>814991</t>
  </si>
  <si>
    <t>Вспомогательный контакт AX-X1 для NXB-63 (R)</t>
  </si>
  <si>
    <t>296707</t>
  </si>
  <si>
    <t>Авт. выкл. NXB-63S 1P 4А 4.5kA х-ка C (R)</t>
  </si>
  <si>
    <t>836572</t>
  </si>
  <si>
    <t>Контактор NXC-06M10 6A 220В/АС3 1НО 50Гц (R)</t>
  </si>
  <si>
    <t>925186</t>
  </si>
  <si>
    <t>Приставка доп.контакты AX-3M/22 к контактору NXC-06M~12M</t>
  </si>
  <si>
    <t>837121</t>
  </si>
  <si>
    <t>Тепловое реле NXR-38 30A-38A (R)</t>
  </si>
  <si>
    <t>285986</t>
  </si>
  <si>
    <t>Фиксатор NG102 для реле с розеткой CZY11A, CZY14A</t>
  </si>
  <si>
    <t>285202</t>
  </si>
  <si>
    <t>Промежуточное реле JZX-22F(D) 3 конт. с инд. LED 5А 220В AC (R)</t>
  </si>
  <si>
    <t>285964</t>
  </si>
  <si>
    <t>Розетка CZY11A для JZX-22F(D) 3 контакта (R)</t>
  </si>
  <si>
    <t>258438</t>
  </si>
  <si>
    <t>Реле времени NTE8-10B (задержка времени включения) 1-10с, 1НО, AC230В (R)</t>
  </si>
  <si>
    <t>574817</t>
  </si>
  <si>
    <t>Кнопка управления NP2-EA42 без подсветки красная 1НЗ IP40</t>
  </si>
  <si>
    <t>574814</t>
  </si>
  <si>
    <t>Кнопка управления NP2-EA21 без подсветки черная 1НО IP40</t>
  </si>
  <si>
    <t>576726</t>
  </si>
  <si>
    <t>Блоки контактные NP2-BE102, 1НЗ</t>
  </si>
  <si>
    <t>576728</t>
  </si>
  <si>
    <t>Блоки контактные NP2-BE101, 1НО</t>
  </si>
  <si>
    <t>Toplam ЩУНп (P1)</t>
  </si>
  <si>
    <t>Toplam ЩУНп (P1) — 1 щит / проект 1 шт</t>
  </si>
  <si>
    <t>КРМ (УКРМ-0,4-10-2,5 У3) (P1)</t>
  </si>
  <si>
    <t>Toplam КРМ (УКРМ-0,4-10-2,5 У3) (P1)</t>
  </si>
  <si>
    <t>Toplam КРМ (УКРМ-0,4-10-2,5 У3) (P1) — 1 щит / проект 1 шт</t>
  </si>
  <si>
    <t>GENEL TOPLAM (proje)</t>
  </si>
  <si>
    <t>Материалы + монтаж, KZT (KDV haric)</t>
  </si>
  <si>
    <t>СВОД — 260827 Atyrau Batysmura Prime 2</t>
  </si>
  <si>
    <t>№</t>
  </si>
  <si>
    <t>Щит</t>
  </si>
  <si>
    <t>Кол-во, шт</t>
  </si>
  <si>
    <t>Цена за 1 щит, ₸</t>
  </si>
  <si>
    <t>Сумма, ₸</t>
  </si>
  <si>
    <t>Монтаж, мин</t>
  </si>
  <si>
    <t>ИТОГО</t>
  </si>
  <si>
    <t>KURALLAR — sari hucreler duzenlenebilir; BOM tum degerleri buradan cekiyor</t>
  </si>
  <si>
    <t>Montaj malzemesi (malzeme x)</t>
  </si>
  <si>
    <t>MARKA</t>
  </si>
  <si>
    <t>NET KATSAYI</t>
  </si>
  <si>
    <t>NORM ANAHTARI</t>
  </si>
  <si>
    <t>DAKIKA / ADET</t>
  </si>
  <si>
    <t>Iscilik birim, KZT/dk</t>
  </si>
  <si>
    <t>Iscilik test/etiket carpani</t>
  </si>
  <si>
    <t>Genel gider %</t>
  </si>
  <si>
    <t>TEKSAN</t>
  </si>
  <si>
    <t>Kar %</t>
  </si>
  <si>
    <t>KDV %</t>
  </si>
  <si>
    <t>IEK</t>
  </si>
  <si>
    <t>UNIT</t>
  </si>
  <si>
    <t>ABB</t>
  </si>
  <si>
    <t>TMS_630</t>
  </si>
  <si>
    <t>ABB-ACB</t>
  </si>
  <si>
    <t>SCHNEIDER</t>
  </si>
  <si>
    <t>LEGRAND</t>
  </si>
  <si>
    <t>KLEMENS</t>
  </si>
  <si>
    <t>DIN_KANAL_M</t>
  </si>
  <si>
    <t>Normlar TEKLED standardidir — projeye gore degismez.</t>
  </si>
  <si>
    <t>RISK LISTESI</t>
  </si>
  <si>
    <t>1) FIYAT YOK — tabloda satir kaldi, F/G/H/L bos, C sutunu "FIYAT YOK"</t>
  </si>
  <si>
    <t>Korpus ölçüsü ve IP değeri üretim öncesi fiziksel yerleşimle teyit edilecek  |  TEKSAN/TEKLED  |  Korpus olcusu/IP belirsiz - fiziksel yerlesim yapilmadan fiyatlanamaz</t>
  </si>
  <si>
    <t>ПМЛ1220 7-10А  |  PYS  |  artikul fiyat listelerinde bulunamadi</t>
  </si>
  <si>
    <t>Alüminyum ana bara seti, mesnet/izolatör ve bağlantı parçaları; kesit kısa devre ve sıcaklık hesabıyla netleştirilecek  |  TEKLED  |  Bara kesiti kisa devre ve termik hesapla belirlenecek - kesit belirsiz, fiyatlanamaz</t>
  </si>
  <si>
    <t>Мет. Щит ВРУ 1700х800х450+10CM База  |  TEKSAN F  |  Kaztek listesinde 719-15043 icin FIYAT YOK - kaynak dosyada 93 000 KZT uydurulmus</t>
  </si>
  <si>
    <t>Плавкая вставка предохранителя RT36-2-400, габарит 2, 250А gG (R)  |  CHINT  |  artikul fiyat listelerinde bulunamadi</t>
  </si>
  <si>
    <t>Трансформатор тока ТТИ-40  300/5А  5ВА  класс 0,5  IEK  |  PYS  |  artikul fiyat listelerinde bulunamadi</t>
  </si>
  <si>
    <t>Трансформатор тока ТТИ-40 500/5А 5ВА 0,5 IEK  |  PYS  |  artikul fiyat listelerinde bulunamadi</t>
  </si>
  <si>
    <t>резистор 47 om  |  CHINT  |  47 om direnc - hicbir fiyat listesinde yok</t>
  </si>
  <si>
    <t>конденсатор  |  CHINT  |  Kondansator tipi/kapasitesi semadan okunamadi</t>
  </si>
  <si>
    <t>2) MUADIL KULLANILDI — kaynak → hedef | guven | gerekce</t>
  </si>
  <si>
    <t>MUHENDIS ONAYI GEREKLI — КМПН 1/4  →  KAZTEK 719-15410 (Мет.Корпус ЩМП-1 (395х310х150) УХЛ3 IP54)  |  guven: teyit_gerekli  |  КМПН 1/4 kodu Kaztek listesinde VRU govdesine denk geliyor; ЩМП-1 395x310x150 IP54 ile karsilandi</t>
  </si>
  <si>
    <t>ЩРн-24 metal pano, ısıtma kontrolü için IP54, 500x350x150  →  KAZTEK 714-15045 (Мет. Корпус ЩРН-24 (395x310x120) IP54 (TS))  |  guven: onayli  |  500x350x150 stokta yok; ЩРН-24 395x310x120 IP54</t>
  </si>
  <si>
    <t>NXHB-125 3P 16A yük ayırıcı  →  CHINT 193180 (Выключатель нагрузки NXHB-125 3P 20A (R))  |  guven: onayli  |  CHINT NXHB-125 3P min 20A - 16A yok, 20A ile karsilandi</t>
  </si>
  <si>
    <t>MUHENDIS ONAYI GEREKLI — NCH8-20/40 20A 4NO, 380/400 VAC bobin  →  CHINT 256085 (Контактор модульный NCH8-20/40 20A 4НО AC220/230В 50Гц (R))  |  guven: teyit_gerekli  |  CHINT stokta NCH8-20/40 sadece AC220/230 bobinli - BOBIN GERILIMI 380V DEGIL</t>
  </si>
  <si>
    <t>MUHENDIS ONAYI GEREKLI — PT-220 + TST05 sıcaklık sensörü  →  EKT 311100868 (Регулятор температуры F&amp;F RT-820, 24-264В, АС/DC, 1NO/NC, 16А NEW)  |  guven: teyit_gerekli  |  PT-220/PT330 KZ listelerinde yok - F&amp;F RT-820 DIN termostat ile karsilandi</t>
  </si>
  <si>
    <t>IP55 buat 100x100x50  →  EKT 030200224 (IMT35091 Распред. коробка о/у 100х100х50 IP55 (45))  |  guven: kesin  |  IMT35091 100x100x50 IP55</t>
  </si>
  <si>
    <t>MUHENDIS ONAYI GEREKLI — NXBLE-63 1P+N C50 300mA elektromekanik Tip A, 6kA  →  CHINT 515414 (Диф. авт. выкл. NXBLE-63YH 1P+N C50 300mA тип AC, 6kA (R))  |  guven: teyit_gerekli  |  CHINT 1P+N 300mA sadece Tip AC (NXBLE-63YH) - TIP A YOK, elektromekanik degil</t>
  </si>
  <si>
    <t>3P 25A yük ayırıcı (üst kat/asansör beslemesi)  →  CHINT 193181 (Выключатель нагрузки NXHB-125 3P 32A (R))  |  guven: onayli  |  CHINT NXHB-125 3P 25A yok - 32A ile karsilandi</t>
  </si>
  <si>
    <t>MUHENDIS ONAYI GEREKLI — Mercury 203.2T LBO 5-60A tek faz sayaç  →  KAZTEK 730-58052 (Счет.элек Меркурий 1Ф 1 тариф 201.5 5(60А) механ.)  |  guven: teyit_gerekli  |  Mercury 203.2T KZ listelerinde yok - 201.5 5(60A) 1F ile karsilandi, TARIFE/ARAYUZ FARKLI</t>
  </si>
  <si>
    <t>Metal pano 700x600x200 mm, IP31  →  KAZTEK 719-15400 (Мет.ЩМП-4 (800x600x350) IP31)  |  guven: onayli  |  700x600x200 yok; ЩМП-4 800x600x350 IP31</t>
  </si>
  <si>
    <t>MUHENDIS ONAYI GEREKLI — PT330 termostat + sıcaklık sensörü  →  EKT 311100868 (Регулятор температуры F&amp;F RT-820, 24-264В, АС/DC, 1NO/NC, 16А NEW)  |  guven: teyit_gerekli  |  PT-220/PT330 KZ listelerinde yok - F&amp;F RT-820 DIN termostat ile karsilandi</t>
  </si>
  <si>
    <t>MUHENDIS ONAYI GEREKLI — Меркурий 234 ARTm-02 POB.L2 PLC-IIA5 5-7,5A  →  KAZTEK 730-58055 (Счет.элек Меркурий 3ф 230 ART-02 PQCSIN)  |  guven: teyit_gerekli  |  Mercury 234 PLC yok - 230 ART-02 PQCSIN, PLC MODUL AYRICA GEREKIR</t>
  </si>
  <si>
    <t>MUHENDIS ONAYI GEREKLI — NU6-II Tip 2, 1P, Uc 275V parafudr  →  CHINT 252494 (Ограничитель имп. перенапр. NU6-IIG 1Р In=15kA Uc=440B Im=40kA (R))  |  guven: teyit_gerekli  |  CHINT stokta NU6-IIG 1P sadece Uc=440V - Uc 275V YOK</t>
  </si>
  <si>
    <t>MUHENDIS ONAYI GEREKLI — Dikili metal pano, kaideli, montaj plakalı, 1800x1000x500 mm, IP31  →  KAZTEK 719-15616 (Мет. Корпус (Пустой) (1800x700x450)+10CM База IP31)  |  guven: teyit_gerekli  |  1800x1000x500 fiyatsiz; 1800x700x450+10cm baza IP31 - GENISLIK/DERINLIK DUSUYOR</t>
  </si>
  <si>
    <t>NXC-200 200A AC-3, 230 VAC bobin  →  CHINT 836523 (Контактор NXC-225 225A 220В/АС3 2НО+2НЗ 50Гц (R))  |  guven: onayli  |  CHINT 200A yok - NXC-225 ile karsilandi</t>
  </si>
  <si>
    <t>Akım trafosu 150/5  →  SAIMAN VU (Трансформатор тока ТОП-0,66 У3 кл.точ. 0,5 150A)  |  guven: kesin  |  TOP-0,66 150A kl.0,5</t>
  </si>
  <si>
    <t>MUHENDIS ONAYI GEREKLI — Mercury 234 ARTM-02, CT bağlı üç faz sayaç  →  KAZTEK 730-58055 (Счет.элек Меркурий 3ф 230 ART-02 PQCSIN)  |  guven: teyit_gerekli  |  Mercury 234 yok - 230 ART-02 PQCSIN ile karsilandi</t>
  </si>
  <si>
    <t>MUHENDIS ONAYI GEREKLI — Mercury 234 üç faz direkt sayaç  →  KAZTEK 730-58056 (Счет.элек Меркурий 3ф 230 ART-02 CN 100A)  |  guven: teyit_gerekli  |  Mercury 234 yok - 230 ART-02 CN 100A ile karsilandi</t>
  </si>
  <si>
    <t>MUHENDIS ONAYI GEREKLI — ШАВР-1 dağıtım panosu, IP54, 1000x650x275 mm  →  KAZTEK 719-15445 (Мет.Корпус ЩМП-5 (1000x650x300) IP31)  |  guven: teyit_gerekli  |  IP54 1000x650x275 yok; ЩМП-5 1000x650x300 IP31 - IP DUSUYOR</t>
  </si>
  <si>
    <t>NXHB-125 3P 25A yük ayırıcı  →  CHINT 193181 (Выключатель нагрузки NXHB-125 3P 32A (R))  |  guven: onayli  |  CHINT NXHB-125 3P 25A yok - 32A ile karsilandi</t>
  </si>
  <si>
    <t>MUHENDIS ONAYI GEREKLI — Mercury üç faz direkt sayaç  →  KAZTEK 730-58056 (Счет.элек Меркурий 3ф 230 ART-02 CN 100A)  |  guven: teyit_gerekli  |  Mercury 234 yok - 230 ART-02 CN 100A ile karsilandi</t>
  </si>
  <si>
    <t>БАУО/БУО aydınlatma otomasyon panosu 700x600x200 mm  →  KAZTEK 719-15400 (Мет.ЩМП-4 (800x600x350) IP31)  |  guven: onayli  |  700x600x200 yok; ЩМП-4 800x600x350 IP31</t>
  </si>
  <si>
    <t>Fotosel/fotorele, 230 VAC  →  EKT 130300434 (Фотореле ФР-7Е с выносн. фотоэлементом 220В 50Гц (8..20лк.,1.5м/кабель)  |  guven: onayli  |  FR-7E harici fotoelementli, 230V 8A 2NO</t>
  </si>
  <si>
    <t>ŞU1-VP ofis sayaç panosu 1200x1000x250 mm  →  KAZTEK 719-15386 (ЩМП (инд.) IP31 (1250х750х150мм))  |  guven: onayli  |  1200x1000x250 yok; ЩМП инд. 1250x750x150 IP31</t>
  </si>
  <si>
    <t>Akım trafosu 200/5  →  SAIMAN TJ (Трансформатор тока ТОП-0,66 У3 кл.точ. 0,5 200A)  |  guven: kesin  |  TOP-0,66 200A kl.0,5</t>
  </si>
  <si>
    <t>MUHENDIS ONAYI GEREKLI — Mercury CT bağlı üç faz sayaç  →  KAZTEK 730-58056 (Счет.элек Меркурий 3ф 230 ART-02 CN 100A)  |  guven: teyit_gerekli  |  Mercury 234 yok - 230 ART-02 CN 100A ile karsilandi</t>
  </si>
  <si>
    <t>MUHENDIS ONAYI GEREKLI — Mercury direkt üç faz sayaç  →  KAZTEK 730-58056 (Счет.элек Меркурий 3ф 230 ART-02 CN 100A)  |  guven: teyit_gerekli  |  Mercury 234 yok - 230 ART-02 CN 100A ile karsilandi</t>
  </si>
  <si>
    <t>ŞU2-VP ofis sayaç panosu 1200x1000x250 mm  →  KAZTEK 719-15386 (ЩМП (инд.) IP31 (1250х750х150мм))  |  guven: onayli  |  1200x1000x250 yok; ЩМП инд. 1250x750x150 IP31</t>
  </si>
  <si>
    <t>ЩС-ДУ metal pano 18 modül, 450x350x150 mm IP54  →  KAZTEK 714-15027 (Мет. Корпус ЩРН-18 (395x310x120мм) IP54 (TS))  |  guven: onayli  |  450x350x150 yok; ЩРН-18 395x310x120 IP54</t>
  </si>
  <si>
    <t>KRM kompanzasyon panosu 12.5 kVAr, 600x500x200 mm  →  KAZTEK 719-15560 (Мет. Корпус ЩМП-3 (650x500x150мм) IP31 (TS))  |  guven: onayli  |  600x500x200 yok; ЩМП-3 650x500x150 IP31</t>
  </si>
  <si>
    <t>MUHENDIS ONAYI GEREKLI — NXC-25 kompanzasyon kontaktörü, 230 VAC bobin  →  CHINT 836851 (Контактор NXC-25 25A 220В/АС3 1НО+1НЗ 50Гц (R))  |  guven: teyit_gerekli  |  Standart AC-3 kontaktor - KOMPANZASYON TIPI (on yuklu direncli) DEGIL</t>
  </si>
  <si>
    <t>MUHENDIS ONAYI GEREKLI — NWC6/KPS üç faz kondansatör 12.5 kVAr 450V  →  CHINT 799035 (Трехфазный конденсатор NWC6-0.45-15-3, АС450В, 15кВАр)  |  guven: teyit_gerekli  |  12.5 kVAr yok - 15 kVAr ile karsilandi, KADEME PLANI DEGISIR</t>
  </si>
  <si>
    <t>Reaktif güç kontrol rölesi  →  CHINT 507002 (Регулятор реактивной мощности JKF8-12 с 12-тью контурами)  |  guven: onayli  |  JKF8-12 12 konturlu</t>
  </si>
  <si>
    <t>MUHENDIS ONAYI GEREKLI — Dikili metal pano, kaideli, montaj plakalı, 1800x1200x500 mm, IP31  →  KAZTEK 719-15616 (Мет. Корпус (Пустой) (1800x700x450)+10CM База IP31)  |  guven: teyit_gerekli  |  1800x1200x500 fiyatsiz; 1800x700x450+10cm baza IP31 - GENISLIK/DERINLIK DUSUYOR</t>
  </si>
  <si>
    <t>NXC-315 315A AC-3, 230 VAC bobin  →  CHINT 836545 (Контактор NXC-330 330A 220В/АС3 2НО+2НЗ 50Гц (R))  |  guven: onayli  |  CHINT 315A yok - NXC-330 ile karsilandi</t>
  </si>
  <si>
    <t>Akım trafosu 250/5  →  SAIMAN VJ (Трансформатор тока ТШП-0,66 У3 кл.точ. 0,5 250A)  |  guven: kesin  |  TSHP-0,66 250A kl.0,5</t>
  </si>
  <si>
    <t>MUHENDIS ONAYI GEREKLI — Dikili metal pano, kaideli, montaj plakalı, 1800x800x500 mm, IP31  →  KAZTEK 719-15616 (Мет. Корпус (Пустой) (1800x700x450)+10CM База IP31)  |  guven: teyit_gerekli  |  1800x800x500 fiyatsiz; 1800x700x450+10cm baza IP31 - GENISLIK/DERINLIK DUSUYOR</t>
  </si>
  <si>
    <t>Меркурий 230ART 380B 5-100A  →  KAZTEK 730-58064 (Счет. элек. Меркурий 3ф 230 ART-02 RN 100A)  |  guven: onayli  |  230 ART-02 RN 100A</t>
  </si>
  <si>
    <t>ЩС-ДУ metal pano 24 modül, 500x350x150 mm IP54  →  KAZTEK 714-15045 (Мет. Корпус ЩРН-24 (395x310x120) IP54 (TS))  |  guven: onayli  |  500x350x150 yok; ЩРН-24 395x310x120 IP54</t>
  </si>
  <si>
    <t>KRM kompanzasyon panosu 30 kVAr, 600x500x200 mm  →  KAZTEK 719-15560 (Мет. Корпус ЩМП-3 (650x500x150мм) IP31 (TS))  |  guven: onayli  |  600x500x200 yok; ЩМП-3 650x500x150 IP31</t>
  </si>
  <si>
    <t>NH40-100/3 100A yük ayırıcı  →  CHINT 393261 (Выключатель-разъединитель NH40-125/3, 3P, 125А, стандартная рукоятка у)  |  guven: onayli  |  CHINT NH40 min 125A (100A yok) - 125A ile karsilandi</t>
  </si>
  <si>
    <t>MUHENDIS ONAYI GEREKLI — NXC-65 kompanzasyon kontaktörü, 230 VAC bobin  →  CHINT 836796 (Контактор NXC-65 65A 220В/АС3 1НО+1НЗ 50Гц (R))  |  guven: teyit_gerekli  |  Standart AC-3 kontaktor - KOMPANZASYON TIPI (on yuklu direncli) DEGIL</t>
  </si>
  <si>
    <t>MUHENDIS ONAYI GEREKLI — Меркурий 234 ARTm-02 POB.L2 PLC-II 5-100A  →  KAZTEK 730-58056 (Счет.элек Меркурий 3ф 230 ART-02 CN 100A)  |  guven: teyit_gerekli  |  Mercury 234 PLC yok - 230 ART-02 CN 100A, PLC MODUL AYRICA GEREKIR</t>
  </si>
  <si>
    <t>NXC-250 250A AC-3, 230 VAC bobin  →  CHINT 836542 (Контактор NXC-265 265A 220В/АС3 2НО+2НЗ 50Гц (R))  |  guven: onayli  |  CHINT 250A yok - NXC-265 ile karsilandi</t>
  </si>
  <si>
    <t>ЩУп-1 metal pano 500x400x220 mm IP31  →  KAZTEK 719-15430 (Мет.Корпус ЩМП-2 (500x400x220) IP31)  |  guven: kesin  |  ЩМП-2 500x400x220 IP31 - birebir olcu</t>
  </si>
  <si>
    <t>Saiman CA4-E720, direkt 10-100A üç faz sayaç  →  SAIMAN NX (Дала СА4-Э720 (3x220/380V 10-100A))  |  guven: kesin  |  Dala CA4-E720 3x220/380V 10-100A - birebir</t>
  </si>
  <si>
    <t>ЩР-АВР dağıtım panosu 800x650x250 mm  →  KAZTEK 719-15440 (Мет.Корпус ЩМП-4 (800x650x250) IP31)  |  guven: kesin  |  ЩМП-4 800x650x250 IP31 - birebir olcu</t>
  </si>
  <si>
    <t>MUHENDIS ONAYI GEREKLI — NCH8-20/20 20A 2NO, 380/400 VAC bobin  →  CHINT 256054 (Контактор модульный NCH8-20/20 20A 2НО AC220/230В 50Гц (R))  |  guven: teyit_gerekli  |  CHINT stokta NCH8-20/20 sadece AC220/230 bobinli - BOBIN GERILIMI 380V DEGIL</t>
  </si>
  <si>
    <t>MUHENDIS ONAYI GEREKLI — ЩУНп yangın pompası kontrol panosu 1000x650x300 mm IP54  →  KAZTEK 719-15445 (Мет.Корпус ЩМП-5 (1000x650x300) IP31)  |  guven: teyit_gerekli  |  IP54 1000x650x300 fiyatsiz; ЩМП-5 IP31 - IP DUSUYOR</t>
  </si>
  <si>
    <t>KRM kompanzasyon panosu 10 kVAr, 600x500x200 mm  →  KAZTEK 719-15560 (Мет. Корпус ЩМП-3 (650x500x150мм) IP31 (TS))  |  guven: onayli  |  600x500x200 yok; ЩМП-3 650x500x150 IP31</t>
  </si>
  <si>
    <t>3) CIHAZ BELIRSIZ</t>
  </si>
  <si>
    <t>ЩОВ panolarindaki PT-220 + TST05 sicaklik rolesi: KZ fiyat listelerinde yok. F&amp;F RT-820 DIN termostat varsayildi. Alternatif: Schneider/Legrand DIN termostat, ~2 modul, fiyat farki +/- 6 000 KZT.</t>
  </si>
  <si>
    <t>KRM panolarinda kompanzasyon kontaktoru: CHINT stokta on-yuklu direncli (kompanzasyon) tip yok, standart NXC AC-3 kontaktor alindi. Kondansator omru icin uygun degildir — ABB UA veya CHINT CJ19 tedariki teyit edilmeli.</t>
  </si>
  <si>
    <t>NXBLE-63 1P+N C50 300mA Tip A (ЩЭ kat panolari, 8+11+11+11+8 = 49 pano × 4 adet): CHINT 1P+N kanadinda Tip A YOK. Tip AC alindi. Yangin korumasi (300 mA) icin Tip A sart ise 2P NXBLE-63 Tip AC/A gecilmeli — modul 1 → 2 buyur, fiyat farki ~ +2 400 KZT/adet.</t>
  </si>
  <si>
    <t>ЩС-1(S1)/ЩС-2(S1) КМПН 1/4 korpusu: semada urun kodu belirsiz, kaynak dosyadaki 719-15043 kodu Kaztek listesinde 1700x800x450 ВРУ govdesine karsilik geliyor (uyumsuz). ЩМП-1 395x310x150 IP54 varsayildi.</t>
  </si>
  <si>
    <t>4) VARSAYIM</t>
  </si>
  <si>
    <t>Korpus markasi: KAZTEK/TEKSAN (proje talimati). EKT sadece Kaztekte uygun olcu yoksa.</t>
  </si>
  <si>
    <t>Kaynak GPT dosyasinda KAZTEK/TEKSAN korpuslarina ×0.60 iskonto uygulanmis — YANLIS. KAZTEK ×1.00 kurali ile tum korpus fiyatlari yeniden hesaplandi (fark: korpus kalemlerinde +%67).</t>
  </si>
  <si>
    <t>Kaynak dosyadaki "Tamamlama seti" satiri (94 adet) silindi; yerine %3 montaj sarf malzemesi + zaman normlu iscilik konuldu.</t>
  </si>
  <si>
    <t>Iscilik zaman normu: MCB 1P=10dk, MCB 3P=18dk, DIF=14dk, TMS&lt;=250A=60dk, TMS&gt;250A=90dk, rubilnik&gt;63A=45dk, OPN=15dk, sayac=90dk, TT=20dk, kontaktor=20dk, role=12dk, korpus kucuk/orta/dikili=30/45/90dk; toplam ×1.15 (test-etiket).</t>
  </si>
  <si>
    <t>Pano ici malzeme 1 pano recetesidir; L sutunu = H × pano adedi (I sutunu, pano basligi satirinda).</t>
  </si>
  <si>
    <t>100A ustu ana panolarda sayac ve parafudr semada gorulmeyen yerlerde eklenmedi — kaynak dosyadaki sayim korundu.</t>
  </si>
  <si>
    <t>5) KAPSAM DISI</t>
  </si>
  <si>
    <t>OG hucreler, trafo, jenerator, kablo tesisati ve harici aydinlatma direkleri.</t>
  </si>
  <si>
    <t>Zayif akim (SS) ekipmanlari — sadece kat panosundaki bolme dikkate alindi.</t>
  </si>
  <si>
    <t>Nakliye, gumruk, montaj sahasi iscilikleri (fabrika pano montaj iscilligi haric).</t>
  </si>
  <si>
    <t>Sertifikasyon/tip testi (IEC 61439 FAT) ucretleri.</t>
  </si>
  <si>
    <t>6) VERI NOTU</t>
  </si>
  <si>
    <t>CHINT — 260827_chint_price (Остатки и доступность), 27.08.2026, 0 ay. GECERLI.</t>
  </si>
  <si>
    <t>KAZTEK/TEKSAN — 2607_15_Kaztek_pano_fiyat_listesi, 15.07.2026, 1.4 ay. GECERLI.</t>
  </si>
  <si>
    <t>SAIMAN — 01.01.2026, ~8 ay. GECERLI.</t>
  </si>
  <si>
    <t>EKT — 12.06.2025, ~14.5 ay. FIYAT LISTESI 440 GUNLUK — GUNCELLE (12-18 ay bandi, uyarili kullanildi: buat, fotorole, termostat).</t>
  </si>
  <si>
    <t>EKF (02.2022), KLEMSAN (11.2022), CNC (02.2025) — YASAK, fiyatlamada kullanilmadi.</t>
  </si>
  <si>
    <t>Kaztek listesinde fiyat hucresi BOS olan korpuslar (719-15043, 719-15044, 719-15567 vb.) fiyatlanmadi. Kaynak GPT dosyasindaki 93 000 KZT degeri listede yoktur.</t>
  </si>
  <si>
    <t>Kaynak semalar: 1907_01_01_S1/S3/S4,S6/P1 EOM01_01 — cihaz sayimi kaynak dosyadan devralindi, sema ile yeniden sayim YAPILMADI.</t>
  </si>
  <si>
    <t>Rakip teklif (№355, 29.05.2026) sadece referans olarak kullanildi.</t>
  </si>
  <si>
    <t>КОММЕРЧЕСКОЕ ПРЕДЛОЖЕНИЕ</t>
  </si>
  <si>
    <t>Объект: МЖК «Batysmura Prime 2», г. Атырау</t>
  </si>
  <si>
    <t>Поставщик: TEKLED / YSF HICH   |   Дата: 27.08.2026   |   Срок действия: 30 дней</t>
  </si>
  <si>
    <t>Комплектация: CHINT (аппараты), KAZTEK/TEKSAN (корпуса). Валюта: KZT.</t>
  </si>
  <si>
    <t>Наименование щита</t>
  </si>
  <si>
    <t>Цена за ед., ₸</t>
  </si>
  <si>
    <t>ИТОГО без НДС</t>
  </si>
  <si>
    <t>НДС 12%</t>
  </si>
  <si>
    <t>ВСЕГО с НДС</t>
  </si>
  <si>
    <t>Условия: цены действительны при заказе полного объёма. Срок изготовления 30–45 рабочих дней с даты предоплаты.</t>
  </si>
  <si>
    <t>Позиции без цены (см. лист Kurallar, блок «FIYAT YOK») в настоящее предложение НЕ включены — итог является неполным.</t>
  </si>
  <si>
    <t>719-15562</t>
  </si>
  <si>
    <t>Мет. Корпус ЩМП- 6 (1200х750х300) IP54</t>
  </si>
  <si>
    <t xml:space="preserve"> Трансформатор тока ТТИ-40  300/5А  5ВА  класс 0,5  IEK</t>
  </si>
  <si>
    <t>521189</t>
  </si>
  <si>
    <t>Плавкая вставка предохранителя RT36-1-250, габарит 1, 250А</t>
  </si>
  <si>
    <t>buson</t>
  </si>
  <si>
    <t>kont pml</t>
  </si>
  <si>
    <t>merkury</t>
  </si>
  <si>
    <t>270100156_</t>
  </si>
  <si>
    <t>Рубильник ВР-32-31  А31220-100А на 1 направаление (+6камер) UNIT (1/18)</t>
  </si>
  <si>
    <t>ekt</t>
  </si>
  <si>
    <t>270100153_</t>
  </si>
  <si>
    <t>Рубильник ВР-32-35  В31250-250А на 1 направление (+6камер) UNIT (1/12)</t>
  </si>
  <si>
    <t>270100173_</t>
  </si>
  <si>
    <t>Рубильник ВР-32-39  В71250-630А на 2 направления (+6 камер) UNIT (1/2)</t>
  </si>
  <si>
    <t>Этажный Щит 1/4 окошко S/A (1000х950х150мм) (2000*700*150 ind)</t>
  </si>
  <si>
    <t>Этажный Щит ЩЭ-5 S/A (1010x950x150) (TS) (2000*700*150 ind)</t>
  </si>
  <si>
    <t>Этажный Щит 1/6 окошко S/A (1000х950х130мм)(2000*700*150 ind)</t>
  </si>
  <si>
    <t>Этажный Щит 1/4 окошко S/A (1000х950х150мм)(2000*700*150 ind)</t>
  </si>
  <si>
    <t>Этажный Щит 1/5 окошко S/A (1000х950х130мм)(2000*700*150 ind)</t>
  </si>
  <si>
    <t>243885</t>
  </si>
  <si>
    <t>Контактор для компенсации реактивной мощности CJ19-3211, 18кВАр, 1НО+1НЗ, 230В (R)</t>
  </si>
  <si>
    <t>799032</t>
  </si>
  <si>
    <t>Трехфазный конденсатор NWC6-0.45-5-3, АС450В, 5кВАр</t>
  </si>
  <si>
    <t>719-15050</t>
  </si>
  <si>
    <t>Мет. Щит ВРУ  Рх3х6 (1500х700х300) (TS)</t>
  </si>
  <si>
    <t>719-15420</t>
  </si>
  <si>
    <t>Мет.Корпус ЩМП-4 (800x650x250)  IP54</t>
  </si>
  <si>
    <t>193176</t>
  </si>
  <si>
    <t>Выключатель нагрузки NXHB-125 2P 63A (R)</t>
  </si>
  <si>
    <t>711-03012</t>
  </si>
  <si>
    <t>Щит расп. x24, пластик., с/у, крышка проз., серия NEXUS (TEKLED ELECTRIC)5</t>
  </si>
  <si>
    <t>tekled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</si>
</sst>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2"/>
      <name val="Arial"/>
      <family val="2"/>
      <charset val="204"/>
    </font>
    <font>
      <sz val="9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C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2CC"/>
      </patternFill>
    </fill>
    <fill>
      <patternFill patternType="solid">
        <fgColor rgb="FFFFC7CE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164" fontId="2" fillId="4" borderId="0" xfId="0" applyNumberFormat="1" applyFont="1" applyFill="1" applyAlignment="1">
      <alignment vertical="top"/>
    </xf>
    <xf numFmtId="0" fontId="5" fillId="2" borderId="0" xfId="0" applyFont="1" applyFill="1" applyAlignment="1">
      <alignment vertical="top"/>
    </xf>
    <xf numFmtId="3" fontId="2" fillId="4" borderId="0" xfId="0" applyNumberFormat="1" applyFont="1" applyFill="1" applyAlignment="1">
      <alignment vertical="top"/>
    </xf>
    <xf numFmtId="0" fontId="2" fillId="0" borderId="0" xfId="0" applyFont="1" applyAlignment="1">
      <alignment vertical="top"/>
    </xf>
    <xf numFmtId="2" fontId="2" fillId="4" borderId="0" xfId="0" applyNumberFormat="1" applyFont="1" applyFill="1" applyAlignment="1">
      <alignment vertical="top"/>
    </xf>
    <xf numFmtId="1" fontId="2" fillId="4" borderId="0" xfId="0" applyNumberFormat="1" applyFont="1" applyFill="1" applyAlignment="1">
      <alignment vertical="top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995"/>
  <sheetViews>
    <sheetView tabSelected="1" topLeftCell="B1" zoomScaleNormal="100" workbookViewId="0">
      <pane ySplit="4" topLeftCell="A215" activePane="bottomLeft" state="frozen"/>
      <selection pane="bottomLeft" activeCell="D221" sqref="D221:F221"/>
    </sheetView>
  </sheetViews>
  <sheetFormatPr defaultColWidth="8.7109375" defaultRowHeight="15" x14ac:dyDescent="0.25"/>
  <cols>
    <col min="1" max="1" width="5" customWidth="1"/>
    <col min="2" max="2" width="36" customWidth="1"/>
    <col min="3" max="4" width="16" customWidth="1"/>
    <col min="5" max="5" width="62" customWidth="1"/>
    <col min="6" max="7" width="16.42578125" customWidth="1"/>
    <col min="8" max="8" width="14" customWidth="1"/>
    <col min="9" max="10" width="9" customWidth="1"/>
    <col min="11" max="11" width="11" customWidth="1"/>
    <col min="12" max="12" width="15" customWidth="1"/>
    <col min="13" max="13" width="14" customWidth="1"/>
    <col min="14" max="14" width="33.42578125" customWidth="1"/>
    <col min="15" max="15" width="5" customWidth="1"/>
  </cols>
  <sheetData>
    <row r="1" spans="1:15" ht="15.75" x14ac:dyDescent="0.25">
      <c r="A1" s="1" t="s">
        <v>0</v>
      </c>
    </row>
    <row r="2" spans="1:15" x14ac:dyDescent="0.25">
      <c r="A2" s="2" t="s">
        <v>1</v>
      </c>
    </row>
    <row r="4" spans="1:15" ht="4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hidden="1" x14ac:dyDescent="0.25">
      <c r="A5" s="4">
        <v>1</v>
      </c>
      <c r="B5" s="5" t="s">
        <v>17</v>
      </c>
      <c r="C5" s="6" t="s">
        <v>18</v>
      </c>
      <c r="D5" s="6"/>
      <c r="E5" s="7" t="s">
        <v>17</v>
      </c>
      <c r="F5" s="6"/>
      <c r="G5" s="6"/>
      <c r="H5" s="6"/>
      <c r="I5" s="4">
        <v>1</v>
      </c>
      <c r="J5" s="4" t="s">
        <v>19</v>
      </c>
      <c r="K5" s="6"/>
      <c r="L5" s="6"/>
      <c r="M5" s="6"/>
      <c r="N5" s="6"/>
      <c r="O5" s="6"/>
    </row>
    <row r="6" spans="1:15" hidden="1" x14ac:dyDescent="0.25">
      <c r="A6" s="8">
        <v>1</v>
      </c>
      <c r="B6" s="9" t="str">
        <f t="shared" ref="B6:B9" si="0">B5</f>
        <v>ЩС-1(S1)</v>
      </c>
      <c r="C6" s="9" t="s">
        <v>20</v>
      </c>
      <c r="D6" s="9" t="s">
        <v>21</v>
      </c>
      <c r="E6" s="10" t="s">
        <v>22</v>
      </c>
      <c r="F6" s="11">
        <v>10995</v>
      </c>
      <c r="G6" s="11">
        <f>IF(F6="","",ROUND(F6*VLOOKUP(K6,Kurallar!$D$3:$E$14,2,0),2))</f>
        <v>6597</v>
      </c>
      <c r="H6" s="11">
        <f>IF(G6="","",G6*I6)</f>
        <v>6597</v>
      </c>
      <c r="I6" s="8">
        <v>1</v>
      </c>
      <c r="J6" s="8" t="s">
        <v>23</v>
      </c>
      <c r="K6" s="8" t="s">
        <v>24</v>
      </c>
      <c r="L6" s="11">
        <f>IF(H6="","",H6*$I$5)</f>
        <v>6597</v>
      </c>
      <c r="M6" s="9" t="s">
        <v>20</v>
      </c>
      <c r="N6" s="8" t="s">
        <v>25</v>
      </c>
      <c r="O6" s="8">
        <f>IFERROR(VLOOKUP(N6,Kurallar!$G$3:$H$22,2,0),0)</f>
        <v>8</v>
      </c>
    </row>
    <row r="7" spans="1:15" hidden="1" x14ac:dyDescent="0.25">
      <c r="A7" s="8">
        <v>1</v>
      </c>
      <c r="B7" s="9" t="str">
        <f t="shared" si="0"/>
        <v>ЩС-1(S1)</v>
      </c>
      <c r="C7" s="9" t="s">
        <v>26</v>
      </c>
      <c r="D7" s="9" t="s">
        <v>27</v>
      </c>
      <c r="E7" s="10" t="s">
        <v>28</v>
      </c>
      <c r="F7" s="11">
        <v>4439</v>
      </c>
      <c r="G7" s="11">
        <f>IF(F7="","",ROUND(F7*VLOOKUP(K7,Kurallar!$D$3:$E$14,2,0),2))</f>
        <v>2663.4</v>
      </c>
      <c r="H7" s="11">
        <f>IF(G7="","",G7*I7)</f>
        <v>2663.4</v>
      </c>
      <c r="I7" s="8">
        <v>1</v>
      </c>
      <c r="J7" s="8" t="s">
        <v>23</v>
      </c>
      <c r="K7" s="8" t="s">
        <v>29</v>
      </c>
      <c r="L7" s="11">
        <f>IF(H7="","",H7*$I$5)</f>
        <v>2663.4</v>
      </c>
      <c r="M7" s="9" t="s">
        <v>26</v>
      </c>
      <c r="N7" s="8" t="s">
        <v>30</v>
      </c>
      <c r="O7" s="8">
        <f>IFERROR(VLOOKUP(N7,Kurallar!$G$3:$H$22,2,0),0)</f>
        <v>30</v>
      </c>
    </row>
    <row r="8" spans="1:15" hidden="1" x14ac:dyDescent="0.25">
      <c r="A8" s="8">
        <v>1</v>
      </c>
      <c r="B8" t="str">
        <f t="shared" si="0"/>
        <v>ЩС-1(S1)</v>
      </c>
      <c r="C8" s="9" t="s">
        <v>31</v>
      </c>
      <c r="E8" s="9" t="s">
        <v>32</v>
      </c>
      <c r="F8" s="11"/>
      <c r="G8" s="11">
        <f>ROUND(SUM(H6:H7)*Kurallar!$B$2,2)</f>
        <v>1111.25</v>
      </c>
      <c r="H8" s="11">
        <f>G8*I8</f>
        <v>1111.25</v>
      </c>
      <c r="I8" s="8">
        <v>1</v>
      </c>
      <c r="J8" s="8" t="s">
        <v>19</v>
      </c>
      <c r="K8" s="8" t="s">
        <v>33</v>
      </c>
      <c r="L8" s="11">
        <f>H8*$I$5</f>
        <v>1111.25</v>
      </c>
      <c r="M8" s="9" t="s">
        <v>31</v>
      </c>
    </row>
    <row r="9" spans="1:15" hidden="1" x14ac:dyDescent="0.25">
      <c r="A9" s="8">
        <v>1</v>
      </c>
      <c r="B9" t="str">
        <f t="shared" si="0"/>
        <v>ЩС-1(S1)</v>
      </c>
      <c r="C9" s="9" t="s">
        <v>34</v>
      </c>
      <c r="E9" s="9" t="s">
        <v>35</v>
      </c>
      <c r="F9" s="11">
        <f>ROUND(I9/60,1)</f>
        <v>0.7</v>
      </c>
      <c r="G9" s="11">
        <f>Kurallar!$B$3</f>
        <v>100</v>
      </c>
      <c r="H9" s="11">
        <f>G9*I9</f>
        <v>4400</v>
      </c>
      <c r="I9" s="8">
        <f>ROUND(SUMPRODUCT(I6:I7,O6:O7)*Kurallar!$B$4,0)</f>
        <v>44</v>
      </c>
      <c r="J9" s="8" t="s">
        <v>36</v>
      </c>
      <c r="K9" s="8" t="s">
        <v>33</v>
      </c>
      <c r="L9" s="11">
        <f>H9*$I$5</f>
        <v>4400</v>
      </c>
      <c r="M9" s="9" t="s">
        <v>34</v>
      </c>
    </row>
    <row r="10" spans="1:15" hidden="1" x14ac:dyDescent="0.25">
      <c r="A10" s="12"/>
      <c r="B10" s="13" t="s">
        <v>37</v>
      </c>
      <c r="C10" s="12"/>
      <c r="D10" s="12"/>
      <c r="E10" s="13" t="s">
        <v>38</v>
      </c>
      <c r="F10" s="12"/>
      <c r="G10" s="12"/>
      <c r="H10" s="14">
        <f>SUBTOTAL(9,H6:H9)</f>
        <v>0</v>
      </c>
      <c r="I10" s="15">
        <v>1</v>
      </c>
      <c r="J10" s="15" t="s">
        <v>19</v>
      </c>
      <c r="K10" s="12"/>
      <c r="L10" s="14">
        <f>SUBTOTAL(9,L6:L9)</f>
        <v>0</v>
      </c>
      <c r="M10" s="12"/>
      <c r="N10" s="12"/>
      <c r="O10" s="12"/>
    </row>
    <row r="11" spans="1:15" hidden="1" x14ac:dyDescent="0.25">
      <c r="A11" s="4">
        <v>2</v>
      </c>
      <c r="B11" s="5" t="s">
        <v>39</v>
      </c>
      <c r="C11" s="6" t="s">
        <v>18</v>
      </c>
      <c r="D11" s="6"/>
      <c r="E11" s="7" t="s">
        <v>39</v>
      </c>
      <c r="F11" s="6"/>
      <c r="G11" s="6"/>
      <c r="H11" s="6"/>
      <c r="I11" s="4">
        <v>1</v>
      </c>
      <c r="J11" s="4" t="s">
        <v>19</v>
      </c>
      <c r="K11" s="6"/>
      <c r="L11" s="6"/>
      <c r="M11" s="6"/>
      <c r="N11" s="6"/>
      <c r="O11" s="6"/>
    </row>
    <row r="12" spans="1:15" hidden="1" x14ac:dyDescent="0.25">
      <c r="A12" s="8">
        <v>2</v>
      </c>
      <c r="B12" s="9" t="str">
        <f t="shared" ref="B12:B15" si="1">B11</f>
        <v>ЩС-2(S1)</v>
      </c>
      <c r="C12" s="9" t="s">
        <v>20</v>
      </c>
      <c r="D12" s="9" t="s">
        <v>21</v>
      </c>
      <c r="E12" s="10" t="s">
        <v>22</v>
      </c>
      <c r="F12" s="11">
        <v>10995</v>
      </c>
      <c r="G12" s="11">
        <f>IF(F12="","",ROUND(F12*VLOOKUP(K12,Kurallar!$D$3:$E$14,2,0),2))</f>
        <v>6597</v>
      </c>
      <c r="H12" s="11">
        <f>IF(G12="","",G12*I12)</f>
        <v>6597</v>
      </c>
      <c r="I12" s="8">
        <v>1</v>
      </c>
      <c r="J12" s="8" t="s">
        <v>23</v>
      </c>
      <c r="K12" s="8" t="s">
        <v>24</v>
      </c>
      <c r="L12" s="11">
        <f>IF(H12="","",H12*$I$11)</f>
        <v>6597</v>
      </c>
      <c r="M12" s="9" t="s">
        <v>20</v>
      </c>
      <c r="N12" s="8" t="s">
        <v>25</v>
      </c>
      <c r="O12" s="8">
        <f>IFERROR(VLOOKUP(N12,Kurallar!$G$3:$H$22,2,0),0)</f>
        <v>8</v>
      </c>
    </row>
    <row r="13" spans="1:15" hidden="1" x14ac:dyDescent="0.25">
      <c r="A13" s="8">
        <v>2</v>
      </c>
      <c r="B13" s="9" t="str">
        <f t="shared" si="1"/>
        <v>ЩС-2(S1)</v>
      </c>
      <c r="C13" s="9" t="s">
        <v>26</v>
      </c>
      <c r="D13" s="9" t="s">
        <v>40</v>
      </c>
      <c r="E13" s="10" t="s">
        <v>41</v>
      </c>
      <c r="F13" s="11">
        <v>4217</v>
      </c>
      <c r="G13" s="11">
        <f>IF(F13="","",ROUND(F13*VLOOKUP(K13,Kurallar!$D$3:$E$14,2,0),2))</f>
        <v>2530.1999999999998</v>
      </c>
      <c r="H13" s="11">
        <f>IF(G13="","",G13*I13)</f>
        <v>2530.1999999999998</v>
      </c>
      <c r="I13" s="8">
        <v>1</v>
      </c>
      <c r="J13" s="8" t="s">
        <v>23</v>
      </c>
      <c r="K13" s="8" t="s">
        <v>29</v>
      </c>
      <c r="L13" s="11">
        <f>IF(H13="","",H13*$I$11)</f>
        <v>2530.1999999999998</v>
      </c>
      <c r="M13" s="9" t="s">
        <v>26</v>
      </c>
      <c r="N13" s="8" t="s">
        <v>42</v>
      </c>
      <c r="O13" s="8">
        <f>IFERROR(VLOOKUP(N13,Kurallar!$G$3:$H$22,2,0),0)</f>
        <v>15</v>
      </c>
    </row>
    <row r="14" spans="1:15" hidden="1" x14ac:dyDescent="0.25">
      <c r="A14" s="8">
        <v>2</v>
      </c>
      <c r="B14" t="str">
        <f t="shared" si="1"/>
        <v>ЩС-2(S1)</v>
      </c>
      <c r="C14" s="9" t="s">
        <v>31</v>
      </c>
      <c r="E14" s="9" t="s">
        <v>32</v>
      </c>
      <c r="F14" s="11"/>
      <c r="G14" s="11">
        <f>ROUND(SUM(H12:H13)*Kurallar!$B$2,2)</f>
        <v>1095.26</v>
      </c>
      <c r="H14" s="11">
        <f>G14*I14</f>
        <v>1095.26</v>
      </c>
      <c r="I14" s="8">
        <v>1</v>
      </c>
      <c r="J14" s="8" t="s">
        <v>19</v>
      </c>
      <c r="K14" s="8" t="s">
        <v>33</v>
      </c>
      <c r="L14" s="11">
        <f>H14*$I$11</f>
        <v>1095.26</v>
      </c>
      <c r="M14" s="9" t="s">
        <v>31</v>
      </c>
    </row>
    <row r="15" spans="1:15" hidden="1" x14ac:dyDescent="0.25">
      <c r="A15" s="8">
        <v>2</v>
      </c>
      <c r="B15" t="str">
        <f t="shared" si="1"/>
        <v>ЩС-2(S1)</v>
      </c>
      <c r="C15" s="9" t="s">
        <v>34</v>
      </c>
      <c r="E15" s="9" t="s">
        <v>35</v>
      </c>
      <c r="F15" s="11">
        <f>ROUND(I15/60,1)</f>
        <v>0.4</v>
      </c>
      <c r="G15" s="11">
        <f>Kurallar!$B$3</f>
        <v>100</v>
      </c>
      <c r="H15" s="11">
        <f>G15*I15</f>
        <v>2600</v>
      </c>
      <c r="I15" s="8">
        <f>ROUND(SUMPRODUCT(I12:I13,O12:O13)*Kurallar!$B$4,0)</f>
        <v>26</v>
      </c>
      <c r="J15" s="8" t="s">
        <v>36</v>
      </c>
      <c r="K15" s="8" t="s">
        <v>33</v>
      </c>
      <c r="L15" s="11">
        <f>H15*$I$11</f>
        <v>2600</v>
      </c>
      <c r="M15" s="9" t="s">
        <v>34</v>
      </c>
    </row>
    <row r="16" spans="1:15" hidden="1" x14ac:dyDescent="0.25">
      <c r="A16" s="12"/>
      <c r="B16" s="13" t="s">
        <v>43</v>
      </c>
      <c r="C16" s="12"/>
      <c r="D16" s="12"/>
      <c r="E16" s="13" t="s">
        <v>44</v>
      </c>
      <c r="F16" s="12"/>
      <c r="G16" s="12"/>
      <c r="H16" s="14">
        <f>SUBTOTAL(9,H12:H15)</f>
        <v>0</v>
      </c>
      <c r="I16" s="15">
        <v>1</v>
      </c>
      <c r="J16" s="15" t="s">
        <v>19</v>
      </c>
      <c r="K16" s="12"/>
      <c r="L16" s="14">
        <f>SUBTOTAL(9,L12:L15)</f>
        <v>0</v>
      </c>
      <c r="M16" s="12"/>
      <c r="N16" s="12"/>
      <c r="O16" s="12"/>
    </row>
    <row r="17" spans="1:15" hidden="1" x14ac:dyDescent="0.25">
      <c r="A17" s="4">
        <v>3</v>
      </c>
      <c r="B17" s="5" t="s">
        <v>45</v>
      </c>
      <c r="C17" s="6" t="s">
        <v>18</v>
      </c>
      <c r="D17" s="6"/>
      <c r="E17" s="7" t="s">
        <v>45</v>
      </c>
      <c r="F17" s="6"/>
      <c r="G17" s="6"/>
      <c r="H17" s="6"/>
      <c r="I17" s="4">
        <v>1</v>
      </c>
      <c r="J17" s="4" t="s">
        <v>19</v>
      </c>
      <c r="K17" s="6"/>
      <c r="L17" s="6"/>
      <c r="M17" s="6"/>
      <c r="N17" s="6"/>
      <c r="O17" s="6"/>
    </row>
    <row r="18" spans="1:15" hidden="1" x14ac:dyDescent="0.25">
      <c r="A18" s="8">
        <v>3</v>
      </c>
      <c r="B18" s="9" t="str">
        <f t="shared" ref="B18:B26" si="2">B17</f>
        <v>ЩОВ_S1</v>
      </c>
      <c r="C18" s="9" t="s">
        <v>20</v>
      </c>
      <c r="D18" s="9" t="s">
        <v>46</v>
      </c>
      <c r="E18" s="10" t="s">
        <v>47</v>
      </c>
      <c r="F18" s="11">
        <v>9620</v>
      </c>
      <c r="G18" s="11">
        <f>IF(F18="","",ROUND(F18*VLOOKUP(K18,Kurallar!$D$3:$E$14,2,0),2))</f>
        <v>5772</v>
      </c>
      <c r="H18" s="11">
        <f t="shared" ref="H18:H24" si="3">IF(G18="","",G18*I18)</f>
        <v>5772</v>
      </c>
      <c r="I18" s="8">
        <v>1</v>
      </c>
      <c r="J18" s="8" t="s">
        <v>23</v>
      </c>
      <c r="K18" s="8" t="s">
        <v>24</v>
      </c>
      <c r="L18" s="11">
        <f t="shared" ref="L18:L24" si="4">IF(H18="","",H18*$I$17)</f>
        <v>5772</v>
      </c>
      <c r="M18" s="9" t="s">
        <v>20</v>
      </c>
      <c r="N18" s="8" t="s">
        <v>25</v>
      </c>
      <c r="O18" s="8">
        <f>IFERROR(VLOOKUP(N18,Kurallar!$G$3:$H$22,2,0),0)</f>
        <v>8</v>
      </c>
    </row>
    <row r="19" spans="1:15" hidden="1" x14ac:dyDescent="0.25">
      <c r="A19" s="8">
        <v>3</v>
      </c>
      <c r="B19" s="9" t="str">
        <f t="shared" si="2"/>
        <v>ЩОВ_S1</v>
      </c>
      <c r="C19" s="9" t="s">
        <v>26</v>
      </c>
      <c r="D19" s="9" t="s">
        <v>48</v>
      </c>
      <c r="E19" s="10" t="s">
        <v>49</v>
      </c>
      <c r="F19" s="11">
        <v>3372</v>
      </c>
      <c r="G19" s="11">
        <f>IF(F19="","",ROUND(F19*VLOOKUP(K19,Kurallar!$D$3:$E$14,2,0),2))</f>
        <v>2023.2</v>
      </c>
      <c r="H19" s="11">
        <f t="shared" si="3"/>
        <v>2023.2</v>
      </c>
      <c r="I19" s="8">
        <v>1</v>
      </c>
      <c r="J19" s="8" t="s">
        <v>23</v>
      </c>
      <c r="K19" s="8" t="s">
        <v>29</v>
      </c>
      <c r="L19" s="11">
        <f t="shared" si="4"/>
        <v>2023.2</v>
      </c>
      <c r="M19" s="9" t="s">
        <v>26</v>
      </c>
      <c r="N19" s="8" t="s">
        <v>42</v>
      </c>
      <c r="O19" s="8">
        <f>IFERROR(VLOOKUP(N19,Kurallar!$G$3:$H$22,2,0),0)</f>
        <v>15</v>
      </c>
    </row>
    <row r="20" spans="1:15" hidden="1" x14ac:dyDescent="0.25">
      <c r="A20" s="8">
        <v>3</v>
      </c>
      <c r="B20" s="9" t="str">
        <f t="shared" si="2"/>
        <v>ЩОВ_S1</v>
      </c>
      <c r="C20" s="9" t="s">
        <v>50</v>
      </c>
      <c r="D20" s="9" t="s">
        <v>51</v>
      </c>
      <c r="E20" s="10" t="s">
        <v>52</v>
      </c>
      <c r="F20" s="11">
        <v>5719</v>
      </c>
      <c r="G20" s="11">
        <f>IF(F20="","",ROUND(F20*VLOOKUP(K20,Kurallar!$D$3:$E$14,2,0),2))</f>
        <v>3431.4</v>
      </c>
      <c r="H20" s="11">
        <f t="shared" si="3"/>
        <v>10294.200000000001</v>
      </c>
      <c r="I20" s="8">
        <v>3</v>
      </c>
      <c r="J20" s="8" t="s">
        <v>23</v>
      </c>
      <c r="K20" s="8" t="s">
        <v>29</v>
      </c>
      <c r="L20" s="11">
        <f t="shared" si="4"/>
        <v>10294.200000000001</v>
      </c>
      <c r="M20" s="9" t="s">
        <v>50</v>
      </c>
      <c r="N20" s="8" t="s">
        <v>53</v>
      </c>
      <c r="O20" s="8">
        <f>IFERROR(VLOOKUP(N20,Kurallar!$G$3:$H$22,2,0),0)</f>
        <v>16</v>
      </c>
    </row>
    <row r="21" spans="1:15" hidden="1" x14ac:dyDescent="0.25">
      <c r="A21" s="8">
        <v>3</v>
      </c>
      <c r="B21" s="9" t="str">
        <f t="shared" si="2"/>
        <v>ЩОВ_S1</v>
      </c>
      <c r="C21" s="9" t="s">
        <v>54</v>
      </c>
      <c r="D21" s="9" t="s">
        <v>55</v>
      </c>
      <c r="E21" s="10" t="s">
        <v>56</v>
      </c>
      <c r="F21" s="11">
        <v>975</v>
      </c>
      <c r="G21" s="11">
        <f>IF(F21="","",ROUND(F21*VLOOKUP(K21,Kurallar!$D$3:$E$14,2,0),2))</f>
        <v>585</v>
      </c>
      <c r="H21" s="11">
        <f t="shared" si="3"/>
        <v>585</v>
      </c>
      <c r="I21" s="8">
        <v>1</v>
      </c>
      <c r="J21" s="8" t="s">
        <v>23</v>
      </c>
      <c r="K21" s="8" t="s">
        <v>29</v>
      </c>
      <c r="L21" s="11">
        <f t="shared" si="4"/>
        <v>585</v>
      </c>
      <c r="M21" s="9" t="s">
        <v>54</v>
      </c>
      <c r="N21" s="8" t="s">
        <v>57</v>
      </c>
      <c r="O21" s="8">
        <f>IFERROR(VLOOKUP(N21,Kurallar!$G$3:$H$22,2,0),0)</f>
        <v>3</v>
      </c>
    </row>
    <row r="22" spans="1:15" hidden="1" x14ac:dyDescent="0.25">
      <c r="A22" s="8">
        <v>3</v>
      </c>
      <c r="B22" s="9" t="str">
        <f t="shared" si="2"/>
        <v>ЩОВ_S1</v>
      </c>
      <c r="C22" s="9" t="s">
        <v>58</v>
      </c>
      <c r="D22" s="9" t="s">
        <v>59</v>
      </c>
      <c r="E22" s="10" t="s">
        <v>60</v>
      </c>
      <c r="F22" s="11">
        <v>13575</v>
      </c>
      <c r="G22" s="11">
        <f>IF(F22="","",ROUND(F22*VLOOKUP(K22,Kurallar!$D$3:$E$14,2,0),2))</f>
        <v>8145</v>
      </c>
      <c r="H22" s="11">
        <f t="shared" si="3"/>
        <v>8145</v>
      </c>
      <c r="I22" s="8">
        <v>1</v>
      </c>
      <c r="J22" s="8" t="s">
        <v>23</v>
      </c>
      <c r="K22" s="8" t="s">
        <v>29</v>
      </c>
      <c r="L22" s="11">
        <f t="shared" si="4"/>
        <v>8145</v>
      </c>
      <c r="M22" s="9" t="s">
        <v>58</v>
      </c>
      <c r="N22" s="8" t="s">
        <v>61</v>
      </c>
      <c r="O22" s="8">
        <f>IFERROR(VLOOKUP(N22,Kurallar!$G$3:$H$22,2,0),0)</f>
        <v>15</v>
      </c>
    </row>
    <row r="23" spans="1:15" hidden="1" x14ac:dyDescent="0.25">
      <c r="A23" s="8">
        <v>3</v>
      </c>
      <c r="B23" s="9" t="str">
        <f t="shared" si="2"/>
        <v>ЩОВ_S1</v>
      </c>
      <c r="C23" s="9" t="s">
        <v>62</v>
      </c>
      <c r="D23" s="9" t="s">
        <v>63</v>
      </c>
      <c r="E23" s="10" t="s">
        <v>64</v>
      </c>
      <c r="F23" s="11">
        <v>13777</v>
      </c>
      <c r="G23" s="11">
        <f>IF(F23="","",ROUND(F23*VLOOKUP(K23,Kurallar!$D$3:$E$14,2,0),2))</f>
        <v>13777</v>
      </c>
      <c r="H23" s="11">
        <f t="shared" si="3"/>
        <v>13777</v>
      </c>
      <c r="I23" s="8">
        <v>1</v>
      </c>
      <c r="J23" s="8" t="s">
        <v>23</v>
      </c>
      <c r="K23" s="8" t="s">
        <v>65</v>
      </c>
      <c r="L23" s="11">
        <f t="shared" si="4"/>
        <v>13777</v>
      </c>
      <c r="M23" s="9" t="s">
        <v>62</v>
      </c>
      <c r="N23" s="8" t="s">
        <v>66</v>
      </c>
      <c r="O23" s="8">
        <f>IFERROR(VLOOKUP(N23,Kurallar!$G$3:$H$22,2,0),0)</f>
        <v>5</v>
      </c>
    </row>
    <row r="24" spans="1:15" hidden="1" x14ac:dyDescent="0.25">
      <c r="A24" s="8">
        <v>3</v>
      </c>
      <c r="B24" s="9" t="str">
        <f t="shared" si="2"/>
        <v>ЩОВ_S1</v>
      </c>
      <c r="C24" s="9" t="s">
        <v>67</v>
      </c>
      <c r="D24" s="9" t="s">
        <v>68</v>
      </c>
      <c r="E24" s="10" t="s">
        <v>69</v>
      </c>
      <c r="F24" s="11">
        <v>793</v>
      </c>
      <c r="G24" s="11">
        <f>IF(F24="","",ROUND(F24*VLOOKUP(K24,Kurallar!$D$3:$E$14,2,0),2))</f>
        <v>793</v>
      </c>
      <c r="H24" s="11">
        <f t="shared" si="3"/>
        <v>2379</v>
      </c>
      <c r="I24" s="8">
        <v>3</v>
      </c>
      <c r="J24" s="8" t="s">
        <v>23</v>
      </c>
      <c r="K24" s="8" t="s">
        <v>65</v>
      </c>
      <c r="L24" s="11">
        <f t="shared" si="4"/>
        <v>2379</v>
      </c>
      <c r="M24" s="9" t="s">
        <v>67</v>
      </c>
      <c r="N24" s="8" t="s">
        <v>70</v>
      </c>
      <c r="O24" s="8">
        <f>IFERROR(VLOOKUP(N24,Kurallar!$G$3:$H$22,2,0),0)</f>
        <v>5</v>
      </c>
    </row>
    <row r="25" spans="1:15" hidden="1" x14ac:dyDescent="0.25">
      <c r="A25" s="8">
        <v>3</v>
      </c>
      <c r="B25" t="str">
        <f t="shared" si="2"/>
        <v>ЩОВ_S1</v>
      </c>
      <c r="C25" s="9" t="s">
        <v>31</v>
      </c>
      <c r="E25" s="9" t="s">
        <v>32</v>
      </c>
      <c r="F25" s="11"/>
      <c r="G25" s="11">
        <f>ROUND(SUM(H18:H24)*Kurallar!$B$2,2)</f>
        <v>5157.05</v>
      </c>
      <c r="H25" s="11">
        <f>G25*I25</f>
        <v>5157.05</v>
      </c>
      <c r="I25" s="8">
        <v>1</v>
      </c>
      <c r="J25" s="8" t="s">
        <v>19</v>
      </c>
      <c r="K25" s="8" t="s">
        <v>33</v>
      </c>
      <c r="L25" s="11">
        <f>H25*$I$17</f>
        <v>5157.05</v>
      </c>
      <c r="M25" s="9" t="s">
        <v>31</v>
      </c>
    </row>
    <row r="26" spans="1:15" hidden="1" x14ac:dyDescent="0.25">
      <c r="A26" s="8">
        <v>3</v>
      </c>
      <c r="B26" t="str">
        <f t="shared" si="2"/>
        <v>ЩОВ_S1</v>
      </c>
      <c r="C26" s="9" t="s">
        <v>34</v>
      </c>
      <c r="E26" s="9" t="s">
        <v>35</v>
      </c>
      <c r="F26" s="11">
        <f>ROUND(I26/60,1)</f>
        <v>2.1</v>
      </c>
      <c r="G26" s="11">
        <f>Kurallar!$B$3</f>
        <v>100</v>
      </c>
      <c r="H26" s="11">
        <f>G26*I26</f>
        <v>12500</v>
      </c>
      <c r="I26" s="8">
        <f>ROUND(SUMPRODUCT(I18:I24,O18:O24)*Kurallar!$B$4,0)</f>
        <v>125</v>
      </c>
      <c r="J26" s="8" t="s">
        <v>36</v>
      </c>
      <c r="K26" s="8" t="s">
        <v>33</v>
      </c>
      <c r="L26" s="11">
        <f>H26*$I$17</f>
        <v>12500</v>
      </c>
      <c r="M26" s="9" t="s">
        <v>34</v>
      </c>
    </row>
    <row r="27" spans="1:15" hidden="1" x14ac:dyDescent="0.25">
      <c r="A27" s="12"/>
      <c r="B27" s="13" t="s">
        <v>71</v>
      </c>
      <c r="C27" s="12"/>
      <c r="D27" s="12"/>
      <c r="E27" s="13" t="s">
        <v>72</v>
      </c>
      <c r="F27" s="12"/>
      <c r="G27" s="12"/>
      <c r="H27" s="14">
        <f>SUBTOTAL(9,H18:H26)</f>
        <v>0</v>
      </c>
      <c r="I27" s="15">
        <v>1</v>
      </c>
      <c r="J27" s="15" t="s">
        <v>19</v>
      </c>
      <c r="K27" s="12"/>
      <c r="L27" s="14">
        <f>SUBTOTAL(9,L18:L26)</f>
        <v>0</v>
      </c>
      <c r="M27" s="12"/>
      <c r="N27" s="12"/>
      <c r="O27" s="12"/>
    </row>
    <row r="28" spans="1:15" hidden="1" x14ac:dyDescent="0.25">
      <c r="A28" s="4">
        <v>4</v>
      </c>
      <c r="B28" s="5" t="s">
        <v>73</v>
      </c>
      <c r="C28" s="6" t="s">
        <v>18</v>
      </c>
      <c r="D28" s="6"/>
      <c r="E28" s="7" t="s">
        <v>73</v>
      </c>
      <c r="F28" s="6"/>
      <c r="G28" s="6"/>
      <c r="H28" s="6"/>
      <c r="I28" s="4">
        <v>8</v>
      </c>
      <c r="J28" s="4" t="s">
        <v>19</v>
      </c>
      <c r="K28" s="6"/>
      <c r="L28" s="6"/>
      <c r="M28" s="6"/>
      <c r="N28" s="6"/>
      <c r="O28" s="6"/>
    </row>
    <row r="29" spans="1:15" hidden="1" x14ac:dyDescent="0.25">
      <c r="A29" s="8">
        <v>4</v>
      </c>
      <c r="B29" s="9" t="str">
        <f t="shared" ref="B29:B36" si="5">B28</f>
        <v>ЩЭ_S1</v>
      </c>
      <c r="C29" s="9" t="s">
        <v>20</v>
      </c>
      <c r="D29" s="9" t="s">
        <v>74</v>
      </c>
      <c r="E29" s="10" t="s">
        <v>759</v>
      </c>
      <c r="F29" s="11">
        <v>78000</v>
      </c>
      <c r="G29" s="11">
        <f>IF(F29="","",ROUND(F29*VLOOKUP(K29,Kurallar!$D$3:$E$14,2,0),2))</f>
        <v>46800</v>
      </c>
      <c r="H29" s="11">
        <f t="shared" ref="H29:H34" si="6">IF(G29="","",G29*I29)</f>
        <v>46800</v>
      </c>
      <c r="I29" s="8">
        <v>1</v>
      </c>
      <c r="J29" s="8" t="s">
        <v>23</v>
      </c>
      <c r="K29" s="8" t="s">
        <v>24</v>
      </c>
      <c r="L29" s="11">
        <f t="shared" ref="L29:L34" si="7">IF(H29="","",H29*$I$28)</f>
        <v>374400</v>
      </c>
      <c r="M29" s="9" t="s">
        <v>20</v>
      </c>
      <c r="N29" s="8" t="s">
        <v>75</v>
      </c>
      <c r="O29" s="8">
        <f>IFERROR(VLOOKUP(N29,Kurallar!$G$3:$H$22,2,0),0)</f>
        <v>30</v>
      </c>
    </row>
    <row r="30" spans="1:15" hidden="1" x14ac:dyDescent="0.25">
      <c r="A30" s="8">
        <v>4</v>
      </c>
      <c r="B30" s="9" t="str">
        <f t="shared" si="5"/>
        <v>ЩЭ_S1</v>
      </c>
      <c r="C30" s="9" t="s">
        <v>26</v>
      </c>
      <c r="D30" s="9" t="s">
        <v>76</v>
      </c>
      <c r="E30" s="10" t="s">
        <v>77</v>
      </c>
      <c r="F30" s="11">
        <v>1421</v>
      </c>
      <c r="G30" s="11">
        <f>IF(F30="","",ROUND(F30*VLOOKUP(K30,Kurallar!$D$3:$E$14,2,0),2))</f>
        <v>852.6</v>
      </c>
      <c r="H30" s="11">
        <f t="shared" si="6"/>
        <v>3410.4</v>
      </c>
      <c r="I30" s="8">
        <v>4</v>
      </c>
      <c r="J30" s="8" t="s">
        <v>23</v>
      </c>
      <c r="K30" s="8" t="s">
        <v>29</v>
      </c>
      <c r="L30" s="11">
        <f t="shared" si="7"/>
        <v>27283.200000000001</v>
      </c>
      <c r="M30" s="9" t="s">
        <v>26</v>
      </c>
      <c r="N30" s="8" t="s">
        <v>42</v>
      </c>
      <c r="O30" s="8">
        <f>IFERROR(VLOOKUP(N30,Kurallar!$G$3:$H$22,2,0),0)</f>
        <v>15</v>
      </c>
    </row>
    <row r="31" spans="1:15" hidden="1" x14ac:dyDescent="0.25">
      <c r="A31" s="8">
        <v>4</v>
      </c>
      <c r="B31" s="9" t="str">
        <f t="shared" si="5"/>
        <v>ЩЭ_S1</v>
      </c>
      <c r="C31" s="9" t="s">
        <v>50</v>
      </c>
      <c r="D31" s="9" t="s">
        <v>78</v>
      </c>
      <c r="E31" s="10" t="s">
        <v>79</v>
      </c>
      <c r="F31" s="11">
        <v>6215</v>
      </c>
      <c r="G31" s="11">
        <f>IF(F31="","",ROUND(F31*VLOOKUP(K31,Kurallar!$D$3:$E$14,2,0),2))</f>
        <v>3729</v>
      </c>
      <c r="H31" s="11">
        <f t="shared" si="6"/>
        <v>14916</v>
      </c>
      <c r="I31" s="8">
        <v>4</v>
      </c>
      <c r="J31" s="8" t="s">
        <v>23</v>
      </c>
      <c r="K31" s="8" t="s">
        <v>29</v>
      </c>
      <c r="L31" s="11">
        <f t="shared" si="7"/>
        <v>119328</v>
      </c>
      <c r="M31" s="9" t="s">
        <v>50</v>
      </c>
      <c r="N31" s="8" t="s">
        <v>53</v>
      </c>
      <c r="O31" s="8">
        <f>IFERROR(VLOOKUP(N31,Kurallar!$G$3:$H$22,2,0),0)</f>
        <v>16</v>
      </c>
    </row>
    <row r="32" spans="1:15" hidden="1" x14ac:dyDescent="0.25">
      <c r="A32" s="8">
        <v>4</v>
      </c>
      <c r="B32" s="9" t="str">
        <f t="shared" si="5"/>
        <v>ЩЭ_S1</v>
      </c>
      <c r="C32" s="9" t="s">
        <v>26</v>
      </c>
      <c r="D32" s="9" t="s">
        <v>80</v>
      </c>
      <c r="E32" s="10" t="s">
        <v>81</v>
      </c>
      <c r="F32" s="11">
        <v>3372</v>
      </c>
      <c r="G32" s="11">
        <f>IF(F32="","",ROUND(F32*VLOOKUP(K32,Kurallar!$D$3:$E$14,2,0),2))</f>
        <v>2023.2</v>
      </c>
      <c r="H32" s="11">
        <f t="shared" si="6"/>
        <v>2023.2</v>
      </c>
      <c r="I32" s="8">
        <v>1</v>
      </c>
      <c r="J32" s="8" t="s">
        <v>23</v>
      </c>
      <c r="K32" s="8" t="s">
        <v>29</v>
      </c>
      <c r="L32" s="11">
        <f t="shared" si="7"/>
        <v>16185.6</v>
      </c>
      <c r="M32" s="9" t="s">
        <v>26</v>
      </c>
      <c r="N32" s="8" t="s">
        <v>42</v>
      </c>
      <c r="O32" s="8">
        <f>IFERROR(VLOOKUP(N32,Kurallar!$G$3:$H$22,2,0),0)</f>
        <v>15</v>
      </c>
    </row>
    <row r="33" spans="1:15" hidden="1" x14ac:dyDescent="0.25">
      <c r="A33" s="8">
        <v>4</v>
      </c>
      <c r="B33" s="9" t="str">
        <f t="shared" si="5"/>
        <v>ЩЭ_S1</v>
      </c>
      <c r="C33" s="9" t="s">
        <v>82</v>
      </c>
      <c r="D33" s="9" t="s">
        <v>83</v>
      </c>
      <c r="E33" s="10" t="s">
        <v>84</v>
      </c>
      <c r="F33" s="11">
        <v>0</v>
      </c>
      <c r="G33" s="11">
        <f>F33</f>
        <v>0</v>
      </c>
      <c r="H33" s="11">
        <f t="shared" si="6"/>
        <v>0</v>
      </c>
      <c r="I33" s="8">
        <v>4</v>
      </c>
      <c r="J33" s="8" t="s">
        <v>23</v>
      </c>
      <c r="K33" s="8" t="s">
        <v>751</v>
      </c>
      <c r="L33" s="11">
        <f t="shared" si="7"/>
        <v>0</v>
      </c>
      <c r="M33" s="9" t="s">
        <v>82</v>
      </c>
      <c r="N33" s="8" t="s">
        <v>85</v>
      </c>
      <c r="O33" s="8">
        <f>IFERROR(VLOOKUP(N33,Kurallar!$G$3:$H$22,2,0),0)</f>
        <v>25</v>
      </c>
    </row>
    <row r="34" spans="1:15" hidden="1" x14ac:dyDescent="0.25">
      <c r="A34" s="8">
        <v>4</v>
      </c>
      <c r="B34" s="9" t="str">
        <f t="shared" si="5"/>
        <v>ЩЭ_S1</v>
      </c>
      <c r="C34" s="9" t="s">
        <v>86</v>
      </c>
      <c r="D34" s="9" t="s">
        <v>87</v>
      </c>
      <c r="E34" s="10" t="s">
        <v>88</v>
      </c>
      <c r="F34" s="11">
        <v>1738</v>
      </c>
      <c r="G34" s="11">
        <f>IF(F34="","",ROUND(F34*VLOOKUP(K34,Kurallar!$D$3:$E$14,2,0),2))</f>
        <v>1042.8</v>
      </c>
      <c r="H34" s="11">
        <f t="shared" si="6"/>
        <v>1042.8</v>
      </c>
      <c r="I34" s="8">
        <v>1</v>
      </c>
      <c r="J34" s="8" t="s">
        <v>23</v>
      </c>
      <c r="K34" s="8" t="s">
        <v>29</v>
      </c>
      <c r="L34" s="11">
        <f t="shared" si="7"/>
        <v>8342.4</v>
      </c>
      <c r="M34" s="9" t="s">
        <v>86</v>
      </c>
      <c r="N34" s="8" t="s">
        <v>89</v>
      </c>
      <c r="O34" s="8">
        <f>IFERROR(VLOOKUP(N34,Kurallar!$G$3:$H$22,2,0),0)</f>
        <v>5</v>
      </c>
    </row>
    <row r="35" spans="1:15" hidden="1" x14ac:dyDescent="0.25">
      <c r="A35" s="8">
        <v>4</v>
      </c>
      <c r="B35" t="str">
        <f t="shared" si="5"/>
        <v>ЩЭ_S1</v>
      </c>
      <c r="C35" s="9" t="s">
        <v>31</v>
      </c>
      <c r="E35" s="9" t="s">
        <v>32</v>
      </c>
      <c r="F35" s="11"/>
      <c r="G35" s="11">
        <f>ROUND(SUM(H29:H34)*Kurallar!$B$2,2)</f>
        <v>8183.09</v>
      </c>
      <c r="H35" s="11">
        <f>G35*I35</f>
        <v>8183.09</v>
      </c>
      <c r="I35" s="8">
        <v>1</v>
      </c>
      <c r="J35" s="8" t="s">
        <v>19</v>
      </c>
      <c r="K35" s="8" t="s">
        <v>33</v>
      </c>
      <c r="L35" s="11">
        <f>H35*$I$28</f>
        <v>65464.72</v>
      </c>
      <c r="M35" s="9" t="s">
        <v>31</v>
      </c>
    </row>
    <row r="36" spans="1:15" hidden="1" x14ac:dyDescent="0.25">
      <c r="A36" s="8">
        <v>4</v>
      </c>
      <c r="B36" t="str">
        <f t="shared" si="5"/>
        <v>ЩЭ_S1</v>
      </c>
      <c r="C36" s="9" t="s">
        <v>34</v>
      </c>
      <c r="E36" s="9" t="s">
        <v>35</v>
      </c>
      <c r="F36" s="11">
        <f>ROUND(I36/60,1)</f>
        <v>5.3</v>
      </c>
      <c r="G36" s="11">
        <f>Kurallar!$B$3</f>
        <v>100</v>
      </c>
      <c r="H36" s="11">
        <f>G36*I36</f>
        <v>31500</v>
      </c>
      <c r="I36" s="8">
        <f>ROUND(SUMPRODUCT(I29:I34,O29:O34)*Kurallar!$B$4,0)</f>
        <v>315</v>
      </c>
      <c r="J36" s="8" t="s">
        <v>36</v>
      </c>
      <c r="K36" s="8" t="s">
        <v>33</v>
      </c>
      <c r="L36" s="11">
        <f>H36*$I$28</f>
        <v>252000</v>
      </c>
      <c r="M36" s="9" t="s">
        <v>34</v>
      </c>
    </row>
    <row r="37" spans="1:15" hidden="1" x14ac:dyDescent="0.25">
      <c r="A37" s="12"/>
      <c r="B37" s="13" t="s">
        <v>90</v>
      </c>
      <c r="C37" s="12"/>
      <c r="D37" s="12"/>
      <c r="E37" s="13" t="s">
        <v>91</v>
      </c>
      <c r="F37" s="12"/>
      <c r="G37" s="12"/>
      <c r="H37" s="14">
        <f>SUBTOTAL(9,H29:H36)</f>
        <v>0</v>
      </c>
      <c r="I37" s="15">
        <v>8</v>
      </c>
      <c r="J37" s="15" t="s">
        <v>19</v>
      </c>
      <c r="K37" s="12"/>
      <c r="L37" s="14">
        <f>SUBTOTAL(9,L29:L36)</f>
        <v>0</v>
      </c>
      <c r="M37" s="12"/>
      <c r="N37" s="12"/>
      <c r="O37" s="12"/>
    </row>
    <row r="38" spans="1:15" hidden="1" x14ac:dyDescent="0.25">
      <c r="A38" s="4">
        <v>5</v>
      </c>
      <c r="B38" s="5" t="s">
        <v>92</v>
      </c>
      <c r="C38" s="6" t="s">
        <v>18</v>
      </c>
      <c r="D38" s="6"/>
      <c r="E38" s="7" t="s">
        <v>92</v>
      </c>
      <c r="F38" s="6"/>
      <c r="G38" s="6"/>
      <c r="H38" s="6"/>
      <c r="I38" s="4">
        <v>16</v>
      </c>
      <c r="J38" s="4" t="s">
        <v>19</v>
      </c>
      <c r="K38" s="6"/>
      <c r="L38" s="6"/>
      <c r="M38" s="6"/>
      <c r="N38" s="6"/>
      <c r="O38" s="6"/>
    </row>
    <row r="39" spans="1:15" ht="24" hidden="1" x14ac:dyDescent="0.25">
      <c r="A39" s="8">
        <v>5</v>
      </c>
      <c r="B39" s="9" t="str">
        <f t="shared" ref="B39:B47" si="8">B38</f>
        <v>ЩК_S1</v>
      </c>
      <c r="C39" s="9" t="s">
        <v>20</v>
      </c>
      <c r="D39" s="9" t="s">
        <v>774</v>
      </c>
      <c r="E39" s="10" t="s">
        <v>775</v>
      </c>
      <c r="F39" s="11">
        <v>10700</v>
      </c>
      <c r="G39" s="11">
        <f>IF(F39="","",ROUND(F39*VLOOKUP(K39,Kurallar!$D$3:$E$14,2,0),2))</f>
        <v>10700</v>
      </c>
      <c r="H39" s="11">
        <f t="shared" ref="H39:H45" si="9">IF(G39="","",G39*I39)</f>
        <v>10700</v>
      </c>
      <c r="I39" s="8">
        <v>1</v>
      </c>
      <c r="J39" s="8" t="s">
        <v>23</v>
      </c>
      <c r="K39" s="8" t="s">
        <v>776</v>
      </c>
      <c r="L39" s="11">
        <f t="shared" ref="L39:L45" si="10">IF(H39="","",H39*$I$38)</f>
        <v>171200</v>
      </c>
      <c r="M39" s="9" t="s">
        <v>20</v>
      </c>
      <c r="N39" s="8" t="s">
        <v>25</v>
      </c>
      <c r="O39" s="8">
        <f>IFERROR(VLOOKUP(N39,Kurallar!$G$3:$H$22,2,0),0)</f>
        <v>8</v>
      </c>
    </row>
    <row r="40" spans="1:15" hidden="1" x14ac:dyDescent="0.25">
      <c r="A40" s="8">
        <v>5</v>
      </c>
      <c r="B40" s="9" t="str">
        <f t="shared" si="8"/>
        <v>ЩК_S1</v>
      </c>
      <c r="C40" s="9" t="s">
        <v>26</v>
      </c>
      <c r="D40" s="9" t="s">
        <v>772</v>
      </c>
      <c r="E40" s="10" t="s">
        <v>773</v>
      </c>
      <c r="F40" s="11">
        <v>2824</v>
      </c>
      <c r="G40" s="11">
        <f>IF(F40="","",ROUND(F40*VLOOKUP(K40,Kurallar!$D$3:$E$14,2,0),2))</f>
        <v>1694.4</v>
      </c>
      <c r="H40" s="11">
        <f t="shared" si="9"/>
        <v>1694.4</v>
      </c>
      <c r="I40" s="8">
        <v>1</v>
      </c>
      <c r="J40" s="8" t="s">
        <v>23</v>
      </c>
      <c r="K40" s="8" t="s">
        <v>29</v>
      </c>
      <c r="L40" s="11">
        <f t="shared" si="10"/>
        <v>27110.400000000001</v>
      </c>
      <c r="M40" s="9" t="s">
        <v>26</v>
      </c>
      <c r="N40" s="8" t="s">
        <v>42</v>
      </c>
      <c r="O40" s="8">
        <f>IFERROR(VLOOKUP(N40,Kurallar!$G$3:$H$22,2,0),0)</f>
        <v>15</v>
      </c>
    </row>
    <row r="41" spans="1:15" hidden="1" x14ac:dyDescent="0.25">
      <c r="A41" s="8">
        <v>5</v>
      </c>
      <c r="B41" s="9" t="str">
        <f t="shared" si="8"/>
        <v>ЩК_S1</v>
      </c>
      <c r="C41" s="9" t="s">
        <v>54</v>
      </c>
      <c r="D41" s="9" t="s">
        <v>93</v>
      </c>
      <c r="E41" s="10" t="s">
        <v>94</v>
      </c>
      <c r="F41" s="11">
        <v>783</v>
      </c>
      <c r="G41" s="11">
        <f>IF(F41="","",ROUND(F41*VLOOKUP(K41,Kurallar!$D$3:$E$14,2,0),2))</f>
        <v>469.8</v>
      </c>
      <c r="H41" s="11">
        <f t="shared" si="9"/>
        <v>469.8</v>
      </c>
      <c r="I41" s="8">
        <v>1</v>
      </c>
      <c r="J41" s="8" t="s">
        <v>23</v>
      </c>
      <c r="K41" s="8" t="s">
        <v>29</v>
      </c>
      <c r="L41" s="11">
        <f t="shared" si="10"/>
        <v>7516.8</v>
      </c>
      <c r="M41" s="9" t="s">
        <v>54</v>
      </c>
      <c r="N41" s="8" t="s">
        <v>57</v>
      </c>
      <c r="O41" s="8">
        <f>IFERROR(VLOOKUP(N41,Kurallar!$G$3:$H$22,2,0),0)</f>
        <v>3</v>
      </c>
    </row>
    <row r="42" spans="1:15" hidden="1" x14ac:dyDescent="0.25">
      <c r="A42" s="8">
        <v>5</v>
      </c>
      <c r="B42" s="9" t="str">
        <f t="shared" si="8"/>
        <v>ЩК_S1</v>
      </c>
      <c r="C42" s="9" t="s">
        <v>54</v>
      </c>
      <c r="D42" s="9" t="s">
        <v>95</v>
      </c>
      <c r="E42" s="10" t="s">
        <v>96</v>
      </c>
      <c r="F42" s="11">
        <v>796</v>
      </c>
      <c r="G42" s="11">
        <f>IF(F42="","",ROUND(F42*VLOOKUP(K42,Kurallar!$D$3:$E$14,2,0),2))</f>
        <v>477.6</v>
      </c>
      <c r="H42" s="11">
        <f t="shared" si="9"/>
        <v>1432.8000000000002</v>
      </c>
      <c r="I42" s="8">
        <v>3</v>
      </c>
      <c r="J42" s="8" t="s">
        <v>23</v>
      </c>
      <c r="K42" s="8" t="s">
        <v>29</v>
      </c>
      <c r="L42" s="11">
        <f t="shared" si="10"/>
        <v>22924.800000000003</v>
      </c>
      <c r="M42" s="9" t="s">
        <v>54</v>
      </c>
      <c r="N42" s="8" t="s">
        <v>57</v>
      </c>
      <c r="O42" s="8">
        <f>IFERROR(VLOOKUP(N42,Kurallar!$G$3:$H$22,2,0),0)</f>
        <v>3</v>
      </c>
    </row>
    <row r="43" spans="1:15" hidden="1" x14ac:dyDescent="0.25">
      <c r="A43" s="8">
        <v>5</v>
      </c>
      <c r="B43" s="9" t="str">
        <f t="shared" si="8"/>
        <v>ЩК_S1</v>
      </c>
      <c r="C43" s="9" t="s">
        <v>50</v>
      </c>
      <c r="D43" s="9" t="s">
        <v>97</v>
      </c>
      <c r="E43" s="10" t="s">
        <v>98</v>
      </c>
      <c r="F43" s="11">
        <v>5556</v>
      </c>
      <c r="G43" s="11">
        <f>IF(F43="","",ROUND(F43*VLOOKUP(K43,Kurallar!$D$3:$E$14,2,0),2))</f>
        <v>3333.6</v>
      </c>
      <c r="H43" s="11">
        <f t="shared" si="9"/>
        <v>6667.2</v>
      </c>
      <c r="I43" s="8">
        <v>2</v>
      </c>
      <c r="J43" s="8" t="s">
        <v>23</v>
      </c>
      <c r="K43" s="8" t="s">
        <v>29</v>
      </c>
      <c r="L43" s="11">
        <f t="shared" si="10"/>
        <v>106675.2</v>
      </c>
      <c r="M43" s="9" t="s">
        <v>50</v>
      </c>
      <c r="N43" s="8" t="s">
        <v>53</v>
      </c>
      <c r="O43" s="8">
        <f>IFERROR(VLOOKUP(N43,Kurallar!$G$3:$H$22,2,0),0)</f>
        <v>16</v>
      </c>
    </row>
    <row r="44" spans="1:15" hidden="1" x14ac:dyDescent="0.25">
      <c r="A44" s="8">
        <v>5</v>
      </c>
      <c r="B44" s="9" t="str">
        <f t="shared" si="8"/>
        <v>ЩК_S1</v>
      </c>
      <c r="C44" s="9" t="s">
        <v>50</v>
      </c>
      <c r="D44" s="9" t="s">
        <v>99</v>
      </c>
      <c r="E44" s="10" t="s">
        <v>100</v>
      </c>
      <c r="F44" s="11">
        <v>5632</v>
      </c>
      <c r="G44" s="11">
        <f>IF(F44="","",ROUND(F44*VLOOKUP(K44,Kurallar!$D$3:$E$14,2,0),2))</f>
        <v>3379.2</v>
      </c>
      <c r="H44" s="11">
        <f t="shared" si="9"/>
        <v>6758.4</v>
      </c>
      <c r="I44" s="8">
        <v>2</v>
      </c>
      <c r="J44" s="8" t="s">
        <v>23</v>
      </c>
      <c r="K44" s="8" t="s">
        <v>29</v>
      </c>
      <c r="L44" s="11">
        <f t="shared" si="10"/>
        <v>108134.39999999999</v>
      </c>
      <c r="M44" s="9" t="s">
        <v>50</v>
      </c>
      <c r="N44" s="8" t="s">
        <v>53</v>
      </c>
      <c r="O44" s="8">
        <f>IFERROR(VLOOKUP(N44,Kurallar!$G$3:$H$22,2,0),0)</f>
        <v>16</v>
      </c>
    </row>
    <row r="45" spans="1:15" hidden="1" x14ac:dyDescent="0.25">
      <c r="A45" s="8">
        <v>5</v>
      </c>
      <c r="B45" s="9" t="str">
        <f t="shared" si="8"/>
        <v>ЩК_S1</v>
      </c>
      <c r="C45" s="9" t="s">
        <v>58</v>
      </c>
      <c r="D45" s="9" t="s">
        <v>101</v>
      </c>
      <c r="E45" s="10" t="s">
        <v>102</v>
      </c>
      <c r="F45" s="11">
        <v>12834</v>
      </c>
      <c r="G45" s="11">
        <f>IF(F45="","",ROUND(F45*VLOOKUP(K45,Kurallar!$D$3:$E$14,2,0),2))</f>
        <v>7700.4</v>
      </c>
      <c r="H45" s="11">
        <f t="shared" si="9"/>
        <v>7700.4</v>
      </c>
      <c r="I45" s="8">
        <v>1</v>
      </c>
      <c r="J45" s="8" t="s">
        <v>23</v>
      </c>
      <c r="K45" s="8" t="s">
        <v>29</v>
      </c>
      <c r="L45" s="11">
        <f t="shared" si="10"/>
        <v>123206.39999999999</v>
      </c>
      <c r="M45" s="9" t="s">
        <v>58</v>
      </c>
      <c r="N45" s="8" t="s">
        <v>61</v>
      </c>
      <c r="O45" s="8">
        <f>IFERROR(VLOOKUP(N45,Kurallar!$G$3:$H$22,2,0),0)</f>
        <v>15</v>
      </c>
    </row>
    <row r="46" spans="1:15" hidden="1" x14ac:dyDescent="0.25">
      <c r="A46" s="8">
        <v>5</v>
      </c>
      <c r="B46" t="str">
        <f t="shared" si="8"/>
        <v>ЩК_S1</v>
      </c>
      <c r="C46" s="9" t="s">
        <v>31</v>
      </c>
      <c r="E46" s="9" t="s">
        <v>32</v>
      </c>
      <c r="F46" s="11"/>
      <c r="G46" s="11">
        <f>ROUND(SUM(H39:H45)*Kurallar!$B$2,2)</f>
        <v>4250.76</v>
      </c>
      <c r="H46" s="11">
        <f>G46*I46</f>
        <v>4250.76</v>
      </c>
      <c r="I46" s="8">
        <v>1</v>
      </c>
      <c r="J46" s="8" t="s">
        <v>19</v>
      </c>
      <c r="K46" s="8" t="s">
        <v>33</v>
      </c>
      <c r="L46" s="11">
        <f>H46*$I$38</f>
        <v>68012.160000000003</v>
      </c>
      <c r="M46" s="9" t="s">
        <v>31</v>
      </c>
    </row>
    <row r="47" spans="1:15" hidden="1" x14ac:dyDescent="0.25">
      <c r="A47" s="8">
        <v>5</v>
      </c>
      <c r="B47" t="str">
        <f t="shared" si="8"/>
        <v>ЩК_S1</v>
      </c>
      <c r="C47" s="9" t="s">
        <v>34</v>
      </c>
      <c r="E47" s="9" t="s">
        <v>35</v>
      </c>
      <c r="F47" s="11">
        <f>ROUND(I47/60,1)</f>
        <v>2.2000000000000002</v>
      </c>
      <c r="G47" s="11">
        <f>Kurallar!$B$3</f>
        <v>100</v>
      </c>
      <c r="H47" s="11">
        <f>G47*I47</f>
        <v>13100</v>
      </c>
      <c r="I47" s="8">
        <f>ROUND(SUMPRODUCT(I39:I45,O39:O45)*Kurallar!$B$4,0)</f>
        <v>131</v>
      </c>
      <c r="J47" s="8" t="s">
        <v>36</v>
      </c>
      <c r="K47" s="8" t="s">
        <v>33</v>
      </c>
      <c r="L47" s="11">
        <f>H47*$I$38</f>
        <v>209600</v>
      </c>
      <c r="M47" s="9" t="s">
        <v>34</v>
      </c>
    </row>
    <row r="48" spans="1:15" hidden="1" x14ac:dyDescent="0.25">
      <c r="A48" s="12"/>
      <c r="B48" s="13" t="s">
        <v>103</v>
      </c>
      <c r="C48" s="12"/>
      <c r="D48" s="12"/>
      <c r="E48" s="13" t="s">
        <v>104</v>
      </c>
      <c r="F48" s="12"/>
      <c r="G48" s="12"/>
      <c r="H48" s="14">
        <f>SUBTOTAL(9,H39:H47)</f>
        <v>0</v>
      </c>
      <c r="I48" s="15">
        <v>16</v>
      </c>
      <c r="J48" s="15" t="s">
        <v>19</v>
      </c>
      <c r="K48" s="12"/>
      <c r="L48" s="14">
        <f>SUBTOTAL(9,L39:L47)</f>
        <v>0</v>
      </c>
      <c r="M48" s="12"/>
      <c r="N48" s="12"/>
      <c r="O48" s="12"/>
    </row>
    <row r="49" spans="1:15" hidden="1" x14ac:dyDescent="0.25">
      <c r="A49" s="4">
        <v>6</v>
      </c>
      <c r="B49" s="5" t="s">
        <v>105</v>
      </c>
      <c r="C49" s="6" t="s">
        <v>18</v>
      </c>
      <c r="D49" s="6"/>
      <c r="E49" s="7" t="s">
        <v>105</v>
      </c>
      <c r="F49" s="6"/>
      <c r="G49" s="6"/>
      <c r="H49" s="6"/>
      <c r="I49" s="4">
        <v>16</v>
      </c>
      <c r="J49" s="4" t="s">
        <v>19</v>
      </c>
      <c r="K49" s="6"/>
      <c r="L49" s="6"/>
      <c r="M49" s="6"/>
      <c r="N49" s="6"/>
      <c r="O49" s="6"/>
    </row>
    <row r="50" spans="1:15" ht="24" hidden="1" x14ac:dyDescent="0.25">
      <c r="A50" s="8">
        <v>6</v>
      </c>
      <c r="B50" s="9" t="str">
        <f t="shared" ref="B50:B58" si="11">B49</f>
        <v>ЩК2_S1</v>
      </c>
      <c r="C50" s="9" t="s">
        <v>20</v>
      </c>
      <c r="D50" s="9" t="s">
        <v>774</v>
      </c>
      <c r="E50" s="10" t="s">
        <v>775</v>
      </c>
      <c r="F50" s="11">
        <v>10700</v>
      </c>
      <c r="G50" s="11">
        <f>IF(F50="","",ROUND(F50*VLOOKUP(K50,Kurallar!$D$3:$E$14,2,0),2))</f>
        <v>10700</v>
      </c>
      <c r="H50" s="11">
        <f t="shared" ref="H50:H56" si="12">IF(G50="","",G50*I50)</f>
        <v>10700</v>
      </c>
      <c r="I50" s="8">
        <v>1</v>
      </c>
      <c r="J50" s="8" t="s">
        <v>23</v>
      </c>
      <c r="K50" s="8" t="s">
        <v>776</v>
      </c>
      <c r="L50" s="11">
        <f t="shared" ref="L50:L56" si="13">IF(H50="","",H50*$I$49)</f>
        <v>171200</v>
      </c>
      <c r="M50" s="9" t="s">
        <v>20</v>
      </c>
      <c r="N50" s="8" t="s">
        <v>25</v>
      </c>
      <c r="O50" s="8">
        <f>IFERROR(VLOOKUP(N50,Kurallar!$G$3:$H$22,2,0),0)</f>
        <v>8</v>
      </c>
    </row>
    <row r="51" spans="1:15" hidden="1" x14ac:dyDescent="0.25">
      <c r="A51" s="8">
        <v>6</v>
      </c>
      <c r="B51" s="9" t="str">
        <f t="shared" si="11"/>
        <v>ЩК2_S1</v>
      </c>
      <c r="C51" s="9" t="s">
        <v>26</v>
      </c>
      <c r="D51" s="9" t="s">
        <v>772</v>
      </c>
      <c r="E51" s="10" t="s">
        <v>773</v>
      </c>
      <c r="F51" s="11">
        <v>2824</v>
      </c>
      <c r="G51" s="11">
        <f>IF(F51="","",ROUND(F51*VLOOKUP(K51,Kurallar!$D$3:$E$14,2,0),2))</f>
        <v>1694.4</v>
      </c>
      <c r="H51" s="11">
        <f t="shared" si="12"/>
        <v>1694.4</v>
      </c>
      <c r="I51" s="8">
        <v>1</v>
      </c>
      <c r="J51" s="8" t="s">
        <v>23</v>
      </c>
      <c r="K51" s="8" t="s">
        <v>29</v>
      </c>
      <c r="L51" s="11">
        <f t="shared" si="13"/>
        <v>27110.400000000001</v>
      </c>
      <c r="M51" s="9" t="s">
        <v>26</v>
      </c>
      <c r="N51" s="8" t="s">
        <v>42</v>
      </c>
      <c r="O51" s="8">
        <f>IFERROR(VLOOKUP(N51,Kurallar!$G$3:$H$22,2,0),0)</f>
        <v>15</v>
      </c>
    </row>
    <row r="52" spans="1:15" hidden="1" x14ac:dyDescent="0.25">
      <c r="A52" s="8">
        <v>6</v>
      </c>
      <c r="B52" s="9" t="str">
        <f t="shared" si="11"/>
        <v>ЩК2_S1</v>
      </c>
      <c r="C52" s="9" t="s">
        <v>54</v>
      </c>
      <c r="D52" s="9" t="s">
        <v>93</v>
      </c>
      <c r="E52" s="10" t="s">
        <v>94</v>
      </c>
      <c r="F52" s="11">
        <v>783</v>
      </c>
      <c r="G52" s="11">
        <f>IF(F52="","",ROUND(F52*VLOOKUP(K52,Kurallar!$D$3:$E$14,2,0),2))</f>
        <v>469.8</v>
      </c>
      <c r="H52" s="11">
        <f t="shared" si="12"/>
        <v>469.8</v>
      </c>
      <c r="I52" s="8">
        <v>1</v>
      </c>
      <c r="J52" s="8" t="s">
        <v>23</v>
      </c>
      <c r="K52" s="8" t="s">
        <v>29</v>
      </c>
      <c r="L52" s="11">
        <f t="shared" si="13"/>
        <v>7516.8</v>
      </c>
      <c r="M52" s="9" t="s">
        <v>54</v>
      </c>
      <c r="N52" s="8" t="s">
        <v>57</v>
      </c>
      <c r="O52" s="8">
        <f>IFERROR(VLOOKUP(N52,Kurallar!$G$3:$H$22,2,0),0)</f>
        <v>3</v>
      </c>
    </row>
    <row r="53" spans="1:15" hidden="1" x14ac:dyDescent="0.25">
      <c r="A53" s="8">
        <v>6</v>
      </c>
      <c r="B53" s="9" t="str">
        <f t="shared" si="11"/>
        <v>ЩК2_S1</v>
      </c>
      <c r="C53" s="9" t="s">
        <v>54</v>
      </c>
      <c r="D53" s="9" t="s">
        <v>95</v>
      </c>
      <c r="E53" s="10" t="s">
        <v>96</v>
      </c>
      <c r="F53" s="11">
        <v>796</v>
      </c>
      <c r="G53" s="11">
        <f>IF(F53="","",ROUND(F53*VLOOKUP(K53,Kurallar!$D$3:$E$14,2,0),2))</f>
        <v>477.6</v>
      </c>
      <c r="H53" s="11">
        <f t="shared" si="12"/>
        <v>1910.4</v>
      </c>
      <c r="I53" s="8">
        <v>4</v>
      </c>
      <c r="J53" s="8" t="s">
        <v>23</v>
      </c>
      <c r="K53" s="8" t="s">
        <v>29</v>
      </c>
      <c r="L53" s="11">
        <f t="shared" si="13"/>
        <v>30566.400000000001</v>
      </c>
      <c r="M53" s="9" t="s">
        <v>54</v>
      </c>
      <c r="N53" s="8" t="s">
        <v>57</v>
      </c>
      <c r="O53" s="8">
        <f>IFERROR(VLOOKUP(N53,Kurallar!$G$3:$H$22,2,0),0)</f>
        <v>3</v>
      </c>
    </row>
    <row r="54" spans="1:15" hidden="1" x14ac:dyDescent="0.25">
      <c r="A54" s="8">
        <v>6</v>
      </c>
      <c r="B54" s="9" t="str">
        <f t="shared" si="11"/>
        <v>ЩК2_S1</v>
      </c>
      <c r="C54" s="9" t="s">
        <v>50</v>
      </c>
      <c r="D54" s="9" t="s">
        <v>97</v>
      </c>
      <c r="E54" s="10" t="s">
        <v>98</v>
      </c>
      <c r="F54" s="11">
        <v>5556</v>
      </c>
      <c r="G54" s="11">
        <f>IF(F54="","",ROUND(F54*VLOOKUP(K54,Kurallar!$D$3:$E$14,2,0),2))</f>
        <v>3333.6</v>
      </c>
      <c r="H54" s="11">
        <f t="shared" si="12"/>
        <v>6667.2</v>
      </c>
      <c r="I54" s="8">
        <v>2</v>
      </c>
      <c r="J54" s="8" t="s">
        <v>23</v>
      </c>
      <c r="K54" s="8" t="s">
        <v>29</v>
      </c>
      <c r="L54" s="11">
        <f t="shared" si="13"/>
        <v>106675.2</v>
      </c>
      <c r="M54" s="9" t="s">
        <v>50</v>
      </c>
      <c r="N54" s="8" t="s">
        <v>53</v>
      </c>
      <c r="O54" s="8">
        <f>IFERROR(VLOOKUP(N54,Kurallar!$G$3:$H$22,2,0),0)</f>
        <v>16</v>
      </c>
    </row>
    <row r="55" spans="1:15" hidden="1" x14ac:dyDescent="0.25">
      <c r="A55" s="8">
        <v>6</v>
      </c>
      <c r="B55" s="9" t="str">
        <f t="shared" si="11"/>
        <v>ЩК2_S1</v>
      </c>
      <c r="C55" s="9" t="s">
        <v>50</v>
      </c>
      <c r="D55" s="9" t="s">
        <v>99</v>
      </c>
      <c r="E55" s="10" t="s">
        <v>100</v>
      </c>
      <c r="F55" s="11">
        <v>5632</v>
      </c>
      <c r="G55" s="11">
        <f>IF(F55="","",ROUND(F55*VLOOKUP(K55,Kurallar!$D$3:$E$14,2,0),2))</f>
        <v>3379.2</v>
      </c>
      <c r="H55" s="11">
        <f t="shared" si="12"/>
        <v>6758.4</v>
      </c>
      <c r="I55" s="8">
        <v>2</v>
      </c>
      <c r="J55" s="8" t="s">
        <v>23</v>
      </c>
      <c r="K55" s="8" t="s">
        <v>29</v>
      </c>
      <c r="L55" s="11">
        <f t="shared" si="13"/>
        <v>108134.39999999999</v>
      </c>
      <c r="M55" s="9" t="s">
        <v>50</v>
      </c>
      <c r="N55" s="8" t="s">
        <v>53</v>
      </c>
      <c r="O55" s="8">
        <f>IFERROR(VLOOKUP(N55,Kurallar!$G$3:$H$22,2,0),0)</f>
        <v>16</v>
      </c>
    </row>
    <row r="56" spans="1:15" hidden="1" x14ac:dyDescent="0.25">
      <c r="A56" s="8">
        <v>6</v>
      </c>
      <c r="B56" s="9" t="str">
        <f t="shared" si="11"/>
        <v>ЩК2_S1</v>
      </c>
      <c r="C56" s="9" t="s">
        <v>58</v>
      </c>
      <c r="D56" s="9" t="s">
        <v>101</v>
      </c>
      <c r="E56" s="10" t="s">
        <v>102</v>
      </c>
      <c r="F56" s="11">
        <v>12834</v>
      </c>
      <c r="G56" s="11">
        <f>IF(F56="","",ROUND(F56*VLOOKUP(K56,Kurallar!$D$3:$E$14,2,0),2))</f>
        <v>7700.4</v>
      </c>
      <c r="H56" s="11">
        <f t="shared" si="12"/>
        <v>7700.4</v>
      </c>
      <c r="I56" s="8">
        <v>1</v>
      </c>
      <c r="J56" s="8" t="s">
        <v>23</v>
      </c>
      <c r="K56" s="8" t="s">
        <v>29</v>
      </c>
      <c r="L56" s="11">
        <f t="shared" si="13"/>
        <v>123206.39999999999</v>
      </c>
      <c r="M56" s="9" t="s">
        <v>58</v>
      </c>
      <c r="N56" s="8" t="s">
        <v>61</v>
      </c>
      <c r="O56" s="8">
        <f>IFERROR(VLOOKUP(N56,Kurallar!$G$3:$H$22,2,0),0)</f>
        <v>15</v>
      </c>
    </row>
    <row r="57" spans="1:15" hidden="1" x14ac:dyDescent="0.25">
      <c r="A57" s="8">
        <v>6</v>
      </c>
      <c r="B57" t="str">
        <f t="shared" si="11"/>
        <v>ЩК2_S1</v>
      </c>
      <c r="C57" s="9" t="s">
        <v>31</v>
      </c>
      <c r="E57" s="9" t="s">
        <v>32</v>
      </c>
      <c r="F57" s="11"/>
      <c r="G57" s="11">
        <f>ROUND(SUM(H50:H56)*Kurallar!$B$2,2)</f>
        <v>4308.07</v>
      </c>
      <c r="H57" s="11">
        <f>G57*I57</f>
        <v>4308.07</v>
      </c>
      <c r="I57" s="8">
        <v>1</v>
      </c>
      <c r="J57" s="8" t="s">
        <v>19</v>
      </c>
      <c r="K57" s="8" t="s">
        <v>33</v>
      </c>
      <c r="L57" s="11">
        <f>H57*$I$49</f>
        <v>68929.119999999995</v>
      </c>
      <c r="M57" s="9" t="s">
        <v>31</v>
      </c>
    </row>
    <row r="58" spans="1:15" hidden="1" x14ac:dyDescent="0.25">
      <c r="A58" s="8">
        <v>6</v>
      </c>
      <c r="B58" t="str">
        <f t="shared" si="11"/>
        <v>ЩК2_S1</v>
      </c>
      <c r="C58" s="9" t="s">
        <v>34</v>
      </c>
      <c r="E58" s="9" t="s">
        <v>35</v>
      </c>
      <c r="F58" s="11">
        <f>ROUND(I58/60,1)</f>
        <v>2.2999999999999998</v>
      </c>
      <c r="G58" s="11">
        <f>Kurallar!$B$3</f>
        <v>100</v>
      </c>
      <c r="H58" s="11">
        <f>G58*I58</f>
        <v>13500</v>
      </c>
      <c r="I58" s="8">
        <f>ROUND(SUMPRODUCT(I50:I56,O50:O56)*Kurallar!$B$4,0)</f>
        <v>135</v>
      </c>
      <c r="J58" s="8" t="s">
        <v>36</v>
      </c>
      <c r="K58" s="8" t="s">
        <v>33</v>
      </c>
      <c r="L58" s="11">
        <f>H58*$I$49</f>
        <v>216000</v>
      </c>
      <c r="M58" s="9" t="s">
        <v>34</v>
      </c>
    </row>
    <row r="59" spans="1:15" hidden="1" x14ac:dyDescent="0.25">
      <c r="A59" s="12"/>
      <c r="B59" s="13" t="s">
        <v>106</v>
      </c>
      <c r="C59" s="12"/>
      <c r="D59" s="12"/>
      <c r="E59" s="13" t="s">
        <v>107</v>
      </c>
      <c r="F59" s="12"/>
      <c r="G59" s="12"/>
      <c r="H59" s="14">
        <f>SUBTOTAL(9,H50:H58)</f>
        <v>0</v>
      </c>
      <c r="I59" s="15">
        <v>16</v>
      </c>
      <c r="J59" s="15" t="s">
        <v>19</v>
      </c>
      <c r="K59" s="12"/>
      <c r="L59" s="14">
        <f>SUBTOTAL(9,L50:L58)</f>
        <v>0</v>
      </c>
      <c r="M59" s="12"/>
      <c r="N59" s="12"/>
      <c r="O59" s="12"/>
    </row>
    <row r="60" spans="1:15" hidden="1" x14ac:dyDescent="0.25">
      <c r="A60" s="4">
        <v>7</v>
      </c>
      <c r="B60" s="5" t="s">
        <v>108</v>
      </c>
      <c r="C60" s="6" t="s">
        <v>18</v>
      </c>
      <c r="D60" s="6"/>
      <c r="E60" s="7" t="s">
        <v>108</v>
      </c>
      <c r="F60" s="6"/>
      <c r="G60" s="6"/>
      <c r="H60" s="6"/>
      <c r="I60" s="4">
        <v>1</v>
      </c>
      <c r="J60" s="4" t="s">
        <v>19</v>
      </c>
      <c r="K60" s="6"/>
      <c r="L60" s="6"/>
      <c r="M60" s="6"/>
      <c r="N60" s="6"/>
      <c r="O60" s="6"/>
    </row>
    <row r="61" spans="1:15" hidden="1" x14ac:dyDescent="0.25">
      <c r="A61" s="8">
        <v>7</v>
      </c>
      <c r="B61" s="9" t="str">
        <f t="shared" ref="B61:B73" si="14">B60</f>
        <v>ПД1 (ШУН/В-R3 2,2 квТ) (S1)</v>
      </c>
      <c r="C61" s="9" t="s">
        <v>20</v>
      </c>
      <c r="D61" s="9" t="s">
        <v>109</v>
      </c>
      <c r="E61" s="10" t="s">
        <v>110</v>
      </c>
      <c r="F61" s="11">
        <v>10305</v>
      </c>
      <c r="G61" s="11">
        <f>IF(F61="","",ROUND(F61*VLOOKUP(K61,Kurallar!$D$3:$E$14,2,0),2))</f>
        <v>6183</v>
      </c>
      <c r="H61" s="11">
        <f t="shared" ref="H61:H71" si="15">IF(G61="","",G61*I61)</f>
        <v>6183</v>
      </c>
      <c r="I61" s="8">
        <v>1</v>
      </c>
      <c r="J61" s="8" t="s">
        <v>23</v>
      </c>
      <c r="K61" s="8" t="s">
        <v>24</v>
      </c>
      <c r="L61" s="11">
        <f t="shared" ref="L61:L71" si="16">IF(H61="","",H61*$I$60)</f>
        <v>6183</v>
      </c>
      <c r="M61" s="9" t="s">
        <v>20</v>
      </c>
      <c r="N61" s="8" t="s">
        <v>25</v>
      </c>
      <c r="O61" s="8">
        <f>IFERROR(VLOOKUP(N61,Kurallar!$G$3:$H$22,2,0),0)</f>
        <v>8</v>
      </c>
    </row>
    <row r="62" spans="1:15" hidden="1" x14ac:dyDescent="0.25">
      <c r="A62" s="8">
        <v>7</v>
      </c>
      <c r="B62" s="9" t="str">
        <f t="shared" si="14"/>
        <v>ПД1 (ШУН/В-R3 2,2 квТ) (S1)</v>
      </c>
      <c r="C62" s="9" t="s">
        <v>54</v>
      </c>
      <c r="D62" s="9" t="s">
        <v>111</v>
      </c>
      <c r="E62" s="10" t="s">
        <v>112</v>
      </c>
      <c r="F62" s="11">
        <v>3644</v>
      </c>
      <c r="G62" s="11">
        <f>IF(F62="","",ROUND(F62*VLOOKUP(K62,Kurallar!$D$3:$E$14,2,0),2))</f>
        <v>2186.4</v>
      </c>
      <c r="H62" s="11">
        <f t="shared" si="15"/>
        <v>2186.4</v>
      </c>
      <c r="I62" s="8">
        <v>1</v>
      </c>
      <c r="J62" s="8" t="s">
        <v>23</v>
      </c>
      <c r="K62" s="8" t="s">
        <v>29</v>
      </c>
      <c r="L62" s="11">
        <f t="shared" si="16"/>
        <v>2186.4</v>
      </c>
      <c r="M62" s="9" t="s">
        <v>54</v>
      </c>
      <c r="N62" s="8" t="s">
        <v>113</v>
      </c>
      <c r="O62" s="8">
        <f>IFERROR(VLOOKUP(N62,Kurallar!$G$3:$H$22,2,0),0)</f>
        <v>10</v>
      </c>
    </row>
    <row r="63" spans="1:15" hidden="1" x14ac:dyDescent="0.25">
      <c r="A63" s="8">
        <v>7</v>
      </c>
      <c r="B63" s="9" t="str">
        <f t="shared" si="14"/>
        <v>ПД1 (ШУН/В-R3 2,2 квТ) (S1)</v>
      </c>
      <c r="C63" s="9" t="s">
        <v>58</v>
      </c>
      <c r="D63" s="9" t="s">
        <v>114</v>
      </c>
      <c r="E63" s="10" t="s">
        <v>115</v>
      </c>
      <c r="F63" s="11">
        <v>5214</v>
      </c>
      <c r="G63" s="11">
        <f>IF(F63="","",ROUND(F63*VLOOKUP(K63,Kurallar!$D$3:$E$14,2,0),2))</f>
        <v>3128.4</v>
      </c>
      <c r="H63" s="11">
        <f t="shared" si="15"/>
        <v>3128.4</v>
      </c>
      <c r="I63" s="8">
        <v>1</v>
      </c>
      <c r="J63" s="8" t="s">
        <v>23</v>
      </c>
      <c r="K63" s="8" t="s">
        <v>29</v>
      </c>
      <c r="L63" s="11">
        <f t="shared" si="16"/>
        <v>3128.4</v>
      </c>
      <c r="M63" s="9" t="s">
        <v>58</v>
      </c>
      <c r="N63" s="8" t="s">
        <v>61</v>
      </c>
      <c r="O63" s="8">
        <f>IFERROR(VLOOKUP(N63,Kurallar!$G$3:$H$22,2,0),0)</f>
        <v>15</v>
      </c>
    </row>
    <row r="64" spans="1:15" hidden="1" x14ac:dyDescent="0.25">
      <c r="A64" s="8">
        <v>7</v>
      </c>
      <c r="B64" s="9" t="str">
        <f t="shared" si="14"/>
        <v>ПД1 (ШУН/В-R3 2,2 квТ) (S1)</v>
      </c>
      <c r="C64" s="9" t="s">
        <v>86</v>
      </c>
      <c r="D64" s="9" t="s">
        <v>116</v>
      </c>
      <c r="E64" s="10" t="s">
        <v>117</v>
      </c>
      <c r="F64" s="11">
        <v>571</v>
      </c>
      <c r="G64" s="11">
        <f>IF(F64="","",ROUND(F64*VLOOKUP(K64,Kurallar!$D$3:$E$14,2,0),2))</f>
        <v>342.6</v>
      </c>
      <c r="H64" s="11">
        <f t="shared" si="15"/>
        <v>342.6</v>
      </c>
      <c r="I64" s="8">
        <v>1</v>
      </c>
      <c r="J64" s="8" t="s">
        <v>23</v>
      </c>
      <c r="K64" s="8" t="s">
        <v>29</v>
      </c>
      <c r="L64" s="11">
        <f t="shared" si="16"/>
        <v>342.6</v>
      </c>
      <c r="M64" s="9" t="s">
        <v>86</v>
      </c>
      <c r="N64" s="8" t="s">
        <v>89</v>
      </c>
      <c r="O64" s="8">
        <f>IFERROR(VLOOKUP(N64,Kurallar!$G$3:$H$22,2,0),0)</f>
        <v>5</v>
      </c>
    </row>
    <row r="65" spans="1:15" hidden="1" x14ac:dyDescent="0.25">
      <c r="A65" s="8">
        <v>7</v>
      </c>
      <c r="B65" s="9" t="str">
        <f t="shared" si="14"/>
        <v>ПД1 (ШУН/В-R3 2,2 квТ) (S1)</v>
      </c>
      <c r="C65" s="9" t="s">
        <v>86</v>
      </c>
      <c r="D65" s="9" t="s">
        <v>118</v>
      </c>
      <c r="E65" s="10" t="s">
        <v>119</v>
      </c>
      <c r="F65" s="11">
        <v>589</v>
      </c>
      <c r="G65" s="11">
        <f>IF(F65="","",ROUND(F65*VLOOKUP(K65,Kurallar!$D$3:$E$14,2,0),2))</f>
        <v>353.4</v>
      </c>
      <c r="H65" s="11">
        <f t="shared" si="15"/>
        <v>353.4</v>
      </c>
      <c r="I65" s="8">
        <v>1</v>
      </c>
      <c r="J65" s="8" t="s">
        <v>23</v>
      </c>
      <c r="K65" s="8" t="s">
        <v>29</v>
      </c>
      <c r="L65" s="11">
        <f t="shared" si="16"/>
        <v>353.4</v>
      </c>
      <c r="M65" s="9" t="s">
        <v>86</v>
      </c>
      <c r="N65" s="8" t="s">
        <v>89</v>
      </c>
      <c r="O65" s="8">
        <f>IFERROR(VLOOKUP(N65,Kurallar!$G$3:$H$22,2,0),0)</f>
        <v>5</v>
      </c>
    </row>
    <row r="66" spans="1:15" hidden="1" x14ac:dyDescent="0.25">
      <c r="A66" s="8">
        <v>7</v>
      </c>
      <c r="B66" s="9" t="str">
        <f t="shared" si="14"/>
        <v>ПД1 (ШУН/В-R3 2,2 квТ) (S1)</v>
      </c>
      <c r="C66" s="9" t="s">
        <v>86</v>
      </c>
      <c r="D66" s="9" t="s">
        <v>120</v>
      </c>
      <c r="E66" s="10" t="s">
        <v>121</v>
      </c>
      <c r="F66" s="11">
        <v>571</v>
      </c>
      <c r="G66" s="11">
        <f>IF(F66="","",ROUND(F66*VLOOKUP(K66,Kurallar!$D$3:$E$14,2,0),2))</f>
        <v>342.6</v>
      </c>
      <c r="H66" s="11">
        <f t="shared" si="15"/>
        <v>342.6</v>
      </c>
      <c r="I66" s="8">
        <v>1</v>
      </c>
      <c r="J66" s="8" t="s">
        <v>23</v>
      </c>
      <c r="K66" s="8" t="s">
        <v>29</v>
      </c>
      <c r="L66" s="11">
        <f t="shared" si="16"/>
        <v>342.6</v>
      </c>
      <c r="M66" s="9" t="s">
        <v>86</v>
      </c>
      <c r="N66" s="8" t="s">
        <v>89</v>
      </c>
      <c r="O66" s="8">
        <f>IFERROR(VLOOKUP(N66,Kurallar!$G$3:$H$22,2,0),0)</f>
        <v>5</v>
      </c>
    </row>
    <row r="67" spans="1:15" hidden="1" x14ac:dyDescent="0.25">
      <c r="A67" s="8">
        <v>7</v>
      </c>
      <c r="B67" s="9" t="str">
        <f t="shared" si="14"/>
        <v>ПД1 (ШУН/В-R3 2,2 квТ) (S1)</v>
      </c>
      <c r="C67" s="9" t="s">
        <v>54</v>
      </c>
      <c r="D67" s="9" t="s">
        <v>122</v>
      </c>
      <c r="E67" s="10" t="s">
        <v>123</v>
      </c>
      <c r="F67" s="11">
        <v>1086</v>
      </c>
      <c r="G67" s="11">
        <f>IF(F67="","",ROUND(F67*VLOOKUP(K67,Kurallar!$D$3:$E$14,2,0),2))</f>
        <v>651.6</v>
      </c>
      <c r="H67" s="11">
        <f t="shared" si="15"/>
        <v>1303.2</v>
      </c>
      <c r="I67" s="8">
        <v>2</v>
      </c>
      <c r="J67" s="8" t="s">
        <v>23</v>
      </c>
      <c r="K67" s="8" t="s">
        <v>29</v>
      </c>
      <c r="L67" s="11">
        <f t="shared" si="16"/>
        <v>1303.2</v>
      </c>
      <c r="M67" s="9" t="s">
        <v>54</v>
      </c>
      <c r="N67" s="8" t="s">
        <v>57</v>
      </c>
      <c r="O67" s="8">
        <f>IFERROR(VLOOKUP(N67,Kurallar!$G$3:$H$22,2,0),0)</f>
        <v>3</v>
      </c>
    </row>
    <row r="68" spans="1:15" hidden="1" x14ac:dyDescent="0.25">
      <c r="A68" s="8">
        <v>7</v>
      </c>
      <c r="B68" s="9" t="str">
        <f t="shared" si="14"/>
        <v>ПД1 (ШУН/В-R3 2,2 квТ) (S1)</v>
      </c>
      <c r="C68" s="9" t="s">
        <v>62</v>
      </c>
      <c r="D68" s="9" t="s">
        <v>124</v>
      </c>
      <c r="E68" s="10" t="s">
        <v>125</v>
      </c>
      <c r="F68" s="11">
        <v>4315</v>
      </c>
      <c r="G68" s="11">
        <f>IF(F68="","",ROUND(F68*VLOOKUP(K68,Kurallar!$D$3:$E$14,2,0),2))</f>
        <v>2589</v>
      </c>
      <c r="H68" s="11">
        <f t="shared" si="15"/>
        <v>2589</v>
      </c>
      <c r="I68" s="8">
        <v>1</v>
      </c>
      <c r="J68" s="8" t="s">
        <v>23</v>
      </c>
      <c r="K68" s="8" t="s">
        <v>29</v>
      </c>
      <c r="L68" s="11">
        <f t="shared" si="16"/>
        <v>2589</v>
      </c>
      <c r="M68" s="9" t="s">
        <v>62</v>
      </c>
      <c r="N68" s="8" t="s">
        <v>66</v>
      </c>
      <c r="O68" s="8">
        <f>IFERROR(VLOOKUP(N68,Kurallar!$G$3:$H$22,2,0),0)</f>
        <v>5</v>
      </c>
    </row>
    <row r="69" spans="1:15" hidden="1" x14ac:dyDescent="0.25">
      <c r="A69" s="8">
        <v>7</v>
      </c>
      <c r="B69" s="9" t="str">
        <f t="shared" si="14"/>
        <v>ПД1 (ШУН/В-R3 2,2 квТ) (S1)</v>
      </c>
      <c r="C69" s="9" t="s">
        <v>58</v>
      </c>
      <c r="D69" s="9" t="s">
        <v>126</v>
      </c>
      <c r="E69" s="10" t="s">
        <v>127</v>
      </c>
      <c r="F69" s="11">
        <v>2177</v>
      </c>
      <c r="G69" s="11">
        <f>IF(F69="","",ROUND(F69*VLOOKUP(K69,Kurallar!$D$3:$E$14,2,0),2))</f>
        <v>1306.2</v>
      </c>
      <c r="H69" s="11">
        <f t="shared" si="15"/>
        <v>1306.2</v>
      </c>
      <c r="I69" s="8">
        <v>1</v>
      </c>
      <c r="J69" s="8" t="s">
        <v>23</v>
      </c>
      <c r="K69" s="8" t="s">
        <v>29</v>
      </c>
      <c r="L69" s="11">
        <f t="shared" si="16"/>
        <v>1306.2</v>
      </c>
      <c r="M69" s="9" t="s">
        <v>58</v>
      </c>
      <c r="N69" s="8" t="s">
        <v>61</v>
      </c>
      <c r="O69" s="8">
        <f>IFERROR(VLOOKUP(N69,Kurallar!$G$3:$H$22,2,0),0)</f>
        <v>15</v>
      </c>
    </row>
    <row r="70" spans="1:15" hidden="1" x14ac:dyDescent="0.25">
      <c r="A70" s="8">
        <v>7</v>
      </c>
      <c r="B70" s="9" t="str">
        <f t="shared" si="14"/>
        <v>ПД1 (ШУН/В-R3 2,2 квТ) (S1)</v>
      </c>
      <c r="C70" s="9" t="s">
        <v>62</v>
      </c>
      <c r="D70" s="9" t="s">
        <v>128</v>
      </c>
      <c r="E70" s="10" t="s">
        <v>129</v>
      </c>
      <c r="F70" s="11">
        <v>1565</v>
      </c>
      <c r="G70" s="11">
        <f>IF(F70="","",ROUND(F70*VLOOKUP(K70,Kurallar!$D$3:$E$14,2,0),2))</f>
        <v>939</v>
      </c>
      <c r="H70" s="11">
        <f t="shared" si="15"/>
        <v>1878</v>
      </c>
      <c r="I70" s="8">
        <v>2</v>
      </c>
      <c r="J70" s="8" t="s">
        <v>23</v>
      </c>
      <c r="K70" s="8" t="s">
        <v>29</v>
      </c>
      <c r="L70" s="11">
        <f t="shared" si="16"/>
        <v>1878</v>
      </c>
      <c r="M70" s="9" t="s">
        <v>62</v>
      </c>
      <c r="N70" s="8" t="s">
        <v>66</v>
      </c>
      <c r="O70" s="8">
        <f>IFERROR(VLOOKUP(N70,Kurallar!$G$3:$H$22,2,0),0)</f>
        <v>5</v>
      </c>
    </row>
    <row r="71" spans="1:15" hidden="1" x14ac:dyDescent="0.25">
      <c r="A71" s="8">
        <v>7</v>
      </c>
      <c r="B71" s="9" t="str">
        <f t="shared" si="14"/>
        <v>ПД1 (ШУН/В-R3 2,2 квТ) (S1)</v>
      </c>
      <c r="C71" s="9" t="s">
        <v>86</v>
      </c>
      <c r="D71" s="9" t="s">
        <v>130</v>
      </c>
      <c r="E71" s="10" t="s">
        <v>131</v>
      </c>
      <c r="F71" s="11">
        <v>682</v>
      </c>
      <c r="G71" s="11">
        <f>IF(F71="","",ROUND(F71*VLOOKUP(K71,Kurallar!$D$3:$E$14,2,0),2))</f>
        <v>409.2</v>
      </c>
      <c r="H71" s="11">
        <f t="shared" si="15"/>
        <v>818.4</v>
      </c>
      <c r="I71" s="8">
        <v>2</v>
      </c>
      <c r="J71" s="8" t="s">
        <v>23</v>
      </c>
      <c r="K71" s="8" t="s">
        <v>29</v>
      </c>
      <c r="L71" s="11">
        <f t="shared" si="16"/>
        <v>818.4</v>
      </c>
      <c r="M71" s="9" t="s">
        <v>86</v>
      </c>
      <c r="N71" s="8" t="s">
        <v>89</v>
      </c>
      <c r="O71" s="8">
        <f>IFERROR(VLOOKUP(N71,Kurallar!$G$3:$H$22,2,0),0)</f>
        <v>5</v>
      </c>
    </row>
    <row r="72" spans="1:15" hidden="1" x14ac:dyDescent="0.25">
      <c r="A72" s="8">
        <v>7</v>
      </c>
      <c r="B72" t="str">
        <f t="shared" si="14"/>
        <v>ПД1 (ШУН/В-R3 2,2 квТ) (S1)</v>
      </c>
      <c r="C72" s="9" t="s">
        <v>31</v>
      </c>
      <c r="E72" s="9" t="s">
        <v>32</v>
      </c>
      <c r="F72" s="11"/>
      <c r="G72" s="11">
        <f>ROUND(SUM(H61:H71)*Kurallar!$B$2,2)</f>
        <v>2451.7399999999998</v>
      </c>
      <c r="H72" s="11">
        <f>G72*I72</f>
        <v>2451.7399999999998</v>
      </c>
      <c r="I72" s="8">
        <v>1</v>
      </c>
      <c r="J72" s="8" t="s">
        <v>19</v>
      </c>
      <c r="K72" s="8" t="s">
        <v>33</v>
      </c>
      <c r="L72" s="11">
        <f>H72*$I$60</f>
        <v>2451.7399999999998</v>
      </c>
      <c r="M72" s="9" t="s">
        <v>31</v>
      </c>
    </row>
    <row r="73" spans="1:15" hidden="1" x14ac:dyDescent="0.25">
      <c r="A73" s="8">
        <v>7</v>
      </c>
      <c r="B73" t="str">
        <f t="shared" si="14"/>
        <v>ПД1 (ШУН/В-R3 2,2 квТ) (S1)</v>
      </c>
      <c r="C73" s="9" t="s">
        <v>34</v>
      </c>
      <c r="E73" s="9" t="s">
        <v>35</v>
      </c>
      <c r="F73" s="11">
        <f>ROUND(I73/60,1)</f>
        <v>1.8</v>
      </c>
      <c r="G73" s="11">
        <f>Kurallar!$B$3</f>
        <v>100</v>
      </c>
      <c r="H73" s="11">
        <f>G73*I73</f>
        <v>10800</v>
      </c>
      <c r="I73" s="8">
        <f>ROUND(SUMPRODUCT(I61:I71,O61:O71)*Kurallar!$B$4,0)</f>
        <v>108</v>
      </c>
      <c r="J73" s="8" t="s">
        <v>36</v>
      </c>
      <c r="K73" s="8" t="s">
        <v>33</v>
      </c>
      <c r="L73" s="11">
        <f>H73*$I$60</f>
        <v>10800</v>
      </c>
      <c r="M73" s="9" t="s">
        <v>34</v>
      </c>
    </row>
    <row r="74" spans="1:15" hidden="1" x14ac:dyDescent="0.25">
      <c r="A74" s="12"/>
      <c r="B74" s="13" t="s">
        <v>132</v>
      </c>
      <c r="C74" s="12"/>
      <c r="D74" s="12"/>
      <c r="E74" s="13" t="s">
        <v>133</v>
      </c>
      <c r="F74" s="12"/>
      <c r="G74" s="12"/>
      <c r="H74" s="14">
        <f>SUBTOTAL(9,H61:H73)</f>
        <v>0</v>
      </c>
      <c r="I74" s="15">
        <v>1</v>
      </c>
      <c r="J74" s="15" t="s">
        <v>19</v>
      </c>
      <c r="K74" s="12"/>
      <c r="L74" s="14">
        <f>SUBTOTAL(9,L61:L73)</f>
        <v>0</v>
      </c>
      <c r="M74" s="12"/>
      <c r="N74" s="12"/>
      <c r="O74" s="12"/>
    </row>
    <row r="75" spans="1:15" hidden="1" x14ac:dyDescent="0.25">
      <c r="A75" s="4">
        <v>8</v>
      </c>
      <c r="B75" s="5" t="s">
        <v>134</v>
      </c>
      <c r="C75" s="6" t="s">
        <v>18</v>
      </c>
      <c r="D75" s="6"/>
      <c r="E75" s="7" t="s">
        <v>134</v>
      </c>
      <c r="F75" s="6"/>
      <c r="G75" s="6"/>
      <c r="H75" s="6"/>
      <c r="I75" s="4">
        <v>1</v>
      </c>
      <c r="J75" s="4" t="s">
        <v>19</v>
      </c>
      <c r="K75" s="6"/>
      <c r="L75" s="6"/>
      <c r="M75" s="6"/>
      <c r="N75" s="6"/>
      <c r="O75" s="6"/>
    </row>
    <row r="76" spans="1:15" hidden="1" x14ac:dyDescent="0.25">
      <c r="A76" s="8">
        <v>8</v>
      </c>
      <c r="B76" s="9" t="str">
        <f t="shared" ref="B76:B79" si="17">B75</f>
        <v>В1 (S1)</v>
      </c>
      <c r="C76" s="16" t="s">
        <v>135</v>
      </c>
      <c r="D76" s="9"/>
      <c r="E76" s="10" t="s">
        <v>136</v>
      </c>
      <c r="F76" s="9"/>
      <c r="G76" s="9"/>
      <c r="H76" s="9"/>
      <c r="I76" s="8">
        <v>1</v>
      </c>
      <c r="J76" s="8" t="s">
        <v>23</v>
      </c>
      <c r="K76" s="8" t="s">
        <v>137</v>
      </c>
      <c r="L76" s="9"/>
      <c r="M76" s="9" t="s">
        <v>20</v>
      </c>
      <c r="N76" s="8" t="s">
        <v>25</v>
      </c>
      <c r="O76" s="8">
        <f>IFERROR(VLOOKUP(N76,Kurallar!$G$3:$H$22,2,0),0)</f>
        <v>8</v>
      </c>
    </row>
    <row r="77" spans="1:15" hidden="1" x14ac:dyDescent="0.25">
      <c r="A77" s="8">
        <v>8</v>
      </c>
      <c r="B77" s="9" t="str">
        <f t="shared" si="17"/>
        <v>В1 (S1)</v>
      </c>
      <c r="C77" s="16" t="s">
        <v>750</v>
      </c>
      <c r="D77" s="9"/>
      <c r="E77" s="10" t="s">
        <v>138</v>
      </c>
      <c r="F77" s="9">
        <v>21500</v>
      </c>
      <c r="G77" s="9">
        <f>F77</f>
        <v>21500</v>
      </c>
      <c r="H77" s="9">
        <f>G77*I77</f>
        <v>21500</v>
      </c>
      <c r="I77" s="8">
        <v>1</v>
      </c>
      <c r="J77" s="8" t="s">
        <v>23</v>
      </c>
      <c r="K77" s="8" t="s">
        <v>139</v>
      </c>
      <c r="L77" s="9"/>
      <c r="M77" s="9" t="s">
        <v>58</v>
      </c>
      <c r="N77" s="8" t="s">
        <v>61</v>
      </c>
      <c r="O77" s="8">
        <f>IFERROR(VLOOKUP(N77,Kurallar!$G$3:$H$22,2,0),0)</f>
        <v>15</v>
      </c>
    </row>
    <row r="78" spans="1:15" hidden="1" x14ac:dyDescent="0.25">
      <c r="A78" s="8">
        <v>8</v>
      </c>
      <c r="B78" t="str">
        <f t="shared" si="17"/>
        <v>В1 (S1)</v>
      </c>
      <c r="C78" s="9" t="s">
        <v>31</v>
      </c>
      <c r="E78" s="9" t="s">
        <v>32</v>
      </c>
      <c r="F78" s="11"/>
      <c r="G78" s="11">
        <f>ROUND(SUM(H76:H77)*Kurallar!$B$2,2)</f>
        <v>2580</v>
      </c>
      <c r="H78" s="11">
        <f>G78*I78</f>
        <v>2580</v>
      </c>
      <c r="I78" s="8">
        <v>1</v>
      </c>
      <c r="J78" s="8" t="s">
        <v>19</v>
      </c>
      <c r="K78" s="8" t="s">
        <v>33</v>
      </c>
      <c r="L78" s="11">
        <f>H78*$I$75</f>
        <v>2580</v>
      </c>
      <c r="M78" s="9" t="s">
        <v>31</v>
      </c>
    </row>
    <row r="79" spans="1:15" hidden="1" x14ac:dyDescent="0.25">
      <c r="A79" s="8">
        <v>8</v>
      </c>
      <c r="B79" t="str">
        <f t="shared" si="17"/>
        <v>В1 (S1)</v>
      </c>
      <c r="C79" s="9" t="s">
        <v>34</v>
      </c>
      <c r="E79" s="9" t="s">
        <v>35</v>
      </c>
      <c r="F79" s="11">
        <f>ROUND(I79/60,1)</f>
        <v>0.4</v>
      </c>
      <c r="G79" s="11">
        <f>Kurallar!$B$3</f>
        <v>100</v>
      </c>
      <c r="H79" s="11">
        <f>G79*I79</f>
        <v>2600</v>
      </c>
      <c r="I79" s="8">
        <f>ROUND(SUMPRODUCT(I76:I77,O76:O77)*Kurallar!$B$4,0)</f>
        <v>26</v>
      </c>
      <c r="J79" s="8" t="s">
        <v>36</v>
      </c>
      <c r="K79" s="8" t="s">
        <v>33</v>
      </c>
      <c r="L79" s="11">
        <f>H79*$I$75</f>
        <v>2600</v>
      </c>
      <c r="M79" s="9" t="s">
        <v>34</v>
      </c>
    </row>
    <row r="80" spans="1:15" hidden="1" x14ac:dyDescent="0.25">
      <c r="A80" s="12"/>
      <c r="B80" s="13" t="s">
        <v>140</v>
      </c>
      <c r="C80" s="12"/>
      <c r="D80" s="12"/>
      <c r="E80" s="13" t="s">
        <v>141</v>
      </c>
      <c r="F80" s="12"/>
      <c r="G80" s="12"/>
      <c r="H80" s="14">
        <f>SUBTOTAL(9,H76:H79)</f>
        <v>0</v>
      </c>
      <c r="I80" s="15">
        <v>1</v>
      </c>
      <c r="J80" s="15" t="s">
        <v>19</v>
      </c>
      <c r="K80" s="12"/>
      <c r="L80" s="14">
        <f>SUBTOTAL(9,L76:L79)</f>
        <v>0</v>
      </c>
      <c r="M80" s="12"/>
      <c r="N80" s="12"/>
      <c r="O80" s="12"/>
    </row>
    <row r="81" spans="1:15" hidden="1" x14ac:dyDescent="0.25">
      <c r="A81" s="4">
        <v>9</v>
      </c>
      <c r="B81" s="5" t="s">
        <v>142</v>
      </c>
      <c r="C81" s="6" t="s">
        <v>18</v>
      </c>
      <c r="D81" s="6"/>
      <c r="E81" s="7" t="s">
        <v>142</v>
      </c>
      <c r="F81" s="6"/>
      <c r="G81" s="6"/>
      <c r="H81" s="6"/>
      <c r="I81" s="4">
        <v>1</v>
      </c>
      <c r="J81" s="4" t="s">
        <v>19</v>
      </c>
      <c r="K81" s="6"/>
      <c r="L81" s="6"/>
      <c r="M81" s="6"/>
      <c r="N81" s="6"/>
      <c r="O81" s="6"/>
    </row>
    <row r="82" spans="1:15" hidden="1" x14ac:dyDescent="0.25">
      <c r="A82" s="8">
        <v>9</v>
      </c>
      <c r="B82" s="9" t="str">
        <f t="shared" ref="B82:B85" si="18">B81</f>
        <v>ЩС-1(S2)</v>
      </c>
      <c r="C82" s="9" t="s">
        <v>20</v>
      </c>
      <c r="D82" s="9" t="s">
        <v>143</v>
      </c>
      <c r="E82" s="10" t="s">
        <v>144</v>
      </c>
      <c r="F82" s="11">
        <v>43775</v>
      </c>
      <c r="G82" s="11">
        <f>IF(F82="","",ROUND(F82*VLOOKUP(K82,Kurallar!$D$3:$E$14,2,0),2))</f>
        <v>26265</v>
      </c>
      <c r="H82" s="11">
        <f>IF(G82="","",G82*I82)</f>
        <v>26265</v>
      </c>
      <c r="I82" s="8">
        <v>1</v>
      </c>
      <c r="J82" s="8" t="s">
        <v>23</v>
      </c>
      <c r="K82" s="8" t="s">
        <v>24</v>
      </c>
      <c r="L82" s="11">
        <f>IF(H82="","",H82*$I$81)</f>
        <v>26265</v>
      </c>
      <c r="M82" s="9" t="s">
        <v>20</v>
      </c>
      <c r="N82" s="8" t="s">
        <v>75</v>
      </c>
      <c r="O82" s="8">
        <f>IFERROR(VLOOKUP(N82,Kurallar!$G$3:$H$22,2,0),0)</f>
        <v>30</v>
      </c>
    </row>
    <row r="83" spans="1:15" hidden="1" x14ac:dyDescent="0.25">
      <c r="A83" s="8">
        <v>9</v>
      </c>
      <c r="B83" s="9" t="str">
        <f t="shared" si="18"/>
        <v>ЩС-1(S2)</v>
      </c>
      <c r="C83" s="9" t="s">
        <v>145</v>
      </c>
      <c r="D83" s="9" t="s">
        <v>146</v>
      </c>
      <c r="E83" s="10" t="s">
        <v>147</v>
      </c>
      <c r="F83" s="11">
        <v>34800</v>
      </c>
      <c r="G83" s="11">
        <f>IF(F83="","",ROUND(F83*VLOOKUP(K83,Kurallar!$D$3:$E$14,2,0),2))</f>
        <v>20880</v>
      </c>
      <c r="H83" s="11">
        <f>IF(G83="","",G83*I83)</f>
        <v>20880</v>
      </c>
      <c r="I83" s="8">
        <v>1</v>
      </c>
      <c r="J83" s="8" t="s">
        <v>23</v>
      </c>
      <c r="K83" s="8" t="s">
        <v>29</v>
      </c>
      <c r="L83" s="11">
        <f>IF(H83="","",H83*$I$81)</f>
        <v>20880</v>
      </c>
      <c r="M83" s="9" t="s">
        <v>145</v>
      </c>
      <c r="N83" s="8" t="s">
        <v>148</v>
      </c>
      <c r="O83" s="8">
        <f>IFERROR(VLOOKUP(N83,Kurallar!$G$3:$H$22,2,0),0)</f>
        <v>35</v>
      </c>
    </row>
    <row r="84" spans="1:15" hidden="1" x14ac:dyDescent="0.25">
      <c r="A84" s="8">
        <v>9</v>
      </c>
      <c r="B84" s="9" t="str">
        <f t="shared" si="18"/>
        <v>ЩС-1(S2)</v>
      </c>
      <c r="C84" s="9" t="s">
        <v>31</v>
      </c>
      <c r="E84" s="9" t="s">
        <v>32</v>
      </c>
      <c r="F84" s="11"/>
      <c r="G84" s="11">
        <f>ROUND(SUM(H82:H83)*Kurallar!$B$2,2)</f>
        <v>5657.4</v>
      </c>
      <c r="H84" s="11">
        <f>G84*I84</f>
        <v>5657.4</v>
      </c>
      <c r="I84" s="8">
        <v>1</v>
      </c>
      <c r="J84" s="8" t="s">
        <v>19</v>
      </c>
      <c r="K84" s="8" t="s">
        <v>33</v>
      </c>
      <c r="L84" s="11">
        <f>H84*$I$81</f>
        <v>5657.4</v>
      </c>
      <c r="M84" s="9" t="s">
        <v>31</v>
      </c>
    </row>
    <row r="85" spans="1:15" hidden="1" x14ac:dyDescent="0.25">
      <c r="A85" s="8">
        <v>9</v>
      </c>
      <c r="B85" s="9" t="str">
        <f t="shared" si="18"/>
        <v>ЩС-1(S2)</v>
      </c>
      <c r="C85" s="9" t="s">
        <v>34</v>
      </c>
      <c r="E85" s="9" t="s">
        <v>35</v>
      </c>
      <c r="F85" s="11">
        <f>ROUND(I85/60,1)</f>
        <v>1.3</v>
      </c>
      <c r="G85" s="11">
        <f>Kurallar!$B$3</f>
        <v>100</v>
      </c>
      <c r="H85" s="11">
        <f>G85*I85</f>
        <v>7500</v>
      </c>
      <c r="I85" s="8">
        <f>ROUND(SUMPRODUCT(I82:I83,O82:O83)*Kurallar!$B$4,0)</f>
        <v>75</v>
      </c>
      <c r="J85" s="8" t="s">
        <v>36</v>
      </c>
      <c r="K85" s="8" t="s">
        <v>33</v>
      </c>
      <c r="L85" s="11">
        <f>H85*$I$81</f>
        <v>7500</v>
      </c>
      <c r="M85" s="9" t="s">
        <v>34</v>
      </c>
    </row>
    <row r="86" spans="1:15" hidden="1" x14ac:dyDescent="0.25">
      <c r="A86" s="12"/>
      <c r="B86" s="13" t="s">
        <v>150</v>
      </c>
      <c r="C86" s="12"/>
      <c r="D86" s="12"/>
      <c r="E86" s="13" t="s">
        <v>151</v>
      </c>
      <c r="F86" s="12"/>
      <c r="G86" s="12"/>
      <c r="H86" s="14">
        <f>SUBTOTAL(9,H82:H85)</f>
        <v>0</v>
      </c>
      <c r="I86" s="15">
        <v>1</v>
      </c>
      <c r="J86" s="15" t="s">
        <v>19</v>
      </c>
      <c r="K86" s="12"/>
      <c r="L86" s="14">
        <f>SUBTOTAL(9,L82:L85)</f>
        <v>0</v>
      </c>
      <c r="M86" s="12"/>
      <c r="N86" s="12"/>
      <c r="O86" s="12"/>
    </row>
    <row r="87" spans="1:15" hidden="1" x14ac:dyDescent="0.25">
      <c r="A87" s="4">
        <v>10</v>
      </c>
      <c r="B87" s="5" t="s">
        <v>152</v>
      </c>
      <c r="C87" s="6" t="s">
        <v>18</v>
      </c>
      <c r="D87" s="6"/>
      <c r="E87" s="7" t="s">
        <v>152</v>
      </c>
      <c r="F87" s="6"/>
      <c r="G87" s="6"/>
      <c r="H87" s="6"/>
      <c r="I87" s="4">
        <v>2</v>
      </c>
      <c r="J87" s="4" t="s">
        <v>19</v>
      </c>
      <c r="K87" s="6"/>
      <c r="L87" s="6"/>
      <c r="M87" s="6"/>
      <c r="N87" s="6"/>
      <c r="O87" s="6"/>
    </row>
    <row r="88" spans="1:15" hidden="1" x14ac:dyDescent="0.25">
      <c r="A88" s="8">
        <v>10</v>
      </c>
      <c r="B88" s="9" t="str">
        <f t="shared" ref="B88:B91" si="19">B87</f>
        <v>ЩС-2, ЩС-4(S2)</v>
      </c>
      <c r="C88" s="9" t="s">
        <v>20</v>
      </c>
      <c r="D88" s="9" t="s">
        <v>153</v>
      </c>
      <c r="E88" s="10" t="s">
        <v>154</v>
      </c>
      <c r="F88" s="11">
        <v>10270</v>
      </c>
      <c r="G88" s="11">
        <f>IF(F88="","",ROUND(F88*VLOOKUP(K88,Kurallar!$D$3:$E$14,2,0),2))</f>
        <v>6162</v>
      </c>
      <c r="H88" s="11">
        <f>IF(G88="","",G88*I88)</f>
        <v>6162</v>
      </c>
      <c r="I88" s="8">
        <v>1</v>
      </c>
      <c r="J88" s="8" t="s">
        <v>23</v>
      </c>
      <c r="K88" s="8" t="s">
        <v>24</v>
      </c>
      <c r="L88" s="11">
        <f>IF(H88="","",H88*$I$87)</f>
        <v>12324</v>
      </c>
      <c r="M88" s="9" t="s">
        <v>20</v>
      </c>
      <c r="N88" s="8" t="s">
        <v>25</v>
      </c>
      <c r="O88" s="8">
        <f>IFERROR(VLOOKUP(N88,Kurallar!$G$3:$H$22,2,0),0)</f>
        <v>8</v>
      </c>
    </row>
    <row r="89" spans="1:15" hidden="1" x14ac:dyDescent="0.25">
      <c r="A89" s="8">
        <v>10</v>
      </c>
      <c r="B89" s="9" t="str">
        <f t="shared" si="19"/>
        <v>ЩС-2, ЩС-4(S2)</v>
      </c>
      <c r="C89" s="9" t="s">
        <v>26</v>
      </c>
      <c r="D89" s="9" t="s">
        <v>40</v>
      </c>
      <c r="E89" s="10" t="s">
        <v>41</v>
      </c>
      <c r="F89" s="11">
        <v>4217</v>
      </c>
      <c r="G89" s="11">
        <f>IF(F89="","",ROUND(F89*VLOOKUP(K89,Kurallar!$D$3:$E$14,2,0),2))</f>
        <v>2530.1999999999998</v>
      </c>
      <c r="H89" s="11">
        <f>IF(G89="","",G89*I89)</f>
        <v>2530.1999999999998</v>
      </c>
      <c r="I89" s="8">
        <v>1</v>
      </c>
      <c r="J89" s="8" t="s">
        <v>23</v>
      </c>
      <c r="K89" s="8" t="s">
        <v>29</v>
      </c>
      <c r="L89" s="11">
        <f>IF(H89="","",H89*$I$87)</f>
        <v>5060.3999999999996</v>
      </c>
      <c r="M89" s="9" t="s">
        <v>26</v>
      </c>
      <c r="N89" s="8" t="s">
        <v>42</v>
      </c>
      <c r="O89" s="8">
        <f>IFERROR(VLOOKUP(N89,Kurallar!$G$3:$H$22,2,0),0)</f>
        <v>15</v>
      </c>
    </row>
    <row r="90" spans="1:15" hidden="1" x14ac:dyDescent="0.25">
      <c r="A90" s="8">
        <v>10</v>
      </c>
      <c r="B90" t="str">
        <f t="shared" si="19"/>
        <v>ЩС-2, ЩС-4(S2)</v>
      </c>
      <c r="C90" s="9" t="s">
        <v>31</v>
      </c>
      <c r="E90" s="9" t="s">
        <v>32</v>
      </c>
      <c r="F90" s="11"/>
      <c r="G90" s="11">
        <f>ROUND(SUM(H88:H89)*Kurallar!$B$2,2)</f>
        <v>1043.06</v>
      </c>
      <c r="H90" s="11">
        <f>G90*I90</f>
        <v>1043.06</v>
      </c>
      <c r="I90" s="8">
        <v>1</v>
      </c>
      <c r="J90" s="8" t="s">
        <v>19</v>
      </c>
      <c r="K90" s="8" t="s">
        <v>33</v>
      </c>
      <c r="L90" s="11">
        <f>H90*$I$87</f>
        <v>2086.12</v>
      </c>
      <c r="M90" s="9" t="s">
        <v>31</v>
      </c>
    </row>
    <row r="91" spans="1:15" hidden="1" x14ac:dyDescent="0.25">
      <c r="A91" s="8">
        <v>10</v>
      </c>
      <c r="B91" t="str">
        <f t="shared" si="19"/>
        <v>ЩС-2, ЩС-4(S2)</v>
      </c>
      <c r="C91" s="9" t="s">
        <v>34</v>
      </c>
      <c r="E91" s="9" t="s">
        <v>35</v>
      </c>
      <c r="F91" s="11">
        <f>ROUND(I91/60,1)</f>
        <v>0.4</v>
      </c>
      <c r="G91" s="11">
        <f>Kurallar!$B$3</f>
        <v>100</v>
      </c>
      <c r="H91" s="11">
        <f>G91*I91</f>
        <v>2600</v>
      </c>
      <c r="I91" s="8">
        <f>ROUND(SUMPRODUCT(I88:I89,O88:O89)*Kurallar!$B$4,0)</f>
        <v>26</v>
      </c>
      <c r="J91" s="8" t="s">
        <v>36</v>
      </c>
      <c r="K91" s="8" t="s">
        <v>33</v>
      </c>
      <c r="L91" s="11">
        <f>H91*$I$87</f>
        <v>5200</v>
      </c>
      <c r="M91" s="9" t="s">
        <v>34</v>
      </c>
    </row>
    <row r="92" spans="1:15" hidden="1" x14ac:dyDescent="0.25">
      <c r="A92" s="12"/>
      <c r="B92" s="13" t="s">
        <v>155</v>
      </c>
      <c r="C92" s="12"/>
      <c r="D92" s="12"/>
      <c r="E92" s="13" t="s">
        <v>156</v>
      </c>
      <c r="F92" s="12"/>
      <c r="G92" s="12"/>
      <c r="H92" s="14">
        <f>SUBTOTAL(9,H88:H91)</f>
        <v>0</v>
      </c>
      <c r="I92" s="15">
        <v>2</v>
      </c>
      <c r="J92" s="15" t="s">
        <v>19</v>
      </c>
      <c r="K92" s="12"/>
      <c r="L92" s="14">
        <f>SUBTOTAL(9,L88:L91)</f>
        <v>0</v>
      </c>
      <c r="M92" s="12"/>
      <c r="N92" s="12"/>
      <c r="O92" s="12"/>
    </row>
    <row r="93" spans="1:15" hidden="1" x14ac:dyDescent="0.25">
      <c r="A93" s="4">
        <v>11</v>
      </c>
      <c r="B93" s="5" t="s">
        <v>157</v>
      </c>
      <c r="C93" s="6" t="s">
        <v>18</v>
      </c>
      <c r="D93" s="6"/>
      <c r="E93" s="7" t="s">
        <v>157</v>
      </c>
      <c r="F93" s="6"/>
      <c r="G93" s="6"/>
      <c r="H93" s="6"/>
      <c r="I93" s="4">
        <v>1</v>
      </c>
      <c r="J93" s="4" t="s">
        <v>19</v>
      </c>
      <c r="K93" s="6"/>
      <c r="L93" s="6"/>
      <c r="M93" s="6"/>
      <c r="N93" s="6"/>
      <c r="O93" s="6"/>
    </row>
    <row r="94" spans="1:15" hidden="1" x14ac:dyDescent="0.25">
      <c r="A94" s="8">
        <v>11</v>
      </c>
      <c r="B94" s="9" t="str">
        <f t="shared" ref="B94:B97" si="20">B93</f>
        <v>ЩС-3(S2)</v>
      </c>
      <c r="C94" s="9" t="s">
        <v>20</v>
      </c>
      <c r="D94" s="9" t="s">
        <v>153</v>
      </c>
      <c r="E94" s="10" t="s">
        <v>154</v>
      </c>
      <c r="F94" s="11">
        <v>10270</v>
      </c>
      <c r="G94" s="11">
        <f>IF(F94="","",ROUND(F94*VLOOKUP(K94,Kurallar!$D$3:$E$14,2,0),2))</f>
        <v>6162</v>
      </c>
      <c r="H94" s="11">
        <f>IF(G94="","",G94*I94)</f>
        <v>6162</v>
      </c>
      <c r="I94" s="8">
        <v>1</v>
      </c>
      <c r="J94" s="8" t="s">
        <v>23</v>
      </c>
      <c r="K94" s="8" t="s">
        <v>24</v>
      </c>
      <c r="L94" s="11">
        <f>IF(H94="","",H94*$I$93)</f>
        <v>6162</v>
      </c>
      <c r="M94" s="9" t="s">
        <v>20</v>
      </c>
      <c r="N94" s="8" t="s">
        <v>25</v>
      </c>
      <c r="O94" s="8">
        <f>IFERROR(VLOOKUP(N94,Kurallar!$G$3:$H$22,2,0),0)</f>
        <v>8</v>
      </c>
    </row>
    <row r="95" spans="1:15" hidden="1" x14ac:dyDescent="0.25">
      <c r="A95" s="8">
        <v>11</v>
      </c>
      <c r="B95" s="9" t="str">
        <f t="shared" si="20"/>
        <v>ЩС-3(S2)</v>
      </c>
      <c r="C95" s="9" t="s">
        <v>26</v>
      </c>
      <c r="D95" s="9" t="s">
        <v>27</v>
      </c>
      <c r="E95" s="10" t="s">
        <v>28</v>
      </c>
      <c r="F95" s="11">
        <v>4439</v>
      </c>
      <c r="G95" s="11">
        <f>IF(F95="","",ROUND(F95*VLOOKUP(K95,Kurallar!$D$3:$E$14,2,0),2))</f>
        <v>2663.4</v>
      </c>
      <c r="H95" s="11">
        <f>IF(G95="","",G95*I95)</f>
        <v>2663.4</v>
      </c>
      <c r="I95" s="8">
        <v>1</v>
      </c>
      <c r="J95" s="8" t="s">
        <v>23</v>
      </c>
      <c r="K95" s="8" t="s">
        <v>29</v>
      </c>
      <c r="L95" s="11">
        <f>IF(H95="","",H95*$I$93)</f>
        <v>2663.4</v>
      </c>
      <c r="M95" s="9" t="s">
        <v>26</v>
      </c>
      <c r="N95" s="8" t="s">
        <v>30</v>
      </c>
      <c r="O95" s="8">
        <f>IFERROR(VLOOKUP(N95,Kurallar!$G$3:$H$22,2,0),0)</f>
        <v>30</v>
      </c>
    </row>
    <row r="96" spans="1:15" hidden="1" x14ac:dyDescent="0.25">
      <c r="A96" s="8">
        <v>11</v>
      </c>
      <c r="B96" t="str">
        <f t="shared" si="20"/>
        <v>ЩС-3(S2)</v>
      </c>
      <c r="C96" s="9" t="s">
        <v>31</v>
      </c>
      <c r="E96" s="9" t="s">
        <v>32</v>
      </c>
      <c r="F96" s="11"/>
      <c r="G96" s="11">
        <f>ROUND(SUM(H94:H95)*Kurallar!$B$2,2)</f>
        <v>1059.05</v>
      </c>
      <c r="H96" s="11">
        <f>G96*I96</f>
        <v>1059.05</v>
      </c>
      <c r="I96" s="8">
        <v>1</v>
      </c>
      <c r="J96" s="8" t="s">
        <v>19</v>
      </c>
      <c r="K96" s="8" t="s">
        <v>33</v>
      </c>
      <c r="L96" s="11">
        <f>H96*$I$93</f>
        <v>1059.05</v>
      </c>
      <c r="M96" s="9" t="s">
        <v>31</v>
      </c>
    </row>
    <row r="97" spans="1:15" hidden="1" x14ac:dyDescent="0.25">
      <c r="A97" s="8">
        <v>11</v>
      </c>
      <c r="B97" t="str">
        <f t="shared" si="20"/>
        <v>ЩС-3(S2)</v>
      </c>
      <c r="C97" s="9" t="s">
        <v>34</v>
      </c>
      <c r="E97" s="9" t="s">
        <v>35</v>
      </c>
      <c r="F97" s="11">
        <f>ROUND(I97/60,1)</f>
        <v>0.7</v>
      </c>
      <c r="G97" s="11">
        <f>Kurallar!$B$3</f>
        <v>100</v>
      </c>
      <c r="H97" s="11">
        <f>G97*I97</f>
        <v>4400</v>
      </c>
      <c r="I97" s="8">
        <f>ROUND(SUMPRODUCT(I94:I95,O94:O95)*Kurallar!$B$4,0)</f>
        <v>44</v>
      </c>
      <c r="J97" s="8" t="s">
        <v>36</v>
      </c>
      <c r="K97" s="8" t="s">
        <v>33</v>
      </c>
      <c r="L97" s="11">
        <f>H97*$I$93</f>
        <v>4400</v>
      </c>
      <c r="M97" s="9" t="s">
        <v>34</v>
      </c>
    </row>
    <row r="98" spans="1:15" hidden="1" x14ac:dyDescent="0.25">
      <c r="A98" s="12"/>
      <c r="B98" s="13" t="s">
        <v>158</v>
      </c>
      <c r="C98" s="12"/>
      <c r="D98" s="12"/>
      <c r="E98" s="13" t="s">
        <v>159</v>
      </c>
      <c r="F98" s="12"/>
      <c r="G98" s="12"/>
      <c r="H98" s="14">
        <f>SUBTOTAL(9,H94:H97)</f>
        <v>0</v>
      </c>
      <c r="I98" s="15">
        <v>1</v>
      </c>
      <c r="J98" s="15" t="s">
        <v>19</v>
      </c>
      <c r="K98" s="12"/>
      <c r="L98" s="14">
        <f>SUBTOTAL(9,L94:L97)</f>
        <v>0</v>
      </c>
      <c r="M98" s="12"/>
      <c r="N98" s="12"/>
      <c r="O98" s="12"/>
    </row>
    <row r="99" spans="1:15" hidden="1" x14ac:dyDescent="0.25">
      <c r="A99" s="4">
        <v>12</v>
      </c>
      <c r="B99" s="5" t="s">
        <v>160</v>
      </c>
      <c r="C99" s="6" t="s">
        <v>18</v>
      </c>
      <c r="D99" s="6"/>
      <c r="E99" s="7" t="s">
        <v>160</v>
      </c>
      <c r="F99" s="6"/>
      <c r="G99" s="6"/>
      <c r="H99" s="6"/>
      <c r="I99" s="4">
        <v>1</v>
      </c>
      <c r="J99" s="4" t="s">
        <v>19</v>
      </c>
      <c r="K99" s="6"/>
      <c r="L99" s="6"/>
      <c r="M99" s="6"/>
      <c r="N99" s="6"/>
      <c r="O99" s="6"/>
    </row>
    <row r="100" spans="1:15" hidden="1" x14ac:dyDescent="0.25">
      <c r="A100" s="8">
        <v>12</v>
      </c>
      <c r="B100" s="9" t="str">
        <f t="shared" ref="B100:B106" si="21">B99</f>
        <v>ЩС-ДУ(S2)</v>
      </c>
      <c r="C100" s="9" t="s">
        <v>20</v>
      </c>
      <c r="D100" s="9" t="s">
        <v>46</v>
      </c>
      <c r="E100" s="10" t="s">
        <v>47</v>
      </c>
      <c r="F100" s="11">
        <v>9620</v>
      </c>
      <c r="G100" s="11">
        <f>IF(F100="","",ROUND(F100*VLOOKUP(K100,Kurallar!$D$3:$E$14,2,0),2))</f>
        <v>5772</v>
      </c>
      <c r="H100" s="11">
        <f>IF(G100="","",G100*I100)</f>
        <v>5772</v>
      </c>
      <c r="I100" s="8">
        <v>1</v>
      </c>
      <c r="J100" s="8" t="s">
        <v>23</v>
      </c>
      <c r="K100" s="8" t="s">
        <v>24</v>
      </c>
      <c r="L100" s="11">
        <f>IF(H100="","",H100*$I$99)</f>
        <v>5772</v>
      </c>
      <c r="M100" s="9" t="s">
        <v>20</v>
      </c>
      <c r="N100" s="8" t="s">
        <v>25</v>
      </c>
      <c r="O100" s="8">
        <f>IFERROR(VLOOKUP(N100,Kurallar!$G$3:$H$22,2,0),0)</f>
        <v>8</v>
      </c>
    </row>
    <row r="101" spans="1:15" hidden="1" x14ac:dyDescent="0.25">
      <c r="A101" s="8">
        <v>12</v>
      </c>
      <c r="B101" s="9" t="str">
        <f t="shared" si="21"/>
        <v>ЩС-ДУ(S2)</v>
      </c>
      <c r="C101" s="9" t="s">
        <v>26</v>
      </c>
      <c r="D101" s="9" t="s">
        <v>40</v>
      </c>
      <c r="E101" s="10" t="s">
        <v>41</v>
      </c>
      <c r="F101" s="11">
        <v>4217</v>
      </c>
      <c r="G101" s="11">
        <f>IF(F101="","",ROUND(F101*VLOOKUP(K101,Kurallar!$D$3:$E$14,2,0),2))</f>
        <v>2530.1999999999998</v>
      </c>
      <c r="H101" s="11">
        <f>IF(G101="","",G101*I101)</f>
        <v>2530.1999999999998</v>
      </c>
      <c r="I101" s="8">
        <v>1</v>
      </c>
      <c r="J101" s="8" t="s">
        <v>23</v>
      </c>
      <c r="K101" s="8" t="s">
        <v>29</v>
      </c>
      <c r="L101" s="11">
        <f>IF(H101="","",H101*$I$99)</f>
        <v>2530.1999999999998</v>
      </c>
      <c r="M101" s="9" t="s">
        <v>26</v>
      </c>
      <c r="N101" s="8" t="s">
        <v>42</v>
      </c>
      <c r="O101" s="8">
        <f>IFERROR(VLOOKUP(N101,Kurallar!$G$3:$H$22,2,0),0)</f>
        <v>15</v>
      </c>
    </row>
    <row r="102" spans="1:15" hidden="1" x14ac:dyDescent="0.25">
      <c r="A102" s="8">
        <v>12</v>
      </c>
      <c r="B102" s="9" t="str">
        <f t="shared" si="21"/>
        <v>ЩС-ДУ(S2)</v>
      </c>
      <c r="C102" s="9" t="s">
        <v>54</v>
      </c>
      <c r="D102" s="9" t="s">
        <v>161</v>
      </c>
      <c r="E102" s="10" t="s">
        <v>162</v>
      </c>
      <c r="F102" s="11">
        <v>2807</v>
      </c>
      <c r="G102" s="11">
        <f>IF(F102="","",ROUND(F102*VLOOKUP(K102,Kurallar!$D$3:$E$14,2,0),2))</f>
        <v>1684.2</v>
      </c>
      <c r="H102" s="11">
        <f>IF(G102="","",G102*I102)</f>
        <v>3368.4</v>
      </c>
      <c r="I102" s="8">
        <v>2</v>
      </c>
      <c r="J102" s="8" t="s">
        <v>23</v>
      </c>
      <c r="K102" s="8" t="s">
        <v>29</v>
      </c>
      <c r="L102" s="11">
        <f>IF(H102="","",H102*$I$99)</f>
        <v>3368.4</v>
      </c>
      <c r="M102" s="9" t="s">
        <v>54</v>
      </c>
      <c r="N102" s="8" t="s">
        <v>113</v>
      </c>
      <c r="O102" s="8">
        <f>IFERROR(VLOOKUP(N102,Kurallar!$G$3:$H$22,2,0),0)</f>
        <v>10</v>
      </c>
    </row>
    <row r="103" spans="1:15" hidden="1" x14ac:dyDescent="0.25">
      <c r="A103" s="8">
        <v>12</v>
      </c>
      <c r="B103" s="9" t="str">
        <f t="shared" si="21"/>
        <v>ЩС-ДУ(S2)</v>
      </c>
      <c r="C103" s="9" t="s">
        <v>54</v>
      </c>
      <c r="D103" s="9" t="s">
        <v>163</v>
      </c>
      <c r="E103" s="10" t="s">
        <v>164</v>
      </c>
      <c r="F103" s="11">
        <v>2447</v>
      </c>
      <c r="G103" s="11">
        <f>IF(F103="","",ROUND(F103*VLOOKUP(K103,Kurallar!$D$3:$E$14,2,0),2))</f>
        <v>1468.2</v>
      </c>
      <c r="H103" s="11">
        <f>IF(G103="","",G103*I103)</f>
        <v>1468.2</v>
      </c>
      <c r="I103" s="8">
        <v>1</v>
      </c>
      <c r="J103" s="8" t="s">
        <v>23</v>
      </c>
      <c r="K103" s="8" t="s">
        <v>29</v>
      </c>
      <c r="L103" s="11">
        <f>IF(H103="","",H103*$I$99)</f>
        <v>1468.2</v>
      </c>
      <c r="M103" s="9" t="s">
        <v>54</v>
      </c>
      <c r="N103" s="8" t="s">
        <v>113</v>
      </c>
      <c r="O103" s="8">
        <f>IFERROR(VLOOKUP(N103,Kurallar!$G$3:$H$22,2,0),0)</f>
        <v>10</v>
      </c>
    </row>
    <row r="104" spans="1:15" hidden="1" x14ac:dyDescent="0.25">
      <c r="A104" s="8">
        <v>12</v>
      </c>
      <c r="B104" s="9" t="str">
        <f t="shared" si="21"/>
        <v>ЩС-ДУ(S2)</v>
      </c>
      <c r="C104" s="9" t="s">
        <v>54</v>
      </c>
      <c r="D104" s="9" t="s">
        <v>165</v>
      </c>
      <c r="E104" s="10" t="s">
        <v>166</v>
      </c>
      <c r="F104" s="11">
        <v>783</v>
      </c>
      <c r="G104" s="11">
        <f>IF(F104="","",ROUND(F104*VLOOKUP(K104,Kurallar!$D$3:$E$14,2,0),2))</f>
        <v>469.8</v>
      </c>
      <c r="H104" s="11">
        <f>IF(G104="","",G104*I104)</f>
        <v>469.8</v>
      </c>
      <c r="I104" s="8">
        <v>1</v>
      </c>
      <c r="J104" s="8" t="s">
        <v>23</v>
      </c>
      <c r="K104" s="8" t="s">
        <v>29</v>
      </c>
      <c r="L104" s="11">
        <f>IF(H104="","",H104*$I$99)</f>
        <v>469.8</v>
      </c>
      <c r="M104" s="9" t="s">
        <v>54</v>
      </c>
      <c r="N104" s="8" t="s">
        <v>57</v>
      </c>
      <c r="O104" s="8">
        <f>IFERROR(VLOOKUP(N104,Kurallar!$G$3:$H$22,2,0),0)</f>
        <v>3</v>
      </c>
    </row>
    <row r="105" spans="1:15" hidden="1" x14ac:dyDescent="0.25">
      <c r="A105" s="8">
        <v>12</v>
      </c>
      <c r="B105" t="str">
        <f t="shared" si="21"/>
        <v>ЩС-ДУ(S2)</v>
      </c>
      <c r="C105" s="9" t="s">
        <v>31</v>
      </c>
      <c r="E105" s="9" t="s">
        <v>32</v>
      </c>
      <c r="F105" s="11"/>
      <c r="G105" s="11">
        <f>ROUND(SUM(H100:H104)*Kurallar!$B$2,2)</f>
        <v>1633.03</v>
      </c>
      <c r="H105" s="11">
        <f>G105*I105</f>
        <v>1633.03</v>
      </c>
      <c r="I105" s="8">
        <v>1</v>
      </c>
      <c r="J105" s="8" t="s">
        <v>19</v>
      </c>
      <c r="K105" s="8" t="s">
        <v>33</v>
      </c>
      <c r="L105" s="11">
        <f>H105*$I$99</f>
        <v>1633.03</v>
      </c>
      <c r="M105" s="9" t="s">
        <v>31</v>
      </c>
    </row>
    <row r="106" spans="1:15" hidden="1" x14ac:dyDescent="0.25">
      <c r="A106" s="8">
        <v>12</v>
      </c>
      <c r="B106" t="str">
        <f t="shared" si="21"/>
        <v>ЩС-ДУ(S2)</v>
      </c>
      <c r="C106" s="9" t="s">
        <v>34</v>
      </c>
      <c r="E106" s="9" t="s">
        <v>35</v>
      </c>
      <c r="F106" s="11">
        <f>ROUND(I106/60,1)</f>
        <v>1.1000000000000001</v>
      </c>
      <c r="G106" s="11">
        <f>Kurallar!$B$3</f>
        <v>100</v>
      </c>
      <c r="H106" s="11">
        <f>G106*I106</f>
        <v>6400</v>
      </c>
      <c r="I106" s="8">
        <f>ROUND(SUMPRODUCT(I100:I104,O100:O104)*Kurallar!$B$4,0)</f>
        <v>64</v>
      </c>
      <c r="J106" s="8" t="s">
        <v>36</v>
      </c>
      <c r="K106" s="8" t="s">
        <v>33</v>
      </c>
      <c r="L106" s="11">
        <f>H106*$I$99</f>
        <v>6400</v>
      </c>
      <c r="M106" s="9" t="s">
        <v>34</v>
      </c>
    </row>
    <row r="107" spans="1:15" hidden="1" x14ac:dyDescent="0.25">
      <c r="A107" s="12"/>
      <c r="B107" s="13" t="s">
        <v>167</v>
      </c>
      <c r="C107" s="12"/>
      <c r="D107" s="12"/>
      <c r="E107" s="13" t="s">
        <v>168</v>
      </c>
      <c r="F107" s="12"/>
      <c r="G107" s="12"/>
      <c r="H107" s="14">
        <f>SUBTOTAL(9,H100:H106)</f>
        <v>0</v>
      </c>
      <c r="I107" s="15">
        <v>1</v>
      </c>
      <c r="J107" s="15" t="s">
        <v>19</v>
      </c>
      <c r="K107" s="12"/>
      <c r="L107" s="14">
        <f>SUBTOTAL(9,L100:L106)</f>
        <v>0</v>
      </c>
      <c r="M107" s="12"/>
      <c r="N107" s="12"/>
      <c r="O107" s="12"/>
    </row>
    <row r="108" spans="1:15" hidden="1" x14ac:dyDescent="0.25">
      <c r="A108" s="4">
        <v>13</v>
      </c>
      <c r="B108" s="5" t="s">
        <v>169</v>
      </c>
      <c r="C108" s="6" t="s">
        <v>18</v>
      </c>
      <c r="D108" s="6"/>
      <c r="E108" s="7" t="s">
        <v>169</v>
      </c>
      <c r="F108" s="6"/>
      <c r="G108" s="6"/>
      <c r="H108" s="6"/>
      <c r="I108" s="4">
        <v>1</v>
      </c>
      <c r="J108" s="4" t="s">
        <v>19</v>
      </c>
      <c r="K108" s="6"/>
      <c r="L108" s="6"/>
      <c r="M108" s="6"/>
      <c r="N108" s="6"/>
      <c r="O108" s="6"/>
    </row>
    <row r="109" spans="1:15" hidden="1" x14ac:dyDescent="0.25">
      <c r="A109" s="8">
        <v>13</v>
      </c>
      <c r="B109" s="9" t="str">
        <f t="shared" ref="B109:B117" si="22">B108</f>
        <v>ЩОВ_S2</v>
      </c>
      <c r="C109" s="9" t="s">
        <v>20</v>
      </c>
      <c r="D109" s="9" t="s">
        <v>46</v>
      </c>
      <c r="E109" s="10" t="s">
        <v>47</v>
      </c>
      <c r="F109" s="11">
        <v>9620</v>
      </c>
      <c r="G109" s="11">
        <f>IF(F109="","",ROUND(F109*VLOOKUP(K109,Kurallar!$D$3:$E$14,2,0),2))</f>
        <v>5772</v>
      </c>
      <c r="H109" s="11">
        <f t="shared" ref="H109:H115" si="23">IF(G109="","",G109*I109)</f>
        <v>5772</v>
      </c>
      <c r="I109" s="8">
        <v>1</v>
      </c>
      <c r="J109" s="8" t="s">
        <v>23</v>
      </c>
      <c r="K109" s="8" t="s">
        <v>24</v>
      </c>
      <c r="L109" s="11">
        <f t="shared" ref="L109:L115" si="24">IF(H109="","",H109*$I$108)</f>
        <v>5772</v>
      </c>
      <c r="M109" s="9" t="s">
        <v>20</v>
      </c>
      <c r="N109" s="8" t="s">
        <v>25</v>
      </c>
      <c r="O109" s="8">
        <f>IFERROR(VLOOKUP(N109,Kurallar!$G$3:$H$22,2,0),0)</f>
        <v>8</v>
      </c>
    </row>
    <row r="110" spans="1:15" hidden="1" x14ac:dyDescent="0.25">
      <c r="A110" s="8">
        <v>13</v>
      </c>
      <c r="B110" s="9" t="str">
        <f t="shared" si="22"/>
        <v>ЩОВ_S2</v>
      </c>
      <c r="C110" s="9" t="s">
        <v>26</v>
      </c>
      <c r="D110" s="9" t="s">
        <v>48</v>
      </c>
      <c r="E110" s="10" t="s">
        <v>49</v>
      </c>
      <c r="F110" s="11">
        <v>3372</v>
      </c>
      <c r="G110" s="11">
        <f>IF(F110="","",ROUND(F110*VLOOKUP(K110,Kurallar!$D$3:$E$14,2,0),2))</f>
        <v>2023.2</v>
      </c>
      <c r="H110" s="11">
        <f t="shared" si="23"/>
        <v>2023.2</v>
      </c>
      <c r="I110" s="8">
        <v>1</v>
      </c>
      <c r="J110" s="8" t="s">
        <v>23</v>
      </c>
      <c r="K110" s="8" t="s">
        <v>29</v>
      </c>
      <c r="L110" s="11">
        <f t="shared" si="24"/>
        <v>2023.2</v>
      </c>
      <c r="M110" s="9" t="s">
        <v>26</v>
      </c>
      <c r="N110" s="8" t="s">
        <v>42</v>
      </c>
      <c r="O110" s="8">
        <f>IFERROR(VLOOKUP(N110,Kurallar!$G$3:$H$22,2,0),0)</f>
        <v>15</v>
      </c>
    </row>
    <row r="111" spans="1:15" hidden="1" x14ac:dyDescent="0.25">
      <c r="A111" s="8">
        <v>13</v>
      </c>
      <c r="B111" s="9" t="str">
        <f t="shared" si="22"/>
        <v>ЩОВ_S2</v>
      </c>
      <c r="C111" s="9" t="s">
        <v>50</v>
      </c>
      <c r="D111" s="9" t="s">
        <v>51</v>
      </c>
      <c r="E111" s="10" t="s">
        <v>52</v>
      </c>
      <c r="F111" s="11">
        <v>5719</v>
      </c>
      <c r="G111" s="11">
        <f>IF(F111="","",ROUND(F111*VLOOKUP(K111,Kurallar!$D$3:$E$14,2,0),2))</f>
        <v>3431.4</v>
      </c>
      <c r="H111" s="11">
        <f t="shared" si="23"/>
        <v>10294.200000000001</v>
      </c>
      <c r="I111" s="8">
        <v>3</v>
      </c>
      <c r="J111" s="8" t="s">
        <v>23</v>
      </c>
      <c r="K111" s="8" t="s">
        <v>29</v>
      </c>
      <c r="L111" s="11">
        <f t="shared" si="24"/>
        <v>10294.200000000001</v>
      </c>
      <c r="M111" s="9" t="s">
        <v>50</v>
      </c>
      <c r="N111" s="8" t="s">
        <v>53</v>
      </c>
      <c r="O111" s="8">
        <f>IFERROR(VLOOKUP(N111,Kurallar!$G$3:$H$22,2,0),0)</f>
        <v>16</v>
      </c>
    </row>
    <row r="112" spans="1:15" hidden="1" x14ac:dyDescent="0.25">
      <c r="A112" s="8">
        <v>13</v>
      </c>
      <c r="B112" s="9" t="str">
        <f t="shared" si="22"/>
        <v>ЩОВ_S2</v>
      </c>
      <c r="C112" s="9" t="s">
        <v>54</v>
      </c>
      <c r="D112" s="9" t="s">
        <v>55</v>
      </c>
      <c r="E112" s="10" t="s">
        <v>56</v>
      </c>
      <c r="F112" s="11">
        <v>975</v>
      </c>
      <c r="G112" s="11">
        <f>IF(F112="","",ROUND(F112*VLOOKUP(K112,Kurallar!$D$3:$E$14,2,0),2))</f>
        <v>585</v>
      </c>
      <c r="H112" s="11">
        <f t="shared" si="23"/>
        <v>585</v>
      </c>
      <c r="I112" s="8">
        <v>1</v>
      </c>
      <c r="J112" s="8" t="s">
        <v>23</v>
      </c>
      <c r="K112" s="8" t="s">
        <v>29</v>
      </c>
      <c r="L112" s="11">
        <f t="shared" si="24"/>
        <v>585</v>
      </c>
      <c r="M112" s="9" t="s">
        <v>54</v>
      </c>
      <c r="N112" s="8" t="s">
        <v>57</v>
      </c>
      <c r="O112" s="8">
        <f>IFERROR(VLOOKUP(N112,Kurallar!$G$3:$H$22,2,0),0)</f>
        <v>3</v>
      </c>
    </row>
    <row r="113" spans="1:15" hidden="1" x14ac:dyDescent="0.25">
      <c r="A113" s="8">
        <v>13</v>
      </c>
      <c r="B113" s="9" t="str">
        <f t="shared" si="22"/>
        <v>ЩОВ_S2</v>
      </c>
      <c r="C113" s="9" t="s">
        <v>58</v>
      </c>
      <c r="D113" s="9" t="s">
        <v>59</v>
      </c>
      <c r="E113" s="10" t="s">
        <v>60</v>
      </c>
      <c r="F113" s="11">
        <v>13575</v>
      </c>
      <c r="G113" s="11">
        <f>IF(F113="","",ROUND(F113*VLOOKUP(K113,Kurallar!$D$3:$E$14,2,0),2))</f>
        <v>8145</v>
      </c>
      <c r="H113" s="11">
        <f t="shared" si="23"/>
        <v>8145</v>
      </c>
      <c r="I113" s="8">
        <v>1</v>
      </c>
      <c r="J113" s="8" t="s">
        <v>23</v>
      </c>
      <c r="K113" s="8" t="s">
        <v>29</v>
      </c>
      <c r="L113" s="11">
        <f t="shared" si="24"/>
        <v>8145</v>
      </c>
      <c r="M113" s="9" t="s">
        <v>58</v>
      </c>
      <c r="N113" s="8" t="s">
        <v>61</v>
      </c>
      <c r="O113" s="8">
        <f>IFERROR(VLOOKUP(N113,Kurallar!$G$3:$H$22,2,0),0)</f>
        <v>15</v>
      </c>
    </row>
    <row r="114" spans="1:15" hidden="1" x14ac:dyDescent="0.25">
      <c r="A114" s="8">
        <v>13</v>
      </c>
      <c r="B114" s="9" t="str">
        <f t="shared" si="22"/>
        <v>ЩОВ_S2</v>
      </c>
      <c r="C114" s="9" t="s">
        <v>62</v>
      </c>
      <c r="D114" s="9" t="s">
        <v>63</v>
      </c>
      <c r="E114" s="10" t="s">
        <v>64</v>
      </c>
      <c r="F114" s="11">
        <v>13777</v>
      </c>
      <c r="G114" s="11">
        <f>IF(F114="","",ROUND(F114*VLOOKUP(K114,Kurallar!$D$3:$E$14,2,0),2))</f>
        <v>13777</v>
      </c>
      <c r="H114" s="11">
        <f t="shared" si="23"/>
        <v>13777</v>
      </c>
      <c r="I114" s="8">
        <v>1</v>
      </c>
      <c r="J114" s="8" t="s">
        <v>23</v>
      </c>
      <c r="K114" s="8" t="s">
        <v>65</v>
      </c>
      <c r="L114" s="11">
        <f t="shared" si="24"/>
        <v>13777</v>
      </c>
      <c r="M114" s="9" t="s">
        <v>62</v>
      </c>
      <c r="N114" s="8" t="s">
        <v>66</v>
      </c>
      <c r="O114" s="8">
        <f>IFERROR(VLOOKUP(N114,Kurallar!$G$3:$H$22,2,0),0)</f>
        <v>5</v>
      </c>
    </row>
    <row r="115" spans="1:15" hidden="1" x14ac:dyDescent="0.25">
      <c r="A115" s="8">
        <v>13</v>
      </c>
      <c r="B115" s="9" t="str">
        <f t="shared" si="22"/>
        <v>ЩОВ_S2</v>
      </c>
      <c r="C115" s="9" t="s">
        <v>67</v>
      </c>
      <c r="D115" s="9" t="s">
        <v>68</v>
      </c>
      <c r="E115" s="10" t="s">
        <v>69</v>
      </c>
      <c r="F115" s="11">
        <v>793</v>
      </c>
      <c r="G115" s="11">
        <f>IF(F115="","",ROUND(F115*VLOOKUP(K115,Kurallar!$D$3:$E$14,2,0),2))</f>
        <v>793</v>
      </c>
      <c r="H115" s="11">
        <f t="shared" si="23"/>
        <v>2379</v>
      </c>
      <c r="I115" s="8">
        <v>3</v>
      </c>
      <c r="J115" s="8" t="s">
        <v>23</v>
      </c>
      <c r="K115" s="8" t="s">
        <v>65</v>
      </c>
      <c r="L115" s="11">
        <f t="shared" si="24"/>
        <v>2379</v>
      </c>
      <c r="M115" s="9" t="s">
        <v>67</v>
      </c>
      <c r="N115" s="8" t="s">
        <v>70</v>
      </c>
      <c r="O115" s="8">
        <f>IFERROR(VLOOKUP(N115,Kurallar!$G$3:$H$22,2,0),0)</f>
        <v>5</v>
      </c>
    </row>
    <row r="116" spans="1:15" hidden="1" x14ac:dyDescent="0.25">
      <c r="A116" s="8">
        <v>13</v>
      </c>
      <c r="B116" t="str">
        <f t="shared" si="22"/>
        <v>ЩОВ_S2</v>
      </c>
      <c r="C116" s="9" t="s">
        <v>31</v>
      </c>
      <c r="E116" s="9" t="s">
        <v>32</v>
      </c>
      <c r="F116" s="11"/>
      <c r="G116" s="11">
        <f>ROUND(SUM(H109:H115)*Kurallar!$B$2,2)</f>
        <v>5157.05</v>
      </c>
      <c r="H116" s="11">
        <f>G116*I116</f>
        <v>5157.05</v>
      </c>
      <c r="I116" s="8">
        <v>1</v>
      </c>
      <c r="J116" s="8" t="s">
        <v>19</v>
      </c>
      <c r="K116" s="8" t="s">
        <v>33</v>
      </c>
      <c r="L116" s="11">
        <f>H116*$I$108</f>
        <v>5157.05</v>
      </c>
      <c r="M116" s="9" t="s">
        <v>31</v>
      </c>
    </row>
    <row r="117" spans="1:15" hidden="1" x14ac:dyDescent="0.25">
      <c r="A117" s="8">
        <v>13</v>
      </c>
      <c r="B117" t="str">
        <f t="shared" si="22"/>
        <v>ЩОВ_S2</v>
      </c>
      <c r="C117" s="9" t="s">
        <v>34</v>
      </c>
      <c r="E117" s="9" t="s">
        <v>35</v>
      </c>
      <c r="F117" s="11">
        <f>ROUND(I117/60,1)</f>
        <v>2.1</v>
      </c>
      <c r="G117" s="11">
        <f>Kurallar!$B$3</f>
        <v>100</v>
      </c>
      <c r="H117" s="11">
        <f>G117*I117</f>
        <v>12500</v>
      </c>
      <c r="I117" s="8">
        <f>ROUND(SUMPRODUCT(I109:I115,O109:O115)*Kurallar!$B$4,0)</f>
        <v>125</v>
      </c>
      <c r="J117" s="8" t="s">
        <v>36</v>
      </c>
      <c r="K117" s="8" t="s">
        <v>33</v>
      </c>
      <c r="L117" s="11">
        <f>H117*$I$108</f>
        <v>12500</v>
      </c>
      <c r="M117" s="9" t="s">
        <v>34</v>
      </c>
    </row>
    <row r="118" spans="1:15" hidden="1" x14ac:dyDescent="0.25">
      <c r="A118" s="12"/>
      <c r="B118" s="13" t="s">
        <v>170</v>
      </c>
      <c r="C118" s="12"/>
      <c r="D118" s="12"/>
      <c r="E118" s="13" t="s">
        <v>171</v>
      </c>
      <c r="F118" s="12"/>
      <c r="G118" s="12"/>
      <c r="H118" s="14">
        <f>SUBTOTAL(9,H109:H117)</f>
        <v>0</v>
      </c>
      <c r="I118" s="15">
        <v>1</v>
      </c>
      <c r="J118" s="15" t="s">
        <v>19</v>
      </c>
      <c r="K118" s="12"/>
      <c r="L118" s="14">
        <f>SUBTOTAL(9,L109:L117)</f>
        <v>0</v>
      </c>
      <c r="M118" s="12"/>
      <c r="N118" s="12"/>
      <c r="O118" s="12"/>
    </row>
    <row r="119" spans="1:15" hidden="1" x14ac:dyDescent="0.25">
      <c r="A119" s="4">
        <v>14</v>
      </c>
      <c r="B119" s="5" t="s">
        <v>172</v>
      </c>
      <c r="C119" s="6" t="s">
        <v>18</v>
      </c>
      <c r="D119" s="6"/>
      <c r="E119" s="7" t="s">
        <v>172</v>
      </c>
      <c r="F119" s="6"/>
      <c r="G119" s="6"/>
      <c r="H119" s="6"/>
      <c r="I119" s="4">
        <v>11</v>
      </c>
      <c r="J119" s="4" t="s">
        <v>19</v>
      </c>
      <c r="K119" s="6"/>
      <c r="L119" s="6"/>
      <c r="M119" s="6"/>
      <c r="N119" s="6"/>
      <c r="O119" s="6"/>
    </row>
    <row r="120" spans="1:15" hidden="1" x14ac:dyDescent="0.25">
      <c r="A120" s="8">
        <v>14</v>
      </c>
      <c r="B120" s="9" t="str">
        <f t="shared" ref="B120:B127" si="25">B119</f>
        <v>ЩЭ_S2</v>
      </c>
      <c r="C120" s="9" t="s">
        <v>20</v>
      </c>
      <c r="D120" s="9" t="s">
        <v>173</v>
      </c>
      <c r="E120" s="10" t="s">
        <v>760</v>
      </c>
      <c r="F120" s="11">
        <v>78000</v>
      </c>
      <c r="G120" s="11">
        <f>IF(F120="","",ROUND(F120*VLOOKUP(K120,Kurallar!$D$3:$E$14,2,0),2))</f>
        <v>46800</v>
      </c>
      <c r="H120" s="11">
        <f t="shared" ref="H120:H125" si="26">IF(G120="","",G120*I120)</f>
        <v>46800</v>
      </c>
      <c r="I120" s="8">
        <v>1</v>
      </c>
      <c r="J120" s="8" t="s">
        <v>23</v>
      </c>
      <c r="K120" s="8" t="s">
        <v>24</v>
      </c>
      <c r="L120" s="11">
        <f t="shared" ref="L120:L125" si="27">IF(H120="","",H120*$I$119)</f>
        <v>514800</v>
      </c>
      <c r="M120" s="9" t="s">
        <v>20</v>
      </c>
      <c r="N120" s="8" t="s">
        <v>75</v>
      </c>
      <c r="O120" s="8">
        <f>IFERROR(VLOOKUP(N120,Kurallar!$G$3:$H$22,2,0),0)</f>
        <v>30</v>
      </c>
    </row>
    <row r="121" spans="1:15" hidden="1" x14ac:dyDescent="0.25">
      <c r="A121" s="8">
        <v>14</v>
      </c>
      <c r="B121" s="9" t="str">
        <f t="shared" si="25"/>
        <v>ЩЭ_S2</v>
      </c>
      <c r="C121" s="9" t="s">
        <v>26</v>
      </c>
      <c r="D121" s="9" t="s">
        <v>76</v>
      </c>
      <c r="E121" s="10" t="s">
        <v>77</v>
      </c>
      <c r="F121" s="11">
        <v>1421</v>
      </c>
      <c r="G121" s="11">
        <f>IF(F121="","",ROUND(F121*VLOOKUP(K121,Kurallar!$D$3:$E$14,2,0),2))</f>
        <v>852.6</v>
      </c>
      <c r="H121" s="11">
        <f t="shared" si="26"/>
        <v>4263</v>
      </c>
      <c r="I121" s="8">
        <v>5</v>
      </c>
      <c r="J121" s="8" t="s">
        <v>23</v>
      </c>
      <c r="K121" s="8" t="s">
        <v>29</v>
      </c>
      <c r="L121" s="11">
        <f t="shared" si="27"/>
        <v>46893</v>
      </c>
      <c r="M121" s="9" t="s">
        <v>26</v>
      </c>
      <c r="N121" s="8" t="s">
        <v>42</v>
      </c>
      <c r="O121" s="8">
        <f>IFERROR(VLOOKUP(N121,Kurallar!$G$3:$H$22,2,0),0)</f>
        <v>15</v>
      </c>
    </row>
    <row r="122" spans="1:15" hidden="1" x14ac:dyDescent="0.25">
      <c r="A122" s="8">
        <v>14</v>
      </c>
      <c r="B122" s="9" t="str">
        <f t="shared" si="25"/>
        <v>ЩЭ_S2</v>
      </c>
      <c r="C122" s="9" t="s">
        <v>50</v>
      </c>
      <c r="D122" s="9" t="s">
        <v>78</v>
      </c>
      <c r="E122" s="10" t="s">
        <v>79</v>
      </c>
      <c r="F122" s="11">
        <v>6215</v>
      </c>
      <c r="G122" s="11">
        <f>IF(F122="","",ROUND(F122*VLOOKUP(K122,Kurallar!$D$3:$E$14,2,0),2))</f>
        <v>3729</v>
      </c>
      <c r="H122" s="11">
        <f t="shared" si="26"/>
        <v>18645</v>
      </c>
      <c r="I122" s="8">
        <v>5</v>
      </c>
      <c r="J122" s="8" t="s">
        <v>23</v>
      </c>
      <c r="K122" s="8" t="s">
        <v>29</v>
      </c>
      <c r="L122" s="11">
        <f t="shared" si="27"/>
        <v>205095</v>
      </c>
      <c r="M122" s="9" t="s">
        <v>50</v>
      </c>
      <c r="N122" s="8" t="s">
        <v>53</v>
      </c>
      <c r="O122" s="8">
        <f>IFERROR(VLOOKUP(N122,Kurallar!$G$3:$H$22,2,0),0)</f>
        <v>16</v>
      </c>
    </row>
    <row r="123" spans="1:15" hidden="1" x14ac:dyDescent="0.25">
      <c r="A123" s="8">
        <v>14</v>
      </c>
      <c r="B123" s="9" t="str">
        <f t="shared" si="25"/>
        <v>ЩЭ_S2</v>
      </c>
      <c r="C123" s="9" t="s">
        <v>26</v>
      </c>
      <c r="D123" s="9" t="s">
        <v>80</v>
      </c>
      <c r="E123" s="10" t="s">
        <v>81</v>
      </c>
      <c r="F123" s="11">
        <v>3372</v>
      </c>
      <c r="G123" s="11">
        <f>IF(F123="","",ROUND(F123*VLOOKUP(K123,Kurallar!$D$3:$E$14,2,0),2))</f>
        <v>2023.2</v>
      </c>
      <c r="H123" s="11">
        <f t="shared" si="26"/>
        <v>2023.2</v>
      </c>
      <c r="I123" s="8">
        <v>1</v>
      </c>
      <c r="J123" s="8" t="s">
        <v>23</v>
      </c>
      <c r="K123" s="8" t="s">
        <v>29</v>
      </c>
      <c r="L123" s="11">
        <f t="shared" si="27"/>
        <v>22255.200000000001</v>
      </c>
      <c r="M123" s="9" t="s">
        <v>26</v>
      </c>
      <c r="N123" s="8" t="s">
        <v>42</v>
      </c>
      <c r="O123" s="8">
        <f>IFERROR(VLOOKUP(N123,Kurallar!$G$3:$H$22,2,0),0)</f>
        <v>15</v>
      </c>
    </row>
    <row r="124" spans="1:15" hidden="1" x14ac:dyDescent="0.25">
      <c r="A124" s="8">
        <v>14</v>
      </c>
      <c r="B124" s="9" t="str">
        <f t="shared" si="25"/>
        <v>ЩЭ_S2</v>
      </c>
      <c r="C124" s="9" t="s">
        <v>82</v>
      </c>
      <c r="D124" s="9" t="s">
        <v>83</v>
      </c>
      <c r="E124" s="10" t="s">
        <v>84</v>
      </c>
      <c r="F124" s="11">
        <v>0</v>
      </c>
      <c r="G124" s="11">
        <f>F124</f>
        <v>0</v>
      </c>
      <c r="H124" s="11">
        <f t="shared" si="26"/>
        <v>0</v>
      </c>
      <c r="I124" s="8">
        <v>5</v>
      </c>
      <c r="J124" s="8" t="s">
        <v>23</v>
      </c>
      <c r="K124" s="8" t="s">
        <v>751</v>
      </c>
      <c r="L124" s="11">
        <f t="shared" si="27"/>
        <v>0</v>
      </c>
      <c r="M124" s="9" t="s">
        <v>82</v>
      </c>
      <c r="N124" s="8" t="s">
        <v>85</v>
      </c>
      <c r="O124" s="8">
        <f>IFERROR(VLOOKUP(N124,Kurallar!$G$3:$H$22,2,0),0)</f>
        <v>25</v>
      </c>
    </row>
    <row r="125" spans="1:15" hidden="1" x14ac:dyDescent="0.25">
      <c r="A125" s="8">
        <v>14</v>
      </c>
      <c r="B125" s="9" t="str">
        <f t="shared" si="25"/>
        <v>ЩЭ_S2</v>
      </c>
      <c r="C125" s="9" t="s">
        <v>86</v>
      </c>
      <c r="D125" s="9" t="s">
        <v>87</v>
      </c>
      <c r="E125" s="10" t="s">
        <v>88</v>
      </c>
      <c r="F125" s="11">
        <v>1738</v>
      </c>
      <c r="G125" s="11">
        <f>IF(F125="","",ROUND(F125*VLOOKUP(K125,Kurallar!$D$3:$E$14,2,0),2))</f>
        <v>1042.8</v>
      </c>
      <c r="H125" s="11">
        <f t="shared" si="26"/>
        <v>1042.8</v>
      </c>
      <c r="I125" s="8">
        <v>1</v>
      </c>
      <c r="J125" s="8" t="s">
        <v>23</v>
      </c>
      <c r="K125" s="8" t="s">
        <v>29</v>
      </c>
      <c r="L125" s="11">
        <f t="shared" si="27"/>
        <v>11470.8</v>
      </c>
      <c r="M125" s="9" t="s">
        <v>86</v>
      </c>
      <c r="N125" s="8" t="s">
        <v>89</v>
      </c>
      <c r="O125" s="8">
        <f>IFERROR(VLOOKUP(N125,Kurallar!$G$3:$H$22,2,0),0)</f>
        <v>5</v>
      </c>
    </row>
    <row r="126" spans="1:15" hidden="1" x14ac:dyDescent="0.25">
      <c r="A126" s="8">
        <v>14</v>
      </c>
      <c r="B126" t="str">
        <f t="shared" si="25"/>
        <v>ЩЭ_S2</v>
      </c>
      <c r="C126" s="9" t="s">
        <v>31</v>
      </c>
      <c r="E126" s="9" t="s">
        <v>32</v>
      </c>
      <c r="F126" s="11"/>
      <c r="G126" s="11">
        <f>ROUND(SUM(H120:H125)*Kurallar!$B$2,2)</f>
        <v>8732.8799999999992</v>
      </c>
      <c r="H126" s="11">
        <f>G126*I126</f>
        <v>8732.8799999999992</v>
      </c>
      <c r="I126" s="8">
        <v>1</v>
      </c>
      <c r="J126" s="8" t="s">
        <v>19</v>
      </c>
      <c r="K126" s="8" t="s">
        <v>33</v>
      </c>
      <c r="L126" s="11">
        <f>H126*$I$119</f>
        <v>96061.68</v>
      </c>
      <c r="M126" s="9" t="s">
        <v>31</v>
      </c>
    </row>
    <row r="127" spans="1:15" hidden="1" x14ac:dyDescent="0.25">
      <c r="A127" s="8">
        <v>14</v>
      </c>
      <c r="B127" t="str">
        <f t="shared" si="25"/>
        <v>ЩЭ_S2</v>
      </c>
      <c r="C127" s="9" t="s">
        <v>34</v>
      </c>
      <c r="E127" s="9" t="s">
        <v>35</v>
      </c>
      <c r="F127" s="11">
        <f>ROUND(I127/60,1)</f>
        <v>6.3</v>
      </c>
      <c r="G127" s="11">
        <f>Kurallar!$B$3</f>
        <v>100</v>
      </c>
      <c r="H127" s="11">
        <f>G127*I127</f>
        <v>38000</v>
      </c>
      <c r="I127" s="8">
        <f>ROUND(SUMPRODUCT(I120:I125,O120:O125)*Kurallar!$B$4,0)</f>
        <v>380</v>
      </c>
      <c r="J127" s="8" t="s">
        <v>36</v>
      </c>
      <c r="K127" s="8" t="s">
        <v>33</v>
      </c>
      <c r="L127" s="11">
        <f>H127*$I$119</f>
        <v>418000</v>
      </c>
      <c r="M127" s="9" t="s">
        <v>34</v>
      </c>
    </row>
    <row r="128" spans="1:15" hidden="1" x14ac:dyDescent="0.25">
      <c r="A128" s="12"/>
      <c r="B128" s="13" t="s">
        <v>174</v>
      </c>
      <c r="C128" s="12"/>
      <c r="D128" s="12"/>
      <c r="E128" s="13" t="s">
        <v>175</v>
      </c>
      <c r="F128" s="12"/>
      <c r="G128" s="12"/>
      <c r="H128" s="14">
        <f>SUBTOTAL(9,H120:H127)</f>
        <v>0</v>
      </c>
      <c r="I128" s="15">
        <v>11</v>
      </c>
      <c r="J128" s="15" t="s">
        <v>19</v>
      </c>
      <c r="K128" s="12"/>
      <c r="L128" s="14">
        <f>SUBTOTAL(9,L120:L127)</f>
        <v>0</v>
      </c>
      <c r="M128" s="12"/>
      <c r="N128" s="12"/>
      <c r="O128" s="12"/>
    </row>
    <row r="129" spans="1:15" hidden="1" x14ac:dyDescent="0.25">
      <c r="A129" s="4">
        <v>15</v>
      </c>
      <c r="B129" s="5" t="s">
        <v>176</v>
      </c>
      <c r="C129" s="6" t="s">
        <v>18</v>
      </c>
      <c r="D129" s="6"/>
      <c r="E129" s="7" t="s">
        <v>176</v>
      </c>
      <c r="F129" s="6"/>
      <c r="G129" s="6"/>
      <c r="H129" s="6"/>
      <c r="I129" s="4">
        <v>33</v>
      </c>
      <c r="J129" s="4" t="s">
        <v>19</v>
      </c>
      <c r="K129" s="6"/>
      <c r="L129" s="6"/>
      <c r="M129" s="6"/>
      <c r="N129" s="6"/>
      <c r="O129" s="6"/>
    </row>
    <row r="130" spans="1:15" ht="24" hidden="1" x14ac:dyDescent="0.25">
      <c r="A130" s="8">
        <v>15</v>
      </c>
      <c r="B130" s="9" t="str">
        <f t="shared" ref="B130:B138" si="28">B129</f>
        <v>ЩК_S2</v>
      </c>
      <c r="C130" s="9" t="s">
        <v>20</v>
      </c>
      <c r="D130" s="9" t="s">
        <v>774</v>
      </c>
      <c r="E130" s="10" t="s">
        <v>775</v>
      </c>
      <c r="F130" s="11">
        <v>10700</v>
      </c>
      <c r="G130" s="11">
        <f>IF(F130="","",ROUND(F130*VLOOKUP(K130,Kurallar!$D$3:$E$14,2,0),2))</f>
        <v>10700</v>
      </c>
      <c r="H130" s="11">
        <f t="shared" ref="H130:H136" si="29">IF(G130="","",G130*I130)</f>
        <v>10700</v>
      </c>
      <c r="I130" s="8">
        <v>1</v>
      </c>
      <c r="J130" s="8" t="s">
        <v>23</v>
      </c>
      <c r="K130" s="8" t="s">
        <v>776</v>
      </c>
      <c r="L130" s="11">
        <f t="shared" ref="L130:L136" si="30">IF(H130="","",H130*$I$129)</f>
        <v>353100</v>
      </c>
      <c r="M130" s="9" t="s">
        <v>20</v>
      </c>
      <c r="N130" s="8" t="s">
        <v>25</v>
      </c>
      <c r="O130" s="8">
        <f>IFERROR(VLOOKUP(N130,Kurallar!$G$3:$H$22,2,0),0)</f>
        <v>8</v>
      </c>
    </row>
    <row r="131" spans="1:15" hidden="1" x14ac:dyDescent="0.25">
      <c r="A131" s="8">
        <v>15</v>
      </c>
      <c r="B131" s="9" t="str">
        <f t="shared" si="28"/>
        <v>ЩК_S2</v>
      </c>
      <c r="C131" s="9" t="s">
        <v>26</v>
      </c>
      <c r="D131" s="9" t="s">
        <v>772</v>
      </c>
      <c r="E131" s="10" t="s">
        <v>773</v>
      </c>
      <c r="F131" s="11">
        <v>2824</v>
      </c>
      <c r="G131" s="11">
        <f>IF(F131="","",ROUND(F131*VLOOKUP(K131,Kurallar!$D$3:$E$14,2,0),2))</f>
        <v>1694.4</v>
      </c>
      <c r="H131" s="11">
        <f t="shared" si="29"/>
        <v>1694.4</v>
      </c>
      <c r="I131" s="8">
        <v>1</v>
      </c>
      <c r="J131" s="8" t="s">
        <v>23</v>
      </c>
      <c r="K131" s="8" t="s">
        <v>29</v>
      </c>
      <c r="L131" s="11">
        <f t="shared" si="30"/>
        <v>55915.200000000004</v>
      </c>
      <c r="M131" s="9" t="s">
        <v>26</v>
      </c>
      <c r="N131" s="8" t="s">
        <v>42</v>
      </c>
      <c r="O131" s="8">
        <f>IFERROR(VLOOKUP(N131,Kurallar!$G$3:$H$22,2,0),0)</f>
        <v>15</v>
      </c>
    </row>
    <row r="132" spans="1:15" hidden="1" x14ac:dyDescent="0.25">
      <c r="A132" s="8">
        <v>15</v>
      </c>
      <c r="B132" s="9" t="str">
        <f t="shared" si="28"/>
        <v>ЩК_S2</v>
      </c>
      <c r="C132" s="9" t="s">
        <v>54</v>
      </c>
      <c r="D132" s="9" t="s">
        <v>93</v>
      </c>
      <c r="E132" s="10" t="s">
        <v>94</v>
      </c>
      <c r="F132" s="11">
        <v>783</v>
      </c>
      <c r="G132" s="11">
        <f>IF(F132="","",ROUND(F132*VLOOKUP(K132,Kurallar!$D$3:$E$14,2,0),2))</f>
        <v>469.8</v>
      </c>
      <c r="H132" s="11">
        <f t="shared" si="29"/>
        <v>469.8</v>
      </c>
      <c r="I132" s="8">
        <v>1</v>
      </c>
      <c r="J132" s="8" t="s">
        <v>23</v>
      </c>
      <c r="K132" s="8" t="s">
        <v>29</v>
      </c>
      <c r="L132" s="11">
        <f t="shared" si="30"/>
        <v>15503.4</v>
      </c>
      <c r="M132" s="9" t="s">
        <v>54</v>
      </c>
      <c r="N132" s="8" t="s">
        <v>57</v>
      </c>
      <c r="O132" s="8">
        <f>IFERROR(VLOOKUP(N132,Kurallar!$G$3:$H$22,2,0),0)</f>
        <v>3</v>
      </c>
    </row>
    <row r="133" spans="1:15" hidden="1" x14ac:dyDescent="0.25">
      <c r="A133" s="8">
        <v>15</v>
      </c>
      <c r="B133" s="9" t="str">
        <f t="shared" si="28"/>
        <v>ЩК_S2</v>
      </c>
      <c r="C133" s="9" t="s">
        <v>54</v>
      </c>
      <c r="D133" s="9" t="s">
        <v>95</v>
      </c>
      <c r="E133" s="10" t="s">
        <v>96</v>
      </c>
      <c r="F133" s="11">
        <v>796</v>
      </c>
      <c r="G133" s="11">
        <f>IF(F133="","",ROUND(F133*VLOOKUP(K133,Kurallar!$D$3:$E$14,2,0),2))</f>
        <v>477.6</v>
      </c>
      <c r="H133" s="11">
        <f t="shared" si="29"/>
        <v>1432.8000000000002</v>
      </c>
      <c r="I133" s="8">
        <v>3</v>
      </c>
      <c r="J133" s="8" t="s">
        <v>23</v>
      </c>
      <c r="K133" s="8" t="s">
        <v>29</v>
      </c>
      <c r="L133" s="11">
        <f t="shared" si="30"/>
        <v>47282.400000000009</v>
      </c>
      <c r="M133" s="9" t="s">
        <v>54</v>
      </c>
      <c r="N133" s="8" t="s">
        <v>57</v>
      </c>
      <c r="O133" s="8">
        <f>IFERROR(VLOOKUP(N133,Kurallar!$G$3:$H$22,2,0),0)</f>
        <v>3</v>
      </c>
    </row>
    <row r="134" spans="1:15" hidden="1" x14ac:dyDescent="0.25">
      <c r="A134" s="8">
        <v>15</v>
      </c>
      <c r="B134" s="9" t="str">
        <f t="shared" si="28"/>
        <v>ЩК_S2</v>
      </c>
      <c r="C134" s="9" t="s">
        <v>50</v>
      </c>
      <c r="D134" s="9" t="s">
        <v>97</v>
      </c>
      <c r="E134" s="10" t="s">
        <v>98</v>
      </c>
      <c r="F134" s="11">
        <v>5556</v>
      </c>
      <c r="G134" s="11">
        <f>IF(F134="","",ROUND(F134*VLOOKUP(K134,Kurallar!$D$3:$E$14,2,0),2))</f>
        <v>3333.6</v>
      </c>
      <c r="H134" s="11">
        <f t="shared" si="29"/>
        <v>6667.2</v>
      </c>
      <c r="I134" s="8">
        <v>2</v>
      </c>
      <c r="J134" s="8" t="s">
        <v>23</v>
      </c>
      <c r="K134" s="8" t="s">
        <v>29</v>
      </c>
      <c r="L134" s="11">
        <f t="shared" si="30"/>
        <v>220017.6</v>
      </c>
      <c r="M134" s="9" t="s">
        <v>50</v>
      </c>
      <c r="N134" s="8" t="s">
        <v>53</v>
      </c>
      <c r="O134" s="8">
        <f>IFERROR(VLOOKUP(N134,Kurallar!$G$3:$H$22,2,0),0)</f>
        <v>16</v>
      </c>
    </row>
    <row r="135" spans="1:15" hidden="1" x14ac:dyDescent="0.25">
      <c r="A135" s="8">
        <v>15</v>
      </c>
      <c r="B135" s="9" t="str">
        <f t="shared" si="28"/>
        <v>ЩК_S2</v>
      </c>
      <c r="C135" s="9" t="s">
        <v>50</v>
      </c>
      <c r="D135" s="9" t="s">
        <v>99</v>
      </c>
      <c r="E135" s="10" t="s">
        <v>100</v>
      </c>
      <c r="F135" s="11">
        <v>5632</v>
      </c>
      <c r="G135" s="11">
        <f>IF(F135="","",ROUND(F135*VLOOKUP(K135,Kurallar!$D$3:$E$14,2,0),2))</f>
        <v>3379.2</v>
      </c>
      <c r="H135" s="11">
        <f t="shared" si="29"/>
        <v>6758.4</v>
      </c>
      <c r="I135" s="8">
        <v>2</v>
      </c>
      <c r="J135" s="8" t="s">
        <v>23</v>
      </c>
      <c r="K135" s="8" t="s">
        <v>29</v>
      </c>
      <c r="L135" s="11">
        <f t="shared" si="30"/>
        <v>223027.19999999998</v>
      </c>
      <c r="M135" s="9" t="s">
        <v>50</v>
      </c>
      <c r="N135" s="8" t="s">
        <v>53</v>
      </c>
      <c r="O135" s="8">
        <f>IFERROR(VLOOKUP(N135,Kurallar!$G$3:$H$22,2,0),0)</f>
        <v>16</v>
      </c>
    </row>
    <row r="136" spans="1:15" hidden="1" x14ac:dyDescent="0.25">
      <c r="A136" s="8">
        <v>15</v>
      </c>
      <c r="B136" s="9" t="str">
        <f t="shared" si="28"/>
        <v>ЩК_S2</v>
      </c>
      <c r="C136" s="9" t="s">
        <v>58</v>
      </c>
      <c r="D136" s="9" t="s">
        <v>101</v>
      </c>
      <c r="E136" s="10" t="s">
        <v>102</v>
      </c>
      <c r="F136" s="11">
        <v>12834</v>
      </c>
      <c r="G136" s="11">
        <f>IF(F136="","",ROUND(F136*VLOOKUP(K136,Kurallar!$D$3:$E$14,2,0),2))</f>
        <v>7700.4</v>
      </c>
      <c r="H136" s="11">
        <f t="shared" si="29"/>
        <v>7700.4</v>
      </c>
      <c r="I136" s="8">
        <v>1</v>
      </c>
      <c r="J136" s="8" t="s">
        <v>23</v>
      </c>
      <c r="K136" s="8" t="s">
        <v>29</v>
      </c>
      <c r="L136" s="11">
        <f t="shared" si="30"/>
        <v>254113.19999999998</v>
      </c>
      <c r="M136" s="9" t="s">
        <v>58</v>
      </c>
      <c r="N136" s="8" t="s">
        <v>61</v>
      </c>
      <c r="O136" s="8">
        <f>IFERROR(VLOOKUP(N136,Kurallar!$G$3:$H$22,2,0),0)</f>
        <v>15</v>
      </c>
    </row>
    <row r="137" spans="1:15" hidden="1" x14ac:dyDescent="0.25">
      <c r="A137" s="8">
        <v>15</v>
      </c>
      <c r="B137" t="str">
        <f t="shared" si="28"/>
        <v>ЩК_S2</v>
      </c>
      <c r="C137" s="9" t="s">
        <v>31</v>
      </c>
      <c r="E137" s="9" t="s">
        <v>32</v>
      </c>
      <c r="F137" s="11"/>
      <c r="G137" s="11">
        <f>ROUND(SUM(H130:H136)*Kurallar!$B$2,2)</f>
        <v>4250.76</v>
      </c>
      <c r="H137" s="11">
        <f>G137*I137</f>
        <v>4250.76</v>
      </c>
      <c r="I137" s="8">
        <v>1</v>
      </c>
      <c r="J137" s="8" t="s">
        <v>19</v>
      </c>
      <c r="K137" s="8" t="s">
        <v>33</v>
      </c>
      <c r="L137" s="11">
        <f>H137*$I$129</f>
        <v>140275.08000000002</v>
      </c>
      <c r="M137" s="9" t="s">
        <v>31</v>
      </c>
    </row>
    <row r="138" spans="1:15" hidden="1" x14ac:dyDescent="0.25">
      <c r="A138" s="8">
        <v>15</v>
      </c>
      <c r="B138" t="str">
        <f t="shared" si="28"/>
        <v>ЩК_S2</v>
      </c>
      <c r="C138" s="9" t="s">
        <v>34</v>
      </c>
      <c r="E138" s="9" t="s">
        <v>35</v>
      </c>
      <c r="F138" s="11">
        <f>ROUND(I138/60,1)</f>
        <v>2.2000000000000002</v>
      </c>
      <c r="G138" s="11">
        <f>Kurallar!$B$3</f>
        <v>100</v>
      </c>
      <c r="H138" s="11">
        <f>G138*I138</f>
        <v>13100</v>
      </c>
      <c r="I138" s="8">
        <f>ROUND(SUMPRODUCT(I130:I136,O130:O136)*Kurallar!$B$4,0)</f>
        <v>131</v>
      </c>
      <c r="J138" s="8" t="s">
        <v>36</v>
      </c>
      <c r="K138" s="8" t="s">
        <v>33</v>
      </c>
      <c r="L138" s="11">
        <f>H138*$I$129</f>
        <v>432300</v>
      </c>
      <c r="M138" s="9" t="s">
        <v>34</v>
      </c>
    </row>
    <row r="139" spans="1:15" hidden="1" x14ac:dyDescent="0.25">
      <c r="A139" s="12"/>
      <c r="B139" s="13" t="s">
        <v>177</v>
      </c>
      <c r="C139" s="12"/>
      <c r="D139" s="12"/>
      <c r="E139" s="13" t="s">
        <v>178</v>
      </c>
      <c r="F139" s="12"/>
      <c r="G139" s="12"/>
      <c r="H139" s="14">
        <f>SUBTOTAL(9,H130:H138)</f>
        <v>0</v>
      </c>
      <c r="I139" s="15">
        <v>33</v>
      </c>
      <c r="J139" s="15" t="s">
        <v>19</v>
      </c>
      <c r="K139" s="12"/>
      <c r="L139" s="14">
        <f>SUBTOTAL(9,L130:L138)</f>
        <v>0</v>
      </c>
      <c r="M139" s="12"/>
      <c r="N139" s="12"/>
      <c r="O139" s="12"/>
    </row>
    <row r="140" spans="1:15" hidden="1" x14ac:dyDescent="0.25">
      <c r="A140" s="4">
        <v>16</v>
      </c>
      <c r="B140" s="5" t="s">
        <v>179</v>
      </c>
      <c r="C140" s="6" t="s">
        <v>18</v>
      </c>
      <c r="D140" s="6"/>
      <c r="E140" s="7" t="s">
        <v>179</v>
      </c>
      <c r="F140" s="6"/>
      <c r="G140" s="6"/>
      <c r="H140" s="6"/>
      <c r="I140" s="4">
        <v>22</v>
      </c>
      <c r="J140" s="4" t="s">
        <v>19</v>
      </c>
      <c r="K140" s="6"/>
      <c r="L140" s="6"/>
      <c r="M140" s="6"/>
      <c r="N140" s="6"/>
      <c r="O140" s="6"/>
    </row>
    <row r="141" spans="1:15" ht="24" hidden="1" x14ac:dyDescent="0.25">
      <c r="A141" s="8">
        <v>16</v>
      </c>
      <c r="B141" s="9" t="str">
        <f t="shared" ref="B141:B149" si="31">B140</f>
        <v>ЩК2_S2</v>
      </c>
      <c r="C141" s="9" t="s">
        <v>20</v>
      </c>
      <c r="D141" s="9" t="s">
        <v>774</v>
      </c>
      <c r="E141" s="10" t="s">
        <v>775</v>
      </c>
      <c r="F141" s="11">
        <v>10700</v>
      </c>
      <c r="G141" s="11">
        <f>IF(F141="","",ROUND(F141*VLOOKUP(K141,Kurallar!$D$3:$E$14,2,0),2))</f>
        <v>10700</v>
      </c>
      <c r="H141" s="11">
        <f t="shared" ref="H141:H147" si="32">IF(G141="","",G141*I141)</f>
        <v>10700</v>
      </c>
      <c r="I141" s="8">
        <v>1</v>
      </c>
      <c r="J141" s="8" t="s">
        <v>23</v>
      </c>
      <c r="K141" s="8" t="s">
        <v>776</v>
      </c>
      <c r="L141" s="11">
        <f t="shared" ref="L141:L147" si="33">IF(H141="","",H141*$I$140)</f>
        <v>235400</v>
      </c>
      <c r="M141" s="9" t="s">
        <v>20</v>
      </c>
      <c r="N141" s="8" t="s">
        <v>25</v>
      </c>
      <c r="O141" s="8">
        <f>IFERROR(VLOOKUP(N141,Kurallar!$G$3:$H$22,2,0),0)</f>
        <v>8</v>
      </c>
    </row>
    <row r="142" spans="1:15" hidden="1" x14ac:dyDescent="0.25">
      <c r="A142" s="8">
        <v>16</v>
      </c>
      <c r="B142" s="9" t="str">
        <f t="shared" si="31"/>
        <v>ЩК2_S2</v>
      </c>
      <c r="C142" s="9" t="s">
        <v>26</v>
      </c>
      <c r="D142" s="9" t="s">
        <v>772</v>
      </c>
      <c r="E142" s="10" t="s">
        <v>773</v>
      </c>
      <c r="F142" s="11">
        <v>2824</v>
      </c>
      <c r="G142" s="11">
        <f>IF(F142="","",ROUND(F142*VLOOKUP(K142,Kurallar!$D$3:$E$14,2,0),2))</f>
        <v>1694.4</v>
      </c>
      <c r="H142" s="11">
        <f t="shared" si="32"/>
        <v>1694.4</v>
      </c>
      <c r="I142" s="8">
        <v>1</v>
      </c>
      <c r="J142" s="8" t="s">
        <v>23</v>
      </c>
      <c r="K142" s="8" t="s">
        <v>29</v>
      </c>
      <c r="L142" s="11">
        <f t="shared" si="33"/>
        <v>37276.800000000003</v>
      </c>
      <c r="M142" s="9" t="s">
        <v>26</v>
      </c>
      <c r="N142" s="8" t="s">
        <v>42</v>
      </c>
      <c r="O142" s="8">
        <f>IFERROR(VLOOKUP(N142,Kurallar!$G$3:$H$22,2,0),0)</f>
        <v>15</v>
      </c>
    </row>
    <row r="143" spans="1:15" hidden="1" x14ac:dyDescent="0.25">
      <c r="A143" s="8">
        <v>16</v>
      </c>
      <c r="B143" s="9" t="str">
        <f t="shared" si="31"/>
        <v>ЩК2_S2</v>
      </c>
      <c r="C143" s="9" t="s">
        <v>54</v>
      </c>
      <c r="D143" s="9" t="s">
        <v>93</v>
      </c>
      <c r="E143" s="10" t="s">
        <v>94</v>
      </c>
      <c r="F143" s="11">
        <v>783</v>
      </c>
      <c r="G143" s="11">
        <f>IF(F143="","",ROUND(F143*VLOOKUP(K143,Kurallar!$D$3:$E$14,2,0),2))</f>
        <v>469.8</v>
      </c>
      <c r="H143" s="11">
        <f t="shared" si="32"/>
        <v>469.8</v>
      </c>
      <c r="I143" s="8">
        <v>1</v>
      </c>
      <c r="J143" s="8" t="s">
        <v>23</v>
      </c>
      <c r="K143" s="8" t="s">
        <v>29</v>
      </c>
      <c r="L143" s="11">
        <f t="shared" si="33"/>
        <v>10335.6</v>
      </c>
      <c r="M143" s="9" t="s">
        <v>54</v>
      </c>
      <c r="N143" s="8" t="s">
        <v>57</v>
      </c>
      <c r="O143" s="8">
        <f>IFERROR(VLOOKUP(N143,Kurallar!$G$3:$H$22,2,0),0)</f>
        <v>3</v>
      </c>
    </row>
    <row r="144" spans="1:15" hidden="1" x14ac:dyDescent="0.25">
      <c r="A144" s="8">
        <v>16</v>
      </c>
      <c r="B144" s="9" t="str">
        <f t="shared" si="31"/>
        <v>ЩК2_S2</v>
      </c>
      <c r="C144" s="9" t="s">
        <v>54</v>
      </c>
      <c r="D144" s="9" t="s">
        <v>95</v>
      </c>
      <c r="E144" s="10" t="s">
        <v>96</v>
      </c>
      <c r="F144" s="11">
        <v>796</v>
      </c>
      <c r="G144" s="11">
        <f>IF(F144="","",ROUND(F144*VLOOKUP(K144,Kurallar!$D$3:$E$14,2,0),2))</f>
        <v>477.6</v>
      </c>
      <c r="H144" s="11">
        <f t="shared" si="32"/>
        <v>1910.4</v>
      </c>
      <c r="I144" s="8">
        <v>4</v>
      </c>
      <c r="J144" s="8" t="s">
        <v>23</v>
      </c>
      <c r="K144" s="8" t="s">
        <v>29</v>
      </c>
      <c r="L144" s="11">
        <f t="shared" si="33"/>
        <v>42028.800000000003</v>
      </c>
      <c r="M144" s="9" t="s">
        <v>54</v>
      </c>
      <c r="N144" s="8" t="s">
        <v>57</v>
      </c>
      <c r="O144" s="8">
        <f>IFERROR(VLOOKUP(N144,Kurallar!$G$3:$H$22,2,0),0)</f>
        <v>3</v>
      </c>
    </row>
    <row r="145" spans="1:15" hidden="1" x14ac:dyDescent="0.25">
      <c r="A145" s="8">
        <v>16</v>
      </c>
      <c r="B145" s="9" t="str">
        <f t="shared" si="31"/>
        <v>ЩК2_S2</v>
      </c>
      <c r="C145" s="9" t="s">
        <v>50</v>
      </c>
      <c r="D145" s="9" t="s">
        <v>97</v>
      </c>
      <c r="E145" s="10" t="s">
        <v>98</v>
      </c>
      <c r="F145" s="11">
        <v>5556</v>
      </c>
      <c r="G145" s="11">
        <f>IF(F145="","",ROUND(F145*VLOOKUP(K145,Kurallar!$D$3:$E$14,2,0),2))</f>
        <v>3333.6</v>
      </c>
      <c r="H145" s="11">
        <f t="shared" si="32"/>
        <v>6667.2</v>
      </c>
      <c r="I145" s="8">
        <v>2</v>
      </c>
      <c r="J145" s="8" t="s">
        <v>23</v>
      </c>
      <c r="K145" s="8" t="s">
        <v>29</v>
      </c>
      <c r="L145" s="11">
        <f t="shared" si="33"/>
        <v>146678.39999999999</v>
      </c>
      <c r="M145" s="9" t="s">
        <v>50</v>
      </c>
      <c r="N145" s="8" t="s">
        <v>53</v>
      </c>
      <c r="O145" s="8">
        <f>IFERROR(VLOOKUP(N145,Kurallar!$G$3:$H$22,2,0),0)</f>
        <v>16</v>
      </c>
    </row>
    <row r="146" spans="1:15" hidden="1" x14ac:dyDescent="0.25">
      <c r="A146" s="8">
        <v>16</v>
      </c>
      <c r="B146" s="9" t="str">
        <f t="shared" si="31"/>
        <v>ЩК2_S2</v>
      </c>
      <c r="C146" s="9" t="s">
        <v>50</v>
      </c>
      <c r="D146" s="9" t="s">
        <v>99</v>
      </c>
      <c r="E146" s="10" t="s">
        <v>100</v>
      </c>
      <c r="F146" s="11">
        <v>5632</v>
      </c>
      <c r="G146" s="11">
        <f>IF(F146="","",ROUND(F146*VLOOKUP(K146,Kurallar!$D$3:$E$14,2,0),2))</f>
        <v>3379.2</v>
      </c>
      <c r="H146" s="11">
        <f t="shared" si="32"/>
        <v>6758.4</v>
      </c>
      <c r="I146" s="8">
        <v>2</v>
      </c>
      <c r="J146" s="8" t="s">
        <v>23</v>
      </c>
      <c r="K146" s="8" t="s">
        <v>29</v>
      </c>
      <c r="L146" s="11">
        <f t="shared" si="33"/>
        <v>148684.79999999999</v>
      </c>
      <c r="M146" s="9" t="s">
        <v>50</v>
      </c>
      <c r="N146" s="8" t="s">
        <v>53</v>
      </c>
      <c r="O146" s="8">
        <f>IFERROR(VLOOKUP(N146,Kurallar!$G$3:$H$22,2,0),0)</f>
        <v>16</v>
      </c>
    </row>
    <row r="147" spans="1:15" hidden="1" x14ac:dyDescent="0.25">
      <c r="A147" s="8">
        <v>16</v>
      </c>
      <c r="B147" s="9" t="str">
        <f t="shared" si="31"/>
        <v>ЩК2_S2</v>
      </c>
      <c r="C147" s="9" t="s">
        <v>58</v>
      </c>
      <c r="D147" s="9" t="s">
        <v>101</v>
      </c>
      <c r="E147" s="10" t="s">
        <v>102</v>
      </c>
      <c r="F147" s="11">
        <v>12834</v>
      </c>
      <c r="G147" s="11">
        <f>IF(F147="","",ROUND(F147*VLOOKUP(K147,Kurallar!$D$3:$E$14,2,0),2))</f>
        <v>7700.4</v>
      </c>
      <c r="H147" s="11">
        <f t="shared" si="32"/>
        <v>7700.4</v>
      </c>
      <c r="I147" s="8">
        <v>1</v>
      </c>
      <c r="J147" s="8" t="s">
        <v>23</v>
      </c>
      <c r="K147" s="8" t="s">
        <v>29</v>
      </c>
      <c r="L147" s="11">
        <f t="shared" si="33"/>
        <v>169408.8</v>
      </c>
      <c r="M147" s="9" t="s">
        <v>58</v>
      </c>
      <c r="N147" s="8" t="s">
        <v>61</v>
      </c>
      <c r="O147" s="8">
        <f>IFERROR(VLOOKUP(N147,Kurallar!$G$3:$H$22,2,0),0)</f>
        <v>15</v>
      </c>
    </row>
    <row r="148" spans="1:15" hidden="1" x14ac:dyDescent="0.25">
      <c r="A148" s="8">
        <v>16</v>
      </c>
      <c r="B148" t="str">
        <f t="shared" si="31"/>
        <v>ЩК2_S2</v>
      </c>
      <c r="C148" s="9" t="s">
        <v>31</v>
      </c>
      <c r="E148" s="9" t="s">
        <v>32</v>
      </c>
      <c r="F148" s="11"/>
      <c r="G148" s="11">
        <f>ROUND(SUM(H141:H147)*Kurallar!$B$2,2)</f>
        <v>4308.07</v>
      </c>
      <c r="H148" s="11">
        <f>G148*I148</f>
        <v>4308.07</v>
      </c>
      <c r="I148" s="8">
        <v>1</v>
      </c>
      <c r="J148" s="8" t="s">
        <v>19</v>
      </c>
      <c r="K148" s="8" t="s">
        <v>33</v>
      </c>
      <c r="L148" s="11">
        <f>H148*$I$140</f>
        <v>94777.54</v>
      </c>
      <c r="M148" s="9" t="s">
        <v>31</v>
      </c>
    </row>
    <row r="149" spans="1:15" hidden="1" x14ac:dyDescent="0.25">
      <c r="A149" s="8">
        <v>16</v>
      </c>
      <c r="B149" t="str">
        <f t="shared" si="31"/>
        <v>ЩК2_S2</v>
      </c>
      <c r="C149" s="9" t="s">
        <v>34</v>
      </c>
      <c r="E149" s="9" t="s">
        <v>35</v>
      </c>
      <c r="F149" s="11">
        <f>ROUND(I149/60,1)</f>
        <v>2.2999999999999998</v>
      </c>
      <c r="G149" s="11">
        <f>Kurallar!$B$3</f>
        <v>100</v>
      </c>
      <c r="H149" s="11">
        <f>G149*I149</f>
        <v>13500</v>
      </c>
      <c r="I149" s="8">
        <f>ROUND(SUMPRODUCT(I141:I147,O141:O147)*Kurallar!$B$4,0)</f>
        <v>135</v>
      </c>
      <c r="J149" s="8" t="s">
        <v>36</v>
      </c>
      <c r="K149" s="8" t="s">
        <v>33</v>
      </c>
      <c r="L149" s="11">
        <f>H149*$I$140</f>
        <v>297000</v>
      </c>
      <c r="M149" s="9" t="s">
        <v>34</v>
      </c>
    </row>
    <row r="150" spans="1:15" hidden="1" x14ac:dyDescent="0.25">
      <c r="A150" s="12"/>
      <c r="B150" s="13" t="s">
        <v>180</v>
      </c>
      <c r="C150" s="12"/>
      <c r="D150" s="12"/>
      <c r="E150" s="13" t="s">
        <v>181</v>
      </c>
      <c r="F150" s="12"/>
      <c r="G150" s="12"/>
      <c r="H150" s="14">
        <f>SUBTOTAL(9,H141:H149)</f>
        <v>0</v>
      </c>
      <c r="I150" s="15">
        <v>22</v>
      </c>
      <c r="J150" s="15" t="s">
        <v>19</v>
      </c>
      <c r="K150" s="12"/>
      <c r="L150" s="14">
        <f>SUBTOTAL(9,L141:L149)</f>
        <v>0</v>
      </c>
      <c r="M150" s="12"/>
      <c r="N150" s="12"/>
      <c r="O150" s="12"/>
    </row>
    <row r="151" spans="1:15" hidden="1" x14ac:dyDescent="0.25">
      <c r="A151" s="4">
        <v>17</v>
      </c>
      <c r="B151" s="5" t="s">
        <v>182</v>
      </c>
      <c r="C151" s="6" t="s">
        <v>18</v>
      </c>
      <c r="D151" s="6"/>
      <c r="E151" s="7" t="s">
        <v>182</v>
      </c>
      <c r="F151" s="6"/>
      <c r="G151" s="6"/>
      <c r="H151" s="6"/>
      <c r="I151" s="4">
        <v>1</v>
      </c>
      <c r="J151" s="4" t="s">
        <v>19</v>
      </c>
      <c r="K151" s="6"/>
      <c r="L151" s="6"/>
      <c r="M151" s="6"/>
      <c r="N151" s="6"/>
      <c r="O151" s="6"/>
    </row>
    <row r="152" spans="1:15" hidden="1" x14ac:dyDescent="0.25">
      <c r="A152" s="8">
        <v>17</v>
      </c>
      <c r="B152" s="9" t="str">
        <f t="shared" ref="B152:B164" si="34">B151</f>
        <v>ДУ1 (ШУН/В-R3 15.0 квТ) (S2)</v>
      </c>
      <c r="C152" s="9" t="s">
        <v>20</v>
      </c>
      <c r="D152" s="9" t="s">
        <v>109</v>
      </c>
      <c r="E152" s="10" t="s">
        <v>110</v>
      </c>
      <c r="F152" s="11">
        <v>10305</v>
      </c>
      <c r="G152" s="11">
        <f>IF(F152="","",ROUND(F152*VLOOKUP(K152,Kurallar!$D$3:$E$14,2,0),2))</f>
        <v>6183</v>
      </c>
      <c r="H152" s="11">
        <f t="shared" ref="H152" si="35">IF(G152="","",G152*I152)</f>
        <v>6183</v>
      </c>
      <c r="I152" s="8">
        <v>1</v>
      </c>
      <c r="J152" s="8" t="s">
        <v>23</v>
      </c>
      <c r="K152" s="8" t="s">
        <v>24</v>
      </c>
      <c r="L152" s="11">
        <f t="shared" ref="L152:L162" si="36">IF(H152="","",H152*$I$151)</f>
        <v>6183</v>
      </c>
      <c r="M152" s="9" t="s">
        <v>20</v>
      </c>
      <c r="N152" s="8" t="s">
        <v>25</v>
      </c>
      <c r="O152" s="8">
        <f>IFERROR(VLOOKUP(N152,Kurallar!$G$3:$H$22,2,0),0)</f>
        <v>8</v>
      </c>
    </row>
    <row r="153" spans="1:15" hidden="1" x14ac:dyDescent="0.25">
      <c r="A153" s="8">
        <v>17</v>
      </c>
      <c r="B153" s="9" t="str">
        <f t="shared" si="34"/>
        <v>ДУ1 (ШУН/В-R3 15.0 квТ) (S2)</v>
      </c>
      <c r="C153" s="9" t="s">
        <v>54</v>
      </c>
      <c r="D153" s="9" t="s">
        <v>183</v>
      </c>
      <c r="E153" s="10" t="s">
        <v>184</v>
      </c>
      <c r="F153" s="11">
        <v>3985</v>
      </c>
      <c r="G153" s="11">
        <f>IF(F153="","",ROUND(F153*VLOOKUP(K153,Kurallar!$D$3:$E$14,2,0),2))</f>
        <v>2391</v>
      </c>
      <c r="H153" s="11">
        <f t="shared" ref="H153:H162" si="37">IF(G153="","",G153*I153)</f>
        <v>2391</v>
      </c>
      <c r="I153" s="8">
        <v>1</v>
      </c>
      <c r="J153" s="8" t="s">
        <v>23</v>
      </c>
      <c r="K153" s="8" t="s">
        <v>29</v>
      </c>
      <c r="L153" s="11">
        <f t="shared" si="36"/>
        <v>2391</v>
      </c>
      <c r="M153" s="9" t="s">
        <v>54</v>
      </c>
      <c r="N153" s="8" t="s">
        <v>113</v>
      </c>
      <c r="O153" s="8">
        <f>IFERROR(VLOOKUP(N153,Kurallar!$G$3:$H$22,2,0),0)</f>
        <v>10</v>
      </c>
    </row>
    <row r="154" spans="1:15" hidden="1" x14ac:dyDescent="0.25">
      <c r="A154" s="8">
        <v>17</v>
      </c>
      <c r="B154" s="9" t="str">
        <f t="shared" si="34"/>
        <v>ДУ1 (ШУН/В-R3 15.0 квТ) (S2)</v>
      </c>
      <c r="C154" s="9" t="s">
        <v>58</v>
      </c>
      <c r="D154" s="9" t="s">
        <v>185</v>
      </c>
      <c r="E154" s="10" t="s">
        <v>186</v>
      </c>
      <c r="F154" s="11">
        <v>16855</v>
      </c>
      <c r="G154" s="11">
        <f>IF(F154="","",ROUND(F154*VLOOKUP(K154,Kurallar!$D$3:$E$14,2,0),2))</f>
        <v>10113</v>
      </c>
      <c r="H154" s="11">
        <f t="shared" si="37"/>
        <v>10113</v>
      </c>
      <c r="I154" s="8">
        <v>1</v>
      </c>
      <c r="J154" s="8" t="s">
        <v>23</v>
      </c>
      <c r="K154" s="8" t="s">
        <v>29</v>
      </c>
      <c r="L154" s="11">
        <f t="shared" si="36"/>
        <v>10113</v>
      </c>
      <c r="M154" s="9" t="s">
        <v>58</v>
      </c>
      <c r="N154" s="8" t="s">
        <v>61</v>
      </c>
      <c r="O154" s="8">
        <f>IFERROR(VLOOKUP(N154,Kurallar!$G$3:$H$22,2,0),0)</f>
        <v>15</v>
      </c>
    </row>
    <row r="155" spans="1:15" hidden="1" x14ac:dyDescent="0.25">
      <c r="A155" s="8">
        <v>17</v>
      </c>
      <c r="B155" s="9" t="str">
        <f t="shared" si="34"/>
        <v>ДУ1 (ШУН/В-R3 15.0 квТ) (S2)</v>
      </c>
      <c r="C155" s="9" t="s">
        <v>86</v>
      </c>
      <c r="D155" s="9" t="s">
        <v>116</v>
      </c>
      <c r="E155" s="10" t="s">
        <v>117</v>
      </c>
      <c r="F155" s="11">
        <v>571</v>
      </c>
      <c r="G155" s="11">
        <f>IF(F155="","",ROUND(F155*VLOOKUP(K155,Kurallar!$D$3:$E$14,2,0),2))</f>
        <v>342.6</v>
      </c>
      <c r="H155" s="11">
        <f t="shared" si="37"/>
        <v>342.6</v>
      </c>
      <c r="I155" s="8">
        <v>1</v>
      </c>
      <c r="J155" s="8" t="s">
        <v>23</v>
      </c>
      <c r="K155" s="8" t="s">
        <v>29</v>
      </c>
      <c r="L155" s="11">
        <f t="shared" si="36"/>
        <v>342.6</v>
      </c>
      <c r="M155" s="9" t="s">
        <v>86</v>
      </c>
      <c r="N155" s="8" t="s">
        <v>89</v>
      </c>
      <c r="O155" s="8">
        <f>IFERROR(VLOOKUP(N155,Kurallar!$G$3:$H$22,2,0),0)</f>
        <v>5</v>
      </c>
    </row>
    <row r="156" spans="1:15" hidden="1" x14ac:dyDescent="0.25">
      <c r="A156" s="8">
        <v>17</v>
      </c>
      <c r="B156" s="9" t="str">
        <f t="shared" si="34"/>
        <v>ДУ1 (ШУН/В-R3 15.0 квТ) (S2)</v>
      </c>
      <c r="C156" s="9" t="s">
        <v>86</v>
      </c>
      <c r="D156" s="9" t="s">
        <v>118</v>
      </c>
      <c r="E156" s="10" t="s">
        <v>119</v>
      </c>
      <c r="F156" s="11">
        <v>589</v>
      </c>
      <c r="G156" s="11">
        <f>IF(F156="","",ROUND(F156*VLOOKUP(K156,Kurallar!$D$3:$E$14,2,0),2))</f>
        <v>353.4</v>
      </c>
      <c r="H156" s="11">
        <f t="shared" si="37"/>
        <v>353.4</v>
      </c>
      <c r="I156" s="8">
        <v>1</v>
      </c>
      <c r="J156" s="8" t="s">
        <v>23</v>
      </c>
      <c r="K156" s="8" t="s">
        <v>29</v>
      </c>
      <c r="L156" s="11">
        <f t="shared" si="36"/>
        <v>353.4</v>
      </c>
      <c r="M156" s="9" t="s">
        <v>86</v>
      </c>
      <c r="N156" s="8" t="s">
        <v>89</v>
      </c>
      <c r="O156" s="8">
        <f>IFERROR(VLOOKUP(N156,Kurallar!$G$3:$H$22,2,0),0)</f>
        <v>5</v>
      </c>
    </row>
    <row r="157" spans="1:15" hidden="1" x14ac:dyDescent="0.25">
      <c r="A157" s="8">
        <v>17</v>
      </c>
      <c r="B157" s="9" t="str">
        <f t="shared" si="34"/>
        <v>ДУ1 (ШУН/В-R3 15.0 квТ) (S2)</v>
      </c>
      <c r="C157" s="9" t="s">
        <v>86</v>
      </c>
      <c r="D157" s="9" t="s">
        <v>120</v>
      </c>
      <c r="E157" s="10" t="s">
        <v>121</v>
      </c>
      <c r="F157" s="11">
        <v>571</v>
      </c>
      <c r="G157" s="11">
        <f>IF(F157="","",ROUND(F157*VLOOKUP(K157,Kurallar!$D$3:$E$14,2,0),2))</f>
        <v>342.6</v>
      </c>
      <c r="H157" s="11">
        <f t="shared" si="37"/>
        <v>342.6</v>
      </c>
      <c r="I157" s="8">
        <v>1</v>
      </c>
      <c r="J157" s="8" t="s">
        <v>23</v>
      </c>
      <c r="K157" s="8" t="s">
        <v>29</v>
      </c>
      <c r="L157" s="11">
        <f t="shared" si="36"/>
        <v>342.6</v>
      </c>
      <c r="M157" s="9" t="s">
        <v>86</v>
      </c>
      <c r="N157" s="8" t="s">
        <v>89</v>
      </c>
      <c r="O157" s="8">
        <f>IFERROR(VLOOKUP(N157,Kurallar!$G$3:$H$22,2,0),0)</f>
        <v>5</v>
      </c>
    </row>
    <row r="158" spans="1:15" hidden="1" x14ac:dyDescent="0.25">
      <c r="A158" s="8">
        <v>17</v>
      </c>
      <c r="B158" s="9" t="str">
        <f t="shared" si="34"/>
        <v>ДУ1 (ШУН/В-R3 15.0 квТ) (S2)</v>
      </c>
      <c r="C158" s="9" t="s">
        <v>54</v>
      </c>
      <c r="D158" s="9" t="s">
        <v>122</v>
      </c>
      <c r="E158" s="10" t="s">
        <v>123</v>
      </c>
      <c r="F158" s="11">
        <v>1086</v>
      </c>
      <c r="G158" s="11">
        <f>IF(F158="","",ROUND(F158*VLOOKUP(K158,Kurallar!$D$3:$E$14,2,0),2))</f>
        <v>651.6</v>
      </c>
      <c r="H158" s="11">
        <f t="shared" si="37"/>
        <v>1303.2</v>
      </c>
      <c r="I158" s="8">
        <v>2</v>
      </c>
      <c r="J158" s="8" t="s">
        <v>23</v>
      </c>
      <c r="K158" s="8" t="s">
        <v>29</v>
      </c>
      <c r="L158" s="11">
        <f t="shared" si="36"/>
        <v>1303.2</v>
      </c>
      <c r="M158" s="9" t="s">
        <v>54</v>
      </c>
      <c r="N158" s="8" t="s">
        <v>57</v>
      </c>
      <c r="O158" s="8">
        <f>IFERROR(VLOOKUP(N158,Kurallar!$G$3:$H$22,2,0),0)</f>
        <v>3</v>
      </c>
    </row>
    <row r="159" spans="1:15" hidden="1" x14ac:dyDescent="0.25">
      <c r="A159" s="8">
        <v>17</v>
      </c>
      <c r="B159" s="9" t="str">
        <f t="shared" si="34"/>
        <v>ДУ1 (ШУН/В-R3 15.0 квТ) (S2)</v>
      </c>
      <c r="C159" s="9" t="s">
        <v>62</v>
      </c>
      <c r="D159" s="9" t="s">
        <v>187</v>
      </c>
      <c r="E159" s="10" t="s">
        <v>188</v>
      </c>
      <c r="F159" s="11">
        <v>9156</v>
      </c>
      <c r="G159" s="11">
        <f>IF(F159="","",ROUND(F159*VLOOKUP(K159,Kurallar!$D$3:$E$14,2,0),2))</f>
        <v>5493.6</v>
      </c>
      <c r="H159" s="11">
        <f t="shared" si="37"/>
        <v>5493.6</v>
      </c>
      <c r="I159" s="8">
        <v>1</v>
      </c>
      <c r="J159" s="8" t="s">
        <v>23</v>
      </c>
      <c r="K159" s="8" t="s">
        <v>29</v>
      </c>
      <c r="L159" s="11">
        <f t="shared" si="36"/>
        <v>5493.6</v>
      </c>
      <c r="M159" s="9" t="s">
        <v>62</v>
      </c>
      <c r="N159" s="8" t="s">
        <v>66</v>
      </c>
      <c r="O159" s="8">
        <f>IFERROR(VLOOKUP(N159,Kurallar!$G$3:$H$22,2,0),0)</f>
        <v>5</v>
      </c>
    </row>
    <row r="160" spans="1:15" hidden="1" x14ac:dyDescent="0.25">
      <c r="A160" s="8">
        <v>17</v>
      </c>
      <c r="B160" s="9" t="str">
        <f t="shared" si="34"/>
        <v>ДУ1 (ШУН/В-R3 15.0 квТ) (S2)</v>
      </c>
      <c r="C160" s="9" t="s">
        <v>58</v>
      </c>
      <c r="D160" s="9" t="s">
        <v>126</v>
      </c>
      <c r="E160" s="10" t="s">
        <v>127</v>
      </c>
      <c r="F160" s="11">
        <v>2177</v>
      </c>
      <c r="G160" s="11">
        <f>IF(F160="","",ROUND(F160*VLOOKUP(K160,Kurallar!$D$3:$E$14,2,0),2))</f>
        <v>1306.2</v>
      </c>
      <c r="H160" s="11">
        <f t="shared" si="37"/>
        <v>1306.2</v>
      </c>
      <c r="I160" s="8">
        <v>1</v>
      </c>
      <c r="J160" s="8" t="s">
        <v>23</v>
      </c>
      <c r="K160" s="8" t="s">
        <v>29</v>
      </c>
      <c r="L160" s="11">
        <f t="shared" si="36"/>
        <v>1306.2</v>
      </c>
      <c r="M160" s="9" t="s">
        <v>58</v>
      </c>
      <c r="N160" s="8" t="s">
        <v>61</v>
      </c>
      <c r="O160" s="8">
        <f>IFERROR(VLOOKUP(N160,Kurallar!$G$3:$H$22,2,0),0)</f>
        <v>15</v>
      </c>
    </row>
    <row r="161" spans="1:15" hidden="1" x14ac:dyDescent="0.25">
      <c r="A161" s="8">
        <v>17</v>
      </c>
      <c r="B161" s="9" t="str">
        <f t="shared" si="34"/>
        <v>ДУ1 (ШУН/В-R3 15.0 квТ) (S2)</v>
      </c>
      <c r="C161" s="9" t="s">
        <v>62</v>
      </c>
      <c r="D161" s="9" t="s">
        <v>128</v>
      </c>
      <c r="E161" s="10" t="s">
        <v>129</v>
      </c>
      <c r="F161" s="11">
        <v>1565</v>
      </c>
      <c r="G161" s="11">
        <f>IF(F161="","",ROUND(F161*VLOOKUP(K161,Kurallar!$D$3:$E$14,2,0),2))</f>
        <v>939</v>
      </c>
      <c r="H161" s="11">
        <f t="shared" si="37"/>
        <v>1878</v>
      </c>
      <c r="I161" s="8">
        <v>2</v>
      </c>
      <c r="J161" s="8" t="s">
        <v>23</v>
      </c>
      <c r="K161" s="8" t="s">
        <v>29</v>
      </c>
      <c r="L161" s="11">
        <f t="shared" si="36"/>
        <v>1878</v>
      </c>
      <c r="M161" s="9" t="s">
        <v>62</v>
      </c>
      <c r="N161" s="8" t="s">
        <v>66</v>
      </c>
      <c r="O161" s="8">
        <f>IFERROR(VLOOKUP(N161,Kurallar!$G$3:$H$22,2,0),0)</f>
        <v>5</v>
      </c>
    </row>
    <row r="162" spans="1:15" hidden="1" x14ac:dyDescent="0.25">
      <c r="A162" s="8">
        <v>17</v>
      </c>
      <c r="B162" s="9" t="str">
        <f t="shared" si="34"/>
        <v>ДУ1 (ШУН/В-R3 15.0 квТ) (S2)</v>
      </c>
      <c r="C162" s="9" t="s">
        <v>86</v>
      </c>
      <c r="D162" s="9" t="s">
        <v>130</v>
      </c>
      <c r="E162" s="10" t="s">
        <v>131</v>
      </c>
      <c r="F162" s="11">
        <v>682</v>
      </c>
      <c r="G162" s="11">
        <f>IF(F162="","",ROUND(F162*VLOOKUP(K162,Kurallar!$D$3:$E$14,2,0),2))</f>
        <v>409.2</v>
      </c>
      <c r="H162" s="11">
        <f t="shared" si="37"/>
        <v>818.4</v>
      </c>
      <c r="I162" s="8">
        <v>2</v>
      </c>
      <c r="J162" s="8" t="s">
        <v>23</v>
      </c>
      <c r="K162" s="8" t="s">
        <v>29</v>
      </c>
      <c r="L162" s="11">
        <f t="shared" si="36"/>
        <v>818.4</v>
      </c>
      <c r="M162" s="9" t="s">
        <v>86</v>
      </c>
      <c r="N162" s="8" t="s">
        <v>89</v>
      </c>
      <c r="O162" s="8">
        <f>IFERROR(VLOOKUP(N162,Kurallar!$G$3:$H$22,2,0),0)</f>
        <v>5</v>
      </c>
    </row>
    <row r="163" spans="1:15" hidden="1" x14ac:dyDescent="0.25">
      <c r="A163" s="8">
        <v>17</v>
      </c>
      <c r="B163" t="str">
        <f t="shared" si="34"/>
        <v>ДУ1 (ШУН/В-R3 15.0 квТ) (S2)</v>
      </c>
      <c r="C163" s="9" t="s">
        <v>31</v>
      </c>
      <c r="E163" s="9" t="s">
        <v>32</v>
      </c>
      <c r="F163" s="11"/>
      <c r="G163" s="11">
        <f>ROUND(SUM(H152:H162)*Kurallar!$B$2,2)</f>
        <v>3663</v>
      </c>
      <c r="H163" s="11">
        <f>G163*I163</f>
        <v>3663</v>
      </c>
      <c r="I163" s="8">
        <v>1</v>
      </c>
      <c r="J163" s="8" t="s">
        <v>19</v>
      </c>
      <c r="K163" s="8" t="s">
        <v>33</v>
      </c>
      <c r="L163" s="11">
        <f>H163*$I$151</f>
        <v>3663</v>
      </c>
      <c r="M163" s="9" t="s">
        <v>31</v>
      </c>
    </row>
    <row r="164" spans="1:15" hidden="1" x14ac:dyDescent="0.25">
      <c r="A164" s="8">
        <v>17</v>
      </c>
      <c r="B164" t="str">
        <f t="shared" si="34"/>
        <v>ДУ1 (ШУН/В-R3 15.0 квТ) (S2)</v>
      </c>
      <c r="C164" s="9" t="s">
        <v>34</v>
      </c>
      <c r="E164" s="9" t="s">
        <v>35</v>
      </c>
      <c r="F164" s="11">
        <f>ROUND(I164/60,1)</f>
        <v>1.8</v>
      </c>
      <c r="G164" s="11">
        <f>Kurallar!$B$3</f>
        <v>100</v>
      </c>
      <c r="H164" s="11">
        <f>G164*I164</f>
        <v>10800</v>
      </c>
      <c r="I164" s="8">
        <f>ROUND(SUMPRODUCT(I152:I162,O152:O162)*Kurallar!$B$4,0)</f>
        <v>108</v>
      </c>
      <c r="J164" s="8" t="s">
        <v>36</v>
      </c>
      <c r="K164" s="8" t="s">
        <v>33</v>
      </c>
      <c r="L164" s="11">
        <f>H164*$I$151</f>
        <v>10800</v>
      </c>
      <c r="M164" s="9" t="s">
        <v>34</v>
      </c>
    </row>
    <row r="165" spans="1:15" hidden="1" x14ac:dyDescent="0.25">
      <c r="A165" s="12"/>
      <c r="B165" s="13" t="s">
        <v>189</v>
      </c>
      <c r="C165" s="12"/>
      <c r="D165" s="12"/>
      <c r="E165" s="13" t="s">
        <v>190</v>
      </c>
      <c r="F165" s="12"/>
      <c r="G165" s="12"/>
      <c r="H165" s="14">
        <f>SUBTOTAL(9,H152:H164)</f>
        <v>0</v>
      </c>
      <c r="I165" s="15">
        <v>1</v>
      </c>
      <c r="J165" s="15" t="s">
        <v>19</v>
      </c>
      <c r="K165" s="12"/>
      <c r="L165" s="14">
        <f>SUBTOTAL(9,L152:L164)</f>
        <v>0</v>
      </c>
      <c r="M165" s="12"/>
      <c r="N165" s="12"/>
      <c r="O165" s="12"/>
    </row>
    <row r="166" spans="1:15" hidden="1" x14ac:dyDescent="0.25">
      <c r="A166" s="4">
        <v>18</v>
      </c>
      <c r="B166" s="5" t="s">
        <v>191</v>
      </c>
      <c r="C166" s="6" t="s">
        <v>18</v>
      </c>
      <c r="D166" s="6"/>
      <c r="E166" s="7" t="s">
        <v>191</v>
      </c>
      <c r="F166" s="6"/>
      <c r="G166" s="6"/>
      <c r="H166" s="6"/>
      <c r="I166" s="4">
        <v>1</v>
      </c>
      <c r="J166" s="4" t="s">
        <v>19</v>
      </c>
      <c r="K166" s="6"/>
      <c r="L166" s="6"/>
      <c r="M166" s="6"/>
      <c r="N166" s="6"/>
      <c r="O166" s="6"/>
    </row>
    <row r="167" spans="1:15" hidden="1" x14ac:dyDescent="0.25">
      <c r="A167" s="8">
        <v>18</v>
      </c>
      <c r="B167" s="9" t="str">
        <f t="shared" ref="B167:B179" si="38">B166</f>
        <v>ПД1 (ШУН/В-R3 2,2 квТ) (S2)</v>
      </c>
      <c r="C167" s="9" t="s">
        <v>20</v>
      </c>
      <c r="D167" s="9" t="s">
        <v>109</v>
      </c>
      <c r="E167" s="10" t="s">
        <v>110</v>
      </c>
      <c r="F167" s="11">
        <v>10305</v>
      </c>
      <c r="G167" s="11">
        <f>IF(F167="","",ROUND(F167*VLOOKUP(K167,Kurallar!$D$3:$E$14,2,0),2))</f>
        <v>6183</v>
      </c>
      <c r="H167" s="11">
        <f t="shared" ref="H167" si="39">IF(G167="","",G167*I167)</f>
        <v>6183</v>
      </c>
      <c r="I167" s="8">
        <v>1</v>
      </c>
      <c r="J167" s="8" t="s">
        <v>23</v>
      </c>
      <c r="K167" s="8" t="s">
        <v>24</v>
      </c>
      <c r="L167" s="11">
        <f t="shared" ref="L167:L177" si="40">IF(H167="","",H167*$I$166)</f>
        <v>6183</v>
      </c>
      <c r="M167" s="9" t="s">
        <v>20</v>
      </c>
      <c r="N167" s="8" t="s">
        <v>25</v>
      </c>
      <c r="O167" s="8">
        <f>IFERROR(VLOOKUP(N167,Kurallar!$G$3:$H$22,2,0),0)</f>
        <v>8</v>
      </c>
    </row>
    <row r="168" spans="1:15" hidden="1" x14ac:dyDescent="0.25">
      <c r="A168" s="8">
        <v>18</v>
      </c>
      <c r="B168" s="9" t="str">
        <f t="shared" si="38"/>
        <v>ПД1 (ШУН/В-R3 2,2 квТ) (S2)</v>
      </c>
      <c r="C168" s="9" t="s">
        <v>54</v>
      </c>
      <c r="D168" s="9" t="s">
        <v>111</v>
      </c>
      <c r="E168" s="10" t="s">
        <v>112</v>
      </c>
      <c r="F168" s="11">
        <v>3644</v>
      </c>
      <c r="G168" s="11">
        <f>IF(F168="","",ROUND(F168*VLOOKUP(K168,Kurallar!$D$3:$E$14,2,0),2))</f>
        <v>2186.4</v>
      </c>
      <c r="H168" s="11">
        <f t="shared" ref="H168:H177" si="41">IF(G168="","",G168*I168)</f>
        <v>2186.4</v>
      </c>
      <c r="I168" s="8">
        <v>1</v>
      </c>
      <c r="J168" s="8" t="s">
        <v>23</v>
      </c>
      <c r="K168" s="8" t="s">
        <v>29</v>
      </c>
      <c r="L168" s="11">
        <f t="shared" si="40"/>
        <v>2186.4</v>
      </c>
      <c r="M168" s="9" t="s">
        <v>54</v>
      </c>
      <c r="N168" s="8" t="s">
        <v>113</v>
      </c>
      <c r="O168" s="8">
        <f>IFERROR(VLOOKUP(N168,Kurallar!$G$3:$H$22,2,0),0)</f>
        <v>10</v>
      </c>
    </row>
    <row r="169" spans="1:15" hidden="1" x14ac:dyDescent="0.25">
      <c r="A169" s="8">
        <v>18</v>
      </c>
      <c r="B169" s="9" t="str">
        <f t="shared" si="38"/>
        <v>ПД1 (ШУН/В-R3 2,2 квТ) (S2)</v>
      </c>
      <c r="C169" s="9" t="s">
        <v>58</v>
      </c>
      <c r="D169" s="9" t="s">
        <v>114</v>
      </c>
      <c r="E169" s="10" t="s">
        <v>115</v>
      </c>
      <c r="F169" s="11">
        <v>5214</v>
      </c>
      <c r="G169" s="11">
        <f>IF(F169="","",ROUND(F169*VLOOKUP(K169,Kurallar!$D$3:$E$14,2,0),2))</f>
        <v>3128.4</v>
      </c>
      <c r="H169" s="11">
        <f t="shared" si="41"/>
        <v>3128.4</v>
      </c>
      <c r="I169" s="8">
        <v>1</v>
      </c>
      <c r="J169" s="8" t="s">
        <v>23</v>
      </c>
      <c r="K169" s="8" t="s">
        <v>29</v>
      </c>
      <c r="L169" s="11">
        <f t="shared" si="40"/>
        <v>3128.4</v>
      </c>
      <c r="M169" s="9" t="s">
        <v>58</v>
      </c>
      <c r="N169" s="8" t="s">
        <v>61</v>
      </c>
      <c r="O169" s="8">
        <f>IFERROR(VLOOKUP(N169,Kurallar!$G$3:$H$22,2,0),0)</f>
        <v>15</v>
      </c>
    </row>
    <row r="170" spans="1:15" hidden="1" x14ac:dyDescent="0.25">
      <c r="A170" s="8">
        <v>18</v>
      </c>
      <c r="B170" s="9" t="str">
        <f t="shared" si="38"/>
        <v>ПД1 (ШУН/В-R3 2,2 квТ) (S2)</v>
      </c>
      <c r="C170" s="9" t="s">
        <v>86</v>
      </c>
      <c r="D170" s="9" t="s">
        <v>116</v>
      </c>
      <c r="E170" s="10" t="s">
        <v>117</v>
      </c>
      <c r="F170" s="11">
        <v>571</v>
      </c>
      <c r="G170" s="11">
        <f>IF(F170="","",ROUND(F170*VLOOKUP(K170,Kurallar!$D$3:$E$14,2,0),2))</f>
        <v>342.6</v>
      </c>
      <c r="H170" s="11">
        <f t="shared" si="41"/>
        <v>342.6</v>
      </c>
      <c r="I170" s="8">
        <v>1</v>
      </c>
      <c r="J170" s="8" t="s">
        <v>23</v>
      </c>
      <c r="K170" s="8" t="s">
        <v>29</v>
      </c>
      <c r="L170" s="11">
        <f t="shared" si="40"/>
        <v>342.6</v>
      </c>
      <c r="M170" s="9" t="s">
        <v>86</v>
      </c>
      <c r="N170" s="8" t="s">
        <v>89</v>
      </c>
      <c r="O170" s="8">
        <f>IFERROR(VLOOKUP(N170,Kurallar!$G$3:$H$22,2,0),0)</f>
        <v>5</v>
      </c>
    </row>
    <row r="171" spans="1:15" hidden="1" x14ac:dyDescent="0.25">
      <c r="A171" s="8">
        <v>18</v>
      </c>
      <c r="B171" s="9" t="str">
        <f t="shared" si="38"/>
        <v>ПД1 (ШУН/В-R3 2,2 квТ) (S2)</v>
      </c>
      <c r="C171" s="9" t="s">
        <v>86</v>
      </c>
      <c r="D171" s="9" t="s">
        <v>118</v>
      </c>
      <c r="E171" s="10" t="s">
        <v>119</v>
      </c>
      <c r="F171" s="11">
        <v>589</v>
      </c>
      <c r="G171" s="11">
        <f>IF(F171="","",ROUND(F171*VLOOKUP(K171,Kurallar!$D$3:$E$14,2,0),2))</f>
        <v>353.4</v>
      </c>
      <c r="H171" s="11">
        <f t="shared" si="41"/>
        <v>353.4</v>
      </c>
      <c r="I171" s="8">
        <v>1</v>
      </c>
      <c r="J171" s="8" t="s">
        <v>23</v>
      </c>
      <c r="K171" s="8" t="s">
        <v>29</v>
      </c>
      <c r="L171" s="11">
        <f t="shared" si="40"/>
        <v>353.4</v>
      </c>
      <c r="M171" s="9" t="s">
        <v>86</v>
      </c>
      <c r="N171" s="8" t="s">
        <v>89</v>
      </c>
      <c r="O171" s="8">
        <f>IFERROR(VLOOKUP(N171,Kurallar!$G$3:$H$22,2,0),0)</f>
        <v>5</v>
      </c>
    </row>
    <row r="172" spans="1:15" hidden="1" x14ac:dyDescent="0.25">
      <c r="A172" s="8">
        <v>18</v>
      </c>
      <c r="B172" s="9" t="str">
        <f t="shared" si="38"/>
        <v>ПД1 (ШУН/В-R3 2,2 квТ) (S2)</v>
      </c>
      <c r="C172" s="9" t="s">
        <v>86</v>
      </c>
      <c r="D172" s="9" t="s">
        <v>120</v>
      </c>
      <c r="E172" s="10" t="s">
        <v>121</v>
      </c>
      <c r="F172" s="11">
        <v>571</v>
      </c>
      <c r="G172" s="11">
        <f>IF(F172="","",ROUND(F172*VLOOKUP(K172,Kurallar!$D$3:$E$14,2,0),2))</f>
        <v>342.6</v>
      </c>
      <c r="H172" s="11">
        <f t="shared" si="41"/>
        <v>342.6</v>
      </c>
      <c r="I172" s="8">
        <v>1</v>
      </c>
      <c r="J172" s="8" t="s">
        <v>23</v>
      </c>
      <c r="K172" s="8" t="s">
        <v>29</v>
      </c>
      <c r="L172" s="11">
        <f t="shared" si="40"/>
        <v>342.6</v>
      </c>
      <c r="M172" s="9" t="s">
        <v>86</v>
      </c>
      <c r="N172" s="8" t="s">
        <v>89</v>
      </c>
      <c r="O172" s="8">
        <f>IFERROR(VLOOKUP(N172,Kurallar!$G$3:$H$22,2,0),0)</f>
        <v>5</v>
      </c>
    </row>
    <row r="173" spans="1:15" hidden="1" x14ac:dyDescent="0.25">
      <c r="A173" s="8">
        <v>18</v>
      </c>
      <c r="B173" s="9" t="str">
        <f t="shared" si="38"/>
        <v>ПД1 (ШУН/В-R3 2,2 квТ) (S2)</v>
      </c>
      <c r="C173" s="9" t="s">
        <v>54</v>
      </c>
      <c r="D173" s="9" t="s">
        <v>122</v>
      </c>
      <c r="E173" s="10" t="s">
        <v>123</v>
      </c>
      <c r="F173" s="11">
        <v>1086</v>
      </c>
      <c r="G173" s="11">
        <f>IF(F173="","",ROUND(F173*VLOOKUP(K173,Kurallar!$D$3:$E$14,2,0),2))</f>
        <v>651.6</v>
      </c>
      <c r="H173" s="11">
        <f t="shared" si="41"/>
        <v>1303.2</v>
      </c>
      <c r="I173" s="8">
        <v>2</v>
      </c>
      <c r="J173" s="8" t="s">
        <v>23</v>
      </c>
      <c r="K173" s="8" t="s">
        <v>29</v>
      </c>
      <c r="L173" s="11">
        <f t="shared" si="40"/>
        <v>1303.2</v>
      </c>
      <c r="M173" s="9" t="s">
        <v>54</v>
      </c>
      <c r="N173" s="8" t="s">
        <v>57</v>
      </c>
      <c r="O173" s="8">
        <f>IFERROR(VLOOKUP(N173,Kurallar!$G$3:$H$22,2,0),0)</f>
        <v>3</v>
      </c>
    </row>
    <row r="174" spans="1:15" hidden="1" x14ac:dyDescent="0.25">
      <c r="A174" s="8">
        <v>18</v>
      </c>
      <c r="B174" s="9" t="str">
        <f t="shared" si="38"/>
        <v>ПД1 (ШУН/В-R3 2,2 квТ) (S2)</v>
      </c>
      <c r="C174" s="9" t="s">
        <v>62</v>
      </c>
      <c r="D174" s="9" t="s">
        <v>124</v>
      </c>
      <c r="E174" s="10" t="s">
        <v>125</v>
      </c>
      <c r="F174" s="11">
        <v>4315</v>
      </c>
      <c r="G174" s="11">
        <f>IF(F174="","",ROUND(F174*VLOOKUP(K174,Kurallar!$D$3:$E$14,2,0),2))</f>
        <v>2589</v>
      </c>
      <c r="H174" s="11">
        <f t="shared" si="41"/>
        <v>2589</v>
      </c>
      <c r="I174" s="8">
        <v>1</v>
      </c>
      <c r="J174" s="8" t="s">
        <v>23</v>
      </c>
      <c r="K174" s="8" t="s">
        <v>29</v>
      </c>
      <c r="L174" s="11">
        <f t="shared" si="40"/>
        <v>2589</v>
      </c>
      <c r="M174" s="9" t="s">
        <v>62</v>
      </c>
      <c r="N174" s="8" t="s">
        <v>66</v>
      </c>
      <c r="O174" s="8">
        <f>IFERROR(VLOOKUP(N174,Kurallar!$G$3:$H$22,2,0),0)</f>
        <v>5</v>
      </c>
    </row>
    <row r="175" spans="1:15" hidden="1" x14ac:dyDescent="0.25">
      <c r="A175" s="8">
        <v>18</v>
      </c>
      <c r="B175" s="9" t="str">
        <f t="shared" si="38"/>
        <v>ПД1 (ШУН/В-R3 2,2 квТ) (S2)</v>
      </c>
      <c r="C175" s="9" t="s">
        <v>58</v>
      </c>
      <c r="D175" s="9" t="s">
        <v>126</v>
      </c>
      <c r="E175" s="10" t="s">
        <v>127</v>
      </c>
      <c r="F175" s="11">
        <v>2177</v>
      </c>
      <c r="G175" s="11">
        <f>IF(F175="","",ROUND(F175*VLOOKUP(K175,Kurallar!$D$3:$E$14,2,0),2))</f>
        <v>1306.2</v>
      </c>
      <c r="H175" s="11">
        <f t="shared" si="41"/>
        <v>1306.2</v>
      </c>
      <c r="I175" s="8">
        <v>1</v>
      </c>
      <c r="J175" s="8" t="s">
        <v>23</v>
      </c>
      <c r="K175" s="8" t="s">
        <v>29</v>
      </c>
      <c r="L175" s="11">
        <f t="shared" si="40"/>
        <v>1306.2</v>
      </c>
      <c r="M175" s="9" t="s">
        <v>58</v>
      </c>
      <c r="N175" s="8" t="s">
        <v>61</v>
      </c>
      <c r="O175" s="8">
        <f>IFERROR(VLOOKUP(N175,Kurallar!$G$3:$H$22,2,0),0)</f>
        <v>15</v>
      </c>
    </row>
    <row r="176" spans="1:15" hidden="1" x14ac:dyDescent="0.25">
      <c r="A176" s="8">
        <v>18</v>
      </c>
      <c r="B176" s="9" t="str">
        <f t="shared" si="38"/>
        <v>ПД1 (ШУН/В-R3 2,2 квТ) (S2)</v>
      </c>
      <c r="C176" s="9" t="s">
        <v>62</v>
      </c>
      <c r="D176" s="9" t="s">
        <v>128</v>
      </c>
      <c r="E176" s="10" t="s">
        <v>129</v>
      </c>
      <c r="F176" s="11">
        <v>1565</v>
      </c>
      <c r="G176" s="11">
        <f>IF(F176="","",ROUND(F176*VLOOKUP(K176,Kurallar!$D$3:$E$14,2,0),2))</f>
        <v>939</v>
      </c>
      <c r="H176" s="11">
        <f t="shared" si="41"/>
        <v>1878</v>
      </c>
      <c r="I176" s="8">
        <v>2</v>
      </c>
      <c r="J176" s="8" t="s">
        <v>23</v>
      </c>
      <c r="K176" s="8" t="s">
        <v>29</v>
      </c>
      <c r="L176" s="11">
        <f t="shared" si="40"/>
        <v>1878</v>
      </c>
      <c r="M176" s="9" t="s">
        <v>62</v>
      </c>
      <c r="N176" s="8" t="s">
        <v>66</v>
      </c>
      <c r="O176" s="8">
        <f>IFERROR(VLOOKUP(N176,Kurallar!$G$3:$H$22,2,0),0)</f>
        <v>5</v>
      </c>
    </row>
    <row r="177" spans="1:15" hidden="1" x14ac:dyDescent="0.25">
      <c r="A177" s="8">
        <v>18</v>
      </c>
      <c r="B177" s="9" t="str">
        <f t="shared" si="38"/>
        <v>ПД1 (ШУН/В-R3 2,2 квТ) (S2)</v>
      </c>
      <c r="C177" s="9" t="s">
        <v>86</v>
      </c>
      <c r="D177" s="9" t="s">
        <v>130</v>
      </c>
      <c r="E177" s="10" t="s">
        <v>131</v>
      </c>
      <c r="F177" s="11">
        <v>682</v>
      </c>
      <c r="G177" s="11">
        <f>IF(F177="","",ROUND(F177*VLOOKUP(K177,Kurallar!$D$3:$E$14,2,0),2))</f>
        <v>409.2</v>
      </c>
      <c r="H177" s="11">
        <f t="shared" si="41"/>
        <v>818.4</v>
      </c>
      <c r="I177" s="8">
        <v>2</v>
      </c>
      <c r="J177" s="8" t="s">
        <v>23</v>
      </c>
      <c r="K177" s="8" t="s">
        <v>29</v>
      </c>
      <c r="L177" s="11">
        <f t="shared" si="40"/>
        <v>818.4</v>
      </c>
      <c r="M177" s="9" t="s">
        <v>86</v>
      </c>
      <c r="N177" s="8" t="s">
        <v>89</v>
      </c>
      <c r="O177" s="8">
        <f>IFERROR(VLOOKUP(N177,Kurallar!$G$3:$H$22,2,0),0)</f>
        <v>5</v>
      </c>
    </row>
    <row r="178" spans="1:15" hidden="1" x14ac:dyDescent="0.25">
      <c r="A178" s="8">
        <v>18</v>
      </c>
      <c r="B178" t="str">
        <f t="shared" si="38"/>
        <v>ПД1 (ШУН/В-R3 2,2 квТ) (S2)</v>
      </c>
      <c r="C178" s="9" t="s">
        <v>31</v>
      </c>
      <c r="E178" s="9" t="s">
        <v>32</v>
      </c>
      <c r="F178" s="11"/>
      <c r="G178" s="11">
        <f>ROUND(SUM(H167:H177)*Kurallar!$B$2,2)</f>
        <v>2451.7399999999998</v>
      </c>
      <c r="H178" s="11">
        <f>G178*I178</f>
        <v>2451.7399999999998</v>
      </c>
      <c r="I178" s="8">
        <v>1</v>
      </c>
      <c r="J178" s="8" t="s">
        <v>19</v>
      </c>
      <c r="K178" s="8" t="s">
        <v>33</v>
      </c>
      <c r="L178" s="11">
        <f>H178*$I$166</f>
        <v>2451.7399999999998</v>
      </c>
      <c r="M178" s="9" t="s">
        <v>31</v>
      </c>
    </row>
    <row r="179" spans="1:15" hidden="1" x14ac:dyDescent="0.25">
      <c r="A179" s="8">
        <v>18</v>
      </c>
      <c r="B179" t="str">
        <f t="shared" si="38"/>
        <v>ПД1 (ШУН/В-R3 2,2 квТ) (S2)</v>
      </c>
      <c r="C179" s="9" t="s">
        <v>34</v>
      </c>
      <c r="E179" s="9" t="s">
        <v>35</v>
      </c>
      <c r="F179" s="11">
        <f>ROUND(I179/60,1)</f>
        <v>1.8</v>
      </c>
      <c r="G179" s="11">
        <f>Kurallar!$B$3</f>
        <v>100</v>
      </c>
      <c r="H179" s="11">
        <f>G179*I179</f>
        <v>10800</v>
      </c>
      <c r="I179" s="8">
        <f>ROUND(SUMPRODUCT(I167:I177,O167:O177)*Kurallar!$B$4,0)</f>
        <v>108</v>
      </c>
      <c r="J179" s="8" t="s">
        <v>36</v>
      </c>
      <c r="K179" s="8" t="s">
        <v>33</v>
      </c>
      <c r="L179" s="11">
        <f>H179*$I$166</f>
        <v>10800</v>
      </c>
      <c r="M179" s="9" t="s">
        <v>34</v>
      </c>
    </row>
    <row r="180" spans="1:15" hidden="1" x14ac:dyDescent="0.25">
      <c r="A180" s="12"/>
      <c r="B180" s="13" t="s">
        <v>192</v>
      </c>
      <c r="C180" s="12"/>
      <c r="D180" s="12"/>
      <c r="E180" s="13" t="s">
        <v>193</v>
      </c>
      <c r="F180" s="12"/>
      <c r="G180" s="12"/>
      <c r="H180" s="14">
        <f>SUBTOTAL(9,H167:H179)</f>
        <v>0</v>
      </c>
      <c r="I180" s="15">
        <v>1</v>
      </c>
      <c r="J180" s="15" t="s">
        <v>19</v>
      </c>
      <c r="K180" s="12"/>
      <c r="L180" s="14">
        <f>SUBTOTAL(9,L167:L179)</f>
        <v>0</v>
      </c>
      <c r="M180" s="12"/>
      <c r="N180" s="12"/>
      <c r="O180" s="12"/>
    </row>
    <row r="181" spans="1:15" hidden="1" x14ac:dyDescent="0.25">
      <c r="A181" s="4">
        <v>19</v>
      </c>
      <c r="B181" s="5" t="s">
        <v>194</v>
      </c>
      <c r="C181" s="6" t="s">
        <v>18</v>
      </c>
      <c r="D181" s="6"/>
      <c r="E181" s="7" t="s">
        <v>194</v>
      </c>
      <c r="F181" s="6"/>
      <c r="G181" s="6"/>
      <c r="H181" s="6"/>
      <c r="I181" s="4">
        <v>1</v>
      </c>
      <c r="J181" s="4" t="s">
        <v>19</v>
      </c>
      <c r="K181" s="6"/>
      <c r="L181" s="6"/>
      <c r="M181" s="6"/>
      <c r="N181" s="6"/>
      <c r="O181" s="6"/>
    </row>
    <row r="182" spans="1:15" hidden="1" x14ac:dyDescent="0.25">
      <c r="A182" s="8">
        <v>19</v>
      </c>
      <c r="B182" s="9" t="str">
        <f t="shared" ref="B182:B194" si="42">B181</f>
        <v>ПД2 (ШУН/В-R3 11 квТ) (S2)</v>
      </c>
      <c r="C182" s="9" t="s">
        <v>20</v>
      </c>
      <c r="D182" s="9" t="s">
        <v>109</v>
      </c>
      <c r="E182" s="10" t="s">
        <v>110</v>
      </c>
      <c r="F182" s="11">
        <v>10305</v>
      </c>
      <c r="G182" s="11">
        <f>IF(F182="","",ROUND(F182*VLOOKUP(K182,Kurallar!$D$3:$E$14,2,0),2))</f>
        <v>6183</v>
      </c>
      <c r="H182" s="11">
        <f t="shared" ref="H182" si="43">IF(G182="","",G182*I182)</f>
        <v>6183</v>
      </c>
      <c r="I182" s="8">
        <v>1</v>
      </c>
      <c r="J182" s="8" t="s">
        <v>23</v>
      </c>
      <c r="K182" s="8" t="s">
        <v>24</v>
      </c>
      <c r="L182" s="11">
        <f t="shared" ref="L182:L192" si="44">IF(H182="","",H182*$I$181)</f>
        <v>6183</v>
      </c>
      <c r="M182" s="9" t="s">
        <v>20</v>
      </c>
      <c r="N182" s="8" t="s">
        <v>25</v>
      </c>
      <c r="O182" s="8">
        <f>IFERROR(VLOOKUP(N182,Kurallar!$G$3:$H$22,2,0),0)</f>
        <v>8</v>
      </c>
    </row>
    <row r="183" spans="1:15" hidden="1" x14ac:dyDescent="0.25">
      <c r="A183" s="8">
        <v>19</v>
      </c>
      <c r="B183" s="9" t="str">
        <f t="shared" si="42"/>
        <v>ПД2 (ШУН/В-R3 11 квТ) (S2)</v>
      </c>
      <c r="C183" s="9" t="s">
        <v>54</v>
      </c>
      <c r="D183" s="9" t="s">
        <v>195</v>
      </c>
      <c r="E183" s="10" t="s">
        <v>196</v>
      </c>
      <c r="F183" s="11">
        <v>3609</v>
      </c>
      <c r="G183" s="11">
        <f>IF(F183="","",ROUND(F183*VLOOKUP(K183,Kurallar!$D$3:$E$14,2,0),2))</f>
        <v>2165.4</v>
      </c>
      <c r="H183" s="11">
        <f t="shared" ref="H183:H192" si="45">IF(G183="","",G183*I183)</f>
        <v>2165.4</v>
      </c>
      <c r="I183" s="8">
        <v>1</v>
      </c>
      <c r="J183" s="8" t="s">
        <v>23</v>
      </c>
      <c r="K183" s="8" t="s">
        <v>29</v>
      </c>
      <c r="L183" s="11">
        <f t="shared" si="44"/>
        <v>2165.4</v>
      </c>
      <c r="M183" s="9" t="s">
        <v>54</v>
      </c>
      <c r="N183" s="8" t="s">
        <v>113</v>
      </c>
      <c r="O183" s="8">
        <f>IFERROR(VLOOKUP(N183,Kurallar!$G$3:$H$22,2,0),0)</f>
        <v>10</v>
      </c>
    </row>
    <row r="184" spans="1:15" hidden="1" x14ac:dyDescent="0.25">
      <c r="A184" s="8">
        <v>19</v>
      </c>
      <c r="B184" s="9" t="str">
        <f t="shared" si="42"/>
        <v>ПД2 (ШУН/В-R3 11 квТ) (S2)</v>
      </c>
      <c r="C184" s="9" t="s">
        <v>58</v>
      </c>
      <c r="D184" s="9" t="s">
        <v>197</v>
      </c>
      <c r="E184" s="10" t="s">
        <v>198</v>
      </c>
      <c r="F184" s="11">
        <v>9149</v>
      </c>
      <c r="G184" s="11">
        <f>IF(F184="","",ROUND(F184*VLOOKUP(K184,Kurallar!$D$3:$E$14,2,0),2))</f>
        <v>5489.4</v>
      </c>
      <c r="H184" s="11">
        <f t="shared" si="45"/>
        <v>5489.4</v>
      </c>
      <c r="I184" s="8">
        <v>1</v>
      </c>
      <c r="J184" s="8" t="s">
        <v>23</v>
      </c>
      <c r="K184" s="8" t="s">
        <v>29</v>
      </c>
      <c r="L184" s="11">
        <f t="shared" si="44"/>
        <v>5489.4</v>
      </c>
      <c r="M184" s="9" t="s">
        <v>58</v>
      </c>
      <c r="N184" s="8" t="s">
        <v>61</v>
      </c>
      <c r="O184" s="8">
        <f>IFERROR(VLOOKUP(N184,Kurallar!$G$3:$H$22,2,0),0)</f>
        <v>15</v>
      </c>
    </row>
    <row r="185" spans="1:15" hidden="1" x14ac:dyDescent="0.25">
      <c r="A185" s="8">
        <v>19</v>
      </c>
      <c r="B185" s="9" t="str">
        <f t="shared" si="42"/>
        <v>ПД2 (ШУН/В-R3 11 квТ) (S2)</v>
      </c>
      <c r="C185" s="9" t="s">
        <v>86</v>
      </c>
      <c r="D185" s="9" t="s">
        <v>116</v>
      </c>
      <c r="E185" s="10" t="s">
        <v>117</v>
      </c>
      <c r="F185" s="11">
        <v>571</v>
      </c>
      <c r="G185" s="11">
        <f>IF(F185="","",ROUND(F185*VLOOKUP(K185,Kurallar!$D$3:$E$14,2,0),2))</f>
        <v>342.6</v>
      </c>
      <c r="H185" s="11">
        <f t="shared" si="45"/>
        <v>342.6</v>
      </c>
      <c r="I185" s="8">
        <v>1</v>
      </c>
      <c r="J185" s="8" t="s">
        <v>23</v>
      </c>
      <c r="K185" s="8" t="s">
        <v>29</v>
      </c>
      <c r="L185" s="11">
        <f t="shared" si="44"/>
        <v>342.6</v>
      </c>
      <c r="M185" s="9" t="s">
        <v>86</v>
      </c>
      <c r="N185" s="8" t="s">
        <v>89</v>
      </c>
      <c r="O185" s="8">
        <f>IFERROR(VLOOKUP(N185,Kurallar!$G$3:$H$22,2,0),0)</f>
        <v>5</v>
      </c>
    </row>
    <row r="186" spans="1:15" hidden="1" x14ac:dyDescent="0.25">
      <c r="A186" s="8">
        <v>19</v>
      </c>
      <c r="B186" s="9" t="str">
        <f t="shared" si="42"/>
        <v>ПД2 (ШУН/В-R3 11 квТ) (S2)</v>
      </c>
      <c r="C186" s="9" t="s">
        <v>86</v>
      </c>
      <c r="D186" s="9" t="s">
        <v>118</v>
      </c>
      <c r="E186" s="10" t="s">
        <v>119</v>
      </c>
      <c r="F186" s="11">
        <v>589</v>
      </c>
      <c r="G186" s="11">
        <f>IF(F186="","",ROUND(F186*VLOOKUP(K186,Kurallar!$D$3:$E$14,2,0),2))</f>
        <v>353.4</v>
      </c>
      <c r="H186" s="11">
        <f t="shared" si="45"/>
        <v>353.4</v>
      </c>
      <c r="I186" s="8">
        <v>1</v>
      </c>
      <c r="J186" s="8" t="s">
        <v>23</v>
      </c>
      <c r="K186" s="8" t="s">
        <v>29</v>
      </c>
      <c r="L186" s="11">
        <f t="shared" si="44"/>
        <v>353.4</v>
      </c>
      <c r="M186" s="9" t="s">
        <v>86</v>
      </c>
      <c r="N186" s="8" t="s">
        <v>89</v>
      </c>
      <c r="O186" s="8">
        <f>IFERROR(VLOOKUP(N186,Kurallar!$G$3:$H$22,2,0),0)</f>
        <v>5</v>
      </c>
    </row>
    <row r="187" spans="1:15" hidden="1" x14ac:dyDescent="0.25">
      <c r="A187" s="8">
        <v>19</v>
      </c>
      <c r="B187" s="9" t="str">
        <f t="shared" si="42"/>
        <v>ПД2 (ШУН/В-R3 11 квТ) (S2)</v>
      </c>
      <c r="C187" s="9" t="s">
        <v>86</v>
      </c>
      <c r="D187" s="9" t="s">
        <v>120</v>
      </c>
      <c r="E187" s="10" t="s">
        <v>121</v>
      </c>
      <c r="F187" s="11">
        <v>571</v>
      </c>
      <c r="G187" s="11">
        <f>IF(F187="","",ROUND(F187*VLOOKUP(K187,Kurallar!$D$3:$E$14,2,0),2))</f>
        <v>342.6</v>
      </c>
      <c r="H187" s="11">
        <f t="shared" si="45"/>
        <v>342.6</v>
      </c>
      <c r="I187" s="8">
        <v>1</v>
      </c>
      <c r="J187" s="8" t="s">
        <v>23</v>
      </c>
      <c r="K187" s="8" t="s">
        <v>29</v>
      </c>
      <c r="L187" s="11">
        <f t="shared" si="44"/>
        <v>342.6</v>
      </c>
      <c r="M187" s="9" t="s">
        <v>86</v>
      </c>
      <c r="N187" s="8" t="s">
        <v>89</v>
      </c>
      <c r="O187" s="8">
        <f>IFERROR(VLOOKUP(N187,Kurallar!$G$3:$H$22,2,0),0)</f>
        <v>5</v>
      </c>
    </row>
    <row r="188" spans="1:15" hidden="1" x14ac:dyDescent="0.25">
      <c r="A188" s="8">
        <v>19</v>
      </c>
      <c r="B188" s="9" t="str">
        <f t="shared" si="42"/>
        <v>ПД2 (ШУН/В-R3 11 квТ) (S2)</v>
      </c>
      <c r="C188" s="9" t="s">
        <v>54</v>
      </c>
      <c r="D188" s="9" t="s">
        <v>122</v>
      </c>
      <c r="E188" s="10" t="s">
        <v>123</v>
      </c>
      <c r="F188" s="11">
        <v>1086</v>
      </c>
      <c r="G188" s="11">
        <f>IF(F188="","",ROUND(F188*VLOOKUP(K188,Kurallar!$D$3:$E$14,2,0),2))</f>
        <v>651.6</v>
      </c>
      <c r="H188" s="11">
        <f t="shared" si="45"/>
        <v>1303.2</v>
      </c>
      <c r="I188" s="8">
        <v>2</v>
      </c>
      <c r="J188" s="8" t="s">
        <v>23</v>
      </c>
      <c r="K188" s="8" t="s">
        <v>29</v>
      </c>
      <c r="L188" s="11">
        <f t="shared" si="44"/>
        <v>1303.2</v>
      </c>
      <c r="M188" s="9" t="s">
        <v>54</v>
      </c>
      <c r="N188" s="8" t="s">
        <v>57</v>
      </c>
      <c r="O188" s="8">
        <f>IFERROR(VLOOKUP(N188,Kurallar!$G$3:$H$22,2,0),0)</f>
        <v>3</v>
      </c>
    </row>
    <row r="189" spans="1:15" hidden="1" x14ac:dyDescent="0.25">
      <c r="A189" s="8">
        <v>19</v>
      </c>
      <c r="B189" s="9" t="str">
        <f t="shared" si="42"/>
        <v>ПД2 (ШУН/В-R3 11 квТ) (S2)</v>
      </c>
      <c r="C189" s="9" t="s">
        <v>62</v>
      </c>
      <c r="D189" s="9" t="s">
        <v>199</v>
      </c>
      <c r="E189" s="10" t="s">
        <v>200</v>
      </c>
      <c r="F189" s="11">
        <v>4250</v>
      </c>
      <c r="G189" s="11">
        <f>IF(F189="","",ROUND(F189*VLOOKUP(K189,Kurallar!$D$3:$E$14,2,0),2))</f>
        <v>2550</v>
      </c>
      <c r="H189" s="11">
        <f t="shared" si="45"/>
        <v>2550</v>
      </c>
      <c r="I189" s="8">
        <v>1</v>
      </c>
      <c r="J189" s="8" t="s">
        <v>23</v>
      </c>
      <c r="K189" s="8" t="s">
        <v>29</v>
      </c>
      <c r="L189" s="11">
        <f t="shared" si="44"/>
        <v>2550</v>
      </c>
      <c r="M189" s="9" t="s">
        <v>62</v>
      </c>
      <c r="N189" s="8" t="s">
        <v>66</v>
      </c>
      <c r="O189" s="8">
        <f>IFERROR(VLOOKUP(N189,Kurallar!$G$3:$H$22,2,0),0)</f>
        <v>5</v>
      </c>
    </row>
    <row r="190" spans="1:15" hidden="1" x14ac:dyDescent="0.25">
      <c r="A190" s="8">
        <v>19</v>
      </c>
      <c r="B190" s="9" t="str">
        <f t="shared" si="42"/>
        <v>ПД2 (ШУН/В-R3 11 квТ) (S2)</v>
      </c>
      <c r="C190" s="9" t="s">
        <v>58</v>
      </c>
      <c r="D190" s="9" t="s">
        <v>126</v>
      </c>
      <c r="E190" s="10" t="s">
        <v>127</v>
      </c>
      <c r="F190" s="11">
        <v>2177</v>
      </c>
      <c r="G190" s="11">
        <f>IF(F190="","",ROUND(F190*VLOOKUP(K190,Kurallar!$D$3:$E$14,2,0),2))</f>
        <v>1306.2</v>
      </c>
      <c r="H190" s="11">
        <f t="shared" si="45"/>
        <v>1306.2</v>
      </c>
      <c r="I190" s="8">
        <v>1</v>
      </c>
      <c r="J190" s="8" t="s">
        <v>23</v>
      </c>
      <c r="K190" s="8" t="s">
        <v>29</v>
      </c>
      <c r="L190" s="11">
        <f t="shared" si="44"/>
        <v>1306.2</v>
      </c>
      <c r="M190" s="9" t="s">
        <v>58</v>
      </c>
      <c r="N190" s="8" t="s">
        <v>61</v>
      </c>
      <c r="O190" s="8">
        <f>IFERROR(VLOOKUP(N190,Kurallar!$G$3:$H$22,2,0),0)</f>
        <v>15</v>
      </c>
    </row>
    <row r="191" spans="1:15" hidden="1" x14ac:dyDescent="0.25">
      <c r="A191" s="8">
        <v>19</v>
      </c>
      <c r="B191" s="9" t="str">
        <f t="shared" si="42"/>
        <v>ПД2 (ШУН/В-R3 11 квТ) (S2)</v>
      </c>
      <c r="C191" s="9" t="s">
        <v>62</v>
      </c>
      <c r="D191" s="9" t="s">
        <v>128</v>
      </c>
      <c r="E191" s="10" t="s">
        <v>129</v>
      </c>
      <c r="F191" s="11">
        <v>1565</v>
      </c>
      <c r="G191" s="11">
        <f>IF(F191="","",ROUND(F191*VLOOKUP(K191,Kurallar!$D$3:$E$14,2,0),2))</f>
        <v>939</v>
      </c>
      <c r="H191" s="11">
        <f t="shared" si="45"/>
        <v>1878</v>
      </c>
      <c r="I191" s="8">
        <v>2</v>
      </c>
      <c r="J191" s="8" t="s">
        <v>23</v>
      </c>
      <c r="K191" s="8" t="s">
        <v>29</v>
      </c>
      <c r="L191" s="11">
        <f t="shared" si="44"/>
        <v>1878</v>
      </c>
      <c r="M191" s="9" t="s">
        <v>62</v>
      </c>
      <c r="N191" s="8" t="s">
        <v>66</v>
      </c>
      <c r="O191" s="8">
        <f>IFERROR(VLOOKUP(N191,Kurallar!$G$3:$H$22,2,0),0)</f>
        <v>5</v>
      </c>
    </row>
    <row r="192" spans="1:15" hidden="1" x14ac:dyDescent="0.25">
      <c r="A192" s="8">
        <v>19</v>
      </c>
      <c r="B192" s="9" t="str">
        <f t="shared" si="42"/>
        <v>ПД2 (ШУН/В-R3 11 квТ) (S2)</v>
      </c>
      <c r="C192" s="9" t="s">
        <v>86</v>
      </c>
      <c r="D192" s="9" t="s">
        <v>130</v>
      </c>
      <c r="E192" s="10" t="s">
        <v>131</v>
      </c>
      <c r="F192" s="11">
        <v>682</v>
      </c>
      <c r="G192" s="11">
        <f>IF(F192="","",ROUND(F192*VLOOKUP(K192,Kurallar!$D$3:$E$14,2,0),2))</f>
        <v>409.2</v>
      </c>
      <c r="H192" s="11">
        <f t="shared" si="45"/>
        <v>818.4</v>
      </c>
      <c r="I192" s="8">
        <v>2</v>
      </c>
      <c r="J192" s="8" t="s">
        <v>23</v>
      </c>
      <c r="K192" s="8" t="s">
        <v>29</v>
      </c>
      <c r="L192" s="11">
        <f t="shared" si="44"/>
        <v>818.4</v>
      </c>
      <c r="M192" s="9" t="s">
        <v>86</v>
      </c>
      <c r="N192" s="8" t="s">
        <v>89</v>
      </c>
      <c r="O192" s="8">
        <f>IFERROR(VLOOKUP(N192,Kurallar!$G$3:$H$22,2,0),0)</f>
        <v>5</v>
      </c>
    </row>
    <row r="193" spans="1:15" hidden="1" x14ac:dyDescent="0.25">
      <c r="A193" s="8">
        <v>19</v>
      </c>
      <c r="B193" t="str">
        <f t="shared" si="42"/>
        <v>ПД2 (ШУН/В-R3 11 квТ) (S2)</v>
      </c>
      <c r="C193" s="9" t="s">
        <v>31</v>
      </c>
      <c r="E193" s="9" t="s">
        <v>32</v>
      </c>
      <c r="F193" s="11"/>
      <c r="G193" s="11">
        <f>ROUND(SUM(H182:H192)*Kurallar!$B$2,2)</f>
        <v>2727.86</v>
      </c>
      <c r="H193" s="11">
        <f>G193*I193</f>
        <v>2727.86</v>
      </c>
      <c r="I193" s="8">
        <v>1</v>
      </c>
      <c r="J193" s="8" t="s">
        <v>19</v>
      </c>
      <c r="K193" s="8" t="s">
        <v>33</v>
      </c>
      <c r="L193" s="11">
        <f>H193*$I$181</f>
        <v>2727.86</v>
      </c>
      <c r="M193" s="9" t="s">
        <v>31</v>
      </c>
    </row>
    <row r="194" spans="1:15" hidden="1" x14ac:dyDescent="0.25">
      <c r="A194" s="8">
        <v>19</v>
      </c>
      <c r="B194" t="str">
        <f t="shared" si="42"/>
        <v>ПД2 (ШУН/В-R3 11 квТ) (S2)</v>
      </c>
      <c r="C194" s="9" t="s">
        <v>34</v>
      </c>
      <c r="E194" s="9" t="s">
        <v>35</v>
      </c>
      <c r="F194" s="11">
        <f>ROUND(I194/60,1)</f>
        <v>1.8</v>
      </c>
      <c r="G194" s="11">
        <f>Kurallar!$B$3</f>
        <v>100</v>
      </c>
      <c r="H194" s="11">
        <f>G194*I194</f>
        <v>10800</v>
      </c>
      <c r="I194" s="8">
        <f>ROUND(SUMPRODUCT(I182:I192,O182:O192)*Kurallar!$B$4,0)</f>
        <v>108</v>
      </c>
      <c r="J194" s="8" t="s">
        <v>36</v>
      </c>
      <c r="K194" s="8" t="s">
        <v>33</v>
      </c>
      <c r="L194" s="11">
        <f>H194*$I$181</f>
        <v>10800</v>
      </c>
      <c r="M194" s="9" t="s">
        <v>34</v>
      </c>
    </row>
    <row r="195" spans="1:15" hidden="1" x14ac:dyDescent="0.25">
      <c r="A195" s="12"/>
      <c r="B195" s="13" t="s">
        <v>201</v>
      </c>
      <c r="C195" s="12"/>
      <c r="D195" s="12"/>
      <c r="E195" s="13" t="s">
        <v>202</v>
      </c>
      <c r="F195" s="12"/>
      <c r="G195" s="12"/>
      <c r="H195" s="14">
        <f>SUBTOTAL(9,H182:H194)</f>
        <v>0</v>
      </c>
      <c r="I195" s="15">
        <v>1</v>
      </c>
      <c r="J195" s="15" t="s">
        <v>19</v>
      </c>
      <c r="K195" s="12"/>
      <c r="L195" s="14">
        <f>SUBTOTAL(9,L182:L194)</f>
        <v>0</v>
      </c>
      <c r="M195" s="12"/>
      <c r="N195" s="12"/>
      <c r="O195" s="12"/>
    </row>
    <row r="196" spans="1:15" hidden="1" x14ac:dyDescent="0.25">
      <c r="A196" s="4">
        <v>20</v>
      </c>
      <c r="B196" s="5" t="s">
        <v>203</v>
      </c>
      <c r="C196" s="6" t="s">
        <v>18</v>
      </c>
      <c r="D196" s="6"/>
      <c r="E196" s="7" t="s">
        <v>203</v>
      </c>
      <c r="F196" s="6"/>
      <c r="G196" s="6"/>
      <c r="H196" s="6"/>
      <c r="I196" s="4">
        <v>2</v>
      </c>
      <c r="J196" s="4" t="s">
        <v>19</v>
      </c>
      <c r="K196" s="6"/>
      <c r="L196" s="6"/>
      <c r="M196" s="6"/>
      <c r="N196" s="6"/>
      <c r="O196" s="6"/>
    </row>
    <row r="197" spans="1:15" hidden="1" x14ac:dyDescent="0.25">
      <c r="A197" s="8">
        <v>20</v>
      </c>
      <c r="B197" s="9" t="str">
        <f t="shared" ref="B197:B200" si="46">B196</f>
        <v>В2 (S2)</v>
      </c>
      <c r="C197" s="16" t="s">
        <v>135</v>
      </c>
      <c r="D197" s="9"/>
      <c r="E197" s="10" t="s">
        <v>136</v>
      </c>
      <c r="F197" s="9"/>
      <c r="G197" s="9"/>
      <c r="H197" s="9"/>
      <c r="I197" s="8">
        <v>1</v>
      </c>
      <c r="J197" s="8" t="s">
        <v>23</v>
      </c>
      <c r="K197" s="8" t="s">
        <v>137</v>
      </c>
      <c r="L197" s="9"/>
      <c r="M197" s="9" t="s">
        <v>20</v>
      </c>
      <c r="N197" s="8" t="s">
        <v>25</v>
      </c>
      <c r="O197" s="8">
        <f>IFERROR(VLOOKUP(N197,Kurallar!$G$3:$H$22,2,0),0)</f>
        <v>8</v>
      </c>
    </row>
    <row r="198" spans="1:15" hidden="1" x14ac:dyDescent="0.25">
      <c r="A198" s="8">
        <v>20</v>
      </c>
      <c r="B198" s="9" t="str">
        <f t="shared" si="46"/>
        <v>В2 (S2)</v>
      </c>
      <c r="C198" s="16" t="s">
        <v>750</v>
      </c>
      <c r="D198" s="9"/>
      <c r="E198" s="10" t="s">
        <v>138</v>
      </c>
      <c r="F198" s="9">
        <v>21500</v>
      </c>
      <c r="G198" s="9">
        <f>F198</f>
        <v>21500</v>
      </c>
      <c r="H198" s="9">
        <f>G198*I198</f>
        <v>21500</v>
      </c>
      <c r="I198" s="8">
        <v>1</v>
      </c>
      <c r="J198" s="8" t="s">
        <v>23</v>
      </c>
      <c r="K198" s="8" t="s">
        <v>139</v>
      </c>
      <c r="L198" s="9"/>
      <c r="M198" s="9" t="s">
        <v>58</v>
      </c>
      <c r="N198" s="8" t="s">
        <v>61</v>
      </c>
      <c r="O198" s="8">
        <f>IFERROR(VLOOKUP(N198,Kurallar!$G$3:$H$22,2,0),0)</f>
        <v>15</v>
      </c>
    </row>
    <row r="199" spans="1:15" hidden="1" x14ac:dyDescent="0.25">
      <c r="A199" s="8">
        <v>20</v>
      </c>
      <c r="B199" t="str">
        <f t="shared" si="46"/>
        <v>В2 (S2)</v>
      </c>
      <c r="C199" s="9" t="s">
        <v>31</v>
      </c>
      <c r="E199" s="9" t="s">
        <v>32</v>
      </c>
      <c r="F199" s="11"/>
      <c r="G199" s="11">
        <f>ROUND(SUM(H197:H198)*Kurallar!$B$2,2)</f>
        <v>2580</v>
      </c>
      <c r="H199" s="11">
        <f>G199*I199</f>
        <v>2580</v>
      </c>
      <c r="I199" s="8">
        <v>1</v>
      </c>
      <c r="J199" s="8" t="s">
        <v>19</v>
      </c>
      <c r="K199" s="8" t="s">
        <v>33</v>
      </c>
      <c r="L199" s="11">
        <f>H199*$I$196</f>
        <v>5160</v>
      </c>
      <c r="M199" s="9" t="s">
        <v>31</v>
      </c>
    </row>
    <row r="200" spans="1:15" hidden="1" x14ac:dyDescent="0.25">
      <c r="A200" s="8">
        <v>20</v>
      </c>
      <c r="B200" t="str">
        <f t="shared" si="46"/>
        <v>В2 (S2)</v>
      </c>
      <c r="C200" s="9" t="s">
        <v>34</v>
      </c>
      <c r="E200" s="9" t="s">
        <v>35</v>
      </c>
      <c r="F200" s="11">
        <f>ROUND(I200/60,1)</f>
        <v>0.4</v>
      </c>
      <c r="G200" s="11">
        <f>Kurallar!$B$3</f>
        <v>100</v>
      </c>
      <c r="H200" s="11">
        <f>G200*I200</f>
        <v>2600</v>
      </c>
      <c r="I200" s="8">
        <f>ROUND(SUMPRODUCT(I197:I198,O197:O198)*Kurallar!$B$4,0)</f>
        <v>26</v>
      </c>
      <c r="J200" s="8" t="s">
        <v>36</v>
      </c>
      <c r="K200" s="8" t="s">
        <v>33</v>
      </c>
      <c r="L200" s="11">
        <f>H200*$I$196</f>
        <v>5200</v>
      </c>
      <c r="M200" s="9" t="s">
        <v>34</v>
      </c>
    </row>
    <row r="201" spans="1:15" hidden="1" x14ac:dyDescent="0.25">
      <c r="A201" s="12"/>
      <c r="B201" s="13" t="s">
        <v>204</v>
      </c>
      <c r="C201" s="12"/>
      <c r="D201" s="12"/>
      <c r="E201" s="13" t="s">
        <v>205</v>
      </c>
      <c r="F201" s="12"/>
      <c r="G201" s="12"/>
      <c r="H201" s="14">
        <f>SUBTOTAL(9,H197:H200)</f>
        <v>0</v>
      </c>
      <c r="I201" s="15">
        <v>2</v>
      </c>
      <c r="J201" s="15" t="s">
        <v>19</v>
      </c>
      <c r="K201" s="12"/>
      <c r="L201" s="14">
        <f>SUBTOTAL(9,L197:L200)</f>
        <v>0</v>
      </c>
      <c r="M201" s="12"/>
      <c r="N201" s="12"/>
      <c r="O201" s="12"/>
    </row>
    <row r="202" spans="1:15" hidden="1" x14ac:dyDescent="0.25">
      <c r="A202" s="4">
        <v>21</v>
      </c>
      <c r="B202" s="5" t="s">
        <v>206</v>
      </c>
      <c r="C202" s="6" t="s">
        <v>18</v>
      </c>
      <c r="D202" s="6"/>
      <c r="E202" s="7" t="s">
        <v>206</v>
      </c>
      <c r="F202" s="6"/>
      <c r="G202" s="6"/>
      <c r="H202" s="6"/>
      <c r="I202" s="4">
        <v>1</v>
      </c>
      <c r="J202" s="4" t="s">
        <v>19</v>
      </c>
      <c r="K202" s="6"/>
      <c r="L202" s="6"/>
      <c r="M202" s="6"/>
      <c r="N202" s="6"/>
      <c r="O202" s="6"/>
    </row>
    <row r="203" spans="1:15" hidden="1" x14ac:dyDescent="0.25">
      <c r="A203" s="8">
        <v>21</v>
      </c>
      <c r="B203" s="9" t="str">
        <f t="shared" ref="B203:B213" si="47">B202</f>
        <v>ВРУ (ВРУ-1-13-20 УХЛ4) (S3)</v>
      </c>
      <c r="C203" s="16" t="s">
        <v>20</v>
      </c>
      <c r="D203" s="9" t="s">
        <v>207</v>
      </c>
      <c r="E203" s="10" t="s">
        <v>208</v>
      </c>
      <c r="F203" s="11">
        <v>155000</v>
      </c>
      <c r="G203" s="11">
        <f>IF(F203="","",ROUND(F203*VLOOKUP(K203,Kurallar!$D$3:$E$14,2,0),2))</f>
        <v>93000</v>
      </c>
      <c r="H203" s="11">
        <f t="shared" ref="H203" si="48">IF(G203="","",G203*I203)</f>
        <v>93000</v>
      </c>
      <c r="I203" s="8">
        <v>1</v>
      </c>
      <c r="J203" s="8" t="s">
        <v>23</v>
      </c>
      <c r="K203" s="8" t="s">
        <v>24</v>
      </c>
      <c r="L203" s="11">
        <f t="shared" ref="L203" si="49">IF(H203="","",H203*$I$181)</f>
        <v>93000</v>
      </c>
      <c r="M203" s="9" t="s">
        <v>20</v>
      </c>
      <c r="N203" s="8" t="s">
        <v>209</v>
      </c>
      <c r="O203" s="8">
        <f>IFERROR(VLOOKUP(N203,Kurallar!$G$3:$H$22,2,0),0)</f>
        <v>90</v>
      </c>
    </row>
    <row r="204" spans="1:15" hidden="1" x14ac:dyDescent="0.25">
      <c r="A204" s="8">
        <v>21</v>
      </c>
      <c r="B204" s="9" t="str">
        <f t="shared" si="47"/>
        <v>ВРУ (ВРУ-1-13-20 УХЛ4) (S3)</v>
      </c>
      <c r="C204" s="16" t="s">
        <v>749</v>
      </c>
      <c r="D204" s="9" t="s">
        <v>747</v>
      </c>
      <c r="E204" s="10" t="s">
        <v>748</v>
      </c>
      <c r="F204" s="9">
        <v>3317</v>
      </c>
      <c r="G204" s="9">
        <f>0.6*F204</f>
        <v>1990.1999999999998</v>
      </c>
      <c r="H204" s="9">
        <f>G204*I204</f>
        <v>11941.199999999999</v>
      </c>
      <c r="I204" s="8">
        <v>6</v>
      </c>
      <c r="J204" s="8" t="s">
        <v>23</v>
      </c>
      <c r="K204" s="8" t="s">
        <v>29</v>
      </c>
      <c r="L204" s="9"/>
      <c r="M204" s="9" t="s">
        <v>86</v>
      </c>
      <c r="N204" s="8" t="s">
        <v>89</v>
      </c>
      <c r="O204" s="8">
        <f>IFERROR(VLOOKUP(N204,Kurallar!$G$3:$H$22,2,0),0)</f>
        <v>5</v>
      </c>
    </row>
    <row r="205" spans="1:15" hidden="1" x14ac:dyDescent="0.25">
      <c r="A205" s="8">
        <v>21</v>
      </c>
      <c r="B205" s="9" t="str">
        <f t="shared" si="47"/>
        <v>ВРУ (ВРУ-1-13-20 УХЛ4) (S3)</v>
      </c>
      <c r="C205" s="9" t="s">
        <v>86</v>
      </c>
      <c r="D205" s="9" t="s">
        <v>210</v>
      </c>
      <c r="E205" s="10" t="s">
        <v>211</v>
      </c>
      <c r="F205" s="11">
        <v>7443</v>
      </c>
      <c r="G205" s="11">
        <f>IF(F205="","",ROUND(F205*VLOOKUP(K205,Kurallar!$D$3:$E$14,2,0),2))</f>
        <v>4465.8</v>
      </c>
      <c r="H205" s="11">
        <f t="shared" ref="H205:H211" si="50">IF(G205="","",G205*I205)</f>
        <v>26794.800000000003</v>
      </c>
      <c r="I205" s="8">
        <v>6</v>
      </c>
      <c r="J205" s="8" t="s">
        <v>23</v>
      </c>
      <c r="K205" s="8" t="s">
        <v>29</v>
      </c>
      <c r="L205" s="11">
        <f t="shared" ref="L205:L211" si="51">IF(H205="","",H205*$I$202)</f>
        <v>26794.800000000003</v>
      </c>
      <c r="M205" s="9" t="s">
        <v>86</v>
      </c>
      <c r="N205" s="8" t="s">
        <v>89</v>
      </c>
      <c r="O205" s="8">
        <f>IFERROR(VLOOKUP(N205,Kurallar!$G$3:$H$22,2,0),0)</f>
        <v>5</v>
      </c>
    </row>
    <row r="206" spans="1:15" hidden="1" x14ac:dyDescent="0.25">
      <c r="A206" s="8">
        <v>21</v>
      </c>
      <c r="B206" s="9" t="str">
        <f t="shared" si="47"/>
        <v>ВРУ (ВРУ-1-13-20 УХЛ4) (S3)</v>
      </c>
      <c r="C206" s="9" t="s">
        <v>54</v>
      </c>
      <c r="D206" s="9" t="s">
        <v>55</v>
      </c>
      <c r="E206" s="10" t="s">
        <v>56</v>
      </c>
      <c r="F206" s="11">
        <v>975</v>
      </c>
      <c r="G206" s="11">
        <f>IF(F206="","",ROUND(F206*VLOOKUP(K206,Kurallar!$D$3:$E$14,2,0),2))</f>
        <v>585</v>
      </c>
      <c r="H206" s="11">
        <f t="shared" si="50"/>
        <v>1170</v>
      </c>
      <c r="I206" s="8">
        <v>2</v>
      </c>
      <c r="J206" s="8" t="s">
        <v>23</v>
      </c>
      <c r="K206" s="8" t="s">
        <v>29</v>
      </c>
      <c r="L206" s="11">
        <f t="shared" si="51"/>
        <v>1170</v>
      </c>
      <c r="M206" s="9" t="s">
        <v>54</v>
      </c>
      <c r="N206" s="8" t="s">
        <v>57</v>
      </c>
      <c r="O206" s="8">
        <f>IFERROR(VLOOKUP(N206,Kurallar!$G$3:$H$22,2,0),0)</f>
        <v>3</v>
      </c>
    </row>
    <row r="207" spans="1:15" hidden="1" x14ac:dyDescent="0.25">
      <c r="A207" s="8">
        <v>21</v>
      </c>
      <c r="B207" s="9" t="str">
        <f t="shared" si="47"/>
        <v>ВРУ (ВРУ-1-13-20 УХЛ4) (S3)</v>
      </c>
      <c r="C207" s="9" t="s">
        <v>82</v>
      </c>
      <c r="D207" s="9" t="s">
        <v>212</v>
      </c>
      <c r="E207" s="10" t="s">
        <v>213</v>
      </c>
      <c r="F207" s="11">
        <v>0</v>
      </c>
      <c r="G207" s="11">
        <f>F207</f>
        <v>0</v>
      </c>
      <c r="H207" s="11">
        <f t="shared" si="50"/>
        <v>0</v>
      </c>
      <c r="I207" s="8">
        <v>2</v>
      </c>
      <c r="J207" s="8" t="s">
        <v>23</v>
      </c>
      <c r="K207" s="8" t="s">
        <v>751</v>
      </c>
      <c r="L207" s="11">
        <f t="shared" si="51"/>
        <v>0</v>
      </c>
      <c r="M207" s="9" t="s">
        <v>82</v>
      </c>
      <c r="N207" s="8" t="s">
        <v>85</v>
      </c>
      <c r="O207" s="8">
        <f>IFERROR(VLOOKUP(N207,Kurallar!$G$3:$H$22,2,0),0)</f>
        <v>25</v>
      </c>
    </row>
    <row r="208" spans="1:15" ht="24" hidden="1" x14ac:dyDescent="0.25">
      <c r="A208" s="8">
        <v>21</v>
      </c>
      <c r="B208" s="9" t="str">
        <f t="shared" si="47"/>
        <v>ВРУ (ВРУ-1-13-20 УХЛ4) (S3)</v>
      </c>
      <c r="C208" s="9" t="s">
        <v>26</v>
      </c>
      <c r="D208" s="9" t="s">
        <v>757</v>
      </c>
      <c r="E208" s="10" t="s">
        <v>758</v>
      </c>
      <c r="F208" s="11">
        <v>48003</v>
      </c>
      <c r="G208" s="11">
        <f>IF(F208="","",ROUND(F208*VLOOKUP(K208,Kurallar!$D$3:$E$14,2,0),2))</f>
        <v>48003</v>
      </c>
      <c r="H208" s="11">
        <f t="shared" si="50"/>
        <v>96006</v>
      </c>
      <c r="I208" s="8">
        <v>2</v>
      </c>
      <c r="J208" s="8" t="s">
        <v>23</v>
      </c>
      <c r="K208" s="8" t="s">
        <v>754</v>
      </c>
      <c r="L208" s="11">
        <f t="shared" si="51"/>
        <v>96006</v>
      </c>
      <c r="M208" s="9" t="s">
        <v>26</v>
      </c>
      <c r="N208" s="8" t="s">
        <v>30</v>
      </c>
      <c r="O208" s="8">
        <f>IFERROR(VLOOKUP(N208,Kurallar!$G$3:$H$22,2,0),0)</f>
        <v>30</v>
      </c>
    </row>
    <row r="209" spans="1:15" hidden="1" x14ac:dyDescent="0.25">
      <c r="A209" s="8">
        <v>21</v>
      </c>
      <c r="B209" s="9" t="str">
        <f t="shared" si="47"/>
        <v>ВРУ (ВРУ-1-13-20 УХЛ4) (S3)</v>
      </c>
      <c r="C209" s="9" t="s">
        <v>214</v>
      </c>
      <c r="D209" s="9" t="s">
        <v>215</v>
      </c>
      <c r="E209" s="10" t="s">
        <v>216</v>
      </c>
      <c r="F209" s="11">
        <v>4633</v>
      </c>
      <c r="G209" s="11">
        <f>IF(F209="","",ROUND(F209*VLOOKUP(K209,Kurallar!$D$3:$E$14,2,0),2))</f>
        <v>4633</v>
      </c>
      <c r="H209" s="11">
        <f t="shared" si="50"/>
        <v>27798</v>
      </c>
      <c r="I209" s="8">
        <v>6</v>
      </c>
      <c r="J209" s="8" t="s">
        <v>23</v>
      </c>
      <c r="K209" s="8" t="s">
        <v>65</v>
      </c>
      <c r="L209" s="11">
        <f t="shared" si="51"/>
        <v>27798</v>
      </c>
      <c r="M209" s="9" t="s">
        <v>214</v>
      </c>
      <c r="N209" s="8" t="s">
        <v>217</v>
      </c>
      <c r="O209" s="8">
        <f>IFERROR(VLOOKUP(N209,Kurallar!$G$3:$H$22,2,0),0)</f>
        <v>15</v>
      </c>
    </row>
    <row r="210" spans="1:15" hidden="1" x14ac:dyDescent="0.25">
      <c r="A210" s="8">
        <v>21</v>
      </c>
      <c r="B210" s="9" t="str">
        <f t="shared" si="47"/>
        <v>ВРУ (ВРУ-1-13-20 УХЛ4) (S3)</v>
      </c>
      <c r="C210" s="9" t="s">
        <v>218</v>
      </c>
      <c r="D210" s="9" t="s">
        <v>219</v>
      </c>
      <c r="E210" s="10" t="s">
        <v>220</v>
      </c>
      <c r="F210" s="11">
        <v>5275</v>
      </c>
      <c r="G210" s="11">
        <f>IF(F210="","",ROUND(F210*VLOOKUP(K210,Kurallar!$D$3:$E$14,2,0),2))</f>
        <v>3165</v>
      </c>
      <c r="H210" s="11">
        <f t="shared" si="50"/>
        <v>18990</v>
      </c>
      <c r="I210" s="8">
        <v>6</v>
      </c>
      <c r="J210" s="8" t="s">
        <v>23</v>
      </c>
      <c r="K210" s="8" t="s">
        <v>29</v>
      </c>
      <c r="L210" s="11">
        <f t="shared" si="51"/>
        <v>18990</v>
      </c>
      <c r="M210" s="9" t="s">
        <v>218</v>
      </c>
      <c r="N210" s="8" t="s">
        <v>221</v>
      </c>
      <c r="O210" s="8">
        <f>IFERROR(VLOOKUP(N210,Kurallar!$G$3:$H$22,2,0),0)</f>
        <v>15</v>
      </c>
    </row>
    <row r="211" spans="1:15" hidden="1" x14ac:dyDescent="0.25">
      <c r="A211" s="8">
        <v>21</v>
      </c>
      <c r="B211" s="9" t="str">
        <f t="shared" si="47"/>
        <v>ВРУ (ВРУ-1-13-20 УХЛ4) (S3)</v>
      </c>
      <c r="C211" s="9" t="s">
        <v>54</v>
      </c>
      <c r="D211" s="9" t="s">
        <v>222</v>
      </c>
      <c r="E211" s="10" t="s">
        <v>223</v>
      </c>
      <c r="F211" s="11">
        <v>2606</v>
      </c>
      <c r="G211" s="11">
        <f>IF(F211="","",ROUND(F211*VLOOKUP(K211,Kurallar!$D$3:$E$14,2,0),2))</f>
        <v>1563.6</v>
      </c>
      <c r="H211" s="11">
        <f t="shared" si="50"/>
        <v>3127.2</v>
      </c>
      <c r="I211" s="8">
        <v>2</v>
      </c>
      <c r="J211" s="8" t="s">
        <v>23</v>
      </c>
      <c r="K211" s="8" t="s">
        <v>29</v>
      </c>
      <c r="L211" s="11">
        <f t="shared" si="51"/>
        <v>3127.2</v>
      </c>
      <c r="M211" s="9" t="s">
        <v>54</v>
      </c>
      <c r="N211" s="8" t="s">
        <v>113</v>
      </c>
      <c r="O211" s="8">
        <f>IFERROR(VLOOKUP(N211,Kurallar!$G$3:$H$22,2,0),0)</f>
        <v>10</v>
      </c>
    </row>
    <row r="212" spans="1:15" hidden="1" x14ac:dyDescent="0.25">
      <c r="A212" s="8">
        <v>21</v>
      </c>
      <c r="B212" s="9" t="str">
        <f t="shared" si="47"/>
        <v>ВРУ (ВРУ-1-13-20 УХЛ4) (S3)</v>
      </c>
      <c r="C212" s="9" t="s">
        <v>31</v>
      </c>
      <c r="E212" s="9" t="s">
        <v>32</v>
      </c>
      <c r="F212" s="11"/>
      <c r="G212" s="11">
        <f>ROUND(SUM(H203:H211)*Kurallar!$B$2,2)</f>
        <v>33459.26</v>
      </c>
      <c r="H212" s="11">
        <f>G212*I212</f>
        <v>33459.26</v>
      </c>
      <c r="I212" s="8">
        <v>1</v>
      </c>
      <c r="J212" s="8" t="s">
        <v>19</v>
      </c>
      <c r="K212" s="8" t="s">
        <v>33</v>
      </c>
      <c r="L212" s="11">
        <f>H212*$I$202</f>
        <v>33459.26</v>
      </c>
      <c r="M212" s="9" t="s">
        <v>31</v>
      </c>
    </row>
    <row r="213" spans="1:15" hidden="1" x14ac:dyDescent="0.25">
      <c r="A213" s="8">
        <v>21</v>
      </c>
      <c r="B213" s="9" t="str">
        <f t="shared" si="47"/>
        <v>ВРУ (ВРУ-1-13-20 УХЛ4) (S3)</v>
      </c>
      <c r="C213" s="9" t="s">
        <v>34</v>
      </c>
      <c r="E213" s="9" t="s">
        <v>35</v>
      </c>
      <c r="F213" s="11">
        <f>ROUND(I213/60,1)</f>
        <v>8.9</v>
      </c>
      <c r="G213" s="11">
        <f>Kurallar!$B$3</f>
        <v>100</v>
      </c>
      <c r="H213" s="11">
        <f>G213*I213</f>
        <v>53600</v>
      </c>
      <c r="I213" s="8">
        <f>ROUND(SUMPRODUCT(I203:I211,O203:O211)*Kurallar!$B$4,0)</f>
        <v>536</v>
      </c>
      <c r="J213" s="8" t="s">
        <v>36</v>
      </c>
      <c r="K213" s="8" t="s">
        <v>33</v>
      </c>
      <c r="L213" s="11">
        <f>H213*$I$202</f>
        <v>53600</v>
      </c>
      <c r="M213" s="9" t="s">
        <v>34</v>
      </c>
    </row>
    <row r="214" spans="1:15" hidden="1" x14ac:dyDescent="0.25">
      <c r="A214" s="12"/>
      <c r="B214" s="13" t="s">
        <v>224</v>
      </c>
      <c r="C214" s="12"/>
      <c r="D214" s="12"/>
      <c r="E214" s="13" t="s">
        <v>225</v>
      </c>
      <c r="F214" s="12"/>
      <c r="G214" s="12"/>
      <c r="H214" s="14">
        <f>SUBTOTAL(9,H203:H213)</f>
        <v>0</v>
      </c>
      <c r="I214" s="15">
        <v>1</v>
      </c>
      <c r="J214" s="15" t="s">
        <v>19</v>
      </c>
      <c r="K214" s="12"/>
      <c r="L214" s="14">
        <f>SUBTOTAL(9,L203:L213)</f>
        <v>0</v>
      </c>
      <c r="M214" s="12"/>
      <c r="N214" s="12"/>
      <c r="O214" s="12"/>
    </row>
    <row r="215" spans="1:15" x14ac:dyDescent="0.25">
      <c r="A215" s="4">
        <v>22</v>
      </c>
      <c r="B215" s="5" t="s">
        <v>226</v>
      </c>
      <c r="C215" s="6" t="s">
        <v>18</v>
      </c>
      <c r="D215" s="6"/>
      <c r="E215" s="7" t="s">
        <v>226</v>
      </c>
      <c r="F215" s="6"/>
      <c r="G215" s="6"/>
      <c r="H215" s="6"/>
      <c r="I215" s="4">
        <v>1</v>
      </c>
      <c r="J215" s="4" t="s">
        <v>19</v>
      </c>
      <c r="K215" s="6"/>
      <c r="L215" s="6"/>
      <c r="M215" s="6"/>
      <c r="N215" s="6"/>
      <c r="O215" s="6"/>
    </row>
    <row r="216" spans="1:15" x14ac:dyDescent="0.25">
      <c r="A216" s="8">
        <v>22</v>
      </c>
      <c r="B216" s="9" t="str">
        <f t="shared" ref="B216:B225" si="52">B215</f>
        <v>АВР-160А (ША8333-160-74 УХЛ4) (S3)</v>
      </c>
      <c r="C216" s="9" t="s">
        <v>20</v>
      </c>
      <c r="D216" s="9" t="s">
        <v>227</v>
      </c>
      <c r="E216" s="10" t="s">
        <v>228</v>
      </c>
      <c r="F216" s="11">
        <v>125305</v>
      </c>
      <c r="G216" s="11">
        <f>IF(F216="","",ROUND(F216*VLOOKUP(K216,Kurallar!$D$3:$E$14,2,0),2))</f>
        <v>75183</v>
      </c>
      <c r="H216" s="11">
        <f t="shared" ref="H216" si="53">IF(G216="","",G216*I216)</f>
        <v>75183</v>
      </c>
      <c r="I216" s="8">
        <v>1</v>
      </c>
      <c r="J216" s="8" t="s">
        <v>23</v>
      </c>
      <c r="K216" s="8" t="s">
        <v>24</v>
      </c>
      <c r="L216" s="11">
        <f t="shared" ref="L216" si="54">IF(H216="","",H216*$I$181)</f>
        <v>75183</v>
      </c>
      <c r="M216" s="9" t="s">
        <v>20</v>
      </c>
      <c r="N216" s="8" t="s">
        <v>209</v>
      </c>
      <c r="O216" s="8">
        <f>IFERROR(VLOOKUP(N216,Kurallar!$G$3:$H$22,2,0),0)</f>
        <v>90</v>
      </c>
    </row>
    <row r="217" spans="1:15" x14ac:dyDescent="0.25">
      <c r="A217" s="8">
        <v>22</v>
      </c>
      <c r="B217" s="9" t="str">
        <f t="shared" si="52"/>
        <v>АВР-160А (ША8333-160-74 УХЛ4) (S3)</v>
      </c>
      <c r="C217" s="9" t="s">
        <v>145</v>
      </c>
      <c r="D217" s="9" t="s">
        <v>229</v>
      </c>
      <c r="E217" s="10" t="s">
        <v>230</v>
      </c>
      <c r="F217" s="11">
        <v>33910</v>
      </c>
      <c r="G217" s="11">
        <f>IF(F217="","",ROUND(F217*VLOOKUP(K217,Kurallar!$D$3:$E$14,2,0),2))</f>
        <v>20346</v>
      </c>
      <c r="H217" s="11">
        <f t="shared" ref="H217:H223" si="55">IF(G217="","",G217*I217)</f>
        <v>61038</v>
      </c>
      <c r="I217" s="8">
        <v>3</v>
      </c>
      <c r="J217" s="8" t="s">
        <v>23</v>
      </c>
      <c r="K217" s="8" t="s">
        <v>29</v>
      </c>
      <c r="L217" s="11">
        <f t="shared" ref="L217:L223" si="56">IF(H217="","",H217*$I$215)</f>
        <v>61038</v>
      </c>
      <c r="M217" s="9" t="s">
        <v>145</v>
      </c>
      <c r="N217" s="8" t="s">
        <v>148</v>
      </c>
      <c r="O217" s="8">
        <f>IFERROR(VLOOKUP(N217,Kurallar!$G$3:$H$22,2,0),0)</f>
        <v>35</v>
      </c>
    </row>
    <row r="218" spans="1:15" x14ac:dyDescent="0.25">
      <c r="A218" s="8">
        <v>22</v>
      </c>
      <c r="B218" s="9" t="str">
        <f t="shared" si="52"/>
        <v>АВР-160А (ША8333-160-74 УХЛ4) (S3)</v>
      </c>
      <c r="C218" s="9" t="s">
        <v>54</v>
      </c>
      <c r="D218" s="9" t="s">
        <v>231</v>
      </c>
      <c r="E218" s="10" t="s">
        <v>232</v>
      </c>
      <c r="F218" s="11">
        <v>2873</v>
      </c>
      <c r="G218" s="11">
        <f>IF(F218="","",ROUND(F218*VLOOKUP(K218,Kurallar!$D$3:$E$14,2,0),2))</f>
        <v>1723.8</v>
      </c>
      <c r="H218" s="11">
        <f t="shared" si="55"/>
        <v>5171.3999999999996</v>
      </c>
      <c r="I218" s="8">
        <v>3</v>
      </c>
      <c r="J218" s="8" t="s">
        <v>23</v>
      </c>
      <c r="K218" s="8" t="s">
        <v>29</v>
      </c>
      <c r="L218" s="11">
        <f t="shared" si="56"/>
        <v>5171.3999999999996</v>
      </c>
      <c r="M218" s="9" t="s">
        <v>54</v>
      </c>
      <c r="N218" s="8" t="s">
        <v>113</v>
      </c>
      <c r="O218" s="8">
        <f>IFERROR(VLOOKUP(N218,Kurallar!$G$3:$H$22,2,0),0)</f>
        <v>10</v>
      </c>
    </row>
    <row r="219" spans="1:15" x14ac:dyDescent="0.25">
      <c r="A219" s="8">
        <v>22</v>
      </c>
      <c r="B219" s="9" t="str">
        <f t="shared" si="52"/>
        <v>АВР-160А (ША8333-160-74 УХЛ4) (S3)</v>
      </c>
      <c r="C219" s="9" t="s">
        <v>58</v>
      </c>
      <c r="D219" s="9" t="s">
        <v>233</v>
      </c>
      <c r="E219" s="10" t="s">
        <v>234</v>
      </c>
      <c r="F219" s="11">
        <v>106032</v>
      </c>
      <c r="G219" s="11">
        <f>IF(F219="","",ROUND(F219*VLOOKUP(K219,Kurallar!$D$3:$E$14,2,0),2))</f>
        <v>63619.199999999997</v>
      </c>
      <c r="H219" s="11">
        <f t="shared" si="55"/>
        <v>190857.59999999998</v>
      </c>
      <c r="I219" s="8">
        <v>3</v>
      </c>
      <c r="J219" s="8" t="s">
        <v>23</v>
      </c>
      <c r="K219" s="8" t="s">
        <v>29</v>
      </c>
      <c r="L219" s="11">
        <f t="shared" si="56"/>
        <v>190857.59999999998</v>
      </c>
      <c r="M219" s="9" t="s">
        <v>58</v>
      </c>
      <c r="N219" s="8" t="s">
        <v>61</v>
      </c>
      <c r="O219" s="8">
        <f>IFERROR(VLOOKUP(N219,Kurallar!$G$3:$H$22,2,0),0)</f>
        <v>15</v>
      </c>
    </row>
    <row r="220" spans="1:15" x14ac:dyDescent="0.25">
      <c r="A220" s="8">
        <v>22</v>
      </c>
      <c r="B220" s="9" t="str">
        <f t="shared" si="52"/>
        <v>АВР-160А (ША8333-160-74 УХЛ4) (S3)</v>
      </c>
      <c r="C220" s="9" t="s">
        <v>86</v>
      </c>
      <c r="D220" s="9" t="s">
        <v>235</v>
      </c>
      <c r="E220" s="10" t="s">
        <v>236</v>
      </c>
      <c r="F220" s="11">
        <v>1306</v>
      </c>
      <c r="G220" s="11">
        <f>IF(F220="","",ROUND(F220*VLOOKUP(K220,Kurallar!$D$3:$E$14,2,0),2))</f>
        <v>783.6</v>
      </c>
      <c r="H220" s="11">
        <f t="shared" si="55"/>
        <v>2350.8000000000002</v>
      </c>
      <c r="I220" s="8">
        <v>3</v>
      </c>
      <c r="J220" s="8" t="s">
        <v>23</v>
      </c>
      <c r="K220" s="8" t="s">
        <v>29</v>
      </c>
      <c r="L220" s="11">
        <f t="shared" si="56"/>
        <v>2350.8000000000002</v>
      </c>
      <c r="M220" s="9" t="s">
        <v>86</v>
      </c>
      <c r="N220" s="8" t="s">
        <v>89</v>
      </c>
      <c r="O220" s="8">
        <f>IFERROR(VLOOKUP(N220,Kurallar!$G$3:$H$22,2,0),0)</f>
        <v>5</v>
      </c>
    </row>
    <row r="221" spans="1:15" x14ac:dyDescent="0.25">
      <c r="A221" s="8">
        <v>22</v>
      </c>
      <c r="B221" s="9" t="str">
        <f t="shared" si="52"/>
        <v>АВР-160А (ША8333-160-74 УХЛ4) (S3)</v>
      </c>
      <c r="C221" s="9" t="s">
        <v>62</v>
      </c>
      <c r="D221" s="9" t="s">
        <v>237</v>
      </c>
      <c r="E221" s="10" t="s">
        <v>238</v>
      </c>
      <c r="F221" s="11">
        <v>16808</v>
      </c>
      <c r="G221" s="11">
        <f>IF(F221="","",ROUND(F221*VLOOKUP(K221,Kurallar!$D$3:$E$14,2,0),2))</f>
        <v>10084.799999999999</v>
      </c>
      <c r="H221" s="11">
        <f t="shared" si="55"/>
        <v>30254.399999999998</v>
      </c>
      <c r="I221" s="8">
        <v>3</v>
      </c>
      <c r="J221" s="8" t="s">
        <v>23</v>
      </c>
      <c r="K221" s="8" t="s">
        <v>29</v>
      </c>
      <c r="L221" s="11">
        <f t="shared" si="56"/>
        <v>30254.399999999998</v>
      </c>
      <c r="M221" s="9" t="s">
        <v>62</v>
      </c>
      <c r="N221" s="8" t="s">
        <v>66</v>
      </c>
      <c r="O221" s="8">
        <f>IFERROR(VLOOKUP(N221,Kurallar!$G$3:$H$22,2,0),0)</f>
        <v>5</v>
      </c>
    </row>
    <row r="222" spans="1:15" x14ac:dyDescent="0.25">
      <c r="A222" s="8">
        <v>22</v>
      </c>
      <c r="B222" s="9" t="str">
        <f t="shared" si="52"/>
        <v>АВР-160А (ША8333-160-74 УХЛ4) (S3)</v>
      </c>
      <c r="C222" s="9" t="s">
        <v>214</v>
      </c>
      <c r="D222" s="9" t="s">
        <v>239</v>
      </c>
      <c r="E222" s="10" t="s">
        <v>240</v>
      </c>
      <c r="F222" s="11">
        <v>4900</v>
      </c>
      <c r="G222" s="11">
        <f>IF(F222="","",ROUND(F222*VLOOKUP(K222,Kurallar!$D$3:$E$14,2,0),2))</f>
        <v>4900</v>
      </c>
      <c r="H222" s="11">
        <f t="shared" si="55"/>
        <v>34300</v>
      </c>
      <c r="I222" s="8">
        <v>7</v>
      </c>
      <c r="J222" s="8" t="s">
        <v>23</v>
      </c>
      <c r="K222" s="8" t="s">
        <v>65</v>
      </c>
      <c r="L222" s="11">
        <f t="shared" si="56"/>
        <v>34300</v>
      </c>
      <c r="M222" s="9" t="s">
        <v>214</v>
      </c>
      <c r="N222" s="8" t="s">
        <v>217</v>
      </c>
      <c r="O222" s="8">
        <f>IFERROR(VLOOKUP(N222,Kurallar!$G$3:$H$22,2,0),0)</f>
        <v>15</v>
      </c>
    </row>
    <row r="223" spans="1:15" x14ac:dyDescent="0.25">
      <c r="A223" s="8">
        <v>22</v>
      </c>
      <c r="B223" s="9" t="str">
        <f t="shared" si="52"/>
        <v>АВР-160А (ША8333-160-74 УХЛ4) (S3)</v>
      </c>
      <c r="C223" s="9" t="s">
        <v>82</v>
      </c>
      <c r="D223" s="9" t="s">
        <v>212</v>
      </c>
      <c r="E223" s="10" t="s">
        <v>213</v>
      </c>
      <c r="F223" s="11">
        <v>0</v>
      </c>
      <c r="G223" s="11">
        <f>F223</f>
        <v>0</v>
      </c>
      <c r="H223" s="11">
        <f t="shared" si="55"/>
        <v>0</v>
      </c>
      <c r="I223" s="8">
        <v>2</v>
      </c>
      <c r="J223" s="8" t="s">
        <v>23</v>
      </c>
      <c r="K223" s="8" t="s">
        <v>751</v>
      </c>
      <c r="L223" s="11">
        <f t="shared" si="56"/>
        <v>0</v>
      </c>
      <c r="M223" s="9" t="s">
        <v>82</v>
      </c>
      <c r="N223" s="8" t="s">
        <v>85</v>
      </c>
      <c r="O223" s="8">
        <f>IFERROR(VLOOKUP(N223,Kurallar!$G$3:$H$22,2,0),0)</f>
        <v>25</v>
      </c>
    </row>
    <row r="224" spans="1:15" x14ac:dyDescent="0.25">
      <c r="A224" s="8">
        <v>22</v>
      </c>
      <c r="B224" s="9" t="str">
        <f t="shared" si="52"/>
        <v>АВР-160А (ША8333-160-74 УХЛ4) (S3)</v>
      </c>
      <c r="C224" s="9" t="s">
        <v>31</v>
      </c>
      <c r="E224" s="9" t="s">
        <v>32</v>
      </c>
      <c r="F224" s="11"/>
      <c r="G224" s="11">
        <f>ROUND(SUM(H216:H223)*Kurallar!$B$2,2)</f>
        <v>47898.62</v>
      </c>
      <c r="H224" s="11">
        <f>G224*I224</f>
        <v>47898.62</v>
      </c>
      <c r="I224" s="8">
        <v>1</v>
      </c>
      <c r="J224" s="8" t="s">
        <v>19</v>
      </c>
      <c r="K224" s="8" t="s">
        <v>33</v>
      </c>
      <c r="L224" s="11">
        <f>H224*$I$215</f>
        <v>47898.62</v>
      </c>
      <c r="M224" s="9" t="s">
        <v>31</v>
      </c>
    </row>
    <row r="225" spans="1:15" x14ac:dyDescent="0.25">
      <c r="A225" s="8">
        <v>22</v>
      </c>
      <c r="B225" s="9" t="str">
        <f t="shared" si="52"/>
        <v>АВР-160А (ША8333-160-74 УХЛ4) (S3)</v>
      </c>
      <c r="C225" s="9" t="s">
        <v>34</v>
      </c>
      <c r="E225" s="9" t="s">
        <v>35</v>
      </c>
      <c r="F225" s="11">
        <f>ROUND(I225/60,1)</f>
        <v>8.6999999999999993</v>
      </c>
      <c r="G225" s="11">
        <f>Kurallar!$B$3</f>
        <v>100</v>
      </c>
      <c r="H225" s="11">
        <f>G225*I225</f>
        <v>52300</v>
      </c>
      <c r="I225" s="8">
        <f>ROUND(SUMPRODUCT(I216:I223,O216:O223)*Kurallar!$B$4,0)</f>
        <v>523</v>
      </c>
      <c r="J225" s="8" t="s">
        <v>36</v>
      </c>
      <c r="K225" s="8" t="s">
        <v>33</v>
      </c>
      <c r="L225" s="11">
        <f>H225*$I$215</f>
        <v>52300</v>
      </c>
      <c r="M225" s="9" t="s">
        <v>34</v>
      </c>
    </row>
    <row r="226" spans="1:15" x14ac:dyDescent="0.25">
      <c r="A226" s="12"/>
      <c r="B226" s="13" t="s">
        <v>242</v>
      </c>
      <c r="C226" s="12"/>
      <c r="D226" s="12"/>
      <c r="E226" s="13" t="s">
        <v>243</v>
      </c>
      <c r="F226" s="12"/>
      <c r="G226" s="12"/>
      <c r="H226" s="14">
        <f>SUBTOTAL(9,H216:H225)</f>
        <v>499353.82</v>
      </c>
      <c r="I226" s="15">
        <v>1</v>
      </c>
      <c r="J226" s="15" t="s">
        <v>19</v>
      </c>
      <c r="K226" s="12"/>
      <c r="L226" s="14">
        <f>SUBTOTAL(9,L216:L225)</f>
        <v>499353.82</v>
      </c>
      <c r="M226" s="12"/>
      <c r="N226" s="12"/>
      <c r="O226" s="12"/>
    </row>
    <row r="227" spans="1:15" hidden="1" x14ac:dyDescent="0.25">
      <c r="A227" s="4">
        <v>23</v>
      </c>
      <c r="B227" s="5" t="s">
        <v>244</v>
      </c>
      <c r="C227" s="6" t="s">
        <v>18</v>
      </c>
      <c r="D227" s="6"/>
      <c r="E227" s="7" t="s">
        <v>244</v>
      </c>
      <c r="F227" s="6"/>
      <c r="G227" s="6"/>
      <c r="H227" s="6"/>
      <c r="I227" s="4">
        <v>1</v>
      </c>
      <c r="J227" s="4" t="s">
        <v>19</v>
      </c>
      <c r="K227" s="6"/>
      <c r="L227" s="6"/>
      <c r="M227" s="6"/>
      <c r="N227" s="6"/>
      <c r="O227" s="6"/>
    </row>
    <row r="228" spans="1:15" hidden="1" x14ac:dyDescent="0.25">
      <c r="A228" s="8">
        <v>23</v>
      </c>
      <c r="B228" s="9" t="str">
        <f t="shared" ref="B228:B238" si="57">B227</f>
        <v>РЩ1(ВРУ1-ИНД тип5-00) (S3)</v>
      </c>
      <c r="C228" s="9" t="s">
        <v>20</v>
      </c>
      <c r="D228" s="9" t="s">
        <v>227</v>
      </c>
      <c r="E228" s="10" t="s">
        <v>228</v>
      </c>
      <c r="F228" s="11">
        <v>125305</v>
      </c>
      <c r="G228" s="11">
        <f>IF(F228="","",ROUND(F228*VLOOKUP(K228,Kurallar!$D$3:$E$14,2,0),2))</f>
        <v>75183</v>
      </c>
      <c r="H228" s="11">
        <f t="shared" ref="H228" si="58">IF(G228="","",G228*I228)</f>
        <v>75183</v>
      </c>
      <c r="I228" s="8">
        <v>1</v>
      </c>
      <c r="J228" s="8" t="s">
        <v>23</v>
      </c>
      <c r="K228" s="8" t="s">
        <v>24</v>
      </c>
      <c r="L228" s="11">
        <f t="shared" ref="L228" si="59">IF(H228="","",H228*$I$181)</f>
        <v>75183</v>
      </c>
      <c r="M228" s="9" t="s">
        <v>20</v>
      </c>
      <c r="N228" s="8" t="s">
        <v>209</v>
      </c>
      <c r="O228" s="8">
        <f>IFERROR(VLOOKUP(N228,Kurallar!$G$3:$H$22,2,0),0)</f>
        <v>90</v>
      </c>
    </row>
    <row r="229" spans="1:15" hidden="1" x14ac:dyDescent="0.25">
      <c r="A229" s="8">
        <v>23</v>
      </c>
      <c r="B229" s="9" t="str">
        <f t="shared" si="57"/>
        <v>РЩ1(ВРУ1-ИНД тип5-00) (S3)</v>
      </c>
      <c r="C229" s="9" t="s">
        <v>145</v>
      </c>
      <c r="D229" s="9" t="s">
        <v>229</v>
      </c>
      <c r="E229" s="10" t="s">
        <v>230</v>
      </c>
      <c r="F229" s="11">
        <v>33910</v>
      </c>
      <c r="G229" s="11">
        <f>IF(F229="","",ROUND(F229*VLOOKUP(K229,Kurallar!$D$3:$E$14,2,0),2))</f>
        <v>20346</v>
      </c>
      <c r="H229" s="11">
        <f t="shared" ref="H229:H236" si="60">IF(G229="","",G229*I229)</f>
        <v>40692</v>
      </c>
      <c r="I229" s="8">
        <v>2</v>
      </c>
      <c r="J229" s="8" t="s">
        <v>23</v>
      </c>
      <c r="K229" s="8" t="s">
        <v>29</v>
      </c>
      <c r="L229" s="11">
        <f t="shared" ref="L229:L236" si="61">IF(H229="","",H229*$I$227)</f>
        <v>40692</v>
      </c>
      <c r="M229" s="9" t="s">
        <v>145</v>
      </c>
      <c r="N229" s="8" t="s">
        <v>148</v>
      </c>
      <c r="O229" s="8">
        <f>IFERROR(VLOOKUP(N229,Kurallar!$G$3:$H$22,2,0),0)</f>
        <v>35</v>
      </c>
    </row>
    <row r="230" spans="1:15" hidden="1" x14ac:dyDescent="0.25">
      <c r="A230" s="8">
        <v>23</v>
      </c>
      <c r="B230" s="9" t="str">
        <f t="shared" si="57"/>
        <v>РЩ1(ВРУ1-ИНД тип5-00) (S3)</v>
      </c>
      <c r="C230" s="9" t="s">
        <v>145</v>
      </c>
      <c r="D230" s="9" t="s">
        <v>245</v>
      </c>
      <c r="E230" s="10" t="s">
        <v>246</v>
      </c>
      <c r="F230" s="11">
        <v>19760</v>
      </c>
      <c r="G230" s="11">
        <f>IF(F230="","",ROUND(F230*VLOOKUP(K230,Kurallar!$D$3:$E$14,2,0),2))</f>
        <v>11856</v>
      </c>
      <c r="H230" s="11">
        <f t="shared" si="60"/>
        <v>23712</v>
      </c>
      <c r="I230" s="8">
        <v>2</v>
      </c>
      <c r="J230" s="8" t="s">
        <v>23</v>
      </c>
      <c r="K230" s="8" t="s">
        <v>29</v>
      </c>
      <c r="L230" s="11">
        <f t="shared" si="61"/>
        <v>23712</v>
      </c>
      <c r="M230" s="9" t="s">
        <v>145</v>
      </c>
      <c r="N230" s="8" t="s">
        <v>148</v>
      </c>
      <c r="O230" s="8">
        <f>IFERROR(VLOOKUP(N230,Kurallar!$G$3:$H$22,2,0),0)</f>
        <v>35</v>
      </c>
    </row>
    <row r="231" spans="1:15" hidden="1" x14ac:dyDescent="0.25">
      <c r="A231" s="8">
        <v>23</v>
      </c>
      <c r="B231" s="9" t="str">
        <f t="shared" si="57"/>
        <v>РЩ1(ВРУ1-ИНД тип5-00) (S3)</v>
      </c>
      <c r="C231" s="9" t="s">
        <v>54</v>
      </c>
      <c r="D231" s="9" t="s">
        <v>247</v>
      </c>
      <c r="E231" s="10" t="s">
        <v>248</v>
      </c>
      <c r="F231" s="11">
        <v>2429</v>
      </c>
      <c r="G231" s="11">
        <f>IF(F231="","",ROUND(F231*VLOOKUP(K231,Kurallar!$D$3:$E$14,2,0),2))</f>
        <v>1457.4</v>
      </c>
      <c r="H231" s="11">
        <f t="shared" si="60"/>
        <v>10201.800000000001</v>
      </c>
      <c r="I231" s="8">
        <v>7</v>
      </c>
      <c r="J231" s="8" t="s">
        <v>23</v>
      </c>
      <c r="K231" s="8" t="s">
        <v>29</v>
      </c>
      <c r="L231" s="11">
        <f t="shared" si="61"/>
        <v>10201.800000000001</v>
      </c>
      <c r="M231" s="9" t="s">
        <v>54</v>
      </c>
      <c r="N231" s="8" t="s">
        <v>113</v>
      </c>
      <c r="O231" s="8">
        <f>IFERROR(VLOOKUP(N231,Kurallar!$G$3:$H$22,2,0),0)</f>
        <v>10</v>
      </c>
    </row>
    <row r="232" spans="1:15" hidden="1" x14ac:dyDescent="0.25">
      <c r="A232" s="8">
        <v>23</v>
      </c>
      <c r="B232" s="9" t="str">
        <f t="shared" si="57"/>
        <v>РЩ1(ВРУ1-ИНД тип5-00) (S3)</v>
      </c>
      <c r="C232" s="9" t="s">
        <v>26</v>
      </c>
      <c r="D232" s="9" t="s">
        <v>80</v>
      </c>
      <c r="E232" s="10" t="s">
        <v>81</v>
      </c>
      <c r="F232" s="11">
        <v>3372</v>
      </c>
      <c r="G232" s="11">
        <f>IF(F232="","",ROUND(F232*VLOOKUP(K232,Kurallar!$D$3:$E$14,2,0),2))</f>
        <v>2023.2</v>
      </c>
      <c r="H232" s="11">
        <f t="shared" si="60"/>
        <v>2023.2</v>
      </c>
      <c r="I232" s="8">
        <v>1</v>
      </c>
      <c r="J232" s="8" t="s">
        <v>23</v>
      </c>
      <c r="K232" s="8" t="s">
        <v>29</v>
      </c>
      <c r="L232" s="11">
        <f t="shared" si="61"/>
        <v>2023.2</v>
      </c>
      <c r="M232" s="9" t="s">
        <v>26</v>
      </c>
      <c r="N232" s="8" t="s">
        <v>42</v>
      </c>
      <c r="O232" s="8">
        <f>IFERROR(VLOOKUP(N232,Kurallar!$G$3:$H$22,2,0),0)</f>
        <v>15</v>
      </c>
    </row>
    <row r="233" spans="1:15" hidden="1" x14ac:dyDescent="0.25">
      <c r="A233" s="8">
        <v>23</v>
      </c>
      <c r="B233" s="9" t="str">
        <f t="shared" si="57"/>
        <v>РЩ1(ВРУ1-ИНД тип5-00) (S3)</v>
      </c>
      <c r="C233" s="9" t="s">
        <v>54</v>
      </c>
      <c r="D233" s="9" t="s">
        <v>222</v>
      </c>
      <c r="E233" s="10" t="s">
        <v>223</v>
      </c>
      <c r="F233" s="11">
        <v>2606</v>
      </c>
      <c r="G233" s="11">
        <f>IF(F233="","",ROUND(F233*VLOOKUP(K233,Kurallar!$D$3:$E$14,2,0),2))</f>
        <v>1563.6</v>
      </c>
      <c r="H233" s="11">
        <f t="shared" si="60"/>
        <v>1563.6</v>
      </c>
      <c r="I233" s="8">
        <v>1</v>
      </c>
      <c r="J233" s="8" t="s">
        <v>23</v>
      </c>
      <c r="K233" s="8" t="s">
        <v>29</v>
      </c>
      <c r="L233" s="11">
        <f t="shared" si="61"/>
        <v>1563.6</v>
      </c>
      <c r="M233" s="9" t="s">
        <v>54</v>
      </c>
      <c r="N233" s="8" t="s">
        <v>113</v>
      </c>
      <c r="O233" s="8">
        <f>IFERROR(VLOOKUP(N233,Kurallar!$G$3:$H$22,2,0),0)</f>
        <v>10</v>
      </c>
    </row>
    <row r="234" spans="1:15" hidden="1" x14ac:dyDescent="0.25">
      <c r="A234" s="8">
        <v>23</v>
      </c>
      <c r="B234" s="9" t="str">
        <f t="shared" si="57"/>
        <v>РЩ1(ВРУ1-ИНД тип5-00) (S3)</v>
      </c>
      <c r="C234" s="9" t="s">
        <v>54</v>
      </c>
      <c r="D234" s="9" t="s">
        <v>249</v>
      </c>
      <c r="E234" s="10" t="s">
        <v>250</v>
      </c>
      <c r="F234" s="11">
        <v>2337</v>
      </c>
      <c r="G234" s="11">
        <f>IF(F234="","",ROUND(F234*VLOOKUP(K234,Kurallar!$D$3:$E$14,2,0),2))</f>
        <v>1402.2</v>
      </c>
      <c r="H234" s="11">
        <f t="shared" si="60"/>
        <v>1402.2</v>
      </c>
      <c r="I234" s="8">
        <v>1</v>
      </c>
      <c r="J234" s="8" t="s">
        <v>23</v>
      </c>
      <c r="K234" s="8" t="s">
        <v>29</v>
      </c>
      <c r="L234" s="11">
        <f t="shared" si="61"/>
        <v>1402.2</v>
      </c>
      <c r="M234" s="9" t="s">
        <v>54</v>
      </c>
      <c r="N234" s="8" t="s">
        <v>113</v>
      </c>
      <c r="O234" s="8">
        <f>IFERROR(VLOOKUP(N234,Kurallar!$G$3:$H$22,2,0),0)</f>
        <v>10</v>
      </c>
    </row>
    <row r="235" spans="1:15" hidden="1" x14ac:dyDescent="0.25">
      <c r="A235" s="8">
        <v>23</v>
      </c>
      <c r="B235" s="9" t="str">
        <f t="shared" si="57"/>
        <v>РЩ1(ВРУ1-ИНД тип5-00) (S3)</v>
      </c>
      <c r="C235" s="9" t="s">
        <v>54</v>
      </c>
      <c r="D235" s="9" t="s">
        <v>163</v>
      </c>
      <c r="E235" s="10" t="s">
        <v>164</v>
      </c>
      <c r="F235" s="11">
        <v>2447</v>
      </c>
      <c r="G235" s="11">
        <f>IF(F235="","",ROUND(F235*VLOOKUP(K235,Kurallar!$D$3:$E$14,2,0),2))</f>
        <v>1468.2</v>
      </c>
      <c r="H235" s="11">
        <f t="shared" si="60"/>
        <v>2936.4</v>
      </c>
      <c r="I235" s="8">
        <v>2</v>
      </c>
      <c r="J235" s="8" t="s">
        <v>23</v>
      </c>
      <c r="K235" s="8" t="s">
        <v>29</v>
      </c>
      <c r="L235" s="11">
        <f t="shared" si="61"/>
        <v>2936.4</v>
      </c>
      <c r="M235" s="9" t="s">
        <v>54</v>
      </c>
      <c r="N235" s="8" t="s">
        <v>113</v>
      </c>
      <c r="O235" s="8">
        <f>IFERROR(VLOOKUP(N235,Kurallar!$G$3:$H$22,2,0),0)</f>
        <v>10</v>
      </c>
    </row>
    <row r="236" spans="1:15" hidden="1" x14ac:dyDescent="0.25">
      <c r="A236" s="8">
        <v>23</v>
      </c>
      <c r="B236" s="9" t="str">
        <f t="shared" si="57"/>
        <v>РЩ1(ВРУ1-ИНД тип5-00) (S3)</v>
      </c>
      <c r="C236" s="9" t="s">
        <v>82</v>
      </c>
      <c r="D236" s="9" t="s">
        <v>251</v>
      </c>
      <c r="E236" s="10" t="s">
        <v>252</v>
      </c>
      <c r="F236" s="11">
        <v>0</v>
      </c>
      <c r="G236" s="11">
        <f>F236</f>
        <v>0</v>
      </c>
      <c r="H236" s="11">
        <f t="shared" si="60"/>
        <v>0</v>
      </c>
      <c r="I236" s="8">
        <v>1</v>
      </c>
      <c r="J236" s="8" t="s">
        <v>23</v>
      </c>
      <c r="K236" s="8" t="s">
        <v>751</v>
      </c>
      <c r="L236" s="11">
        <f t="shared" si="61"/>
        <v>0</v>
      </c>
      <c r="M236" s="9" t="s">
        <v>82</v>
      </c>
      <c r="N236" s="8" t="s">
        <v>85</v>
      </c>
      <c r="O236" s="8">
        <f>IFERROR(VLOOKUP(N236,Kurallar!$G$3:$H$22,2,0),0)</f>
        <v>25</v>
      </c>
    </row>
    <row r="237" spans="1:15" hidden="1" x14ac:dyDescent="0.25">
      <c r="A237" s="8">
        <v>23</v>
      </c>
      <c r="B237" s="9" t="str">
        <f t="shared" si="57"/>
        <v>РЩ1(ВРУ1-ИНД тип5-00) (S3)</v>
      </c>
      <c r="C237" s="9" t="s">
        <v>31</v>
      </c>
      <c r="E237" s="9" t="s">
        <v>32</v>
      </c>
      <c r="F237" s="11"/>
      <c r="G237" s="11">
        <f>ROUND(SUM(H228:H236)*Kurallar!$B$2,2)</f>
        <v>18925.7</v>
      </c>
      <c r="H237" s="11">
        <f>G237*I237</f>
        <v>18925.7</v>
      </c>
      <c r="I237" s="8">
        <v>1</v>
      </c>
      <c r="J237" s="8" t="s">
        <v>19</v>
      </c>
      <c r="K237" s="8" t="s">
        <v>33</v>
      </c>
      <c r="L237" s="11">
        <f>H237*$I$227</f>
        <v>18925.7</v>
      </c>
      <c r="M237" s="9" t="s">
        <v>31</v>
      </c>
    </row>
    <row r="238" spans="1:15" hidden="1" x14ac:dyDescent="0.25">
      <c r="A238" s="8">
        <v>23</v>
      </c>
      <c r="B238" s="9" t="str">
        <f t="shared" si="57"/>
        <v>РЩ1(ВРУ1-ИНД тип5-00) (S3)</v>
      </c>
      <c r="C238" s="9" t="s">
        <v>34</v>
      </c>
      <c r="E238" s="9" t="s">
        <v>35</v>
      </c>
      <c r="F238" s="11">
        <f>ROUND(I238/60,1)</f>
        <v>7.3</v>
      </c>
      <c r="G238" s="11">
        <f>Kurallar!$B$3</f>
        <v>100</v>
      </c>
      <c r="H238" s="11">
        <f>G238*I238</f>
        <v>43700</v>
      </c>
      <c r="I238" s="8">
        <f>ROUND(SUMPRODUCT(I228:I236,O228:O236)*Kurallar!$B$4,0)</f>
        <v>437</v>
      </c>
      <c r="J238" s="8" t="s">
        <v>36</v>
      </c>
      <c r="K238" s="8" t="s">
        <v>33</v>
      </c>
      <c r="L238" s="11">
        <f>H238*$I$227</f>
        <v>43700</v>
      </c>
      <c r="M238" s="9" t="s">
        <v>34</v>
      </c>
    </row>
    <row r="239" spans="1:15" hidden="1" x14ac:dyDescent="0.25">
      <c r="A239" s="12"/>
      <c r="B239" s="13" t="s">
        <v>253</v>
      </c>
      <c r="C239" s="12"/>
      <c r="D239" s="12"/>
      <c r="E239" s="13" t="s">
        <v>254</v>
      </c>
      <c r="F239" s="12"/>
      <c r="G239" s="12"/>
      <c r="H239" s="14">
        <f>SUBTOTAL(9,H228:H238)</f>
        <v>0</v>
      </c>
      <c r="I239" s="15">
        <v>1</v>
      </c>
      <c r="J239" s="15" t="s">
        <v>19</v>
      </c>
      <c r="K239" s="12"/>
      <c r="L239" s="14">
        <f>SUBTOTAL(9,L228:L238)</f>
        <v>0</v>
      </c>
      <c r="M239" s="12"/>
      <c r="N239" s="12"/>
      <c r="O239" s="12"/>
    </row>
    <row r="240" spans="1:15" x14ac:dyDescent="0.25">
      <c r="A240" s="4">
        <v>24</v>
      </c>
      <c r="B240" s="5" t="s">
        <v>255</v>
      </c>
      <c r="C240" s="6" t="s">
        <v>18</v>
      </c>
      <c r="D240" s="6"/>
      <c r="E240" s="7" t="s">
        <v>255</v>
      </c>
      <c r="F240" s="6"/>
      <c r="G240" s="6"/>
      <c r="H240" s="6"/>
      <c r="I240" s="4">
        <v>1</v>
      </c>
      <c r="J240" s="4" t="s">
        <v>19</v>
      </c>
      <c r="K240" s="6"/>
      <c r="L240" s="6"/>
      <c r="M240" s="6"/>
      <c r="N240" s="6"/>
      <c r="O240" s="6"/>
    </row>
    <row r="241" spans="1:15" x14ac:dyDescent="0.25">
      <c r="A241" s="8">
        <v>24</v>
      </c>
      <c r="B241" s="9" t="str">
        <f t="shared" ref="B241:B250" si="62">B240</f>
        <v>ЩАВР (S3)</v>
      </c>
      <c r="C241" s="9" t="s">
        <v>20</v>
      </c>
      <c r="D241" s="9" t="s">
        <v>256</v>
      </c>
      <c r="E241" s="10" t="s">
        <v>257</v>
      </c>
      <c r="F241" s="11">
        <v>38905</v>
      </c>
      <c r="G241" s="11">
        <f>IF(F241="","",ROUND(F241*VLOOKUP(K241,Kurallar!$D$3:$E$14,2,0),2))</f>
        <v>23343</v>
      </c>
      <c r="H241" s="11">
        <f t="shared" ref="H241" si="63">IF(G241="","",G241*I241)</f>
        <v>23343</v>
      </c>
      <c r="I241" s="8">
        <v>1</v>
      </c>
      <c r="J241" s="8" t="s">
        <v>23</v>
      </c>
      <c r="K241" s="8" t="s">
        <v>24</v>
      </c>
      <c r="L241" s="11">
        <f t="shared" ref="L241" si="64">IF(H241="","",H241*$I$181)</f>
        <v>23343</v>
      </c>
      <c r="M241" s="9" t="s">
        <v>20</v>
      </c>
      <c r="N241" s="8" t="s">
        <v>75</v>
      </c>
      <c r="O241" s="8">
        <f>IFERROR(VLOOKUP(N241,Kurallar!$G$3:$H$22,2,0),0)</f>
        <v>30</v>
      </c>
    </row>
    <row r="242" spans="1:15" x14ac:dyDescent="0.25">
      <c r="A242" s="8">
        <v>24</v>
      </c>
      <c r="B242" s="9" t="str">
        <f t="shared" si="62"/>
        <v>ЩАВР (S3)</v>
      </c>
      <c r="C242" s="9" t="s">
        <v>54</v>
      </c>
      <c r="D242" s="9" t="s">
        <v>258</v>
      </c>
      <c r="E242" s="10" t="s">
        <v>259</v>
      </c>
      <c r="F242" s="11">
        <v>3641</v>
      </c>
      <c r="G242" s="11">
        <f>IF(F242="","",ROUND(F242*VLOOKUP(K242,Kurallar!$D$3:$E$14,2,0),2))</f>
        <v>2184.6</v>
      </c>
      <c r="H242" s="11">
        <f t="shared" ref="H242:H248" si="65">IF(G242="","",G242*I242)</f>
        <v>4369.2</v>
      </c>
      <c r="I242" s="8">
        <v>2</v>
      </c>
      <c r="J242" s="8" t="s">
        <v>23</v>
      </c>
      <c r="K242" s="8" t="s">
        <v>29</v>
      </c>
      <c r="L242" s="11">
        <f t="shared" ref="L242:L248" si="66">IF(H242="","",H242*$I$240)</f>
        <v>4369.2</v>
      </c>
      <c r="M242" s="9" t="s">
        <v>54</v>
      </c>
      <c r="N242" s="8" t="s">
        <v>113</v>
      </c>
      <c r="O242" s="8">
        <f>IFERROR(VLOOKUP(N242,Kurallar!$G$3:$H$22,2,0),0)</f>
        <v>10</v>
      </c>
    </row>
    <row r="243" spans="1:15" x14ac:dyDescent="0.25">
      <c r="A243" s="8">
        <v>24</v>
      </c>
      <c r="B243" s="9" t="str">
        <f t="shared" si="62"/>
        <v>ЩАВР (S3)</v>
      </c>
      <c r="C243" s="9" t="s">
        <v>54</v>
      </c>
      <c r="D243" s="9" t="s">
        <v>247</v>
      </c>
      <c r="E243" s="10" t="s">
        <v>248</v>
      </c>
      <c r="F243" s="11">
        <v>2429</v>
      </c>
      <c r="G243" s="11">
        <f>IF(F243="","",ROUND(F243*VLOOKUP(K243,Kurallar!$D$3:$E$14,2,0),2))</f>
        <v>1457.4</v>
      </c>
      <c r="H243" s="11">
        <f t="shared" si="65"/>
        <v>4372.2000000000007</v>
      </c>
      <c r="I243" s="8">
        <v>3</v>
      </c>
      <c r="J243" s="8" t="s">
        <v>23</v>
      </c>
      <c r="K243" s="8" t="s">
        <v>29</v>
      </c>
      <c r="L243" s="11">
        <f t="shared" si="66"/>
        <v>4372.2000000000007</v>
      </c>
      <c r="M243" s="9" t="s">
        <v>54</v>
      </c>
      <c r="N243" s="8" t="s">
        <v>113</v>
      </c>
      <c r="O243" s="8">
        <f>IFERROR(VLOOKUP(N243,Kurallar!$G$3:$H$22,2,0),0)</f>
        <v>10</v>
      </c>
    </row>
    <row r="244" spans="1:15" x14ac:dyDescent="0.25">
      <c r="A244" s="8">
        <v>24</v>
      </c>
      <c r="B244" s="9" t="str">
        <f t="shared" si="62"/>
        <v>ЩАВР (S3)</v>
      </c>
      <c r="C244" s="9" t="s">
        <v>26</v>
      </c>
      <c r="D244" s="9" t="s">
        <v>27</v>
      </c>
      <c r="E244" s="10" t="s">
        <v>28</v>
      </c>
      <c r="F244" s="11">
        <v>4439</v>
      </c>
      <c r="G244" s="11">
        <f>IF(F244="","",ROUND(F244*VLOOKUP(K244,Kurallar!$D$3:$E$14,2,0),2))</f>
        <v>2663.4</v>
      </c>
      <c r="H244" s="11">
        <f t="shared" si="65"/>
        <v>5326.8</v>
      </c>
      <c r="I244" s="8">
        <v>2</v>
      </c>
      <c r="J244" s="8" t="s">
        <v>23</v>
      </c>
      <c r="K244" s="8" t="s">
        <v>29</v>
      </c>
      <c r="L244" s="11">
        <f t="shared" si="66"/>
        <v>5326.8</v>
      </c>
      <c r="M244" s="9" t="s">
        <v>26</v>
      </c>
      <c r="N244" s="8" t="s">
        <v>30</v>
      </c>
      <c r="O244" s="8">
        <f>IFERROR(VLOOKUP(N244,Kurallar!$G$3:$H$22,2,0),0)</f>
        <v>30</v>
      </c>
    </row>
    <row r="245" spans="1:15" x14ac:dyDescent="0.25">
      <c r="A245" s="8">
        <v>24</v>
      </c>
      <c r="B245" s="9" t="str">
        <f t="shared" si="62"/>
        <v>ЩАВР (S3)</v>
      </c>
      <c r="C245" s="9" t="s">
        <v>26</v>
      </c>
      <c r="D245" s="9" t="s">
        <v>80</v>
      </c>
      <c r="E245" s="10" t="s">
        <v>81</v>
      </c>
      <c r="F245" s="11">
        <v>3372</v>
      </c>
      <c r="G245" s="11">
        <f>IF(F245="","",ROUND(F245*VLOOKUP(K245,Kurallar!$D$3:$E$14,2,0),2))</f>
        <v>2023.2</v>
      </c>
      <c r="H245" s="11">
        <f t="shared" si="65"/>
        <v>2023.2</v>
      </c>
      <c r="I245" s="8">
        <v>1</v>
      </c>
      <c r="J245" s="8" t="s">
        <v>23</v>
      </c>
      <c r="K245" s="8" t="s">
        <v>29</v>
      </c>
      <c r="L245" s="11">
        <f t="shared" si="66"/>
        <v>2023.2</v>
      </c>
      <c r="M245" s="9" t="s">
        <v>26</v>
      </c>
      <c r="N245" s="8" t="s">
        <v>42</v>
      </c>
      <c r="O245" s="8">
        <f>IFERROR(VLOOKUP(N245,Kurallar!$G$3:$H$22,2,0),0)</f>
        <v>15</v>
      </c>
    </row>
    <row r="246" spans="1:15" x14ac:dyDescent="0.25">
      <c r="A246" s="8">
        <v>24</v>
      </c>
      <c r="B246" s="9" t="str">
        <f t="shared" si="62"/>
        <v>ЩАВР (S3)</v>
      </c>
      <c r="C246" s="9" t="s">
        <v>54</v>
      </c>
      <c r="D246" s="9" t="s">
        <v>183</v>
      </c>
      <c r="E246" s="10" t="s">
        <v>184</v>
      </c>
      <c r="F246" s="11">
        <v>3985</v>
      </c>
      <c r="G246" s="11">
        <f>IF(F246="","",ROUND(F246*VLOOKUP(K246,Kurallar!$D$3:$E$14,2,0),2))</f>
        <v>2391</v>
      </c>
      <c r="H246" s="11">
        <f t="shared" si="65"/>
        <v>4782</v>
      </c>
      <c r="I246" s="8">
        <v>2</v>
      </c>
      <c r="J246" s="8" t="s">
        <v>23</v>
      </c>
      <c r="K246" s="8" t="s">
        <v>29</v>
      </c>
      <c r="L246" s="11">
        <f t="shared" si="66"/>
        <v>4782</v>
      </c>
      <c r="M246" s="9" t="s">
        <v>54</v>
      </c>
      <c r="N246" s="8" t="s">
        <v>113</v>
      </c>
      <c r="O246" s="8">
        <f>IFERROR(VLOOKUP(N246,Kurallar!$G$3:$H$22,2,0),0)</f>
        <v>10</v>
      </c>
    </row>
    <row r="247" spans="1:15" x14ac:dyDescent="0.25">
      <c r="A247" s="8">
        <v>24</v>
      </c>
      <c r="B247" s="9" t="str">
        <f t="shared" si="62"/>
        <v>ЩАВР (S3)</v>
      </c>
      <c r="C247" s="9" t="s">
        <v>54</v>
      </c>
      <c r="D247" s="9" t="s">
        <v>260</v>
      </c>
      <c r="E247" s="10" t="s">
        <v>261</v>
      </c>
      <c r="F247" s="11">
        <v>3604</v>
      </c>
      <c r="G247" s="11">
        <f>IF(F247="","",ROUND(F247*VLOOKUP(K247,Kurallar!$D$3:$E$14,2,0),2))</f>
        <v>2162.4</v>
      </c>
      <c r="H247" s="11">
        <f t="shared" si="65"/>
        <v>4324.8</v>
      </c>
      <c r="I247" s="8">
        <v>2</v>
      </c>
      <c r="J247" s="8" t="s">
        <v>23</v>
      </c>
      <c r="K247" s="8" t="s">
        <v>29</v>
      </c>
      <c r="L247" s="11">
        <f t="shared" si="66"/>
        <v>4324.8</v>
      </c>
      <c r="M247" s="9" t="s">
        <v>54</v>
      </c>
      <c r="N247" s="8" t="s">
        <v>113</v>
      </c>
      <c r="O247" s="8">
        <f>IFERROR(VLOOKUP(N247,Kurallar!$G$3:$H$22,2,0),0)</f>
        <v>10</v>
      </c>
    </row>
    <row r="248" spans="1:15" x14ac:dyDescent="0.25">
      <c r="A248" s="8">
        <v>24</v>
      </c>
      <c r="B248" s="9" t="str">
        <f t="shared" si="62"/>
        <v>ЩАВР (S3)</v>
      </c>
      <c r="C248" s="9" t="s">
        <v>82</v>
      </c>
      <c r="D248" s="9" t="s">
        <v>251</v>
      </c>
      <c r="E248" s="10" t="s">
        <v>252</v>
      </c>
      <c r="F248" s="11">
        <v>0</v>
      </c>
      <c r="G248" s="11">
        <f>F248</f>
        <v>0</v>
      </c>
      <c r="H248" s="11">
        <f t="shared" si="65"/>
        <v>0</v>
      </c>
      <c r="I248" s="8">
        <v>3</v>
      </c>
      <c r="J248" s="8" t="s">
        <v>23</v>
      </c>
      <c r="K248" s="8" t="s">
        <v>751</v>
      </c>
      <c r="L248" s="11">
        <f t="shared" si="66"/>
        <v>0</v>
      </c>
      <c r="M248" s="9" t="s">
        <v>82</v>
      </c>
      <c r="N248" s="8" t="s">
        <v>85</v>
      </c>
      <c r="O248" s="8">
        <f>IFERROR(VLOOKUP(N248,Kurallar!$G$3:$H$22,2,0),0)</f>
        <v>25</v>
      </c>
    </row>
    <row r="249" spans="1:15" x14ac:dyDescent="0.25">
      <c r="A249" s="8">
        <v>24</v>
      </c>
      <c r="B249" s="9" t="str">
        <f t="shared" si="62"/>
        <v>ЩАВР (S3)</v>
      </c>
      <c r="C249" s="9" t="s">
        <v>31</v>
      </c>
      <c r="E249" s="9" t="s">
        <v>32</v>
      </c>
      <c r="F249" s="11"/>
      <c r="G249" s="11">
        <f>ROUND(SUM(H241:H248)*Kurallar!$B$2,2)</f>
        <v>5824.94</v>
      </c>
      <c r="H249" s="11">
        <f>G249*I249</f>
        <v>5824.94</v>
      </c>
      <c r="I249" s="8">
        <v>1</v>
      </c>
      <c r="J249" s="8" t="s">
        <v>19</v>
      </c>
      <c r="K249" s="8" t="s">
        <v>33</v>
      </c>
      <c r="L249" s="11">
        <f>H249*$I$240</f>
        <v>5824.94</v>
      </c>
      <c r="M249" s="9" t="s">
        <v>31</v>
      </c>
    </row>
    <row r="250" spans="1:15" x14ac:dyDescent="0.25">
      <c r="A250" s="8">
        <v>24</v>
      </c>
      <c r="B250" s="9" t="str">
        <f t="shared" si="62"/>
        <v>ЩАВР (S3)</v>
      </c>
      <c r="C250" s="9" t="s">
        <v>34</v>
      </c>
      <c r="E250" s="9" t="s">
        <v>35</v>
      </c>
      <c r="F250" s="11">
        <f>ROUND(I250/60,1)</f>
        <v>5.2</v>
      </c>
      <c r="G250" s="11">
        <f>Kurallar!$B$3</f>
        <v>100</v>
      </c>
      <c r="H250" s="11">
        <f>G250*I250</f>
        <v>31100</v>
      </c>
      <c r="I250" s="8">
        <f>ROUND(SUMPRODUCT(I241:I248,O241:O248)*Kurallar!$B$4,0)</f>
        <v>311</v>
      </c>
      <c r="J250" s="8" t="s">
        <v>36</v>
      </c>
      <c r="K250" s="8" t="s">
        <v>33</v>
      </c>
      <c r="L250" s="11">
        <f>H250*$I$240</f>
        <v>31100</v>
      </c>
      <c r="M250" s="9" t="s">
        <v>34</v>
      </c>
    </row>
    <row r="251" spans="1:15" x14ac:dyDescent="0.25">
      <c r="A251" s="12"/>
      <c r="B251" s="13" t="s">
        <v>262</v>
      </c>
      <c r="C251" s="12"/>
      <c r="D251" s="12"/>
      <c r="E251" s="13" t="s">
        <v>263</v>
      </c>
      <c r="F251" s="12"/>
      <c r="G251" s="12"/>
      <c r="H251" s="14">
        <f>SUBTOTAL(9,H241:H250)</f>
        <v>85466.140000000014</v>
      </c>
      <c r="I251" s="15">
        <v>1</v>
      </c>
      <c r="J251" s="15" t="s">
        <v>19</v>
      </c>
      <c r="K251" s="12"/>
      <c r="L251" s="14">
        <f>SUBTOTAL(9,L241:L250)</f>
        <v>85466.140000000014</v>
      </c>
      <c r="M251" s="12"/>
      <c r="N251" s="12"/>
      <c r="O251" s="12"/>
    </row>
    <row r="252" spans="1:15" hidden="1" x14ac:dyDescent="0.25">
      <c r="A252" s="4">
        <v>25</v>
      </c>
      <c r="B252" s="5" t="s">
        <v>264</v>
      </c>
      <c r="C252" s="6" t="s">
        <v>18</v>
      </c>
      <c r="D252" s="6"/>
      <c r="E252" s="7" t="s">
        <v>264</v>
      </c>
      <c r="F252" s="6"/>
      <c r="G252" s="6"/>
      <c r="H252" s="6"/>
      <c r="I252" s="4">
        <v>4</v>
      </c>
      <c r="J252" s="4" t="s">
        <v>19</v>
      </c>
      <c r="K252" s="6"/>
      <c r="L252" s="6"/>
      <c r="M252" s="6"/>
      <c r="N252" s="6"/>
      <c r="O252" s="6"/>
    </row>
    <row r="253" spans="1:15" hidden="1" x14ac:dyDescent="0.25">
      <c r="A253" s="8">
        <v>25</v>
      </c>
      <c r="B253" s="9" t="str">
        <f t="shared" ref="B253:B258" si="67">B252</f>
        <v>ЯРВ_S3</v>
      </c>
      <c r="C253" s="9" t="s">
        <v>20</v>
      </c>
      <c r="D253" s="9" t="s">
        <v>109</v>
      </c>
      <c r="E253" s="10" t="s">
        <v>110</v>
      </c>
      <c r="F253" s="11">
        <v>10305</v>
      </c>
      <c r="G253" s="11">
        <f>IF(F253="","",ROUND(F253*VLOOKUP(K253,Kurallar!$D$3:$E$14,2,0),2))</f>
        <v>6183</v>
      </c>
      <c r="H253" s="11">
        <f t="shared" ref="H253" si="68">IF(G253="","",G253*I253)</f>
        <v>6183</v>
      </c>
      <c r="I253" s="8">
        <v>1</v>
      </c>
      <c r="J253" s="8" t="s">
        <v>23</v>
      </c>
      <c r="K253" s="8" t="s">
        <v>24</v>
      </c>
      <c r="L253" s="11">
        <f t="shared" ref="L253" si="69">IF(H253="","",H253*$I$181)</f>
        <v>6183</v>
      </c>
      <c r="M253" s="9" t="s">
        <v>20</v>
      </c>
      <c r="N253" s="8" t="s">
        <v>25</v>
      </c>
      <c r="O253" s="8">
        <f>IFERROR(VLOOKUP(N253,Kurallar!$G$3:$H$22,2,0),0)</f>
        <v>8</v>
      </c>
    </row>
    <row r="254" spans="1:15" hidden="1" x14ac:dyDescent="0.25">
      <c r="A254" s="8">
        <v>25</v>
      </c>
      <c r="B254" s="9" t="str">
        <f t="shared" si="67"/>
        <v>ЯРВ_S3</v>
      </c>
      <c r="C254" s="9" t="s">
        <v>26</v>
      </c>
      <c r="D254" s="9" t="s">
        <v>265</v>
      </c>
      <c r="E254" s="10" t="s">
        <v>266</v>
      </c>
      <c r="F254" s="11">
        <v>4334</v>
      </c>
      <c r="G254" s="11">
        <f>IF(F254="","",ROUND(F254*VLOOKUP(K254,Kurallar!$D$3:$E$14,2,0),2))</f>
        <v>2600.4</v>
      </c>
      <c r="H254" s="11">
        <f>IF(G254="","",G254*I254)</f>
        <v>2600.4</v>
      </c>
      <c r="I254" s="8">
        <v>1</v>
      </c>
      <c r="J254" s="8" t="s">
        <v>23</v>
      </c>
      <c r="K254" s="8" t="s">
        <v>29</v>
      </c>
      <c r="L254" s="11">
        <f>IF(H254="","",H254*$I$252)</f>
        <v>10401.6</v>
      </c>
      <c r="M254" s="9" t="s">
        <v>26</v>
      </c>
      <c r="N254" s="8" t="s">
        <v>30</v>
      </c>
      <c r="O254" s="8">
        <f>IFERROR(VLOOKUP(N254,Kurallar!$G$3:$H$22,2,0),0)</f>
        <v>30</v>
      </c>
    </row>
    <row r="255" spans="1:15" hidden="1" x14ac:dyDescent="0.25">
      <c r="A255" s="8">
        <v>25</v>
      </c>
      <c r="B255" s="9" t="str">
        <f t="shared" si="67"/>
        <v>ЯРВ_S3</v>
      </c>
      <c r="C255" s="9" t="s">
        <v>86</v>
      </c>
      <c r="D255" s="9" t="s">
        <v>267</v>
      </c>
      <c r="E255" s="10" t="s">
        <v>268</v>
      </c>
      <c r="F255" s="11">
        <v>1510</v>
      </c>
      <c r="G255" s="11">
        <f>IF(F255="","",ROUND(F255*VLOOKUP(K255,Kurallar!$D$3:$E$14,2,0),2))</f>
        <v>906</v>
      </c>
      <c r="H255" s="11">
        <f>IF(G255="","",G255*I255)</f>
        <v>2718</v>
      </c>
      <c r="I255" s="8">
        <v>3</v>
      </c>
      <c r="J255" s="8" t="s">
        <v>23</v>
      </c>
      <c r="K255" s="8" t="s">
        <v>29</v>
      </c>
      <c r="L255" s="11">
        <f>IF(H255="","",H255*$I$252)</f>
        <v>10872</v>
      </c>
      <c r="M255" s="9" t="s">
        <v>86</v>
      </c>
      <c r="N255" s="8" t="s">
        <v>89</v>
      </c>
      <c r="O255" s="8">
        <f>IFERROR(VLOOKUP(N255,Kurallar!$G$3:$H$22,2,0),0)</f>
        <v>5</v>
      </c>
    </row>
    <row r="256" spans="1:15" hidden="1" x14ac:dyDescent="0.25">
      <c r="A256" s="8">
        <v>25</v>
      </c>
      <c r="B256" s="9" t="str">
        <f t="shared" si="67"/>
        <v>ЯРВ_S3</v>
      </c>
      <c r="C256" s="9" t="s">
        <v>86</v>
      </c>
      <c r="D256" s="9" t="s">
        <v>269</v>
      </c>
      <c r="E256" s="10" t="s">
        <v>270</v>
      </c>
      <c r="F256" s="11">
        <v>2038</v>
      </c>
      <c r="G256" s="11">
        <f>IF(F256="","",ROUND(F256*VLOOKUP(K256,Kurallar!$D$3:$E$14,2,0),2))</f>
        <v>1222.8</v>
      </c>
      <c r="H256" s="11">
        <f>IF(G256="","",G256*I256)</f>
        <v>3668.3999999999996</v>
      </c>
      <c r="I256" s="8">
        <v>3</v>
      </c>
      <c r="J256" s="8" t="s">
        <v>23</v>
      </c>
      <c r="K256" s="8" t="s">
        <v>29</v>
      </c>
      <c r="L256" s="11">
        <f>IF(H256="","",H256*$I$252)</f>
        <v>14673.599999999999</v>
      </c>
      <c r="M256" s="9" t="s">
        <v>86</v>
      </c>
      <c r="N256" s="8" t="s">
        <v>89</v>
      </c>
      <c r="O256" s="8">
        <f>IFERROR(VLOOKUP(N256,Kurallar!$G$3:$H$22,2,0),0)</f>
        <v>5</v>
      </c>
    </row>
    <row r="257" spans="1:15" hidden="1" x14ac:dyDescent="0.25">
      <c r="A257" s="8">
        <v>25</v>
      </c>
      <c r="B257" s="9" t="str">
        <f t="shared" si="67"/>
        <v>ЯРВ_S3</v>
      </c>
      <c r="C257" s="9" t="s">
        <v>31</v>
      </c>
      <c r="E257" s="9" t="s">
        <v>32</v>
      </c>
      <c r="F257" s="11"/>
      <c r="G257" s="11">
        <f>ROUND(SUM(H253:H256)*Kurallar!$B$2,2)</f>
        <v>1820.38</v>
      </c>
      <c r="H257" s="11">
        <f>G257*I257</f>
        <v>1820.38</v>
      </c>
      <c r="I257" s="8">
        <v>1</v>
      </c>
      <c r="J257" s="8" t="s">
        <v>19</v>
      </c>
      <c r="K257" s="8" t="s">
        <v>33</v>
      </c>
      <c r="L257" s="11">
        <f>H257*$I$252</f>
        <v>7281.52</v>
      </c>
      <c r="M257" s="9" t="s">
        <v>31</v>
      </c>
    </row>
    <row r="258" spans="1:15" hidden="1" x14ac:dyDescent="0.25">
      <c r="A258" s="8">
        <v>25</v>
      </c>
      <c r="B258" s="9" t="str">
        <f t="shared" si="67"/>
        <v>ЯРВ_S3</v>
      </c>
      <c r="C258" s="9" t="s">
        <v>34</v>
      </c>
      <c r="E258" s="9" t="s">
        <v>35</v>
      </c>
      <c r="F258" s="11">
        <f>ROUND(I258/60,1)</f>
        <v>1.3</v>
      </c>
      <c r="G258" s="11">
        <f>Kurallar!$B$3</f>
        <v>100</v>
      </c>
      <c r="H258" s="11">
        <f>G258*I258</f>
        <v>7800</v>
      </c>
      <c r="I258" s="8">
        <f>ROUND(SUMPRODUCT(I253:I256,O253:O256)*Kurallar!$B$4,0)</f>
        <v>78</v>
      </c>
      <c r="J258" s="8" t="s">
        <v>36</v>
      </c>
      <c r="K258" s="8" t="s">
        <v>33</v>
      </c>
      <c r="L258" s="11">
        <f>H258*$I$252</f>
        <v>31200</v>
      </c>
      <c r="M258" s="9" t="s">
        <v>34</v>
      </c>
    </row>
    <row r="259" spans="1:15" hidden="1" x14ac:dyDescent="0.25">
      <c r="A259" s="12"/>
      <c r="B259" s="13" t="s">
        <v>271</v>
      </c>
      <c r="C259" s="12"/>
      <c r="D259" s="12"/>
      <c r="E259" s="13" t="s">
        <v>272</v>
      </c>
      <c r="F259" s="12"/>
      <c r="G259" s="12"/>
      <c r="H259" s="14">
        <f>SUBTOTAL(9,H253:H258)</f>
        <v>0</v>
      </c>
      <c r="I259" s="15">
        <v>4</v>
      </c>
      <c r="J259" s="15" t="s">
        <v>19</v>
      </c>
      <c r="K259" s="12"/>
      <c r="L259" s="14">
        <f>SUBTOTAL(9,L253:L258)</f>
        <v>0</v>
      </c>
      <c r="M259" s="12"/>
      <c r="N259" s="12"/>
      <c r="O259" s="12"/>
    </row>
    <row r="260" spans="1:15" hidden="1" x14ac:dyDescent="0.25">
      <c r="A260" s="4">
        <v>26</v>
      </c>
      <c r="B260" s="5" t="s">
        <v>273</v>
      </c>
      <c r="C260" s="6" t="s">
        <v>18</v>
      </c>
      <c r="D260" s="6"/>
      <c r="E260" s="7" t="s">
        <v>273</v>
      </c>
      <c r="F260" s="6"/>
      <c r="G260" s="6"/>
      <c r="H260" s="6"/>
      <c r="I260" s="4">
        <v>1</v>
      </c>
      <c r="J260" s="4" t="s">
        <v>19</v>
      </c>
      <c r="K260" s="6"/>
      <c r="L260" s="6"/>
      <c r="M260" s="6"/>
      <c r="N260" s="6"/>
      <c r="O260" s="6"/>
    </row>
    <row r="261" spans="1:15" hidden="1" x14ac:dyDescent="0.25">
      <c r="A261" s="8">
        <v>26</v>
      </c>
      <c r="B261" s="9" t="str">
        <f t="shared" ref="B261:B270" si="70">B260</f>
        <v>БАУО_S3</v>
      </c>
      <c r="C261" s="9" t="s">
        <v>20</v>
      </c>
      <c r="D261" s="9" t="s">
        <v>143</v>
      </c>
      <c r="E261" s="10" t="s">
        <v>144</v>
      </c>
      <c r="F261" s="11">
        <v>43775</v>
      </c>
      <c r="G261" s="11">
        <f>IF(F261="","",ROUND(F261*VLOOKUP(K261,Kurallar!$D$3:$E$14,2,0),2))</f>
        <v>26265</v>
      </c>
      <c r="H261" s="11">
        <f t="shared" ref="H261" si="71">IF(G261="","",G261*I261)</f>
        <v>26265</v>
      </c>
      <c r="I261" s="8">
        <v>1</v>
      </c>
      <c r="J261" s="8" t="s">
        <v>23</v>
      </c>
      <c r="K261" s="8" t="s">
        <v>24</v>
      </c>
      <c r="L261" s="11">
        <f t="shared" ref="L261" si="72">IF(H261="","",H261*$I$181)</f>
        <v>26265</v>
      </c>
      <c r="M261" s="9" t="s">
        <v>20</v>
      </c>
      <c r="N261" s="8" t="s">
        <v>75</v>
      </c>
      <c r="O261" s="8">
        <f>IFERROR(VLOOKUP(N261,Kurallar!$G$3:$H$22,2,0),0)</f>
        <v>30</v>
      </c>
    </row>
    <row r="262" spans="1:15" hidden="1" x14ac:dyDescent="0.25">
      <c r="A262" s="8">
        <v>26</v>
      </c>
      <c r="B262" s="9" t="str">
        <f t="shared" si="70"/>
        <v>БАУО_S3</v>
      </c>
      <c r="C262" s="9" t="s">
        <v>54</v>
      </c>
      <c r="D262" s="9" t="s">
        <v>247</v>
      </c>
      <c r="E262" s="10" t="s">
        <v>248</v>
      </c>
      <c r="F262" s="11">
        <v>2429</v>
      </c>
      <c r="G262" s="11">
        <f>IF(F262="","",ROUND(F262*VLOOKUP(K262,Kurallar!$D$3:$E$14,2,0),2))</f>
        <v>1457.4</v>
      </c>
      <c r="H262" s="11">
        <f t="shared" ref="H262:H268" si="73">IF(G262="","",G262*I262)</f>
        <v>2914.8</v>
      </c>
      <c r="I262" s="8">
        <v>2</v>
      </c>
      <c r="J262" s="8" t="s">
        <v>23</v>
      </c>
      <c r="K262" s="8" t="s">
        <v>29</v>
      </c>
      <c r="L262" s="11">
        <f t="shared" ref="L262:L268" si="74">IF(H262="","",H262*$I$260)</f>
        <v>2914.8</v>
      </c>
      <c r="M262" s="9" t="s">
        <v>54</v>
      </c>
      <c r="N262" s="8" t="s">
        <v>113</v>
      </c>
      <c r="O262" s="8">
        <f>IFERROR(VLOOKUP(N262,Kurallar!$G$3:$H$22,2,0),0)</f>
        <v>10</v>
      </c>
    </row>
    <row r="263" spans="1:15" hidden="1" x14ac:dyDescent="0.25">
      <c r="A263" s="8">
        <v>26</v>
      </c>
      <c r="B263" s="9" t="str">
        <f t="shared" si="70"/>
        <v>БАУО_S3</v>
      </c>
      <c r="C263" s="9" t="s">
        <v>54</v>
      </c>
      <c r="D263" s="9" t="s">
        <v>93</v>
      </c>
      <c r="E263" s="10" t="s">
        <v>94</v>
      </c>
      <c r="F263" s="11">
        <v>783</v>
      </c>
      <c r="G263" s="11">
        <f>IF(F263="","",ROUND(F263*VLOOKUP(K263,Kurallar!$D$3:$E$14,2,0),2))</f>
        <v>469.8</v>
      </c>
      <c r="H263" s="11">
        <f t="shared" si="73"/>
        <v>14094</v>
      </c>
      <c r="I263" s="8">
        <v>30</v>
      </c>
      <c r="J263" s="8" t="s">
        <v>23</v>
      </c>
      <c r="K263" s="8" t="s">
        <v>29</v>
      </c>
      <c r="L263" s="11">
        <f t="shared" si="74"/>
        <v>14094</v>
      </c>
      <c r="M263" s="9" t="s">
        <v>54</v>
      </c>
      <c r="N263" s="8" t="s">
        <v>57</v>
      </c>
      <c r="O263" s="8">
        <f>IFERROR(VLOOKUP(N263,Kurallar!$G$3:$H$22,2,0),0)</f>
        <v>3</v>
      </c>
    </row>
    <row r="264" spans="1:15" hidden="1" x14ac:dyDescent="0.25">
      <c r="A264" s="8">
        <v>26</v>
      </c>
      <c r="B264" s="9" t="str">
        <f t="shared" si="70"/>
        <v>БАУО_S3</v>
      </c>
      <c r="C264" s="9" t="s">
        <v>50</v>
      </c>
      <c r="D264" s="9" t="s">
        <v>274</v>
      </c>
      <c r="E264" s="10" t="s">
        <v>275</v>
      </c>
      <c r="F264" s="11">
        <v>5104</v>
      </c>
      <c r="G264" s="11">
        <f>IF(F264="","",ROUND(F264*VLOOKUP(K264,Kurallar!$D$3:$E$14,2,0),2))</f>
        <v>3062.4</v>
      </c>
      <c r="H264" s="11">
        <f t="shared" si="73"/>
        <v>6124.8</v>
      </c>
      <c r="I264" s="8">
        <v>2</v>
      </c>
      <c r="J264" s="8" t="s">
        <v>23</v>
      </c>
      <c r="K264" s="8" t="s">
        <v>29</v>
      </c>
      <c r="L264" s="11">
        <f t="shared" si="74"/>
        <v>6124.8</v>
      </c>
      <c r="M264" s="9" t="s">
        <v>50</v>
      </c>
      <c r="N264" s="8" t="s">
        <v>53</v>
      </c>
      <c r="O264" s="8">
        <f>IFERROR(VLOOKUP(N264,Kurallar!$G$3:$H$22,2,0),0)</f>
        <v>16</v>
      </c>
    </row>
    <row r="265" spans="1:15" hidden="1" x14ac:dyDescent="0.25">
      <c r="A265" s="8">
        <v>26</v>
      </c>
      <c r="B265" s="9" t="str">
        <f t="shared" si="70"/>
        <v>БАУО_S3</v>
      </c>
      <c r="C265" s="9" t="s">
        <v>58</v>
      </c>
      <c r="D265" s="9" t="s">
        <v>276</v>
      </c>
      <c r="E265" s="10" t="s">
        <v>277</v>
      </c>
      <c r="F265" s="11">
        <v>6145</v>
      </c>
      <c r="G265" s="11">
        <f>IF(F265="","",ROUND(F265*VLOOKUP(K265,Kurallar!$D$3:$E$14,2,0),2))</f>
        <v>3687</v>
      </c>
      <c r="H265" s="11">
        <f t="shared" si="73"/>
        <v>29496</v>
      </c>
      <c r="I265" s="8">
        <v>8</v>
      </c>
      <c r="J265" s="8" t="s">
        <v>23</v>
      </c>
      <c r="K265" s="8" t="s">
        <v>29</v>
      </c>
      <c r="L265" s="11">
        <f t="shared" si="74"/>
        <v>29496</v>
      </c>
      <c r="M265" s="9" t="s">
        <v>58</v>
      </c>
      <c r="N265" s="8" t="s">
        <v>61</v>
      </c>
      <c r="O265" s="8">
        <f>IFERROR(VLOOKUP(N265,Kurallar!$G$3:$H$22,2,0),0)</f>
        <v>15</v>
      </c>
    </row>
    <row r="266" spans="1:15" hidden="1" x14ac:dyDescent="0.25">
      <c r="A266" s="8">
        <v>26</v>
      </c>
      <c r="B266" s="9" t="str">
        <f t="shared" si="70"/>
        <v>БАУО_S3</v>
      </c>
      <c r="C266" s="9" t="s">
        <v>58</v>
      </c>
      <c r="D266" s="9" t="s">
        <v>278</v>
      </c>
      <c r="E266" s="10" t="s">
        <v>279</v>
      </c>
      <c r="F266" s="11">
        <v>13596</v>
      </c>
      <c r="G266" s="11">
        <f>IF(F266="","",ROUND(F266*VLOOKUP(K266,Kurallar!$D$3:$E$14,2,0),2))</f>
        <v>8157.6</v>
      </c>
      <c r="H266" s="11">
        <f t="shared" si="73"/>
        <v>8157.6</v>
      </c>
      <c r="I266" s="8">
        <v>1</v>
      </c>
      <c r="J266" s="8" t="s">
        <v>23</v>
      </c>
      <c r="K266" s="8" t="s">
        <v>29</v>
      </c>
      <c r="L266" s="11">
        <f t="shared" si="74"/>
        <v>8157.6</v>
      </c>
      <c r="M266" s="9" t="s">
        <v>58</v>
      </c>
      <c r="N266" s="8" t="s">
        <v>61</v>
      </c>
      <c r="O266" s="8">
        <f>IFERROR(VLOOKUP(N266,Kurallar!$G$3:$H$22,2,0),0)</f>
        <v>15</v>
      </c>
    </row>
    <row r="267" spans="1:15" hidden="1" x14ac:dyDescent="0.25">
      <c r="A267" s="8">
        <v>26</v>
      </c>
      <c r="B267" s="9" t="str">
        <f t="shared" si="70"/>
        <v>БАУО_S3</v>
      </c>
      <c r="C267" s="9" t="s">
        <v>54</v>
      </c>
      <c r="D267" s="9" t="s">
        <v>55</v>
      </c>
      <c r="E267" s="10" t="s">
        <v>56</v>
      </c>
      <c r="F267" s="11">
        <v>975</v>
      </c>
      <c r="G267" s="11">
        <f>IF(F267="","",ROUND(F267*VLOOKUP(K267,Kurallar!$D$3:$E$14,2,0),2))</f>
        <v>585</v>
      </c>
      <c r="H267" s="11">
        <f t="shared" si="73"/>
        <v>585</v>
      </c>
      <c r="I267" s="8">
        <v>1</v>
      </c>
      <c r="J267" s="8" t="s">
        <v>23</v>
      </c>
      <c r="K267" s="8" t="s">
        <v>29</v>
      </c>
      <c r="L267" s="11">
        <f t="shared" si="74"/>
        <v>585</v>
      </c>
      <c r="M267" s="9" t="s">
        <v>54</v>
      </c>
      <c r="N267" s="8" t="s">
        <v>57</v>
      </c>
      <c r="O267" s="8">
        <f>IFERROR(VLOOKUP(N267,Kurallar!$G$3:$H$22,2,0),0)</f>
        <v>3</v>
      </c>
    </row>
    <row r="268" spans="1:15" ht="24" hidden="1" x14ac:dyDescent="0.25">
      <c r="A268" s="8">
        <v>26</v>
      </c>
      <c r="B268" s="9" t="str">
        <f t="shared" si="70"/>
        <v>БАУО_S3</v>
      </c>
      <c r="C268" s="9" t="s">
        <v>62</v>
      </c>
      <c r="D268" s="9" t="s">
        <v>280</v>
      </c>
      <c r="E268" s="10" t="s">
        <v>281</v>
      </c>
      <c r="F268" s="11">
        <v>14264</v>
      </c>
      <c r="G268" s="11">
        <f>IF(F268="","",ROUND(F268*VLOOKUP(K268,Kurallar!$D$3:$E$14,2,0),2))</f>
        <v>14264</v>
      </c>
      <c r="H268" s="11">
        <f t="shared" si="73"/>
        <v>14264</v>
      </c>
      <c r="I268" s="8">
        <v>1</v>
      </c>
      <c r="J268" s="8" t="s">
        <v>23</v>
      </c>
      <c r="K268" s="8" t="s">
        <v>65</v>
      </c>
      <c r="L268" s="11">
        <f t="shared" si="74"/>
        <v>14264</v>
      </c>
      <c r="M268" s="9" t="s">
        <v>62</v>
      </c>
      <c r="N268" s="8" t="s">
        <v>66</v>
      </c>
      <c r="O268" s="8">
        <f>IFERROR(VLOOKUP(N268,Kurallar!$G$3:$H$22,2,0),0)</f>
        <v>5</v>
      </c>
    </row>
    <row r="269" spans="1:15" hidden="1" x14ac:dyDescent="0.25">
      <c r="A269" s="8">
        <v>26</v>
      </c>
      <c r="B269" t="str">
        <f t="shared" si="70"/>
        <v>БАУО_S3</v>
      </c>
      <c r="C269" s="9" t="s">
        <v>31</v>
      </c>
      <c r="E269" s="9" t="s">
        <v>32</v>
      </c>
      <c r="F269" s="11"/>
      <c r="G269" s="11">
        <f>ROUND(SUM(H261:H268)*Kurallar!$B$2,2)</f>
        <v>12228.14</v>
      </c>
      <c r="H269" s="11">
        <f>G269*I269</f>
        <v>12228.14</v>
      </c>
      <c r="I269" s="8">
        <v>1</v>
      </c>
      <c r="J269" s="8" t="s">
        <v>19</v>
      </c>
      <c r="K269" s="8" t="s">
        <v>33</v>
      </c>
      <c r="L269" s="11">
        <f>H269*$I$260</f>
        <v>12228.14</v>
      </c>
      <c r="M269" s="9" t="s">
        <v>31</v>
      </c>
    </row>
    <row r="270" spans="1:15" hidden="1" x14ac:dyDescent="0.25">
      <c r="A270" s="8">
        <v>26</v>
      </c>
      <c r="B270" t="str">
        <f t="shared" si="70"/>
        <v>БАУО_S3</v>
      </c>
      <c r="C270" s="9" t="s">
        <v>34</v>
      </c>
      <c r="E270" s="9" t="s">
        <v>35</v>
      </c>
      <c r="F270" s="11">
        <f>ROUND(I270/60,1)</f>
        <v>6</v>
      </c>
      <c r="G270" s="11">
        <f>Kurallar!$B$3</f>
        <v>100</v>
      </c>
      <c r="H270" s="11">
        <f>G270*I270</f>
        <v>36200</v>
      </c>
      <c r="I270" s="8">
        <f>ROUND(SUMPRODUCT(I261:I268,O261:O268)*Kurallar!$B$4,0)</f>
        <v>362</v>
      </c>
      <c r="J270" s="8" t="s">
        <v>36</v>
      </c>
      <c r="K270" s="8" t="s">
        <v>33</v>
      </c>
      <c r="L270" s="11">
        <f>H270*$I$260</f>
        <v>36200</v>
      </c>
      <c r="M270" s="9" t="s">
        <v>34</v>
      </c>
    </row>
    <row r="271" spans="1:15" hidden="1" x14ac:dyDescent="0.25">
      <c r="A271" s="12"/>
      <c r="B271" s="13" t="s">
        <v>282</v>
      </c>
      <c r="C271" s="12"/>
      <c r="D271" s="12"/>
      <c r="E271" s="13" t="s">
        <v>283</v>
      </c>
      <c r="F271" s="12"/>
      <c r="G271" s="12"/>
      <c r="H271" s="14">
        <f>SUBTOTAL(9,H261:H270)</f>
        <v>0</v>
      </c>
      <c r="I271" s="15">
        <v>1</v>
      </c>
      <c r="J271" s="15" t="s">
        <v>19</v>
      </c>
      <c r="K271" s="12"/>
      <c r="L271" s="14">
        <f>SUBTOTAL(9,L261:L270)</f>
        <v>0</v>
      </c>
      <c r="M271" s="12"/>
      <c r="N271" s="12"/>
      <c r="O271" s="12"/>
    </row>
    <row r="272" spans="1:15" hidden="1" x14ac:dyDescent="0.25">
      <c r="A272" s="4">
        <v>27</v>
      </c>
      <c r="B272" s="5" t="s">
        <v>284</v>
      </c>
      <c r="C272" s="6" t="s">
        <v>18</v>
      </c>
      <c r="D272" s="6"/>
      <c r="E272" s="7" t="s">
        <v>284</v>
      </c>
      <c r="F272" s="6"/>
      <c r="G272" s="6"/>
      <c r="H272" s="6"/>
      <c r="I272" s="4">
        <v>1</v>
      </c>
      <c r="J272" s="4" t="s">
        <v>19</v>
      </c>
      <c r="K272" s="6"/>
      <c r="L272" s="6"/>
      <c r="M272" s="6"/>
      <c r="N272" s="6"/>
      <c r="O272" s="6"/>
    </row>
    <row r="273" spans="1:15" hidden="1" x14ac:dyDescent="0.25">
      <c r="A273" s="8">
        <v>27</v>
      </c>
      <c r="B273" s="9" t="str">
        <f t="shared" ref="B273:B282" si="75">B272</f>
        <v>ВЩ1-ВП (ВРУ1-ИНД-тип2-00 УХЛ4) (S3)</v>
      </c>
      <c r="C273" s="16" t="s">
        <v>20</v>
      </c>
      <c r="D273" s="9" t="s">
        <v>207</v>
      </c>
      <c r="E273" s="10" t="s">
        <v>208</v>
      </c>
      <c r="F273" s="11">
        <v>155000</v>
      </c>
      <c r="G273" s="11">
        <f>IF(F273="","",ROUND(F273*VLOOKUP(K273,Kurallar!$D$3:$E$14,2,0),2))</f>
        <v>93000</v>
      </c>
      <c r="H273" s="11">
        <f t="shared" ref="H273" si="76">IF(G273="","",G273*I273)</f>
        <v>93000</v>
      </c>
      <c r="I273" s="8">
        <v>1</v>
      </c>
      <c r="J273" s="8" t="s">
        <v>23</v>
      </c>
      <c r="K273" s="8" t="s">
        <v>24</v>
      </c>
      <c r="L273" s="11">
        <f t="shared" ref="L273" si="77">IF(H273="","",H273*$I$181)</f>
        <v>93000</v>
      </c>
      <c r="M273" s="9" t="s">
        <v>20</v>
      </c>
      <c r="N273" s="8" t="s">
        <v>209</v>
      </c>
      <c r="O273" s="8">
        <f>IFERROR(VLOOKUP(N273,Kurallar!$G$3:$H$22,2,0),0)</f>
        <v>90</v>
      </c>
    </row>
    <row r="274" spans="1:15" hidden="1" x14ac:dyDescent="0.25">
      <c r="A274" s="8">
        <v>27</v>
      </c>
      <c r="B274" s="9" t="str">
        <f t="shared" si="75"/>
        <v>ВЩ1-ВП (ВРУ1-ИНД-тип2-00 УХЛ4) (S3)</v>
      </c>
      <c r="C274" s="9" t="s">
        <v>86</v>
      </c>
      <c r="D274" s="9" t="s">
        <v>285</v>
      </c>
      <c r="E274" s="10" t="s">
        <v>286</v>
      </c>
      <c r="F274" s="11">
        <v>4969</v>
      </c>
      <c r="G274" s="11">
        <f>IF(F274="","",ROUND(F274*VLOOKUP(K274,Kurallar!$D$3:$E$14,2,0),2))</f>
        <v>2981.4</v>
      </c>
      <c r="H274" s="11">
        <f>IF(G274="","",G274*I274)</f>
        <v>8944.2000000000007</v>
      </c>
      <c r="I274" s="8">
        <v>3</v>
      </c>
      <c r="J274" s="8" t="s">
        <v>23</v>
      </c>
      <c r="K274" s="8" t="s">
        <v>29</v>
      </c>
      <c r="L274" s="11">
        <f>IF(H274="","",H274*$I$272)</f>
        <v>8944.2000000000007</v>
      </c>
      <c r="M274" s="9" t="s">
        <v>86</v>
      </c>
      <c r="N274" s="8" t="s">
        <v>89</v>
      </c>
      <c r="O274" s="8">
        <f>IFERROR(VLOOKUP(N274,Kurallar!$G$3:$H$22,2,0),0)</f>
        <v>5</v>
      </c>
    </row>
    <row r="275" spans="1:15" hidden="1" x14ac:dyDescent="0.25">
      <c r="A275" s="8">
        <v>27</v>
      </c>
      <c r="B275" s="9" t="str">
        <f t="shared" si="75"/>
        <v>ВЩ1-ВП (ВРУ1-ИНД-тип2-00 УХЛ4) (S3)</v>
      </c>
      <c r="C275" s="9" t="s">
        <v>86</v>
      </c>
      <c r="D275" s="9" t="s">
        <v>210</v>
      </c>
      <c r="E275" s="10" t="s">
        <v>211</v>
      </c>
      <c r="F275" s="11">
        <v>7443</v>
      </c>
      <c r="G275" s="11">
        <f>IF(F275="","",ROUND(F275*VLOOKUP(K275,Kurallar!$D$3:$E$14,2,0),2))</f>
        <v>4465.8</v>
      </c>
      <c r="H275" s="11">
        <f>IF(G275="","",G275*I275)</f>
        <v>13397.400000000001</v>
      </c>
      <c r="I275" s="8">
        <v>3</v>
      </c>
      <c r="J275" s="8" t="s">
        <v>23</v>
      </c>
      <c r="K275" s="8" t="s">
        <v>29</v>
      </c>
      <c r="L275" s="11">
        <f>IF(H275="","",H275*$I$272)</f>
        <v>13397.400000000001</v>
      </c>
      <c r="M275" s="9" t="s">
        <v>86</v>
      </c>
      <c r="N275" s="8" t="s">
        <v>89</v>
      </c>
      <c r="O275" s="8">
        <f>IFERROR(VLOOKUP(N275,Kurallar!$G$3:$H$22,2,0),0)</f>
        <v>5</v>
      </c>
    </row>
    <row r="276" spans="1:15" hidden="1" x14ac:dyDescent="0.25">
      <c r="A276" s="8">
        <v>27</v>
      </c>
      <c r="B276" s="9" t="str">
        <f t="shared" si="75"/>
        <v>ВЩ1-ВП (ВРУ1-ИНД-тип2-00 УХЛ4) (S3)</v>
      </c>
      <c r="C276" s="9" t="s">
        <v>54</v>
      </c>
      <c r="D276" s="9" t="s">
        <v>55</v>
      </c>
      <c r="E276" s="10" t="s">
        <v>56</v>
      </c>
      <c r="F276" s="11">
        <v>975</v>
      </c>
      <c r="G276" s="11">
        <f>IF(F276="","",ROUND(F276*VLOOKUP(K276,Kurallar!$D$3:$E$14,2,0),2))</f>
        <v>585</v>
      </c>
      <c r="H276" s="11">
        <f>IF(G276="","",G276*I276)</f>
        <v>585</v>
      </c>
      <c r="I276" s="8">
        <v>1</v>
      </c>
      <c r="J276" s="8" t="s">
        <v>23</v>
      </c>
      <c r="K276" s="8" t="s">
        <v>29</v>
      </c>
      <c r="L276" s="11">
        <f>IF(H276="","",H276*$I$272)</f>
        <v>585</v>
      </c>
      <c r="M276" s="9" t="s">
        <v>54</v>
      </c>
      <c r="N276" s="8" t="s">
        <v>57</v>
      </c>
      <c r="O276" s="8">
        <f>IFERROR(VLOOKUP(N276,Kurallar!$G$3:$H$22,2,0),0)</f>
        <v>3</v>
      </c>
    </row>
    <row r="277" spans="1:15" hidden="1" x14ac:dyDescent="0.25">
      <c r="A277" s="8">
        <v>27</v>
      </c>
      <c r="B277" s="9" t="str">
        <f t="shared" si="75"/>
        <v>ВЩ1-ВП (ВРУ1-ИНД-тип2-00 УХЛ4) (S3)</v>
      </c>
      <c r="C277" s="16" t="s">
        <v>214</v>
      </c>
      <c r="D277" s="9" t="s">
        <v>287</v>
      </c>
      <c r="E277" s="10" t="s">
        <v>746</v>
      </c>
      <c r="F277" s="11">
        <v>5523</v>
      </c>
      <c r="G277" s="11">
        <f>IF(F277="","",ROUND(F277*VLOOKUP(K277,Kurallar!$D$3:$E$14,2,0),2))</f>
        <v>5523</v>
      </c>
      <c r="H277" s="11">
        <f t="shared" ref="H277" si="78">IF(G277="","",G277*I277)</f>
        <v>16569</v>
      </c>
      <c r="I277" s="8">
        <v>3</v>
      </c>
      <c r="J277" s="8" t="s">
        <v>23</v>
      </c>
      <c r="K277" s="8" t="s">
        <v>65</v>
      </c>
      <c r="L277" s="9"/>
      <c r="M277" s="9" t="s">
        <v>214</v>
      </c>
      <c r="N277" s="8" t="s">
        <v>217</v>
      </c>
      <c r="O277" s="8">
        <f>IFERROR(VLOOKUP(N277,Kurallar!$G$3:$H$22,2,0),0)</f>
        <v>15</v>
      </c>
    </row>
    <row r="278" spans="1:15" hidden="1" x14ac:dyDescent="0.25">
      <c r="A278" s="8">
        <v>27</v>
      </c>
      <c r="B278" s="9" t="str">
        <f t="shared" si="75"/>
        <v>ВЩ1-ВП (ВРУ1-ИНД-тип2-00 УХЛ4) (S3)</v>
      </c>
      <c r="C278" s="9" t="s">
        <v>82</v>
      </c>
      <c r="D278" s="9" t="s">
        <v>212</v>
      </c>
      <c r="E278" s="10" t="s">
        <v>213</v>
      </c>
      <c r="F278" s="11">
        <v>0</v>
      </c>
      <c r="G278" s="11">
        <f>F278</f>
        <v>0</v>
      </c>
      <c r="H278" s="11">
        <f>IF(G278="","",G278*I278)</f>
        <v>0</v>
      </c>
      <c r="I278" s="8">
        <v>1</v>
      </c>
      <c r="J278" s="8" t="s">
        <v>23</v>
      </c>
      <c r="K278" s="8" t="s">
        <v>751</v>
      </c>
      <c r="L278" s="11">
        <f>IF(H278="","",H278*$I$272)</f>
        <v>0</v>
      </c>
      <c r="M278" s="9" t="s">
        <v>82</v>
      </c>
      <c r="N278" s="8" t="s">
        <v>85</v>
      </c>
      <c r="O278" s="8">
        <f>IFERROR(VLOOKUP(N278,Kurallar!$G$3:$H$22,2,0),0)</f>
        <v>25</v>
      </c>
    </row>
    <row r="279" spans="1:15" hidden="1" x14ac:dyDescent="0.25">
      <c r="A279" s="8">
        <v>27</v>
      </c>
      <c r="B279" s="9" t="str">
        <f t="shared" si="75"/>
        <v>ВЩ1-ВП (ВРУ1-ИНД-тип2-00 УХЛ4) (S3)</v>
      </c>
      <c r="C279" s="9" t="s">
        <v>218</v>
      </c>
      <c r="D279" s="9" t="s">
        <v>219</v>
      </c>
      <c r="E279" s="10" t="s">
        <v>220</v>
      </c>
      <c r="F279" s="11">
        <v>5275</v>
      </c>
      <c r="G279" s="11">
        <f>IF(F279="","",ROUND(F279*VLOOKUP(K279,Kurallar!$D$3:$E$14,2,0),2))</f>
        <v>3165</v>
      </c>
      <c r="H279" s="11">
        <f>IF(G279="","",G279*I279)</f>
        <v>9495</v>
      </c>
      <c r="I279" s="8">
        <v>3</v>
      </c>
      <c r="J279" s="8" t="s">
        <v>23</v>
      </c>
      <c r="K279" s="8" t="s">
        <v>29</v>
      </c>
      <c r="L279" s="11">
        <f>IF(H279="","",H279*$I$272)</f>
        <v>9495</v>
      </c>
      <c r="M279" s="9" t="s">
        <v>218</v>
      </c>
      <c r="N279" s="8" t="s">
        <v>221</v>
      </c>
      <c r="O279" s="8">
        <f>IFERROR(VLOOKUP(N279,Kurallar!$G$3:$H$22,2,0),0)</f>
        <v>15</v>
      </c>
    </row>
    <row r="280" spans="1:15" hidden="1" x14ac:dyDescent="0.25">
      <c r="A280" s="8">
        <v>27</v>
      </c>
      <c r="B280" s="9" t="str">
        <f t="shared" si="75"/>
        <v>ВЩ1-ВП (ВРУ1-ИНД-тип2-00 УХЛ4) (S3)</v>
      </c>
      <c r="C280" s="9" t="s">
        <v>54</v>
      </c>
      <c r="D280" s="9" t="s">
        <v>222</v>
      </c>
      <c r="E280" s="10" t="s">
        <v>223</v>
      </c>
      <c r="F280" s="11">
        <v>2606</v>
      </c>
      <c r="G280" s="11">
        <f>IF(F280="","",ROUND(F280*VLOOKUP(K280,Kurallar!$D$3:$E$14,2,0),2))</f>
        <v>1563.6</v>
      </c>
      <c r="H280" s="11">
        <f>IF(G280="","",G280*I280)</f>
        <v>1563.6</v>
      </c>
      <c r="I280" s="8">
        <v>1</v>
      </c>
      <c r="J280" s="8" t="s">
        <v>23</v>
      </c>
      <c r="K280" s="8" t="s">
        <v>29</v>
      </c>
      <c r="L280" s="11">
        <f>IF(H280="","",H280*$I$272)</f>
        <v>1563.6</v>
      </c>
      <c r="M280" s="9" t="s">
        <v>54</v>
      </c>
      <c r="N280" s="8" t="s">
        <v>113</v>
      </c>
      <c r="O280" s="8">
        <f>IFERROR(VLOOKUP(N280,Kurallar!$G$3:$H$22,2,0),0)</f>
        <v>10</v>
      </c>
    </row>
    <row r="281" spans="1:15" hidden="1" x14ac:dyDescent="0.25">
      <c r="A281" s="8">
        <v>27</v>
      </c>
      <c r="B281" s="9" t="str">
        <f t="shared" si="75"/>
        <v>ВЩ1-ВП (ВРУ1-ИНД-тип2-00 УХЛ4) (S3)</v>
      </c>
      <c r="C281" s="9" t="s">
        <v>31</v>
      </c>
      <c r="E281" s="9" t="s">
        <v>32</v>
      </c>
      <c r="F281" s="11"/>
      <c r="G281" s="11">
        <f>ROUND(SUM(H273:H280)*Kurallar!$B$2,2)</f>
        <v>17226.5</v>
      </c>
      <c r="H281" s="11">
        <f>G281*I281</f>
        <v>17226.5</v>
      </c>
      <c r="I281" s="8">
        <v>1</v>
      </c>
      <c r="J281" s="8" t="s">
        <v>19</v>
      </c>
      <c r="K281" s="8" t="s">
        <v>33</v>
      </c>
      <c r="L281" s="11">
        <f>H281*$I$272</f>
        <v>17226.5</v>
      </c>
      <c r="M281" s="9" t="s">
        <v>31</v>
      </c>
    </row>
    <row r="282" spans="1:15" hidden="1" x14ac:dyDescent="0.25">
      <c r="A282" s="8">
        <v>27</v>
      </c>
      <c r="B282" s="9" t="str">
        <f t="shared" si="75"/>
        <v>ВЩ1-ВП (ВРУ1-ИНД-тип2-00 УХЛ4) (S3)</v>
      </c>
      <c r="C282" s="9" t="s">
        <v>34</v>
      </c>
      <c r="E282" s="9" t="s">
        <v>35</v>
      </c>
      <c r="F282" s="11">
        <f>ROUND(I282/60,1)</f>
        <v>4.8</v>
      </c>
      <c r="G282" s="11">
        <f>Kurallar!$B$3</f>
        <v>100</v>
      </c>
      <c r="H282" s="11">
        <f>G282*I282</f>
        <v>28500</v>
      </c>
      <c r="I282" s="8">
        <f>ROUND(SUMPRODUCT(I273:I280,O273:O280)*Kurallar!$B$4,0)</f>
        <v>285</v>
      </c>
      <c r="J282" s="8" t="s">
        <v>36</v>
      </c>
      <c r="K282" s="8" t="s">
        <v>33</v>
      </c>
      <c r="L282" s="11">
        <f>H282*$I$272</f>
        <v>28500</v>
      </c>
      <c r="M282" s="9" t="s">
        <v>34</v>
      </c>
    </row>
    <row r="283" spans="1:15" hidden="1" x14ac:dyDescent="0.25">
      <c r="A283" s="12"/>
      <c r="B283" s="13" t="s">
        <v>288</v>
      </c>
      <c r="C283" s="12"/>
      <c r="D283" s="12"/>
      <c r="E283" s="13" t="s">
        <v>289</v>
      </c>
      <c r="F283" s="12"/>
      <c r="G283" s="12"/>
      <c r="H283" s="14">
        <f>SUBTOTAL(9,H273:H282)</f>
        <v>0</v>
      </c>
      <c r="I283" s="15">
        <v>1</v>
      </c>
      <c r="J283" s="15" t="s">
        <v>19</v>
      </c>
      <c r="K283" s="12"/>
      <c r="L283" s="14">
        <f>SUBTOTAL(9,L273:L282)</f>
        <v>0</v>
      </c>
      <c r="M283" s="12"/>
      <c r="N283" s="12"/>
      <c r="O283" s="12"/>
    </row>
    <row r="284" spans="1:15" hidden="1" x14ac:dyDescent="0.25">
      <c r="A284" s="4">
        <v>28</v>
      </c>
      <c r="B284" s="5" t="s">
        <v>290</v>
      </c>
      <c r="C284" s="6" t="s">
        <v>18</v>
      </c>
      <c r="D284" s="6"/>
      <c r="E284" s="7" t="s">
        <v>290</v>
      </c>
      <c r="F284" s="6"/>
      <c r="G284" s="6"/>
      <c r="H284" s="6"/>
      <c r="I284" s="4">
        <v>1</v>
      </c>
      <c r="J284" s="4" t="s">
        <v>19</v>
      </c>
      <c r="K284" s="6"/>
      <c r="L284" s="6"/>
      <c r="M284" s="6"/>
      <c r="N284" s="6"/>
      <c r="O284" s="6"/>
    </row>
    <row r="285" spans="1:15" hidden="1" x14ac:dyDescent="0.25">
      <c r="A285" s="8">
        <v>28</v>
      </c>
      <c r="B285" s="9" t="str">
        <f t="shared" ref="B285:B291" si="79">B284</f>
        <v>ВЩ1-РП (ВРУ1-50-00 УХЛ4) (S3)</v>
      </c>
      <c r="C285" s="16" t="s">
        <v>20</v>
      </c>
      <c r="D285" s="9" t="s">
        <v>744</v>
      </c>
      <c r="E285" s="10" t="s">
        <v>745</v>
      </c>
      <c r="F285" s="11">
        <v>65570</v>
      </c>
      <c r="G285" s="11">
        <f>IF(F285="","",ROUND(F285*VLOOKUP(K285,Kurallar!$D$3:$E$14,2,0),2))</f>
        <v>39342</v>
      </c>
      <c r="H285" s="11">
        <f t="shared" ref="H285" si="80">IF(G285="","",G285*I285)</f>
        <v>39342</v>
      </c>
      <c r="I285" s="8">
        <v>1</v>
      </c>
      <c r="J285" s="8" t="s">
        <v>23</v>
      </c>
      <c r="K285" s="8" t="s">
        <v>24</v>
      </c>
      <c r="L285" s="11">
        <f t="shared" ref="L285" si="81">IF(H285="","",H285*$I$181)</f>
        <v>39342</v>
      </c>
      <c r="M285" s="9" t="s">
        <v>20</v>
      </c>
      <c r="N285" s="8" t="s">
        <v>209</v>
      </c>
      <c r="O285" s="8">
        <f>IFERROR(VLOOKUP(N285,Kurallar!$G$3:$H$22,2,0),0)</f>
        <v>90</v>
      </c>
    </row>
    <row r="286" spans="1:15" hidden="1" x14ac:dyDescent="0.25">
      <c r="A286" s="8">
        <v>28</v>
      </c>
      <c r="B286" s="9" t="str">
        <f t="shared" si="79"/>
        <v>ВЩ1-РП (ВРУ1-50-00 УХЛ4) (S3)</v>
      </c>
      <c r="C286" s="9" t="s">
        <v>145</v>
      </c>
      <c r="D286" s="9" t="s">
        <v>291</v>
      </c>
      <c r="E286" s="10" t="s">
        <v>292</v>
      </c>
      <c r="F286" s="11">
        <v>36869</v>
      </c>
      <c r="G286" s="11">
        <f>IF(F286="","",ROUND(F286*VLOOKUP(K286,Kurallar!$D$3:$E$14,2,0),2))</f>
        <v>22121.4</v>
      </c>
      <c r="H286" s="11">
        <f>IF(G286="","",G286*I286)</f>
        <v>22121.4</v>
      </c>
      <c r="I286" s="8">
        <v>1</v>
      </c>
      <c r="J286" s="8" t="s">
        <v>23</v>
      </c>
      <c r="K286" s="8" t="s">
        <v>29</v>
      </c>
      <c r="L286" s="11">
        <f>IF(H286="","",H286*$I$284)</f>
        <v>22121.4</v>
      </c>
      <c r="M286" s="9" t="s">
        <v>145</v>
      </c>
      <c r="N286" s="8" t="s">
        <v>148</v>
      </c>
      <c r="O286" s="8">
        <f>IFERROR(VLOOKUP(N286,Kurallar!$G$3:$H$22,2,0),0)</f>
        <v>35</v>
      </c>
    </row>
    <row r="287" spans="1:15" hidden="1" x14ac:dyDescent="0.25">
      <c r="A287" s="8">
        <v>28</v>
      </c>
      <c r="B287" s="9" t="str">
        <f t="shared" si="79"/>
        <v>ВЩ1-РП (ВРУ1-50-00 УХЛ4) (S3)</v>
      </c>
      <c r="C287" s="9" t="s">
        <v>145</v>
      </c>
      <c r="D287" s="9" t="s">
        <v>293</v>
      </c>
      <c r="E287" s="10" t="s">
        <v>294</v>
      </c>
      <c r="F287" s="11">
        <v>19443</v>
      </c>
      <c r="G287" s="11">
        <f>IF(F287="","",ROUND(F287*VLOOKUP(K287,Kurallar!$D$3:$E$14,2,0),2))</f>
        <v>11665.8</v>
      </c>
      <c r="H287" s="11">
        <f>IF(G287="","",G287*I287)</f>
        <v>11665.8</v>
      </c>
      <c r="I287" s="8">
        <v>1</v>
      </c>
      <c r="J287" s="8" t="s">
        <v>23</v>
      </c>
      <c r="K287" s="8" t="s">
        <v>29</v>
      </c>
      <c r="L287" s="11">
        <f>IF(H287="","",H287*$I$284)</f>
        <v>11665.8</v>
      </c>
      <c r="M287" s="9" t="s">
        <v>145</v>
      </c>
      <c r="N287" s="8" t="s">
        <v>148</v>
      </c>
      <c r="O287" s="8">
        <f>IFERROR(VLOOKUP(N287,Kurallar!$G$3:$H$22,2,0),0)</f>
        <v>35</v>
      </c>
    </row>
    <row r="288" spans="1:15" hidden="1" x14ac:dyDescent="0.25">
      <c r="A288" s="8">
        <v>28</v>
      </c>
      <c r="B288" s="9" t="str">
        <f t="shared" si="79"/>
        <v>ВЩ1-РП (ВРУ1-50-00 УХЛ4) (S3)</v>
      </c>
      <c r="C288" s="9" t="s">
        <v>145</v>
      </c>
      <c r="D288" s="9" t="s">
        <v>295</v>
      </c>
      <c r="E288" s="10" t="s">
        <v>296</v>
      </c>
      <c r="F288" s="11">
        <v>19418</v>
      </c>
      <c r="G288" s="11">
        <f>IF(F288="","",ROUND(F288*VLOOKUP(K288,Kurallar!$D$3:$E$14,2,0),2))</f>
        <v>11650.8</v>
      </c>
      <c r="H288" s="11">
        <f>IF(G288="","",G288*I288)</f>
        <v>11650.8</v>
      </c>
      <c r="I288" s="8">
        <v>1</v>
      </c>
      <c r="J288" s="8" t="s">
        <v>23</v>
      </c>
      <c r="K288" s="8" t="s">
        <v>29</v>
      </c>
      <c r="L288" s="11">
        <f>IF(H288="","",H288*$I$284)</f>
        <v>11650.8</v>
      </c>
      <c r="M288" s="9" t="s">
        <v>145</v>
      </c>
      <c r="N288" s="8" t="s">
        <v>148</v>
      </c>
      <c r="O288" s="8">
        <f>IFERROR(VLOOKUP(N288,Kurallar!$G$3:$H$22,2,0),0)</f>
        <v>35</v>
      </c>
    </row>
    <row r="289" spans="1:15" hidden="1" x14ac:dyDescent="0.25">
      <c r="A289" s="8">
        <v>28</v>
      </c>
      <c r="B289" s="9" t="str">
        <f t="shared" si="79"/>
        <v>ВЩ1-РП (ВРУ1-50-00 УХЛ4) (S3)</v>
      </c>
      <c r="C289" s="9" t="s">
        <v>54</v>
      </c>
      <c r="D289" s="9" t="s">
        <v>247</v>
      </c>
      <c r="E289" s="10" t="s">
        <v>248</v>
      </c>
      <c r="F289" s="11">
        <v>2429</v>
      </c>
      <c r="G289" s="11">
        <f>IF(F289="","",ROUND(F289*VLOOKUP(K289,Kurallar!$D$3:$E$14,2,0),2))</f>
        <v>1457.4</v>
      </c>
      <c r="H289" s="11">
        <f>IF(G289="","",G289*I289)</f>
        <v>1457.4</v>
      </c>
      <c r="I289" s="8">
        <v>1</v>
      </c>
      <c r="J289" s="8" t="s">
        <v>23</v>
      </c>
      <c r="K289" s="8" t="s">
        <v>29</v>
      </c>
      <c r="L289" s="11">
        <f>IF(H289="","",H289*$I$284)</f>
        <v>1457.4</v>
      </c>
      <c r="M289" s="9" t="s">
        <v>54</v>
      </c>
      <c r="N289" s="8" t="s">
        <v>113</v>
      </c>
      <c r="O289" s="8">
        <f>IFERROR(VLOOKUP(N289,Kurallar!$G$3:$H$22,2,0),0)</f>
        <v>10</v>
      </c>
    </row>
    <row r="290" spans="1:15" hidden="1" x14ac:dyDescent="0.25">
      <c r="A290" s="8">
        <v>28</v>
      </c>
      <c r="B290" s="9" t="str">
        <f t="shared" si="79"/>
        <v>ВЩ1-РП (ВРУ1-50-00 УХЛ4) (S3)</v>
      </c>
      <c r="C290" s="9" t="s">
        <v>31</v>
      </c>
      <c r="E290" s="9" t="s">
        <v>32</v>
      </c>
      <c r="F290" s="11"/>
      <c r="G290" s="11">
        <f>ROUND(SUM(H285:H289)*Kurallar!$B$2,2)</f>
        <v>10348.49</v>
      </c>
      <c r="H290" s="11">
        <f>G290*I290</f>
        <v>10348.49</v>
      </c>
      <c r="I290" s="8">
        <v>1</v>
      </c>
      <c r="J290" s="8" t="s">
        <v>19</v>
      </c>
      <c r="K290" s="8" t="s">
        <v>33</v>
      </c>
      <c r="L290" s="11">
        <f>H290*$I$284</f>
        <v>10348.49</v>
      </c>
      <c r="M290" s="9" t="s">
        <v>31</v>
      </c>
    </row>
    <row r="291" spans="1:15" hidden="1" x14ac:dyDescent="0.25">
      <c r="A291" s="8">
        <v>28</v>
      </c>
      <c r="B291" s="9" t="str">
        <f t="shared" si="79"/>
        <v>ВЩ1-РП (ВРУ1-50-00 УХЛ4) (S3)</v>
      </c>
      <c r="C291" s="9" t="s">
        <v>34</v>
      </c>
      <c r="E291" s="9" t="s">
        <v>35</v>
      </c>
      <c r="F291" s="11">
        <f>ROUND(I291/60,1)</f>
        <v>3.9</v>
      </c>
      <c r="G291" s="11">
        <f>Kurallar!$B$3</f>
        <v>100</v>
      </c>
      <c r="H291" s="11">
        <f>G291*I291</f>
        <v>23600</v>
      </c>
      <c r="I291" s="8">
        <f>ROUND(SUMPRODUCT(I285:I289,O285:O289)*Kurallar!$B$4,0)</f>
        <v>236</v>
      </c>
      <c r="J291" s="8" t="s">
        <v>36</v>
      </c>
      <c r="K291" s="8" t="s">
        <v>33</v>
      </c>
      <c r="L291" s="11">
        <f>H291*$I$284</f>
        <v>23600</v>
      </c>
      <c r="M291" s="9" t="s">
        <v>34</v>
      </c>
    </row>
    <row r="292" spans="1:15" hidden="1" x14ac:dyDescent="0.25">
      <c r="A292" s="12"/>
      <c r="B292" s="13" t="s">
        <v>297</v>
      </c>
      <c r="C292" s="12"/>
      <c r="D292" s="12"/>
      <c r="E292" s="13" t="s">
        <v>298</v>
      </c>
      <c r="F292" s="12"/>
      <c r="G292" s="12"/>
      <c r="H292" s="14">
        <f>SUBTOTAL(9,H285:H291)</f>
        <v>0</v>
      </c>
      <c r="I292" s="15">
        <v>1</v>
      </c>
      <c r="J292" s="15" t="s">
        <v>19</v>
      </c>
      <c r="K292" s="12"/>
      <c r="L292" s="14">
        <f>SUBTOTAL(9,L285:L291)</f>
        <v>0</v>
      </c>
      <c r="M292" s="12"/>
      <c r="N292" s="12"/>
      <c r="O292" s="12"/>
    </row>
    <row r="293" spans="1:15" hidden="1" x14ac:dyDescent="0.25">
      <c r="A293" s="4">
        <v>29</v>
      </c>
      <c r="B293" s="5" t="s">
        <v>299</v>
      </c>
      <c r="C293" s="6" t="s">
        <v>18</v>
      </c>
      <c r="D293" s="6"/>
      <c r="E293" s="7" t="s">
        <v>299</v>
      </c>
      <c r="F293" s="6"/>
      <c r="G293" s="6"/>
      <c r="H293" s="6"/>
      <c r="I293" s="4">
        <v>1</v>
      </c>
      <c r="J293" s="4" t="s">
        <v>19</v>
      </c>
      <c r="K293" s="6"/>
      <c r="L293" s="6"/>
      <c r="M293" s="6"/>
      <c r="N293" s="6"/>
      <c r="O293" s="6"/>
    </row>
    <row r="294" spans="1:15" hidden="1" x14ac:dyDescent="0.25">
      <c r="A294" s="8">
        <v>29</v>
      </c>
      <c r="B294" s="9" t="str">
        <f t="shared" ref="B294:B307" si="82">B293</f>
        <v>ВЩ2-ВП (ВРУ1-26-60 УХЛ4) (S3)</v>
      </c>
      <c r="C294" s="16" t="s">
        <v>20</v>
      </c>
      <c r="D294" s="9" t="s">
        <v>207</v>
      </c>
      <c r="E294" s="10" t="s">
        <v>208</v>
      </c>
      <c r="F294" s="11">
        <v>155000</v>
      </c>
      <c r="G294" s="11">
        <f>IF(F294="","",ROUND(F294*VLOOKUP(K294,Kurallar!$D$3:$E$14,2,0),2))</f>
        <v>93000</v>
      </c>
      <c r="H294" s="11">
        <f t="shared" ref="H294" si="83">IF(G294="","",G294*I294)</f>
        <v>93000</v>
      </c>
      <c r="I294" s="8">
        <v>1</v>
      </c>
      <c r="J294" s="8" t="s">
        <v>23</v>
      </c>
      <c r="K294" s="8" t="s">
        <v>24</v>
      </c>
      <c r="L294" s="11">
        <f t="shared" ref="L294" si="84">IF(H294="","",H294*$I$181)</f>
        <v>93000</v>
      </c>
      <c r="M294" s="9" t="s">
        <v>20</v>
      </c>
      <c r="N294" s="8" t="s">
        <v>209</v>
      </c>
      <c r="O294" s="8">
        <f>IFERROR(VLOOKUP(N294,Kurallar!$G$3:$H$22,2,0),0)</f>
        <v>90</v>
      </c>
    </row>
    <row r="295" spans="1:15" hidden="1" x14ac:dyDescent="0.25">
      <c r="A295" s="8">
        <v>29</v>
      </c>
      <c r="B295" s="9" t="str">
        <f t="shared" si="82"/>
        <v>ВЩ2-ВП (ВРУ1-26-60 УХЛ4) (S3)</v>
      </c>
      <c r="C295" s="9" t="s">
        <v>86</v>
      </c>
      <c r="D295" s="9" t="s">
        <v>300</v>
      </c>
      <c r="E295" s="10" t="s">
        <v>301</v>
      </c>
      <c r="F295" s="11">
        <v>3302</v>
      </c>
      <c r="G295" s="11">
        <f>IF(F295="","",ROUND(F295*VLOOKUP(K295,Kurallar!$D$3:$E$14,2,0),2))</f>
        <v>1981.2</v>
      </c>
      <c r="H295" s="11">
        <f t="shared" ref="H295:H305" si="85">IF(G295="","",G295*I295)</f>
        <v>5943.6</v>
      </c>
      <c r="I295" s="8">
        <v>3</v>
      </c>
      <c r="J295" s="8" t="s">
        <v>23</v>
      </c>
      <c r="K295" s="8" t="s">
        <v>29</v>
      </c>
      <c r="L295" s="11">
        <f t="shared" ref="L295:L305" si="86">IF(H295="","",H295*$I$293)</f>
        <v>5943.6</v>
      </c>
      <c r="M295" s="9" t="s">
        <v>86</v>
      </c>
      <c r="N295" s="8" t="s">
        <v>89</v>
      </c>
      <c r="O295" s="8">
        <f>IFERROR(VLOOKUP(N295,Kurallar!$G$3:$H$22,2,0),0)</f>
        <v>5</v>
      </c>
    </row>
    <row r="296" spans="1:15" hidden="1" x14ac:dyDescent="0.25">
      <c r="A296" s="8">
        <v>29</v>
      </c>
      <c r="B296" s="9" t="str">
        <f t="shared" si="82"/>
        <v>ВЩ2-ВП (ВРУ1-26-60 УХЛ4) (S3)</v>
      </c>
      <c r="C296" s="9" t="s">
        <v>86</v>
      </c>
      <c r="D296" s="9" t="s">
        <v>302</v>
      </c>
      <c r="E296" s="10" t="s">
        <v>303</v>
      </c>
      <c r="F296" s="11">
        <v>4750</v>
      </c>
      <c r="G296" s="11">
        <f>IF(F296="","",ROUND(F296*VLOOKUP(K296,Kurallar!$D$3:$E$14,2,0),2))</f>
        <v>2850</v>
      </c>
      <c r="H296" s="11">
        <f t="shared" si="85"/>
        <v>8550</v>
      </c>
      <c r="I296" s="8">
        <v>3</v>
      </c>
      <c r="J296" s="8" t="s">
        <v>23</v>
      </c>
      <c r="K296" s="8" t="s">
        <v>29</v>
      </c>
      <c r="L296" s="11">
        <f t="shared" si="86"/>
        <v>8550</v>
      </c>
      <c r="M296" s="9" t="s">
        <v>86</v>
      </c>
      <c r="N296" s="8" t="s">
        <v>89</v>
      </c>
      <c r="O296" s="8">
        <f>IFERROR(VLOOKUP(N296,Kurallar!$G$3:$H$22,2,0),0)</f>
        <v>5</v>
      </c>
    </row>
    <row r="297" spans="1:15" hidden="1" x14ac:dyDescent="0.25">
      <c r="A297" s="8">
        <v>29</v>
      </c>
      <c r="B297" s="9" t="str">
        <f t="shared" si="82"/>
        <v>ВЩ2-ВП (ВРУ1-26-60 УХЛ4) (S3)</v>
      </c>
      <c r="C297" s="9" t="s">
        <v>145</v>
      </c>
      <c r="D297" s="9" t="s">
        <v>245</v>
      </c>
      <c r="E297" s="10" t="s">
        <v>246</v>
      </c>
      <c r="F297" s="11">
        <v>19760</v>
      </c>
      <c r="G297" s="11">
        <f>IF(F297="","",ROUND(F297*VLOOKUP(K297,Kurallar!$D$3:$E$14,2,0),2))</f>
        <v>11856</v>
      </c>
      <c r="H297" s="11">
        <f t="shared" si="85"/>
        <v>11856</v>
      </c>
      <c r="I297" s="8">
        <v>1</v>
      </c>
      <c r="J297" s="8" t="s">
        <v>23</v>
      </c>
      <c r="K297" s="8" t="s">
        <v>29</v>
      </c>
      <c r="L297" s="11">
        <f t="shared" si="86"/>
        <v>11856</v>
      </c>
      <c r="M297" s="9" t="s">
        <v>145</v>
      </c>
      <c r="N297" s="8" t="s">
        <v>148</v>
      </c>
      <c r="O297" s="8">
        <f>IFERROR(VLOOKUP(N297,Kurallar!$G$3:$H$22,2,0),0)</f>
        <v>35</v>
      </c>
    </row>
    <row r="298" spans="1:15" hidden="1" x14ac:dyDescent="0.25">
      <c r="A298" s="8">
        <v>29</v>
      </c>
      <c r="B298" s="9" t="str">
        <f t="shared" si="82"/>
        <v>ВЩ2-ВП (ВРУ1-26-60 УХЛ4) (S3)</v>
      </c>
      <c r="C298" s="9" t="s">
        <v>145</v>
      </c>
      <c r="D298" s="9" t="s">
        <v>293</v>
      </c>
      <c r="E298" s="10" t="s">
        <v>294</v>
      </c>
      <c r="F298" s="11">
        <v>19443</v>
      </c>
      <c r="G298" s="11">
        <f>IF(F298="","",ROUND(F298*VLOOKUP(K298,Kurallar!$D$3:$E$14,2,0),2))</f>
        <v>11665.8</v>
      </c>
      <c r="H298" s="11">
        <f t="shared" si="85"/>
        <v>11665.8</v>
      </c>
      <c r="I298" s="8">
        <v>1</v>
      </c>
      <c r="J298" s="8" t="s">
        <v>23</v>
      </c>
      <c r="K298" s="8" t="s">
        <v>29</v>
      </c>
      <c r="L298" s="11">
        <f t="shared" si="86"/>
        <v>11665.8</v>
      </c>
      <c r="M298" s="9" t="s">
        <v>145</v>
      </c>
      <c r="N298" s="8" t="s">
        <v>148</v>
      </c>
      <c r="O298" s="8">
        <f>IFERROR(VLOOKUP(N298,Kurallar!$G$3:$H$22,2,0),0)</f>
        <v>35</v>
      </c>
    </row>
    <row r="299" spans="1:15" hidden="1" x14ac:dyDescent="0.25">
      <c r="A299" s="8">
        <v>29</v>
      </c>
      <c r="B299" s="9" t="str">
        <f t="shared" si="82"/>
        <v>ВЩ2-ВП (ВРУ1-26-60 УХЛ4) (S3)</v>
      </c>
      <c r="C299" s="9" t="s">
        <v>145</v>
      </c>
      <c r="D299" s="9" t="s">
        <v>295</v>
      </c>
      <c r="E299" s="10" t="s">
        <v>296</v>
      </c>
      <c r="F299" s="11">
        <v>19418</v>
      </c>
      <c r="G299" s="11">
        <f>IF(F299="","",ROUND(F299*VLOOKUP(K299,Kurallar!$D$3:$E$14,2,0),2))</f>
        <v>11650.8</v>
      </c>
      <c r="H299" s="11">
        <f t="shared" si="85"/>
        <v>11650.8</v>
      </c>
      <c r="I299" s="8">
        <v>1</v>
      </c>
      <c r="J299" s="8" t="s">
        <v>23</v>
      </c>
      <c r="K299" s="8" t="s">
        <v>29</v>
      </c>
      <c r="L299" s="11">
        <f t="shared" si="86"/>
        <v>11650.8</v>
      </c>
      <c r="M299" s="9" t="s">
        <v>145</v>
      </c>
      <c r="N299" s="8" t="s">
        <v>148</v>
      </c>
      <c r="O299" s="8">
        <f>IFERROR(VLOOKUP(N299,Kurallar!$G$3:$H$22,2,0),0)</f>
        <v>35</v>
      </c>
    </row>
    <row r="300" spans="1:15" hidden="1" x14ac:dyDescent="0.25">
      <c r="A300" s="8">
        <v>29</v>
      </c>
      <c r="B300" s="9" t="str">
        <f t="shared" si="82"/>
        <v>ВЩ2-ВП (ВРУ1-26-60 УХЛ4) (S3)</v>
      </c>
      <c r="C300" s="9" t="s">
        <v>54</v>
      </c>
      <c r="D300" s="9" t="s">
        <v>247</v>
      </c>
      <c r="E300" s="10" t="s">
        <v>248</v>
      </c>
      <c r="F300" s="11">
        <v>2429</v>
      </c>
      <c r="G300" s="11">
        <f>IF(F300="","",ROUND(F300*VLOOKUP(K300,Kurallar!$D$3:$E$14,2,0),2))</f>
        <v>1457.4</v>
      </c>
      <c r="H300" s="11">
        <f t="shared" si="85"/>
        <v>2914.8</v>
      </c>
      <c r="I300" s="8">
        <v>2</v>
      </c>
      <c r="J300" s="8" t="s">
        <v>23</v>
      </c>
      <c r="K300" s="8" t="s">
        <v>29</v>
      </c>
      <c r="L300" s="11">
        <f t="shared" si="86"/>
        <v>2914.8</v>
      </c>
      <c r="M300" s="9" t="s">
        <v>54</v>
      </c>
      <c r="N300" s="8" t="s">
        <v>113</v>
      </c>
      <c r="O300" s="8">
        <f>IFERROR(VLOOKUP(N300,Kurallar!$G$3:$H$22,2,0),0)</f>
        <v>10</v>
      </c>
    </row>
    <row r="301" spans="1:15" hidden="1" x14ac:dyDescent="0.25">
      <c r="A301" s="8">
        <v>29</v>
      </c>
      <c r="B301" s="9" t="str">
        <f t="shared" si="82"/>
        <v>ВЩ2-ВП (ВРУ1-26-60 УХЛ4) (S3)</v>
      </c>
      <c r="C301" s="9" t="s">
        <v>54</v>
      </c>
      <c r="D301" s="9" t="s">
        <v>55</v>
      </c>
      <c r="E301" s="10" t="s">
        <v>56</v>
      </c>
      <c r="F301" s="11">
        <v>975</v>
      </c>
      <c r="G301" s="11">
        <f>IF(F301="","",ROUND(F301*VLOOKUP(K301,Kurallar!$D$3:$E$14,2,0),2))</f>
        <v>585</v>
      </c>
      <c r="H301" s="11">
        <f t="shared" si="85"/>
        <v>585</v>
      </c>
      <c r="I301" s="8">
        <v>1</v>
      </c>
      <c r="J301" s="8" t="s">
        <v>23</v>
      </c>
      <c r="K301" s="8" t="s">
        <v>29</v>
      </c>
      <c r="L301" s="11">
        <f t="shared" si="86"/>
        <v>585</v>
      </c>
      <c r="M301" s="9" t="s">
        <v>54</v>
      </c>
      <c r="N301" s="8" t="s">
        <v>57</v>
      </c>
      <c r="O301" s="8">
        <f>IFERROR(VLOOKUP(N301,Kurallar!$G$3:$H$22,2,0),0)</f>
        <v>3</v>
      </c>
    </row>
    <row r="302" spans="1:15" hidden="1" x14ac:dyDescent="0.25">
      <c r="A302" s="8">
        <v>29</v>
      </c>
      <c r="B302" s="9" t="str">
        <f t="shared" si="82"/>
        <v>ВЩ2-ВП (ВРУ1-26-60 УХЛ4) (S3)</v>
      </c>
      <c r="C302" s="9" t="s">
        <v>82</v>
      </c>
      <c r="D302" s="9" t="s">
        <v>212</v>
      </c>
      <c r="E302" s="10" t="s">
        <v>213</v>
      </c>
      <c r="F302" s="11">
        <v>0</v>
      </c>
      <c r="G302" s="11">
        <f>F302</f>
        <v>0</v>
      </c>
      <c r="H302" s="11">
        <f t="shared" si="85"/>
        <v>0</v>
      </c>
      <c r="I302" s="8">
        <v>1</v>
      </c>
      <c r="J302" s="8" t="s">
        <v>23</v>
      </c>
      <c r="K302" s="8" t="s">
        <v>751</v>
      </c>
      <c r="L302" s="11">
        <f t="shared" si="86"/>
        <v>0</v>
      </c>
      <c r="M302" s="9" t="s">
        <v>82</v>
      </c>
      <c r="N302" s="8" t="s">
        <v>85</v>
      </c>
      <c r="O302" s="8">
        <f>IFERROR(VLOOKUP(N302,Kurallar!$G$3:$H$22,2,0),0)</f>
        <v>25</v>
      </c>
    </row>
    <row r="303" spans="1:15" hidden="1" x14ac:dyDescent="0.25">
      <c r="A303" s="8">
        <v>29</v>
      </c>
      <c r="B303" s="9" t="str">
        <f t="shared" si="82"/>
        <v>ВЩ2-ВП (ВРУ1-26-60 УХЛ4) (S3)</v>
      </c>
      <c r="C303" s="9" t="s">
        <v>214</v>
      </c>
      <c r="D303" s="9" t="s">
        <v>304</v>
      </c>
      <c r="E303" s="10" t="s">
        <v>305</v>
      </c>
      <c r="F303" s="11">
        <v>4633</v>
      </c>
      <c r="G303" s="11">
        <f>IF(F303="","",ROUND(F303*VLOOKUP(K303,Kurallar!$D$3:$E$14,2,0),2))</f>
        <v>4633</v>
      </c>
      <c r="H303" s="11">
        <f t="shared" si="85"/>
        <v>13899</v>
      </c>
      <c r="I303" s="8">
        <v>3</v>
      </c>
      <c r="J303" s="8" t="s">
        <v>23</v>
      </c>
      <c r="K303" s="8" t="s">
        <v>65</v>
      </c>
      <c r="L303" s="11">
        <f t="shared" si="86"/>
        <v>13899</v>
      </c>
      <c r="M303" s="9" t="s">
        <v>214</v>
      </c>
      <c r="N303" s="8" t="s">
        <v>217</v>
      </c>
      <c r="O303" s="8">
        <f>IFERROR(VLOOKUP(N303,Kurallar!$G$3:$H$22,2,0),0)</f>
        <v>15</v>
      </c>
    </row>
    <row r="304" spans="1:15" hidden="1" x14ac:dyDescent="0.25">
      <c r="A304" s="8">
        <v>29</v>
      </c>
      <c r="B304" s="9" t="str">
        <f t="shared" si="82"/>
        <v>ВЩ2-ВП (ВРУ1-26-60 УХЛ4) (S3)</v>
      </c>
      <c r="C304" s="9" t="s">
        <v>218</v>
      </c>
      <c r="D304" s="9" t="s">
        <v>219</v>
      </c>
      <c r="E304" s="10" t="s">
        <v>220</v>
      </c>
      <c r="F304" s="11">
        <v>5275</v>
      </c>
      <c r="G304" s="11">
        <f>IF(F304="","",ROUND(F304*VLOOKUP(K304,Kurallar!$D$3:$E$14,2,0),2))</f>
        <v>3165</v>
      </c>
      <c r="H304" s="11">
        <f t="shared" si="85"/>
        <v>9495</v>
      </c>
      <c r="I304" s="8">
        <v>3</v>
      </c>
      <c r="J304" s="8" t="s">
        <v>23</v>
      </c>
      <c r="K304" s="8" t="s">
        <v>29</v>
      </c>
      <c r="L304" s="11">
        <f t="shared" si="86"/>
        <v>9495</v>
      </c>
      <c r="M304" s="9" t="s">
        <v>218</v>
      </c>
      <c r="N304" s="8" t="s">
        <v>221</v>
      </c>
      <c r="O304" s="8">
        <f>IFERROR(VLOOKUP(N304,Kurallar!$G$3:$H$22,2,0),0)</f>
        <v>15</v>
      </c>
    </row>
    <row r="305" spans="1:15" hidden="1" x14ac:dyDescent="0.25">
      <c r="A305" s="8">
        <v>29</v>
      </c>
      <c r="B305" s="9" t="str">
        <f t="shared" si="82"/>
        <v>ВЩ2-ВП (ВРУ1-26-60 УХЛ4) (S3)</v>
      </c>
      <c r="C305" s="9" t="s">
        <v>54</v>
      </c>
      <c r="D305" s="9" t="s">
        <v>222</v>
      </c>
      <c r="E305" s="10" t="s">
        <v>223</v>
      </c>
      <c r="F305" s="11">
        <v>2606</v>
      </c>
      <c r="G305" s="11">
        <f>IF(F305="","",ROUND(F305*VLOOKUP(K305,Kurallar!$D$3:$E$14,2,0),2))</f>
        <v>1563.6</v>
      </c>
      <c r="H305" s="11">
        <f t="shared" si="85"/>
        <v>1563.6</v>
      </c>
      <c r="I305" s="8">
        <v>1</v>
      </c>
      <c r="J305" s="8" t="s">
        <v>23</v>
      </c>
      <c r="K305" s="8" t="s">
        <v>29</v>
      </c>
      <c r="L305" s="11">
        <f t="shared" si="86"/>
        <v>1563.6</v>
      </c>
      <c r="M305" s="9" t="s">
        <v>54</v>
      </c>
      <c r="N305" s="8" t="s">
        <v>113</v>
      </c>
      <c r="O305" s="8">
        <f>IFERROR(VLOOKUP(N305,Kurallar!$G$3:$H$22,2,0),0)</f>
        <v>10</v>
      </c>
    </row>
    <row r="306" spans="1:15" hidden="1" x14ac:dyDescent="0.25">
      <c r="A306" s="8">
        <v>29</v>
      </c>
      <c r="B306" s="9" t="str">
        <f t="shared" si="82"/>
        <v>ВЩ2-ВП (ВРУ1-26-60 УХЛ4) (S3)</v>
      </c>
      <c r="C306" s="9" t="s">
        <v>31</v>
      </c>
      <c r="E306" s="9" t="s">
        <v>32</v>
      </c>
      <c r="F306" s="11"/>
      <c r="G306" s="11">
        <f>ROUND(SUM(H294:H305)*Kurallar!$B$2,2)</f>
        <v>20534.830000000002</v>
      </c>
      <c r="H306" s="11">
        <f>G306*I306</f>
        <v>20534.830000000002</v>
      </c>
      <c r="I306" s="8">
        <v>1</v>
      </c>
      <c r="J306" s="8" t="s">
        <v>19</v>
      </c>
      <c r="K306" s="8" t="s">
        <v>33</v>
      </c>
      <c r="L306" s="11">
        <f>H306*$I$293</f>
        <v>20534.830000000002</v>
      </c>
      <c r="M306" s="9" t="s">
        <v>31</v>
      </c>
    </row>
    <row r="307" spans="1:15" hidden="1" x14ac:dyDescent="0.25">
      <c r="A307" s="8">
        <v>29</v>
      </c>
      <c r="B307" s="9" t="str">
        <f t="shared" si="82"/>
        <v>ВЩ2-ВП (ВРУ1-26-60 УХЛ4) (S3)</v>
      </c>
      <c r="C307" s="9" t="s">
        <v>34</v>
      </c>
      <c r="E307" s="9" t="s">
        <v>35</v>
      </c>
      <c r="F307" s="11">
        <f>ROUND(I307/60,1)</f>
        <v>7.2</v>
      </c>
      <c r="G307" s="11">
        <f>Kurallar!$B$3</f>
        <v>100</v>
      </c>
      <c r="H307" s="11">
        <f>G307*I307</f>
        <v>42900</v>
      </c>
      <c r="I307" s="8">
        <f>ROUND(SUMPRODUCT(I294:I305,O294:O305)*Kurallar!$B$4,0)</f>
        <v>429</v>
      </c>
      <c r="J307" s="8" t="s">
        <v>36</v>
      </c>
      <c r="K307" s="8" t="s">
        <v>33</v>
      </c>
      <c r="L307" s="11">
        <f>H307*$I$293</f>
        <v>42900</v>
      </c>
      <c r="M307" s="9" t="s">
        <v>34</v>
      </c>
    </row>
    <row r="308" spans="1:15" hidden="1" x14ac:dyDescent="0.25">
      <c r="A308" s="12"/>
      <c r="B308" s="13" t="s">
        <v>306</v>
      </c>
      <c r="C308" s="12"/>
      <c r="D308" s="12"/>
      <c r="E308" s="13" t="s">
        <v>307</v>
      </c>
      <c r="F308" s="12"/>
      <c r="G308" s="12"/>
      <c r="H308" s="14">
        <f>SUBTOTAL(9,H294:H307)</f>
        <v>0</v>
      </c>
      <c r="I308" s="15">
        <v>1</v>
      </c>
      <c r="J308" s="15" t="s">
        <v>19</v>
      </c>
      <c r="K308" s="12"/>
      <c r="L308" s="14">
        <f>SUBTOTAL(9,L294:L307)</f>
        <v>0</v>
      </c>
      <c r="M308" s="12"/>
      <c r="N308" s="12"/>
      <c r="O308" s="12"/>
    </row>
    <row r="309" spans="1:15" hidden="1" x14ac:dyDescent="0.25">
      <c r="A309" s="4">
        <v>30</v>
      </c>
      <c r="B309" s="5" t="s">
        <v>308</v>
      </c>
      <c r="C309" s="6" t="s">
        <v>18</v>
      </c>
      <c r="D309" s="6"/>
      <c r="E309" s="7" t="s">
        <v>308</v>
      </c>
      <c r="F309" s="6"/>
      <c r="G309" s="6"/>
      <c r="H309" s="6"/>
      <c r="I309" s="4">
        <v>1</v>
      </c>
      <c r="J309" s="4" t="s">
        <v>19</v>
      </c>
      <c r="K309" s="6"/>
      <c r="L309" s="6"/>
      <c r="M309" s="6"/>
      <c r="N309" s="6"/>
      <c r="O309" s="6"/>
    </row>
    <row r="310" spans="1:15" hidden="1" x14ac:dyDescent="0.25">
      <c r="A310" s="8">
        <v>30</v>
      </c>
      <c r="B310" s="9" t="str">
        <f t="shared" ref="B310:B319" si="87">B309</f>
        <v>ШУ1-ВП (S3)</v>
      </c>
      <c r="C310" s="9" t="s">
        <v>20</v>
      </c>
      <c r="D310" s="9" t="s">
        <v>309</v>
      </c>
      <c r="E310" s="10" t="s">
        <v>310</v>
      </c>
      <c r="F310" s="11">
        <v>54840</v>
      </c>
      <c r="G310" s="11">
        <f>IF(F310="","",ROUND(F310*VLOOKUP(K310,Kurallar!$D$3:$E$14,2,0),2))</f>
        <v>32904</v>
      </c>
      <c r="H310" s="11">
        <f t="shared" ref="H310" si="88">IF(G310="","",G310*I310)</f>
        <v>32904</v>
      </c>
      <c r="I310" s="8">
        <v>1</v>
      </c>
      <c r="J310" s="8" t="s">
        <v>23</v>
      </c>
      <c r="K310" s="8" t="s">
        <v>24</v>
      </c>
      <c r="L310" s="11">
        <f t="shared" ref="L310" si="89">IF(H310="","",H310*$I$181)</f>
        <v>32904</v>
      </c>
      <c r="M310" s="9" t="s">
        <v>20</v>
      </c>
      <c r="N310" s="8" t="s">
        <v>209</v>
      </c>
      <c r="O310" s="8">
        <f>IFERROR(VLOOKUP(N310,Kurallar!$G$3:$H$22,2,0),0)</f>
        <v>90</v>
      </c>
    </row>
    <row r="311" spans="1:15" hidden="1" x14ac:dyDescent="0.25">
      <c r="A311" s="8">
        <v>30</v>
      </c>
      <c r="B311" s="9" t="str">
        <f t="shared" si="87"/>
        <v>ШУ1-ВП (S3)</v>
      </c>
      <c r="C311" s="9" t="s">
        <v>145</v>
      </c>
      <c r="D311" s="9" t="s">
        <v>146</v>
      </c>
      <c r="E311" s="10" t="s">
        <v>147</v>
      </c>
      <c r="F311" s="11">
        <v>34800</v>
      </c>
      <c r="G311" s="11">
        <f>IF(F311="","",ROUND(F311*VLOOKUP(K311,Kurallar!$D$3:$E$14,2,0),2))</f>
        <v>20880</v>
      </c>
      <c r="H311" s="11">
        <f t="shared" ref="H311:H317" si="90">IF(G311="","",G311*I311)</f>
        <v>41760</v>
      </c>
      <c r="I311" s="8">
        <v>2</v>
      </c>
      <c r="J311" s="8" t="s">
        <v>23</v>
      </c>
      <c r="K311" s="8" t="s">
        <v>29</v>
      </c>
      <c r="L311" s="11">
        <f t="shared" ref="L311:L317" si="91">IF(H311="","",H311*$I$309)</f>
        <v>41760</v>
      </c>
      <c r="M311" s="9" t="s">
        <v>145</v>
      </c>
      <c r="N311" s="8" t="s">
        <v>148</v>
      </c>
      <c r="O311" s="8">
        <f>IFERROR(VLOOKUP(N311,Kurallar!$G$3:$H$22,2,0),0)</f>
        <v>35</v>
      </c>
    </row>
    <row r="312" spans="1:15" hidden="1" x14ac:dyDescent="0.25">
      <c r="A312" s="8">
        <v>30</v>
      </c>
      <c r="B312" s="9" t="str">
        <f t="shared" si="87"/>
        <v>ШУ1-ВП (S3)</v>
      </c>
      <c r="C312" s="9" t="s">
        <v>214</v>
      </c>
      <c r="D312" s="9" t="s">
        <v>311</v>
      </c>
      <c r="E312" s="10" t="s">
        <v>312</v>
      </c>
      <c r="F312" s="11">
        <v>5100</v>
      </c>
      <c r="G312" s="11">
        <f>IF(F312="","",ROUND(F312*VLOOKUP(K312,Kurallar!$D$3:$E$14,2,0),2))</f>
        <v>5100</v>
      </c>
      <c r="H312" s="11">
        <f t="shared" si="90"/>
        <v>15300</v>
      </c>
      <c r="I312" s="8">
        <v>3</v>
      </c>
      <c r="J312" s="8" t="s">
        <v>23</v>
      </c>
      <c r="K312" s="8" t="s">
        <v>65</v>
      </c>
      <c r="L312" s="11">
        <f t="shared" si="91"/>
        <v>15300</v>
      </c>
      <c r="M312" s="9" t="s">
        <v>214</v>
      </c>
      <c r="N312" s="8" t="s">
        <v>217</v>
      </c>
      <c r="O312" s="8">
        <f>IFERROR(VLOOKUP(N312,Kurallar!$G$3:$H$22,2,0),0)</f>
        <v>15</v>
      </c>
    </row>
    <row r="313" spans="1:15" hidden="1" x14ac:dyDescent="0.25">
      <c r="A313" s="8">
        <v>30</v>
      </c>
      <c r="B313" s="9" t="str">
        <f t="shared" si="87"/>
        <v>ШУ1-ВП (S3)</v>
      </c>
      <c r="C313" s="9" t="s">
        <v>82</v>
      </c>
      <c r="D313" s="9" t="s">
        <v>251</v>
      </c>
      <c r="E313" s="10" t="s">
        <v>252</v>
      </c>
      <c r="F313" s="11">
        <v>0</v>
      </c>
      <c r="G313" s="11">
        <f>F313</f>
        <v>0</v>
      </c>
      <c r="H313" s="11">
        <f t="shared" si="90"/>
        <v>0</v>
      </c>
      <c r="I313" s="8">
        <v>1</v>
      </c>
      <c r="J313" s="8" t="s">
        <v>23</v>
      </c>
      <c r="K313" s="8" t="s">
        <v>751</v>
      </c>
      <c r="L313" s="11">
        <f t="shared" si="91"/>
        <v>0</v>
      </c>
      <c r="M313" s="9" t="s">
        <v>82</v>
      </c>
      <c r="N313" s="8" t="s">
        <v>85</v>
      </c>
      <c r="O313" s="8">
        <f>IFERROR(VLOOKUP(N313,Kurallar!$G$3:$H$22,2,0),0)</f>
        <v>25</v>
      </c>
    </row>
    <row r="314" spans="1:15" hidden="1" x14ac:dyDescent="0.25">
      <c r="A314" s="8">
        <v>30</v>
      </c>
      <c r="B314" s="9" t="str">
        <f t="shared" si="87"/>
        <v>ШУ1-ВП (S3)</v>
      </c>
      <c r="C314" s="9" t="s">
        <v>145</v>
      </c>
      <c r="D314" s="9" t="s">
        <v>295</v>
      </c>
      <c r="E314" s="10" t="s">
        <v>296</v>
      </c>
      <c r="F314" s="11">
        <v>19418</v>
      </c>
      <c r="G314" s="11">
        <f>IF(F314="","",ROUND(F314*VLOOKUP(K314,Kurallar!$D$3:$E$14,2,0),2))</f>
        <v>11650.8</v>
      </c>
      <c r="H314" s="11">
        <f t="shared" si="90"/>
        <v>23301.599999999999</v>
      </c>
      <c r="I314" s="8">
        <v>2</v>
      </c>
      <c r="J314" s="8" t="s">
        <v>23</v>
      </c>
      <c r="K314" s="8" t="s">
        <v>29</v>
      </c>
      <c r="L314" s="11">
        <f t="shared" si="91"/>
        <v>23301.599999999999</v>
      </c>
      <c r="M314" s="9" t="s">
        <v>145</v>
      </c>
      <c r="N314" s="8" t="s">
        <v>148</v>
      </c>
      <c r="O314" s="8">
        <f>IFERROR(VLOOKUP(N314,Kurallar!$G$3:$H$22,2,0),0)</f>
        <v>35</v>
      </c>
    </row>
    <row r="315" spans="1:15" hidden="1" x14ac:dyDescent="0.25">
      <c r="A315" s="8">
        <v>30</v>
      </c>
      <c r="B315" s="9" t="str">
        <f t="shared" si="87"/>
        <v>ШУ1-ВП (S3)</v>
      </c>
      <c r="C315" s="9" t="s">
        <v>26</v>
      </c>
      <c r="D315" s="9" t="s">
        <v>27</v>
      </c>
      <c r="E315" s="10" t="s">
        <v>28</v>
      </c>
      <c r="F315" s="11">
        <v>4439</v>
      </c>
      <c r="G315" s="11">
        <f>IF(F315="","",ROUND(F315*VLOOKUP(K315,Kurallar!$D$3:$E$14,2,0),2))</f>
        <v>2663.4</v>
      </c>
      <c r="H315" s="11">
        <f t="shared" si="90"/>
        <v>2663.4</v>
      </c>
      <c r="I315" s="8">
        <v>1</v>
      </c>
      <c r="J315" s="8" t="s">
        <v>23</v>
      </c>
      <c r="K315" s="8" t="s">
        <v>29</v>
      </c>
      <c r="L315" s="11">
        <f t="shared" si="91"/>
        <v>2663.4</v>
      </c>
      <c r="M315" s="9" t="s">
        <v>26</v>
      </c>
      <c r="N315" s="8" t="s">
        <v>30</v>
      </c>
      <c r="O315" s="8">
        <f>IFERROR(VLOOKUP(N315,Kurallar!$G$3:$H$22,2,0),0)</f>
        <v>30</v>
      </c>
    </row>
    <row r="316" spans="1:15" hidden="1" x14ac:dyDescent="0.25">
      <c r="A316" s="8">
        <v>30</v>
      </c>
      <c r="B316" s="9" t="str">
        <f t="shared" si="87"/>
        <v>ШУ1-ВП (S3)</v>
      </c>
      <c r="C316" s="9" t="s">
        <v>54</v>
      </c>
      <c r="D316" s="9" t="s">
        <v>258</v>
      </c>
      <c r="E316" s="10" t="s">
        <v>259</v>
      </c>
      <c r="F316" s="11">
        <v>3641</v>
      </c>
      <c r="G316" s="11">
        <f>IF(F316="","",ROUND(F316*VLOOKUP(K316,Kurallar!$D$3:$E$14,2,0),2))</f>
        <v>2184.6</v>
      </c>
      <c r="H316" s="11">
        <f t="shared" si="90"/>
        <v>2184.6</v>
      </c>
      <c r="I316" s="8">
        <v>1</v>
      </c>
      <c r="J316" s="8" t="s">
        <v>23</v>
      </c>
      <c r="K316" s="8" t="s">
        <v>29</v>
      </c>
      <c r="L316" s="11">
        <f t="shared" si="91"/>
        <v>2184.6</v>
      </c>
      <c r="M316" s="9" t="s">
        <v>54</v>
      </c>
      <c r="N316" s="8" t="s">
        <v>113</v>
      </c>
      <c r="O316" s="8">
        <f>IFERROR(VLOOKUP(N316,Kurallar!$G$3:$H$22,2,0),0)</f>
        <v>10</v>
      </c>
    </row>
    <row r="317" spans="1:15" hidden="1" x14ac:dyDescent="0.25">
      <c r="A317" s="8">
        <v>30</v>
      </c>
      <c r="B317" s="9" t="str">
        <f t="shared" si="87"/>
        <v>ШУ1-ВП (S3)</v>
      </c>
      <c r="C317" s="9" t="s">
        <v>82</v>
      </c>
      <c r="D317" s="9" t="s">
        <v>251</v>
      </c>
      <c r="E317" s="10" t="s">
        <v>252</v>
      </c>
      <c r="F317" s="11">
        <v>0</v>
      </c>
      <c r="G317" s="11">
        <f>F317</f>
        <v>0</v>
      </c>
      <c r="H317" s="11">
        <f t="shared" si="90"/>
        <v>0</v>
      </c>
      <c r="I317" s="8">
        <v>2</v>
      </c>
      <c r="J317" s="8" t="s">
        <v>23</v>
      </c>
      <c r="K317" s="8" t="s">
        <v>751</v>
      </c>
      <c r="L317" s="11">
        <f t="shared" si="91"/>
        <v>0</v>
      </c>
      <c r="M317" s="9" t="s">
        <v>82</v>
      </c>
      <c r="N317" s="8" t="s">
        <v>85</v>
      </c>
      <c r="O317" s="8">
        <f>IFERROR(VLOOKUP(N317,Kurallar!$G$3:$H$22,2,0),0)</f>
        <v>25</v>
      </c>
    </row>
    <row r="318" spans="1:15" hidden="1" x14ac:dyDescent="0.25">
      <c r="A318" s="8">
        <v>30</v>
      </c>
      <c r="B318" s="9" t="str">
        <f t="shared" si="87"/>
        <v>ШУ1-ВП (S3)</v>
      </c>
      <c r="C318" s="9" t="s">
        <v>31</v>
      </c>
      <c r="E318" s="9" t="s">
        <v>32</v>
      </c>
      <c r="F318" s="11"/>
      <c r="G318" s="11">
        <f>ROUND(SUM(H310:H317)*Kurallar!$B$2,2)</f>
        <v>14173.63</v>
      </c>
      <c r="H318" s="11">
        <f>G318*I318</f>
        <v>14173.63</v>
      </c>
      <c r="I318" s="8">
        <v>1</v>
      </c>
      <c r="J318" s="8" t="s">
        <v>19</v>
      </c>
      <c r="K318" s="8" t="s">
        <v>33</v>
      </c>
      <c r="L318" s="11">
        <f>H318*$I$309</f>
        <v>14173.63</v>
      </c>
      <c r="M318" s="9" t="s">
        <v>31</v>
      </c>
    </row>
    <row r="319" spans="1:15" hidden="1" x14ac:dyDescent="0.25">
      <c r="A319" s="8">
        <v>30</v>
      </c>
      <c r="B319" s="9" t="str">
        <f t="shared" si="87"/>
        <v>ШУ1-ВП (S3)</v>
      </c>
      <c r="C319" s="9" t="s">
        <v>34</v>
      </c>
      <c r="E319" s="9" t="s">
        <v>35</v>
      </c>
      <c r="F319" s="11">
        <f>ROUND(I319/60,1)</f>
        <v>7.5</v>
      </c>
      <c r="G319" s="11">
        <f>Kurallar!$B$3</f>
        <v>100</v>
      </c>
      <c r="H319" s="11">
        <f>G319*I319</f>
        <v>44900</v>
      </c>
      <c r="I319" s="8">
        <f>ROUND(SUMPRODUCT(I310:I317,O310:O317)*Kurallar!$B$4,0)</f>
        <v>449</v>
      </c>
      <c r="J319" s="8" t="s">
        <v>36</v>
      </c>
      <c r="K319" s="8" t="s">
        <v>33</v>
      </c>
      <c r="L319" s="11">
        <f>H319*$I$309</f>
        <v>44900</v>
      </c>
      <c r="M319" s="9" t="s">
        <v>34</v>
      </c>
    </row>
    <row r="320" spans="1:15" hidden="1" x14ac:dyDescent="0.25">
      <c r="A320" s="12"/>
      <c r="B320" s="13" t="s">
        <v>313</v>
      </c>
      <c r="C320" s="12"/>
      <c r="D320" s="12"/>
      <c r="E320" s="13" t="s">
        <v>314</v>
      </c>
      <c r="F320" s="12"/>
      <c r="G320" s="12"/>
      <c r="H320" s="14">
        <f>SUBTOTAL(9,H310:H319)</f>
        <v>0</v>
      </c>
      <c r="I320" s="15">
        <v>1</v>
      </c>
      <c r="J320" s="15" t="s">
        <v>19</v>
      </c>
      <c r="K320" s="12"/>
      <c r="L320" s="14">
        <f>SUBTOTAL(9,L310:L319)</f>
        <v>0</v>
      </c>
      <c r="M320" s="12"/>
      <c r="N320" s="12"/>
      <c r="O320" s="12"/>
    </row>
    <row r="321" spans="1:15" hidden="1" x14ac:dyDescent="0.25">
      <c r="A321" s="4">
        <v>31</v>
      </c>
      <c r="B321" s="5" t="s">
        <v>315</v>
      </c>
      <c r="C321" s="6" t="s">
        <v>18</v>
      </c>
      <c r="D321" s="6"/>
      <c r="E321" s="7" t="s">
        <v>315</v>
      </c>
      <c r="F321" s="6"/>
      <c r="G321" s="6"/>
      <c r="H321" s="6"/>
      <c r="I321" s="4">
        <v>1</v>
      </c>
      <c r="J321" s="4" t="s">
        <v>19</v>
      </c>
      <c r="K321" s="6"/>
      <c r="L321" s="6"/>
      <c r="M321" s="6"/>
      <c r="N321" s="6"/>
      <c r="O321" s="6"/>
    </row>
    <row r="322" spans="1:15" hidden="1" x14ac:dyDescent="0.25">
      <c r="A322" s="8">
        <v>31</v>
      </c>
      <c r="B322" s="9" t="str">
        <f t="shared" ref="B322:B331" si="92">B321</f>
        <v>ШУ2-ВП (S3)</v>
      </c>
      <c r="C322" s="9" t="s">
        <v>20</v>
      </c>
      <c r="D322" s="9" t="s">
        <v>309</v>
      </c>
      <c r="E322" s="10" t="s">
        <v>310</v>
      </c>
      <c r="F322" s="11">
        <v>54840</v>
      </c>
      <c r="G322" s="11">
        <f>IF(F322="","",ROUND(F322*VLOOKUP(K322,Kurallar!$D$3:$E$14,2,0),2))</f>
        <v>32904</v>
      </c>
      <c r="H322" s="11">
        <f t="shared" ref="H322" si="93">IF(G322="","",G322*I322)</f>
        <v>32904</v>
      </c>
      <c r="I322" s="8">
        <v>1</v>
      </c>
      <c r="J322" s="8" t="s">
        <v>23</v>
      </c>
      <c r="K322" s="8" t="s">
        <v>24</v>
      </c>
      <c r="L322" s="11">
        <f t="shared" ref="L322" si="94">IF(H322="","",H322*$I$181)</f>
        <v>32904</v>
      </c>
      <c r="M322" s="9" t="s">
        <v>20</v>
      </c>
      <c r="N322" s="8" t="s">
        <v>209</v>
      </c>
      <c r="O322" s="8">
        <f>IFERROR(VLOOKUP(N322,Kurallar!$G$3:$H$22,2,0),0)</f>
        <v>90</v>
      </c>
    </row>
    <row r="323" spans="1:15" hidden="1" x14ac:dyDescent="0.25">
      <c r="A323" s="8">
        <v>31</v>
      </c>
      <c r="B323" s="9" t="str">
        <f t="shared" si="92"/>
        <v>ШУ2-ВП (S3)</v>
      </c>
      <c r="C323" s="9" t="s">
        <v>145</v>
      </c>
      <c r="D323" s="9" t="s">
        <v>293</v>
      </c>
      <c r="E323" s="10" t="s">
        <v>294</v>
      </c>
      <c r="F323" s="11">
        <v>19443</v>
      </c>
      <c r="G323" s="11">
        <f>IF(F323="","",ROUND(F323*VLOOKUP(K323,Kurallar!$D$3:$E$14,2,0),2))</f>
        <v>11665.8</v>
      </c>
      <c r="H323" s="11">
        <f t="shared" ref="H323:H329" si="95">IF(G323="","",G323*I323)</f>
        <v>23331.599999999999</v>
      </c>
      <c r="I323" s="8">
        <v>2</v>
      </c>
      <c r="J323" s="8" t="s">
        <v>23</v>
      </c>
      <c r="K323" s="8" t="s">
        <v>29</v>
      </c>
      <c r="L323" s="11">
        <f t="shared" ref="L323:L329" si="96">IF(H323="","",H323*$I$321)</f>
        <v>23331.599999999999</v>
      </c>
      <c r="M323" s="9" t="s">
        <v>145</v>
      </c>
      <c r="N323" s="8" t="s">
        <v>148</v>
      </c>
      <c r="O323" s="8">
        <f>IFERROR(VLOOKUP(N323,Kurallar!$G$3:$H$22,2,0),0)</f>
        <v>35</v>
      </c>
    </row>
    <row r="324" spans="1:15" hidden="1" x14ac:dyDescent="0.25">
      <c r="A324" s="8">
        <v>31</v>
      </c>
      <c r="B324" s="9" t="str">
        <f t="shared" si="92"/>
        <v>ШУ2-ВП (S3)</v>
      </c>
      <c r="C324" s="9" t="s">
        <v>145</v>
      </c>
      <c r="D324" s="9" t="s">
        <v>295</v>
      </c>
      <c r="E324" s="10" t="s">
        <v>296</v>
      </c>
      <c r="F324" s="11">
        <v>19418</v>
      </c>
      <c r="G324" s="11">
        <f>IF(F324="","",ROUND(F324*VLOOKUP(K324,Kurallar!$D$3:$E$14,2,0),2))</f>
        <v>11650.8</v>
      </c>
      <c r="H324" s="11">
        <f t="shared" si="95"/>
        <v>23301.599999999999</v>
      </c>
      <c r="I324" s="8">
        <v>2</v>
      </c>
      <c r="J324" s="8" t="s">
        <v>23</v>
      </c>
      <c r="K324" s="8" t="s">
        <v>29</v>
      </c>
      <c r="L324" s="11">
        <f t="shared" si="96"/>
        <v>23301.599999999999</v>
      </c>
      <c r="M324" s="9" t="s">
        <v>145</v>
      </c>
      <c r="N324" s="8" t="s">
        <v>148</v>
      </c>
      <c r="O324" s="8">
        <f>IFERROR(VLOOKUP(N324,Kurallar!$G$3:$H$22,2,0),0)</f>
        <v>35</v>
      </c>
    </row>
    <row r="325" spans="1:15" hidden="1" x14ac:dyDescent="0.25">
      <c r="A325" s="8">
        <v>31</v>
      </c>
      <c r="B325" s="9" t="str">
        <f t="shared" si="92"/>
        <v>ШУ2-ВП (S3)</v>
      </c>
      <c r="C325" s="9" t="s">
        <v>26</v>
      </c>
      <c r="D325" s="9" t="s">
        <v>27</v>
      </c>
      <c r="E325" s="10" t="s">
        <v>28</v>
      </c>
      <c r="F325" s="11">
        <v>4439</v>
      </c>
      <c r="G325" s="11">
        <f>IF(F325="","",ROUND(F325*VLOOKUP(K325,Kurallar!$D$3:$E$14,2,0),2))</f>
        <v>2663.4</v>
      </c>
      <c r="H325" s="11">
        <f t="shared" si="95"/>
        <v>2663.4</v>
      </c>
      <c r="I325" s="8">
        <v>1</v>
      </c>
      <c r="J325" s="8" t="s">
        <v>23</v>
      </c>
      <c r="K325" s="8" t="s">
        <v>29</v>
      </c>
      <c r="L325" s="11">
        <f t="shared" si="96"/>
        <v>2663.4</v>
      </c>
      <c r="M325" s="9" t="s">
        <v>26</v>
      </c>
      <c r="N325" s="8" t="s">
        <v>30</v>
      </c>
      <c r="O325" s="8">
        <f>IFERROR(VLOOKUP(N325,Kurallar!$G$3:$H$22,2,0),0)</f>
        <v>30</v>
      </c>
    </row>
    <row r="326" spans="1:15" hidden="1" x14ac:dyDescent="0.25">
      <c r="A326" s="8">
        <v>31</v>
      </c>
      <c r="B326" s="9" t="str">
        <f t="shared" si="92"/>
        <v>ШУ2-ВП (S3)</v>
      </c>
      <c r="C326" s="9" t="s">
        <v>26</v>
      </c>
      <c r="D326" s="9" t="s">
        <v>48</v>
      </c>
      <c r="E326" s="10" t="s">
        <v>49</v>
      </c>
      <c r="F326" s="11">
        <v>3372</v>
      </c>
      <c r="G326" s="11">
        <f>IF(F326="","",ROUND(F326*VLOOKUP(K326,Kurallar!$D$3:$E$14,2,0),2))</f>
        <v>2023.2</v>
      </c>
      <c r="H326" s="11">
        <f t="shared" si="95"/>
        <v>2023.2</v>
      </c>
      <c r="I326" s="8">
        <v>1</v>
      </c>
      <c r="J326" s="8" t="s">
        <v>23</v>
      </c>
      <c r="K326" s="8" t="s">
        <v>29</v>
      </c>
      <c r="L326" s="11">
        <f t="shared" si="96"/>
        <v>2023.2</v>
      </c>
      <c r="M326" s="9" t="s">
        <v>26</v>
      </c>
      <c r="N326" s="8" t="s">
        <v>42</v>
      </c>
      <c r="O326" s="8">
        <f>IFERROR(VLOOKUP(N326,Kurallar!$G$3:$H$22,2,0),0)</f>
        <v>15</v>
      </c>
    </row>
    <row r="327" spans="1:15" hidden="1" x14ac:dyDescent="0.25">
      <c r="A327" s="8">
        <v>31</v>
      </c>
      <c r="B327" s="9" t="str">
        <f t="shared" si="92"/>
        <v>ШУ2-ВП (S3)</v>
      </c>
      <c r="C327" s="9" t="s">
        <v>145</v>
      </c>
      <c r="D327" s="9" t="s">
        <v>316</v>
      </c>
      <c r="E327" s="10" t="s">
        <v>317</v>
      </c>
      <c r="F327" s="11">
        <v>18263</v>
      </c>
      <c r="G327" s="11">
        <f>IF(F327="","",ROUND(F327*VLOOKUP(K327,Kurallar!$D$3:$E$14,2,0),2))</f>
        <v>10957.8</v>
      </c>
      <c r="H327" s="11">
        <f t="shared" si="95"/>
        <v>10957.8</v>
      </c>
      <c r="I327" s="8">
        <v>1</v>
      </c>
      <c r="J327" s="8" t="s">
        <v>23</v>
      </c>
      <c r="K327" s="8" t="s">
        <v>29</v>
      </c>
      <c r="L327" s="11">
        <f t="shared" si="96"/>
        <v>10957.8</v>
      </c>
      <c r="M327" s="9" t="s">
        <v>145</v>
      </c>
      <c r="N327" s="8" t="s">
        <v>148</v>
      </c>
      <c r="O327" s="8">
        <f>IFERROR(VLOOKUP(N327,Kurallar!$G$3:$H$22,2,0),0)</f>
        <v>35</v>
      </c>
    </row>
    <row r="328" spans="1:15" hidden="1" x14ac:dyDescent="0.25">
      <c r="A328" s="8">
        <v>31</v>
      </c>
      <c r="B328" s="9" t="str">
        <f t="shared" si="92"/>
        <v>ШУ2-ВП (S3)</v>
      </c>
      <c r="C328" s="9" t="s">
        <v>54</v>
      </c>
      <c r="D328" s="9" t="s">
        <v>318</v>
      </c>
      <c r="E328" s="10" t="s">
        <v>319</v>
      </c>
      <c r="F328" s="11">
        <v>2499</v>
      </c>
      <c r="G328" s="11">
        <f>IF(F328="","",ROUND(F328*VLOOKUP(K328,Kurallar!$D$3:$E$14,2,0),2))</f>
        <v>1499.4</v>
      </c>
      <c r="H328" s="11">
        <f t="shared" si="95"/>
        <v>1499.4</v>
      </c>
      <c r="I328" s="8">
        <v>1</v>
      </c>
      <c r="J328" s="8" t="s">
        <v>23</v>
      </c>
      <c r="K328" s="8" t="s">
        <v>29</v>
      </c>
      <c r="L328" s="11">
        <f t="shared" si="96"/>
        <v>1499.4</v>
      </c>
      <c r="M328" s="9" t="s">
        <v>54</v>
      </c>
      <c r="N328" s="8" t="s">
        <v>113</v>
      </c>
      <c r="O328" s="8">
        <f>IFERROR(VLOOKUP(N328,Kurallar!$G$3:$H$22,2,0),0)</f>
        <v>10</v>
      </c>
    </row>
    <row r="329" spans="1:15" hidden="1" x14ac:dyDescent="0.25">
      <c r="A329" s="8">
        <v>31</v>
      </c>
      <c r="B329" s="9" t="str">
        <f t="shared" si="92"/>
        <v>ШУ2-ВП (S3)</v>
      </c>
      <c r="C329" s="9" t="s">
        <v>82</v>
      </c>
      <c r="D329" s="9" t="s">
        <v>251</v>
      </c>
      <c r="E329" s="10" t="s">
        <v>252</v>
      </c>
      <c r="F329" s="11">
        <v>0</v>
      </c>
      <c r="G329" s="11">
        <f>F329</f>
        <v>0</v>
      </c>
      <c r="H329" s="11">
        <f t="shared" si="95"/>
        <v>0</v>
      </c>
      <c r="I329" s="8">
        <v>4</v>
      </c>
      <c r="J329" s="8" t="s">
        <v>23</v>
      </c>
      <c r="K329" s="8" t="s">
        <v>751</v>
      </c>
      <c r="L329" s="11">
        <f t="shared" si="96"/>
        <v>0</v>
      </c>
      <c r="M329" s="9" t="s">
        <v>82</v>
      </c>
      <c r="N329" s="8" t="s">
        <v>85</v>
      </c>
      <c r="O329" s="8">
        <f>IFERROR(VLOOKUP(N329,Kurallar!$G$3:$H$22,2,0),0)</f>
        <v>25</v>
      </c>
    </row>
    <row r="330" spans="1:15" hidden="1" x14ac:dyDescent="0.25">
      <c r="A330" s="8">
        <v>31</v>
      </c>
      <c r="B330" s="9" t="str">
        <f t="shared" si="92"/>
        <v>ШУ2-ВП (S3)</v>
      </c>
      <c r="C330" s="9" t="s">
        <v>31</v>
      </c>
      <c r="E330" s="9" t="s">
        <v>32</v>
      </c>
      <c r="F330" s="11"/>
      <c r="G330" s="11">
        <f>ROUND(SUM(H322:H329)*Kurallar!$B$2,2)</f>
        <v>11601.72</v>
      </c>
      <c r="H330" s="11">
        <f>G330*I330</f>
        <v>11601.72</v>
      </c>
      <c r="I330" s="8">
        <v>1</v>
      </c>
      <c r="J330" s="8" t="s">
        <v>19</v>
      </c>
      <c r="K330" s="8" t="s">
        <v>33</v>
      </c>
      <c r="L330" s="11">
        <f>H330*$I$321</f>
        <v>11601.72</v>
      </c>
      <c r="M330" s="9" t="s">
        <v>31</v>
      </c>
    </row>
    <row r="331" spans="1:15" hidden="1" x14ac:dyDescent="0.25">
      <c r="A331" s="8">
        <v>31</v>
      </c>
      <c r="B331" s="9" t="str">
        <f t="shared" si="92"/>
        <v>ШУ2-ВП (S3)</v>
      </c>
      <c r="C331" s="9" t="s">
        <v>34</v>
      </c>
      <c r="E331" s="9" t="s">
        <v>35</v>
      </c>
      <c r="F331" s="11">
        <f>ROUND(I331/60,1)</f>
        <v>8.1</v>
      </c>
      <c r="G331" s="11">
        <f>Kurallar!$B$3</f>
        <v>100</v>
      </c>
      <c r="H331" s="11">
        <f>G331*I331</f>
        <v>48300</v>
      </c>
      <c r="I331" s="8">
        <f>ROUND(SUMPRODUCT(I322:I329,O322:O329)*Kurallar!$B$4,0)</f>
        <v>483</v>
      </c>
      <c r="J331" s="8" t="s">
        <v>36</v>
      </c>
      <c r="K331" s="8" t="s">
        <v>33</v>
      </c>
      <c r="L331" s="11">
        <f>H331*$I$321</f>
        <v>48300</v>
      </c>
      <c r="M331" s="9" t="s">
        <v>34</v>
      </c>
    </row>
    <row r="332" spans="1:15" hidden="1" x14ac:dyDescent="0.25">
      <c r="A332" s="12"/>
      <c r="B332" s="13" t="s">
        <v>320</v>
      </c>
      <c r="C332" s="12"/>
      <c r="D332" s="12"/>
      <c r="E332" s="13" t="s">
        <v>321</v>
      </c>
      <c r="F332" s="12"/>
      <c r="G332" s="12"/>
      <c r="H332" s="14">
        <f>SUBTOTAL(9,H322:H331)</f>
        <v>0</v>
      </c>
      <c r="I332" s="15">
        <v>1</v>
      </c>
      <c r="J332" s="15" t="s">
        <v>19</v>
      </c>
      <c r="K332" s="12"/>
      <c r="L332" s="14">
        <f>SUBTOTAL(9,L322:L331)</f>
        <v>0</v>
      </c>
      <c r="M332" s="12"/>
      <c r="N332" s="12"/>
      <c r="O332" s="12"/>
    </row>
    <row r="333" spans="1:15" hidden="1" x14ac:dyDescent="0.25">
      <c r="A333" s="4">
        <v>32</v>
      </c>
      <c r="B333" s="5" t="s">
        <v>322</v>
      </c>
      <c r="C333" s="6" t="s">
        <v>18</v>
      </c>
      <c r="D333" s="6"/>
      <c r="E333" s="7" t="s">
        <v>322</v>
      </c>
      <c r="F333" s="6"/>
      <c r="G333" s="6"/>
      <c r="H333" s="6"/>
      <c r="I333" s="4">
        <v>1</v>
      </c>
      <c r="J333" s="4" t="s">
        <v>19</v>
      </c>
      <c r="K333" s="6"/>
      <c r="L333" s="6"/>
      <c r="M333" s="6"/>
      <c r="N333" s="6"/>
      <c r="O333" s="6"/>
    </row>
    <row r="334" spans="1:15" hidden="1" x14ac:dyDescent="0.25">
      <c r="A334" s="8">
        <v>32</v>
      </c>
      <c r="B334" s="9" t="str">
        <f t="shared" ref="B334:B337" si="97">B333</f>
        <v>ЩС-5(S3)</v>
      </c>
      <c r="C334" s="9" t="s">
        <v>20</v>
      </c>
      <c r="D334" s="9" t="s">
        <v>323</v>
      </c>
      <c r="E334" s="10" t="s">
        <v>324</v>
      </c>
      <c r="F334" s="11">
        <v>4400</v>
      </c>
      <c r="G334" s="11">
        <f>IF(F334="","",ROUND(F334*VLOOKUP(K334,Kurallar!$D$3:$E$14,2,0),2))</f>
        <v>2640</v>
      </c>
      <c r="H334" s="11">
        <f t="shared" ref="H334" si="98">IF(G334="","",G334*I334)</f>
        <v>2640</v>
      </c>
      <c r="I334" s="8">
        <v>1</v>
      </c>
      <c r="J334" s="8" t="s">
        <v>23</v>
      </c>
      <c r="K334" s="8" t="s">
        <v>24</v>
      </c>
      <c r="L334" s="11">
        <f t="shared" ref="L334" si="99">IF(H334="","",H334*$I$181)</f>
        <v>2640</v>
      </c>
      <c r="M334" s="9" t="s">
        <v>20</v>
      </c>
      <c r="N334" s="8" t="s">
        <v>25</v>
      </c>
      <c r="O334" s="8">
        <f>IFERROR(VLOOKUP(N334,Kurallar!$G$3:$H$22,2,0),0)</f>
        <v>8</v>
      </c>
    </row>
    <row r="335" spans="1:15" hidden="1" x14ac:dyDescent="0.25">
      <c r="A335" s="8">
        <v>32</v>
      </c>
      <c r="B335" s="9" t="str">
        <f t="shared" si="97"/>
        <v>ЩС-5(S3)</v>
      </c>
      <c r="C335" s="9" t="s">
        <v>26</v>
      </c>
      <c r="D335" s="9" t="s">
        <v>265</v>
      </c>
      <c r="E335" s="10" t="s">
        <v>266</v>
      </c>
      <c r="F335" s="11">
        <v>4334</v>
      </c>
      <c r="G335" s="11">
        <f>IF(F335="","",ROUND(F335*VLOOKUP(K335,Kurallar!$D$3:$E$14,2,0),2))</f>
        <v>2600.4</v>
      </c>
      <c r="H335" s="11">
        <f>IF(G335="","",G335*I335)</f>
        <v>2600.4</v>
      </c>
      <c r="I335" s="8">
        <v>1</v>
      </c>
      <c r="J335" s="8" t="s">
        <v>23</v>
      </c>
      <c r="K335" s="8" t="s">
        <v>29</v>
      </c>
      <c r="L335" s="11">
        <f>IF(H335="","",H335*$I$333)</f>
        <v>2600.4</v>
      </c>
      <c r="M335" s="9" t="s">
        <v>26</v>
      </c>
      <c r="N335" s="8" t="s">
        <v>30</v>
      </c>
      <c r="O335" s="8">
        <f>IFERROR(VLOOKUP(N335,Kurallar!$G$3:$H$22,2,0),0)</f>
        <v>30</v>
      </c>
    </row>
    <row r="336" spans="1:15" hidden="1" x14ac:dyDescent="0.25">
      <c r="A336" s="8">
        <v>32</v>
      </c>
      <c r="B336" s="9" t="str">
        <f t="shared" si="97"/>
        <v>ЩС-5(S3)</v>
      </c>
      <c r="C336" s="9" t="s">
        <v>31</v>
      </c>
      <c r="E336" s="9" t="s">
        <v>32</v>
      </c>
      <c r="F336" s="11"/>
      <c r="G336" s="11">
        <f>ROUND(SUM(H334:H335)*Kurallar!$B$2,2)</f>
        <v>628.85</v>
      </c>
      <c r="H336" s="11">
        <f>G336*I336</f>
        <v>628.85</v>
      </c>
      <c r="I336" s="8">
        <v>1</v>
      </c>
      <c r="J336" s="8" t="s">
        <v>19</v>
      </c>
      <c r="K336" s="8" t="s">
        <v>33</v>
      </c>
      <c r="L336" s="11">
        <f>H336*$I$333</f>
        <v>628.85</v>
      </c>
      <c r="M336" s="9" t="s">
        <v>31</v>
      </c>
    </row>
    <row r="337" spans="1:15" hidden="1" x14ac:dyDescent="0.25">
      <c r="A337" s="8">
        <v>32</v>
      </c>
      <c r="B337" s="9" t="str">
        <f t="shared" si="97"/>
        <v>ЩС-5(S3)</v>
      </c>
      <c r="C337" s="9" t="s">
        <v>34</v>
      </c>
      <c r="E337" s="9" t="s">
        <v>35</v>
      </c>
      <c r="F337" s="11">
        <f>ROUND(I337/60,1)</f>
        <v>0.7</v>
      </c>
      <c r="G337" s="11">
        <f>Kurallar!$B$3</f>
        <v>100</v>
      </c>
      <c r="H337" s="11">
        <f>G337*I337</f>
        <v>4400</v>
      </c>
      <c r="I337" s="8">
        <f>ROUND(SUMPRODUCT(I334:I335,O334:O335)*Kurallar!$B$4,0)</f>
        <v>44</v>
      </c>
      <c r="J337" s="8" t="s">
        <v>36</v>
      </c>
      <c r="K337" s="8" t="s">
        <v>33</v>
      </c>
      <c r="L337" s="11">
        <f>H337*$I$333</f>
        <v>4400</v>
      </c>
      <c r="M337" s="9" t="s">
        <v>34</v>
      </c>
    </row>
    <row r="338" spans="1:15" hidden="1" x14ac:dyDescent="0.25">
      <c r="A338" s="12"/>
      <c r="B338" s="13" t="s">
        <v>325</v>
      </c>
      <c r="C338" s="12"/>
      <c r="D338" s="12"/>
      <c r="E338" s="13" t="s">
        <v>326</v>
      </c>
      <c r="F338" s="12"/>
      <c r="G338" s="12"/>
      <c r="H338" s="14">
        <f>SUBTOTAL(9,H334:H337)</f>
        <v>0</v>
      </c>
      <c r="I338" s="15">
        <v>1</v>
      </c>
      <c r="J338" s="15" t="s">
        <v>19</v>
      </c>
      <c r="K338" s="12"/>
      <c r="L338" s="14">
        <f>SUBTOTAL(9,L334:L337)</f>
        <v>0</v>
      </c>
      <c r="M338" s="12"/>
      <c r="N338" s="12"/>
      <c r="O338" s="12"/>
    </row>
    <row r="339" spans="1:15" hidden="1" x14ac:dyDescent="0.25">
      <c r="A339" s="4">
        <v>33</v>
      </c>
      <c r="B339" s="5" t="s">
        <v>327</v>
      </c>
      <c r="C339" s="6" t="s">
        <v>18</v>
      </c>
      <c r="D339" s="6"/>
      <c r="E339" s="7" t="s">
        <v>327</v>
      </c>
      <c r="F339" s="6"/>
      <c r="G339" s="6"/>
      <c r="H339" s="6"/>
      <c r="I339" s="4">
        <v>1</v>
      </c>
      <c r="J339" s="4" t="s">
        <v>19</v>
      </c>
      <c r="K339" s="6"/>
      <c r="L339" s="6"/>
      <c r="M339" s="6"/>
      <c r="N339" s="6"/>
      <c r="O339" s="6"/>
    </row>
    <row r="340" spans="1:15" hidden="1" x14ac:dyDescent="0.25">
      <c r="A340" s="8">
        <v>33</v>
      </c>
      <c r="B340" s="9" t="str">
        <f t="shared" ref="B340:B343" si="100">B339</f>
        <v>ЩС-6(S3)</v>
      </c>
      <c r="C340" s="9" t="s">
        <v>20</v>
      </c>
      <c r="D340" s="9" t="s">
        <v>323</v>
      </c>
      <c r="E340" s="10" t="s">
        <v>324</v>
      </c>
      <c r="F340" s="11">
        <v>4400</v>
      </c>
      <c r="G340" s="11">
        <f>IF(F340="","",ROUND(F340*VLOOKUP(K340,Kurallar!$D$3:$E$14,2,0),2))</f>
        <v>2640</v>
      </c>
      <c r="H340" s="11">
        <f t="shared" ref="H340" si="101">IF(G340="","",G340*I340)</f>
        <v>2640</v>
      </c>
      <c r="I340" s="8">
        <v>1</v>
      </c>
      <c r="J340" s="8" t="s">
        <v>23</v>
      </c>
      <c r="K340" s="8" t="s">
        <v>24</v>
      </c>
      <c r="L340" s="11">
        <f t="shared" ref="L340" si="102">IF(H340="","",H340*$I$181)</f>
        <v>2640</v>
      </c>
      <c r="M340" s="9" t="s">
        <v>20</v>
      </c>
      <c r="N340" s="8" t="s">
        <v>25</v>
      </c>
      <c r="O340" s="8">
        <f>IFERROR(VLOOKUP(N340,Kurallar!$G$3:$H$22,2,0),0)</f>
        <v>8</v>
      </c>
    </row>
    <row r="341" spans="1:15" hidden="1" x14ac:dyDescent="0.25">
      <c r="A341" s="8">
        <v>33</v>
      </c>
      <c r="B341" s="9" t="str">
        <f t="shared" si="100"/>
        <v>ЩС-6(S3)</v>
      </c>
      <c r="C341" s="9" t="s">
        <v>26</v>
      </c>
      <c r="D341" s="9" t="s">
        <v>27</v>
      </c>
      <c r="E341" s="10" t="s">
        <v>28</v>
      </c>
      <c r="F341" s="11">
        <v>4439</v>
      </c>
      <c r="G341" s="11">
        <f>IF(F341="","",ROUND(F341*VLOOKUP(K341,Kurallar!$D$3:$E$14,2,0),2))</f>
        <v>2663.4</v>
      </c>
      <c r="H341" s="11">
        <f>IF(G341="","",G341*I341)</f>
        <v>2663.4</v>
      </c>
      <c r="I341" s="8">
        <v>1</v>
      </c>
      <c r="J341" s="8" t="s">
        <v>23</v>
      </c>
      <c r="K341" s="8" t="s">
        <v>29</v>
      </c>
      <c r="L341" s="11">
        <f>IF(H341="","",H341*$I$339)</f>
        <v>2663.4</v>
      </c>
      <c r="M341" s="9" t="s">
        <v>26</v>
      </c>
      <c r="N341" s="8" t="s">
        <v>30</v>
      </c>
      <c r="O341" s="8">
        <f>IFERROR(VLOOKUP(N341,Kurallar!$G$3:$H$22,2,0),0)</f>
        <v>30</v>
      </c>
    </row>
    <row r="342" spans="1:15" hidden="1" x14ac:dyDescent="0.25">
      <c r="A342" s="8">
        <v>33</v>
      </c>
      <c r="B342" t="str">
        <f t="shared" si="100"/>
        <v>ЩС-6(S3)</v>
      </c>
      <c r="C342" s="9" t="s">
        <v>31</v>
      </c>
      <c r="E342" s="9" t="s">
        <v>32</v>
      </c>
      <c r="F342" s="11"/>
      <c r="G342" s="11">
        <f>ROUND(SUM(H340:H341)*Kurallar!$B$2,2)</f>
        <v>636.41</v>
      </c>
      <c r="H342" s="11">
        <f>G342*I342</f>
        <v>636.41</v>
      </c>
      <c r="I342" s="8">
        <v>1</v>
      </c>
      <c r="J342" s="8" t="s">
        <v>19</v>
      </c>
      <c r="K342" s="8" t="s">
        <v>33</v>
      </c>
      <c r="L342" s="11">
        <f>H342*$I$339</f>
        <v>636.41</v>
      </c>
      <c r="M342" s="9" t="s">
        <v>31</v>
      </c>
    </row>
    <row r="343" spans="1:15" hidden="1" x14ac:dyDescent="0.25">
      <c r="A343" s="8">
        <v>33</v>
      </c>
      <c r="B343" t="str">
        <f t="shared" si="100"/>
        <v>ЩС-6(S3)</v>
      </c>
      <c r="C343" s="9" t="s">
        <v>34</v>
      </c>
      <c r="E343" s="9" t="s">
        <v>35</v>
      </c>
      <c r="F343" s="11">
        <f>ROUND(I343/60,1)</f>
        <v>0.7</v>
      </c>
      <c r="G343" s="11">
        <f>Kurallar!$B$3</f>
        <v>100</v>
      </c>
      <c r="H343" s="11">
        <f>G343*I343</f>
        <v>4400</v>
      </c>
      <c r="I343" s="8">
        <f>ROUND(SUMPRODUCT(I340:I341,O340:O341)*Kurallar!$B$4,0)</f>
        <v>44</v>
      </c>
      <c r="J343" s="8" t="s">
        <v>36</v>
      </c>
      <c r="K343" s="8" t="s">
        <v>33</v>
      </c>
      <c r="L343" s="11">
        <f>H343*$I$339</f>
        <v>4400</v>
      </c>
      <c r="M343" s="9" t="s">
        <v>34</v>
      </c>
    </row>
    <row r="344" spans="1:15" hidden="1" x14ac:dyDescent="0.25">
      <c r="A344" s="12"/>
      <c r="B344" s="13" t="s">
        <v>328</v>
      </c>
      <c r="C344" s="12"/>
      <c r="D344" s="12"/>
      <c r="E344" s="13" t="s">
        <v>329</v>
      </c>
      <c r="F344" s="12"/>
      <c r="G344" s="12"/>
      <c r="H344" s="14">
        <f>SUBTOTAL(9,H340:H343)</f>
        <v>0</v>
      </c>
      <c r="I344" s="15">
        <v>1</v>
      </c>
      <c r="J344" s="15" t="s">
        <v>19</v>
      </c>
      <c r="K344" s="12"/>
      <c r="L344" s="14">
        <f>SUBTOTAL(9,L340:L343)</f>
        <v>0</v>
      </c>
      <c r="M344" s="12"/>
      <c r="N344" s="12"/>
      <c r="O344" s="12"/>
    </row>
    <row r="345" spans="1:15" hidden="1" x14ac:dyDescent="0.25">
      <c r="A345" s="4">
        <v>34</v>
      </c>
      <c r="B345" s="5" t="s">
        <v>330</v>
      </c>
      <c r="C345" s="6" t="s">
        <v>18</v>
      </c>
      <c r="D345" s="6"/>
      <c r="E345" s="7" t="s">
        <v>330</v>
      </c>
      <c r="F345" s="6"/>
      <c r="G345" s="6"/>
      <c r="H345" s="6"/>
      <c r="I345" s="4">
        <v>1</v>
      </c>
      <c r="J345" s="4" t="s">
        <v>19</v>
      </c>
      <c r="K345" s="6"/>
      <c r="L345" s="6"/>
      <c r="M345" s="6"/>
      <c r="N345" s="6"/>
      <c r="O345" s="6"/>
    </row>
    <row r="346" spans="1:15" hidden="1" x14ac:dyDescent="0.25">
      <c r="A346" s="8">
        <v>34</v>
      </c>
      <c r="B346" s="9" t="str">
        <f t="shared" ref="B346:B351" si="103">B345</f>
        <v>ЩС-м(S3)</v>
      </c>
      <c r="C346" s="9" t="s">
        <v>20</v>
      </c>
      <c r="D346" s="9" t="s">
        <v>331</v>
      </c>
      <c r="E346" s="10" t="s">
        <v>332</v>
      </c>
      <c r="F346" s="11">
        <v>9825</v>
      </c>
      <c r="G346" s="11">
        <f>IF(F346="","",ROUND(F346*VLOOKUP(K346,Kurallar!$D$3:$E$14,2,0),2))</f>
        <v>5895</v>
      </c>
      <c r="H346" s="11">
        <f t="shared" ref="H346" si="104">IF(G346="","",G346*I346)</f>
        <v>5895</v>
      </c>
      <c r="I346" s="8">
        <v>1</v>
      </c>
      <c r="J346" s="8" t="s">
        <v>23</v>
      </c>
      <c r="K346" s="8" t="s">
        <v>24</v>
      </c>
      <c r="L346" s="11">
        <f t="shared" ref="L346" si="105">IF(H346="","",H346*$I$181)</f>
        <v>5895</v>
      </c>
      <c r="M346" s="9" t="s">
        <v>20</v>
      </c>
      <c r="N346" s="8" t="s">
        <v>25</v>
      </c>
      <c r="O346" s="8">
        <f>IFERROR(VLOOKUP(N346,Kurallar!$G$3:$H$22,2,0),0)</f>
        <v>8</v>
      </c>
    </row>
    <row r="347" spans="1:15" hidden="1" x14ac:dyDescent="0.25">
      <c r="A347" s="8">
        <v>34</v>
      </c>
      <c r="B347" s="9" t="str">
        <f t="shared" si="103"/>
        <v>ЩС-м(S3)</v>
      </c>
      <c r="C347" s="9" t="s">
        <v>26</v>
      </c>
      <c r="D347" s="9" t="s">
        <v>48</v>
      </c>
      <c r="E347" s="10" t="s">
        <v>49</v>
      </c>
      <c r="F347" s="11">
        <v>3372</v>
      </c>
      <c r="G347" s="11">
        <f>IF(F347="","",ROUND(F347*VLOOKUP(K347,Kurallar!$D$3:$E$14,2,0),2))</f>
        <v>2023.2</v>
      </c>
      <c r="H347" s="11">
        <f>IF(G347="","",G347*I347)</f>
        <v>2023.2</v>
      </c>
      <c r="I347" s="8">
        <v>1</v>
      </c>
      <c r="J347" s="8" t="s">
        <v>23</v>
      </c>
      <c r="K347" s="8" t="s">
        <v>29</v>
      </c>
      <c r="L347" s="11">
        <f>IF(H347="","",H347*$I$345)</f>
        <v>2023.2</v>
      </c>
      <c r="M347" s="9" t="s">
        <v>26</v>
      </c>
      <c r="N347" s="8" t="s">
        <v>42</v>
      </c>
      <c r="O347" s="8">
        <f>IFERROR(VLOOKUP(N347,Kurallar!$G$3:$H$22,2,0),0)</f>
        <v>15</v>
      </c>
    </row>
    <row r="348" spans="1:15" hidden="1" x14ac:dyDescent="0.25">
      <c r="A348" s="8">
        <v>34</v>
      </c>
      <c r="B348" s="9" t="str">
        <f t="shared" si="103"/>
        <v>ЩС-м(S3)</v>
      </c>
      <c r="C348" s="9" t="s">
        <v>50</v>
      </c>
      <c r="D348" s="9" t="s">
        <v>274</v>
      </c>
      <c r="E348" s="10" t="s">
        <v>275</v>
      </c>
      <c r="F348" s="11">
        <v>5104</v>
      </c>
      <c r="G348" s="11">
        <f>IF(F348="","",ROUND(F348*VLOOKUP(K348,Kurallar!$D$3:$E$14,2,0),2))</f>
        <v>3062.4</v>
      </c>
      <c r="H348" s="11">
        <f>IF(G348="","",G348*I348)</f>
        <v>3062.4</v>
      </c>
      <c r="I348" s="8">
        <v>1</v>
      </c>
      <c r="J348" s="8" t="s">
        <v>23</v>
      </c>
      <c r="K348" s="8" t="s">
        <v>29</v>
      </c>
      <c r="L348" s="11">
        <f>IF(H348="","",H348*$I$345)</f>
        <v>3062.4</v>
      </c>
      <c r="M348" s="9" t="s">
        <v>50</v>
      </c>
      <c r="N348" s="8" t="s">
        <v>53</v>
      </c>
      <c r="O348" s="8">
        <f>IFERROR(VLOOKUP(N348,Kurallar!$G$3:$H$22,2,0),0)</f>
        <v>16</v>
      </c>
    </row>
    <row r="349" spans="1:15" hidden="1" x14ac:dyDescent="0.25">
      <c r="A349" s="8">
        <v>34</v>
      </c>
      <c r="B349" s="9" t="str">
        <f t="shared" si="103"/>
        <v>ЩС-м(S3)</v>
      </c>
      <c r="C349" s="9" t="s">
        <v>54</v>
      </c>
      <c r="D349" s="9" t="s">
        <v>93</v>
      </c>
      <c r="E349" s="10" t="s">
        <v>94</v>
      </c>
      <c r="F349" s="11">
        <v>783</v>
      </c>
      <c r="G349" s="11">
        <f>IF(F349="","",ROUND(F349*VLOOKUP(K349,Kurallar!$D$3:$E$14,2,0),2))</f>
        <v>469.8</v>
      </c>
      <c r="H349" s="11">
        <f>IF(G349="","",G349*I349)</f>
        <v>469.8</v>
      </c>
      <c r="I349" s="8">
        <v>1</v>
      </c>
      <c r="J349" s="8" t="s">
        <v>23</v>
      </c>
      <c r="K349" s="8" t="s">
        <v>29</v>
      </c>
      <c r="L349" s="11">
        <f>IF(H349="","",H349*$I$345)</f>
        <v>469.8</v>
      </c>
      <c r="M349" s="9" t="s">
        <v>54</v>
      </c>
      <c r="N349" s="8" t="s">
        <v>57</v>
      </c>
      <c r="O349" s="8">
        <f>IFERROR(VLOOKUP(N349,Kurallar!$G$3:$H$22,2,0),0)</f>
        <v>3</v>
      </c>
    </row>
    <row r="350" spans="1:15" hidden="1" x14ac:dyDescent="0.25">
      <c r="A350" s="8">
        <v>34</v>
      </c>
      <c r="B350" t="str">
        <f t="shared" si="103"/>
        <v>ЩС-м(S3)</v>
      </c>
      <c r="C350" s="9" t="s">
        <v>31</v>
      </c>
      <c r="E350" s="9" t="s">
        <v>32</v>
      </c>
      <c r="F350" s="11"/>
      <c r="G350" s="11">
        <f>ROUND(SUM(H346:H349)*Kurallar!$B$2,2)</f>
        <v>1374.05</v>
      </c>
      <c r="H350" s="11">
        <f>G350*I350</f>
        <v>1374.05</v>
      </c>
      <c r="I350" s="8">
        <v>1</v>
      </c>
      <c r="J350" s="8" t="s">
        <v>19</v>
      </c>
      <c r="K350" s="8" t="s">
        <v>33</v>
      </c>
      <c r="L350" s="11">
        <f>H350*$I$345</f>
        <v>1374.05</v>
      </c>
      <c r="M350" s="9" t="s">
        <v>31</v>
      </c>
    </row>
    <row r="351" spans="1:15" hidden="1" x14ac:dyDescent="0.25">
      <c r="A351" s="8">
        <v>34</v>
      </c>
      <c r="B351" t="str">
        <f t="shared" si="103"/>
        <v>ЩС-м(S3)</v>
      </c>
      <c r="C351" s="9" t="s">
        <v>34</v>
      </c>
      <c r="E351" s="9" t="s">
        <v>35</v>
      </c>
      <c r="F351" s="11">
        <f>ROUND(I351/60,1)</f>
        <v>0.8</v>
      </c>
      <c r="G351" s="11">
        <f>Kurallar!$B$3</f>
        <v>100</v>
      </c>
      <c r="H351" s="11">
        <f>G351*I351</f>
        <v>4800</v>
      </c>
      <c r="I351" s="8">
        <f>ROUND(SUMPRODUCT(I346:I349,O346:O349)*Kurallar!$B$4,0)</f>
        <v>48</v>
      </c>
      <c r="J351" s="8" t="s">
        <v>36</v>
      </c>
      <c r="K351" s="8" t="s">
        <v>33</v>
      </c>
      <c r="L351" s="11">
        <f>H351*$I$345</f>
        <v>4800</v>
      </c>
      <c r="M351" s="9" t="s">
        <v>34</v>
      </c>
    </row>
    <row r="352" spans="1:15" hidden="1" x14ac:dyDescent="0.25">
      <c r="A352" s="12"/>
      <c r="B352" s="13" t="s">
        <v>333</v>
      </c>
      <c r="C352" s="12"/>
      <c r="D352" s="12"/>
      <c r="E352" s="13" t="s">
        <v>334</v>
      </c>
      <c r="F352" s="12"/>
      <c r="G352" s="12"/>
      <c r="H352" s="14">
        <f>SUBTOTAL(9,H346:H351)</f>
        <v>0</v>
      </c>
      <c r="I352" s="15">
        <v>1</v>
      </c>
      <c r="J352" s="15" t="s">
        <v>19</v>
      </c>
      <c r="K352" s="12"/>
      <c r="L352" s="14">
        <f>SUBTOTAL(9,L346:L351)</f>
        <v>0</v>
      </c>
      <c r="M352" s="12"/>
      <c r="N352" s="12"/>
      <c r="O352" s="12"/>
    </row>
    <row r="353" spans="1:15" hidden="1" x14ac:dyDescent="0.25">
      <c r="A353" s="4">
        <v>35</v>
      </c>
      <c r="B353" s="5" t="s">
        <v>335</v>
      </c>
      <c r="C353" s="6" t="s">
        <v>18</v>
      </c>
      <c r="D353" s="6"/>
      <c r="E353" s="7" t="s">
        <v>335</v>
      </c>
      <c r="F353" s="6"/>
      <c r="G353" s="6"/>
      <c r="H353" s="6"/>
      <c r="I353" s="4">
        <v>1</v>
      </c>
      <c r="J353" s="4" t="s">
        <v>19</v>
      </c>
      <c r="K353" s="6"/>
      <c r="L353" s="6"/>
      <c r="M353" s="6"/>
      <c r="N353" s="6"/>
      <c r="O353" s="6"/>
    </row>
    <row r="354" spans="1:15" hidden="1" x14ac:dyDescent="0.25">
      <c r="A354" s="8">
        <v>35</v>
      </c>
      <c r="B354" s="9" t="str">
        <f t="shared" ref="B354:B359" si="106">B353</f>
        <v>ЩСВж_S3</v>
      </c>
      <c r="C354" s="9" t="s">
        <v>20</v>
      </c>
      <c r="D354" s="9" t="s">
        <v>153</v>
      </c>
      <c r="E354" s="10" t="s">
        <v>154</v>
      </c>
      <c r="F354" s="11">
        <v>10270</v>
      </c>
      <c r="G354" s="11">
        <f>IF(F354="","",ROUND(F354*VLOOKUP(K354,Kurallar!$D$3:$E$14,2,0),2))</f>
        <v>6162</v>
      </c>
      <c r="H354" s="11">
        <f t="shared" ref="H354" si="107">IF(G354="","",G354*I354)</f>
        <v>6162</v>
      </c>
      <c r="I354" s="8">
        <v>1</v>
      </c>
      <c r="J354" s="8" t="s">
        <v>23</v>
      </c>
      <c r="K354" s="8" t="s">
        <v>24</v>
      </c>
      <c r="L354" s="11">
        <f t="shared" ref="L354" si="108">IF(H354="","",H354*$I$181)</f>
        <v>6162</v>
      </c>
      <c r="M354" s="9" t="s">
        <v>20</v>
      </c>
      <c r="N354" s="8" t="s">
        <v>25</v>
      </c>
      <c r="O354" s="8">
        <f>IFERROR(VLOOKUP(N354,Kurallar!$G$3:$H$22,2,0),0)</f>
        <v>8</v>
      </c>
    </row>
    <row r="355" spans="1:15" hidden="1" x14ac:dyDescent="0.25">
      <c r="A355" s="8">
        <v>35</v>
      </c>
      <c r="B355" s="9" t="str">
        <f t="shared" si="106"/>
        <v>ЩСВж_S3</v>
      </c>
      <c r="C355" s="9" t="s">
        <v>54</v>
      </c>
      <c r="D355" s="9" t="s">
        <v>163</v>
      </c>
      <c r="E355" s="10" t="s">
        <v>164</v>
      </c>
      <c r="F355" s="11">
        <v>2447</v>
      </c>
      <c r="G355" s="11">
        <f>IF(F355="","",ROUND(F355*VLOOKUP(K355,Kurallar!$D$3:$E$14,2,0),2))</f>
        <v>1468.2</v>
      </c>
      <c r="H355" s="11">
        <f>IF(G355="","",G355*I355)</f>
        <v>1468.2</v>
      </c>
      <c r="I355" s="8">
        <v>1</v>
      </c>
      <c r="J355" s="8" t="s">
        <v>23</v>
      </c>
      <c r="K355" s="8" t="s">
        <v>29</v>
      </c>
      <c r="L355" s="11">
        <f>IF(H355="","",H355*$I$353)</f>
        <v>1468.2</v>
      </c>
      <c r="M355" s="9" t="s">
        <v>54</v>
      </c>
      <c r="N355" s="8" t="s">
        <v>113</v>
      </c>
      <c r="O355" s="8">
        <f>IFERROR(VLOOKUP(N355,Kurallar!$G$3:$H$22,2,0),0)</f>
        <v>10</v>
      </c>
    </row>
    <row r="356" spans="1:15" hidden="1" x14ac:dyDescent="0.25">
      <c r="A356" s="8">
        <v>35</v>
      </c>
      <c r="B356" s="9" t="str">
        <f t="shared" si="106"/>
        <v>ЩСВж_S3</v>
      </c>
      <c r="C356" s="9" t="s">
        <v>62</v>
      </c>
      <c r="D356" s="9" t="s">
        <v>336</v>
      </c>
      <c r="E356" s="10" t="s">
        <v>337</v>
      </c>
      <c r="F356" s="11">
        <v>5354</v>
      </c>
      <c r="G356" s="11">
        <f>IF(F356="","",ROUND(F356*VLOOKUP(K356,Kurallar!$D$3:$E$14,2,0),2))</f>
        <v>3212.4</v>
      </c>
      <c r="H356" s="11">
        <f>IF(G356="","",G356*I356)</f>
        <v>3212.4</v>
      </c>
      <c r="I356" s="8">
        <v>1</v>
      </c>
      <c r="J356" s="8" t="s">
        <v>23</v>
      </c>
      <c r="K356" s="8" t="s">
        <v>29</v>
      </c>
      <c r="L356" s="11">
        <f>IF(H356="","",H356*$I$353)</f>
        <v>3212.4</v>
      </c>
      <c r="M356" s="9" t="s">
        <v>62</v>
      </c>
      <c r="N356" s="8" t="s">
        <v>66</v>
      </c>
      <c r="O356" s="8">
        <f>IFERROR(VLOOKUP(N356,Kurallar!$G$3:$H$22,2,0),0)</f>
        <v>5</v>
      </c>
    </row>
    <row r="357" spans="1:15" hidden="1" x14ac:dyDescent="0.25">
      <c r="A357" s="8">
        <v>35</v>
      </c>
      <c r="B357" s="9" t="str">
        <f t="shared" si="106"/>
        <v>ЩСВж_S3</v>
      </c>
      <c r="C357" s="9" t="s">
        <v>54</v>
      </c>
      <c r="D357" s="9" t="s">
        <v>55</v>
      </c>
      <c r="E357" s="10" t="s">
        <v>56</v>
      </c>
      <c r="F357" s="11">
        <v>975</v>
      </c>
      <c r="G357" s="11">
        <f>IF(F357="","",ROUND(F357*VLOOKUP(K357,Kurallar!$D$3:$E$14,2,0),2))</f>
        <v>585</v>
      </c>
      <c r="H357" s="11">
        <f>IF(G357="","",G357*I357)</f>
        <v>2340</v>
      </c>
      <c r="I357" s="8">
        <v>4</v>
      </c>
      <c r="J357" s="8" t="s">
        <v>23</v>
      </c>
      <c r="K357" s="8" t="s">
        <v>29</v>
      </c>
      <c r="L357" s="11">
        <f>IF(H357="","",H357*$I$353)</f>
        <v>2340</v>
      </c>
      <c r="M357" s="9" t="s">
        <v>54</v>
      </c>
      <c r="N357" s="8" t="s">
        <v>57</v>
      </c>
      <c r="O357" s="8">
        <f>IFERROR(VLOOKUP(N357,Kurallar!$G$3:$H$22,2,0),0)</f>
        <v>3</v>
      </c>
    </row>
    <row r="358" spans="1:15" hidden="1" x14ac:dyDescent="0.25">
      <c r="A358" s="8">
        <v>35</v>
      </c>
      <c r="B358" t="str">
        <f t="shared" si="106"/>
        <v>ЩСВж_S3</v>
      </c>
      <c r="C358" s="9" t="s">
        <v>31</v>
      </c>
      <c r="E358" s="9" t="s">
        <v>32</v>
      </c>
      <c r="F358" s="11"/>
      <c r="G358" s="11">
        <f>ROUND(SUM(H354:H357)*Kurallar!$B$2,2)</f>
        <v>1581.91</v>
      </c>
      <c r="H358" s="11">
        <f>G358*I358</f>
        <v>1581.91</v>
      </c>
      <c r="I358" s="8">
        <v>1</v>
      </c>
      <c r="J358" s="8" t="s">
        <v>19</v>
      </c>
      <c r="K358" s="8" t="s">
        <v>33</v>
      </c>
      <c r="L358" s="11">
        <f>H358*$I$353</f>
        <v>1581.91</v>
      </c>
      <c r="M358" s="9" t="s">
        <v>31</v>
      </c>
    </row>
    <row r="359" spans="1:15" hidden="1" x14ac:dyDescent="0.25">
      <c r="A359" s="8">
        <v>35</v>
      </c>
      <c r="B359" t="str">
        <f t="shared" si="106"/>
        <v>ЩСВж_S3</v>
      </c>
      <c r="C359" s="9" t="s">
        <v>34</v>
      </c>
      <c r="E359" s="9" t="s">
        <v>35</v>
      </c>
      <c r="F359" s="11">
        <f>ROUND(I359/60,1)</f>
        <v>0.7</v>
      </c>
      <c r="G359" s="11">
        <f>Kurallar!$B$3</f>
        <v>100</v>
      </c>
      <c r="H359" s="11">
        <f>G359*I359</f>
        <v>4000</v>
      </c>
      <c r="I359" s="8">
        <f>ROUND(SUMPRODUCT(I354:I357,O354:O357)*Kurallar!$B$4,0)</f>
        <v>40</v>
      </c>
      <c r="J359" s="8" t="s">
        <v>36</v>
      </c>
      <c r="K359" s="8" t="s">
        <v>33</v>
      </c>
      <c r="L359" s="11">
        <f>H359*$I$353</f>
        <v>4000</v>
      </c>
      <c r="M359" s="9" t="s">
        <v>34</v>
      </c>
    </row>
    <row r="360" spans="1:15" hidden="1" x14ac:dyDescent="0.25">
      <c r="A360" s="12"/>
      <c r="B360" s="13" t="s">
        <v>338</v>
      </c>
      <c r="C360" s="12"/>
      <c r="D360" s="12"/>
      <c r="E360" s="13" t="s">
        <v>339</v>
      </c>
      <c r="F360" s="12"/>
      <c r="G360" s="12"/>
      <c r="H360" s="14">
        <f>SUBTOTAL(9,H354:H359)</f>
        <v>0</v>
      </c>
      <c r="I360" s="15">
        <v>1</v>
      </c>
      <c r="J360" s="15" t="s">
        <v>19</v>
      </c>
      <c r="K360" s="12"/>
      <c r="L360" s="14">
        <f>SUBTOTAL(9,L354:L359)</f>
        <v>0</v>
      </c>
      <c r="M360" s="12"/>
      <c r="N360" s="12"/>
      <c r="O360" s="12"/>
    </row>
    <row r="361" spans="1:15" hidden="1" x14ac:dyDescent="0.25">
      <c r="A361" s="4">
        <v>36</v>
      </c>
      <c r="B361" s="5" t="s">
        <v>340</v>
      </c>
      <c r="C361" s="6" t="s">
        <v>18</v>
      </c>
      <c r="D361" s="6"/>
      <c r="E361" s="7" t="s">
        <v>340</v>
      </c>
      <c r="F361" s="6"/>
      <c r="G361" s="6"/>
      <c r="H361" s="6"/>
      <c r="I361" s="4">
        <v>1</v>
      </c>
      <c r="J361" s="4" t="s">
        <v>19</v>
      </c>
      <c r="K361" s="6"/>
      <c r="L361" s="6"/>
      <c r="M361" s="6"/>
      <c r="N361" s="6"/>
      <c r="O361" s="6"/>
    </row>
    <row r="362" spans="1:15" hidden="1" x14ac:dyDescent="0.25">
      <c r="A362" s="8">
        <v>36</v>
      </c>
      <c r="B362" s="9" t="str">
        <f t="shared" ref="B362:B370" si="109">B361</f>
        <v>ЩОВ_S3</v>
      </c>
      <c r="C362" s="9" t="s">
        <v>20</v>
      </c>
      <c r="D362" s="9" t="s">
        <v>46</v>
      </c>
      <c r="E362" s="10" t="s">
        <v>47</v>
      </c>
      <c r="F362" s="11">
        <v>9620</v>
      </c>
      <c r="G362" s="11">
        <f>IF(F362="","",ROUND(F362*VLOOKUP(K362,Kurallar!$D$3:$E$14,2,0),2))</f>
        <v>5772</v>
      </c>
      <c r="H362" s="11">
        <f t="shared" ref="H362" si="110">IF(G362="","",G362*I362)</f>
        <v>5772</v>
      </c>
      <c r="I362" s="8">
        <v>1</v>
      </c>
      <c r="J362" s="8" t="s">
        <v>23</v>
      </c>
      <c r="K362" s="8" t="s">
        <v>24</v>
      </c>
      <c r="L362" s="11">
        <f t="shared" ref="L362" si="111">IF(H362="","",H362*$I$181)</f>
        <v>5772</v>
      </c>
      <c r="M362" s="9" t="s">
        <v>20</v>
      </c>
      <c r="N362" s="8" t="s">
        <v>25</v>
      </c>
      <c r="O362" s="8">
        <f>IFERROR(VLOOKUP(N362,Kurallar!$G$3:$H$22,2,0),0)</f>
        <v>8</v>
      </c>
    </row>
    <row r="363" spans="1:15" hidden="1" x14ac:dyDescent="0.25">
      <c r="A363" s="8">
        <v>36</v>
      </c>
      <c r="B363" s="9" t="str">
        <f t="shared" si="109"/>
        <v>ЩОВ_S3</v>
      </c>
      <c r="C363" s="9" t="s">
        <v>26</v>
      </c>
      <c r="D363" s="9" t="s">
        <v>48</v>
      </c>
      <c r="E363" s="10" t="s">
        <v>49</v>
      </c>
      <c r="F363" s="11">
        <v>3372</v>
      </c>
      <c r="G363" s="11">
        <f>IF(F363="","",ROUND(F363*VLOOKUP(K363,Kurallar!$D$3:$E$14,2,0),2))</f>
        <v>2023.2</v>
      </c>
      <c r="H363" s="11">
        <f t="shared" ref="H363:H368" si="112">IF(G363="","",G363*I363)</f>
        <v>2023.2</v>
      </c>
      <c r="I363" s="8">
        <v>1</v>
      </c>
      <c r="J363" s="8" t="s">
        <v>23</v>
      </c>
      <c r="K363" s="8" t="s">
        <v>29</v>
      </c>
      <c r="L363" s="11">
        <f t="shared" ref="L363:L368" si="113">IF(H363="","",H363*$I$361)</f>
        <v>2023.2</v>
      </c>
      <c r="M363" s="9" t="s">
        <v>26</v>
      </c>
      <c r="N363" s="8" t="s">
        <v>42</v>
      </c>
      <c r="O363" s="8">
        <f>IFERROR(VLOOKUP(N363,Kurallar!$G$3:$H$22,2,0),0)</f>
        <v>15</v>
      </c>
    </row>
    <row r="364" spans="1:15" hidden="1" x14ac:dyDescent="0.25">
      <c r="A364" s="8">
        <v>36</v>
      </c>
      <c r="B364" s="9" t="str">
        <f t="shared" si="109"/>
        <v>ЩОВ_S3</v>
      </c>
      <c r="C364" s="9" t="s">
        <v>50</v>
      </c>
      <c r="D364" s="9" t="s">
        <v>51</v>
      </c>
      <c r="E364" s="10" t="s">
        <v>52</v>
      </c>
      <c r="F364" s="11">
        <v>5719</v>
      </c>
      <c r="G364" s="11">
        <f>IF(F364="","",ROUND(F364*VLOOKUP(K364,Kurallar!$D$3:$E$14,2,0),2))</f>
        <v>3431.4</v>
      </c>
      <c r="H364" s="11">
        <f t="shared" si="112"/>
        <v>6862.8</v>
      </c>
      <c r="I364" s="8">
        <v>2</v>
      </c>
      <c r="J364" s="8" t="s">
        <v>23</v>
      </c>
      <c r="K364" s="8" t="s">
        <v>29</v>
      </c>
      <c r="L364" s="11">
        <f t="shared" si="113"/>
        <v>6862.8</v>
      </c>
      <c r="M364" s="9" t="s">
        <v>50</v>
      </c>
      <c r="N364" s="8" t="s">
        <v>53</v>
      </c>
      <c r="O364" s="8">
        <f>IFERROR(VLOOKUP(N364,Kurallar!$G$3:$H$22,2,0),0)</f>
        <v>16</v>
      </c>
    </row>
    <row r="365" spans="1:15" hidden="1" x14ac:dyDescent="0.25">
      <c r="A365" s="8">
        <v>36</v>
      </c>
      <c r="B365" s="9" t="str">
        <f t="shared" si="109"/>
        <v>ЩОВ_S3</v>
      </c>
      <c r="C365" s="9" t="s">
        <v>54</v>
      </c>
      <c r="D365" s="9" t="s">
        <v>55</v>
      </c>
      <c r="E365" s="10" t="s">
        <v>56</v>
      </c>
      <c r="F365" s="11">
        <v>975</v>
      </c>
      <c r="G365" s="11">
        <f>IF(F365="","",ROUND(F365*VLOOKUP(K365,Kurallar!$D$3:$E$14,2,0),2))</f>
        <v>585</v>
      </c>
      <c r="H365" s="11">
        <f t="shared" si="112"/>
        <v>585</v>
      </c>
      <c r="I365" s="8">
        <v>1</v>
      </c>
      <c r="J365" s="8" t="s">
        <v>23</v>
      </c>
      <c r="K365" s="8" t="s">
        <v>29</v>
      </c>
      <c r="L365" s="11">
        <f t="shared" si="113"/>
        <v>585</v>
      </c>
      <c r="M365" s="9" t="s">
        <v>54</v>
      </c>
      <c r="N365" s="8" t="s">
        <v>57</v>
      </c>
      <c r="O365" s="8">
        <f>IFERROR(VLOOKUP(N365,Kurallar!$G$3:$H$22,2,0),0)</f>
        <v>3</v>
      </c>
    </row>
    <row r="366" spans="1:15" hidden="1" x14ac:dyDescent="0.25">
      <c r="A366" s="8">
        <v>36</v>
      </c>
      <c r="B366" s="9" t="str">
        <f t="shared" si="109"/>
        <v>ЩОВ_S3</v>
      </c>
      <c r="C366" s="9" t="s">
        <v>58</v>
      </c>
      <c r="D366" s="9" t="s">
        <v>59</v>
      </c>
      <c r="E366" s="10" t="s">
        <v>60</v>
      </c>
      <c r="F366" s="11">
        <v>13575</v>
      </c>
      <c r="G366" s="11">
        <f>IF(F366="","",ROUND(F366*VLOOKUP(K366,Kurallar!$D$3:$E$14,2,0),2))</f>
        <v>8145</v>
      </c>
      <c r="H366" s="11">
        <f t="shared" si="112"/>
        <v>8145</v>
      </c>
      <c r="I366" s="8">
        <v>1</v>
      </c>
      <c r="J366" s="8" t="s">
        <v>23</v>
      </c>
      <c r="K366" s="8" t="s">
        <v>29</v>
      </c>
      <c r="L366" s="11">
        <f t="shared" si="113"/>
        <v>8145</v>
      </c>
      <c r="M366" s="9" t="s">
        <v>58</v>
      </c>
      <c r="N366" s="8" t="s">
        <v>61</v>
      </c>
      <c r="O366" s="8">
        <f>IFERROR(VLOOKUP(N366,Kurallar!$G$3:$H$22,2,0),0)</f>
        <v>15</v>
      </c>
    </row>
    <row r="367" spans="1:15" hidden="1" x14ac:dyDescent="0.25">
      <c r="A367" s="8">
        <v>36</v>
      </c>
      <c r="B367" s="9" t="str">
        <f t="shared" si="109"/>
        <v>ЩОВ_S3</v>
      </c>
      <c r="C367" s="9" t="s">
        <v>62</v>
      </c>
      <c r="D367" s="9" t="s">
        <v>63</v>
      </c>
      <c r="E367" s="10" t="s">
        <v>64</v>
      </c>
      <c r="F367" s="11">
        <v>13777</v>
      </c>
      <c r="G367" s="11">
        <f>IF(F367="","",ROUND(F367*VLOOKUP(K367,Kurallar!$D$3:$E$14,2,0),2))</f>
        <v>13777</v>
      </c>
      <c r="H367" s="11">
        <f t="shared" si="112"/>
        <v>13777</v>
      </c>
      <c r="I367" s="8">
        <v>1</v>
      </c>
      <c r="J367" s="8" t="s">
        <v>23</v>
      </c>
      <c r="K367" s="8" t="s">
        <v>65</v>
      </c>
      <c r="L367" s="11">
        <f t="shared" si="113"/>
        <v>13777</v>
      </c>
      <c r="M367" s="9" t="s">
        <v>62</v>
      </c>
      <c r="N367" s="8" t="s">
        <v>66</v>
      </c>
      <c r="O367" s="8">
        <f>IFERROR(VLOOKUP(N367,Kurallar!$G$3:$H$22,2,0),0)</f>
        <v>5</v>
      </c>
    </row>
    <row r="368" spans="1:15" hidden="1" x14ac:dyDescent="0.25">
      <c r="A368" s="8">
        <v>36</v>
      </c>
      <c r="B368" s="9" t="str">
        <f t="shared" si="109"/>
        <v>ЩОВ_S3</v>
      </c>
      <c r="C368" s="9" t="s">
        <v>67</v>
      </c>
      <c r="D368" s="9" t="s">
        <v>68</v>
      </c>
      <c r="E368" s="10" t="s">
        <v>69</v>
      </c>
      <c r="F368" s="11">
        <v>793</v>
      </c>
      <c r="G368" s="11">
        <f>IF(F368="","",ROUND(F368*VLOOKUP(K368,Kurallar!$D$3:$E$14,2,0),2))</f>
        <v>793</v>
      </c>
      <c r="H368" s="11">
        <f t="shared" si="112"/>
        <v>1586</v>
      </c>
      <c r="I368" s="8">
        <v>2</v>
      </c>
      <c r="J368" s="8" t="s">
        <v>23</v>
      </c>
      <c r="K368" s="8" t="s">
        <v>65</v>
      </c>
      <c r="L368" s="11">
        <f t="shared" si="113"/>
        <v>1586</v>
      </c>
      <c r="M368" s="9" t="s">
        <v>67</v>
      </c>
      <c r="N368" s="8" t="s">
        <v>70</v>
      </c>
      <c r="O368" s="8">
        <f>IFERROR(VLOOKUP(N368,Kurallar!$G$3:$H$22,2,0),0)</f>
        <v>5</v>
      </c>
    </row>
    <row r="369" spans="1:15" hidden="1" x14ac:dyDescent="0.25">
      <c r="A369" s="8">
        <v>36</v>
      </c>
      <c r="B369" t="str">
        <f t="shared" si="109"/>
        <v>ЩОВ_S3</v>
      </c>
      <c r="C369" s="9" t="s">
        <v>31</v>
      </c>
      <c r="E369" s="9" t="s">
        <v>32</v>
      </c>
      <c r="F369" s="11"/>
      <c r="G369" s="11">
        <f>ROUND(SUM(H362:H368)*Kurallar!$B$2,2)</f>
        <v>4650.12</v>
      </c>
      <c r="H369" s="11">
        <f>G369*I369</f>
        <v>4650.12</v>
      </c>
      <c r="I369" s="8">
        <v>1</v>
      </c>
      <c r="J369" s="8" t="s">
        <v>19</v>
      </c>
      <c r="K369" s="8" t="s">
        <v>33</v>
      </c>
      <c r="L369" s="11">
        <f>H369*$I$361</f>
        <v>4650.12</v>
      </c>
      <c r="M369" s="9" t="s">
        <v>31</v>
      </c>
    </row>
    <row r="370" spans="1:15" hidden="1" x14ac:dyDescent="0.25">
      <c r="A370" s="8">
        <v>36</v>
      </c>
      <c r="B370" t="str">
        <f t="shared" si="109"/>
        <v>ЩОВ_S3</v>
      </c>
      <c r="C370" s="9" t="s">
        <v>34</v>
      </c>
      <c r="E370" s="9" t="s">
        <v>35</v>
      </c>
      <c r="F370" s="11">
        <f>ROUND(I370/60,1)</f>
        <v>1.7</v>
      </c>
      <c r="G370" s="11">
        <f>Kurallar!$B$3</f>
        <v>100</v>
      </c>
      <c r="H370" s="11">
        <f>G370*I370</f>
        <v>10100</v>
      </c>
      <c r="I370" s="8">
        <f>ROUND(SUMPRODUCT(I362:I368,O362:O368)*Kurallar!$B$4,0)</f>
        <v>101</v>
      </c>
      <c r="J370" s="8" t="s">
        <v>36</v>
      </c>
      <c r="K370" s="8" t="s">
        <v>33</v>
      </c>
      <c r="L370" s="11">
        <f>H370*$I$361</f>
        <v>10100</v>
      </c>
      <c r="M370" s="9" t="s">
        <v>34</v>
      </c>
    </row>
    <row r="371" spans="1:15" hidden="1" x14ac:dyDescent="0.25">
      <c r="A371" s="12"/>
      <c r="B371" s="13" t="s">
        <v>341</v>
      </c>
      <c r="C371" s="12"/>
      <c r="D371" s="12"/>
      <c r="E371" s="13" t="s">
        <v>342</v>
      </c>
      <c r="F371" s="12"/>
      <c r="G371" s="12"/>
      <c r="H371" s="14">
        <f>SUBTOTAL(9,H362:H370)</f>
        <v>0</v>
      </c>
      <c r="I371" s="15">
        <v>1</v>
      </c>
      <c r="J371" s="15" t="s">
        <v>19</v>
      </c>
      <c r="K371" s="12"/>
      <c r="L371" s="14">
        <f>SUBTOTAL(9,L362:L370)</f>
        <v>0</v>
      </c>
      <c r="M371" s="12"/>
      <c r="N371" s="12"/>
      <c r="O371" s="12"/>
    </row>
    <row r="372" spans="1:15" hidden="1" x14ac:dyDescent="0.25">
      <c r="A372" s="4">
        <v>37</v>
      </c>
      <c r="B372" s="5" t="s">
        <v>343</v>
      </c>
      <c r="C372" s="6" t="s">
        <v>18</v>
      </c>
      <c r="D372" s="6"/>
      <c r="E372" s="7" t="s">
        <v>343</v>
      </c>
      <c r="F372" s="6"/>
      <c r="G372" s="6"/>
      <c r="H372" s="6"/>
      <c r="I372" s="4">
        <v>1</v>
      </c>
      <c r="J372" s="4" t="s">
        <v>19</v>
      </c>
      <c r="K372" s="6"/>
      <c r="L372" s="6"/>
      <c r="M372" s="6"/>
      <c r="N372" s="6"/>
      <c r="O372" s="6"/>
    </row>
    <row r="373" spans="1:15" hidden="1" x14ac:dyDescent="0.25">
      <c r="A373" s="8">
        <v>37</v>
      </c>
      <c r="B373" s="9" t="str">
        <f t="shared" ref="B373:B379" si="114">B372</f>
        <v>ЩС-ДУ(S3)</v>
      </c>
      <c r="C373" s="9" t="s">
        <v>20</v>
      </c>
      <c r="D373" s="9" t="s">
        <v>344</v>
      </c>
      <c r="E373" s="10" t="s">
        <v>345</v>
      </c>
      <c r="F373" s="11">
        <v>10270</v>
      </c>
      <c r="G373" s="11">
        <f>IF(F373="","",ROUND(F373*VLOOKUP(K373,Kurallar!$D$3:$E$14,2,0),2))</f>
        <v>6162</v>
      </c>
      <c r="H373" s="11">
        <f t="shared" ref="H373" si="115">IF(G373="","",G373*I373)</f>
        <v>6162</v>
      </c>
      <c r="I373" s="8">
        <v>1</v>
      </c>
      <c r="J373" s="8" t="s">
        <v>23</v>
      </c>
      <c r="K373" s="8" t="s">
        <v>24</v>
      </c>
      <c r="L373" s="11">
        <f t="shared" ref="L373" si="116">IF(H373="","",H373*$I$181)</f>
        <v>6162</v>
      </c>
      <c r="M373" s="9" t="s">
        <v>20</v>
      </c>
      <c r="N373" s="8" t="s">
        <v>25</v>
      </c>
      <c r="O373" s="8">
        <f>IFERROR(VLOOKUP(N373,Kurallar!$G$3:$H$22,2,0),0)</f>
        <v>8</v>
      </c>
    </row>
    <row r="374" spans="1:15" hidden="1" x14ac:dyDescent="0.25">
      <c r="A374" s="8">
        <v>37</v>
      </c>
      <c r="B374" s="9" t="str">
        <f t="shared" si="114"/>
        <v>ЩС-ДУ(S3)</v>
      </c>
      <c r="C374" s="9" t="s">
        <v>26</v>
      </c>
      <c r="D374" s="9" t="s">
        <v>48</v>
      </c>
      <c r="E374" s="10" t="s">
        <v>49</v>
      </c>
      <c r="F374" s="11">
        <v>3372</v>
      </c>
      <c r="G374" s="11">
        <f>IF(F374="","",ROUND(F374*VLOOKUP(K374,Kurallar!$D$3:$E$14,2,0),2))</f>
        <v>2023.2</v>
      </c>
      <c r="H374" s="11">
        <f>IF(G374="","",G374*I374)</f>
        <v>2023.2</v>
      </c>
      <c r="I374" s="8">
        <v>1</v>
      </c>
      <c r="J374" s="8" t="s">
        <v>23</v>
      </c>
      <c r="K374" s="8" t="s">
        <v>29</v>
      </c>
      <c r="L374" s="11">
        <f>IF(H374="","",H374*$I$372)</f>
        <v>2023.2</v>
      </c>
      <c r="M374" s="9" t="s">
        <v>26</v>
      </c>
      <c r="N374" s="8" t="s">
        <v>42</v>
      </c>
      <c r="O374" s="8">
        <f>IFERROR(VLOOKUP(N374,Kurallar!$G$3:$H$22,2,0),0)</f>
        <v>15</v>
      </c>
    </row>
    <row r="375" spans="1:15" hidden="1" x14ac:dyDescent="0.25">
      <c r="A375" s="8">
        <v>37</v>
      </c>
      <c r="B375" s="9" t="str">
        <f t="shared" si="114"/>
        <v>ЩС-ДУ(S3)</v>
      </c>
      <c r="C375" s="9" t="s">
        <v>54</v>
      </c>
      <c r="D375" s="9" t="s">
        <v>195</v>
      </c>
      <c r="E375" s="10" t="s">
        <v>196</v>
      </c>
      <c r="F375" s="11">
        <v>3609</v>
      </c>
      <c r="G375" s="11">
        <f>IF(F375="","",ROUND(F375*VLOOKUP(K375,Kurallar!$D$3:$E$14,2,0),2))</f>
        <v>2165.4</v>
      </c>
      <c r="H375" s="11">
        <f>IF(G375="","",G375*I375)</f>
        <v>4330.8</v>
      </c>
      <c r="I375" s="8">
        <v>2</v>
      </c>
      <c r="J375" s="8" t="s">
        <v>23</v>
      </c>
      <c r="K375" s="8" t="s">
        <v>29</v>
      </c>
      <c r="L375" s="11">
        <f>IF(H375="","",H375*$I$372)</f>
        <v>4330.8</v>
      </c>
      <c r="M375" s="9" t="s">
        <v>54</v>
      </c>
      <c r="N375" s="8" t="s">
        <v>113</v>
      </c>
      <c r="O375" s="8">
        <f>IFERROR(VLOOKUP(N375,Kurallar!$G$3:$H$22,2,0),0)</f>
        <v>10</v>
      </c>
    </row>
    <row r="376" spans="1:15" hidden="1" x14ac:dyDescent="0.25">
      <c r="A376" s="8">
        <v>37</v>
      </c>
      <c r="B376" s="9" t="str">
        <f t="shared" si="114"/>
        <v>ЩС-ДУ(S3)</v>
      </c>
      <c r="C376" s="9" t="s">
        <v>54</v>
      </c>
      <c r="D376" s="9" t="s">
        <v>111</v>
      </c>
      <c r="E376" s="10" t="s">
        <v>112</v>
      </c>
      <c r="F376" s="11">
        <v>3644</v>
      </c>
      <c r="G376" s="11">
        <f>IF(F376="","",ROUND(F376*VLOOKUP(K376,Kurallar!$D$3:$E$14,2,0),2))</f>
        <v>2186.4</v>
      </c>
      <c r="H376" s="11">
        <f>IF(G376="","",G376*I376)</f>
        <v>2186.4</v>
      </c>
      <c r="I376" s="8">
        <v>1</v>
      </c>
      <c r="J376" s="8" t="s">
        <v>23</v>
      </c>
      <c r="K376" s="8" t="s">
        <v>29</v>
      </c>
      <c r="L376" s="11">
        <f>IF(H376="","",H376*$I$372)</f>
        <v>2186.4</v>
      </c>
      <c r="M376" s="9" t="s">
        <v>54</v>
      </c>
      <c r="N376" s="8" t="s">
        <v>113</v>
      </c>
      <c r="O376" s="8">
        <f>IFERROR(VLOOKUP(N376,Kurallar!$G$3:$H$22,2,0),0)</f>
        <v>10</v>
      </c>
    </row>
    <row r="377" spans="1:15" hidden="1" x14ac:dyDescent="0.25">
      <c r="A377" s="8">
        <v>37</v>
      </c>
      <c r="B377" s="9" t="str">
        <f t="shared" si="114"/>
        <v>ЩС-ДУ(S3)</v>
      </c>
      <c r="C377" s="9" t="s">
        <v>54</v>
      </c>
      <c r="D377" s="9" t="s">
        <v>165</v>
      </c>
      <c r="E377" s="10" t="s">
        <v>166</v>
      </c>
      <c r="F377" s="11">
        <v>783</v>
      </c>
      <c r="G377" s="11">
        <f>IF(F377="","",ROUND(F377*VLOOKUP(K377,Kurallar!$D$3:$E$14,2,0),2))</f>
        <v>469.8</v>
      </c>
      <c r="H377" s="11">
        <f>IF(G377="","",G377*I377)</f>
        <v>469.8</v>
      </c>
      <c r="I377" s="8">
        <v>1</v>
      </c>
      <c r="J377" s="8" t="s">
        <v>23</v>
      </c>
      <c r="K377" s="8" t="s">
        <v>29</v>
      </c>
      <c r="L377" s="11">
        <f>IF(H377="","",H377*$I$372)</f>
        <v>469.8</v>
      </c>
      <c r="M377" s="9" t="s">
        <v>54</v>
      </c>
      <c r="N377" s="8" t="s">
        <v>57</v>
      </c>
      <c r="O377" s="8">
        <f>IFERROR(VLOOKUP(N377,Kurallar!$G$3:$H$22,2,0),0)</f>
        <v>3</v>
      </c>
    </row>
    <row r="378" spans="1:15" hidden="1" x14ac:dyDescent="0.25">
      <c r="A378" s="8">
        <v>37</v>
      </c>
      <c r="B378" t="str">
        <f t="shared" si="114"/>
        <v>ЩС-ДУ(S3)</v>
      </c>
      <c r="C378" s="9" t="s">
        <v>31</v>
      </c>
      <c r="E378" s="9" t="s">
        <v>32</v>
      </c>
      <c r="F378" s="11"/>
      <c r="G378" s="11">
        <f>ROUND(SUM(H373:H377)*Kurallar!$B$2,2)</f>
        <v>1820.66</v>
      </c>
      <c r="H378" s="11">
        <f>G378*I378</f>
        <v>1820.66</v>
      </c>
      <c r="I378" s="8">
        <v>1</v>
      </c>
      <c r="J378" s="8" t="s">
        <v>19</v>
      </c>
      <c r="K378" s="8" t="s">
        <v>33</v>
      </c>
      <c r="L378" s="11">
        <f>H378*$I$372</f>
        <v>1820.66</v>
      </c>
      <c r="M378" s="9" t="s">
        <v>31</v>
      </c>
    </row>
    <row r="379" spans="1:15" hidden="1" x14ac:dyDescent="0.25">
      <c r="A379" s="8">
        <v>37</v>
      </c>
      <c r="B379" t="str">
        <f t="shared" si="114"/>
        <v>ЩС-ДУ(S3)</v>
      </c>
      <c r="C379" s="9" t="s">
        <v>34</v>
      </c>
      <c r="E379" s="9" t="s">
        <v>35</v>
      </c>
      <c r="F379" s="11">
        <f>ROUND(I379/60,1)</f>
        <v>1.1000000000000001</v>
      </c>
      <c r="G379" s="11">
        <f>Kurallar!$B$3</f>
        <v>100</v>
      </c>
      <c r="H379" s="11">
        <f>G379*I379</f>
        <v>6400</v>
      </c>
      <c r="I379" s="8">
        <f>ROUND(SUMPRODUCT(I373:I377,O373:O377)*Kurallar!$B$4,0)</f>
        <v>64</v>
      </c>
      <c r="J379" s="8" t="s">
        <v>36</v>
      </c>
      <c r="K379" s="8" t="s">
        <v>33</v>
      </c>
      <c r="L379" s="11">
        <f>H379*$I$372</f>
        <v>6400</v>
      </c>
      <c r="M379" s="9" t="s">
        <v>34</v>
      </c>
    </row>
    <row r="380" spans="1:15" hidden="1" x14ac:dyDescent="0.25">
      <c r="A380" s="12"/>
      <c r="B380" s="13" t="s">
        <v>346</v>
      </c>
      <c r="C380" s="12"/>
      <c r="D380" s="12"/>
      <c r="E380" s="13" t="s">
        <v>347</v>
      </c>
      <c r="F380" s="12"/>
      <c r="G380" s="12"/>
      <c r="H380" s="14">
        <f>SUBTOTAL(9,H373:H379)</f>
        <v>0</v>
      </c>
      <c r="I380" s="15">
        <v>1</v>
      </c>
      <c r="J380" s="15" t="s">
        <v>19</v>
      </c>
      <c r="K380" s="12"/>
      <c r="L380" s="14">
        <f>SUBTOTAL(9,L373:L379)</f>
        <v>0</v>
      </c>
      <c r="M380" s="12"/>
      <c r="N380" s="12"/>
      <c r="O380" s="12"/>
    </row>
    <row r="381" spans="1:15" hidden="1" x14ac:dyDescent="0.25">
      <c r="A381" s="4">
        <v>38</v>
      </c>
      <c r="B381" s="5" t="s">
        <v>348</v>
      </c>
      <c r="C381" s="6" t="s">
        <v>18</v>
      </c>
      <c r="D381" s="6"/>
      <c r="E381" s="7" t="s">
        <v>348</v>
      </c>
      <c r="F381" s="6"/>
      <c r="G381" s="6"/>
      <c r="H381" s="6"/>
      <c r="I381" s="4">
        <v>1</v>
      </c>
      <c r="J381" s="4" t="s">
        <v>19</v>
      </c>
      <c r="K381" s="6"/>
      <c r="L381" s="6"/>
      <c r="M381" s="6"/>
      <c r="N381" s="6"/>
      <c r="O381" s="6"/>
    </row>
    <row r="382" spans="1:15" hidden="1" x14ac:dyDescent="0.25">
      <c r="A382" s="8">
        <v>38</v>
      </c>
      <c r="B382" s="9" t="str">
        <f t="shared" ref="B382:B387" si="117">B381</f>
        <v>ЩС-С(S3)</v>
      </c>
      <c r="C382" s="9" t="s">
        <v>20</v>
      </c>
      <c r="D382" s="9" t="s">
        <v>349</v>
      </c>
      <c r="E382" s="10" t="s">
        <v>350</v>
      </c>
      <c r="F382" s="11">
        <v>13410</v>
      </c>
      <c r="G382" s="11">
        <f>IF(F382="","",ROUND(F382*VLOOKUP(K382,Kurallar!$D$3:$E$14,2,0),2))</f>
        <v>8046</v>
      </c>
      <c r="H382" s="11">
        <f t="shared" ref="H382" si="118">IF(G382="","",G382*I382)</f>
        <v>8046</v>
      </c>
      <c r="I382" s="8">
        <v>1</v>
      </c>
      <c r="J382" s="8" t="s">
        <v>23</v>
      </c>
      <c r="K382" s="8" t="s">
        <v>24</v>
      </c>
      <c r="L382" s="11">
        <f t="shared" ref="L382" si="119">IF(H382="","",H382*$I$181)</f>
        <v>8046</v>
      </c>
      <c r="M382" s="9" t="s">
        <v>20</v>
      </c>
      <c r="N382" s="8" t="s">
        <v>25</v>
      </c>
      <c r="O382" s="8">
        <f>IFERROR(VLOOKUP(N382,Kurallar!$G$3:$H$22,2,0),0)</f>
        <v>8</v>
      </c>
    </row>
    <row r="383" spans="1:15" hidden="1" x14ac:dyDescent="0.25">
      <c r="A383" s="8">
        <v>38</v>
      </c>
      <c r="B383" s="9" t="str">
        <f t="shared" si="117"/>
        <v>ЩС-С(S3)</v>
      </c>
      <c r="C383" s="9" t="s">
        <v>26</v>
      </c>
      <c r="D383" s="9" t="s">
        <v>48</v>
      </c>
      <c r="E383" s="10" t="s">
        <v>49</v>
      </c>
      <c r="F383" s="11">
        <v>3372</v>
      </c>
      <c r="G383" s="11">
        <f>IF(F383="","",ROUND(F383*VLOOKUP(K383,Kurallar!$D$3:$E$14,2,0),2))</f>
        <v>2023.2</v>
      </c>
      <c r="H383" s="11">
        <f>IF(G383="","",G383*I383)</f>
        <v>2023.2</v>
      </c>
      <c r="I383" s="8">
        <v>1</v>
      </c>
      <c r="J383" s="8" t="s">
        <v>23</v>
      </c>
      <c r="K383" s="8" t="s">
        <v>29</v>
      </c>
      <c r="L383" s="11">
        <f>IF(H383="","",H383*$I$381)</f>
        <v>2023.2</v>
      </c>
      <c r="M383" s="9" t="s">
        <v>26</v>
      </c>
      <c r="N383" s="8" t="s">
        <v>42</v>
      </c>
      <c r="O383" s="8">
        <f>IFERROR(VLOOKUP(N383,Kurallar!$G$3:$H$22,2,0),0)</f>
        <v>15</v>
      </c>
    </row>
    <row r="384" spans="1:15" hidden="1" x14ac:dyDescent="0.25">
      <c r="A384" s="8">
        <v>38</v>
      </c>
      <c r="B384" s="9" t="str">
        <f t="shared" si="117"/>
        <v>ЩС-С(S3)</v>
      </c>
      <c r="C384" s="9" t="s">
        <v>50</v>
      </c>
      <c r="D384" s="9" t="s">
        <v>51</v>
      </c>
      <c r="E384" s="10" t="s">
        <v>52</v>
      </c>
      <c r="F384" s="11">
        <v>5719</v>
      </c>
      <c r="G384" s="11">
        <f>IF(F384="","",ROUND(F384*VLOOKUP(K384,Kurallar!$D$3:$E$14,2,0),2))</f>
        <v>3431.4</v>
      </c>
      <c r="H384" s="11">
        <f>IF(G384="","",G384*I384)</f>
        <v>20588.400000000001</v>
      </c>
      <c r="I384" s="8">
        <v>6</v>
      </c>
      <c r="J384" s="8" t="s">
        <v>23</v>
      </c>
      <c r="K384" s="8" t="s">
        <v>29</v>
      </c>
      <c r="L384" s="11">
        <f>IF(H384="","",H384*$I$381)</f>
        <v>20588.400000000001</v>
      </c>
      <c r="M384" s="9" t="s">
        <v>50</v>
      </c>
      <c r="N384" s="8" t="s">
        <v>53</v>
      </c>
      <c r="O384" s="8">
        <f>IFERROR(VLOOKUP(N384,Kurallar!$G$3:$H$22,2,0),0)</f>
        <v>16</v>
      </c>
    </row>
    <row r="385" spans="1:15" hidden="1" x14ac:dyDescent="0.25">
      <c r="A385" s="8">
        <v>38</v>
      </c>
      <c r="B385" s="9" t="str">
        <f t="shared" si="117"/>
        <v>ЩС-С(S3)</v>
      </c>
      <c r="C385" s="9" t="s">
        <v>54</v>
      </c>
      <c r="D385" s="9" t="s">
        <v>165</v>
      </c>
      <c r="E385" s="10" t="s">
        <v>166</v>
      </c>
      <c r="F385" s="11">
        <v>783</v>
      </c>
      <c r="G385" s="11">
        <f>IF(F385="","",ROUND(F385*VLOOKUP(K385,Kurallar!$D$3:$E$14,2,0),2))</f>
        <v>469.8</v>
      </c>
      <c r="H385" s="11">
        <f>IF(G385="","",G385*I385)</f>
        <v>1409.4</v>
      </c>
      <c r="I385" s="8">
        <v>3</v>
      </c>
      <c r="J385" s="8" t="s">
        <v>23</v>
      </c>
      <c r="K385" s="8" t="s">
        <v>29</v>
      </c>
      <c r="L385" s="11">
        <f>IF(H385="","",H385*$I$381)</f>
        <v>1409.4</v>
      </c>
      <c r="M385" s="9" t="s">
        <v>54</v>
      </c>
      <c r="N385" s="8" t="s">
        <v>57</v>
      </c>
      <c r="O385" s="8">
        <f>IFERROR(VLOOKUP(N385,Kurallar!$G$3:$H$22,2,0),0)</f>
        <v>3</v>
      </c>
    </row>
    <row r="386" spans="1:15" hidden="1" x14ac:dyDescent="0.25">
      <c r="A386" s="8">
        <v>38</v>
      </c>
      <c r="B386" t="str">
        <f t="shared" si="117"/>
        <v>ЩС-С(S3)</v>
      </c>
      <c r="C386" s="9" t="s">
        <v>31</v>
      </c>
      <c r="E386" s="9" t="s">
        <v>32</v>
      </c>
      <c r="F386" s="11"/>
      <c r="G386" s="11">
        <f>ROUND(SUM(H382:H385)*Kurallar!$B$2,2)</f>
        <v>3848.04</v>
      </c>
      <c r="H386" s="11">
        <f>G386*I386</f>
        <v>3848.04</v>
      </c>
      <c r="I386" s="8">
        <v>1</v>
      </c>
      <c r="J386" s="8" t="s">
        <v>19</v>
      </c>
      <c r="K386" s="8" t="s">
        <v>33</v>
      </c>
      <c r="L386" s="11">
        <f>H386*$I$381</f>
        <v>3848.04</v>
      </c>
      <c r="M386" s="9" t="s">
        <v>31</v>
      </c>
    </row>
    <row r="387" spans="1:15" hidden="1" x14ac:dyDescent="0.25">
      <c r="A387" s="8">
        <v>38</v>
      </c>
      <c r="B387" t="str">
        <f t="shared" si="117"/>
        <v>ЩС-С(S3)</v>
      </c>
      <c r="C387" s="9" t="s">
        <v>34</v>
      </c>
      <c r="E387" s="9" t="s">
        <v>35</v>
      </c>
      <c r="F387" s="11">
        <f>ROUND(I387/60,1)</f>
        <v>2.5</v>
      </c>
      <c r="G387" s="11">
        <f>Kurallar!$B$3</f>
        <v>100</v>
      </c>
      <c r="H387" s="11">
        <f>G387*I387</f>
        <v>14700</v>
      </c>
      <c r="I387" s="8">
        <f>ROUND(SUMPRODUCT(I382:I385,O382:O385)*Kurallar!$B$4,0)</f>
        <v>147</v>
      </c>
      <c r="J387" s="8" t="s">
        <v>36</v>
      </c>
      <c r="K387" s="8" t="s">
        <v>33</v>
      </c>
      <c r="L387" s="11">
        <f>H387*$I$381</f>
        <v>14700</v>
      </c>
      <c r="M387" s="9" t="s">
        <v>34</v>
      </c>
    </row>
    <row r="388" spans="1:15" hidden="1" x14ac:dyDescent="0.25">
      <c r="A388" s="12"/>
      <c r="B388" s="13" t="s">
        <v>351</v>
      </c>
      <c r="C388" s="12"/>
      <c r="D388" s="12"/>
      <c r="E388" s="13" t="s">
        <v>352</v>
      </c>
      <c r="F388" s="12"/>
      <c r="G388" s="12"/>
      <c r="H388" s="14">
        <f>SUBTOTAL(9,H382:H387)</f>
        <v>0</v>
      </c>
      <c r="I388" s="15">
        <v>1</v>
      </c>
      <c r="J388" s="15" t="s">
        <v>19</v>
      </c>
      <c r="K388" s="12"/>
      <c r="L388" s="14">
        <f>SUBTOTAL(9,L382:L387)</f>
        <v>0</v>
      </c>
      <c r="M388" s="12"/>
      <c r="N388" s="12"/>
      <c r="O388" s="12"/>
    </row>
    <row r="389" spans="1:15" hidden="1" x14ac:dyDescent="0.25">
      <c r="A389" s="4">
        <v>39</v>
      </c>
      <c r="B389" s="5" t="s">
        <v>353</v>
      </c>
      <c r="C389" s="6" t="s">
        <v>18</v>
      </c>
      <c r="D389" s="6"/>
      <c r="E389" s="7" t="s">
        <v>353</v>
      </c>
      <c r="F389" s="6"/>
      <c r="G389" s="6"/>
      <c r="H389" s="6"/>
      <c r="I389" s="4">
        <v>11</v>
      </c>
      <c r="J389" s="4" t="s">
        <v>19</v>
      </c>
      <c r="K389" s="6"/>
      <c r="L389" s="6"/>
      <c r="M389" s="6"/>
      <c r="N389" s="6"/>
      <c r="O389" s="6"/>
    </row>
    <row r="390" spans="1:15" hidden="1" x14ac:dyDescent="0.25">
      <c r="A390" s="8">
        <v>39</v>
      </c>
      <c r="B390" s="9" t="str">
        <f t="shared" ref="B390:B397" si="120">B389</f>
        <v>ЩЭ_S3</v>
      </c>
      <c r="C390" s="9" t="s">
        <v>20</v>
      </c>
      <c r="D390" s="9" t="s">
        <v>354</v>
      </c>
      <c r="E390" s="10" t="s">
        <v>761</v>
      </c>
      <c r="F390" s="11">
        <v>78000</v>
      </c>
      <c r="G390" s="11">
        <f>IF(F390="","",ROUND(F390*VLOOKUP(K390,Kurallar!$D$3:$E$14,2,0),2))</f>
        <v>46800</v>
      </c>
      <c r="H390" s="11">
        <f t="shared" ref="H390" si="121">IF(G390="","",G390*I390)</f>
        <v>46800</v>
      </c>
      <c r="I390" s="8">
        <v>1</v>
      </c>
      <c r="J390" s="8" t="s">
        <v>23</v>
      </c>
      <c r="K390" s="8" t="s">
        <v>24</v>
      </c>
      <c r="L390" s="11">
        <f t="shared" ref="L390" si="122">IF(H390="","",H390*$I$181)</f>
        <v>46800</v>
      </c>
      <c r="M390" s="9" t="s">
        <v>20</v>
      </c>
      <c r="N390" s="8" t="s">
        <v>75</v>
      </c>
      <c r="O390" s="8">
        <f>IFERROR(VLOOKUP(N390,Kurallar!$G$3:$H$22,2,0),0)</f>
        <v>30</v>
      </c>
    </row>
    <row r="391" spans="1:15" hidden="1" x14ac:dyDescent="0.25">
      <c r="A391" s="8">
        <v>39</v>
      </c>
      <c r="B391" s="9" t="str">
        <f t="shared" si="120"/>
        <v>ЩЭ_S3</v>
      </c>
      <c r="C391" s="9" t="s">
        <v>26</v>
      </c>
      <c r="D391" s="9" t="s">
        <v>76</v>
      </c>
      <c r="E391" s="10" t="s">
        <v>77</v>
      </c>
      <c r="F391" s="11">
        <v>1421</v>
      </c>
      <c r="G391" s="11">
        <f>IF(F391="","",ROUND(F391*VLOOKUP(K391,Kurallar!$D$3:$E$14,2,0),2))</f>
        <v>852.6</v>
      </c>
      <c r="H391" s="11">
        <f t="shared" ref="H391:H395" si="123">IF(G391="","",G391*I391)</f>
        <v>5115.6000000000004</v>
      </c>
      <c r="I391" s="8">
        <v>6</v>
      </c>
      <c r="J391" s="8" t="s">
        <v>23</v>
      </c>
      <c r="K391" s="8" t="s">
        <v>29</v>
      </c>
      <c r="L391" s="11">
        <f t="shared" ref="L391:L395" si="124">IF(H391="","",H391*$I$389)</f>
        <v>56271.600000000006</v>
      </c>
      <c r="M391" s="9" t="s">
        <v>26</v>
      </c>
      <c r="N391" s="8" t="s">
        <v>42</v>
      </c>
      <c r="O391" s="8">
        <f>IFERROR(VLOOKUP(N391,Kurallar!$G$3:$H$22,2,0),0)</f>
        <v>15</v>
      </c>
    </row>
    <row r="392" spans="1:15" hidden="1" x14ac:dyDescent="0.25">
      <c r="A392" s="8">
        <v>39</v>
      </c>
      <c r="B392" s="9" t="str">
        <f t="shared" si="120"/>
        <v>ЩЭ_S3</v>
      </c>
      <c r="C392" s="9" t="s">
        <v>50</v>
      </c>
      <c r="D392" s="9" t="s">
        <v>78</v>
      </c>
      <c r="E392" s="10" t="s">
        <v>79</v>
      </c>
      <c r="F392" s="11">
        <v>6215</v>
      </c>
      <c r="G392" s="11">
        <f>IF(F392="","",ROUND(F392*VLOOKUP(K392,Kurallar!$D$3:$E$14,2,0),2))</f>
        <v>3729</v>
      </c>
      <c r="H392" s="11">
        <f t="shared" si="123"/>
        <v>22374</v>
      </c>
      <c r="I392" s="8">
        <v>6</v>
      </c>
      <c r="J392" s="8" t="s">
        <v>23</v>
      </c>
      <c r="K392" s="8" t="s">
        <v>29</v>
      </c>
      <c r="L392" s="11">
        <f t="shared" si="124"/>
        <v>246114</v>
      </c>
      <c r="M392" s="9" t="s">
        <v>50</v>
      </c>
      <c r="N392" s="8" t="s">
        <v>53</v>
      </c>
      <c r="O392" s="8">
        <f>IFERROR(VLOOKUP(N392,Kurallar!$G$3:$H$22,2,0),0)</f>
        <v>16</v>
      </c>
    </row>
    <row r="393" spans="1:15" hidden="1" x14ac:dyDescent="0.25">
      <c r="A393" s="8">
        <v>39</v>
      </c>
      <c r="B393" s="9" t="str">
        <f t="shared" si="120"/>
        <v>ЩЭ_S3</v>
      </c>
      <c r="C393" s="9" t="s">
        <v>26</v>
      </c>
      <c r="D393" s="9" t="s">
        <v>80</v>
      </c>
      <c r="E393" s="10" t="s">
        <v>81</v>
      </c>
      <c r="F393" s="11">
        <v>3372</v>
      </c>
      <c r="G393" s="11">
        <f>IF(F393="","",ROUND(F393*VLOOKUP(K393,Kurallar!$D$3:$E$14,2,0),2))</f>
        <v>2023.2</v>
      </c>
      <c r="H393" s="11">
        <f t="shared" si="123"/>
        <v>2023.2</v>
      </c>
      <c r="I393" s="8">
        <v>1</v>
      </c>
      <c r="J393" s="8" t="s">
        <v>23</v>
      </c>
      <c r="K393" s="8" t="s">
        <v>29</v>
      </c>
      <c r="L393" s="11">
        <f t="shared" si="124"/>
        <v>22255.200000000001</v>
      </c>
      <c r="M393" s="9" t="s">
        <v>26</v>
      </c>
      <c r="N393" s="8" t="s">
        <v>42</v>
      </c>
      <c r="O393" s="8">
        <f>IFERROR(VLOOKUP(N393,Kurallar!$G$3:$H$22,2,0),0)</f>
        <v>15</v>
      </c>
    </row>
    <row r="394" spans="1:15" hidden="1" x14ac:dyDescent="0.25">
      <c r="A394" s="8">
        <v>39</v>
      </c>
      <c r="B394" s="9" t="str">
        <f t="shared" si="120"/>
        <v>ЩЭ_S3</v>
      </c>
      <c r="C394" s="9" t="s">
        <v>82</v>
      </c>
      <c r="D394" s="9" t="s">
        <v>83</v>
      </c>
      <c r="E394" s="10" t="s">
        <v>84</v>
      </c>
      <c r="F394" s="11">
        <v>0</v>
      </c>
      <c r="G394" s="11">
        <f>F394</f>
        <v>0</v>
      </c>
      <c r="H394" s="11">
        <f t="shared" si="123"/>
        <v>0</v>
      </c>
      <c r="I394" s="8">
        <v>6</v>
      </c>
      <c r="J394" s="8" t="s">
        <v>23</v>
      </c>
      <c r="K394" s="8" t="s">
        <v>751</v>
      </c>
      <c r="L394" s="11">
        <f t="shared" si="124"/>
        <v>0</v>
      </c>
      <c r="M394" s="9" t="s">
        <v>82</v>
      </c>
      <c r="N394" s="8" t="s">
        <v>85</v>
      </c>
      <c r="O394" s="8">
        <f>IFERROR(VLOOKUP(N394,Kurallar!$G$3:$H$22,2,0),0)</f>
        <v>25</v>
      </c>
    </row>
    <row r="395" spans="1:15" hidden="1" x14ac:dyDescent="0.25">
      <c r="A395" s="8">
        <v>39</v>
      </c>
      <c r="B395" s="9" t="str">
        <f t="shared" si="120"/>
        <v>ЩЭ_S3</v>
      </c>
      <c r="C395" s="9" t="s">
        <v>86</v>
      </c>
      <c r="D395" s="9" t="s">
        <v>87</v>
      </c>
      <c r="E395" s="10" t="s">
        <v>88</v>
      </c>
      <c r="F395" s="11">
        <v>1738</v>
      </c>
      <c r="G395" s="11">
        <f>IF(F395="","",ROUND(F395*VLOOKUP(K395,Kurallar!$D$3:$E$14,2,0),2))</f>
        <v>1042.8</v>
      </c>
      <c r="H395" s="11">
        <f t="shared" si="123"/>
        <v>1042.8</v>
      </c>
      <c r="I395" s="8">
        <v>1</v>
      </c>
      <c r="J395" s="8" t="s">
        <v>23</v>
      </c>
      <c r="K395" s="8" t="s">
        <v>29</v>
      </c>
      <c r="L395" s="11">
        <f t="shared" si="124"/>
        <v>11470.8</v>
      </c>
      <c r="M395" s="9" t="s">
        <v>86</v>
      </c>
      <c r="N395" s="8" t="s">
        <v>89</v>
      </c>
      <c r="O395" s="8">
        <f>IFERROR(VLOOKUP(N395,Kurallar!$G$3:$H$22,2,0),0)</f>
        <v>5</v>
      </c>
    </row>
    <row r="396" spans="1:15" hidden="1" x14ac:dyDescent="0.25">
      <c r="A396" s="8">
        <v>39</v>
      </c>
      <c r="B396" t="str">
        <f t="shared" si="120"/>
        <v>ЩЭ_S3</v>
      </c>
      <c r="C396" s="9" t="s">
        <v>31</v>
      </c>
      <c r="E396" s="9" t="s">
        <v>32</v>
      </c>
      <c r="F396" s="11"/>
      <c r="G396" s="11">
        <f>ROUND(SUM(H390:H395)*Kurallar!$B$2,2)</f>
        <v>9282.67</v>
      </c>
      <c r="H396" s="11">
        <f>G396*I396</f>
        <v>9282.67</v>
      </c>
      <c r="I396" s="8">
        <v>1</v>
      </c>
      <c r="J396" s="8" t="s">
        <v>19</v>
      </c>
      <c r="K396" s="8" t="s">
        <v>33</v>
      </c>
      <c r="L396" s="11">
        <f>H396*$I$389</f>
        <v>102109.37</v>
      </c>
      <c r="M396" s="9" t="s">
        <v>31</v>
      </c>
    </row>
    <row r="397" spans="1:15" hidden="1" x14ac:dyDescent="0.25">
      <c r="A397" s="8">
        <v>39</v>
      </c>
      <c r="B397" t="str">
        <f t="shared" si="120"/>
        <v>ЩЭ_S3</v>
      </c>
      <c r="C397" s="9" t="s">
        <v>34</v>
      </c>
      <c r="E397" s="9" t="s">
        <v>35</v>
      </c>
      <c r="F397" s="11">
        <f>ROUND(I397/60,1)</f>
        <v>7.4</v>
      </c>
      <c r="G397" s="11">
        <f>Kurallar!$B$3</f>
        <v>100</v>
      </c>
      <c r="H397" s="11">
        <f>G397*I397</f>
        <v>44400</v>
      </c>
      <c r="I397" s="8">
        <f>ROUND(SUMPRODUCT(I390:I395,O390:O395)*Kurallar!$B$4,0)</f>
        <v>444</v>
      </c>
      <c r="J397" s="8" t="s">
        <v>36</v>
      </c>
      <c r="K397" s="8" t="s">
        <v>33</v>
      </c>
      <c r="L397" s="11">
        <f>H397*$I$389</f>
        <v>488400</v>
      </c>
      <c r="M397" s="9" t="s">
        <v>34</v>
      </c>
    </row>
    <row r="398" spans="1:15" hidden="1" x14ac:dyDescent="0.25">
      <c r="A398" s="12"/>
      <c r="B398" s="13" t="s">
        <v>355</v>
      </c>
      <c r="C398" s="12"/>
      <c r="D398" s="12"/>
      <c r="E398" s="13" t="s">
        <v>356</v>
      </c>
      <c r="F398" s="12"/>
      <c r="G398" s="12"/>
      <c r="H398" s="14">
        <f>SUBTOTAL(9,H390:H397)</f>
        <v>0</v>
      </c>
      <c r="I398" s="15">
        <v>11</v>
      </c>
      <c r="J398" s="15" t="s">
        <v>19</v>
      </c>
      <c r="K398" s="12"/>
      <c r="L398" s="14">
        <f>SUBTOTAL(9,L390:L397)</f>
        <v>0</v>
      </c>
      <c r="M398" s="12"/>
      <c r="N398" s="12"/>
      <c r="O398" s="12"/>
    </row>
    <row r="399" spans="1:15" hidden="1" x14ac:dyDescent="0.25">
      <c r="A399" s="4">
        <v>40</v>
      </c>
      <c r="B399" s="5" t="s">
        <v>357</v>
      </c>
      <c r="C399" s="6" t="s">
        <v>18</v>
      </c>
      <c r="D399" s="6"/>
      <c r="E399" s="7" t="s">
        <v>357</v>
      </c>
      <c r="F399" s="6"/>
      <c r="G399" s="6"/>
      <c r="H399" s="6"/>
      <c r="I399" s="4">
        <v>33</v>
      </c>
      <c r="J399" s="4" t="s">
        <v>19</v>
      </c>
      <c r="K399" s="6"/>
      <c r="L399" s="6"/>
      <c r="M399" s="6"/>
      <c r="N399" s="6"/>
      <c r="O399" s="6"/>
    </row>
    <row r="400" spans="1:15" ht="24" hidden="1" x14ac:dyDescent="0.25">
      <c r="A400" s="8">
        <v>40</v>
      </c>
      <c r="B400" s="9" t="str">
        <f t="shared" ref="B400:B408" si="125">B399</f>
        <v>ЩК_S3</v>
      </c>
      <c r="C400" s="9" t="s">
        <v>20</v>
      </c>
      <c r="D400" s="9" t="s">
        <v>774</v>
      </c>
      <c r="E400" s="10" t="s">
        <v>775</v>
      </c>
      <c r="F400" s="11">
        <v>10700</v>
      </c>
      <c r="G400" s="11">
        <f>IF(F400="","",ROUND(F400*VLOOKUP(K400,Kurallar!$D$3:$E$14,2,0),2))</f>
        <v>10700</v>
      </c>
      <c r="H400" s="11">
        <f t="shared" ref="H400" si="126">IF(G400="","",G400*I400)</f>
        <v>10700</v>
      </c>
      <c r="I400" s="8">
        <v>1</v>
      </c>
      <c r="J400" s="8" t="s">
        <v>23</v>
      </c>
      <c r="K400" s="8" t="s">
        <v>776</v>
      </c>
      <c r="L400" s="11">
        <f t="shared" ref="L400" si="127">IF(H400="","",H400*$I$181)</f>
        <v>10700</v>
      </c>
      <c r="M400" s="9" t="s">
        <v>20</v>
      </c>
      <c r="N400" s="8" t="s">
        <v>25</v>
      </c>
      <c r="O400" s="8">
        <f>IFERROR(VLOOKUP(N400,Kurallar!$G$3:$H$22,2,0),0)</f>
        <v>8</v>
      </c>
    </row>
    <row r="401" spans="1:15" hidden="1" x14ac:dyDescent="0.25">
      <c r="A401" s="8">
        <v>40</v>
      </c>
      <c r="B401" s="9" t="str">
        <f t="shared" si="125"/>
        <v>ЩК_S3</v>
      </c>
      <c r="C401" s="9" t="s">
        <v>26</v>
      </c>
      <c r="D401" s="9" t="s">
        <v>772</v>
      </c>
      <c r="E401" s="10" t="s">
        <v>773</v>
      </c>
      <c r="F401" s="11">
        <v>2824</v>
      </c>
      <c r="G401" s="11">
        <f>IF(F401="","",ROUND(F401*VLOOKUP(K401,Kurallar!$D$3:$E$14,2,0),2))</f>
        <v>1694.4</v>
      </c>
      <c r="H401" s="11">
        <f t="shared" ref="H401:H406" si="128">IF(G401="","",G401*I401)</f>
        <v>1694.4</v>
      </c>
      <c r="I401" s="8">
        <v>1</v>
      </c>
      <c r="J401" s="8" t="s">
        <v>23</v>
      </c>
      <c r="K401" s="8" t="s">
        <v>29</v>
      </c>
      <c r="L401" s="11">
        <f t="shared" ref="L401:L406" si="129">IF(H401="","",H401*$I$399)</f>
        <v>55915.200000000004</v>
      </c>
      <c r="M401" s="9" t="s">
        <v>26</v>
      </c>
      <c r="N401" s="8" t="s">
        <v>42</v>
      </c>
      <c r="O401" s="8">
        <f>IFERROR(VLOOKUP(N401,Kurallar!$G$3:$H$22,2,0),0)</f>
        <v>15</v>
      </c>
    </row>
    <row r="402" spans="1:15" hidden="1" x14ac:dyDescent="0.25">
      <c r="A402" s="8">
        <v>40</v>
      </c>
      <c r="B402" s="9" t="str">
        <f t="shared" si="125"/>
        <v>ЩК_S3</v>
      </c>
      <c r="C402" s="9" t="s">
        <v>54</v>
      </c>
      <c r="D402" s="9" t="s">
        <v>93</v>
      </c>
      <c r="E402" s="10" t="s">
        <v>94</v>
      </c>
      <c r="F402" s="11">
        <v>783</v>
      </c>
      <c r="G402" s="11">
        <f>IF(F402="","",ROUND(F402*VLOOKUP(K402,Kurallar!$D$3:$E$14,2,0),2))</f>
        <v>469.8</v>
      </c>
      <c r="H402" s="11">
        <f t="shared" si="128"/>
        <v>469.8</v>
      </c>
      <c r="I402" s="8">
        <v>1</v>
      </c>
      <c r="J402" s="8" t="s">
        <v>23</v>
      </c>
      <c r="K402" s="8" t="s">
        <v>29</v>
      </c>
      <c r="L402" s="11">
        <f t="shared" si="129"/>
        <v>15503.4</v>
      </c>
      <c r="M402" s="9" t="s">
        <v>54</v>
      </c>
      <c r="N402" s="8" t="s">
        <v>57</v>
      </c>
      <c r="O402" s="8">
        <f>IFERROR(VLOOKUP(N402,Kurallar!$G$3:$H$22,2,0),0)</f>
        <v>3</v>
      </c>
    </row>
    <row r="403" spans="1:15" hidden="1" x14ac:dyDescent="0.25">
      <c r="A403" s="8">
        <v>40</v>
      </c>
      <c r="B403" s="9" t="str">
        <f t="shared" si="125"/>
        <v>ЩК_S3</v>
      </c>
      <c r="C403" s="9" t="s">
        <v>54</v>
      </c>
      <c r="D403" s="9" t="s">
        <v>95</v>
      </c>
      <c r="E403" s="10" t="s">
        <v>96</v>
      </c>
      <c r="F403" s="11">
        <v>796</v>
      </c>
      <c r="G403" s="11">
        <f>IF(F403="","",ROUND(F403*VLOOKUP(K403,Kurallar!$D$3:$E$14,2,0),2))</f>
        <v>477.6</v>
      </c>
      <c r="H403" s="11">
        <f t="shared" si="128"/>
        <v>1432.8000000000002</v>
      </c>
      <c r="I403" s="8">
        <v>3</v>
      </c>
      <c r="J403" s="8" t="s">
        <v>23</v>
      </c>
      <c r="K403" s="8" t="s">
        <v>29</v>
      </c>
      <c r="L403" s="11">
        <f t="shared" si="129"/>
        <v>47282.400000000009</v>
      </c>
      <c r="M403" s="9" t="s">
        <v>54</v>
      </c>
      <c r="N403" s="8" t="s">
        <v>57</v>
      </c>
      <c r="O403" s="8">
        <f>IFERROR(VLOOKUP(N403,Kurallar!$G$3:$H$22,2,0),0)</f>
        <v>3</v>
      </c>
    </row>
    <row r="404" spans="1:15" hidden="1" x14ac:dyDescent="0.25">
      <c r="A404" s="8">
        <v>40</v>
      </c>
      <c r="B404" s="9" t="str">
        <f t="shared" si="125"/>
        <v>ЩК_S3</v>
      </c>
      <c r="C404" s="9" t="s">
        <v>50</v>
      </c>
      <c r="D404" s="9" t="s">
        <v>97</v>
      </c>
      <c r="E404" s="10" t="s">
        <v>98</v>
      </c>
      <c r="F404" s="11">
        <v>5556</v>
      </c>
      <c r="G404" s="11">
        <f>IF(F404="","",ROUND(F404*VLOOKUP(K404,Kurallar!$D$3:$E$14,2,0),2))</f>
        <v>3333.6</v>
      </c>
      <c r="H404" s="11">
        <f t="shared" si="128"/>
        <v>6667.2</v>
      </c>
      <c r="I404" s="8">
        <v>2</v>
      </c>
      <c r="J404" s="8" t="s">
        <v>23</v>
      </c>
      <c r="K404" s="8" t="s">
        <v>29</v>
      </c>
      <c r="L404" s="11">
        <f t="shared" si="129"/>
        <v>220017.6</v>
      </c>
      <c r="M404" s="9" t="s">
        <v>50</v>
      </c>
      <c r="N404" s="8" t="s">
        <v>53</v>
      </c>
      <c r="O404" s="8">
        <f>IFERROR(VLOOKUP(N404,Kurallar!$G$3:$H$22,2,0),0)</f>
        <v>16</v>
      </c>
    </row>
    <row r="405" spans="1:15" hidden="1" x14ac:dyDescent="0.25">
      <c r="A405" s="8">
        <v>40</v>
      </c>
      <c r="B405" s="9" t="str">
        <f t="shared" si="125"/>
        <v>ЩК_S3</v>
      </c>
      <c r="C405" s="9" t="s">
        <v>50</v>
      </c>
      <c r="D405" s="9" t="s">
        <v>99</v>
      </c>
      <c r="E405" s="10" t="s">
        <v>100</v>
      </c>
      <c r="F405" s="11">
        <v>5632</v>
      </c>
      <c r="G405" s="11">
        <f>IF(F405="","",ROUND(F405*VLOOKUP(K405,Kurallar!$D$3:$E$14,2,0),2))</f>
        <v>3379.2</v>
      </c>
      <c r="H405" s="11">
        <f t="shared" si="128"/>
        <v>6758.4</v>
      </c>
      <c r="I405" s="8">
        <v>2</v>
      </c>
      <c r="J405" s="8" t="s">
        <v>23</v>
      </c>
      <c r="K405" s="8" t="s">
        <v>29</v>
      </c>
      <c r="L405" s="11">
        <f t="shared" si="129"/>
        <v>223027.19999999998</v>
      </c>
      <c r="M405" s="9" t="s">
        <v>50</v>
      </c>
      <c r="N405" s="8" t="s">
        <v>53</v>
      </c>
      <c r="O405" s="8">
        <f>IFERROR(VLOOKUP(N405,Kurallar!$G$3:$H$22,2,0),0)</f>
        <v>16</v>
      </c>
    </row>
    <row r="406" spans="1:15" hidden="1" x14ac:dyDescent="0.25">
      <c r="A406" s="8">
        <v>40</v>
      </c>
      <c r="B406" s="9" t="str">
        <f t="shared" si="125"/>
        <v>ЩК_S3</v>
      </c>
      <c r="C406" s="9" t="s">
        <v>58</v>
      </c>
      <c r="D406" s="9" t="s">
        <v>101</v>
      </c>
      <c r="E406" s="10" t="s">
        <v>102</v>
      </c>
      <c r="F406" s="11">
        <v>12834</v>
      </c>
      <c r="G406" s="11">
        <f>IF(F406="","",ROUND(F406*VLOOKUP(K406,Kurallar!$D$3:$E$14,2,0),2))</f>
        <v>7700.4</v>
      </c>
      <c r="H406" s="11">
        <f t="shared" si="128"/>
        <v>7700.4</v>
      </c>
      <c r="I406" s="8">
        <v>1</v>
      </c>
      <c r="J406" s="8" t="s">
        <v>23</v>
      </c>
      <c r="K406" s="8" t="s">
        <v>29</v>
      </c>
      <c r="L406" s="11">
        <f t="shared" si="129"/>
        <v>254113.19999999998</v>
      </c>
      <c r="M406" s="9" t="s">
        <v>58</v>
      </c>
      <c r="N406" s="8" t="s">
        <v>61</v>
      </c>
      <c r="O406" s="8">
        <f>IFERROR(VLOOKUP(N406,Kurallar!$G$3:$H$22,2,0),0)</f>
        <v>15</v>
      </c>
    </row>
    <row r="407" spans="1:15" hidden="1" x14ac:dyDescent="0.25">
      <c r="A407" s="8">
        <v>40</v>
      </c>
      <c r="B407" t="str">
        <f t="shared" si="125"/>
        <v>ЩК_S3</v>
      </c>
      <c r="C407" s="9" t="s">
        <v>31</v>
      </c>
      <c r="E407" s="9" t="s">
        <v>32</v>
      </c>
      <c r="F407" s="11"/>
      <c r="G407" s="11">
        <f>ROUND(SUM(H400:H406)*Kurallar!$B$2,2)</f>
        <v>4250.76</v>
      </c>
      <c r="H407" s="11">
        <f>G407*I407</f>
        <v>4250.76</v>
      </c>
      <c r="I407" s="8">
        <v>1</v>
      </c>
      <c r="J407" s="8" t="s">
        <v>19</v>
      </c>
      <c r="K407" s="8" t="s">
        <v>33</v>
      </c>
      <c r="L407" s="11">
        <f>H407*$I$399</f>
        <v>140275.08000000002</v>
      </c>
      <c r="M407" s="9" t="s">
        <v>31</v>
      </c>
    </row>
    <row r="408" spans="1:15" hidden="1" x14ac:dyDescent="0.25">
      <c r="A408" s="8">
        <v>40</v>
      </c>
      <c r="B408" t="str">
        <f t="shared" si="125"/>
        <v>ЩК_S3</v>
      </c>
      <c r="C408" s="9" t="s">
        <v>34</v>
      </c>
      <c r="E408" s="9" t="s">
        <v>35</v>
      </c>
      <c r="F408" s="11">
        <f>ROUND(I408/60,1)</f>
        <v>2.2000000000000002</v>
      </c>
      <c r="G408" s="11">
        <f>Kurallar!$B$3</f>
        <v>100</v>
      </c>
      <c r="H408" s="11">
        <f>G408*I408</f>
        <v>13100</v>
      </c>
      <c r="I408" s="8">
        <f>ROUND(SUMPRODUCT(I400:I406,O400:O406)*Kurallar!$B$4,0)</f>
        <v>131</v>
      </c>
      <c r="J408" s="8" t="s">
        <v>36</v>
      </c>
      <c r="K408" s="8" t="s">
        <v>33</v>
      </c>
      <c r="L408" s="11">
        <f>H408*$I$399</f>
        <v>432300</v>
      </c>
      <c r="M408" s="9" t="s">
        <v>34</v>
      </c>
    </row>
    <row r="409" spans="1:15" hidden="1" x14ac:dyDescent="0.25">
      <c r="A409" s="12"/>
      <c r="B409" s="13" t="s">
        <v>358</v>
      </c>
      <c r="C409" s="12"/>
      <c r="D409" s="12"/>
      <c r="E409" s="13" t="s">
        <v>359</v>
      </c>
      <c r="F409" s="12"/>
      <c r="G409" s="12"/>
      <c r="H409" s="14">
        <f>SUBTOTAL(9,H400:H408)</f>
        <v>0</v>
      </c>
      <c r="I409" s="15">
        <v>33</v>
      </c>
      <c r="J409" s="15" t="s">
        <v>19</v>
      </c>
      <c r="K409" s="12"/>
      <c r="L409" s="14">
        <f>SUBTOTAL(9,L400:L408)</f>
        <v>0</v>
      </c>
      <c r="M409" s="12"/>
      <c r="N409" s="12"/>
      <c r="O409" s="12"/>
    </row>
    <row r="410" spans="1:15" hidden="1" x14ac:dyDescent="0.25">
      <c r="A410" s="4">
        <v>41</v>
      </c>
      <c r="B410" s="5" t="s">
        <v>360</v>
      </c>
      <c r="C410" s="6" t="s">
        <v>18</v>
      </c>
      <c r="D410" s="6"/>
      <c r="E410" s="7" t="s">
        <v>360</v>
      </c>
      <c r="F410" s="6"/>
      <c r="G410" s="6"/>
      <c r="H410" s="6"/>
      <c r="I410" s="4">
        <v>33</v>
      </c>
      <c r="J410" s="4" t="s">
        <v>19</v>
      </c>
      <c r="K410" s="6"/>
      <c r="L410" s="6"/>
      <c r="M410" s="6"/>
      <c r="N410" s="6"/>
      <c r="O410" s="6"/>
    </row>
    <row r="411" spans="1:15" ht="24" hidden="1" x14ac:dyDescent="0.25">
      <c r="A411" s="8">
        <v>41</v>
      </c>
      <c r="B411" s="9" t="str">
        <f t="shared" ref="B411:B419" si="130">B410</f>
        <v>ЩК2_S3</v>
      </c>
      <c r="C411" s="9" t="s">
        <v>20</v>
      </c>
      <c r="D411" s="9" t="s">
        <v>774</v>
      </c>
      <c r="E411" s="10" t="s">
        <v>775</v>
      </c>
      <c r="F411" s="11">
        <v>10700</v>
      </c>
      <c r="G411" s="11">
        <f>IF(F411="","",ROUND(F411*VLOOKUP(K411,Kurallar!$D$3:$E$14,2,0),2))</f>
        <v>10700</v>
      </c>
      <c r="H411" s="11">
        <f t="shared" ref="H411" si="131">IF(G411="","",G411*I411)</f>
        <v>10700</v>
      </c>
      <c r="I411" s="8">
        <v>1</v>
      </c>
      <c r="J411" s="8" t="s">
        <v>23</v>
      </c>
      <c r="K411" s="8" t="s">
        <v>776</v>
      </c>
      <c r="L411" s="11">
        <f t="shared" ref="L411" si="132">IF(H411="","",H411*$I$181)</f>
        <v>10700</v>
      </c>
      <c r="M411" s="9" t="s">
        <v>20</v>
      </c>
      <c r="N411" s="8" t="s">
        <v>25</v>
      </c>
      <c r="O411" s="8">
        <f>IFERROR(VLOOKUP(N411,Kurallar!$G$3:$H$22,2,0),0)</f>
        <v>8</v>
      </c>
    </row>
    <row r="412" spans="1:15" hidden="1" x14ac:dyDescent="0.25">
      <c r="A412" s="8">
        <v>41</v>
      </c>
      <c r="B412" s="9" t="str">
        <f t="shared" si="130"/>
        <v>ЩК2_S3</v>
      </c>
      <c r="C412" s="9" t="s">
        <v>26</v>
      </c>
      <c r="D412" s="9" t="s">
        <v>772</v>
      </c>
      <c r="E412" s="10" t="s">
        <v>773</v>
      </c>
      <c r="F412" s="11">
        <v>2824</v>
      </c>
      <c r="G412" s="11">
        <f>IF(F412="","",ROUND(F412*VLOOKUP(K412,Kurallar!$D$3:$E$14,2,0),2))</f>
        <v>1694.4</v>
      </c>
      <c r="H412" s="11">
        <f t="shared" ref="H412:H417" si="133">IF(G412="","",G412*I412)</f>
        <v>1694.4</v>
      </c>
      <c r="I412" s="8">
        <v>1</v>
      </c>
      <c r="J412" s="8" t="s">
        <v>23</v>
      </c>
      <c r="K412" s="8" t="s">
        <v>29</v>
      </c>
      <c r="L412" s="11">
        <f t="shared" ref="L412:L417" si="134">IF(H412="","",H412*$I$410)</f>
        <v>55915.200000000004</v>
      </c>
      <c r="M412" s="9" t="s">
        <v>26</v>
      </c>
      <c r="N412" s="8" t="s">
        <v>42</v>
      </c>
      <c r="O412" s="8">
        <f>IFERROR(VLOOKUP(N412,Kurallar!$G$3:$H$22,2,0),0)</f>
        <v>15</v>
      </c>
    </row>
    <row r="413" spans="1:15" hidden="1" x14ac:dyDescent="0.25">
      <c r="A413" s="8">
        <v>41</v>
      </c>
      <c r="B413" s="9" t="str">
        <f t="shared" si="130"/>
        <v>ЩК2_S3</v>
      </c>
      <c r="C413" s="9" t="s">
        <v>54</v>
      </c>
      <c r="D413" s="9" t="s">
        <v>93</v>
      </c>
      <c r="E413" s="10" t="s">
        <v>94</v>
      </c>
      <c r="F413" s="11">
        <v>783</v>
      </c>
      <c r="G413" s="11">
        <f>IF(F413="","",ROUND(F413*VLOOKUP(K413,Kurallar!$D$3:$E$14,2,0),2))</f>
        <v>469.8</v>
      </c>
      <c r="H413" s="11">
        <f t="shared" si="133"/>
        <v>469.8</v>
      </c>
      <c r="I413" s="8">
        <v>1</v>
      </c>
      <c r="J413" s="8" t="s">
        <v>23</v>
      </c>
      <c r="K413" s="8" t="s">
        <v>29</v>
      </c>
      <c r="L413" s="11">
        <f t="shared" si="134"/>
        <v>15503.4</v>
      </c>
      <c r="M413" s="9" t="s">
        <v>54</v>
      </c>
      <c r="N413" s="8" t="s">
        <v>57</v>
      </c>
      <c r="O413" s="8">
        <f>IFERROR(VLOOKUP(N413,Kurallar!$G$3:$H$22,2,0),0)</f>
        <v>3</v>
      </c>
    </row>
    <row r="414" spans="1:15" hidden="1" x14ac:dyDescent="0.25">
      <c r="A414" s="8">
        <v>41</v>
      </c>
      <c r="B414" s="9" t="str">
        <f t="shared" si="130"/>
        <v>ЩК2_S3</v>
      </c>
      <c r="C414" s="9" t="s">
        <v>54</v>
      </c>
      <c r="D414" s="9" t="s">
        <v>95</v>
      </c>
      <c r="E414" s="10" t="s">
        <v>96</v>
      </c>
      <c r="F414" s="11">
        <v>796</v>
      </c>
      <c r="G414" s="11">
        <f>IF(F414="","",ROUND(F414*VLOOKUP(K414,Kurallar!$D$3:$E$14,2,0),2))</f>
        <v>477.6</v>
      </c>
      <c r="H414" s="11">
        <f t="shared" si="133"/>
        <v>1910.4</v>
      </c>
      <c r="I414" s="8">
        <v>4</v>
      </c>
      <c r="J414" s="8" t="s">
        <v>23</v>
      </c>
      <c r="K414" s="8" t="s">
        <v>29</v>
      </c>
      <c r="L414" s="11">
        <f t="shared" si="134"/>
        <v>63043.200000000004</v>
      </c>
      <c r="M414" s="9" t="s">
        <v>54</v>
      </c>
      <c r="N414" s="8" t="s">
        <v>57</v>
      </c>
      <c r="O414" s="8">
        <f>IFERROR(VLOOKUP(N414,Kurallar!$G$3:$H$22,2,0),0)</f>
        <v>3</v>
      </c>
    </row>
    <row r="415" spans="1:15" hidden="1" x14ac:dyDescent="0.25">
      <c r="A415" s="8">
        <v>41</v>
      </c>
      <c r="B415" s="9" t="str">
        <f t="shared" si="130"/>
        <v>ЩК2_S3</v>
      </c>
      <c r="C415" s="9" t="s">
        <v>50</v>
      </c>
      <c r="D415" s="9" t="s">
        <v>97</v>
      </c>
      <c r="E415" s="10" t="s">
        <v>98</v>
      </c>
      <c r="F415" s="11">
        <v>5556</v>
      </c>
      <c r="G415" s="11">
        <f>IF(F415="","",ROUND(F415*VLOOKUP(K415,Kurallar!$D$3:$E$14,2,0),2))</f>
        <v>3333.6</v>
      </c>
      <c r="H415" s="11">
        <f t="shared" si="133"/>
        <v>6667.2</v>
      </c>
      <c r="I415" s="8">
        <v>2</v>
      </c>
      <c r="J415" s="8" t="s">
        <v>23</v>
      </c>
      <c r="K415" s="8" t="s">
        <v>29</v>
      </c>
      <c r="L415" s="11">
        <f t="shared" si="134"/>
        <v>220017.6</v>
      </c>
      <c r="M415" s="9" t="s">
        <v>50</v>
      </c>
      <c r="N415" s="8" t="s">
        <v>53</v>
      </c>
      <c r="O415" s="8">
        <f>IFERROR(VLOOKUP(N415,Kurallar!$G$3:$H$22,2,0),0)</f>
        <v>16</v>
      </c>
    </row>
    <row r="416" spans="1:15" hidden="1" x14ac:dyDescent="0.25">
      <c r="A416" s="8">
        <v>41</v>
      </c>
      <c r="B416" s="9" t="str">
        <f t="shared" si="130"/>
        <v>ЩК2_S3</v>
      </c>
      <c r="C416" s="9" t="s">
        <v>50</v>
      </c>
      <c r="D416" s="9" t="s">
        <v>99</v>
      </c>
      <c r="E416" s="10" t="s">
        <v>100</v>
      </c>
      <c r="F416" s="11">
        <v>5632</v>
      </c>
      <c r="G416" s="11">
        <f>IF(F416="","",ROUND(F416*VLOOKUP(K416,Kurallar!$D$3:$E$14,2,0),2))</f>
        <v>3379.2</v>
      </c>
      <c r="H416" s="11">
        <f t="shared" si="133"/>
        <v>6758.4</v>
      </c>
      <c r="I416" s="8">
        <v>2</v>
      </c>
      <c r="J416" s="8" t="s">
        <v>23</v>
      </c>
      <c r="K416" s="8" t="s">
        <v>29</v>
      </c>
      <c r="L416" s="11">
        <f t="shared" si="134"/>
        <v>223027.19999999998</v>
      </c>
      <c r="M416" s="9" t="s">
        <v>50</v>
      </c>
      <c r="N416" s="8" t="s">
        <v>53</v>
      </c>
      <c r="O416" s="8">
        <f>IFERROR(VLOOKUP(N416,Kurallar!$G$3:$H$22,2,0),0)</f>
        <v>16</v>
      </c>
    </row>
    <row r="417" spans="1:15" hidden="1" x14ac:dyDescent="0.25">
      <c r="A417" s="8">
        <v>41</v>
      </c>
      <c r="B417" s="9" t="str">
        <f t="shared" si="130"/>
        <v>ЩК2_S3</v>
      </c>
      <c r="C417" s="9" t="s">
        <v>58</v>
      </c>
      <c r="D417" s="9" t="s">
        <v>101</v>
      </c>
      <c r="E417" s="10" t="s">
        <v>102</v>
      </c>
      <c r="F417" s="11">
        <v>12834</v>
      </c>
      <c r="G417" s="11">
        <f>IF(F417="","",ROUND(F417*VLOOKUP(K417,Kurallar!$D$3:$E$14,2,0),2))</f>
        <v>7700.4</v>
      </c>
      <c r="H417" s="11">
        <f t="shared" si="133"/>
        <v>7700.4</v>
      </c>
      <c r="I417" s="8">
        <v>1</v>
      </c>
      <c r="J417" s="8" t="s">
        <v>23</v>
      </c>
      <c r="K417" s="8" t="s">
        <v>29</v>
      </c>
      <c r="L417" s="11">
        <f t="shared" si="134"/>
        <v>254113.19999999998</v>
      </c>
      <c r="M417" s="9" t="s">
        <v>58</v>
      </c>
      <c r="N417" s="8" t="s">
        <v>61</v>
      </c>
      <c r="O417" s="8">
        <f>IFERROR(VLOOKUP(N417,Kurallar!$G$3:$H$22,2,0),0)</f>
        <v>15</v>
      </c>
    </row>
    <row r="418" spans="1:15" hidden="1" x14ac:dyDescent="0.25">
      <c r="A418" s="8">
        <v>41</v>
      </c>
      <c r="B418" t="str">
        <f t="shared" si="130"/>
        <v>ЩК2_S3</v>
      </c>
      <c r="C418" s="9" t="s">
        <v>31</v>
      </c>
      <c r="E418" s="9" t="s">
        <v>32</v>
      </c>
      <c r="F418" s="11"/>
      <c r="G418" s="11">
        <f>ROUND(SUM(H411:H417)*Kurallar!$B$2,2)</f>
        <v>4308.07</v>
      </c>
      <c r="H418" s="11">
        <f>G418*I418</f>
        <v>4308.07</v>
      </c>
      <c r="I418" s="8">
        <v>1</v>
      </c>
      <c r="J418" s="8" t="s">
        <v>19</v>
      </c>
      <c r="K418" s="8" t="s">
        <v>33</v>
      </c>
      <c r="L418" s="11">
        <f>H418*$I$410</f>
        <v>142166.31</v>
      </c>
      <c r="M418" s="9" t="s">
        <v>31</v>
      </c>
    </row>
    <row r="419" spans="1:15" hidden="1" x14ac:dyDescent="0.25">
      <c r="A419" s="8">
        <v>41</v>
      </c>
      <c r="B419" t="str">
        <f t="shared" si="130"/>
        <v>ЩК2_S3</v>
      </c>
      <c r="C419" s="9" t="s">
        <v>34</v>
      </c>
      <c r="E419" s="9" t="s">
        <v>35</v>
      </c>
      <c r="F419" s="11">
        <f>ROUND(I419/60,1)</f>
        <v>2.2999999999999998</v>
      </c>
      <c r="G419" s="11">
        <f>Kurallar!$B$3</f>
        <v>100</v>
      </c>
      <c r="H419" s="11">
        <f>G419*I419</f>
        <v>13500</v>
      </c>
      <c r="I419" s="8">
        <f>ROUND(SUMPRODUCT(I411:I417,O411:O417)*Kurallar!$B$4,0)</f>
        <v>135</v>
      </c>
      <c r="J419" s="8" t="s">
        <v>36</v>
      </c>
      <c r="K419" s="8" t="s">
        <v>33</v>
      </c>
      <c r="L419" s="11">
        <f>H419*$I$410</f>
        <v>445500</v>
      </c>
      <c r="M419" s="9" t="s">
        <v>34</v>
      </c>
    </row>
    <row r="420" spans="1:15" hidden="1" x14ac:dyDescent="0.25">
      <c r="A420" s="12"/>
      <c r="B420" s="13" t="s">
        <v>361</v>
      </c>
      <c r="C420" s="12"/>
      <c r="D420" s="12"/>
      <c r="E420" s="13" t="s">
        <v>362</v>
      </c>
      <c r="F420" s="12"/>
      <c r="G420" s="12"/>
      <c r="H420" s="14">
        <f>SUBTOTAL(9,H411:H419)</f>
        <v>0</v>
      </c>
      <c r="I420" s="15">
        <v>33</v>
      </c>
      <c r="J420" s="15" t="s">
        <v>19</v>
      </c>
      <c r="K420" s="12"/>
      <c r="L420" s="14">
        <f>SUBTOTAL(9,L411:L419)</f>
        <v>0</v>
      </c>
      <c r="M420" s="12"/>
      <c r="N420" s="12"/>
      <c r="O420" s="12"/>
    </row>
    <row r="421" spans="1:15" hidden="1" x14ac:dyDescent="0.25">
      <c r="A421" s="4">
        <v>42</v>
      </c>
      <c r="B421" s="5" t="s">
        <v>363</v>
      </c>
      <c r="C421" s="6" t="s">
        <v>18</v>
      </c>
      <c r="D421" s="6"/>
      <c r="E421" s="7" t="s">
        <v>363</v>
      </c>
      <c r="F421" s="6"/>
      <c r="G421" s="6"/>
      <c r="H421" s="6"/>
      <c r="I421" s="4">
        <v>1</v>
      </c>
      <c r="J421" s="4" t="s">
        <v>19</v>
      </c>
      <c r="K421" s="6"/>
      <c r="L421" s="6"/>
      <c r="M421" s="6"/>
      <c r="N421" s="6"/>
      <c r="O421" s="6"/>
    </row>
    <row r="422" spans="1:15" hidden="1" x14ac:dyDescent="0.25">
      <c r="A422" s="8">
        <v>42</v>
      </c>
      <c r="B422" s="9" t="str">
        <f t="shared" ref="B422:B434" si="135">B421</f>
        <v>ДУ1 (ШУН/В-R3 15.0 квТ) (S3)</v>
      </c>
      <c r="C422" s="9" t="s">
        <v>20</v>
      </c>
      <c r="D422" s="9" t="s">
        <v>109</v>
      </c>
      <c r="E422" s="10" t="s">
        <v>110</v>
      </c>
      <c r="F422" s="11">
        <v>10305</v>
      </c>
      <c r="G422" s="11">
        <f>IF(F422="","",ROUND(F422*VLOOKUP(K422,Kurallar!$D$3:$E$14,2,0),2))</f>
        <v>6183</v>
      </c>
      <c r="H422" s="11">
        <f t="shared" ref="H422" si="136">IF(G422="","",G422*I422)</f>
        <v>6183</v>
      </c>
      <c r="I422" s="8">
        <v>1</v>
      </c>
      <c r="J422" s="8" t="s">
        <v>23</v>
      </c>
      <c r="K422" s="8" t="s">
        <v>24</v>
      </c>
      <c r="L422" s="11">
        <f t="shared" ref="L422" si="137">IF(H422="","",H422*$I$181)</f>
        <v>6183</v>
      </c>
      <c r="M422" s="9" t="s">
        <v>20</v>
      </c>
      <c r="N422" s="8" t="s">
        <v>25</v>
      </c>
      <c r="O422" s="8">
        <f>IFERROR(VLOOKUP(N422,Kurallar!$G$3:$H$22,2,0),0)</f>
        <v>8</v>
      </c>
    </row>
    <row r="423" spans="1:15" hidden="1" x14ac:dyDescent="0.25">
      <c r="A423" s="8">
        <v>42</v>
      </c>
      <c r="B423" s="9" t="str">
        <f t="shared" si="135"/>
        <v>ДУ1 (ШУН/В-R3 15.0 квТ) (S3)</v>
      </c>
      <c r="C423" s="9" t="s">
        <v>54</v>
      </c>
      <c r="D423" s="9" t="s">
        <v>183</v>
      </c>
      <c r="E423" s="10" t="s">
        <v>184</v>
      </c>
      <c r="F423" s="11">
        <v>3985</v>
      </c>
      <c r="G423" s="11">
        <f>IF(F423="","",ROUND(F423*VLOOKUP(K423,Kurallar!$D$3:$E$14,2,0),2))</f>
        <v>2391</v>
      </c>
      <c r="H423" s="11">
        <f t="shared" ref="H423:H432" si="138">IF(G423="","",G423*I423)</f>
        <v>2391</v>
      </c>
      <c r="I423" s="8">
        <v>1</v>
      </c>
      <c r="J423" s="8" t="s">
        <v>23</v>
      </c>
      <c r="K423" s="8" t="s">
        <v>29</v>
      </c>
      <c r="L423" s="11">
        <f t="shared" ref="L423:L432" si="139">IF(H423="","",H423*$I$421)</f>
        <v>2391</v>
      </c>
      <c r="M423" s="9" t="s">
        <v>54</v>
      </c>
      <c r="N423" s="8" t="s">
        <v>113</v>
      </c>
      <c r="O423" s="8">
        <f>IFERROR(VLOOKUP(N423,Kurallar!$G$3:$H$22,2,0),0)</f>
        <v>10</v>
      </c>
    </row>
    <row r="424" spans="1:15" hidden="1" x14ac:dyDescent="0.25">
      <c r="A424" s="8">
        <v>42</v>
      </c>
      <c r="B424" s="9" t="str">
        <f t="shared" si="135"/>
        <v>ДУ1 (ШУН/В-R3 15.0 квТ) (S3)</v>
      </c>
      <c r="C424" s="9" t="s">
        <v>58</v>
      </c>
      <c r="D424" s="9" t="s">
        <v>185</v>
      </c>
      <c r="E424" s="10" t="s">
        <v>186</v>
      </c>
      <c r="F424" s="11">
        <v>16855</v>
      </c>
      <c r="G424" s="11">
        <f>IF(F424="","",ROUND(F424*VLOOKUP(K424,Kurallar!$D$3:$E$14,2,0),2))</f>
        <v>10113</v>
      </c>
      <c r="H424" s="11">
        <f t="shared" si="138"/>
        <v>10113</v>
      </c>
      <c r="I424" s="8">
        <v>1</v>
      </c>
      <c r="J424" s="8" t="s">
        <v>23</v>
      </c>
      <c r="K424" s="8" t="s">
        <v>29</v>
      </c>
      <c r="L424" s="11">
        <f t="shared" si="139"/>
        <v>10113</v>
      </c>
      <c r="M424" s="9" t="s">
        <v>58</v>
      </c>
      <c r="N424" s="8" t="s">
        <v>61</v>
      </c>
      <c r="O424" s="8">
        <f>IFERROR(VLOOKUP(N424,Kurallar!$G$3:$H$22,2,0),0)</f>
        <v>15</v>
      </c>
    </row>
    <row r="425" spans="1:15" hidden="1" x14ac:dyDescent="0.25">
      <c r="A425" s="8">
        <v>42</v>
      </c>
      <c r="B425" s="9" t="str">
        <f t="shared" si="135"/>
        <v>ДУ1 (ШУН/В-R3 15.0 квТ) (S3)</v>
      </c>
      <c r="C425" s="9" t="s">
        <v>86</v>
      </c>
      <c r="D425" s="9" t="s">
        <v>116</v>
      </c>
      <c r="E425" s="10" t="s">
        <v>117</v>
      </c>
      <c r="F425" s="11">
        <v>571</v>
      </c>
      <c r="G425" s="11">
        <f>IF(F425="","",ROUND(F425*VLOOKUP(K425,Kurallar!$D$3:$E$14,2,0),2))</f>
        <v>342.6</v>
      </c>
      <c r="H425" s="11">
        <f t="shared" si="138"/>
        <v>342.6</v>
      </c>
      <c r="I425" s="8">
        <v>1</v>
      </c>
      <c r="J425" s="8" t="s">
        <v>23</v>
      </c>
      <c r="K425" s="8" t="s">
        <v>29</v>
      </c>
      <c r="L425" s="11">
        <f t="shared" si="139"/>
        <v>342.6</v>
      </c>
      <c r="M425" s="9" t="s">
        <v>86</v>
      </c>
      <c r="N425" s="8" t="s">
        <v>89</v>
      </c>
      <c r="O425" s="8">
        <f>IFERROR(VLOOKUP(N425,Kurallar!$G$3:$H$22,2,0),0)</f>
        <v>5</v>
      </c>
    </row>
    <row r="426" spans="1:15" hidden="1" x14ac:dyDescent="0.25">
      <c r="A426" s="8">
        <v>42</v>
      </c>
      <c r="B426" s="9" t="str">
        <f t="shared" si="135"/>
        <v>ДУ1 (ШУН/В-R3 15.0 квТ) (S3)</v>
      </c>
      <c r="C426" s="9" t="s">
        <v>86</v>
      </c>
      <c r="D426" s="9" t="s">
        <v>118</v>
      </c>
      <c r="E426" s="10" t="s">
        <v>119</v>
      </c>
      <c r="F426" s="11">
        <v>589</v>
      </c>
      <c r="G426" s="11">
        <f>IF(F426="","",ROUND(F426*VLOOKUP(K426,Kurallar!$D$3:$E$14,2,0),2))</f>
        <v>353.4</v>
      </c>
      <c r="H426" s="11">
        <f t="shared" si="138"/>
        <v>353.4</v>
      </c>
      <c r="I426" s="8">
        <v>1</v>
      </c>
      <c r="J426" s="8" t="s">
        <v>23</v>
      </c>
      <c r="K426" s="8" t="s">
        <v>29</v>
      </c>
      <c r="L426" s="11">
        <f t="shared" si="139"/>
        <v>353.4</v>
      </c>
      <c r="M426" s="9" t="s">
        <v>86</v>
      </c>
      <c r="N426" s="8" t="s">
        <v>89</v>
      </c>
      <c r="O426" s="8">
        <f>IFERROR(VLOOKUP(N426,Kurallar!$G$3:$H$22,2,0),0)</f>
        <v>5</v>
      </c>
    </row>
    <row r="427" spans="1:15" hidden="1" x14ac:dyDescent="0.25">
      <c r="A427" s="8">
        <v>42</v>
      </c>
      <c r="B427" s="9" t="str">
        <f t="shared" si="135"/>
        <v>ДУ1 (ШУН/В-R3 15.0 квТ) (S3)</v>
      </c>
      <c r="C427" s="9" t="s">
        <v>86</v>
      </c>
      <c r="D427" s="9" t="s">
        <v>120</v>
      </c>
      <c r="E427" s="10" t="s">
        <v>121</v>
      </c>
      <c r="F427" s="11">
        <v>571</v>
      </c>
      <c r="G427" s="11">
        <f>IF(F427="","",ROUND(F427*VLOOKUP(K427,Kurallar!$D$3:$E$14,2,0),2))</f>
        <v>342.6</v>
      </c>
      <c r="H427" s="11">
        <f t="shared" si="138"/>
        <v>342.6</v>
      </c>
      <c r="I427" s="8">
        <v>1</v>
      </c>
      <c r="J427" s="8" t="s">
        <v>23</v>
      </c>
      <c r="K427" s="8" t="s">
        <v>29</v>
      </c>
      <c r="L427" s="11">
        <f t="shared" si="139"/>
        <v>342.6</v>
      </c>
      <c r="M427" s="9" t="s">
        <v>86</v>
      </c>
      <c r="N427" s="8" t="s">
        <v>89</v>
      </c>
      <c r="O427" s="8">
        <f>IFERROR(VLOOKUP(N427,Kurallar!$G$3:$H$22,2,0),0)</f>
        <v>5</v>
      </c>
    </row>
    <row r="428" spans="1:15" hidden="1" x14ac:dyDescent="0.25">
      <c r="A428" s="8">
        <v>42</v>
      </c>
      <c r="B428" s="9" t="str">
        <f t="shared" si="135"/>
        <v>ДУ1 (ШУН/В-R3 15.0 квТ) (S3)</v>
      </c>
      <c r="C428" s="9" t="s">
        <v>54</v>
      </c>
      <c r="D428" s="9" t="s">
        <v>122</v>
      </c>
      <c r="E428" s="10" t="s">
        <v>123</v>
      </c>
      <c r="F428" s="11">
        <v>1086</v>
      </c>
      <c r="G428" s="11">
        <f>IF(F428="","",ROUND(F428*VLOOKUP(K428,Kurallar!$D$3:$E$14,2,0),2))</f>
        <v>651.6</v>
      </c>
      <c r="H428" s="11">
        <f t="shared" si="138"/>
        <v>1303.2</v>
      </c>
      <c r="I428" s="8">
        <v>2</v>
      </c>
      <c r="J428" s="8" t="s">
        <v>23</v>
      </c>
      <c r="K428" s="8" t="s">
        <v>29</v>
      </c>
      <c r="L428" s="11">
        <f t="shared" si="139"/>
        <v>1303.2</v>
      </c>
      <c r="M428" s="9" t="s">
        <v>54</v>
      </c>
      <c r="N428" s="8" t="s">
        <v>57</v>
      </c>
      <c r="O428" s="8">
        <f>IFERROR(VLOOKUP(N428,Kurallar!$G$3:$H$22,2,0),0)</f>
        <v>3</v>
      </c>
    </row>
    <row r="429" spans="1:15" hidden="1" x14ac:dyDescent="0.25">
      <c r="A429" s="8">
        <v>42</v>
      </c>
      <c r="B429" s="9" t="str">
        <f t="shared" si="135"/>
        <v>ДУ1 (ШУН/В-R3 15.0 квТ) (S3)</v>
      </c>
      <c r="C429" s="9" t="s">
        <v>62</v>
      </c>
      <c r="D429" s="9" t="s">
        <v>187</v>
      </c>
      <c r="E429" s="10" t="s">
        <v>188</v>
      </c>
      <c r="F429" s="11">
        <v>9156</v>
      </c>
      <c r="G429" s="11">
        <f>IF(F429="","",ROUND(F429*VLOOKUP(K429,Kurallar!$D$3:$E$14,2,0),2))</f>
        <v>5493.6</v>
      </c>
      <c r="H429" s="11">
        <f t="shared" si="138"/>
        <v>5493.6</v>
      </c>
      <c r="I429" s="8">
        <v>1</v>
      </c>
      <c r="J429" s="8" t="s">
        <v>23</v>
      </c>
      <c r="K429" s="8" t="s">
        <v>29</v>
      </c>
      <c r="L429" s="11">
        <f t="shared" si="139"/>
        <v>5493.6</v>
      </c>
      <c r="M429" s="9" t="s">
        <v>62</v>
      </c>
      <c r="N429" s="8" t="s">
        <v>66</v>
      </c>
      <c r="O429" s="8">
        <f>IFERROR(VLOOKUP(N429,Kurallar!$G$3:$H$22,2,0),0)</f>
        <v>5</v>
      </c>
    </row>
    <row r="430" spans="1:15" hidden="1" x14ac:dyDescent="0.25">
      <c r="A430" s="8">
        <v>42</v>
      </c>
      <c r="B430" s="9" t="str">
        <f t="shared" si="135"/>
        <v>ДУ1 (ШУН/В-R3 15.0 квТ) (S3)</v>
      </c>
      <c r="C430" s="9" t="s">
        <v>58</v>
      </c>
      <c r="D430" s="9" t="s">
        <v>126</v>
      </c>
      <c r="E430" s="10" t="s">
        <v>127</v>
      </c>
      <c r="F430" s="11">
        <v>2177</v>
      </c>
      <c r="G430" s="11">
        <f>IF(F430="","",ROUND(F430*VLOOKUP(K430,Kurallar!$D$3:$E$14,2,0),2))</f>
        <v>1306.2</v>
      </c>
      <c r="H430" s="11">
        <f t="shared" si="138"/>
        <v>1306.2</v>
      </c>
      <c r="I430" s="8">
        <v>1</v>
      </c>
      <c r="J430" s="8" t="s">
        <v>23</v>
      </c>
      <c r="K430" s="8" t="s">
        <v>29</v>
      </c>
      <c r="L430" s="11">
        <f t="shared" si="139"/>
        <v>1306.2</v>
      </c>
      <c r="M430" s="9" t="s">
        <v>58</v>
      </c>
      <c r="N430" s="8" t="s">
        <v>61</v>
      </c>
      <c r="O430" s="8">
        <f>IFERROR(VLOOKUP(N430,Kurallar!$G$3:$H$22,2,0),0)</f>
        <v>15</v>
      </c>
    </row>
    <row r="431" spans="1:15" hidden="1" x14ac:dyDescent="0.25">
      <c r="A431" s="8">
        <v>42</v>
      </c>
      <c r="B431" s="9" t="str">
        <f t="shared" si="135"/>
        <v>ДУ1 (ШУН/В-R3 15.0 квТ) (S3)</v>
      </c>
      <c r="C431" s="9" t="s">
        <v>62</v>
      </c>
      <c r="D431" s="9" t="s">
        <v>128</v>
      </c>
      <c r="E431" s="10" t="s">
        <v>129</v>
      </c>
      <c r="F431" s="11">
        <v>1565</v>
      </c>
      <c r="G431" s="11">
        <f>IF(F431="","",ROUND(F431*VLOOKUP(K431,Kurallar!$D$3:$E$14,2,0),2))</f>
        <v>939</v>
      </c>
      <c r="H431" s="11">
        <f t="shared" si="138"/>
        <v>1878</v>
      </c>
      <c r="I431" s="8">
        <v>2</v>
      </c>
      <c r="J431" s="8" t="s">
        <v>23</v>
      </c>
      <c r="K431" s="8" t="s">
        <v>29</v>
      </c>
      <c r="L431" s="11">
        <f t="shared" si="139"/>
        <v>1878</v>
      </c>
      <c r="M431" s="9" t="s">
        <v>62</v>
      </c>
      <c r="N431" s="8" t="s">
        <v>66</v>
      </c>
      <c r="O431" s="8">
        <f>IFERROR(VLOOKUP(N431,Kurallar!$G$3:$H$22,2,0),0)</f>
        <v>5</v>
      </c>
    </row>
    <row r="432" spans="1:15" hidden="1" x14ac:dyDescent="0.25">
      <c r="A432" s="8">
        <v>42</v>
      </c>
      <c r="B432" s="9" t="str">
        <f t="shared" si="135"/>
        <v>ДУ1 (ШУН/В-R3 15.0 квТ) (S3)</v>
      </c>
      <c r="C432" s="9" t="s">
        <v>86</v>
      </c>
      <c r="D432" s="9" t="s">
        <v>130</v>
      </c>
      <c r="E432" s="10" t="s">
        <v>131</v>
      </c>
      <c r="F432" s="11">
        <v>682</v>
      </c>
      <c r="G432" s="11">
        <f>IF(F432="","",ROUND(F432*VLOOKUP(K432,Kurallar!$D$3:$E$14,2,0),2))</f>
        <v>409.2</v>
      </c>
      <c r="H432" s="11">
        <f t="shared" si="138"/>
        <v>818.4</v>
      </c>
      <c r="I432" s="8">
        <v>2</v>
      </c>
      <c r="J432" s="8" t="s">
        <v>23</v>
      </c>
      <c r="K432" s="8" t="s">
        <v>29</v>
      </c>
      <c r="L432" s="11">
        <f t="shared" si="139"/>
        <v>818.4</v>
      </c>
      <c r="M432" s="9" t="s">
        <v>86</v>
      </c>
      <c r="N432" s="8" t="s">
        <v>89</v>
      </c>
      <c r="O432" s="8">
        <f>IFERROR(VLOOKUP(N432,Kurallar!$G$3:$H$22,2,0),0)</f>
        <v>5</v>
      </c>
    </row>
    <row r="433" spans="1:15" hidden="1" x14ac:dyDescent="0.25">
      <c r="A433" s="8">
        <v>42</v>
      </c>
      <c r="B433" t="str">
        <f t="shared" si="135"/>
        <v>ДУ1 (ШУН/В-R3 15.0 квТ) (S3)</v>
      </c>
      <c r="C433" s="9" t="s">
        <v>31</v>
      </c>
      <c r="E433" s="9" t="s">
        <v>32</v>
      </c>
      <c r="F433" s="11"/>
      <c r="G433" s="11">
        <f>ROUND(SUM(H422:H432)*Kurallar!$B$2,2)</f>
        <v>3663</v>
      </c>
      <c r="H433" s="11">
        <f>G433*I433</f>
        <v>3663</v>
      </c>
      <c r="I433" s="8">
        <v>1</v>
      </c>
      <c r="J433" s="8" t="s">
        <v>19</v>
      </c>
      <c r="K433" s="8" t="s">
        <v>33</v>
      </c>
      <c r="L433" s="11">
        <f>H433*$I$421</f>
        <v>3663</v>
      </c>
      <c r="M433" s="9" t="s">
        <v>31</v>
      </c>
    </row>
    <row r="434" spans="1:15" hidden="1" x14ac:dyDescent="0.25">
      <c r="A434" s="8">
        <v>42</v>
      </c>
      <c r="B434" t="str">
        <f t="shared" si="135"/>
        <v>ДУ1 (ШУН/В-R3 15.0 квТ) (S3)</v>
      </c>
      <c r="C434" s="9" t="s">
        <v>34</v>
      </c>
      <c r="E434" s="9" t="s">
        <v>35</v>
      </c>
      <c r="F434" s="11">
        <f>ROUND(I434/60,1)</f>
        <v>1.8</v>
      </c>
      <c r="G434" s="11">
        <f>Kurallar!$B$3</f>
        <v>100</v>
      </c>
      <c r="H434" s="11">
        <f>G434*I434</f>
        <v>10800</v>
      </c>
      <c r="I434" s="8">
        <f>ROUND(SUMPRODUCT(I422:I432,O422:O432)*Kurallar!$B$4,0)</f>
        <v>108</v>
      </c>
      <c r="J434" s="8" t="s">
        <v>36</v>
      </c>
      <c r="K434" s="8" t="s">
        <v>33</v>
      </c>
      <c r="L434" s="11">
        <f>H434*$I$421</f>
        <v>10800</v>
      </c>
      <c r="M434" s="9" t="s">
        <v>34</v>
      </c>
    </row>
    <row r="435" spans="1:15" hidden="1" x14ac:dyDescent="0.25">
      <c r="A435" s="12"/>
      <c r="B435" s="13" t="s">
        <v>364</v>
      </c>
      <c r="C435" s="12"/>
      <c r="D435" s="12"/>
      <c r="E435" s="13" t="s">
        <v>365</v>
      </c>
      <c r="F435" s="12"/>
      <c r="G435" s="12"/>
      <c r="H435" s="14">
        <f>SUBTOTAL(9,H422:H434)</f>
        <v>0</v>
      </c>
      <c r="I435" s="15">
        <v>1</v>
      </c>
      <c r="J435" s="15" t="s">
        <v>19</v>
      </c>
      <c r="K435" s="12"/>
      <c r="L435" s="14">
        <f>SUBTOTAL(9,L422:L434)</f>
        <v>0</v>
      </c>
      <c r="M435" s="12"/>
      <c r="N435" s="12"/>
      <c r="O435" s="12"/>
    </row>
    <row r="436" spans="1:15" hidden="1" x14ac:dyDescent="0.25">
      <c r="A436" s="4">
        <v>43</v>
      </c>
      <c r="B436" s="5" t="s">
        <v>366</v>
      </c>
      <c r="C436" s="6" t="s">
        <v>18</v>
      </c>
      <c r="D436" s="6"/>
      <c r="E436" s="7" t="s">
        <v>366</v>
      </c>
      <c r="F436" s="6"/>
      <c r="G436" s="6"/>
      <c r="H436" s="6"/>
      <c r="I436" s="4">
        <v>1</v>
      </c>
      <c r="J436" s="4" t="s">
        <v>19</v>
      </c>
      <c r="K436" s="6"/>
      <c r="L436" s="6"/>
      <c r="M436" s="6"/>
      <c r="N436" s="6"/>
      <c r="O436" s="6"/>
    </row>
    <row r="437" spans="1:15" hidden="1" x14ac:dyDescent="0.25">
      <c r="A437" s="8">
        <v>43</v>
      </c>
      <c r="B437" s="9" t="str">
        <f t="shared" ref="B437:B449" si="140">B436</f>
        <v>ПД1 (ШУН/В-R3 2,2 квТ) (S3)</v>
      </c>
      <c r="C437" s="9" t="s">
        <v>20</v>
      </c>
      <c r="D437" s="9" t="s">
        <v>109</v>
      </c>
      <c r="E437" s="10" t="s">
        <v>110</v>
      </c>
      <c r="F437" s="11">
        <v>10305</v>
      </c>
      <c r="G437" s="11">
        <f>IF(F437="","",ROUND(F437*VLOOKUP(K437,Kurallar!$D$3:$E$14,2,0),2))</f>
        <v>6183</v>
      </c>
      <c r="H437" s="11">
        <f t="shared" ref="H437" si="141">IF(G437="","",G437*I437)</f>
        <v>6183</v>
      </c>
      <c r="I437" s="8">
        <v>1</v>
      </c>
      <c r="J437" s="8" t="s">
        <v>23</v>
      </c>
      <c r="K437" s="8" t="s">
        <v>24</v>
      </c>
      <c r="L437" s="11">
        <f t="shared" ref="L437" si="142">IF(H437="","",H437*$I$181)</f>
        <v>6183</v>
      </c>
      <c r="M437" s="9" t="s">
        <v>20</v>
      </c>
      <c r="N437" s="8" t="s">
        <v>25</v>
      </c>
      <c r="O437" s="8">
        <f>IFERROR(VLOOKUP(N437,Kurallar!$G$3:$H$22,2,0),0)</f>
        <v>8</v>
      </c>
    </row>
    <row r="438" spans="1:15" hidden="1" x14ac:dyDescent="0.25">
      <c r="A438" s="8">
        <v>43</v>
      </c>
      <c r="B438" s="9" t="str">
        <f t="shared" si="140"/>
        <v>ПД1 (ШУН/В-R3 2,2 квТ) (S3)</v>
      </c>
      <c r="C438" s="9" t="s">
        <v>54</v>
      </c>
      <c r="D438" s="9" t="s">
        <v>111</v>
      </c>
      <c r="E438" s="10" t="s">
        <v>112</v>
      </c>
      <c r="F438" s="11">
        <v>3644</v>
      </c>
      <c r="G438" s="11">
        <f>IF(F438="","",ROUND(F438*VLOOKUP(K438,Kurallar!$D$3:$E$14,2,0),2))</f>
        <v>2186.4</v>
      </c>
      <c r="H438" s="11">
        <f t="shared" ref="H438:H447" si="143">IF(G438="","",G438*I438)</f>
        <v>2186.4</v>
      </c>
      <c r="I438" s="8">
        <v>1</v>
      </c>
      <c r="J438" s="8" t="s">
        <v>23</v>
      </c>
      <c r="K438" s="8" t="s">
        <v>29</v>
      </c>
      <c r="L438" s="11">
        <f t="shared" ref="L438:L447" si="144">IF(H438="","",H438*$I$436)</f>
        <v>2186.4</v>
      </c>
      <c r="M438" s="9" t="s">
        <v>54</v>
      </c>
      <c r="N438" s="8" t="s">
        <v>113</v>
      </c>
      <c r="O438" s="8">
        <f>IFERROR(VLOOKUP(N438,Kurallar!$G$3:$H$22,2,0),0)</f>
        <v>10</v>
      </c>
    </row>
    <row r="439" spans="1:15" hidden="1" x14ac:dyDescent="0.25">
      <c r="A439" s="8">
        <v>43</v>
      </c>
      <c r="B439" s="9" t="str">
        <f t="shared" si="140"/>
        <v>ПД1 (ШУН/В-R3 2,2 квТ) (S3)</v>
      </c>
      <c r="C439" s="9" t="s">
        <v>58</v>
      </c>
      <c r="D439" s="9" t="s">
        <v>114</v>
      </c>
      <c r="E439" s="10" t="s">
        <v>115</v>
      </c>
      <c r="F439" s="11">
        <v>5214</v>
      </c>
      <c r="G439" s="11">
        <f>IF(F439="","",ROUND(F439*VLOOKUP(K439,Kurallar!$D$3:$E$14,2,0),2))</f>
        <v>3128.4</v>
      </c>
      <c r="H439" s="11">
        <f t="shared" si="143"/>
        <v>3128.4</v>
      </c>
      <c r="I439" s="8">
        <v>1</v>
      </c>
      <c r="J439" s="8" t="s">
        <v>23</v>
      </c>
      <c r="K439" s="8" t="s">
        <v>29</v>
      </c>
      <c r="L439" s="11">
        <f t="shared" si="144"/>
        <v>3128.4</v>
      </c>
      <c r="M439" s="9" t="s">
        <v>58</v>
      </c>
      <c r="N439" s="8" t="s">
        <v>61</v>
      </c>
      <c r="O439" s="8">
        <f>IFERROR(VLOOKUP(N439,Kurallar!$G$3:$H$22,2,0),0)</f>
        <v>15</v>
      </c>
    </row>
    <row r="440" spans="1:15" hidden="1" x14ac:dyDescent="0.25">
      <c r="A440" s="8">
        <v>43</v>
      </c>
      <c r="B440" s="9" t="str">
        <f t="shared" si="140"/>
        <v>ПД1 (ШУН/В-R3 2,2 квТ) (S3)</v>
      </c>
      <c r="C440" s="9" t="s">
        <v>86</v>
      </c>
      <c r="D440" s="9" t="s">
        <v>116</v>
      </c>
      <c r="E440" s="10" t="s">
        <v>117</v>
      </c>
      <c r="F440" s="11">
        <v>571</v>
      </c>
      <c r="G440" s="11">
        <f>IF(F440="","",ROUND(F440*VLOOKUP(K440,Kurallar!$D$3:$E$14,2,0),2))</f>
        <v>342.6</v>
      </c>
      <c r="H440" s="11">
        <f t="shared" si="143"/>
        <v>342.6</v>
      </c>
      <c r="I440" s="8">
        <v>1</v>
      </c>
      <c r="J440" s="8" t="s">
        <v>23</v>
      </c>
      <c r="K440" s="8" t="s">
        <v>29</v>
      </c>
      <c r="L440" s="11">
        <f t="shared" si="144"/>
        <v>342.6</v>
      </c>
      <c r="M440" s="9" t="s">
        <v>86</v>
      </c>
      <c r="N440" s="8" t="s">
        <v>89</v>
      </c>
      <c r="O440" s="8">
        <f>IFERROR(VLOOKUP(N440,Kurallar!$G$3:$H$22,2,0),0)</f>
        <v>5</v>
      </c>
    </row>
    <row r="441" spans="1:15" hidden="1" x14ac:dyDescent="0.25">
      <c r="A441" s="8">
        <v>43</v>
      </c>
      <c r="B441" s="9" t="str">
        <f t="shared" si="140"/>
        <v>ПД1 (ШУН/В-R3 2,2 квТ) (S3)</v>
      </c>
      <c r="C441" s="9" t="s">
        <v>86</v>
      </c>
      <c r="D441" s="9" t="s">
        <v>118</v>
      </c>
      <c r="E441" s="10" t="s">
        <v>119</v>
      </c>
      <c r="F441" s="11">
        <v>589</v>
      </c>
      <c r="G441" s="11">
        <f>IF(F441="","",ROUND(F441*VLOOKUP(K441,Kurallar!$D$3:$E$14,2,0),2))</f>
        <v>353.4</v>
      </c>
      <c r="H441" s="11">
        <f t="shared" si="143"/>
        <v>353.4</v>
      </c>
      <c r="I441" s="8">
        <v>1</v>
      </c>
      <c r="J441" s="8" t="s">
        <v>23</v>
      </c>
      <c r="K441" s="8" t="s">
        <v>29</v>
      </c>
      <c r="L441" s="11">
        <f t="shared" si="144"/>
        <v>353.4</v>
      </c>
      <c r="M441" s="9" t="s">
        <v>86</v>
      </c>
      <c r="N441" s="8" t="s">
        <v>89</v>
      </c>
      <c r="O441" s="8">
        <f>IFERROR(VLOOKUP(N441,Kurallar!$G$3:$H$22,2,0),0)</f>
        <v>5</v>
      </c>
    </row>
    <row r="442" spans="1:15" hidden="1" x14ac:dyDescent="0.25">
      <c r="A442" s="8">
        <v>43</v>
      </c>
      <c r="B442" s="9" t="str">
        <f t="shared" si="140"/>
        <v>ПД1 (ШУН/В-R3 2,2 квТ) (S3)</v>
      </c>
      <c r="C442" s="9" t="s">
        <v>86</v>
      </c>
      <c r="D442" s="9" t="s">
        <v>120</v>
      </c>
      <c r="E442" s="10" t="s">
        <v>121</v>
      </c>
      <c r="F442" s="11">
        <v>571</v>
      </c>
      <c r="G442" s="11">
        <f>IF(F442="","",ROUND(F442*VLOOKUP(K442,Kurallar!$D$3:$E$14,2,0),2))</f>
        <v>342.6</v>
      </c>
      <c r="H442" s="11">
        <f t="shared" si="143"/>
        <v>342.6</v>
      </c>
      <c r="I442" s="8">
        <v>1</v>
      </c>
      <c r="J442" s="8" t="s">
        <v>23</v>
      </c>
      <c r="K442" s="8" t="s">
        <v>29</v>
      </c>
      <c r="L442" s="11">
        <f t="shared" si="144"/>
        <v>342.6</v>
      </c>
      <c r="M442" s="9" t="s">
        <v>86</v>
      </c>
      <c r="N442" s="8" t="s">
        <v>89</v>
      </c>
      <c r="O442" s="8">
        <f>IFERROR(VLOOKUP(N442,Kurallar!$G$3:$H$22,2,0),0)</f>
        <v>5</v>
      </c>
    </row>
    <row r="443" spans="1:15" hidden="1" x14ac:dyDescent="0.25">
      <c r="A443" s="8">
        <v>43</v>
      </c>
      <c r="B443" s="9" t="str">
        <f t="shared" si="140"/>
        <v>ПД1 (ШУН/В-R3 2,2 квТ) (S3)</v>
      </c>
      <c r="C443" s="9" t="s">
        <v>54</v>
      </c>
      <c r="D443" s="9" t="s">
        <v>122</v>
      </c>
      <c r="E443" s="10" t="s">
        <v>123</v>
      </c>
      <c r="F443" s="11">
        <v>1086</v>
      </c>
      <c r="G443" s="11">
        <f>IF(F443="","",ROUND(F443*VLOOKUP(K443,Kurallar!$D$3:$E$14,2,0),2))</f>
        <v>651.6</v>
      </c>
      <c r="H443" s="11">
        <f t="shared" si="143"/>
        <v>1303.2</v>
      </c>
      <c r="I443" s="8">
        <v>2</v>
      </c>
      <c r="J443" s="8" t="s">
        <v>23</v>
      </c>
      <c r="K443" s="8" t="s">
        <v>29</v>
      </c>
      <c r="L443" s="11">
        <f t="shared" si="144"/>
        <v>1303.2</v>
      </c>
      <c r="M443" s="9" t="s">
        <v>54</v>
      </c>
      <c r="N443" s="8" t="s">
        <v>57</v>
      </c>
      <c r="O443" s="8">
        <f>IFERROR(VLOOKUP(N443,Kurallar!$G$3:$H$22,2,0),0)</f>
        <v>3</v>
      </c>
    </row>
    <row r="444" spans="1:15" hidden="1" x14ac:dyDescent="0.25">
      <c r="A444" s="8">
        <v>43</v>
      </c>
      <c r="B444" s="9" t="str">
        <f t="shared" si="140"/>
        <v>ПД1 (ШУН/В-R3 2,2 квТ) (S3)</v>
      </c>
      <c r="C444" s="9" t="s">
        <v>62</v>
      </c>
      <c r="D444" s="9" t="s">
        <v>124</v>
      </c>
      <c r="E444" s="10" t="s">
        <v>125</v>
      </c>
      <c r="F444" s="11">
        <v>4315</v>
      </c>
      <c r="G444" s="11">
        <f>IF(F444="","",ROUND(F444*VLOOKUP(K444,Kurallar!$D$3:$E$14,2,0),2))</f>
        <v>2589</v>
      </c>
      <c r="H444" s="11">
        <f t="shared" si="143"/>
        <v>2589</v>
      </c>
      <c r="I444" s="8">
        <v>1</v>
      </c>
      <c r="J444" s="8" t="s">
        <v>23</v>
      </c>
      <c r="K444" s="8" t="s">
        <v>29</v>
      </c>
      <c r="L444" s="11">
        <f t="shared" si="144"/>
        <v>2589</v>
      </c>
      <c r="M444" s="9" t="s">
        <v>62</v>
      </c>
      <c r="N444" s="8" t="s">
        <v>66</v>
      </c>
      <c r="O444" s="8">
        <f>IFERROR(VLOOKUP(N444,Kurallar!$G$3:$H$22,2,0),0)</f>
        <v>5</v>
      </c>
    </row>
    <row r="445" spans="1:15" hidden="1" x14ac:dyDescent="0.25">
      <c r="A445" s="8">
        <v>43</v>
      </c>
      <c r="B445" s="9" t="str">
        <f t="shared" si="140"/>
        <v>ПД1 (ШУН/В-R3 2,2 квТ) (S3)</v>
      </c>
      <c r="C445" s="9" t="s">
        <v>58</v>
      </c>
      <c r="D445" s="9" t="s">
        <v>126</v>
      </c>
      <c r="E445" s="10" t="s">
        <v>127</v>
      </c>
      <c r="F445" s="11">
        <v>2177</v>
      </c>
      <c r="G445" s="11">
        <f>IF(F445="","",ROUND(F445*VLOOKUP(K445,Kurallar!$D$3:$E$14,2,0),2))</f>
        <v>1306.2</v>
      </c>
      <c r="H445" s="11">
        <f t="shared" si="143"/>
        <v>1306.2</v>
      </c>
      <c r="I445" s="8">
        <v>1</v>
      </c>
      <c r="J445" s="8" t="s">
        <v>23</v>
      </c>
      <c r="K445" s="8" t="s">
        <v>29</v>
      </c>
      <c r="L445" s="11">
        <f t="shared" si="144"/>
        <v>1306.2</v>
      </c>
      <c r="M445" s="9" t="s">
        <v>58</v>
      </c>
      <c r="N445" s="8" t="s">
        <v>61</v>
      </c>
      <c r="O445" s="8">
        <f>IFERROR(VLOOKUP(N445,Kurallar!$G$3:$H$22,2,0),0)</f>
        <v>15</v>
      </c>
    </row>
    <row r="446" spans="1:15" hidden="1" x14ac:dyDescent="0.25">
      <c r="A446" s="8">
        <v>43</v>
      </c>
      <c r="B446" s="9" t="str">
        <f t="shared" si="140"/>
        <v>ПД1 (ШУН/В-R3 2,2 квТ) (S3)</v>
      </c>
      <c r="C446" s="9" t="s">
        <v>62</v>
      </c>
      <c r="D446" s="9" t="s">
        <v>128</v>
      </c>
      <c r="E446" s="10" t="s">
        <v>129</v>
      </c>
      <c r="F446" s="11">
        <v>1565</v>
      </c>
      <c r="G446" s="11">
        <f>IF(F446="","",ROUND(F446*VLOOKUP(K446,Kurallar!$D$3:$E$14,2,0),2))</f>
        <v>939</v>
      </c>
      <c r="H446" s="11">
        <f t="shared" si="143"/>
        <v>1878</v>
      </c>
      <c r="I446" s="8">
        <v>2</v>
      </c>
      <c r="J446" s="8" t="s">
        <v>23</v>
      </c>
      <c r="K446" s="8" t="s">
        <v>29</v>
      </c>
      <c r="L446" s="11">
        <f t="shared" si="144"/>
        <v>1878</v>
      </c>
      <c r="M446" s="9" t="s">
        <v>62</v>
      </c>
      <c r="N446" s="8" t="s">
        <v>66</v>
      </c>
      <c r="O446" s="8">
        <f>IFERROR(VLOOKUP(N446,Kurallar!$G$3:$H$22,2,0),0)</f>
        <v>5</v>
      </c>
    </row>
    <row r="447" spans="1:15" hidden="1" x14ac:dyDescent="0.25">
      <c r="A447" s="8">
        <v>43</v>
      </c>
      <c r="B447" s="9" t="str">
        <f t="shared" si="140"/>
        <v>ПД1 (ШУН/В-R3 2,2 квТ) (S3)</v>
      </c>
      <c r="C447" s="9" t="s">
        <v>86</v>
      </c>
      <c r="D447" s="9" t="s">
        <v>130</v>
      </c>
      <c r="E447" s="10" t="s">
        <v>131</v>
      </c>
      <c r="F447" s="11">
        <v>682</v>
      </c>
      <c r="G447" s="11">
        <f>IF(F447="","",ROUND(F447*VLOOKUP(K447,Kurallar!$D$3:$E$14,2,0),2))</f>
        <v>409.2</v>
      </c>
      <c r="H447" s="11">
        <f t="shared" si="143"/>
        <v>818.4</v>
      </c>
      <c r="I447" s="8">
        <v>2</v>
      </c>
      <c r="J447" s="8" t="s">
        <v>23</v>
      </c>
      <c r="K447" s="8" t="s">
        <v>29</v>
      </c>
      <c r="L447" s="11">
        <f t="shared" si="144"/>
        <v>818.4</v>
      </c>
      <c r="M447" s="9" t="s">
        <v>86</v>
      </c>
      <c r="N447" s="8" t="s">
        <v>89</v>
      </c>
      <c r="O447" s="8">
        <f>IFERROR(VLOOKUP(N447,Kurallar!$G$3:$H$22,2,0),0)</f>
        <v>5</v>
      </c>
    </row>
    <row r="448" spans="1:15" hidden="1" x14ac:dyDescent="0.25">
      <c r="A448" s="8">
        <v>43</v>
      </c>
      <c r="B448" t="str">
        <f t="shared" si="140"/>
        <v>ПД1 (ШУН/В-R3 2,2 квТ) (S3)</v>
      </c>
      <c r="C448" s="9" t="s">
        <v>31</v>
      </c>
      <c r="E448" s="9" t="s">
        <v>32</v>
      </c>
      <c r="F448" s="11"/>
      <c r="G448" s="11">
        <f>ROUND(SUM(H437:H447)*Kurallar!$B$2,2)</f>
        <v>2451.7399999999998</v>
      </c>
      <c r="H448" s="11">
        <f>G448*I448</f>
        <v>2451.7399999999998</v>
      </c>
      <c r="I448" s="8">
        <v>1</v>
      </c>
      <c r="J448" s="8" t="s">
        <v>19</v>
      </c>
      <c r="K448" s="8" t="s">
        <v>33</v>
      </c>
      <c r="L448" s="11">
        <f>H448*$I$436</f>
        <v>2451.7399999999998</v>
      </c>
      <c r="M448" s="9" t="s">
        <v>31</v>
      </c>
    </row>
    <row r="449" spans="1:15" hidden="1" x14ac:dyDescent="0.25">
      <c r="A449" s="8">
        <v>43</v>
      </c>
      <c r="B449" t="str">
        <f t="shared" si="140"/>
        <v>ПД1 (ШУН/В-R3 2,2 квТ) (S3)</v>
      </c>
      <c r="C449" s="9" t="s">
        <v>34</v>
      </c>
      <c r="E449" s="9" t="s">
        <v>35</v>
      </c>
      <c r="F449" s="11">
        <f>ROUND(I449/60,1)</f>
        <v>1.8</v>
      </c>
      <c r="G449" s="11">
        <f>Kurallar!$B$3</f>
        <v>100</v>
      </c>
      <c r="H449" s="11">
        <f>G449*I449</f>
        <v>10800</v>
      </c>
      <c r="I449" s="8">
        <f>ROUND(SUMPRODUCT(I437:I447,O437:O447)*Kurallar!$B$4,0)</f>
        <v>108</v>
      </c>
      <c r="J449" s="8" t="s">
        <v>36</v>
      </c>
      <c r="K449" s="8" t="s">
        <v>33</v>
      </c>
      <c r="L449" s="11">
        <f>H449*$I$436</f>
        <v>10800</v>
      </c>
      <c r="M449" s="9" t="s">
        <v>34</v>
      </c>
    </row>
    <row r="450" spans="1:15" hidden="1" x14ac:dyDescent="0.25">
      <c r="A450" s="12"/>
      <c r="B450" s="13" t="s">
        <v>367</v>
      </c>
      <c r="C450" s="12"/>
      <c r="D450" s="12"/>
      <c r="E450" s="13" t="s">
        <v>368</v>
      </c>
      <c r="F450" s="12"/>
      <c r="G450" s="12"/>
      <c r="H450" s="14">
        <f>SUBTOTAL(9,H437:H449)</f>
        <v>0</v>
      </c>
      <c r="I450" s="15">
        <v>1</v>
      </c>
      <c r="J450" s="15" t="s">
        <v>19</v>
      </c>
      <c r="K450" s="12"/>
      <c r="L450" s="14">
        <f>SUBTOTAL(9,L437:L449)</f>
        <v>0</v>
      </c>
      <c r="M450" s="12"/>
      <c r="N450" s="12"/>
      <c r="O450" s="12"/>
    </row>
    <row r="451" spans="1:15" hidden="1" x14ac:dyDescent="0.25">
      <c r="A451" s="4">
        <v>44</v>
      </c>
      <c r="B451" s="5" t="s">
        <v>369</v>
      </c>
      <c r="C451" s="6" t="s">
        <v>18</v>
      </c>
      <c r="D451" s="6"/>
      <c r="E451" s="7" t="s">
        <v>369</v>
      </c>
      <c r="F451" s="6"/>
      <c r="G451" s="6"/>
      <c r="H451" s="6"/>
      <c r="I451" s="4">
        <v>1</v>
      </c>
      <c r="J451" s="4" t="s">
        <v>19</v>
      </c>
      <c r="K451" s="6"/>
      <c r="L451" s="6"/>
      <c r="M451" s="6"/>
      <c r="N451" s="6"/>
      <c r="O451" s="6"/>
    </row>
    <row r="452" spans="1:15" hidden="1" x14ac:dyDescent="0.25">
      <c r="A452" s="8">
        <v>44</v>
      </c>
      <c r="B452" s="9" t="str">
        <f t="shared" ref="B452:B464" si="145">B451</f>
        <v>ПД2 (ШУН/В-R3 11 квТ) (S3)</v>
      </c>
      <c r="C452" s="9" t="s">
        <v>20</v>
      </c>
      <c r="D452" s="9" t="s">
        <v>109</v>
      </c>
      <c r="E452" s="10" t="s">
        <v>110</v>
      </c>
      <c r="F452" s="11">
        <v>10305</v>
      </c>
      <c r="G452" s="11">
        <f>IF(F452="","",ROUND(F452*VLOOKUP(K452,Kurallar!$D$3:$E$14,2,0),2))</f>
        <v>6183</v>
      </c>
      <c r="H452" s="11">
        <f t="shared" ref="H452" si="146">IF(G452="","",G452*I452)</f>
        <v>6183</v>
      </c>
      <c r="I452" s="8">
        <v>1</v>
      </c>
      <c r="J452" s="8" t="s">
        <v>23</v>
      </c>
      <c r="K452" s="8" t="s">
        <v>24</v>
      </c>
      <c r="L452" s="11">
        <f t="shared" ref="L452" si="147">IF(H452="","",H452*$I$181)</f>
        <v>6183</v>
      </c>
      <c r="M452" s="9" t="s">
        <v>20</v>
      </c>
      <c r="N452" s="8" t="s">
        <v>25</v>
      </c>
      <c r="O452" s="8">
        <f>IFERROR(VLOOKUP(N452,Kurallar!$G$3:$H$22,2,0),0)</f>
        <v>8</v>
      </c>
    </row>
    <row r="453" spans="1:15" hidden="1" x14ac:dyDescent="0.25">
      <c r="A453" s="8">
        <v>44</v>
      </c>
      <c r="B453" s="9" t="str">
        <f t="shared" si="145"/>
        <v>ПД2 (ШУН/В-R3 11 квТ) (S3)</v>
      </c>
      <c r="C453" s="9" t="s">
        <v>54</v>
      </c>
      <c r="D453" s="9" t="s">
        <v>195</v>
      </c>
      <c r="E453" s="10" t="s">
        <v>196</v>
      </c>
      <c r="F453" s="11">
        <v>3609</v>
      </c>
      <c r="G453" s="11">
        <f>IF(F453="","",ROUND(F453*VLOOKUP(K453,Kurallar!$D$3:$E$14,2,0),2))</f>
        <v>2165.4</v>
      </c>
      <c r="H453" s="11">
        <f t="shared" ref="H453:H462" si="148">IF(G453="","",G453*I453)</f>
        <v>2165.4</v>
      </c>
      <c r="I453" s="8">
        <v>1</v>
      </c>
      <c r="J453" s="8" t="s">
        <v>23</v>
      </c>
      <c r="K453" s="8" t="s">
        <v>29</v>
      </c>
      <c r="L453" s="11">
        <f t="shared" ref="L453:L462" si="149">IF(H453="","",H453*$I$451)</f>
        <v>2165.4</v>
      </c>
      <c r="M453" s="9" t="s">
        <v>54</v>
      </c>
      <c r="N453" s="8" t="s">
        <v>113</v>
      </c>
      <c r="O453" s="8">
        <f>IFERROR(VLOOKUP(N453,Kurallar!$G$3:$H$22,2,0),0)</f>
        <v>10</v>
      </c>
    </row>
    <row r="454" spans="1:15" hidden="1" x14ac:dyDescent="0.25">
      <c r="A454" s="8">
        <v>44</v>
      </c>
      <c r="B454" s="9" t="str">
        <f t="shared" si="145"/>
        <v>ПД2 (ШУН/В-R3 11 квТ) (S3)</v>
      </c>
      <c r="C454" s="9" t="s">
        <v>58</v>
      </c>
      <c r="D454" s="9" t="s">
        <v>197</v>
      </c>
      <c r="E454" s="10" t="s">
        <v>198</v>
      </c>
      <c r="F454" s="11">
        <v>9149</v>
      </c>
      <c r="G454" s="11">
        <f>IF(F454="","",ROUND(F454*VLOOKUP(K454,Kurallar!$D$3:$E$14,2,0),2))</f>
        <v>5489.4</v>
      </c>
      <c r="H454" s="11">
        <f t="shared" si="148"/>
        <v>5489.4</v>
      </c>
      <c r="I454" s="8">
        <v>1</v>
      </c>
      <c r="J454" s="8" t="s">
        <v>23</v>
      </c>
      <c r="K454" s="8" t="s">
        <v>29</v>
      </c>
      <c r="L454" s="11">
        <f t="shared" si="149"/>
        <v>5489.4</v>
      </c>
      <c r="M454" s="9" t="s">
        <v>58</v>
      </c>
      <c r="N454" s="8" t="s">
        <v>61</v>
      </c>
      <c r="O454" s="8">
        <f>IFERROR(VLOOKUP(N454,Kurallar!$G$3:$H$22,2,0),0)</f>
        <v>15</v>
      </c>
    </row>
    <row r="455" spans="1:15" hidden="1" x14ac:dyDescent="0.25">
      <c r="A455" s="8">
        <v>44</v>
      </c>
      <c r="B455" s="9" t="str">
        <f t="shared" si="145"/>
        <v>ПД2 (ШУН/В-R3 11 квТ) (S3)</v>
      </c>
      <c r="C455" s="9" t="s">
        <v>86</v>
      </c>
      <c r="D455" s="9" t="s">
        <v>116</v>
      </c>
      <c r="E455" s="10" t="s">
        <v>117</v>
      </c>
      <c r="F455" s="11">
        <v>571</v>
      </c>
      <c r="G455" s="11">
        <f>IF(F455="","",ROUND(F455*VLOOKUP(K455,Kurallar!$D$3:$E$14,2,0),2))</f>
        <v>342.6</v>
      </c>
      <c r="H455" s="11">
        <f t="shared" si="148"/>
        <v>342.6</v>
      </c>
      <c r="I455" s="8">
        <v>1</v>
      </c>
      <c r="J455" s="8" t="s">
        <v>23</v>
      </c>
      <c r="K455" s="8" t="s">
        <v>29</v>
      </c>
      <c r="L455" s="11">
        <f t="shared" si="149"/>
        <v>342.6</v>
      </c>
      <c r="M455" s="9" t="s">
        <v>86</v>
      </c>
      <c r="N455" s="8" t="s">
        <v>89</v>
      </c>
      <c r="O455" s="8">
        <f>IFERROR(VLOOKUP(N455,Kurallar!$G$3:$H$22,2,0),0)</f>
        <v>5</v>
      </c>
    </row>
    <row r="456" spans="1:15" hidden="1" x14ac:dyDescent="0.25">
      <c r="A456" s="8">
        <v>44</v>
      </c>
      <c r="B456" s="9" t="str">
        <f t="shared" si="145"/>
        <v>ПД2 (ШУН/В-R3 11 квТ) (S3)</v>
      </c>
      <c r="C456" s="9" t="s">
        <v>86</v>
      </c>
      <c r="D456" s="9" t="s">
        <v>118</v>
      </c>
      <c r="E456" s="10" t="s">
        <v>119</v>
      </c>
      <c r="F456" s="11">
        <v>589</v>
      </c>
      <c r="G456" s="11">
        <f>IF(F456="","",ROUND(F456*VLOOKUP(K456,Kurallar!$D$3:$E$14,2,0),2))</f>
        <v>353.4</v>
      </c>
      <c r="H456" s="11">
        <f t="shared" si="148"/>
        <v>353.4</v>
      </c>
      <c r="I456" s="8">
        <v>1</v>
      </c>
      <c r="J456" s="8" t="s">
        <v>23</v>
      </c>
      <c r="K456" s="8" t="s">
        <v>29</v>
      </c>
      <c r="L456" s="11">
        <f t="shared" si="149"/>
        <v>353.4</v>
      </c>
      <c r="M456" s="9" t="s">
        <v>86</v>
      </c>
      <c r="N456" s="8" t="s">
        <v>89</v>
      </c>
      <c r="O456" s="8">
        <f>IFERROR(VLOOKUP(N456,Kurallar!$G$3:$H$22,2,0),0)</f>
        <v>5</v>
      </c>
    </row>
    <row r="457" spans="1:15" hidden="1" x14ac:dyDescent="0.25">
      <c r="A457" s="8">
        <v>44</v>
      </c>
      <c r="B457" s="9" t="str">
        <f t="shared" si="145"/>
        <v>ПД2 (ШУН/В-R3 11 квТ) (S3)</v>
      </c>
      <c r="C457" s="9" t="s">
        <v>86</v>
      </c>
      <c r="D457" s="9" t="s">
        <v>120</v>
      </c>
      <c r="E457" s="10" t="s">
        <v>121</v>
      </c>
      <c r="F457" s="11">
        <v>571</v>
      </c>
      <c r="G457" s="11">
        <f>IF(F457="","",ROUND(F457*VLOOKUP(K457,Kurallar!$D$3:$E$14,2,0),2))</f>
        <v>342.6</v>
      </c>
      <c r="H457" s="11">
        <f t="shared" si="148"/>
        <v>342.6</v>
      </c>
      <c r="I457" s="8">
        <v>1</v>
      </c>
      <c r="J457" s="8" t="s">
        <v>23</v>
      </c>
      <c r="K457" s="8" t="s">
        <v>29</v>
      </c>
      <c r="L457" s="11">
        <f t="shared" si="149"/>
        <v>342.6</v>
      </c>
      <c r="M457" s="9" t="s">
        <v>86</v>
      </c>
      <c r="N457" s="8" t="s">
        <v>89</v>
      </c>
      <c r="O457" s="8">
        <f>IFERROR(VLOOKUP(N457,Kurallar!$G$3:$H$22,2,0),0)</f>
        <v>5</v>
      </c>
    </row>
    <row r="458" spans="1:15" hidden="1" x14ac:dyDescent="0.25">
      <c r="A458" s="8">
        <v>44</v>
      </c>
      <c r="B458" s="9" t="str">
        <f t="shared" si="145"/>
        <v>ПД2 (ШУН/В-R3 11 квТ) (S3)</v>
      </c>
      <c r="C458" s="9" t="s">
        <v>54</v>
      </c>
      <c r="D458" s="9" t="s">
        <v>122</v>
      </c>
      <c r="E458" s="10" t="s">
        <v>123</v>
      </c>
      <c r="F458" s="11">
        <v>1086</v>
      </c>
      <c r="G458" s="11">
        <f>IF(F458="","",ROUND(F458*VLOOKUP(K458,Kurallar!$D$3:$E$14,2,0),2))</f>
        <v>651.6</v>
      </c>
      <c r="H458" s="11">
        <f t="shared" si="148"/>
        <v>1303.2</v>
      </c>
      <c r="I458" s="8">
        <v>2</v>
      </c>
      <c r="J458" s="8" t="s">
        <v>23</v>
      </c>
      <c r="K458" s="8" t="s">
        <v>29</v>
      </c>
      <c r="L458" s="11">
        <f t="shared" si="149"/>
        <v>1303.2</v>
      </c>
      <c r="M458" s="9" t="s">
        <v>54</v>
      </c>
      <c r="N458" s="8" t="s">
        <v>57</v>
      </c>
      <c r="O458" s="8">
        <f>IFERROR(VLOOKUP(N458,Kurallar!$G$3:$H$22,2,0),0)</f>
        <v>3</v>
      </c>
    </row>
    <row r="459" spans="1:15" hidden="1" x14ac:dyDescent="0.25">
      <c r="A459" s="8">
        <v>44</v>
      </c>
      <c r="B459" s="9" t="str">
        <f t="shared" si="145"/>
        <v>ПД2 (ШУН/В-R3 11 квТ) (S3)</v>
      </c>
      <c r="C459" s="9" t="s">
        <v>62</v>
      </c>
      <c r="D459" s="9" t="s">
        <v>199</v>
      </c>
      <c r="E459" s="10" t="s">
        <v>200</v>
      </c>
      <c r="F459" s="11">
        <v>4250</v>
      </c>
      <c r="G459" s="11">
        <f>IF(F459="","",ROUND(F459*VLOOKUP(K459,Kurallar!$D$3:$E$14,2,0),2))</f>
        <v>2550</v>
      </c>
      <c r="H459" s="11">
        <f t="shared" si="148"/>
        <v>2550</v>
      </c>
      <c r="I459" s="8">
        <v>1</v>
      </c>
      <c r="J459" s="8" t="s">
        <v>23</v>
      </c>
      <c r="K459" s="8" t="s">
        <v>29</v>
      </c>
      <c r="L459" s="11">
        <f t="shared" si="149"/>
        <v>2550</v>
      </c>
      <c r="M459" s="9" t="s">
        <v>62</v>
      </c>
      <c r="N459" s="8" t="s">
        <v>66</v>
      </c>
      <c r="O459" s="8">
        <f>IFERROR(VLOOKUP(N459,Kurallar!$G$3:$H$22,2,0),0)</f>
        <v>5</v>
      </c>
    </row>
    <row r="460" spans="1:15" hidden="1" x14ac:dyDescent="0.25">
      <c r="A460" s="8">
        <v>44</v>
      </c>
      <c r="B460" s="9" t="str">
        <f t="shared" si="145"/>
        <v>ПД2 (ШУН/В-R3 11 квТ) (S3)</v>
      </c>
      <c r="C460" s="9" t="s">
        <v>58</v>
      </c>
      <c r="D460" s="9" t="s">
        <v>126</v>
      </c>
      <c r="E460" s="10" t="s">
        <v>127</v>
      </c>
      <c r="F460" s="11">
        <v>2177</v>
      </c>
      <c r="G460" s="11">
        <f>IF(F460="","",ROUND(F460*VLOOKUP(K460,Kurallar!$D$3:$E$14,2,0),2))</f>
        <v>1306.2</v>
      </c>
      <c r="H460" s="11">
        <f t="shared" si="148"/>
        <v>1306.2</v>
      </c>
      <c r="I460" s="8">
        <v>1</v>
      </c>
      <c r="J460" s="8" t="s">
        <v>23</v>
      </c>
      <c r="K460" s="8" t="s">
        <v>29</v>
      </c>
      <c r="L460" s="11">
        <f t="shared" si="149"/>
        <v>1306.2</v>
      </c>
      <c r="M460" s="9" t="s">
        <v>58</v>
      </c>
      <c r="N460" s="8" t="s">
        <v>61</v>
      </c>
      <c r="O460" s="8">
        <f>IFERROR(VLOOKUP(N460,Kurallar!$G$3:$H$22,2,0),0)</f>
        <v>15</v>
      </c>
    </row>
    <row r="461" spans="1:15" hidden="1" x14ac:dyDescent="0.25">
      <c r="A461" s="8">
        <v>44</v>
      </c>
      <c r="B461" s="9" t="str">
        <f t="shared" si="145"/>
        <v>ПД2 (ШУН/В-R3 11 квТ) (S3)</v>
      </c>
      <c r="C461" s="9" t="s">
        <v>62</v>
      </c>
      <c r="D461" s="9" t="s">
        <v>128</v>
      </c>
      <c r="E461" s="10" t="s">
        <v>129</v>
      </c>
      <c r="F461" s="11">
        <v>1565</v>
      </c>
      <c r="G461" s="11">
        <f>IF(F461="","",ROUND(F461*VLOOKUP(K461,Kurallar!$D$3:$E$14,2,0),2))</f>
        <v>939</v>
      </c>
      <c r="H461" s="11">
        <f t="shared" si="148"/>
        <v>1878</v>
      </c>
      <c r="I461" s="8">
        <v>2</v>
      </c>
      <c r="J461" s="8" t="s">
        <v>23</v>
      </c>
      <c r="K461" s="8" t="s">
        <v>29</v>
      </c>
      <c r="L461" s="11">
        <f t="shared" si="149"/>
        <v>1878</v>
      </c>
      <c r="M461" s="9" t="s">
        <v>62</v>
      </c>
      <c r="N461" s="8" t="s">
        <v>66</v>
      </c>
      <c r="O461" s="8">
        <f>IFERROR(VLOOKUP(N461,Kurallar!$G$3:$H$22,2,0),0)</f>
        <v>5</v>
      </c>
    </row>
    <row r="462" spans="1:15" hidden="1" x14ac:dyDescent="0.25">
      <c r="A462" s="8">
        <v>44</v>
      </c>
      <c r="B462" s="9" t="str">
        <f t="shared" si="145"/>
        <v>ПД2 (ШУН/В-R3 11 квТ) (S3)</v>
      </c>
      <c r="C462" s="9" t="s">
        <v>86</v>
      </c>
      <c r="D462" s="9" t="s">
        <v>130</v>
      </c>
      <c r="E462" s="10" t="s">
        <v>131</v>
      </c>
      <c r="F462" s="11">
        <v>682</v>
      </c>
      <c r="G462" s="11">
        <f>IF(F462="","",ROUND(F462*VLOOKUP(K462,Kurallar!$D$3:$E$14,2,0),2))</f>
        <v>409.2</v>
      </c>
      <c r="H462" s="11">
        <f t="shared" si="148"/>
        <v>818.4</v>
      </c>
      <c r="I462" s="8">
        <v>2</v>
      </c>
      <c r="J462" s="8" t="s">
        <v>23</v>
      </c>
      <c r="K462" s="8" t="s">
        <v>29</v>
      </c>
      <c r="L462" s="11">
        <f t="shared" si="149"/>
        <v>818.4</v>
      </c>
      <c r="M462" s="9" t="s">
        <v>86</v>
      </c>
      <c r="N462" s="8" t="s">
        <v>89</v>
      </c>
      <c r="O462" s="8">
        <f>IFERROR(VLOOKUP(N462,Kurallar!$G$3:$H$22,2,0),0)</f>
        <v>5</v>
      </c>
    </row>
    <row r="463" spans="1:15" hidden="1" x14ac:dyDescent="0.25">
      <c r="A463" s="8">
        <v>44</v>
      </c>
      <c r="B463" t="str">
        <f t="shared" si="145"/>
        <v>ПД2 (ШУН/В-R3 11 квТ) (S3)</v>
      </c>
      <c r="C463" s="9" t="s">
        <v>31</v>
      </c>
      <c r="E463" s="9" t="s">
        <v>32</v>
      </c>
      <c r="F463" s="11"/>
      <c r="G463" s="11">
        <f>ROUND(SUM(H452:H462)*Kurallar!$B$2,2)</f>
        <v>2727.86</v>
      </c>
      <c r="H463" s="11">
        <f>G463*I463</f>
        <v>2727.86</v>
      </c>
      <c r="I463" s="8">
        <v>1</v>
      </c>
      <c r="J463" s="8" t="s">
        <v>19</v>
      </c>
      <c r="K463" s="8" t="s">
        <v>33</v>
      </c>
      <c r="L463" s="11">
        <f>H463*$I$451</f>
        <v>2727.86</v>
      </c>
      <c r="M463" s="9" t="s">
        <v>31</v>
      </c>
    </row>
    <row r="464" spans="1:15" hidden="1" x14ac:dyDescent="0.25">
      <c r="A464" s="8">
        <v>44</v>
      </c>
      <c r="B464" t="str">
        <f t="shared" si="145"/>
        <v>ПД2 (ШУН/В-R3 11 квТ) (S3)</v>
      </c>
      <c r="C464" s="9" t="s">
        <v>34</v>
      </c>
      <c r="E464" s="9" t="s">
        <v>35</v>
      </c>
      <c r="F464" s="11">
        <f>ROUND(I464/60,1)</f>
        <v>1.8</v>
      </c>
      <c r="G464" s="11">
        <f>Kurallar!$B$3</f>
        <v>100</v>
      </c>
      <c r="H464" s="11">
        <f>G464*I464</f>
        <v>10800</v>
      </c>
      <c r="I464" s="8">
        <f>ROUND(SUMPRODUCT(I452:I462,O452:O462)*Kurallar!$B$4,0)</f>
        <v>108</v>
      </c>
      <c r="J464" s="8" t="s">
        <v>36</v>
      </c>
      <c r="K464" s="8" t="s">
        <v>33</v>
      </c>
      <c r="L464" s="11">
        <f>H464*$I$451</f>
        <v>10800</v>
      </c>
      <c r="M464" s="9" t="s">
        <v>34</v>
      </c>
    </row>
    <row r="465" spans="1:15" hidden="1" x14ac:dyDescent="0.25">
      <c r="A465" s="12"/>
      <c r="B465" s="13" t="s">
        <v>370</v>
      </c>
      <c r="C465" s="12"/>
      <c r="D465" s="12"/>
      <c r="E465" s="13" t="s">
        <v>371</v>
      </c>
      <c r="F465" s="12"/>
      <c r="G465" s="12"/>
      <c r="H465" s="14">
        <f>SUBTOTAL(9,H452:H464)</f>
        <v>0</v>
      </c>
      <c r="I465" s="15">
        <v>1</v>
      </c>
      <c r="J465" s="15" t="s">
        <v>19</v>
      </c>
      <c r="K465" s="12"/>
      <c r="L465" s="14">
        <f>SUBTOTAL(9,L452:L464)</f>
        <v>0</v>
      </c>
      <c r="M465" s="12"/>
      <c r="N465" s="12"/>
      <c r="O465" s="12"/>
    </row>
    <row r="466" spans="1:15" hidden="1" x14ac:dyDescent="0.25">
      <c r="A466" s="4">
        <v>45</v>
      </c>
      <c r="B466" s="5" t="s">
        <v>372</v>
      </c>
      <c r="C466" s="6" t="s">
        <v>18</v>
      </c>
      <c r="D466" s="6"/>
      <c r="E466" s="7" t="s">
        <v>372</v>
      </c>
      <c r="F466" s="6"/>
      <c r="G466" s="6"/>
      <c r="H466" s="6"/>
      <c r="I466" s="4">
        <v>2</v>
      </c>
      <c r="J466" s="4" t="s">
        <v>19</v>
      </c>
      <c r="K466" s="6"/>
      <c r="L466" s="6"/>
      <c r="M466" s="6"/>
      <c r="N466" s="6"/>
      <c r="O466" s="6"/>
    </row>
    <row r="467" spans="1:15" hidden="1" x14ac:dyDescent="0.25">
      <c r="A467" s="8">
        <v>45</v>
      </c>
      <c r="B467" s="9" t="str">
        <f t="shared" ref="B467:B470" si="150">B466</f>
        <v>В2 (S3)</v>
      </c>
      <c r="C467" s="16" t="s">
        <v>135</v>
      </c>
      <c r="D467" s="9"/>
      <c r="E467" s="10" t="s">
        <v>136</v>
      </c>
      <c r="F467" s="9"/>
      <c r="G467" s="9"/>
      <c r="H467" s="9"/>
      <c r="I467" s="8">
        <v>1</v>
      </c>
      <c r="J467" s="8" t="s">
        <v>23</v>
      </c>
      <c r="K467" s="8" t="s">
        <v>137</v>
      </c>
      <c r="L467" s="9"/>
      <c r="M467" s="9" t="s">
        <v>20</v>
      </c>
      <c r="N467" s="8" t="s">
        <v>25</v>
      </c>
      <c r="O467" s="8">
        <f>IFERROR(VLOOKUP(N467,Kurallar!$G$3:$H$22,2,0),0)</f>
        <v>8</v>
      </c>
    </row>
    <row r="468" spans="1:15" hidden="1" x14ac:dyDescent="0.25">
      <c r="A468" s="8">
        <v>45</v>
      </c>
      <c r="B468" s="9" t="str">
        <f t="shared" si="150"/>
        <v>В2 (S3)</v>
      </c>
      <c r="C468" s="16" t="s">
        <v>750</v>
      </c>
      <c r="D468" s="9"/>
      <c r="E468" s="10" t="s">
        <v>138</v>
      </c>
      <c r="F468" s="9">
        <v>21500</v>
      </c>
      <c r="G468" s="9">
        <f>F468</f>
        <v>21500</v>
      </c>
      <c r="H468" s="9">
        <f>G468*I468</f>
        <v>21500</v>
      </c>
      <c r="I468" s="8">
        <v>1</v>
      </c>
      <c r="J468" s="8" t="s">
        <v>23</v>
      </c>
      <c r="K468" s="8" t="s">
        <v>139</v>
      </c>
      <c r="L468" s="9"/>
      <c r="M468" s="9" t="s">
        <v>58</v>
      </c>
      <c r="N468" s="8" t="s">
        <v>61</v>
      </c>
      <c r="O468" s="8">
        <f>IFERROR(VLOOKUP(N468,Kurallar!$G$3:$H$22,2,0),0)</f>
        <v>15</v>
      </c>
    </row>
    <row r="469" spans="1:15" hidden="1" x14ac:dyDescent="0.25">
      <c r="A469" s="8">
        <v>45</v>
      </c>
      <c r="B469" t="str">
        <f t="shared" si="150"/>
        <v>В2 (S3)</v>
      </c>
      <c r="C469" s="9" t="s">
        <v>31</v>
      </c>
      <c r="E469" s="9" t="s">
        <v>32</v>
      </c>
      <c r="F469" s="11"/>
      <c r="G469" s="11">
        <f>ROUND(SUM(H467:H468)*Kurallar!$B$2,2)</f>
        <v>2580</v>
      </c>
      <c r="H469" s="11">
        <f>G469*I469</f>
        <v>2580</v>
      </c>
      <c r="I469" s="8">
        <v>1</v>
      </c>
      <c r="J469" s="8" t="s">
        <v>19</v>
      </c>
      <c r="K469" s="8" t="s">
        <v>33</v>
      </c>
      <c r="L469" s="11">
        <f>H469*$I$466</f>
        <v>5160</v>
      </c>
      <c r="M469" s="9" t="s">
        <v>31</v>
      </c>
    </row>
    <row r="470" spans="1:15" hidden="1" x14ac:dyDescent="0.25">
      <c r="A470" s="8">
        <v>45</v>
      </c>
      <c r="B470" t="str">
        <f t="shared" si="150"/>
        <v>В2 (S3)</v>
      </c>
      <c r="C470" s="9" t="s">
        <v>34</v>
      </c>
      <c r="E470" s="9" t="s">
        <v>35</v>
      </c>
      <c r="F470" s="11">
        <f>ROUND(I470/60,1)</f>
        <v>0.4</v>
      </c>
      <c r="G470" s="11">
        <f>Kurallar!$B$3</f>
        <v>100</v>
      </c>
      <c r="H470" s="11">
        <f>G470*I470</f>
        <v>2600</v>
      </c>
      <c r="I470" s="8">
        <f>ROUND(SUMPRODUCT(I467:I468,O467:O468)*Kurallar!$B$4,0)</f>
        <v>26</v>
      </c>
      <c r="J470" s="8" t="s">
        <v>36</v>
      </c>
      <c r="K470" s="8" t="s">
        <v>33</v>
      </c>
      <c r="L470" s="11">
        <f>H470*$I$466</f>
        <v>5200</v>
      </c>
      <c r="M470" s="9" t="s">
        <v>34</v>
      </c>
    </row>
    <row r="471" spans="1:15" hidden="1" x14ac:dyDescent="0.25">
      <c r="A471" s="12"/>
      <c r="B471" s="13" t="s">
        <v>373</v>
      </c>
      <c r="C471" s="12"/>
      <c r="D471" s="12"/>
      <c r="E471" s="13" t="s">
        <v>374</v>
      </c>
      <c r="F471" s="12"/>
      <c r="G471" s="12"/>
      <c r="H471" s="14">
        <f>SUBTOTAL(9,H467:H470)</f>
        <v>0</v>
      </c>
      <c r="I471" s="15">
        <v>2</v>
      </c>
      <c r="J471" s="15" t="s">
        <v>19</v>
      </c>
      <c r="K471" s="12"/>
      <c r="L471" s="14">
        <f>SUBTOTAL(9,L467:L470)</f>
        <v>0</v>
      </c>
      <c r="M471" s="12"/>
      <c r="N471" s="12"/>
      <c r="O471" s="12"/>
    </row>
    <row r="472" spans="1:15" hidden="1" x14ac:dyDescent="0.25">
      <c r="A472" s="4">
        <v>46</v>
      </c>
      <c r="B472" s="5" t="s">
        <v>375</v>
      </c>
      <c r="C472" s="6" t="s">
        <v>18</v>
      </c>
      <c r="D472" s="6"/>
      <c r="E472" s="7" t="s">
        <v>375</v>
      </c>
      <c r="F472" s="6"/>
      <c r="G472" s="6"/>
      <c r="H472" s="6"/>
      <c r="I472" s="4">
        <v>1</v>
      </c>
      <c r="J472" s="4" t="s">
        <v>19</v>
      </c>
      <c r="K472" s="6"/>
      <c r="L472" s="6"/>
      <c r="M472" s="6"/>
      <c r="N472" s="6"/>
      <c r="O472" s="6"/>
    </row>
    <row r="473" spans="1:15" hidden="1" x14ac:dyDescent="0.25">
      <c r="A473" s="8">
        <v>46</v>
      </c>
      <c r="B473" s="9" t="str">
        <f t="shared" ref="B473:B482" si="151">B472</f>
        <v>КРМ (УКМ-58 0,4-12,5-2,5-УЗ) (S3)</v>
      </c>
      <c r="C473" s="9" t="s">
        <v>20</v>
      </c>
      <c r="D473" s="9" t="s">
        <v>770</v>
      </c>
      <c r="E473" s="10" t="s">
        <v>771</v>
      </c>
      <c r="F473" s="11">
        <v>30540</v>
      </c>
      <c r="G473" s="11">
        <f>IF(F473="","",ROUND(F473*VLOOKUP(K473,Kurallar!$D$3:$E$14,2,0),2))</f>
        <v>18324</v>
      </c>
      <c r="H473" s="11">
        <f t="shared" ref="H473" si="152">IF(G473="","",G473*I473)</f>
        <v>18324</v>
      </c>
      <c r="I473" s="8">
        <v>1</v>
      </c>
      <c r="J473" s="8" t="s">
        <v>23</v>
      </c>
      <c r="K473" s="8" t="s">
        <v>24</v>
      </c>
      <c r="L473" s="11">
        <f t="shared" ref="L473" si="153">IF(H473="","",H473*$I$181)</f>
        <v>18324</v>
      </c>
      <c r="M473" s="9" t="s">
        <v>20</v>
      </c>
      <c r="N473" s="8" t="s">
        <v>75</v>
      </c>
      <c r="O473" s="8">
        <f>IFERROR(VLOOKUP(N473,Kurallar!$G$3:$H$22,2,0),0)</f>
        <v>30</v>
      </c>
    </row>
    <row r="474" spans="1:15" hidden="1" x14ac:dyDescent="0.25">
      <c r="A474" s="8">
        <v>46</v>
      </c>
      <c r="B474" s="9" t="str">
        <f t="shared" si="151"/>
        <v>КРМ (УКМ-58 0,4-12,5-2,5-УЗ) (S3)</v>
      </c>
      <c r="C474" s="9" t="s">
        <v>26</v>
      </c>
      <c r="D474" s="9" t="s">
        <v>376</v>
      </c>
      <c r="E474" s="10" t="s">
        <v>377</v>
      </c>
      <c r="F474" s="11">
        <v>3372</v>
      </c>
      <c r="G474" s="11">
        <f>IF(F474="","",ROUND(F474*VLOOKUP(K474,Kurallar!$D$3:$E$14,2,0),2))</f>
        <v>2023.2</v>
      </c>
      <c r="H474" s="11">
        <f t="shared" ref="H474:H480" si="154">IF(G474="","",G474*I474)</f>
        <v>2023.2</v>
      </c>
      <c r="I474" s="8">
        <v>1</v>
      </c>
      <c r="J474" s="8" t="s">
        <v>23</v>
      </c>
      <c r="K474" s="8" t="s">
        <v>29</v>
      </c>
      <c r="L474" s="11">
        <f t="shared" ref="L474:L480" si="155">IF(H474="","",H474*$I$472)</f>
        <v>2023.2</v>
      </c>
      <c r="M474" s="9" t="s">
        <v>26</v>
      </c>
      <c r="N474" s="8" t="s">
        <v>42</v>
      </c>
      <c r="O474" s="8">
        <f>IFERROR(VLOOKUP(N474,Kurallar!$G$3:$H$22,2,0),0)</f>
        <v>15</v>
      </c>
    </row>
    <row r="475" spans="1:15" hidden="1" x14ac:dyDescent="0.25">
      <c r="A475" s="8">
        <v>46</v>
      </c>
      <c r="B475" s="9" t="str">
        <f t="shared" si="151"/>
        <v>КРМ (УКМ-58 0,4-12,5-2,5-УЗ) (S3)</v>
      </c>
      <c r="C475" s="9" t="s">
        <v>54</v>
      </c>
      <c r="D475" s="9" t="s">
        <v>247</v>
      </c>
      <c r="E475" s="10" t="s">
        <v>248</v>
      </c>
      <c r="F475" s="11">
        <v>2429</v>
      </c>
      <c r="G475" s="11">
        <f>IF(F475="","",ROUND(F475*VLOOKUP(K475,Kurallar!$D$3:$E$14,2,0),2))</f>
        <v>1457.4</v>
      </c>
      <c r="H475" s="11">
        <f t="shared" si="154"/>
        <v>1457.4</v>
      </c>
      <c r="I475" s="8">
        <v>1</v>
      </c>
      <c r="J475" s="8" t="s">
        <v>23</v>
      </c>
      <c r="K475" s="8" t="s">
        <v>29</v>
      </c>
      <c r="L475" s="11">
        <f t="shared" si="155"/>
        <v>1457.4</v>
      </c>
      <c r="M475" s="9" t="s">
        <v>54</v>
      </c>
      <c r="N475" s="8" t="s">
        <v>113</v>
      </c>
      <c r="O475" s="8">
        <f>IFERROR(VLOOKUP(N475,Kurallar!$G$3:$H$22,2,0),0)</f>
        <v>10</v>
      </c>
    </row>
    <row r="476" spans="1:15" hidden="1" x14ac:dyDescent="0.25">
      <c r="A476" s="8">
        <v>46</v>
      </c>
      <c r="B476" s="9" t="str">
        <f t="shared" si="151"/>
        <v>КРМ (УКМ-58 0,4-12,5-2,5-УЗ) (S3)</v>
      </c>
      <c r="C476" s="9" t="s">
        <v>54</v>
      </c>
      <c r="D476" s="9" t="s">
        <v>55</v>
      </c>
      <c r="E476" s="10" t="s">
        <v>56</v>
      </c>
      <c r="F476" s="11">
        <v>975</v>
      </c>
      <c r="G476" s="11">
        <f>IF(F476="","",ROUND(F476*VLOOKUP(K476,Kurallar!$D$3:$E$14,2,0),2))</f>
        <v>585</v>
      </c>
      <c r="H476" s="11">
        <f t="shared" si="154"/>
        <v>1755</v>
      </c>
      <c r="I476" s="8">
        <v>3</v>
      </c>
      <c r="J476" s="8" t="s">
        <v>23</v>
      </c>
      <c r="K476" s="8" t="s">
        <v>29</v>
      </c>
      <c r="L476" s="11">
        <f t="shared" si="155"/>
        <v>1755</v>
      </c>
      <c r="M476" s="9" t="s">
        <v>54</v>
      </c>
      <c r="N476" s="8" t="s">
        <v>57</v>
      </c>
      <c r="O476" s="8">
        <f>IFERROR(VLOOKUP(N476,Kurallar!$G$3:$H$22,2,0),0)</f>
        <v>3</v>
      </c>
    </row>
    <row r="477" spans="1:15" ht="24" hidden="1" x14ac:dyDescent="0.25">
      <c r="A477" s="8">
        <v>46</v>
      </c>
      <c r="B477" s="9" t="str">
        <f t="shared" si="151"/>
        <v>КРМ (УКМ-58 0,4-12,5-2,5-УЗ) (S3)</v>
      </c>
      <c r="C477" s="9" t="s">
        <v>58</v>
      </c>
      <c r="D477" s="9" t="s">
        <v>764</v>
      </c>
      <c r="E477" s="10" t="s">
        <v>765</v>
      </c>
      <c r="F477" s="11">
        <v>13217</v>
      </c>
      <c r="G477" s="11">
        <f>IF(F477="","",ROUND(F477*VLOOKUP(K477,Kurallar!$D$3:$E$14,2,0),2))</f>
        <v>7930.2</v>
      </c>
      <c r="H477" s="11">
        <f t="shared" si="154"/>
        <v>23790.6</v>
      </c>
      <c r="I477" s="8">
        <v>3</v>
      </c>
      <c r="J477" s="8" t="s">
        <v>23</v>
      </c>
      <c r="K477" s="8" t="s">
        <v>29</v>
      </c>
      <c r="L477" s="11">
        <f t="shared" si="155"/>
        <v>23790.6</v>
      </c>
      <c r="M477" s="9" t="s">
        <v>58</v>
      </c>
      <c r="N477" s="8" t="s">
        <v>61</v>
      </c>
      <c r="O477" s="8">
        <f>IFERROR(VLOOKUP(N477,Kurallar!$G$3:$H$22,2,0),0)</f>
        <v>15</v>
      </c>
    </row>
    <row r="478" spans="1:15" hidden="1" x14ac:dyDescent="0.25">
      <c r="A478" s="8">
        <v>46</v>
      </c>
      <c r="B478" s="9" t="str">
        <f t="shared" si="151"/>
        <v>КРМ (УКМ-58 0,4-12,5-2,5-УЗ) (S3)</v>
      </c>
      <c r="C478" s="9" t="s">
        <v>86</v>
      </c>
      <c r="D478" s="9" t="s">
        <v>235</v>
      </c>
      <c r="E478" s="10" t="s">
        <v>236</v>
      </c>
      <c r="F478" s="11">
        <v>1306</v>
      </c>
      <c r="G478" s="11">
        <f>IF(F478="","",ROUND(F478*VLOOKUP(K478,Kurallar!$D$3:$E$14,2,0),2))</f>
        <v>783.6</v>
      </c>
      <c r="H478" s="11">
        <f t="shared" si="154"/>
        <v>783.6</v>
      </c>
      <c r="I478" s="8">
        <v>1</v>
      </c>
      <c r="J478" s="8" t="s">
        <v>23</v>
      </c>
      <c r="K478" s="8" t="s">
        <v>29</v>
      </c>
      <c r="L478" s="11">
        <f t="shared" si="155"/>
        <v>783.6</v>
      </c>
      <c r="M478" s="9" t="s">
        <v>86</v>
      </c>
      <c r="N478" s="8" t="s">
        <v>89</v>
      </c>
      <c r="O478" s="8">
        <f>IFERROR(VLOOKUP(N478,Kurallar!$G$3:$H$22,2,0),0)</f>
        <v>5</v>
      </c>
    </row>
    <row r="479" spans="1:15" hidden="1" x14ac:dyDescent="0.25">
      <c r="A479" s="8">
        <v>46</v>
      </c>
      <c r="B479" s="9" t="str">
        <f t="shared" si="151"/>
        <v>КРМ (УКМ-58 0,4-12,5-2,5-УЗ) (S3)</v>
      </c>
      <c r="C479" s="9" t="s">
        <v>86</v>
      </c>
      <c r="D479" s="9" t="s">
        <v>766</v>
      </c>
      <c r="E479" s="10" t="s">
        <v>767</v>
      </c>
      <c r="F479" s="11">
        <v>17619</v>
      </c>
      <c r="G479" s="11">
        <f>IF(F479="","",ROUND(F479*VLOOKUP(K479,Kurallar!$D$3:$E$14,2,0),2))</f>
        <v>10571.4</v>
      </c>
      <c r="H479" s="11">
        <f t="shared" si="154"/>
        <v>31714.199999999997</v>
      </c>
      <c r="I479" s="8">
        <v>3</v>
      </c>
      <c r="J479" s="8" t="s">
        <v>23</v>
      </c>
      <c r="K479" s="8" t="s">
        <v>29</v>
      </c>
      <c r="L479" s="11">
        <f t="shared" si="155"/>
        <v>31714.199999999997</v>
      </c>
      <c r="M479" s="9" t="s">
        <v>86</v>
      </c>
      <c r="N479" s="8" t="s">
        <v>89</v>
      </c>
      <c r="O479" s="8">
        <f>IFERROR(VLOOKUP(N479,Kurallar!$G$3:$H$22,2,0),0)</f>
        <v>5</v>
      </c>
    </row>
    <row r="480" spans="1:15" hidden="1" x14ac:dyDescent="0.25">
      <c r="A480" s="8">
        <v>46</v>
      </c>
      <c r="B480" s="9" t="str">
        <f t="shared" si="151"/>
        <v>КРМ (УКМ-58 0,4-12,5-2,5-УЗ) (S3)</v>
      </c>
      <c r="C480" s="9" t="s">
        <v>62</v>
      </c>
      <c r="D480" s="9" t="s">
        <v>378</v>
      </c>
      <c r="E480" s="10" t="s">
        <v>379</v>
      </c>
      <c r="F480" s="11">
        <v>70078</v>
      </c>
      <c r="G480" s="11">
        <f>IF(F480="","",ROUND(F480*VLOOKUP(K480,Kurallar!$D$3:$E$14,2,0),2))</f>
        <v>42046.8</v>
      </c>
      <c r="H480" s="11">
        <f t="shared" si="154"/>
        <v>42046.8</v>
      </c>
      <c r="I480" s="8">
        <v>1</v>
      </c>
      <c r="J480" s="8" t="s">
        <v>23</v>
      </c>
      <c r="K480" s="8" t="s">
        <v>29</v>
      </c>
      <c r="L480" s="11">
        <f t="shared" si="155"/>
        <v>42046.8</v>
      </c>
      <c r="M480" s="9" t="s">
        <v>62</v>
      </c>
      <c r="N480" s="8" t="s">
        <v>66</v>
      </c>
      <c r="O480" s="8">
        <f>IFERROR(VLOOKUP(N480,Kurallar!$G$3:$H$22,2,0),0)</f>
        <v>5</v>
      </c>
    </row>
    <row r="481" spans="1:15" hidden="1" x14ac:dyDescent="0.25">
      <c r="A481" s="8">
        <v>46</v>
      </c>
      <c r="B481" t="str">
        <f t="shared" si="151"/>
        <v>КРМ (УКМ-58 0,4-12,5-2,5-УЗ) (S3)</v>
      </c>
      <c r="C481" s="9" t="s">
        <v>31</v>
      </c>
      <c r="E481" s="9" t="s">
        <v>32</v>
      </c>
      <c r="F481" s="11"/>
      <c r="G481" s="11">
        <f>ROUND(SUM(H473:H480)*Kurallar!$B$2,2)</f>
        <v>14627.38</v>
      </c>
      <c r="H481" s="11">
        <f>G481*I481</f>
        <v>14627.38</v>
      </c>
      <c r="I481" s="8">
        <v>1</v>
      </c>
      <c r="J481" s="8" t="s">
        <v>19</v>
      </c>
      <c r="K481" s="8" t="s">
        <v>33</v>
      </c>
      <c r="L481" s="11">
        <f>H481*$I$472</f>
        <v>14627.38</v>
      </c>
      <c r="M481" s="9" t="s">
        <v>31</v>
      </c>
    </row>
    <row r="482" spans="1:15" hidden="1" x14ac:dyDescent="0.25">
      <c r="A482" s="8">
        <v>46</v>
      </c>
      <c r="B482" t="str">
        <f t="shared" si="151"/>
        <v>КРМ (УКМ-58 0,4-12,5-2,5-УЗ) (S3)</v>
      </c>
      <c r="C482" s="9" t="s">
        <v>34</v>
      </c>
      <c r="E482" s="9" t="s">
        <v>35</v>
      </c>
      <c r="F482" s="11">
        <f>ROUND(I482/60,1)</f>
        <v>2.6</v>
      </c>
      <c r="G482" s="11">
        <f>Kurallar!$B$3</f>
        <v>100</v>
      </c>
      <c r="H482" s="11">
        <f>G482*I482</f>
        <v>15400</v>
      </c>
      <c r="I482" s="8">
        <f>ROUND(SUMPRODUCT(I473:I480,O473:O480)*Kurallar!$B$4,0)</f>
        <v>154</v>
      </c>
      <c r="J482" s="8" t="s">
        <v>36</v>
      </c>
      <c r="K482" s="8" t="s">
        <v>33</v>
      </c>
      <c r="L482" s="11">
        <f>H482*$I$472</f>
        <v>15400</v>
      </c>
      <c r="M482" s="9" t="s">
        <v>34</v>
      </c>
    </row>
    <row r="483" spans="1:15" hidden="1" x14ac:dyDescent="0.25">
      <c r="A483" s="12"/>
      <c r="B483" s="13" t="s">
        <v>380</v>
      </c>
      <c r="C483" s="12"/>
      <c r="D483" s="12"/>
      <c r="E483" s="13" t="s">
        <v>381</v>
      </c>
      <c r="F483" s="12"/>
      <c r="G483" s="12"/>
      <c r="H483" s="14">
        <f>SUBTOTAL(9,H473:H482)</f>
        <v>0</v>
      </c>
      <c r="I483" s="15">
        <v>1</v>
      </c>
      <c r="J483" s="15" t="s">
        <v>19</v>
      </c>
      <c r="K483" s="12"/>
      <c r="L483" s="14">
        <f>SUBTOTAL(9,L473:L482)</f>
        <v>0</v>
      </c>
      <c r="M483" s="12"/>
      <c r="N483" s="12"/>
      <c r="O483" s="12"/>
    </row>
    <row r="484" spans="1:15" hidden="1" x14ac:dyDescent="0.25">
      <c r="A484" s="4">
        <v>47</v>
      </c>
      <c r="B484" s="5" t="s">
        <v>382</v>
      </c>
      <c r="C484" s="6" t="s">
        <v>18</v>
      </c>
      <c r="D484" s="6"/>
      <c r="E484" s="7" t="s">
        <v>382</v>
      </c>
      <c r="F484" s="6"/>
      <c r="G484" s="6"/>
      <c r="H484" s="6"/>
      <c r="I484" s="4">
        <v>1</v>
      </c>
      <c r="J484" s="4" t="s">
        <v>19</v>
      </c>
      <c r="K484" s="6"/>
      <c r="L484" s="6"/>
      <c r="M484" s="6"/>
      <c r="N484" s="6"/>
      <c r="O484" s="6"/>
    </row>
    <row r="485" spans="1:15" hidden="1" x14ac:dyDescent="0.25">
      <c r="A485" s="8">
        <v>47</v>
      </c>
      <c r="B485" s="9" t="str">
        <f t="shared" ref="B485:B488" si="156">B484</f>
        <v>ЩС-5(S4,6)</v>
      </c>
      <c r="C485" s="9" t="s">
        <v>20</v>
      </c>
      <c r="D485" s="9" t="s">
        <v>21</v>
      </c>
      <c r="E485" s="10" t="s">
        <v>22</v>
      </c>
      <c r="F485" s="11">
        <v>10995</v>
      </c>
      <c r="G485" s="11">
        <f>IF(F485="","",ROUND(F485*VLOOKUP(K485,Kurallar!$D$3:$E$14,2,0),2))</f>
        <v>6597</v>
      </c>
      <c r="H485" s="11">
        <f t="shared" ref="H485" si="157">IF(G485="","",G485*I485)</f>
        <v>6597</v>
      </c>
      <c r="I485" s="8">
        <v>1</v>
      </c>
      <c r="J485" s="8" t="s">
        <v>23</v>
      </c>
      <c r="K485" s="8" t="s">
        <v>24</v>
      </c>
      <c r="L485" s="11">
        <f t="shared" ref="L485" si="158">IF(H485="","",H485*$I$181)</f>
        <v>6597</v>
      </c>
      <c r="M485" s="9" t="s">
        <v>20</v>
      </c>
      <c r="N485" s="8" t="s">
        <v>25</v>
      </c>
      <c r="O485" s="8">
        <f>IFERROR(VLOOKUP(N485,Kurallar!$G$3:$H$22,2,0),0)</f>
        <v>8</v>
      </c>
    </row>
    <row r="486" spans="1:15" hidden="1" x14ac:dyDescent="0.25">
      <c r="A486" s="8">
        <v>47</v>
      </c>
      <c r="B486" s="9" t="str">
        <f t="shared" si="156"/>
        <v>ЩС-5(S4,6)</v>
      </c>
      <c r="C486" s="9" t="s">
        <v>26</v>
      </c>
      <c r="D486" s="9" t="s">
        <v>265</v>
      </c>
      <c r="E486" s="10" t="s">
        <v>266</v>
      </c>
      <c r="F486" s="11">
        <v>4334</v>
      </c>
      <c r="G486" s="11">
        <f>IF(F486="","",ROUND(F486*VLOOKUP(K486,Kurallar!$D$3:$E$14,2,0),2))</f>
        <v>2600.4</v>
      </c>
      <c r="H486" s="11">
        <f>IF(G486="","",G486*I486)</f>
        <v>2600.4</v>
      </c>
      <c r="I486" s="8">
        <v>1</v>
      </c>
      <c r="J486" s="8" t="s">
        <v>23</v>
      </c>
      <c r="K486" s="8" t="s">
        <v>29</v>
      </c>
      <c r="L486" s="11">
        <f>IF(H486="","",H486*$I$484)</f>
        <v>2600.4</v>
      </c>
      <c r="M486" s="9" t="s">
        <v>26</v>
      </c>
      <c r="N486" s="8" t="s">
        <v>30</v>
      </c>
      <c r="O486" s="8">
        <f>IFERROR(VLOOKUP(N486,Kurallar!$G$3:$H$22,2,0),0)</f>
        <v>30</v>
      </c>
    </row>
    <row r="487" spans="1:15" hidden="1" x14ac:dyDescent="0.25">
      <c r="A487" s="8">
        <v>47</v>
      </c>
      <c r="B487" s="9" t="str">
        <f t="shared" si="156"/>
        <v>ЩС-5(S4,6)</v>
      </c>
      <c r="C487" s="9" t="s">
        <v>31</v>
      </c>
      <c r="E487" s="9" t="s">
        <v>32</v>
      </c>
      <c r="F487" s="11"/>
      <c r="G487" s="11">
        <f>ROUND(SUM(H485:H486)*Kurallar!$B$2,2)</f>
        <v>1103.69</v>
      </c>
      <c r="H487" s="11">
        <f>G487*I487</f>
        <v>1103.69</v>
      </c>
      <c r="I487" s="8">
        <v>1</v>
      </c>
      <c r="J487" s="8" t="s">
        <v>19</v>
      </c>
      <c r="K487" s="8" t="s">
        <v>33</v>
      </c>
      <c r="L487" s="11">
        <f>H487*$I$484</f>
        <v>1103.69</v>
      </c>
      <c r="M487" s="9" t="s">
        <v>31</v>
      </c>
    </row>
    <row r="488" spans="1:15" hidden="1" x14ac:dyDescent="0.25">
      <c r="A488" s="8">
        <v>47</v>
      </c>
      <c r="B488" s="9" t="str">
        <f t="shared" si="156"/>
        <v>ЩС-5(S4,6)</v>
      </c>
      <c r="C488" s="9" t="s">
        <v>34</v>
      </c>
      <c r="E488" s="9" t="s">
        <v>35</v>
      </c>
      <c r="F488" s="11">
        <f>ROUND(I488/60,1)</f>
        <v>0.7</v>
      </c>
      <c r="G488" s="11">
        <f>Kurallar!$B$3</f>
        <v>100</v>
      </c>
      <c r="H488" s="11">
        <f>G488*I488</f>
        <v>4400</v>
      </c>
      <c r="I488" s="8">
        <f>ROUND(SUMPRODUCT(I485:I486,O485:O486)*Kurallar!$B$4,0)</f>
        <v>44</v>
      </c>
      <c r="J488" s="8" t="s">
        <v>36</v>
      </c>
      <c r="K488" s="8" t="s">
        <v>33</v>
      </c>
      <c r="L488" s="11">
        <f>H488*$I$484</f>
        <v>4400</v>
      </c>
      <c r="M488" s="9" t="s">
        <v>34</v>
      </c>
    </row>
    <row r="489" spans="1:15" hidden="1" x14ac:dyDescent="0.25">
      <c r="A489" s="12"/>
      <c r="B489" s="13" t="s">
        <v>383</v>
      </c>
      <c r="C489" s="12"/>
      <c r="D489" s="12"/>
      <c r="E489" s="13" t="s">
        <v>384</v>
      </c>
      <c r="F489" s="12"/>
      <c r="G489" s="12"/>
      <c r="H489" s="14">
        <f>SUBTOTAL(9,H485:H488)</f>
        <v>0</v>
      </c>
      <c r="I489" s="15">
        <v>1</v>
      </c>
      <c r="J489" s="15" t="s">
        <v>19</v>
      </c>
      <c r="K489" s="12"/>
      <c r="L489" s="14">
        <f>SUBTOTAL(9,L485:L488)</f>
        <v>0</v>
      </c>
      <c r="M489" s="12"/>
      <c r="N489" s="12"/>
      <c r="O489" s="12"/>
    </row>
    <row r="490" spans="1:15" hidden="1" x14ac:dyDescent="0.25">
      <c r="A490" s="4">
        <v>48</v>
      </c>
      <c r="B490" s="5" t="s">
        <v>385</v>
      </c>
      <c r="C490" s="6" t="s">
        <v>18</v>
      </c>
      <c r="D490" s="6"/>
      <c r="E490" s="7" t="s">
        <v>385</v>
      </c>
      <c r="F490" s="6"/>
      <c r="G490" s="6"/>
      <c r="H490" s="6"/>
      <c r="I490" s="4">
        <v>1</v>
      </c>
      <c r="J490" s="4" t="s">
        <v>19</v>
      </c>
      <c r="K490" s="6"/>
      <c r="L490" s="6"/>
      <c r="M490" s="6"/>
      <c r="N490" s="6"/>
      <c r="O490" s="6"/>
    </row>
    <row r="491" spans="1:15" hidden="1" x14ac:dyDescent="0.25">
      <c r="A491" s="8">
        <v>48</v>
      </c>
      <c r="B491" s="9" t="str">
        <f t="shared" ref="B491:B494" si="159">B490</f>
        <v>ЩС-6(S4,6)</v>
      </c>
      <c r="C491" s="9" t="s">
        <v>20</v>
      </c>
      <c r="D491" s="9" t="s">
        <v>21</v>
      </c>
      <c r="E491" s="10" t="s">
        <v>22</v>
      </c>
      <c r="F491" s="11">
        <v>10995</v>
      </c>
      <c r="G491" s="11">
        <f>IF(F491="","",ROUND(F491*VLOOKUP(K491,Kurallar!$D$3:$E$14,2,0),2))</f>
        <v>6597</v>
      </c>
      <c r="H491" s="11">
        <f t="shared" ref="H491" si="160">IF(G491="","",G491*I491)</f>
        <v>6597</v>
      </c>
      <c r="I491" s="8">
        <v>1</v>
      </c>
      <c r="J491" s="8" t="s">
        <v>23</v>
      </c>
      <c r="K491" s="8" t="s">
        <v>24</v>
      </c>
      <c r="L491" s="11">
        <f t="shared" ref="L491" si="161">IF(H491="","",H491*$I$181)</f>
        <v>6597</v>
      </c>
      <c r="M491" s="9" t="s">
        <v>20</v>
      </c>
      <c r="N491" s="8" t="s">
        <v>25</v>
      </c>
      <c r="O491" s="8">
        <f>IFERROR(VLOOKUP(N491,Kurallar!$G$3:$H$22,2,0),0)</f>
        <v>8</v>
      </c>
    </row>
    <row r="492" spans="1:15" hidden="1" x14ac:dyDescent="0.25">
      <c r="A492" s="8">
        <v>48</v>
      </c>
      <c r="B492" s="9" t="str">
        <f t="shared" si="159"/>
        <v>ЩС-6(S4,6)</v>
      </c>
      <c r="C492" s="9" t="s">
        <v>26</v>
      </c>
      <c r="D492" s="9" t="s">
        <v>40</v>
      </c>
      <c r="E492" s="10" t="s">
        <v>41</v>
      </c>
      <c r="F492" s="11">
        <v>4217</v>
      </c>
      <c r="G492" s="11">
        <f>IF(F492="","",ROUND(F492*VLOOKUP(K492,Kurallar!$D$3:$E$14,2,0),2))</f>
        <v>2530.1999999999998</v>
      </c>
      <c r="H492" s="11">
        <f>IF(G492="","",G492*I492)</f>
        <v>2530.1999999999998</v>
      </c>
      <c r="I492" s="8">
        <v>1</v>
      </c>
      <c r="J492" s="8" t="s">
        <v>23</v>
      </c>
      <c r="K492" s="8" t="s">
        <v>29</v>
      </c>
      <c r="L492" s="11">
        <f>IF(H492="","",H492*$I$490)</f>
        <v>2530.1999999999998</v>
      </c>
      <c r="M492" s="9" t="s">
        <v>26</v>
      </c>
      <c r="N492" s="8" t="s">
        <v>42</v>
      </c>
      <c r="O492" s="8">
        <f>IFERROR(VLOOKUP(N492,Kurallar!$G$3:$H$22,2,0),0)</f>
        <v>15</v>
      </c>
    </row>
    <row r="493" spans="1:15" hidden="1" x14ac:dyDescent="0.25">
      <c r="A493" s="8">
        <v>48</v>
      </c>
      <c r="B493" t="str">
        <f t="shared" si="159"/>
        <v>ЩС-6(S4,6)</v>
      </c>
      <c r="C493" s="9" t="s">
        <v>31</v>
      </c>
      <c r="E493" s="9" t="s">
        <v>32</v>
      </c>
      <c r="F493" s="11"/>
      <c r="G493" s="11">
        <f>ROUND(SUM(H491:H492)*Kurallar!$B$2,2)</f>
        <v>1095.26</v>
      </c>
      <c r="H493" s="11">
        <f>G493*I493</f>
        <v>1095.26</v>
      </c>
      <c r="I493" s="8">
        <v>1</v>
      </c>
      <c r="J493" s="8" t="s">
        <v>19</v>
      </c>
      <c r="K493" s="8" t="s">
        <v>33</v>
      </c>
      <c r="L493" s="11">
        <f>H493*$I$490</f>
        <v>1095.26</v>
      </c>
      <c r="M493" s="9" t="s">
        <v>31</v>
      </c>
    </row>
    <row r="494" spans="1:15" hidden="1" x14ac:dyDescent="0.25">
      <c r="A494" s="8">
        <v>48</v>
      </c>
      <c r="B494" t="str">
        <f t="shared" si="159"/>
        <v>ЩС-6(S4,6)</v>
      </c>
      <c r="C494" s="9" t="s">
        <v>34</v>
      </c>
      <c r="E494" s="9" t="s">
        <v>35</v>
      </c>
      <c r="F494" s="11">
        <f>ROUND(I494/60,1)</f>
        <v>0.4</v>
      </c>
      <c r="G494" s="11">
        <f>Kurallar!$B$3</f>
        <v>100</v>
      </c>
      <c r="H494" s="11">
        <f>G494*I494</f>
        <v>2600</v>
      </c>
      <c r="I494" s="8">
        <f>ROUND(SUMPRODUCT(I491:I492,O491:O492)*Kurallar!$B$4,0)</f>
        <v>26</v>
      </c>
      <c r="J494" s="8" t="s">
        <v>36</v>
      </c>
      <c r="K494" s="8" t="s">
        <v>33</v>
      </c>
      <c r="L494" s="11">
        <f>H494*$I$490</f>
        <v>2600</v>
      </c>
      <c r="M494" s="9" t="s">
        <v>34</v>
      </c>
    </row>
    <row r="495" spans="1:15" hidden="1" x14ac:dyDescent="0.25">
      <c r="A495" s="12"/>
      <c r="B495" s="13" t="s">
        <v>386</v>
      </c>
      <c r="C495" s="12"/>
      <c r="D495" s="12"/>
      <c r="E495" s="13" t="s">
        <v>387</v>
      </c>
      <c r="F495" s="12"/>
      <c r="G495" s="12"/>
      <c r="H495" s="14">
        <f>SUBTOTAL(9,H491:H494)</f>
        <v>0</v>
      </c>
      <c r="I495" s="15">
        <v>1</v>
      </c>
      <c r="J495" s="15" t="s">
        <v>19</v>
      </c>
      <c r="K495" s="12"/>
      <c r="L495" s="14">
        <f>SUBTOTAL(9,L491:L494)</f>
        <v>0</v>
      </c>
      <c r="M495" s="12"/>
      <c r="N495" s="12"/>
      <c r="O495" s="12"/>
    </row>
    <row r="496" spans="1:15" hidden="1" x14ac:dyDescent="0.25">
      <c r="A496" s="4">
        <v>49</v>
      </c>
      <c r="B496" s="5" t="s">
        <v>388</v>
      </c>
      <c r="C496" s="6" t="s">
        <v>18</v>
      </c>
      <c r="D496" s="6"/>
      <c r="E496" s="7" t="s">
        <v>388</v>
      </c>
      <c r="F496" s="6"/>
      <c r="G496" s="6"/>
      <c r="H496" s="6"/>
      <c r="I496" s="4">
        <v>1</v>
      </c>
      <c r="J496" s="4" t="s">
        <v>19</v>
      </c>
      <c r="K496" s="6"/>
      <c r="L496" s="6"/>
      <c r="M496" s="6"/>
      <c r="N496" s="6"/>
      <c r="O496" s="6"/>
    </row>
    <row r="497" spans="1:15" hidden="1" x14ac:dyDescent="0.25">
      <c r="A497" s="8">
        <v>49</v>
      </c>
      <c r="B497" s="9" t="str">
        <f t="shared" ref="B497:B500" si="162">B496</f>
        <v>ЩС-7(S4,6)</v>
      </c>
      <c r="C497" s="9" t="s">
        <v>20</v>
      </c>
      <c r="D497" s="9" t="s">
        <v>21</v>
      </c>
      <c r="E497" s="10" t="s">
        <v>22</v>
      </c>
      <c r="F497" s="11">
        <v>10995</v>
      </c>
      <c r="G497" s="11">
        <f>IF(F497="","",ROUND(F497*VLOOKUP(K497,Kurallar!$D$3:$E$14,2,0),2))</f>
        <v>6597</v>
      </c>
      <c r="H497" s="11">
        <f t="shared" ref="H497" si="163">IF(G497="","",G497*I497)</f>
        <v>6597</v>
      </c>
      <c r="I497" s="8">
        <v>1</v>
      </c>
      <c r="J497" s="8" t="s">
        <v>23</v>
      </c>
      <c r="K497" s="8" t="s">
        <v>24</v>
      </c>
      <c r="L497" s="11">
        <f t="shared" ref="L497" si="164">IF(H497="","",H497*$I$181)</f>
        <v>6597</v>
      </c>
      <c r="M497" s="9" t="s">
        <v>20</v>
      </c>
      <c r="N497" s="8" t="s">
        <v>25</v>
      </c>
      <c r="O497" s="8">
        <f>IFERROR(VLOOKUP(N497,Kurallar!$G$3:$H$22,2,0),0)</f>
        <v>8</v>
      </c>
    </row>
    <row r="498" spans="1:15" hidden="1" x14ac:dyDescent="0.25">
      <c r="A498" s="8">
        <v>49</v>
      </c>
      <c r="B498" s="9" t="str">
        <f t="shared" si="162"/>
        <v>ЩС-7(S4,6)</v>
      </c>
      <c r="C498" s="9" t="s">
        <v>26</v>
      </c>
      <c r="D498" s="9" t="s">
        <v>27</v>
      </c>
      <c r="E498" s="10" t="s">
        <v>28</v>
      </c>
      <c r="F498" s="11">
        <v>4439</v>
      </c>
      <c r="G498" s="11">
        <f>IF(F498="","",ROUND(F498*VLOOKUP(K498,Kurallar!$D$3:$E$14,2,0),2))</f>
        <v>2663.4</v>
      </c>
      <c r="H498" s="11">
        <f>IF(G498="","",G498*I498)</f>
        <v>2663.4</v>
      </c>
      <c r="I498" s="8">
        <v>1</v>
      </c>
      <c r="J498" s="8" t="s">
        <v>23</v>
      </c>
      <c r="K498" s="8" t="s">
        <v>29</v>
      </c>
      <c r="L498" s="11">
        <f>IF(H498="","",H498*$I$496)</f>
        <v>2663.4</v>
      </c>
      <c r="M498" s="9" t="s">
        <v>26</v>
      </c>
      <c r="N498" s="8" t="s">
        <v>30</v>
      </c>
      <c r="O498" s="8">
        <f>IFERROR(VLOOKUP(N498,Kurallar!$G$3:$H$22,2,0),0)</f>
        <v>30</v>
      </c>
    </row>
    <row r="499" spans="1:15" hidden="1" x14ac:dyDescent="0.25">
      <c r="A499" s="8">
        <v>49</v>
      </c>
      <c r="B499" t="str">
        <f t="shared" si="162"/>
        <v>ЩС-7(S4,6)</v>
      </c>
      <c r="C499" s="9" t="s">
        <v>31</v>
      </c>
      <c r="E499" s="9" t="s">
        <v>32</v>
      </c>
      <c r="F499" s="11"/>
      <c r="G499" s="11">
        <f>ROUND(SUM(H497:H498)*Kurallar!$B$2,2)</f>
        <v>1111.25</v>
      </c>
      <c r="H499" s="11">
        <f>G499*I499</f>
        <v>1111.25</v>
      </c>
      <c r="I499" s="8">
        <v>1</v>
      </c>
      <c r="J499" s="8" t="s">
        <v>19</v>
      </c>
      <c r="K499" s="8" t="s">
        <v>33</v>
      </c>
      <c r="L499" s="11">
        <f>H499*$I$496</f>
        <v>1111.25</v>
      </c>
      <c r="M499" s="9" t="s">
        <v>31</v>
      </c>
    </row>
    <row r="500" spans="1:15" hidden="1" x14ac:dyDescent="0.25">
      <c r="A500" s="8">
        <v>49</v>
      </c>
      <c r="B500" t="str">
        <f t="shared" si="162"/>
        <v>ЩС-7(S4,6)</v>
      </c>
      <c r="C500" s="9" t="s">
        <v>34</v>
      </c>
      <c r="E500" s="9" t="s">
        <v>35</v>
      </c>
      <c r="F500" s="11">
        <f>ROUND(I500/60,1)</f>
        <v>0.7</v>
      </c>
      <c r="G500" s="11">
        <f>Kurallar!$B$3</f>
        <v>100</v>
      </c>
      <c r="H500" s="11">
        <f>G500*I500</f>
        <v>4400</v>
      </c>
      <c r="I500" s="8">
        <f>ROUND(SUMPRODUCT(I497:I498,O497:O498)*Kurallar!$B$4,0)</f>
        <v>44</v>
      </c>
      <c r="J500" s="8" t="s">
        <v>36</v>
      </c>
      <c r="K500" s="8" t="s">
        <v>33</v>
      </c>
      <c r="L500" s="11">
        <f>H500*$I$496</f>
        <v>4400</v>
      </c>
      <c r="M500" s="9" t="s">
        <v>34</v>
      </c>
    </row>
    <row r="501" spans="1:15" hidden="1" x14ac:dyDescent="0.25">
      <c r="A501" s="12"/>
      <c r="B501" s="13" t="s">
        <v>389</v>
      </c>
      <c r="C501" s="12"/>
      <c r="D501" s="12"/>
      <c r="E501" s="13" t="s">
        <v>390</v>
      </c>
      <c r="F501" s="12"/>
      <c r="G501" s="12"/>
      <c r="H501" s="14">
        <f>SUBTOTAL(9,H497:H500)</f>
        <v>0</v>
      </c>
      <c r="I501" s="15">
        <v>1</v>
      </c>
      <c r="J501" s="15" t="s">
        <v>19</v>
      </c>
      <c r="K501" s="12"/>
      <c r="L501" s="14">
        <f>SUBTOTAL(9,L497:L500)</f>
        <v>0</v>
      </c>
      <c r="M501" s="12"/>
      <c r="N501" s="12"/>
      <c r="O501" s="12"/>
    </row>
    <row r="502" spans="1:15" hidden="1" x14ac:dyDescent="0.25">
      <c r="A502" s="4">
        <v>50</v>
      </c>
      <c r="B502" s="5" t="s">
        <v>391</v>
      </c>
      <c r="C502" s="6" t="s">
        <v>18</v>
      </c>
      <c r="D502" s="6"/>
      <c r="E502" s="7" t="s">
        <v>391</v>
      </c>
      <c r="F502" s="6"/>
      <c r="G502" s="6"/>
      <c r="H502" s="6"/>
      <c r="I502" s="4">
        <v>1</v>
      </c>
      <c r="J502" s="4" t="s">
        <v>19</v>
      </c>
      <c r="K502" s="6"/>
      <c r="L502" s="6"/>
      <c r="M502" s="6"/>
      <c r="N502" s="6"/>
      <c r="O502" s="6"/>
    </row>
    <row r="503" spans="1:15" hidden="1" x14ac:dyDescent="0.25">
      <c r="A503" s="8">
        <v>50</v>
      </c>
      <c r="B503" s="9" t="str">
        <f t="shared" ref="B503:B511" si="165">B502</f>
        <v>ЩОВ_S4,6</v>
      </c>
      <c r="C503" s="9" t="s">
        <v>20</v>
      </c>
      <c r="D503" s="9" t="s">
        <v>46</v>
      </c>
      <c r="E503" s="10" t="s">
        <v>47</v>
      </c>
      <c r="F503" s="11">
        <v>9620</v>
      </c>
      <c r="G503" s="11">
        <f>IF(F503="","",ROUND(F503*VLOOKUP(K503,Kurallar!$D$3:$E$14,2,0),2))</f>
        <v>5772</v>
      </c>
      <c r="H503" s="11">
        <f t="shared" ref="H503" si="166">IF(G503="","",G503*I503)</f>
        <v>5772</v>
      </c>
      <c r="I503" s="8">
        <v>1</v>
      </c>
      <c r="J503" s="8" t="s">
        <v>23</v>
      </c>
      <c r="K503" s="8" t="s">
        <v>24</v>
      </c>
      <c r="L503" s="11">
        <f t="shared" ref="L503" si="167">IF(H503="","",H503*$I$181)</f>
        <v>5772</v>
      </c>
      <c r="M503" s="9" t="s">
        <v>20</v>
      </c>
      <c r="N503" s="8" t="s">
        <v>25</v>
      </c>
      <c r="O503" s="8">
        <f>IFERROR(VLOOKUP(N503,Kurallar!$G$3:$H$22,2,0),0)</f>
        <v>8</v>
      </c>
    </row>
    <row r="504" spans="1:15" hidden="1" x14ac:dyDescent="0.25">
      <c r="A504" s="8">
        <v>50</v>
      </c>
      <c r="B504" s="9" t="str">
        <f t="shared" si="165"/>
        <v>ЩОВ_S4,6</v>
      </c>
      <c r="C504" s="9" t="s">
        <v>26</v>
      </c>
      <c r="D504" s="9" t="s">
        <v>48</v>
      </c>
      <c r="E504" s="10" t="s">
        <v>49</v>
      </c>
      <c r="F504" s="11">
        <v>3372</v>
      </c>
      <c r="G504" s="11">
        <f>IF(F504="","",ROUND(F504*VLOOKUP(K504,Kurallar!$D$3:$E$14,2,0),2))</f>
        <v>2023.2</v>
      </c>
      <c r="H504" s="11">
        <f t="shared" ref="H504:H509" si="168">IF(G504="","",G504*I504)</f>
        <v>2023.2</v>
      </c>
      <c r="I504" s="8">
        <v>1</v>
      </c>
      <c r="J504" s="8" t="s">
        <v>23</v>
      </c>
      <c r="K504" s="8" t="s">
        <v>29</v>
      </c>
      <c r="L504" s="11">
        <f t="shared" ref="L504:L509" si="169">IF(H504="","",H504*$I$502)</f>
        <v>2023.2</v>
      </c>
      <c r="M504" s="9" t="s">
        <v>26</v>
      </c>
      <c r="N504" s="8" t="s">
        <v>42</v>
      </c>
      <c r="O504" s="8">
        <f>IFERROR(VLOOKUP(N504,Kurallar!$G$3:$H$22,2,0),0)</f>
        <v>15</v>
      </c>
    </row>
    <row r="505" spans="1:15" hidden="1" x14ac:dyDescent="0.25">
      <c r="A505" s="8">
        <v>50</v>
      </c>
      <c r="B505" s="9" t="str">
        <f t="shared" si="165"/>
        <v>ЩОВ_S4,6</v>
      </c>
      <c r="C505" s="9" t="s">
        <v>50</v>
      </c>
      <c r="D505" s="9" t="s">
        <v>51</v>
      </c>
      <c r="E505" s="10" t="s">
        <v>52</v>
      </c>
      <c r="F505" s="11">
        <v>5719</v>
      </c>
      <c r="G505" s="11">
        <f>IF(F505="","",ROUND(F505*VLOOKUP(K505,Kurallar!$D$3:$E$14,2,0),2))</f>
        <v>3431.4</v>
      </c>
      <c r="H505" s="11">
        <f t="shared" si="168"/>
        <v>10294.200000000001</v>
      </c>
      <c r="I505" s="8">
        <v>3</v>
      </c>
      <c r="J505" s="8" t="s">
        <v>23</v>
      </c>
      <c r="K505" s="8" t="s">
        <v>29</v>
      </c>
      <c r="L505" s="11">
        <f t="shared" si="169"/>
        <v>10294.200000000001</v>
      </c>
      <c r="M505" s="9" t="s">
        <v>50</v>
      </c>
      <c r="N505" s="8" t="s">
        <v>53</v>
      </c>
      <c r="O505" s="8">
        <f>IFERROR(VLOOKUP(N505,Kurallar!$G$3:$H$22,2,0),0)</f>
        <v>16</v>
      </c>
    </row>
    <row r="506" spans="1:15" hidden="1" x14ac:dyDescent="0.25">
      <c r="A506" s="8">
        <v>50</v>
      </c>
      <c r="B506" s="9" t="str">
        <f t="shared" si="165"/>
        <v>ЩОВ_S4,6</v>
      </c>
      <c r="C506" s="9" t="s">
        <v>54</v>
      </c>
      <c r="D506" s="9" t="s">
        <v>55</v>
      </c>
      <c r="E506" s="10" t="s">
        <v>56</v>
      </c>
      <c r="F506" s="11">
        <v>975</v>
      </c>
      <c r="G506" s="11">
        <f>IF(F506="","",ROUND(F506*VLOOKUP(K506,Kurallar!$D$3:$E$14,2,0),2))</f>
        <v>585</v>
      </c>
      <c r="H506" s="11">
        <f t="shared" si="168"/>
        <v>585</v>
      </c>
      <c r="I506" s="8">
        <v>1</v>
      </c>
      <c r="J506" s="8" t="s">
        <v>23</v>
      </c>
      <c r="K506" s="8" t="s">
        <v>29</v>
      </c>
      <c r="L506" s="11">
        <f t="shared" si="169"/>
        <v>585</v>
      </c>
      <c r="M506" s="9" t="s">
        <v>54</v>
      </c>
      <c r="N506" s="8" t="s">
        <v>57</v>
      </c>
      <c r="O506" s="8">
        <f>IFERROR(VLOOKUP(N506,Kurallar!$G$3:$H$22,2,0),0)</f>
        <v>3</v>
      </c>
    </row>
    <row r="507" spans="1:15" hidden="1" x14ac:dyDescent="0.25">
      <c r="A507" s="8">
        <v>50</v>
      </c>
      <c r="B507" s="9" t="str">
        <f t="shared" si="165"/>
        <v>ЩОВ_S4,6</v>
      </c>
      <c r="C507" s="9" t="s">
        <v>58</v>
      </c>
      <c r="D507" s="9" t="s">
        <v>59</v>
      </c>
      <c r="E507" s="10" t="s">
        <v>60</v>
      </c>
      <c r="F507" s="11">
        <v>13575</v>
      </c>
      <c r="G507" s="11">
        <f>IF(F507="","",ROUND(F507*VLOOKUP(K507,Kurallar!$D$3:$E$14,2,0),2))</f>
        <v>8145</v>
      </c>
      <c r="H507" s="11">
        <f t="shared" si="168"/>
        <v>8145</v>
      </c>
      <c r="I507" s="8">
        <v>1</v>
      </c>
      <c r="J507" s="8" t="s">
        <v>23</v>
      </c>
      <c r="K507" s="8" t="s">
        <v>29</v>
      </c>
      <c r="L507" s="11">
        <f t="shared" si="169"/>
        <v>8145</v>
      </c>
      <c r="M507" s="9" t="s">
        <v>58</v>
      </c>
      <c r="N507" s="8" t="s">
        <v>61</v>
      </c>
      <c r="O507" s="8">
        <f>IFERROR(VLOOKUP(N507,Kurallar!$G$3:$H$22,2,0),0)</f>
        <v>15</v>
      </c>
    </row>
    <row r="508" spans="1:15" hidden="1" x14ac:dyDescent="0.25">
      <c r="A508" s="8">
        <v>50</v>
      </c>
      <c r="B508" s="9" t="str">
        <f t="shared" si="165"/>
        <v>ЩОВ_S4,6</v>
      </c>
      <c r="C508" s="9" t="s">
        <v>62</v>
      </c>
      <c r="D508" s="9" t="s">
        <v>63</v>
      </c>
      <c r="E508" s="10" t="s">
        <v>64</v>
      </c>
      <c r="F508" s="11">
        <v>13777</v>
      </c>
      <c r="G508" s="11">
        <f>IF(F508="","",ROUND(F508*VLOOKUP(K508,Kurallar!$D$3:$E$14,2,0),2))</f>
        <v>13777</v>
      </c>
      <c r="H508" s="11">
        <f t="shared" si="168"/>
        <v>13777</v>
      </c>
      <c r="I508" s="8">
        <v>1</v>
      </c>
      <c r="J508" s="8" t="s">
        <v>23</v>
      </c>
      <c r="K508" s="8" t="s">
        <v>65</v>
      </c>
      <c r="L508" s="11">
        <f t="shared" si="169"/>
        <v>13777</v>
      </c>
      <c r="M508" s="9" t="s">
        <v>62</v>
      </c>
      <c r="N508" s="8" t="s">
        <v>66</v>
      </c>
      <c r="O508" s="8">
        <f>IFERROR(VLOOKUP(N508,Kurallar!$G$3:$H$22,2,0),0)</f>
        <v>5</v>
      </c>
    </row>
    <row r="509" spans="1:15" hidden="1" x14ac:dyDescent="0.25">
      <c r="A509" s="8">
        <v>50</v>
      </c>
      <c r="B509" s="9" t="str">
        <f t="shared" si="165"/>
        <v>ЩОВ_S4,6</v>
      </c>
      <c r="C509" s="9" t="s">
        <v>67</v>
      </c>
      <c r="D509" s="9" t="s">
        <v>68</v>
      </c>
      <c r="E509" s="10" t="s">
        <v>69</v>
      </c>
      <c r="F509" s="11">
        <v>793</v>
      </c>
      <c r="G509" s="11">
        <f>IF(F509="","",ROUND(F509*VLOOKUP(K509,Kurallar!$D$3:$E$14,2,0),2))</f>
        <v>793</v>
      </c>
      <c r="H509" s="11">
        <f t="shared" si="168"/>
        <v>2379</v>
      </c>
      <c r="I509" s="8">
        <v>3</v>
      </c>
      <c r="J509" s="8" t="s">
        <v>23</v>
      </c>
      <c r="K509" s="8" t="s">
        <v>65</v>
      </c>
      <c r="L509" s="11">
        <f t="shared" si="169"/>
        <v>2379</v>
      </c>
      <c r="M509" s="9" t="s">
        <v>67</v>
      </c>
      <c r="N509" s="8" t="s">
        <v>70</v>
      </c>
      <c r="O509" s="8">
        <f>IFERROR(VLOOKUP(N509,Kurallar!$G$3:$H$22,2,0),0)</f>
        <v>5</v>
      </c>
    </row>
    <row r="510" spans="1:15" hidden="1" x14ac:dyDescent="0.25">
      <c r="A510" s="8">
        <v>50</v>
      </c>
      <c r="B510" t="str">
        <f t="shared" si="165"/>
        <v>ЩОВ_S4,6</v>
      </c>
      <c r="C510" s="9" t="s">
        <v>31</v>
      </c>
      <c r="E510" s="9" t="s">
        <v>32</v>
      </c>
      <c r="F510" s="11"/>
      <c r="G510" s="11">
        <f>ROUND(SUM(H503:H509)*Kurallar!$B$2,2)</f>
        <v>5157.05</v>
      </c>
      <c r="H510" s="11">
        <f>G510*I510</f>
        <v>5157.05</v>
      </c>
      <c r="I510" s="8">
        <v>1</v>
      </c>
      <c r="J510" s="8" t="s">
        <v>19</v>
      </c>
      <c r="K510" s="8" t="s">
        <v>33</v>
      </c>
      <c r="L510" s="11">
        <f>H510*$I$502</f>
        <v>5157.05</v>
      </c>
      <c r="M510" s="9" t="s">
        <v>31</v>
      </c>
    </row>
    <row r="511" spans="1:15" hidden="1" x14ac:dyDescent="0.25">
      <c r="A511" s="8">
        <v>50</v>
      </c>
      <c r="B511" t="str">
        <f t="shared" si="165"/>
        <v>ЩОВ_S4,6</v>
      </c>
      <c r="C511" s="9" t="s">
        <v>34</v>
      </c>
      <c r="E511" s="9" t="s">
        <v>35</v>
      </c>
      <c r="F511" s="11">
        <f>ROUND(I511/60,1)</f>
        <v>2.1</v>
      </c>
      <c r="G511" s="11">
        <f>Kurallar!$B$3</f>
        <v>100</v>
      </c>
      <c r="H511" s="11">
        <f>G511*I511</f>
        <v>12500</v>
      </c>
      <c r="I511" s="8">
        <f>ROUND(SUMPRODUCT(I503:I509,O503:O509)*Kurallar!$B$4,0)</f>
        <v>125</v>
      </c>
      <c r="J511" s="8" t="s">
        <v>36</v>
      </c>
      <c r="K511" s="8" t="s">
        <v>33</v>
      </c>
      <c r="L511" s="11">
        <f>H511*$I$502</f>
        <v>12500</v>
      </c>
      <c r="M511" s="9" t="s">
        <v>34</v>
      </c>
    </row>
    <row r="512" spans="1:15" hidden="1" x14ac:dyDescent="0.25">
      <c r="A512" s="12"/>
      <c r="B512" s="13" t="s">
        <v>392</v>
      </c>
      <c r="C512" s="12"/>
      <c r="D512" s="12"/>
      <c r="E512" s="13" t="s">
        <v>393</v>
      </c>
      <c r="F512" s="12"/>
      <c r="G512" s="12"/>
      <c r="H512" s="14">
        <f>SUBTOTAL(9,H503:H511)</f>
        <v>0</v>
      </c>
      <c r="I512" s="15">
        <v>1</v>
      </c>
      <c r="J512" s="15" t="s">
        <v>19</v>
      </c>
      <c r="K512" s="12"/>
      <c r="L512" s="14">
        <f>SUBTOTAL(9,L503:L511)</f>
        <v>0</v>
      </c>
      <c r="M512" s="12"/>
      <c r="N512" s="12"/>
      <c r="O512" s="12"/>
    </row>
    <row r="513" spans="1:15" hidden="1" x14ac:dyDescent="0.25">
      <c r="A513" s="4">
        <v>51</v>
      </c>
      <c r="B513" s="5" t="s">
        <v>394</v>
      </c>
      <c r="C513" s="6" t="s">
        <v>18</v>
      </c>
      <c r="D513" s="6"/>
      <c r="E513" s="7" t="s">
        <v>394</v>
      </c>
      <c r="F513" s="6"/>
      <c r="G513" s="6"/>
      <c r="H513" s="6"/>
      <c r="I513" s="4">
        <v>11</v>
      </c>
      <c r="J513" s="4" t="s">
        <v>19</v>
      </c>
      <c r="K513" s="6"/>
      <c r="L513" s="6"/>
      <c r="M513" s="6"/>
      <c r="N513" s="6"/>
      <c r="O513" s="6"/>
    </row>
    <row r="514" spans="1:15" hidden="1" x14ac:dyDescent="0.25">
      <c r="A514" s="8">
        <v>51</v>
      </c>
      <c r="B514" s="9" t="str">
        <f t="shared" ref="B514:B521" si="170">B513</f>
        <v>ЩЭ_S4,6</v>
      </c>
      <c r="C514" s="9" t="s">
        <v>20</v>
      </c>
      <c r="D514" s="9" t="s">
        <v>74</v>
      </c>
      <c r="E514" s="10" t="s">
        <v>762</v>
      </c>
      <c r="F514" s="11">
        <v>78000</v>
      </c>
      <c r="G514" s="11">
        <f>IF(F514="","",ROUND(F514*VLOOKUP(K514,Kurallar!$D$3:$E$14,2,0),2))</f>
        <v>46800</v>
      </c>
      <c r="H514" s="11">
        <f t="shared" ref="H514" si="171">IF(G514="","",G514*I514)</f>
        <v>46800</v>
      </c>
      <c r="I514" s="8">
        <v>1</v>
      </c>
      <c r="J514" s="8" t="s">
        <v>23</v>
      </c>
      <c r="K514" s="8" t="s">
        <v>24</v>
      </c>
      <c r="L514" s="11">
        <f t="shared" ref="L514" si="172">IF(H514="","",H514*$I$181)</f>
        <v>46800</v>
      </c>
      <c r="M514" s="9" t="s">
        <v>20</v>
      </c>
      <c r="N514" s="8" t="s">
        <v>75</v>
      </c>
      <c r="O514" s="8">
        <f>IFERROR(VLOOKUP(N514,Kurallar!$G$3:$H$22,2,0),0)</f>
        <v>30</v>
      </c>
    </row>
    <row r="515" spans="1:15" hidden="1" x14ac:dyDescent="0.25">
      <c r="A515" s="8">
        <v>51</v>
      </c>
      <c r="B515" s="9" t="str">
        <f t="shared" si="170"/>
        <v>ЩЭ_S4,6</v>
      </c>
      <c r="C515" s="9" t="s">
        <v>26</v>
      </c>
      <c r="D515" s="9" t="s">
        <v>76</v>
      </c>
      <c r="E515" s="10" t="s">
        <v>77</v>
      </c>
      <c r="F515" s="11">
        <v>1421</v>
      </c>
      <c r="G515" s="11">
        <f>IF(F515="","",ROUND(F515*VLOOKUP(K515,Kurallar!$D$3:$E$14,2,0),2))</f>
        <v>852.6</v>
      </c>
      <c r="H515" s="11">
        <f t="shared" ref="H515:H519" si="173">IF(G515="","",G515*I515)</f>
        <v>3410.4</v>
      </c>
      <c r="I515" s="8">
        <v>4</v>
      </c>
      <c r="J515" s="8" t="s">
        <v>23</v>
      </c>
      <c r="K515" s="8" t="s">
        <v>29</v>
      </c>
      <c r="L515" s="11">
        <f t="shared" ref="L515:L519" si="174">IF(H515="","",H515*$I$513)</f>
        <v>37514.400000000001</v>
      </c>
      <c r="M515" s="9" t="s">
        <v>26</v>
      </c>
      <c r="N515" s="8" t="s">
        <v>42</v>
      </c>
      <c r="O515" s="8">
        <f>IFERROR(VLOOKUP(N515,Kurallar!$G$3:$H$22,2,0),0)</f>
        <v>15</v>
      </c>
    </row>
    <row r="516" spans="1:15" hidden="1" x14ac:dyDescent="0.25">
      <c r="A516" s="8">
        <v>51</v>
      </c>
      <c r="B516" s="9" t="str">
        <f t="shared" si="170"/>
        <v>ЩЭ_S4,6</v>
      </c>
      <c r="C516" s="9" t="s">
        <v>50</v>
      </c>
      <c r="D516" s="9" t="s">
        <v>78</v>
      </c>
      <c r="E516" s="10" t="s">
        <v>79</v>
      </c>
      <c r="F516" s="11">
        <v>6215</v>
      </c>
      <c r="G516" s="11">
        <f>IF(F516="","",ROUND(F516*VLOOKUP(K516,Kurallar!$D$3:$E$14,2,0),2))</f>
        <v>3729</v>
      </c>
      <c r="H516" s="11">
        <f t="shared" si="173"/>
        <v>14916</v>
      </c>
      <c r="I516" s="8">
        <v>4</v>
      </c>
      <c r="J516" s="8" t="s">
        <v>23</v>
      </c>
      <c r="K516" s="8" t="s">
        <v>29</v>
      </c>
      <c r="L516" s="11">
        <f t="shared" si="174"/>
        <v>164076</v>
      </c>
      <c r="M516" s="9" t="s">
        <v>50</v>
      </c>
      <c r="N516" s="8" t="s">
        <v>53</v>
      </c>
      <c r="O516" s="8">
        <f>IFERROR(VLOOKUP(N516,Kurallar!$G$3:$H$22,2,0),0)</f>
        <v>16</v>
      </c>
    </row>
    <row r="517" spans="1:15" hidden="1" x14ac:dyDescent="0.25">
      <c r="A517" s="8">
        <v>51</v>
      </c>
      <c r="B517" s="9" t="str">
        <f t="shared" si="170"/>
        <v>ЩЭ_S4,6</v>
      </c>
      <c r="C517" s="9" t="s">
        <v>26</v>
      </c>
      <c r="D517" s="9" t="s">
        <v>80</v>
      </c>
      <c r="E517" s="10" t="s">
        <v>81</v>
      </c>
      <c r="F517" s="11">
        <v>3372</v>
      </c>
      <c r="G517" s="11">
        <f>IF(F517="","",ROUND(F517*VLOOKUP(K517,Kurallar!$D$3:$E$14,2,0),2))</f>
        <v>2023.2</v>
      </c>
      <c r="H517" s="11">
        <f t="shared" si="173"/>
        <v>2023.2</v>
      </c>
      <c r="I517" s="8">
        <v>1</v>
      </c>
      <c r="J517" s="8" t="s">
        <v>23</v>
      </c>
      <c r="K517" s="8" t="s">
        <v>29</v>
      </c>
      <c r="L517" s="11">
        <f t="shared" si="174"/>
        <v>22255.200000000001</v>
      </c>
      <c r="M517" s="9" t="s">
        <v>26</v>
      </c>
      <c r="N517" s="8" t="s">
        <v>42</v>
      </c>
      <c r="O517" s="8">
        <f>IFERROR(VLOOKUP(N517,Kurallar!$G$3:$H$22,2,0),0)</f>
        <v>15</v>
      </c>
    </row>
    <row r="518" spans="1:15" hidden="1" x14ac:dyDescent="0.25">
      <c r="A518" s="8">
        <v>51</v>
      </c>
      <c r="B518" s="9" t="str">
        <f t="shared" si="170"/>
        <v>ЩЭ_S4,6</v>
      </c>
      <c r="C518" s="9" t="s">
        <v>82</v>
      </c>
      <c r="D518" s="9" t="s">
        <v>83</v>
      </c>
      <c r="E518" s="10" t="s">
        <v>84</v>
      </c>
      <c r="F518" s="11">
        <v>0</v>
      </c>
      <c r="G518" s="11">
        <f>F518</f>
        <v>0</v>
      </c>
      <c r="H518" s="11">
        <f t="shared" si="173"/>
        <v>0</v>
      </c>
      <c r="I518" s="8">
        <v>4</v>
      </c>
      <c r="J518" s="8" t="s">
        <v>23</v>
      </c>
      <c r="K518" s="8" t="s">
        <v>751</v>
      </c>
      <c r="L518" s="11">
        <f t="shared" si="174"/>
        <v>0</v>
      </c>
      <c r="M518" s="9" t="s">
        <v>82</v>
      </c>
      <c r="N518" s="8" t="s">
        <v>85</v>
      </c>
      <c r="O518" s="8">
        <f>IFERROR(VLOOKUP(N518,Kurallar!$G$3:$H$22,2,0),0)</f>
        <v>25</v>
      </c>
    </row>
    <row r="519" spans="1:15" hidden="1" x14ac:dyDescent="0.25">
      <c r="A519" s="8">
        <v>51</v>
      </c>
      <c r="B519" s="9" t="str">
        <f t="shared" si="170"/>
        <v>ЩЭ_S4,6</v>
      </c>
      <c r="C519" s="9" t="s">
        <v>86</v>
      </c>
      <c r="D519" s="9" t="s">
        <v>87</v>
      </c>
      <c r="E519" s="10" t="s">
        <v>88</v>
      </c>
      <c r="F519" s="11">
        <v>1738</v>
      </c>
      <c r="G519" s="11">
        <f>IF(F519="","",ROUND(F519*VLOOKUP(K519,Kurallar!$D$3:$E$14,2,0),2))</f>
        <v>1042.8</v>
      </c>
      <c r="H519" s="11">
        <f t="shared" si="173"/>
        <v>1042.8</v>
      </c>
      <c r="I519" s="8">
        <v>1</v>
      </c>
      <c r="J519" s="8" t="s">
        <v>23</v>
      </c>
      <c r="K519" s="8" t="s">
        <v>29</v>
      </c>
      <c r="L519" s="11">
        <f t="shared" si="174"/>
        <v>11470.8</v>
      </c>
      <c r="M519" s="9" t="s">
        <v>86</v>
      </c>
      <c r="N519" s="8" t="s">
        <v>89</v>
      </c>
      <c r="O519" s="8">
        <f>IFERROR(VLOOKUP(N519,Kurallar!$G$3:$H$22,2,0),0)</f>
        <v>5</v>
      </c>
    </row>
    <row r="520" spans="1:15" hidden="1" x14ac:dyDescent="0.25">
      <c r="A520" s="8">
        <v>51</v>
      </c>
      <c r="B520" t="str">
        <f t="shared" si="170"/>
        <v>ЩЭ_S4,6</v>
      </c>
      <c r="C520" s="9" t="s">
        <v>31</v>
      </c>
      <c r="E520" s="9" t="s">
        <v>32</v>
      </c>
      <c r="F520" s="11"/>
      <c r="G520" s="11">
        <f>ROUND(SUM(H514:H519)*Kurallar!$B$2,2)</f>
        <v>8183.09</v>
      </c>
      <c r="H520" s="11">
        <f>G520*I520</f>
        <v>8183.09</v>
      </c>
      <c r="I520" s="8">
        <v>1</v>
      </c>
      <c r="J520" s="8" t="s">
        <v>19</v>
      </c>
      <c r="K520" s="8" t="s">
        <v>33</v>
      </c>
      <c r="L520" s="11">
        <f>H520*$I$513</f>
        <v>90013.99</v>
      </c>
      <c r="M520" s="9" t="s">
        <v>31</v>
      </c>
    </row>
    <row r="521" spans="1:15" hidden="1" x14ac:dyDescent="0.25">
      <c r="A521" s="8">
        <v>51</v>
      </c>
      <c r="B521" t="str">
        <f t="shared" si="170"/>
        <v>ЩЭ_S4,6</v>
      </c>
      <c r="C521" s="9" t="s">
        <v>34</v>
      </c>
      <c r="E521" s="9" t="s">
        <v>35</v>
      </c>
      <c r="F521" s="11">
        <f>ROUND(I521/60,1)</f>
        <v>5.3</v>
      </c>
      <c r="G521" s="11">
        <f>Kurallar!$B$3</f>
        <v>100</v>
      </c>
      <c r="H521" s="11">
        <f>G521*I521</f>
        <v>31500</v>
      </c>
      <c r="I521" s="8">
        <f>ROUND(SUMPRODUCT(I514:I519,O514:O519)*Kurallar!$B$4,0)</f>
        <v>315</v>
      </c>
      <c r="J521" s="8" t="s">
        <v>36</v>
      </c>
      <c r="K521" s="8" t="s">
        <v>33</v>
      </c>
      <c r="L521" s="11">
        <f>H521*$I$513</f>
        <v>346500</v>
      </c>
      <c r="M521" s="9" t="s">
        <v>34</v>
      </c>
    </row>
    <row r="522" spans="1:15" hidden="1" x14ac:dyDescent="0.25">
      <c r="A522" s="12"/>
      <c r="B522" s="13" t="s">
        <v>395</v>
      </c>
      <c r="C522" s="12"/>
      <c r="D522" s="12"/>
      <c r="E522" s="13" t="s">
        <v>396</v>
      </c>
      <c r="F522" s="12"/>
      <c r="G522" s="12"/>
      <c r="H522" s="14">
        <f>SUBTOTAL(9,H514:H521)</f>
        <v>0</v>
      </c>
      <c r="I522" s="15">
        <v>11</v>
      </c>
      <c r="J522" s="15" t="s">
        <v>19</v>
      </c>
      <c r="K522" s="12"/>
      <c r="L522" s="14">
        <f>SUBTOTAL(9,L514:L521)</f>
        <v>0</v>
      </c>
      <c r="M522" s="12"/>
      <c r="N522" s="12"/>
      <c r="O522" s="12"/>
    </row>
    <row r="523" spans="1:15" hidden="1" x14ac:dyDescent="0.25">
      <c r="A523" s="4">
        <v>52</v>
      </c>
      <c r="B523" s="5" t="s">
        <v>397</v>
      </c>
      <c r="C523" s="6" t="s">
        <v>18</v>
      </c>
      <c r="D523" s="6"/>
      <c r="E523" s="7" t="s">
        <v>397</v>
      </c>
      <c r="F523" s="6"/>
      <c r="G523" s="6"/>
      <c r="H523" s="6"/>
      <c r="I523" s="4">
        <v>22</v>
      </c>
      <c r="J523" s="4" t="s">
        <v>19</v>
      </c>
      <c r="K523" s="6"/>
      <c r="L523" s="6"/>
      <c r="M523" s="6"/>
      <c r="N523" s="6"/>
      <c r="O523" s="6"/>
    </row>
    <row r="524" spans="1:15" ht="24" hidden="1" x14ac:dyDescent="0.25">
      <c r="A524" s="8">
        <v>52</v>
      </c>
      <c r="B524" s="9" t="str">
        <f t="shared" ref="B524:B532" si="175">B523</f>
        <v>ЩК_S4,6</v>
      </c>
      <c r="C524" s="9" t="s">
        <v>20</v>
      </c>
      <c r="D524" s="9" t="s">
        <v>774</v>
      </c>
      <c r="E524" s="10" t="s">
        <v>775</v>
      </c>
      <c r="F524" s="11">
        <v>10700</v>
      </c>
      <c r="G524" s="11">
        <f>IF(F524="","",ROUND(F524*VLOOKUP(K524,Kurallar!$D$3:$E$14,2,0),2))</f>
        <v>10700</v>
      </c>
      <c r="H524" s="11">
        <f t="shared" ref="H524" si="176">IF(G524="","",G524*I524)</f>
        <v>10700</v>
      </c>
      <c r="I524" s="8">
        <v>1</v>
      </c>
      <c r="J524" s="8" t="s">
        <v>23</v>
      </c>
      <c r="K524" s="8" t="s">
        <v>776</v>
      </c>
      <c r="L524" s="11">
        <f t="shared" ref="L524" si="177">IF(H524="","",H524*$I$181)</f>
        <v>10700</v>
      </c>
      <c r="M524" s="9" t="s">
        <v>20</v>
      </c>
      <c r="N524" s="8" t="s">
        <v>25</v>
      </c>
      <c r="O524" s="8">
        <f>IFERROR(VLOOKUP(N524,Kurallar!$G$3:$H$22,2,0),0)</f>
        <v>8</v>
      </c>
    </row>
    <row r="525" spans="1:15" hidden="1" x14ac:dyDescent="0.25">
      <c r="A525" s="8">
        <v>52</v>
      </c>
      <c r="B525" s="9" t="str">
        <f t="shared" si="175"/>
        <v>ЩК_S4,6</v>
      </c>
      <c r="C525" s="9" t="s">
        <v>26</v>
      </c>
      <c r="D525" s="9" t="s">
        <v>772</v>
      </c>
      <c r="E525" s="10" t="s">
        <v>773</v>
      </c>
      <c r="F525" s="11">
        <v>2824</v>
      </c>
      <c r="G525" s="11">
        <f>IF(F525="","",ROUND(F525*VLOOKUP(K525,Kurallar!$D$3:$E$14,2,0),2))</f>
        <v>1694.4</v>
      </c>
      <c r="H525" s="11">
        <f t="shared" ref="H525:H530" si="178">IF(G525="","",G525*I525)</f>
        <v>1694.4</v>
      </c>
      <c r="I525" s="8">
        <v>1</v>
      </c>
      <c r="J525" s="8" t="s">
        <v>23</v>
      </c>
      <c r="K525" s="8" t="s">
        <v>29</v>
      </c>
      <c r="L525" s="11">
        <f t="shared" ref="L525:L530" si="179">IF(H525="","",H525*$I$523)</f>
        <v>37276.800000000003</v>
      </c>
      <c r="M525" s="9" t="s">
        <v>26</v>
      </c>
      <c r="N525" s="8" t="s">
        <v>42</v>
      </c>
      <c r="O525" s="8">
        <f>IFERROR(VLOOKUP(N525,Kurallar!$G$3:$H$22,2,0),0)</f>
        <v>15</v>
      </c>
    </row>
    <row r="526" spans="1:15" hidden="1" x14ac:dyDescent="0.25">
      <c r="A526" s="8">
        <v>52</v>
      </c>
      <c r="B526" s="9" t="str">
        <f t="shared" si="175"/>
        <v>ЩК_S4,6</v>
      </c>
      <c r="C526" s="9" t="s">
        <v>54</v>
      </c>
      <c r="D526" s="9" t="s">
        <v>93</v>
      </c>
      <c r="E526" s="10" t="s">
        <v>94</v>
      </c>
      <c r="F526" s="11">
        <v>783</v>
      </c>
      <c r="G526" s="11">
        <f>IF(F526="","",ROUND(F526*VLOOKUP(K526,Kurallar!$D$3:$E$14,2,0),2))</f>
        <v>469.8</v>
      </c>
      <c r="H526" s="11">
        <f t="shared" si="178"/>
        <v>469.8</v>
      </c>
      <c r="I526" s="8">
        <v>1</v>
      </c>
      <c r="J526" s="8" t="s">
        <v>23</v>
      </c>
      <c r="K526" s="8" t="s">
        <v>29</v>
      </c>
      <c r="L526" s="11">
        <f t="shared" si="179"/>
        <v>10335.6</v>
      </c>
      <c r="M526" s="9" t="s">
        <v>54</v>
      </c>
      <c r="N526" s="8" t="s">
        <v>57</v>
      </c>
      <c r="O526" s="8">
        <f>IFERROR(VLOOKUP(N526,Kurallar!$G$3:$H$22,2,0),0)</f>
        <v>3</v>
      </c>
    </row>
    <row r="527" spans="1:15" hidden="1" x14ac:dyDescent="0.25">
      <c r="A527" s="8">
        <v>52</v>
      </c>
      <c r="B527" s="9" t="str">
        <f t="shared" si="175"/>
        <v>ЩК_S4,6</v>
      </c>
      <c r="C527" s="9" t="s">
        <v>54</v>
      </c>
      <c r="D527" s="9" t="s">
        <v>95</v>
      </c>
      <c r="E527" s="10" t="s">
        <v>96</v>
      </c>
      <c r="F527" s="11">
        <v>796</v>
      </c>
      <c r="G527" s="11">
        <f>IF(F527="","",ROUND(F527*VLOOKUP(K527,Kurallar!$D$3:$E$14,2,0),2))</f>
        <v>477.6</v>
      </c>
      <c r="H527" s="11">
        <f t="shared" si="178"/>
        <v>1432.8000000000002</v>
      </c>
      <c r="I527" s="8">
        <v>3</v>
      </c>
      <c r="J527" s="8" t="s">
        <v>23</v>
      </c>
      <c r="K527" s="8" t="s">
        <v>29</v>
      </c>
      <c r="L527" s="11">
        <f t="shared" si="179"/>
        <v>31521.600000000006</v>
      </c>
      <c r="M527" s="9" t="s">
        <v>54</v>
      </c>
      <c r="N527" s="8" t="s">
        <v>57</v>
      </c>
      <c r="O527" s="8">
        <f>IFERROR(VLOOKUP(N527,Kurallar!$G$3:$H$22,2,0),0)</f>
        <v>3</v>
      </c>
    </row>
    <row r="528" spans="1:15" hidden="1" x14ac:dyDescent="0.25">
      <c r="A528" s="8">
        <v>52</v>
      </c>
      <c r="B528" s="9" t="str">
        <f t="shared" si="175"/>
        <v>ЩК_S4,6</v>
      </c>
      <c r="C528" s="9" t="s">
        <v>50</v>
      </c>
      <c r="D528" s="9" t="s">
        <v>97</v>
      </c>
      <c r="E528" s="10" t="s">
        <v>98</v>
      </c>
      <c r="F528" s="11">
        <v>5556</v>
      </c>
      <c r="G528" s="11">
        <f>IF(F528="","",ROUND(F528*VLOOKUP(K528,Kurallar!$D$3:$E$14,2,0),2))</f>
        <v>3333.6</v>
      </c>
      <c r="H528" s="11">
        <f t="shared" si="178"/>
        <v>6667.2</v>
      </c>
      <c r="I528" s="8">
        <v>2</v>
      </c>
      <c r="J528" s="8" t="s">
        <v>23</v>
      </c>
      <c r="K528" s="8" t="s">
        <v>29</v>
      </c>
      <c r="L528" s="11">
        <f t="shared" si="179"/>
        <v>146678.39999999999</v>
      </c>
      <c r="M528" s="9" t="s">
        <v>50</v>
      </c>
      <c r="N528" s="8" t="s">
        <v>53</v>
      </c>
      <c r="O528" s="8">
        <f>IFERROR(VLOOKUP(N528,Kurallar!$G$3:$H$22,2,0),0)</f>
        <v>16</v>
      </c>
    </row>
    <row r="529" spans="1:15" hidden="1" x14ac:dyDescent="0.25">
      <c r="A529" s="8">
        <v>52</v>
      </c>
      <c r="B529" s="9" t="str">
        <f t="shared" si="175"/>
        <v>ЩК_S4,6</v>
      </c>
      <c r="C529" s="9" t="s">
        <v>50</v>
      </c>
      <c r="D529" s="9" t="s">
        <v>99</v>
      </c>
      <c r="E529" s="10" t="s">
        <v>100</v>
      </c>
      <c r="F529" s="11">
        <v>5632</v>
      </c>
      <c r="G529" s="11">
        <f>IF(F529="","",ROUND(F529*VLOOKUP(K529,Kurallar!$D$3:$E$14,2,0),2))</f>
        <v>3379.2</v>
      </c>
      <c r="H529" s="11">
        <f t="shared" si="178"/>
        <v>6758.4</v>
      </c>
      <c r="I529" s="8">
        <v>2</v>
      </c>
      <c r="J529" s="8" t="s">
        <v>23</v>
      </c>
      <c r="K529" s="8" t="s">
        <v>29</v>
      </c>
      <c r="L529" s="11">
        <f t="shared" si="179"/>
        <v>148684.79999999999</v>
      </c>
      <c r="M529" s="9" t="s">
        <v>50</v>
      </c>
      <c r="N529" s="8" t="s">
        <v>53</v>
      </c>
      <c r="O529" s="8">
        <f>IFERROR(VLOOKUP(N529,Kurallar!$G$3:$H$22,2,0),0)</f>
        <v>16</v>
      </c>
    </row>
    <row r="530" spans="1:15" hidden="1" x14ac:dyDescent="0.25">
      <c r="A530" s="8">
        <v>52</v>
      </c>
      <c r="B530" s="9" t="str">
        <f t="shared" si="175"/>
        <v>ЩК_S4,6</v>
      </c>
      <c r="C530" s="9" t="s">
        <v>58</v>
      </c>
      <c r="D530" s="9" t="s">
        <v>101</v>
      </c>
      <c r="E530" s="10" t="s">
        <v>102</v>
      </c>
      <c r="F530" s="11">
        <v>12834</v>
      </c>
      <c r="G530" s="11">
        <f>IF(F530="","",ROUND(F530*VLOOKUP(K530,Kurallar!$D$3:$E$14,2,0),2))</f>
        <v>7700.4</v>
      </c>
      <c r="H530" s="11">
        <f t="shared" si="178"/>
        <v>7700.4</v>
      </c>
      <c r="I530" s="8">
        <v>1</v>
      </c>
      <c r="J530" s="8" t="s">
        <v>23</v>
      </c>
      <c r="K530" s="8" t="s">
        <v>29</v>
      </c>
      <c r="L530" s="11">
        <f t="shared" si="179"/>
        <v>169408.8</v>
      </c>
      <c r="M530" s="9" t="s">
        <v>58</v>
      </c>
      <c r="N530" s="8" t="s">
        <v>61</v>
      </c>
      <c r="O530" s="8">
        <f>IFERROR(VLOOKUP(N530,Kurallar!$G$3:$H$22,2,0),0)</f>
        <v>15</v>
      </c>
    </row>
    <row r="531" spans="1:15" hidden="1" x14ac:dyDescent="0.25">
      <c r="A531" s="8">
        <v>52</v>
      </c>
      <c r="B531" t="str">
        <f t="shared" si="175"/>
        <v>ЩК_S4,6</v>
      </c>
      <c r="C531" s="9" t="s">
        <v>31</v>
      </c>
      <c r="E531" s="9" t="s">
        <v>32</v>
      </c>
      <c r="F531" s="11"/>
      <c r="G531" s="11">
        <f>ROUND(SUM(H524:H530)*Kurallar!$B$2,2)</f>
        <v>4250.76</v>
      </c>
      <c r="H531" s="11">
        <f>G531*I531</f>
        <v>4250.76</v>
      </c>
      <c r="I531" s="8">
        <v>1</v>
      </c>
      <c r="J531" s="8" t="s">
        <v>19</v>
      </c>
      <c r="K531" s="8" t="s">
        <v>33</v>
      </c>
      <c r="L531" s="11">
        <f>H531*$I$523</f>
        <v>93516.72</v>
      </c>
      <c r="M531" s="9" t="s">
        <v>31</v>
      </c>
    </row>
    <row r="532" spans="1:15" hidden="1" x14ac:dyDescent="0.25">
      <c r="A532" s="8">
        <v>52</v>
      </c>
      <c r="B532" t="str">
        <f t="shared" si="175"/>
        <v>ЩК_S4,6</v>
      </c>
      <c r="C532" s="9" t="s">
        <v>34</v>
      </c>
      <c r="E532" s="9" t="s">
        <v>35</v>
      </c>
      <c r="F532" s="11">
        <f>ROUND(I532/60,1)</f>
        <v>2.2000000000000002</v>
      </c>
      <c r="G532" s="11">
        <f>Kurallar!$B$3</f>
        <v>100</v>
      </c>
      <c r="H532" s="11">
        <f>G532*I532</f>
        <v>13100</v>
      </c>
      <c r="I532" s="8">
        <f>ROUND(SUMPRODUCT(I524:I530,O524:O530)*Kurallar!$B$4,0)</f>
        <v>131</v>
      </c>
      <c r="J532" s="8" t="s">
        <v>36</v>
      </c>
      <c r="K532" s="8" t="s">
        <v>33</v>
      </c>
      <c r="L532" s="11">
        <f>H532*$I$523</f>
        <v>288200</v>
      </c>
      <c r="M532" s="9" t="s">
        <v>34</v>
      </c>
    </row>
    <row r="533" spans="1:15" hidden="1" x14ac:dyDescent="0.25">
      <c r="A533" s="12"/>
      <c r="B533" s="13" t="s">
        <v>398</v>
      </c>
      <c r="C533" s="12"/>
      <c r="D533" s="12"/>
      <c r="E533" s="13" t="s">
        <v>399</v>
      </c>
      <c r="F533" s="12"/>
      <c r="G533" s="12"/>
      <c r="H533" s="14">
        <f>SUBTOTAL(9,H524:H532)</f>
        <v>0</v>
      </c>
      <c r="I533" s="15">
        <v>22</v>
      </c>
      <c r="J533" s="15" t="s">
        <v>19</v>
      </c>
      <c r="K533" s="12"/>
      <c r="L533" s="14">
        <f>SUBTOTAL(9,L524:L532)</f>
        <v>0</v>
      </c>
      <c r="M533" s="12"/>
      <c r="N533" s="12"/>
      <c r="O533" s="12"/>
    </row>
    <row r="534" spans="1:15" hidden="1" x14ac:dyDescent="0.25">
      <c r="A534" s="4">
        <v>53</v>
      </c>
      <c r="B534" s="5" t="s">
        <v>400</v>
      </c>
      <c r="C534" s="6" t="s">
        <v>18</v>
      </c>
      <c r="D534" s="6"/>
      <c r="E534" s="7" t="s">
        <v>400</v>
      </c>
      <c r="F534" s="6"/>
      <c r="G534" s="6"/>
      <c r="H534" s="6"/>
      <c r="I534" s="4">
        <v>22</v>
      </c>
      <c r="J534" s="4" t="s">
        <v>19</v>
      </c>
      <c r="K534" s="6"/>
      <c r="L534" s="6"/>
      <c r="M534" s="6"/>
      <c r="N534" s="6"/>
      <c r="O534" s="6"/>
    </row>
    <row r="535" spans="1:15" ht="24" hidden="1" x14ac:dyDescent="0.25">
      <c r="A535" s="8">
        <v>53</v>
      </c>
      <c r="B535" s="9" t="str">
        <f t="shared" ref="B535:B543" si="180">B534</f>
        <v>ЩК2_S4,6</v>
      </c>
      <c r="C535" s="9" t="s">
        <v>20</v>
      </c>
      <c r="D535" s="9" t="s">
        <v>774</v>
      </c>
      <c r="E535" s="10" t="s">
        <v>775</v>
      </c>
      <c r="F535" s="11">
        <v>10700</v>
      </c>
      <c r="G535" s="11">
        <f>IF(F535="","",ROUND(F535*VLOOKUP(K535,Kurallar!$D$3:$E$14,2,0),2))</f>
        <v>10700</v>
      </c>
      <c r="H535" s="11">
        <f t="shared" ref="H535" si="181">IF(G535="","",G535*I535)</f>
        <v>10700</v>
      </c>
      <c r="I535" s="8">
        <v>1</v>
      </c>
      <c r="J535" s="8" t="s">
        <v>23</v>
      </c>
      <c r="K535" s="8" t="s">
        <v>776</v>
      </c>
      <c r="L535" s="11">
        <f t="shared" ref="L535" si="182">IF(H535="","",H535*$I$181)</f>
        <v>10700</v>
      </c>
      <c r="M535" s="9" t="s">
        <v>20</v>
      </c>
      <c r="N535" s="8" t="s">
        <v>25</v>
      </c>
      <c r="O535" s="8">
        <f>IFERROR(VLOOKUP(N535,Kurallar!$G$3:$H$22,2,0),0)</f>
        <v>8</v>
      </c>
    </row>
    <row r="536" spans="1:15" hidden="1" x14ac:dyDescent="0.25">
      <c r="A536" s="8">
        <v>53</v>
      </c>
      <c r="B536" s="9" t="str">
        <f t="shared" si="180"/>
        <v>ЩК2_S4,6</v>
      </c>
      <c r="C536" s="9" t="s">
        <v>26</v>
      </c>
      <c r="D536" s="9" t="s">
        <v>772</v>
      </c>
      <c r="E536" s="10" t="s">
        <v>773</v>
      </c>
      <c r="F536" s="11">
        <v>2824</v>
      </c>
      <c r="G536" s="11">
        <f>IF(F536="","",ROUND(F536*VLOOKUP(K536,Kurallar!$D$3:$E$14,2,0),2))</f>
        <v>1694.4</v>
      </c>
      <c r="H536" s="11">
        <f t="shared" ref="H536:H541" si="183">IF(G536="","",G536*I536)</f>
        <v>1694.4</v>
      </c>
      <c r="I536" s="8">
        <v>1</v>
      </c>
      <c r="J536" s="8" t="s">
        <v>23</v>
      </c>
      <c r="K536" s="8" t="s">
        <v>29</v>
      </c>
      <c r="L536" s="11">
        <f t="shared" ref="L536:L541" si="184">IF(H536="","",H536*$I$534)</f>
        <v>37276.800000000003</v>
      </c>
      <c r="M536" s="9" t="s">
        <v>26</v>
      </c>
      <c r="N536" s="8" t="s">
        <v>42</v>
      </c>
      <c r="O536" s="8">
        <f>IFERROR(VLOOKUP(N536,Kurallar!$G$3:$H$22,2,0),0)</f>
        <v>15</v>
      </c>
    </row>
    <row r="537" spans="1:15" hidden="1" x14ac:dyDescent="0.25">
      <c r="A537" s="8">
        <v>53</v>
      </c>
      <c r="B537" s="9" t="str">
        <f t="shared" si="180"/>
        <v>ЩК2_S4,6</v>
      </c>
      <c r="C537" s="9" t="s">
        <v>54</v>
      </c>
      <c r="D537" s="9" t="s">
        <v>93</v>
      </c>
      <c r="E537" s="10" t="s">
        <v>94</v>
      </c>
      <c r="F537" s="11">
        <v>783</v>
      </c>
      <c r="G537" s="11">
        <f>IF(F537="","",ROUND(F537*VLOOKUP(K537,Kurallar!$D$3:$E$14,2,0),2))</f>
        <v>469.8</v>
      </c>
      <c r="H537" s="11">
        <f t="shared" si="183"/>
        <v>469.8</v>
      </c>
      <c r="I537" s="8">
        <v>1</v>
      </c>
      <c r="J537" s="8" t="s">
        <v>23</v>
      </c>
      <c r="K537" s="8" t="s">
        <v>29</v>
      </c>
      <c r="L537" s="11">
        <f t="shared" si="184"/>
        <v>10335.6</v>
      </c>
      <c r="M537" s="9" t="s">
        <v>54</v>
      </c>
      <c r="N537" s="8" t="s">
        <v>57</v>
      </c>
      <c r="O537" s="8">
        <f>IFERROR(VLOOKUP(N537,Kurallar!$G$3:$H$22,2,0),0)</f>
        <v>3</v>
      </c>
    </row>
    <row r="538" spans="1:15" hidden="1" x14ac:dyDescent="0.25">
      <c r="A538" s="8">
        <v>53</v>
      </c>
      <c r="B538" s="9" t="str">
        <f t="shared" si="180"/>
        <v>ЩК2_S4,6</v>
      </c>
      <c r="C538" s="9" t="s">
        <v>54</v>
      </c>
      <c r="D538" s="9" t="s">
        <v>95</v>
      </c>
      <c r="E538" s="10" t="s">
        <v>96</v>
      </c>
      <c r="F538" s="11">
        <v>796</v>
      </c>
      <c r="G538" s="11">
        <f>IF(F538="","",ROUND(F538*VLOOKUP(K538,Kurallar!$D$3:$E$14,2,0),2))</f>
        <v>477.6</v>
      </c>
      <c r="H538" s="11">
        <f t="shared" si="183"/>
        <v>1910.4</v>
      </c>
      <c r="I538" s="8">
        <v>4</v>
      </c>
      <c r="J538" s="8" t="s">
        <v>23</v>
      </c>
      <c r="K538" s="8" t="s">
        <v>29</v>
      </c>
      <c r="L538" s="11">
        <f t="shared" si="184"/>
        <v>42028.800000000003</v>
      </c>
      <c r="M538" s="9" t="s">
        <v>54</v>
      </c>
      <c r="N538" s="8" t="s">
        <v>57</v>
      </c>
      <c r="O538" s="8">
        <f>IFERROR(VLOOKUP(N538,Kurallar!$G$3:$H$22,2,0),0)</f>
        <v>3</v>
      </c>
    </row>
    <row r="539" spans="1:15" hidden="1" x14ac:dyDescent="0.25">
      <c r="A539" s="8">
        <v>53</v>
      </c>
      <c r="B539" s="9" t="str">
        <f t="shared" si="180"/>
        <v>ЩК2_S4,6</v>
      </c>
      <c r="C539" s="9" t="s">
        <v>50</v>
      </c>
      <c r="D539" s="9" t="s">
        <v>97</v>
      </c>
      <c r="E539" s="10" t="s">
        <v>98</v>
      </c>
      <c r="F539" s="11">
        <v>5556</v>
      </c>
      <c r="G539" s="11">
        <f>IF(F539="","",ROUND(F539*VLOOKUP(K539,Kurallar!$D$3:$E$14,2,0),2))</f>
        <v>3333.6</v>
      </c>
      <c r="H539" s="11">
        <f t="shared" si="183"/>
        <v>6667.2</v>
      </c>
      <c r="I539" s="8">
        <v>2</v>
      </c>
      <c r="J539" s="8" t="s">
        <v>23</v>
      </c>
      <c r="K539" s="8" t="s">
        <v>29</v>
      </c>
      <c r="L539" s="11">
        <f t="shared" si="184"/>
        <v>146678.39999999999</v>
      </c>
      <c r="M539" s="9" t="s">
        <v>50</v>
      </c>
      <c r="N539" s="8" t="s">
        <v>53</v>
      </c>
      <c r="O539" s="8">
        <f>IFERROR(VLOOKUP(N539,Kurallar!$G$3:$H$22,2,0),0)</f>
        <v>16</v>
      </c>
    </row>
    <row r="540" spans="1:15" hidden="1" x14ac:dyDescent="0.25">
      <c r="A540" s="8">
        <v>53</v>
      </c>
      <c r="B540" s="9" t="str">
        <f t="shared" si="180"/>
        <v>ЩК2_S4,6</v>
      </c>
      <c r="C540" s="9" t="s">
        <v>50</v>
      </c>
      <c r="D540" s="9" t="s">
        <v>99</v>
      </c>
      <c r="E540" s="10" t="s">
        <v>100</v>
      </c>
      <c r="F540" s="11">
        <v>5632</v>
      </c>
      <c r="G540" s="11">
        <f>IF(F540="","",ROUND(F540*VLOOKUP(K540,Kurallar!$D$3:$E$14,2,0),2))</f>
        <v>3379.2</v>
      </c>
      <c r="H540" s="11">
        <f t="shared" si="183"/>
        <v>6758.4</v>
      </c>
      <c r="I540" s="8">
        <v>2</v>
      </c>
      <c r="J540" s="8" t="s">
        <v>23</v>
      </c>
      <c r="K540" s="8" t="s">
        <v>29</v>
      </c>
      <c r="L540" s="11">
        <f t="shared" si="184"/>
        <v>148684.79999999999</v>
      </c>
      <c r="M540" s="9" t="s">
        <v>50</v>
      </c>
      <c r="N540" s="8" t="s">
        <v>53</v>
      </c>
      <c r="O540" s="8">
        <f>IFERROR(VLOOKUP(N540,Kurallar!$G$3:$H$22,2,0),0)</f>
        <v>16</v>
      </c>
    </row>
    <row r="541" spans="1:15" hidden="1" x14ac:dyDescent="0.25">
      <c r="A541" s="8">
        <v>53</v>
      </c>
      <c r="B541" s="9" t="str">
        <f t="shared" si="180"/>
        <v>ЩК2_S4,6</v>
      </c>
      <c r="C541" s="9" t="s">
        <v>58</v>
      </c>
      <c r="D541" s="9" t="s">
        <v>101</v>
      </c>
      <c r="E541" s="10" t="s">
        <v>102</v>
      </c>
      <c r="F541" s="11">
        <v>12834</v>
      </c>
      <c r="G541" s="11">
        <f>IF(F541="","",ROUND(F541*VLOOKUP(K541,Kurallar!$D$3:$E$14,2,0),2))</f>
        <v>7700.4</v>
      </c>
      <c r="H541" s="11">
        <f t="shared" si="183"/>
        <v>7700.4</v>
      </c>
      <c r="I541" s="8">
        <v>1</v>
      </c>
      <c r="J541" s="8" t="s">
        <v>23</v>
      </c>
      <c r="K541" s="8" t="s">
        <v>29</v>
      </c>
      <c r="L541" s="11">
        <f t="shared" si="184"/>
        <v>169408.8</v>
      </c>
      <c r="M541" s="9" t="s">
        <v>58</v>
      </c>
      <c r="N541" s="8" t="s">
        <v>61</v>
      </c>
      <c r="O541" s="8">
        <f>IFERROR(VLOOKUP(N541,Kurallar!$G$3:$H$22,2,0),0)</f>
        <v>15</v>
      </c>
    </row>
    <row r="542" spans="1:15" hidden="1" x14ac:dyDescent="0.25">
      <c r="A542" s="8">
        <v>53</v>
      </c>
      <c r="B542" t="str">
        <f t="shared" si="180"/>
        <v>ЩК2_S4,6</v>
      </c>
      <c r="C542" s="9" t="s">
        <v>31</v>
      </c>
      <c r="E542" s="9" t="s">
        <v>32</v>
      </c>
      <c r="F542" s="11"/>
      <c r="G542" s="11">
        <f>ROUND(SUM(H535:H541)*Kurallar!$B$2,2)</f>
        <v>4308.07</v>
      </c>
      <c r="H542" s="11">
        <f>G542*I542</f>
        <v>4308.07</v>
      </c>
      <c r="I542" s="8">
        <v>1</v>
      </c>
      <c r="J542" s="8" t="s">
        <v>19</v>
      </c>
      <c r="K542" s="8" t="s">
        <v>33</v>
      </c>
      <c r="L542" s="11">
        <f>H542*$I$534</f>
        <v>94777.54</v>
      </c>
      <c r="M542" s="9" t="s">
        <v>31</v>
      </c>
    </row>
    <row r="543" spans="1:15" hidden="1" x14ac:dyDescent="0.25">
      <c r="A543" s="8">
        <v>53</v>
      </c>
      <c r="B543" t="str">
        <f t="shared" si="180"/>
        <v>ЩК2_S4,6</v>
      </c>
      <c r="C543" s="9" t="s">
        <v>34</v>
      </c>
      <c r="E543" s="9" t="s">
        <v>35</v>
      </c>
      <c r="F543" s="11">
        <f>ROUND(I543/60,1)</f>
        <v>2.2999999999999998</v>
      </c>
      <c r="G543" s="11">
        <f>Kurallar!$B$3</f>
        <v>100</v>
      </c>
      <c r="H543" s="11">
        <f>G543*I543</f>
        <v>13500</v>
      </c>
      <c r="I543" s="8">
        <f>ROUND(SUMPRODUCT(I535:I541,O535:O541)*Kurallar!$B$4,0)</f>
        <v>135</v>
      </c>
      <c r="J543" s="8" t="s">
        <v>36</v>
      </c>
      <c r="K543" s="8" t="s">
        <v>33</v>
      </c>
      <c r="L543" s="11">
        <f>H543*$I$534</f>
        <v>297000</v>
      </c>
      <c r="M543" s="9" t="s">
        <v>34</v>
      </c>
    </row>
    <row r="544" spans="1:15" hidden="1" x14ac:dyDescent="0.25">
      <c r="A544" s="12"/>
      <c r="B544" s="13" t="s">
        <v>401</v>
      </c>
      <c r="C544" s="12"/>
      <c r="D544" s="12"/>
      <c r="E544" s="13" t="s">
        <v>402</v>
      </c>
      <c r="F544" s="12"/>
      <c r="G544" s="12"/>
      <c r="H544" s="14">
        <f>SUBTOTAL(9,H535:H543)</f>
        <v>0</v>
      </c>
      <c r="I544" s="15">
        <v>22</v>
      </c>
      <c r="J544" s="15" t="s">
        <v>19</v>
      </c>
      <c r="K544" s="12"/>
      <c r="L544" s="14">
        <f>SUBTOTAL(9,L535:L543)</f>
        <v>0</v>
      </c>
      <c r="M544" s="12"/>
      <c r="N544" s="12"/>
      <c r="O544" s="12"/>
    </row>
    <row r="545" spans="1:15" hidden="1" x14ac:dyDescent="0.25">
      <c r="A545" s="4">
        <v>54</v>
      </c>
      <c r="B545" s="5" t="s">
        <v>403</v>
      </c>
      <c r="C545" s="6" t="s">
        <v>18</v>
      </c>
      <c r="D545" s="6"/>
      <c r="E545" s="7" t="s">
        <v>403</v>
      </c>
      <c r="F545" s="6"/>
      <c r="G545" s="6"/>
      <c r="H545" s="6"/>
      <c r="I545" s="4">
        <v>1</v>
      </c>
      <c r="J545" s="4" t="s">
        <v>19</v>
      </c>
      <c r="K545" s="6"/>
      <c r="L545" s="6"/>
      <c r="M545" s="6"/>
      <c r="N545" s="6"/>
      <c r="O545" s="6"/>
    </row>
    <row r="546" spans="1:15" hidden="1" x14ac:dyDescent="0.25">
      <c r="A546" s="8">
        <v>54</v>
      </c>
      <c r="B546" s="9" t="str">
        <f t="shared" ref="B546:B558" si="185">B545</f>
        <v>ПД1 (ШУН/В-R3 2,2 квТ) (S4,6)</v>
      </c>
      <c r="C546" s="9" t="s">
        <v>20</v>
      </c>
      <c r="D546" s="9" t="s">
        <v>109</v>
      </c>
      <c r="E546" s="10" t="s">
        <v>110</v>
      </c>
      <c r="F546" s="11">
        <v>10305</v>
      </c>
      <c r="G546" s="11">
        <f>IF(F546="","",ROUND(F546*VLOOKUP(K546,Kurallar!$D$3:$E$14,2,0),2))</f>
        <v>6183</v>
      </c>
      <c r="H546" s="11">
        <f t="shared" ref="H546" si="186">IF(G546="","",G546*I546)</f>
        <v>6183</v>
      </c>
      <c r="I546" s="8">
        <v>1</v>
      </c>
      <c r="J546" s="8" t="s">
        <v>23</v>
      </c>
      <c r="K546" s="8" t="s">
        <v>24</v>
      </c>
      <c r="L546" s="11">
        <f t="shared" ref="L546" si="187">IF(H546="","",H546*$I$181)</f>
        <v>6183</v>
      </c>
      <c r="M546" s="9" t="s">
        <v>20</v>
      </c>
      <c r="N546" s="8" t="s">
        <v>25</v>
      </c>
      <c r="O546" s="8">
        <f>IFERROR(VLOOKUP(N546,Kurallar!$G$3:$H$22,2,0),0)</f>
        <v>8</v>
      </c>
    </row>
    <row r="547" spans="1:15" hidden="1" x14ac:dyDescent="0.25">
      <c r="A547" s="8">
        <v>54</v>
      </c>
      <c r="B547" s="9" t="str">
        <f t="shared" si="185"/>
        <v>ПД1 (ШУН/В-R3 2,2 квТ) (S4,6)</v>
      </c>
      <c r="C547" s="9" t="s">
        <v>54</v>
      </c>
      <c r="D547" s="9" t="s">
        <v>111</v>
      </c>
      <c r="E547" s="10" t="s">
        <v>112</v>
      </c>
      <c r="F547" s="11">
        <v>3644</v>
      </c>
      <c r="G547" s="11">
        <f>IF(F547="","",ROUND(F547*VLOOKUP(K547,Kurallar!$D$3:$E$14,2,0),2))</f>
        <v>2186.4</v>
      </c>
      <c r="H547" s="11">
        <f t="shared" ref="H547:H556" si="188">IF(G547="","",G547*I547)</f>
        <v>2186.4</v>
      </c>
      <c r="I547" s="8">
        <v>1</v>
      </c>
      <c r="J547" s="8" t="s">
        <v>23</v>
      </c>
      <c r="K547" s="8" t="s">
        <v>29</v>
      </c>
      <c r="L547" s="11">
        <f t="shared" ref="L547:L556" si="189">IF(H547="","",H547*$I$545)</f>
        <v>2186.4</v>
      </c>
      <c r="M547" s="9" t="s">
        <v>54</v>
      </c>
      <c r="N547" s="8" t="s">
        <v>113</v>
      </c>
      <c r="O547" s="8">
        <f>IFERROR(VLOOKUP(N547,Kurallar!$G$3:$H$22,2,0),0)</f>
        <v>10</v>
      </c>
    </row>
    <row r="548" spans="1:15" hidden="1" x14ac:dyDescent="0.25">
      <c r="A548" s="8">
        <v>54</v>
      </c>
      <c r="B548" s="9" t="str">
        <f t="shared" si="185"/>
        <v>ПД1 (ШУН/В-R3 2,2 квТ) (S4,6)</v>
      </c>
      <c r="C548" s="9" t="s">
        <v>58</v>
      </c>
      <c r="D548" s="9" t="s">
        <v>114</v>
      </c>
      <c r="E548" s="10" t="s">
        <v>115</v>
      </c>
      <c r="F548" s="11">
        <v>5214</v>
      </c>
      <c r="G548" s="11">
        <f>IF(F548="","",ROUND(F548*VLOOKUP(K548,Kurallar!$D$3:$E$14,2,0),2))</f>
        <v>3128.4</v>
      </c>
      <c r="H548" s="11">
        <f t="shared" si="188"/>
        <v>3128.4</v>
      </c>
      <c r="I548" s="8">
        <v>1</v>
      </c>
      <c r="J548" s="8" t="s">
        <v>23</v>
      </c>
      <c r="K548" s="8" t="s">
        <v>29</v>
      </c>
      <c r="L548" s="11">
        <f t="shared" si="189"/>
        <v>3128.4</v>
      </c>
      <c r="M548" s="9" t="s">
        <v>58</v>
      </c>
      <c r="N548" s="8" t="s">
        <v>61</v>
      </c>
      <c r="O548" s="8">
        <f>IFERROR(VLOOKUP(N548,Kurallar!$G$3:$H$22,2,0),0)</f>
        <v>15</v>
      </c>
    </row>
    <row r="549" spans="1:15" hidden="1" x14ac:dyDescent="0.25">
      <c r="A549" s="8">
        <v>54</v>
      </c>
      <c r="B549" s="9" t="str">
        <f t="shared" si="185"/>
        <v>ПД1 (ШУН/В-R3 2,2 квТ) (S4,6)</v>
      </c>
      <c r="C549" s="9" t="s">
        <v>86</v>
      </c>
      <c r="D549" s="9" t="s">
        <v>116</v>
      </c>
      <c r="E549" s="10" t="s">
        <v>117</v>
      </c>
      <c r="F549" s="11">
        <v>571</v>
      </c>
      <c r="G549" s="11">
        <f>IF(F549="","",ROUND(F549*VLOOKUP(K549,Kurallar!$D$3:$E$14,2,0),2))</f>
        <v>342.6</v>
      </c>
      <c r="H549" s="11">
        <f t="shared" si="188"/>
        <v>342.6</v>
      </c>
      <c r="I549" s="8">
        <v>1</v>
      </c>
      <c r="J549" s="8" t="s">
        <v>23</v>
      </c>
      <c r="K549" s="8" t="s">
        <v>29</v>
      </c>
      <c r="L549" s="11">
        <f t="shared" si="189"/>
        <v>342.6</v>
      </c>
      <c r="M549" s="9" t="s">
        <v>86</v>
      </c>
      <c r="N549" s="8" t="s">
        <v>89</v>
      </c>
      <c r="O549" s="8">
        <f>IFERROR(VLOOKUP(N549,Kurallar!$G$3:$H$22,2,0),0)</f>
        <v>5</v>
      </c>
    </row>
    <row r="550" spans="1:15" hidden="1" x14ac:dyDescent="0.25">
      <c r="A550" s="8">
        <v>54</v>
      </c>
      <c r="B550" s="9" t="str">
        <f t="shared" si="185"/>
        <v>ПД1 (ШУН/В-R3 2,2 квТ) (S4,6)</v>
      </c>
      <c r="C550" s="9" t="s">
        <v>86</v>
      </c>
      <c r="D550" s="9" t="s">
        <v>118</v>
      </c>
      <c r="E550" s="10" t="s">
        <v>119</v>
      </c>
      <c r="F550" s="11">
        <v>589</v>
      </c>
      <c r="G550" s="11">
        <f>IF(F550="","",ROUND(F550*VLOOKUP(K550,Kurallar!$D$3:$E$14,2,0),2))</f>
        <v>353.4</v>
      </c>
      <c r="H550" s="11">
        <f t="shared" si="188"/>
        <v>353.4</v>
      </c>
      <c r="I550" s="8">
        <v>1</v>
      </c>
      <c r="J550" s="8" t="s">
        <v>23</v>
      </c>
      <c r="K550" s="8" t="s">
        <v>29</v>
      </c>
      <c r="L550" s="11">
        <f t="shared" si="189"/>
        <v>353.4</v>
      </c>
      <c r="M550" s="9" t="s">
        <v>86</v>
      </c>
      <c r="N550" s="8" t="s">
        <v>89</v>
      </c>
      <c r="O550" s="8">
        <f>IFERROR(VLOOKUP(N550,Kurallar!$G$3:$H$22,2,0),0)</f>
        <v>5</v>
      </c>
    </row>
    <row r="551" spans="1:15" hidden="1" x14ac:dyDescent="0.25">
      <c r="A551" s="8">
        <v>54</v>
      </c>
      <c r="B551" s="9" t="str">
        <f t="shared" si="185"/>
        <v>ПД1 (ШУН/В-R3 2,2 квТ) (S4,6)</v>
      </c>
      <c r="C551" s="9" t="s">
        <v>86</v>
      </c>
      <c r="D551" s="9" t="s">
        <v>120</v>
      </c>
      <c r="E551" s="10" t="s">
        <v>121</v>
      </c>
      <c r="F551" s="11">
        <v>571</v>
      </c>
      <c r="G551" s="11">
        <f>IF(F551="","",ROUND(F551*VLOOKUP(K551,Kurallar!$D$3:$E$14,2,0),2))</f>
        <v>342.6</v>
      </c>
      <c r="H551" s="11">
        <f t="shared" si="188"/>
        <v>342.6</v>
      </c>
      <c r="I551" s="8">
        <v>1</v>
      </c>
      <c r="J551" s="8" t="s">
        <v>23</v>
      </c>
      <c r="K551" s="8" t="s">
        <v>29</v>
      </c>
      <c r="L551" s="11">
        <f t="shared" si="189"/>
        <v>342.6</v>
      </c>
      <c r="M551" s="9" t="s">
        <v>86</v>
      </c>
      <c r="N551" s="8" t="s">
        <v>89</v>
      </c>
      <c r="O551" s="8">
        <f>IFERROR(VLOOKUP(N551,Kurallar!$G$3:$H$22,2,0),0)</f>
        <v>5</v>
      </c>
    </row>
    <row r="552" spans="1:15" hidden="1" x14ac:dyDescent="0.25">
      <c r="A552" s="8">
        <v>54</v>
      </c>
      <c r="B552" s="9" t="str">
        <f t="shared" si="185"/>
        <v>ПД1 (ШУН/В-R3 2,2 квТ) (S4,6)</v>
      </c>
      <c r="C552" s="9" t="s">
        <v>54</v>
      </c>
      <c r="D552" s="9" t="s">
        <v>122</v>
      </c>
      <c r="E552" s="10" t="s">
        <v>123</v>
      </c>
      <c r="F552" s="11">
        <v>1086</v>
      </c>
      <c r="G552" s="11">
        <f>IF(F552="","",ROUND(F552*VLOOKUP(K552,Kurallar!$D$3:$E$14,2,0),2))</f>
        <v>651.6</v>
      </c>
      <c r="H552" s="11">
        <f t="shared" si="188"/>
        <v>1303.2</v>
      </c>
      <c r="I552" s="8">
        <v>2</v>
      </c>
      <c r="J552" s="8" t="s">
        <v>23</v>
      </c>
      <c r="K552" s="8" t="s">
        <v>29</v>
      </c>
      <c r="L552" s="11">
        <f t="shared" si="189"/>
        <v>1303.2</v>
      </c>
      <c r="M552" s="9" t="s">
        <v>54</v>
      </c>
      <c r="N552" s="8" t="s">
        <v>57</v>
      </c>
      <c r="O552" s="8">
        <f>IFERROR(VLOOKUP(N552,Kurallar!$G$3:$H$22,2,0),0)</f>
        <v>3</v>
      </c>
    </row>
    <row r="553" spans="1:15" hidden="1" x14ac:dyDescent="0.25">
      <c r="A553" s="8">
        <v>54</v>
      </c>
      <c r="B553" s="9" t="str">
        <f t="shared" si="185"/>
        <v>ПД1 (ШУН/В-R3 2,2 квТ) (S4,6)</v>
      </c>
      <c r="C553" s="9" t="s">
        <v>62</v>
      </c>
      <c r="D553" s="9" t="s">
        <v>124</v>
      </c>
      <c r="E553" s="10" t="s">
        <v>125</v>
      </c>
      <c r="F553" s="11">
        <v>4315</v>
      </c>
      <c r="G553" s="11">
        <f>IF(F553="","",ROUND(F553*VLOOKUP(K553,Kurallar!$D$3:$E$14,2,0),2))</f>
        <v>2589</v>
      </c>
      <c r="H553" s="11">
        <f t="shared" si="188"/>
        <v>2589</v>
      </c>
      <c r="I553" s="8">
        <v>1</v>
      </c>
      <c r="J553" s="8" t="s">
        <v>23</v>
      </c>
      <c r="K553" s="8" t="s">
        <v>29</v>
      </c>
      <c r="L553" s="11">
        <f t="shared" si="189"/>
        <v>2589</v>
      </c>
      <c r="M553" s="9" t="s">
        <v>62</v>
      </c>
      <c r="N553" s="8" t="s">
        <v>66</v>
      </c>
      <c r="O553" s="8">
        <f>IFERROR(VLOOKUP(N553,Kurallar!$G$3:$H$22,2,0),0)</f>
        <v>5</v>
      </c>
    </row>
    <row r="554" spans="1:15" hidden="1" x14ac:dyDescent="0.25">
      <c r="A554" s="8">
        <v>54</v>
      </c>
      <c r="B554" s="9" t="str">
        <f t="shared" si="185"/>
        <v>ПД1 (ШУН/В-R3 2,2 квТ) (S4,6)</v>
      </c>
      <c r="C554" s="9" t="s">
        <v>58</v>
      </c>
      <c r="D554" s="9" t="s">
        <v>126</v>
      </c>
      <c r="E554" s="10" t="s">
        <v>127</v>
      </c>
      <c r="F554" s="11">
        <v>2177</v>
      </c>
      <c r="G554" s="11">
        <f>IF(F554="","",ROUND(F554*VLOOKUP(K554,Kurallar!$D$3:$E$14,2,0),2))</f>
        <v>1306.2</v>
      </c>
      <c r="H554" s="11">
        <f t="shared" si="188"/>
        <v>1306.2</v>
      </c>
      <c r="I554" s="8">
        <v>1</v>
      </c>
      <c r="J554" s="8" t="s">
        <v>23</v>
      </c>
      <c r="K554" s="8" t="s">
        <v>29</v>
      </c>
      <c r="L554" s="11">
        <f t="shared" si="189"/>
        <v>1306.2</v>
      </c>
      <c r="M554" s="9" t="s">
        <v>58</v>
      </c>
      <c r="N554" s="8" t="s">
        <v>61</v>
      </c>
      <c r="O554" s="8">
        <f>IFERROR(VLOOKUP(N554,Kurallar!$G$3:$H$22,2,0),0)</f>
        <v>15</v>
      </c>
    </row>
    <row r="555" spans="1:15" hidden="1" x14ac:dyDescent="0.25">
      <c r="A555" s="8">
        <v>54</v>
      </c>
      <c r="B555" s="9" t="str">
        <f t="shared" si="185"/>
        <v>ПД1 (ШУН/В-R3 2,2 квТ) (S4,6)</v>
      </c>
      <c r="C555" s="9" t="s">
        <v>62</v>
      </c>
      <c r="D555" s="9" t="s">
        <v>128</v>
      </c>
      <c r="E555" s="10" t="s">
        <v>129</v>
      </c>
      <c r="F555" s="11">
        <v>1565</v>
      </c>
      <c r="G555" s="11">
        <f>IF(F555="","",ROUND(F555*VLOOKUP(K555,Kurallar!$D$3:$E$14,2,0),2))</f>
        <v>939</v>
      </c>
      <c r="H555" s="11">
        <f t="shared" si="188"/>
        <v>1878</v>
      </c>
      <c r="I555" s="8">
        <v>2</v>
      </c>
      <c r="J555" s="8" t="s">
        <v>23</v>
      </c>
      <c r="K555" s="8" t="s">
        <v>29</v>
      </c>
      <c r="L555" s="11">
        <f t="shared" si="189"/>
        <v>1878</v>
      </c>
      <c r="M555" s="9" t="s">
        <v>62</v>
      </c>
      <c r="N555" s="8" t="s">
        <v>66</v>
      </c>
      <c r="O555" s="8">
        <f>IFERROR(VLOOKUP(N555,Kurallar!$G$3:$H$22,2,0),0)</f>
        <v>5</v>
      </c>
    </row>
    <row r="556" spans="1:15" hidden="1" x14ac:dyDescent="0.25">
      <c r="A556" s="8">
        <v>54</v>
      </c>
      <c r="B556" s="9" t="str">
        <f t="shared" si="185"/>
        <v>ПД1 (ШУН/В-R3 2,2 квТ) (S4,6)</v>
      </c>
      <c r="C556" s="9" t="s">
        <v>86</v>
      </c>
      <c r="D556" s="9" t="s">
        <v>130</v>
      </c>
      <c r="E556" s="10" t="s">
        <v>131</v>
      </c>
      <c r="F556" s="11">
        <v>682</v>
      </c>
      <c r="G556" s="11">
        <f>IF(F556="","",ROUND(F556*VLOOKUP(K556,Kurallar!$D$3:$E$14,2,0),2))</f>
        <v>409.2</v>
      </c>
      <c r="H556" s="11">
        <f t="shared" si="188"/>
        <v>818.4</v>
      </c>
      <c r="I556" s="8">
        <v>2</v>
      </c>
      <c r="J556" s="8" t="s">
        <v>23</v>
      </c>
      <c r="K556" s="8" t="s">
        <v>29</v>
      </c>
      <c r="L556" s="11">
        <f t="shared" si="189"/>
        <v>818.4</v>
      </c>
      <c r="M556" s="9" t="s">
        <v>86</v>
      </c>
      <c r="N556" s="8" t="s">
        <v>89</v>
      </c>
      <c r="O556" s="8">
        <f>IFERROR(VLOOKUP(N556,Kurallar!$G$3:$H$22,2,0),0)</f>
        <v>5</v>
      </c>
    </row>
    <row r="557" spans="1:15" hidden="1" x14ac:dyDescent="0.25">
      <c r="A557" s="8">
        <v>54</v>
      </c>
      <c r="B557" t="str">
        <f t="shared" si="185"/>
        <v>ПД1 (ШУН/В-R3 2,2 квТ) (S4,6)</v>
      </c>
      <c r="C557" s="9" t="s">
        <v>31</v>
      </c>
      <c r="E557" s="9" t="s">
        <v>32</v>
      </c>
      <c r="F557" s="11"/>
      <c r="G557" s="11">
        <f>ROUND(SUM(H546:H556)*Kurallar!$B$2,2)</f>
        <v>2451.7399999999998</v>
      </c>
      <c r="H557" s="11">
        <f>G557*I557</f>
        <v>2451.7399999999998</v>
      </c>
      <c r="I557" s="8">
        <v>1</v>
      </c>
      <c r="J557" s="8" t="s">
        <v>19</v>
      </c>
      <c r="K557" s="8" t="s">
        <v>33</v>
      </c>
      <c r="L557" s="11">
        <f>H557*$I$545</f>
        <v>2451.7399999999998</v>
      </c>
      <c r="M557" s="9" t="s">
        <v>31</v>
      </c>
    </row>
    <row r="558" spans="1:15" hidden="1" x14ac:dyDescent="0.25">
      <c r="A558" s="8">
        <v>54</v>
      </c>
      <c r="B558" t="str">
        <f t="shared" si="185"/>
        <v>ПД1 (ШУН/В-R3 2,2 квТ) (S4,6)</v>
      </c>
      <c r="C558" s="9" t="s">
        <v>34</v>
      </c>
      <c r="E558" s="9" t="s">
        <v>35</v>
      </c>
      <c r="F558" s="11">
        <f>ROUND(I558/60,1)</f>
        <v>1.8</v>
      </c>
      <c r="G558" s="11">
        <f>Kurallar!$B$3</f>
        <v>100</v>
      </c>
      <c r="H558" s="11">
        <f>G558*I558</f>
        <v>10800</v>
      </c>
      <c r="I558" s="8">
        <f>ROUND(SUMPRODUCT(I546:I556,O546:O556)*Kurallar!$B$4,0)</f>
        <v>108</v>
      </c>
      <c r="J558" s="8" t="s">
        <v>36</v>
      </c>
      <c r="K558" s="8" t="s">
        <v>33</v>
      </c>
      <c r="L558" s="11">
        <f>H558*$I$545</f>
        <v>10800</v>
      </c>
      <c r="M558" s="9" t="s">
        <v>34</v>
      </c>
    </row>
    <row r="559" spans="1:15" hidden="1" x14ac:dyDescent="0.25">
      <c r="A559" s="12"/>
      <c r="B559" s="13" t="s">
        <v>404</v>
      </c>
      <c r="C559" s="12"/>
      <c r="D559" s="12"/>
      <c r="E559" s="13" t="s">
        <v>405</v>
      </c>
      <c r="F559" s="12"/>
      <c r="G559" s="12"/>
      <c r="H559" s="14">
        <f>SUBTOTAL(9,H546:H558)</f>
        <v>0</v>
      </c>
      <c r="I559" s="15">
        <v>1</v>
      </c>
      <c r="J559" s="15" t="s">
        <v>19</v>
      </c>
      <c r="K559" s="12"/>
      <c r="L559" s="14">
        <f>SUBTOTAL(9,L546:L558)</f>
        <v>0</v>
      </c>
      <c r="M559" s="12"/>
      <c r="N559" s="12"/>
      <c r="O559" s="12"/>
    </row>
    <row r="560" spans="1:15" hidden="1" x14ac:dyDescent="0.25">
      <c r="A560" s="4">
        <v>55</v>
      </c>
      <c r="B560" s="5" t="s">
        <v>406</v>
      </c>
      <c r="C560" s="6" t="s">
        <v>18</v>
      </c>
      <c r="D560" s="6"/>
      <c r="E560" s="7" t="s">
        <v>406</v>
      </c>
      <c r="F560" s="6"/>
      <c r="G560" s="6"/>
      <c r="H560" s="6"/>
      <c r="I560" s="4">
        <v>1</v>
      </c>
      <c r="J560" s="4" t="s">
        <v>19</v>
      </c>
      <c r="K560" s="6"/>
      <c r="L560" s="6"/>
      <c r="M560" s="6"/>
      <c r="N560" s="6"/>
      <c r="O560" s="6"/>
    </row>
    <row r="561" spans="1:15" hidden="1" x14ac:dyDescent="0.25">
      <c r="A561" s="8">
        <v>55</v>
      </c>
      <c r="B561" s="9" t="str">
        <f t="shared" ref="B561:B564" si="190">B560</f>
        <v>В1(S4,6)</v>
      </c>
      <c r="C561" s="16" t="s">
        <v>135</v>
      </c>
      <c r="D561" s="9"/>
      <c r="E561" s="10" t="s">
        <v>136</v>
      </c>
      <c r="F561" s="9"/>
      <c r="G561" s="9"/>
      <c r="H561" s="9"/>
      <c r="I561" s="8">
        <v>1</v>
      </c>
      <c r="J561" s="8" t="s">
        <v>23</v>
      </c>
      <c r="K561" s="8" t="s">
        <v>137</v>
      </c>
      <c r="L561" s="9"/>
      <c r="M561" s="9" t="s">
        <v>20</v>
      </c>
      <c r="N561" s="8" t="s">
        <v>25</v>
      </c>
      <c r="O561" s="8">
        <f>IFERROR(VLOOKUP(N561,Kurallar!$G$3:$H$22,2,0),0)</f>
        <v>8</v>
      </c>
    </row>
    <row r="562" spans="1:15" hidden="1" x14ac:dyDescent="0.25">
      <c r="A562" s="8">
        <v>55</v>
      </c>
      <c r="B562" s="9" t="str">
        <f t="shared" si="190"/>
        <v>В1(S4,6)</v>
      </c>
      <c r="C562" s="16" t="s">
        <v>750</v>
      </c>
      <c r="D562" s="9"/>
      <c r="E562" s="10" t="s">
        <v>138</v>
      </c>
      <c r="F562" s="9">
        <v>21500</v>
      </c>
      <c r="G562" s="9">
        <f>F562</f>
        <v>21500</v>
      </c>
      <c r="H562" s="9">
        <f>G562*I562</f>
        <v>21500</v>
      </c>
      <c r="I562" s="8">
        <v>1</v>
      </c>
      <c r="J562" s="8" t="s">
        <v>23</v>
      </c>
      <c r="K562" s="8" t="s">
        <v>139</v>
      </c>
      <c r="L562" s="9"/>
      <c r="M562" s="9" t="s">
        <v>58</v>
      </c>
      <c r="N562" s="8" t="s">
        <v>61</v>
      </c>
      <c r="O562" s="8">
        <f>IFERROR(VLOOKUP(N562,Kurallar!$G$3:$H$22,2,0),0)</f>
        <v>15</v>
      </c>
    </row>
    <row r="563" spans="1:15" hidden="1" x14ac:dyDescent="0.25">
      <c r="A563" s="8">
        <v>55</v>
      </c>
      <c r="B563" t="str">
        <f t="shared" si="190"/>
        <v>В1(S4,6)</v>
      </c>
      <c r="C563" s="9" t="s">
        <v>31</v>
      </c>
      <c r="E563" s="9" t="s">
        <v>32</v>
      </c>
      <c r="F563" s="11"/>
      <c r="G563" s="11">
        <f>ROUND(SUM(H561:H562)*Kurallar!$B$2,2)</f>
        <v>2580</v>
      </c>
      <c r="H563" s="11">
        <f>G563*I563</f>
        <v>2580</v>
      </c>
      <c r="I563" s="8">
        <v>1</v>
      </c>
      <c r="J563" s="8" t="s">
        <v>19</v>
      </c>
      <c r="K563" s="8" t="s">
        <v>33</v>
      </c>
      <c r="L563" s="11">
        <f>H563*$I$560</f>
        <v>2580</v>
      </c>
      <c r="M563" s="9" t="s">
        <v>31</v>
      </c>
    </row>
    <row r="564" spans="1:15" hidden="1" x14ac:dyDescent="0.25">
      <c r="A564" s="8">
        <v>55</v>
      </c>
      <c r="B564" t="str">
        <f t="shared" si="190"/>
        <v>В1(S4,6)</v>
      </c>
      <c r="C564" s="9" t="s">
        <v>34</v>
      </c>
      <c r="E564" s="9" t="s">
        <v>35</v>
      </c>
      <c r="F564" s="11">
        <f>ROUND(I564/60,1)</f>
        <v>0.4</v>
      </c>
      <c r="G564" s="11">
        <f>Kurallar!$B$3</f>
        <v>100</v>
      </c>
      <c r="H564" s="11">
        <f>G564*I564</f>
        <v>2600</v>
      </c>
      <c r="I564" s="8">
        <f>ROUND(SUMPRODUCT(I561:I562,O561:O562)*Kurallar!$B$4,0)</f>
        <v>26</v>
      </c>
      <c r="J564" s="8" t="s">
        <v>36</v>
      </c>
      <c r="K564" s="8" t="s">
        <v>33</v>
      </c>
      <c r="L564" s="11">
        <f>H564*$I$560</f>
        <v>2600</v>
      </c>
      <c r="M564" s="9" t="s">
        <v>34</v>
      </c>
    </row>
    <row r="565" spans="1:15" hidden="1" x14ac:dyDescent="0.25">
      <c r="A565" s="12"/>
      <c r="B565" s="13" t="s">
        <v>407</v>
      </c>
      <c r="C565" s="12"/>
      <c r="D565" s="12"/>
      <c r="E565" s="13" t="s">
        <v>408</v>
      </c>
      <c r="F565" s="12"/>
      <c r="G565" s="12"/>
      <c r="H565" s="14">
        <f>SUBTOTAL(9,H561:H564)</f>
        <v>0</v>
      </c>
      <c r="I565" s="15">
        <v>1</v>
      </c>
      <c r="J565" s="15" t="s">
        <v>19</v>
      </c>
      <c r="K565" s="12"/>
      <c r="L565" s="14">
        <f>SUBTOTAL(9,L561:L564)</f>
        <v>0</v>
      </c>
      <c r="M565" s="12"/>
      <c r="N565" s="12"/>
      <c r="O565" s="12"/>
    </row>
    <row r="566" spans="1:15" hidden="1" x14ac:dyDescent="0.25">
      <c r="A566" s="4">
        <v>56</v>
      </c>
      <c r="B566" s="5" t="s">
        <v>409</v>
      </c>
      <c r="C566" s="6" t="s">
        <v>18</v>
      </c>
      <c r="D566" s="6"/>
      <c r="E566" s="7" t="s">
        <v>409</v>
      </c>
      <c r="F566" s="6"/>
      <c r="G566" s="6"/>
      <c r="H566" s="6"/>
      <c r="I566" s="4">
        <v>1</v>
      </c>
      <c r="J566" s="4" t="s">
        <v>19</v>
      </c>
      <c r="K566" s="6"/>
      <c r="L566" s="6"/>
      <c r="M566" s="6"/>
      <c r="N566" s="6"/>
      <c r="O566" s="6"/>
    </row>
    <row r="567" spans="1:15" hidden="1" x14ac:dyDescent="0.25">
      <c r="A567" s="8">
        <v>56</v>
      </c>
      <c r="B567" s="9" t="str">
        <f t="shared" ref="B567:B577" si="191">B566</f>
        <v>ВЩ1 (ВРУ-1-13-20 УХЛ4) (S5)</v>
      </c>
      <c r="C567" s="16" t="s">
        <v>20</v>
      </c>
      <c r="D567" s="9" t="s">
        <v>207</v>
      </c>
      <c r="E567" s="10" t="s">
        <v>208</v>
      </c>
      <c r="F567" s="11">
        <v>155000</v>
      </c>
      <c r="G567" s="11">
        <f>IF(F567="","",ROUND(F567*VLOOKUP(K567,Kurallar!$D$3:$E$14,2,0),2))</f>
        <v>93000</v>
      </c>
      <c r="H567" s="11">
        <f t="shared" ref="H567" si="192">IF(G567="","",G567*I567)</f>
        <v>93000</v>
      </c>
      <c r="I567" s="8">
        <v>1</v>
      </c>
      <c r="J567" s="8" t="s">
        <v>23</v>
      </c>
      <c r="K567" s="8" t="s">
        <v>24</v>
      </c>
      <c r="L567" s="11">
        <f t="shared" ref="L567" si="193">IF(H567="","",H567*$I$181)</f>
        <v>93000</v>
      </c>
      <c r="M567" s="9" t="s">
        <v>20</v>
      </c>
      <c r="N567" s="8" t="s">
        <v>209</v>
      </c>
      <c r="O567" s="8">
        <f>IFERROR(VLOOKUP(N567,Kurallar!$G$3:$H$22,2,0),0)</f>
        <v>90</v>
      </c>
    </row>
    <row r="568" spans="1:15" hidden="1" x14ac:dyDescent="0.25">
      <c r="A568" s="8">
        <v>56</v>
      </c>
      <c r="B568" s="9" t="str">
        <f t="shared" si="191"/>
        <v>ВЩ1 (ВРУ-1-13-20 УХЛ4) (S5)</v>
      </c>
      <c r="C568" s="9" t="s">
        <v>86</v>
      </c>
      <c r="D568" s="9" t="s">
        <v>285</v>
      </c>
      <c r="E568" s="10" t="s">
        <v>286</v>
      </c>
      <c r="F568" s="11">
        <v>4969</v>
      </c>
      <c r="G568" s="11">
        <f>IF(F568="","",ROUND(F568*VLOOKUP(K568,Kurallar!$D$3:$E$14,2,0),2))</f>
        <v>2981.4</v>
      </c>
      <c r="H568" s="11">
        <f>IF(G568="","",G568*I568)</f>
        <v>17888.400000000001</v>
      </c>
      <c r="I568" s="8">
        <v>6</v>
      </c>
      <c r="J568" s="8" t="s">
        <v>23</v>
      </c>
      <c r="K568" s="8" t="s">
        <v>29</v>
      </c>
      <c r="L568" s="11">
        <f>IF(H568="","",H568*$I$566)</f>
        <v>17888.400000000001</v>
      </c>
      <c r="M568" s="9" t="s">
        <v>86</v>
      </c>
      <c r="N568" s="8" t="s">
        <v>89</v>
      </c>
      <c r="O568" s="8">
        <f>IFERROR(VLOOKUP(N568,Kurallar!$G$3:$H$22,2,0),0)</f>
        <v>5</v>
      </c>
    </row>
    <row r="569" spans="1:15" hidden="1" x14ac:dyDescent="0.25">
      <c r="A569" s="8">
        <v>56</v>
      </c>
      <c r="B569" s="9" t="str">
        <f t="shared" si="191"/>
        <v>ВЩ1 (ВРУ-1-13-20 УХЛ4) (S5)</v>
      </c>
      <c r="C569" s="9" t="s">
        <v>86</v>
      </c>
      <c r="D569" s="9" t="s">
        <v>210</v>
      </c>
      <c r="E569" s="10" t="s">
        <v>211</v>
      </c>
      <c r="F569" s="11">
        <v>7443</v>
      </c>
      <c r="G569" s="11">
        <f>IF(F569="","",ROUND(F569*VLOOKUP(K569,Kurallar!$D$3:$E$14,2,0),2))</f>
        <v>4465.8</v>
      </c>
      <c r="H569" s="11">
        <f>IF(G569="","",G569*I569)</f>
        <v>26794.800000000003</v>
      </c>
      <c r="I569" s="8">
        <v>6</v>
      </c>
      <c r="J569" s="8" t="s">
        <v>23</v>
      </c>
      <c r="K569" s="8" t="s">
        <v>29</v>
      </c>
      <c r="L569" s="11">
        <f>IF(H569="","",H569*$I$566)</f>
        <v>26794.800000000003</v>
      </c>
      <c r="M569" s="9" t="s">
        <v>86</v>
      </c>
      <c r="N569" s="8" t="s">
        <v>89</v>
      </c>
      <c r="O569" s="8">
        <f>IFERROR(VLOOKUP(N569,Kurallar!$G$3:$H$22,2,0),0)</f>
        <v>5</v>
      </c>
    </row>
    <row r="570" spans="1:15" hidden="1" x14ac:dyDescent="0.25">
      <c r="A570" s="8">
        <v>56</v>
      </c>
      <c r="B570" s="9" t="str">
        <f t="shared" si="191"/>
        <v>ВЩ1 (ВРУ-1-13-20 УХЛ4) (S5)</v>
      </c>
      <c r="C570" s="9" t="s">
        <v>54</v>
      </c>
      <c r="D570" s="9" t="s">
        <v>55</v>
      </c>
      <c r="E570" s="10" t="s">
        <v>56</v>
      </c>
      <c r="F570" s="11">
        <v>975</v>
      </c>
      <c r="G570" s="11">
        <f>IF(F570="","",ROUND(F570*VLOOKUP(K570,Kurallar!$D$3:$E$14,2,0),2))</f>
        <v>585</v>
      </c>
      <c r="H570" s="11">
        <f>IF(G570="","",G570*I570)</f>
        <v>1170</v>
      </c>
      <c r="I570" s="8">
        <v>2</v>
      </c>
      <c r="J570" s="8" t="s">
        <v>23</v>
      </c>
      <c r="K570" s="8" t="s">
        <v>29</v>
      </c>
      <c r="L570" s="11">
        <f>IF(H570="","",H570*$I$566)</f>
        <v>1170</v>
      </c>
      <c r="M570" s="9" t="s">
        <v>54</v>
      </c>
      <c r="N570" s="8" t="s">
        <v>57</v>
      </c>
      <c r="O570" s="8">
        <f>IFERROR(VLOOKUP(N570,Kurallar!$G$3:$H$22,2,0),0)</f>
        <v>3</v>
      </c>
    </row>
    <row r="571" spans="1:15" hidden="1" x14ac:dyDescent="0.25">
      <c r="A571" s="8">
        <v>56</v>
      </c>
      <c r="B571" s="9" t="str">
        <f t="shared" si="191"/>
        <v>ВЩ1 (ВРУ-1-13-20 УХЛ4) (S5)</v>
      </c>
      <c r="C571" s="9" t="s">
        <v>82</v>
      </c>
      <c r="D571" s="9" t="s">
        <v>212</v>
      </c>
      <c r="E571" s="10" t="s">
        <v>213</v>
      </c>
      <c r="F571" s="11">
        <v>0</v>
      </c>
      <c r="G571" s="11">
        <f>F571</f>
        <v>0</v>
      </c>
      <c r="H571" s="11">
        <f>IF(G571="","",G571*I571)</f>
        <v>0</v>
      </c>
      <c r="I571" s="8">
        <v>2</v>
      </c>
      <c r="J571" s="8" t="s">
        <v>23</v>
      </c>
      <c r="K571" s="8" t="s">
        <v>751</v>
      </c>
      <c r="L571" s="11">
        <f>IF(H571="","",H571*$I$566)</f>
        <v>0</v>
      </c>
      <c r="M571" s="9" t="s">
        <v>82</v>
      </c>
      <c r="N571" s="8" t="s">
        <v>85</v>
      </c>
      <c r="O571" s="8">
        <f>IFERROR(VLOOKUP(N571,Kurallar!$G$3:$H$22,2,0),0)</f>
        <v>25</v>
      </c>
    </row>
    <row r="572" spans="1:15" ht="24" hidden="1" x14ac:dyDescent="0.25">
      <c r="A572" s="8">
        <v>56</v>
      </c>
      <c r="B572" s="9" t="str">
        <f t="shared" si="191"/>
        <v>ВЩ1 (ВРУ-1-13-20 УХЛ4) (S5)</v>
      </c>
      <c r="C572" s="9" t="s">
        <v>26</v>
      </c>
      <c r="D572" s="9" t="s">
        <v>757</v>
      </c>
      <c r="E572" s="10" t="s">
        <v>758</v>
      </c>
      <c r="F572" s="11">
        <v>48003</v>
      </c>
      <c r="G572" s="11">
        <f>IF(F572="","",ROUND(F572*VLOOKUP(K572,Kurallar!$D$3:$E$14,2,0),2))</f>
        <v>48003</v>
      </c>
      <c r="H572" s="11">
        <f>IF(G572="","",G572*I572)</f>
        <v>96006</v>
      </c>
      <c r="I572" s="8">
        <v>2</v>
      </c>
      <c r="J572" s="8" t="s">
        <v>23</v>
      </c>
      <c r="K572" s="8" t="s">
        <v>754</v>
      </c>
      <c r="L572" s="11">
        <f>IF(H572="","",H572*$I$566)</f>
        <v>96006</v>
      </c>
      <c r="M572" s="9" t="s">
        <v>26</v>
      </c>
      <c r="N572" s="8" t="s">
        <v>30</v>
      </c>
      <c r="O572" s="8">
        <f>IFERROR(VLOOKUP(N572,Kurallar!$G$3:$H$22,2,0),0)</f>
        <v>30</v>
      </c>
    </row>
    <row r="573" spans="1:15" hidden="1" x14ac:dyDescent="0.25">
      <c r="A573" s="8">
        <v>56</v>
      </c>
      <c r="B573" s="9" t="str">
        <f t="shared" si="191"/>
        <v>ВЩ1 (ВРУ-1-13-20 УХЛ4) (S5)</v>
      </c>
      <c r="C573" s="16" t="s">
        <v>214</v>
      </c>
      <c r="D573" s="9" t="s">
        <v>287</v>
      </c>
      <c r="E573" s="10" t="s">
        <v>746</v>
      </c>
      <c r="F573" s="11">
        <v>5523</v>
      </c>
      <c r="G573" s="11">
        <f>IF(F573="","",ROUND(F573*VLOOKUP(K573,Kurallar!$D$3:$E$14,2,0),2))</f>
        <v>5523</v>
      </c>
      <c r="H573" s="11">
        <f t="shared" ref="H573" si="194">IF(G573="","",G573*I573)</f>
        <v>33138</v>
      </c>
      <c r="I573" s="8">
        <v>6</v>
      </c>
      <c r="J573" s="8" t="s">
        <v>23</v>
      </c>
      <c r="K573" s="8" t="s">
        <v>65</v>
      </c>
      <c r="L573" s="9"/>
      <c r="M573" s="9" t="s">
        <v>214</v>
      </c>
      <c r="N573" s="8" t="s">
        <v>217</v>
      </c>
      <c r="O573" s="8">
        <f>IFERROR(VLOOKUP(N573,Kurallar!$G$3:$H$22,2,0),0)</f>
        <v>15</v>
      </c>
    </row>
    <row r="574" spans="1:15" hidden="1" x14ac:dyDescent="0.25">
      <c r="A574" s="8">
        <v>56</v>
      </c>
      <c r="B574" s="9" t="str">
        <f t="shared" si="191"/>
        <v>ВЩ1 (ВРУ-1-13-20 УХЛ4) (S5)</v>
      </c>
      <c r="C574" s="9" t="s">
        <v>218</v>
      </c>
      <c r="D574" s="9" t="s">
        <v>219</v>
      </c>
      <c r="E574" s="10" t="s">
        <v>220</v>
      </c>
      <c r="F574" s="11">
        <v>5275</v>
      </c>
      <c r="G574" s="11">
        <f>IF(F574="","",ROUND(F574*VLOOKUP(K574,Kurallar!$D$3:$E$14,2,0),2))</f>
        <v>3165</v>
      </c>
      <c r="H574" s="11">
        <f>IF(G574="","",G574*I574)</f>
        <v>18990</v>
      </c>
      <c r="I574" s="8">
        <v>6</v>
      </c>
      <c r="J574" s="8" t="s">
        <v>23</v>
      </c>
      <c r="K574" s="8" t="s">
        <v>29</v>
      </c>
      <c r="L574" s="11">
        <f>IF(H574="","",H574*$I$566)</f>
        <v>18990</v>
      </c>
      <c r="M574" s="9" t="s">
        <v>218</v>
      </c>
      <c r="N574" s="8" t="s">
        <v>221</v>
      </c>
      <c r="O574" s="8">
        <f>IFERROR(VLOOKUP(N574,Kurallar!$G$3:$H$22,2,0),0)</f>
        <v>15</v>
      </c>
    </row>
    <row r="575" spans="1:15" hidden="1" x14ac:dyDescent="0.25">
      <c r="A575" s="8">
        <v>56</v>
      </c>
      <c r="B575" s="9" t="str">
        <f t="shared" si="191"/>
        <v>ВЩ1 (ВРУ-1-13-20 УХЛ4) (S5)</v>
      </c>
      <c r="C575" s="9" t="s">
        <v>54</v>
      </c>
      <c r="D575" s="9" t="s">
        <v>222</v>
      </c>
      <c r="E575" s="10" t="s">
        <v>223</v>
      </c>
      <c r="F575" s="11">
        <v>2606</v>
      </c>
      <c r="G575" s="11">
        <f>IF(F575="","",ROUND(F575*VLOOKUP(K575,Kurallar!$D$3:$E$14,2,0),2))</f>
        <v>1563.6</v>
      </c>
      <c r="H575" s="11">
        <f>IF(G575="","",G575*I575)</f>
        <v>3127.2</v>
      </c>
      <c r="I575" s="8">
        <v>2</v>
      </c>
      <c r="J575" s="8" t="s">
        <v>23</v>
      </c>
      <c r="K575" s="8" t="s">
        <v>29</v>
      </c>
      <c r="L575" s="11">
        <f>IF(H575="","",H575*$I$566)</f>
        <v>3127.2</v>
      </c>
      <c r="M575" s="9" t="s">
        <v>54</v>
      </c>
      <c r="N575" s="8" t="s">
        <v>113</v>
      </c>
      <c r="O575" s="8">
        <f>IFERROR(VLOOKUP(N575,Kurallar!$G$3:$H$22,2,0),0)</f>
        <v>10</v>
      </c>
    </row>
    <row r="576" spans="1:15" hidden="1" x14ac:dyDescent="0.25">
      <c r="A576" s="8">
        <v>56</v>
      </c>
      <c r="B576" s="9" t="str">
        <f t="shared" si="191"/>
        <v>ВЩ1 (ВРУ-1-13-20 УХЛ4) (S5)</v>
      </c>
      <c r="C576" s="9" t="s">
        <v>31</v>
      </c>
      <c r="E576" s="9" t="s">
        <v>32</v>
      </c>
      <c r="F576" s="11"/>
      <c r="G576" s="11">
        <f>ROUND(SUM(H567:H575)*Kurallar!$B$2,2)</f>
        <v>34813.730000000003</v>
      </c>
      <c r="H576" s="11">
        <f>G576*I576</f>
        <v>34813.730000000003</v>
      </c>
      <c r="I576" s="8">
        <v>1</v>
      </c>
      <c r="J576" s="8" t="s">
        <v>19</v>
      </c>
      <c r="K576" s="8" t="s">
        <v>33</v>
      </c>
      <c r="L576" s="11">
        <f>H576*$I$566</f>
        <v>34813.730000000003</v>
      </c>
      <c r="M576" s="9" t="s">
        <v>31</v>
      </c>
    </row>
    <row r="577" spans="1:15" hidden="1" x14ac:dyDescent="0.25">
      <c r="A577" s="8">
        <v>56</v>
      </c>
      <c r="B577" t="str">
        <f t="shared" si="191"/>
        <v>ВЩ1 (ВРУ-1-13-20 УХЛ4) (S5)</v>
      </c>
      <c r="C577" s="9" t="s">
        <v>34</v>
      </c>
      <c r="E577" s="9" t="s">
        <v>35</v>
      </c>
      <c r="F577" s="11">
        <f>ROUND(I577/60,1)</f>
        <v>8.9</v>
      </c>
      <c r="G577" s="11">
        <f>Kurallar!$B$3</f>
        <v>100</v>
      </c>
      <c r="H577" s="11">
        <f>G577*I577</f>
        <v>53600</v>
      </c>
      <c r="I577" s="8">
        <f>ROUND(SUMPRODUCT(I567:I575,O567:O575)*Kurallar!$B$4,0)</f>
        <v>536</v>
      </c>
      <c r="J577" s="8" t="s">
        <v>36</v>
      </c>
      <c r="K577" s="8" t="s">
        <v>33</v>
      </c>
      <c r="L577" s="11">
        <f>H577*$I$566</f>
        <v>53600</v>
      </c>
      <c r="M577" s="9" t="s">
        <v>34</v>
      </c>
    </row>
    <row r="578" spans="1:15" hidden="1" x14ac:dyDescent="0.25">
      <c r="A578" s="12"/>
      <c r="B578" s="13" t="s">
        <v>410</v>
      </c>
      <c r="C578" s="12"/>
      <c r="D578" s="12"/>
      <c r="E578" s="13" t="s">
        <v>411</v>
      </c>
      <c r="F578" s="12"/>
      <c r="G578" s="12"/>
      <c r="H578" s="14">
        <f>SUBTOTAL(9,H567:H577)</f>
        <v>0</v>
      </c>
      <c r="I578" s="15">
        <v>1</v>
      </c>
      <c r="J578" s="15" t="s">
        <v>19</v>
      </c>
      <c r="K578" s="12"/>
      <c r="L578" s="14">
        <f>SUBTOTAL(9,L567:L577)</f>
        <v>0</v>
      </c>
      <c r="M578" s="12"/>
      <c r="N578" s="12"/>
      <c r="O578" s="12"/>
    </row>
    <row r="579" spans="1:15" x14ac:dyDescent="0.25">
      <c r="A579" s="4">
        <v>57</v>
      </c>
      <c r="B579" s="5" t="s">
        <v>412</v>
      </c>
      <c r="C579" s="6" t="s">
        <v>18</v>
      </c>
      <c r="D579" s="6"/>
      <c r="E579" s="7" t="s">
        <v>412</v>
      </c>
      <c r="F579" s="6"/>
      <c r="G579" s="6"/>
      <c r="H579" s="6"/>
      <c r="I579" s="4">
        <v>1</v>
      </c>
      <c r="J579" s="4" t="s">
        <v>19</v>
      </c>
      <c r="K579" s="6"/>
      <c r="L579" s="6"/>
      <c r="M579" s="6"/>
      <c r="N579" s="6"/>
      <c r="O579" s="6"/>
    </row>
    <row r="580" spans="1:15" x14ac:dyDescent="0.25">
      <c r="A580" s="8">
        <v>57</v>
      </c>
      <c r="B580" s="9" t="str">
        <f t="shared" ref="B580:B589" si="195">B579</f>
        <v>АВР-160А (ША8333-160-74 УХЛ4) (S5)</v>
      </c>
      <c r="C580" s="9" t="s">
        <v>20</v>
      </c>
      <c r="D580" s="9" t="s">
        <v>227</v>
      </c>
      <c r="E580" s="10" t="s">
        <v>228</v>
      </c>
      <c r="F580" s="11">
        <v>125305</v>
      </c>
      <c r="G580" s="11">
        <f>IF(F580="","",ROUND(F580*VLOOKUP(K580,Kurallar!$D$3:$E$14,2,0),2))</f>
        <v>75183</v>
      </c>
      <c r="H580" s="11">
        <f t="shared" ref="H580" si="196">IF(G580="","",G580*I580)</f>
        <v>75183</v>
      </c>
      <c r="I580" s="8">
        <v>1</v>
      </c>
      <c r="J580" s="8" t="s">
        <v>23</v>
      </c>
      <c r="K580" s="8" t="s">
        <v>24</v>
      </c>
      <c r="L580" s="11">
        <f t="shared" ref="L580" si="197">IF(H580="","",H580*$I$181)</f>
        <v>75183</v>
      </c>
      <c r="M580" s="9" t="s">
        <v>20</v>
      </c>
      <c r="N580" s="8" t="s">
        <v>209</v>
      </c>
      <c r="O580" s="8">
        <f>IFERROR(VLOOKUP(N580,Kurallar!$G$3:$H$22,2,0),0)</f>
        <v>90</v>
      </c>
    </row>
    <row r="581" spans="1:15" x14ac:dyDescent="0.25">
      <c r="A581" s="8">
        <v>57</v>
      </c>
      <c r="B581" s="9" t="str">
        <f t="shared" si="195"/>
        <v>АВР-160А (ША8333-160-74 УХЛ4) (S5)</v>
      </c>
      <c r="C581" s="9" t="s">
        <v>145</v>
      </c>
      <c r="D581" s="9" t="s">
        <v>291</v>
      </c>
      <c r="E581" s="10" t="s">
        <v>292</v>
      </c>
      <c r="F581" s="11">
        <v>36869</v>
      </c>
      <c r="G581" s="11">
        <f>IF(F581="","",ROUND(F581*VLOOKUP(K581,Kurallar!$D$3:$E$14,2,0),2))</f>
        <v>22121.4</v>
      </c>
      <c r="H581" s="11">
        <f t="shared" ref="H581:H587" si="198">IF(G581="","",G581*I581)</f>
        <v>66364.200000000012</v>
      </c>
      <c r="I581" s="8">
        <v>3</v>
      </c>
      <c r="J581" s="8" t="s">
        <v>23</v>
      </c>
      <c r="K581" s="8" t="s">
        <v>29</v>
      </c>
      <c r="L581" s="11">
        <f t="shared" ref="L581:L587" si="199">IF(H581="","",H581*$I$579)</f>
        <v>66364.200000000012</v>
      </c>
      <c r="M581" s="9" t="s">
        <v>145</v>
      </c>
      <c r="N581" s="8" t="s">
        <v>148</v>
      </c>
      <c r="O581" s="8">
        <f>IFERROR(VLOOKUP(N581,Kurallar!$G$3:$H$22,2,0),0)</f>
        <v>35</v>
      </c>
    </row>
    <row r="582" spans="1:15" x14ac:dyDescent="0.25">
      <c r="A582" s="8">
        <v>57</v>
      </c>
      <c r="B582" s="9" t="str">
        <f t="shared" si="195"/>
        <v>АВР-160А (ША8333-160-74 УХЛ4) (S5)</v>
      </c>
      <c r="C582" s="9" t="s">
        <v>54</v>
      </c>
      <c r="D582" s="9" t="s">
        <v>231</v>
      </c>
      <c r="E582" s="10" t="s">
        <v>232</v>
      </c>
      <c r="F582" s="11">
        <v>2873</v>
      </c>
      <c r="G582" s="11">
        <f>IF(F582="","",ROUND(F582*VLOOKUP(K582,Kurallar!$D$3:$E$14,2,0),2))</f>
        <v>1723.8</v>
      </c>
      <c r="H582" s="11">
        <f t="shared" si="198"/>
        <v>5171.3999999999996</v>
      </c>
      <c r="I582" s="8">
        <v>3</v>
      </c>
      <c r="J582" s="8" t="s">
        <v>23</v>
      </c>
      <c r="K582" s="8" t="s">
        <v>29</v>
      </c>
      <c r="L582" s="11">
        <f t="shared" si="199"/>
        <v>5171.3999999999996</v>
      </c>
      <c r="M582" s="9" t="s">
        <v>54</v>
      </c>
      <c r="N582" s="8" t="s">
        <v>113</v>
      </c>
      <c r="O582" s="8">
        <f>IFERROR(VLOOKUP(N582,Kurallar!$G$3:$H$22,2,0),0)</f>
        <v>10</v>
      </c>
    </row>
    <row r="583" spans="1:15" x14ac:dyDescent="0.25">
      <c r="A583" s="8">
        <v>57</v>
      </c>
      <c r="B583" s="9" t="str">
        <f t="shared" si="195"/>
        <v>АВР-160А (ША8333-160-74 УХЛ4) (S5)</v>
      </c>
      <c r="C583" s="9" t="s">
        <v>58</v>
      </c>
      <c r="D583" s="9" t="s">
        <v>413</v>
      </c>
      <c r="E583" s="10" t="s">
        <v>414</v>
      </c>
      <c r="F583" s="11">
        <v>249836</v>
      </c>
      <c r="G583" s="11">
        <f>IF(F583="","",ROUND(F583*VLOOKUP(K583,Kurallar!$D$3:$E$14,2,0),2))</f>
        <v>149901.6</v>
      </c>
      <c r="H583" s="11">
        <f t="shared" si="198"/>
        <v>449704.80000000005</v>
      </c>
      <c r="I583" s="8">
        <v>3</v>
      </c>
      <c r="J583" s="8" t="s">
        <v>23</v>
      </c>
      <c r="K583" s="8" t="s">
        <v>29</v>
      </c>
      <c r="L583" s="11">
        <f t="shared" si="199"/>
        <v>449704.80000000005</v>
      </c>
      <c r="M583" s="9" t="s">
        <v>58</v>
      </c>
      <c r="N583" s="8" t="s">
        <v>61</v>
      </c>
      <c r="O583" s="8">
        <f>IFERROR(VLOOKUP(N583,Kurallar!$G$3:$H$22,2,0),0)</f>
        <v>15</v>
      </c>
    </row>
    <row r="584" spans="1:15" x14ac:dyDescent="0.25">
      <c r="A584" s="8">
        <v>57</v>
      </c>
      <c r="B584" s="9" t="str">
        <f t="shared" si="195"/>
        <v>АВР-160А (ША8333-160-74 УХЛ4) (S5)</v>
      </c>
      <c r="C584" s="9" t="s">
        <v>86</v>
      </c>
      <c r="D584" s="9" t="s">
        <v>235</v>
      </c>
      <c r="E584" s="10" t="s">
        <v>236</v>
      </c>
      <c r="F584" s="11">
        <v>1306</v>
      </c>
      <c r="G584" s="11">
        <f>IF(F584="","",ROUND(F584*VLOOKUP(K584,Kurallar!$D$3:$E$14,2,0),2))</f>
        <v>783.6</v>
      </c>
      <c r="H584" s="11">
        <f t="shared" si="198"/>
        <v>2350.8000000000002</v>
      </c>
      <c r="I584" s="8">
        <v>3</v>
      </c>
      <c r="J584" s="8" t="s">
        <v>23</v>
      </c>
      <c r="K584" s="8" t="s">
        <v>29</v>
      </c>
      <c r="L584" s="11">
        <f t="shared" si="199"/>
        <v>2350.8000000000002</v>
      </c>
      <c r="M584" s="9" t="s">
        <v>86</v>
      </c>
      <c r="N584" s="8" t="s">
        <v>89</v>
      </c>
      <c r="O584" s="8">
        <f>IFERROR(VLOOKUP(N584,Kurallar!$G$3:$H$22,2,0),0)</f>
        <v>5</v>
      </c>
    </row>
    <row r="585" spans="1:15" x14ac:dyDescent="0.25">
      <c r="A585" s="8">
        <v>57</v>
      </c>
      <c r="B585" s="9" t="str">
        <f t="shared" si="195"/>
        <v>АВР-160А (ША8333-160-74 УХЛ4) (S5)</v>
      </c>
      <c r="C585" s="9" t="s">
        <v>62</v>
      </c>
      <c r="D585" s="9" t="s">
        <v>237</v>
      </c>
      <c r="E585" s="10" t="s">
        <v>238</v>
      </c>
      <c r="F585" s="11">
        <v>16808</v>
      </c>
      <c r="G585" s="11">
        <f>IF(F585="","",ROUND(F585*VLOOKUP(K585,Kurallar!$D$3:$E$14,2,0),2))</f>
        <v>10084.799999999999</v>
      </c>
      <c r="H585" s="11">
        <f t="shared" si="198"/>
        <v>30254.399999999998</v>
      </c>
      <c r="I585" s="8">
        <v>3</v>
      </c>
      <c r="J585" s="8" t="s">
        <v>23</v>
      </c>
      <c r="K585" s="8" t="s">
        <v>29</v>
      </c>
      <c r="L585" s="11">
        <f t="shared" si="199"/>
        <v>30254.399999999998</v>
      </c>
      <c r="M585" s="9" t="s">
        <v>62</v>
      </c>
      <c r="N585" s="8" t="s">
        <v>66</v>
      </c>
      <c r="O585" s="8">
        <f>IFERROR(VLOOKUP(N585,Kurallar!$G$3:$H$22,2,0),0)</f>
        <v>5</v>
      </c>
    </row>
    <row r="586" spans="1:15" x14ac:dyDescent="0.25">
      <c r="A586" s="8">
        <v>57</v>
      </c>
      <c r="B586" s="9" t="str">
        <f t="shared" si="195"/>
        <v>АВР-160А (ША8333-160-74 УХЛ4) (S5)</v>
      </c>
      <c r="C586" s="9" t="s">
        <v>214</v>
      </c>
      <c r="D586" s="9" t="s">
        <v>415</v>
      </c>
      <c r="E586" s="10" t="s">
        <v>416</v>
      </c>
      <c r="F586" s="11">
        <v>4000</v>
      </c>
      <c r="G586" s="11">
        <f>IF(F586="","",ROUND(F586*VLOOKUP(K586,Kurallar!$D$3:$E$14,2,0),2))</f>
        <v>4000</v>
      </c>
      <c r="H586" s="11">
        <f t="shared" si="198"/>
        <v>28000</v>
      </c>
      <c r="I586" s="8">
        <v>7</v>
      </c>
      <c r="J586" s="8" t="s">
        <v>23</v>
      </c>
      <c r="K586" s="8" t="s">
        <v>65</v>
      </c>
      <c r="L586" s="11">
        <f t="shared" si="199"/>
        <v>28000</v>
      </c>
      <c r="M586" s="9" t="s">
        <v>214</v>
      </c>
      <c r="N586" s="8" t="s">
        <v>217</v>
      </c>
      <c r="O586" s="8">
        <f>IFERROR(VLOOKUP(N586,Kurallar!$G$3:$H$22,2,0),0)</f>
        <v>15</v>
      </c>
    </row>
    <row r="587" spans="1:15" x14ac:dyDescent="0.25">
      <c r="A587" s="8">
        <v>57</v>
      </c>
      <c r="B587" s="9" t="str">
        <f t="shared" si="195"/>
        <v>АВР-160А (ША8333-160-74 УХЛ4) (S5)</v>
      </c>
      <c r="C587" s="9" t="s">
        <v>82</v>
      </c>
      <c r="D587" s="9" t="s">
        <v>212</v>
      </c>
      <c r="E587" s="10" t="s">
        <v>213</v>
      </c>
      <c r="F587" s="11">
        <v>0</v>
      </c>
      <c r="G587" s="11">
        <f>F587</f>
        <v>0</v>
      </c>
      <c r="H587" s="11">
        <f t="shared" si="198"/>
        <v>0</v>
      </c>
      <c r="I587" s="8">
        <v>2</v>
      </c>
      <c r="J587" s="8" t="s">
        <v>23</v>
      </c>
      <c r="K587" s="8" t="s">
        <v>751</v>
      </c>
      <c r="L587" s="11">
        <f t="shared" si="199"/>
        <v>0</v>
      </c>
      <c r="M587" s="9" t="s">
        <v>82</v>
      </c>
      <c r="N587" s="8" t="s">
        <v>85</v>
      </c>
      <c r="O587" s="8">
        <f>IFERROR(VLOOKUP(N587,Kurallar!$G$3:$H$22,2,0),0)</f>
        <v>25</v>
      </c>
    </row>
    <row r="588" spans="1:15" x14ac:dyDescent="0.25">
      <c r="A588" s="8">
        <v>57</v>
      </c>
      <c r="B588" s="9" t="str">
        <f t="shared" si="195"/>
        <v>АВР-160А (ША8333-160-74 УХЛ4) (S5)</v>
      </c>
      <c r="C588" s="9" t="s">
        <v>31</v>
      </c>
      <c r="E588" s="9" t="s">
        <v>32</v>
      </c>
      <c r="F588" s="11"/>
      <c r="G588" s="11">
        <f>ROUND(SUM(H580:H587)*Kurallar!$B$2,2)</f>
        <v>78843.429999999993</v>
      </c>
      <c r="H588" s="11">
        <f>G588*I588</f>
        <v>78843.429999999993</v>
      </c>
      <c r="I588" s="8">
        <v>1</v>
      </c>
      <c r="J588" s="8" t="s">
        <v>19</v>
      </c>
      <c r="K588" s="8" t="s">
        <v>33</v>
      </c>
      <c r="L588" s="11">
        <f>H588*$I$579</f>
        <v>78843.429999999993</v>
      </c>
      <c r="M588" s="9" t="s">
        <v>31</v>
      </c>
    </row>
    <row r="589" spans="1:15" x14ac:dyDescent="0.25">
      <c r="A589" s="8">
        <v>57</v>
      </c>
      <c r="B589" s="9" t="str">
        <f t="shared" si="195"/>
        <v>АВР-160А (ША8333-160-74 УХЛ4) (S5)</v>
      </c>
      <c r="C589" s="9" t="s">
        <v>34</v>
      </c>
      <c r="E589" s="9" t="s">
        <v>35</v>
      </c>
      <c r="F589" s="11">
        <f>ROUND(I589/60,1)</f>
        <v>8.6999999999999993</v>
      </c>
      <c r="G589" s="11">
        <f>Kurallar!$B$3</f>
        <v>100</v>
      </c>
      <c r="H589" s="11">
        <f>G589*I589</f>
        <v>52300</v>
      </c>
      <c r="I589" s="8">
        <f>ROUND(SUMPRODUCT(I580:I587,O580:O587)*Kurallar!$B$4,0)</f>
        <v>523</v>
      </c>
      <c r="J589" s="8" t="s">
        <v>36</v>
      </c>
      <c r="K589" s="8" t="s">
        <v>33</v>
      </c>
      <c r="L589" s="11">
        <f>H589*$I$579</f>
        <v>52300</v>
      </c>
      <c r="M589" s="9" t="s">
        <v>34</v>
      </c>
    </row>
    <row r="590" spans="1:15" x14ac:dyDescent="0.25">
      <c r="A590" s="12"/>
      <c r="B590" s="13" t="s">
        <v>417</v>
      </c>
      <c r="C590" s="12"/>
      <c r="D590" s="12"/>
      <c r="E590" s="13" t="s">
        <v>418</v>
      </c>
      <c r="F590" s="12"/>
      <c r="G590" s="12"/>
      <c r="H590" s="14">
        <f>SUBTOTAL(9,H580:H589)</f>
        <v>788172.03</v>
      </c>
      <c r="I590" s="15">
        <v>1</v>
      </c>
      <c r="J590" s="15" t="s">
        <v>19</v>
      </c>
      <c r="K590" s="12"/>
      <c r="L590" s="14">
        <f>SUBTOTAL(9,L580:L589)</f>
        <v>788172.03</v>
      </c>
      <c r="M590" s="12"/>
      <c r="N590" s="12"/>
      <c r="O590" s="12"/>
    </row>
    <row r="591" spans="1:15" hidden="1" x14ac:dyDescent="0.25">
      <c r="A591" s="4">
        <v>58</v>
      </c>
      <c r="B591" s="5" t="s">
        <v>419</v>
      </c>
      <c r="C591" s="6" t="s">
        <v>18</v>
      </c>
      <c r="D591" s="6"/>
      <c r="E591" s="7" t="s">
        <v>419</v>
      </c>
      <c r="F591" s="6"/>
      <c r="G591" s="6"/>
      <c r="H591" s="6"/>
      <c r="I591" s="4">
        <v>1</v>
      </c>
      <c r="J591" s="4" t="s">
        <v>19</v>
      </c>
      <c r="K591" s="6"/>
      <c r="L591" s="6"/>
      <c r="M591" s="6"/>
      <c r="N591" s="6"/>
      <c r="O591" s="6"/>
    </row>
    <row r="592" spans="1:15" hidden="1" x14ac:dyDescent="0.25">
      <c r="A592" s="8">
        <v>58</v>
      </c>
      <c r="B592" s="9" t="str">
        <f t="shared" ref="B592:B603" si="200">B591</f>
        <v>РЩ1(ВРУ1-ИНД тип5-00) (S5)</v>
      </c>
      <c r="C592" s="9" t="s">
        <v>20</v>
      </c>
      <c r="D592" s="9" t="s">
        <v>227</v>
      </c>
      <c r="E592" s="10" t="s">
        <v>228</v>
      </c>
      <c r="F592" s="11">
        <v>125305</v>
      </c>
      <c r="G592" s="11">
        <f>IF(F592="","",ROUND(F592*VLOOKUP(K592,Kurallar!$D$3:$E$14,2,0),2))</f>
        <v>75183</v>
      </c>
      <c r="H592" s="11">
        <f t="shared" ref="H592" si="201">IF(G592="","",G592*I592)</f>
        <v>75183</v>
      </c>
      <c r="I592" s="8">
        <v>1</v>
      </c>
      <c r="J592" s="8" t="s">
        <v>23</v>
      </c>
      <c r="K592" s="8" t="s">
        <v>24</v>
      </c>
      <c r="L592" s="11">
        <f t="shared" ref="L592" si="202">IF(H592="","",H592*$I$181)</f>
        <v>75183</v>
      </c>
      <c r="M592" s="9" t="s">
        <v>20</v>
      </c>
      <c r="N592" s="8" t="s">
        <v>209</v>
      </c>
      <c r="O592" s="8">
        <f>IFERROR(VLOOKUP(N592,Kurallar!$G$3:$H$22,2,0),0)</f>
        <v>90</v>
      </c>
    </row>
    <row r="593" spans="1:15" hidden="1" x14ac:dyDescent="0.25">
      <c r="A593" s="8">
        <v>58</v>
      </c>
      <c r="B593" s="9" t="str">
        <f t="shared" si="200"/>
        <v>РЩ1(ВРУ1-ИНД тип5-00) (S5)</v>
      </c>
      <c r="C593" s="9" t="s">
        <v>145</v>
      </c>
      <c r="D593" s="9" t="s">
        <v>146</v>
      </c>
      <c r="E593" s="10" t="s">
        <v>147</v>
      </c>
      <c r="F593" s="11">
        <v>34800</v>
      </c>
      <c r="G593" s="11">
        <f>IF(F593="","",ROUND(F593*VLOOKUP(K593,Kurallar!$D$3:$E$14,2,0),2))</f>
        <v>20880</v>
      </c>
      <c r="H593" s="11">
        <f t="shared" ref="H593:H601" si="203">IF(G593="","",G593*I593)</f>
        <v>20880</v>
      </c>
      <c r="I593" s="8">
        <v>1</v>
      </c>
      <c r="J593" s="8" t="s">
        <v>23</v>
      </c>
      <c r="K593" s="8" t="s">
        <v>29</v>
      </c>
      <c r="L593" s="11">
        <f t="shared" ref="L593:L601" si="204">IF(H593="","",H593*$I$591)</f>
        <v>20880</v>
      </c>
      <c r="M593" s="9" t="s">
        <v>145</v>
      </c>
      <c r="N593" s="8" t="s">
        <v>148</v>
      </c>
      <c r="O593" s="8">
        <f>IFERROR(VLOOKUP(N593,Kurallar!$G$3:$H$22,2,0),0)</f>
        <v>35</v>
      </c>
    </row>
    <row r="594" spans="1:15" hidden="1" x14ac:dyDescent="0.25">
      <c r="A594" s="8">
        <v>58</v>
      </c>
      <c r="B594" s="9" t="str">
        <f t="shared" si="200"/>
        <v>РЩ1(ВРУ1-ИНД тип5-00) (S5)</v>
      </c>
      <c r="C594" s="9" t="s">
        <v>145</v>
      </c>
      <c r="D594" s="9" t="s">
        <v>229</v>
      </c>
      <c r="E594" s="10" t="s">
        <v>230</v>
      </c>
      <c r="F594" s="11">
        <v>33910</v>
      </c>
      <c r="G594" s="11">
        <f>IF(F594="","",ROUND(F594*VLOOKUP(K594,Kurallar!$D$3:$E$14,2,0),2))</f>
        <v>20346</v>
      </c>
      <c r="H594" s="11">
        <f t="shared" si="203"/>
        <v>20346</v>
      </c>
      <c r="I594" s="8">
        <v>1</v>
      </c>
      <c r="J594" s="8" t="s">
        <v>23</v>
      </c>
      <c r="K594" s="8" t="s">
        <v>29</v>
      </c>
      <c r="L594" s="11">
        <f t="shared" si="204"/>
        <v>20346</v>
      </c>
      <c r="M594" s="9" t="s">
        <v>145</v>
      </c>
      <c r="N594" s="8" t="s">
        <v>148</v>
      </c>
      <c r="O594" s="8">
        <f>IFERROR(VLOOKUP(N594,Kurallar!$G$3:$H$22,2,0),0)</f>
        <v>35</v>
      </c>
    </row>
    <row r="595" spans="1:15" hidden="1" x14ac:dyDescent="0.25">
      <c r="A595" s="8">
        <v>58</v>
      </c>
      <c r="B595" s="9" t="str">
        <f t="shared" si="200"/>
        <v>РЩ1(ВРУ1-ИНД тип5-00) (S5)</v>
      </c>
      <c r="C595" s="9" t="s">
        <v>145</v>
      </c>
      <c r="D595" s="9" t="s">
        <v>245</v>
      </c>
      <c r="E595" s="10" t="s">
        <v>246</v>
      </c>
      <c r="F595" s="11">
        <v>19760</v>
      </c>
      <c r="G595" s="11">
        <f>IF(F595="","",ROUND(F595*VLOOKUP(K595,Kurallar!$D$3:$E$14,2,0),2))</f>
        <v>11856</v>
      </c>
      <c r="H595" s="11">
        <f t="shared" si="203"/>
        <v>11856</v>
      </c>
      <c r="I595" s="8">
        <v>1</v>
      </c>
      <c r="J595" s="8" t="s">
        <v>23</v>
      </c>
      <c r="K595" s="8" t="s">
        <v>29</v>
      </c>
      <c r="L595" s="11">
        <f t="shared" si="204"/>
        <v>11856</v>
      </c>
      <c r="M595" s="9" t="s">
        <v>145</v>
      </c>
      <c r="N595" s="8" t="s">
        <v>148</v>
      </c>
      <c r="O595" s="8">
        <f>IFERROR(VLOOKUP(N595,Kurallar!$G$3:$H$22,2,0),0)</f>
        <v>35</v>
      </c>
    </row>
    <row r="596" spans="1:15" hidden="1" x14ac:dyDescent="0.25">
      <c r="A596" s="8">
        <v>58</v>
      </c>
      <c r="B596" s="9" t="str">
        <f t="shared" si="200"/>
        <v>РЩ1(ВРУ1-ИНД тип5-00) (S5)</v>
      </c>
      <c r="C596" s="9" t="s">
        <v>145</v>
      </c>
      <c r="D596" s="9" t="s">
        <v>293</v>
      </c>
      <c r="E596" s="10" t="s">
        <v>294</v>
      </c>
      <c r="F596" s="11">
        <v>19443</v>
      </c>
      <c r="G596" s="11">
        <f>IF(F596="","",ROUND(F596*VLOOKUP(K596,Kurallar!$D$3:$E$14,2,0),2))</f>
        <v>11665.8</v>
      </c>
      <c r="H596" s="11">
        <f t="shared" si="203"/>
        <v>23331.599999999999</v>
      </c>
      <c r="I596" s="8">
        <v>2</v>
      </c>
      <c r="J596" s="8" t="s">
        <v>23</v>
      </c>
      <c r="K596" s="8" t="s">
        <v>29</v>
      </c>
      <c r="L596" s="11">
        <f t="shared" si="204"/>
        <v>23331.599999999999</v>
      </c>
      <c r="M596" s="9" t="s">
        <v>145</v>
      </c>
      <c r="N596" s="8" t="s">
        <v>148</v>
      </c>
      <c r="O596" s="8">
        <f>IFERROR(VLOOKUP(N596,Kurallar!$G$3:$H$22,2,0),0)</f>
        <v>35</v>
      </c>
    </row>
    <row r="597" spans="1:15" hidden="1" x14ac:dyDescent="0.25">
      <c r="A597" s="8">
        <v>58</v>
      </c>
      <c r="B597" s="9" t="str">
        <f t="shared" si="200"/>
        <v>РЩ1(ВРУ1-ИНД тип5-00) (S5)</v>
      </c>
      <c r="C597" s="9" t="s">
        <v>54</v>
      </c>
      <c r="D597" s="9" t="s">
        <v>247</v>
      </c>
      <c r="E597" s="10" t="s">
        <v>248</v>
      </c>
      <c r="F597" s="11">
        <v>2429</v>
      </c>
      <c r="G597" s="11">
        <f>IF(F597="","",ROUND(F597*VLOOKUP(K597,Kurallar!$D$3:$E$14,2,0),2))</f>
        <v>1457.4</v>
      </c>
      <c r="H597" s="11">
        <f t="shared" si="203"/>
        <v>7287</v>
      </c>
      <c r="I597" s="8">
        <v>5</v>
      </c>
      <c r="J597" s="8" t="s">
        <v>23</v>
      </c>
      <c r="K597" s="8" t="s">
        <v>29</v>
      </c>
      <c r="L597" s="11">
        <f t="shared" si="204"/>
        <v>7287</v>
      </c>
      <c r="M597" s="9" t="s">
        <v>54</v>
      </c>
      <c r="N597" s="8" t="s">
        <v>113</v>
      </c>
      <c r="O597" s="8">
        <f>IFERROR(VLOOKUP(N597,Kurallar!$G$3:$H$22,2,0),0)</f>
        <v>10</v>
      </c>
    </row>
    <row r="598" spans="1:15" hidden="1" x14ac:dyDescent="0.25">
      <c r="A598" s="8">
        <v>58</v>
      </c>
      <c r="B598" s="9" t="str">
        <f t="shared" si="200"/>
        <v>РЩ1(ВРУ1-ИНД тип5-00) (S5)</v>
      </c>
      <c r="C598" s="9" t="s">
        <v>26</v>
      </c>
      <c r="D598" s="9" t="s">
        <v>376</v>
      </c>
      <c r="E598" s="10" t="s">
        <v>377</v>
      </c>
      <c r="F598" s="11">
        <v>3372</v>
      </c>
      <c r="G598" s="11">
        <f>IF(F598="","",ROUND(F598*VLOOKUP(K598,Kurallar!$D$3:$E$14,2,0),2))</f>
        <v>2023.2</v>
      </c>
      <c r="H598" s="11">
        <f t="shared" si="203"/>
        <v>2023.2</v>
      </c>
      <c r="I598" s="8">
        <v>1</v>
      </c>
      <c r="J598" s="8" t="s">
        <v>23</v>
      </c>
      <c r="K598" s="8" t="s">
        <v>29</v>
      </c>
      <c r="L598" s="11">
        <f t="shared" si="204"/>
        <v>2023.2</v>
      </c>
      <c r="M598" s="9" t="s">
        <v>26</v>
      </c>
      <c r="N598" s="8" t="s">
        <v>42</v>
      </c>
      <c r="O598" s="8">
        <f>IFERROR(VLOOKUP(N598,Kurallar!$G$3:$H$22,2,0),0)</f>
        <v>15</v>
      </c>
    </row>
    <row r="599" spans="1:15" hidden="1" x14ac:dyDescent="0.25">
      <c r="A599" s="8">
        <v>58</v>
      </c>
      <c r="B599" s="9" t="str">
        <f t="shared" si="200"/>
        <v>РЩ1(ВРУ1-ИНД тип5-00) (S5)</v>
      </c>
      <c r="C599" s="9" t="s">
        <v>54</v>
      </c>
      <c r="D599" s="9" t="s">
        <v>222</v>
      </c>
      <c r="E599" s="10" t="s">
        <v>223</v>
      </c>
      <c r="F599" s="11">
        <v>2606</v>
      </c>
      <c r="G599" s="11">
        <f>IF(F599="","",ROUND(F599*VLOOKUP(K599,Kurallar!$D$3:$E$14,2,0),2))</f>
        <v>1563.6</v>
      </c>
      <c r="H599" s="11">
        <f t="shared" si="203"/>
        <v>1563.6</v>
      </c>
      <c r="I599" s="8">
        <v>1</v>
      </c>
      <c r="J599" s="8" t="s">
        <v>23</v>
      </c>
      <c r="K599" s="8" t="s">
        <v>29</v>
      </c>
      <c r="L599" s="11">
        <f t="shared" si="204"/>
        <v>1563.6</v>
      </c>
      <c r="M599" s="9" t="s">
        <v>54</v>
      </c>
      <c r="N599" s="8" t="s">
        <v>113</v>
      </c>
      <c r="O599" s="8">
        <f>IFERROR(VLOOKUP(N599,Kurallar!$G$3:$H$22,2,0),0)</f>
        <v>10</v>
      </c>
    </row>
    <row r="600" spans="1:15" hidden="1" x14ac:dyDescent="0.25">
      <c r="A600" s="8">
        <v>58</v>
      </c>
      <c r="B600" s="9" t="str">
        <f t="shared" si="200"/>
        <v>РЩ1(ВРУ1-ИНД тип5-00) (S5)</v>
      </c>
      <c r="C600" s="9" t="s">
        <v>54</v>
      </c>
      <c r="D600" s="9" t="s">
        <v>318</v>
      </c>
      <c r="E600" s="10" t="s">
        <v>319</v>
      </c>
      <c r="F600" s="11">
        <v>2499</v>
      </c>
      <c r="G600" s="11">
        <f>IF(F600="","",ROUND(F600*VLOOKUP(K600,Kurallar!$D$3:$E$14,2,0),2))</f>
        <v>1499.4</v>
      </c>
      <c r="H600" s="11">
        <f t="shared" si="203"/>
        <v>4498.2000000000007</v>
      </c>
      <c r="I600" s="8">
        <v>3</v>
      </c>
      <c r="J600" s="8" t="s">
        <v>23</v>
      </c>
      <c r="K600" s="8" t="s">
        <v>29</v>
      </c>
      <c r="L600" s="11">
        <f t="shared" si="204"/>
        <v>4498.2000000000007</v>
      </c>
      <c r="M600" s="9" t="s">
        <v>54</v>
      </c>
      <c r="N600" s="8" t="s">
        <v>113</v>
      </c>
      <c r="O600" s="8">
        <f>IFERROR(VLOOKUP(N600,Kurallar!$G$3:$H$22,2,0),0)</f>
        <v>10</v>
      </c>
    </row>
    <row r="601" spans="1:15" hidden="1" x14ac:dyDescent="0.25">
      <c r="A601" s="8">
        <v>58</v>
      </c>
      <c r="B601" s="9" t="str">
        <f t="shared" si="200"/>
        <v>РЩ1(ВРУ1-ИНД тип5-00) (S5)</v>
      </c>
      <c r="C601" s="9" t="s">
        <v>82</v>
      </c>
      <c r="D601" s="9" t="s">
        <v>251</v>
      </c>
      <c r="E601" s="10" t="s">
        <v>252</v>
      </c>
      <c r="F601" s="11">
        <v>0</v>
      </c>
      <c r="G601" s="11">
        <f>F601</f>
        <v>0</v>
      </c>
      <c r="H601" s="11">
        <f t="shared" si="203"/>
        <v>0</v>
      </c>
      <c r="I601" s="8">
        <v>1</v>
      </c>
      <c r="J601" s="8" t="s">
        <v>23</v>
      </c>
      <c r="K601" s="8" t="s">
        <v>751</v>
      </c>
      <c r="L601" s="11">
        <f t="shared" si="204"/>
        <v>0</v>
      </c>
      <c r="M601" s="9" t="s">
        <v>82</v>
      </c>
      <c r="N601" s="8" t="s">
        <v>85</v>
      </c>
      <c r="O601" s="8">
        <f>IFERROR(VLOOKUP(N601,Kurallar!$G$3:$H$22,2,0),0)</f>
        <v>25</v>
      </c>
    </row>
    <row r="602" spans="1:15" hidden="1" x14ac:dyDescent="0.25">
      <c r="A602" s="8">
        <v>58</v>
      </c>
      <c r="B602" s="9" t="str">
        <f t="shared" si="200"/>
        <v>РЩ1(ВРУ1-ИНД тип5-00) (S5)</v>
      </c>
      <c r="C602" s="9" t="s">
        <v>31</v>
      </c>
      <c r="E602" s="9" t="s">
        <v>32</v>
      </c>
      <c r="F602" s="11"/>
      <c r="G602" s="11">
        <f>ROUND(SUM(H592:H601)*Kurallar!$B$2,2)</f>
        <v>20036.23</v>
      </c>
      <c r="H602" s="11">
        <f>G602*I602</f>
        <v>20036.23</v>
      </c>
      <c r="I602" s="8">
        <v>1</v>
      </c>
      <c r="J602" s="8" t="s">
        <v>19</v>
      </c>
      <c r="K602" s="8" t="s">
        <v>33</v>
      </c>
      <c r="L602" s="11">
        <f>H602*$I$591</f>
        <v>20036.23</v>
      </c>
      <c r="M602" s="9" t="s">
        <v>31</v>
      </c>
    </row>
    <row r="603" spans="1:15" hidden="1" x14ac:dyDescent="0.25">
      <c r="A603" s="8">
        <v>58</v>
      </c>
      <c r="B603" s="9" t="str">
        <f t="shared" si="200"/>
        <v>РЩ1(ВРУ1-ИНД тип5-00) (S5)</v>
      </c>
      <c r="C603" s="9" t="s">
        <v>34</v>
      </c>
      <c r="E603" s="9" t="s">
        <v>35</v>
      </c>
      <c r="F603" s="11">
        <f>ROUND(I603/60,1)</f>
        <v>7.6</v>
      </c>
      <c r="G603" s="11">
        <f>Kurallar!$B$3</f>
        <v>100</v>
      </c>
      <c r="H603" s="11">
        <f>G603*I603</f>
        <v>45400</v>
      </c>
      <c r="I603" s="8">
        <f>ROUND(SUMPRODUCT(I592:I601,O592:O601)*Kurallar!$B$4,0)</f>
        <v>454</v>
      </c>
      <c r="J603" s="8" t="s">
        <v>36</v>
      </c>
      <c r="K603" s="8" t="s">
        <v>33</v>
      </c>
      <c r="L603" s="11">
        <f>H603*$I$591</f>
        <v>45400</v>
      </c>
      <c r="M603" s="9" t="s">
        <v>34</v>
      </c>
    </row>
    <row r="604" spans="1:15" hidden="1" x14ac:dyDescent="0.25">
      <c r="A604" s="12"/>
      <c r="B604" s="13" t="s">
        <v>420</v>
      </c>
      <c r="C604" s="12"/>
      <c r="D604" s="12"/>
      <c r="E604" s="13" t="s">
        <v>421</v>
      </c>
      <c r="F604" s="12"/>
      <c r="G604" s="12"/>
      <c r="H604" s="14">
        <f>SUBTOTAL(9,H592:H603)</f>
        <v>0</v>
      </c>
      <c r="I604" s="15">
        <v>1</v>
      </c>
      <c r="J604" s="15" t="s">
        <v>19</v>
      </c>
      <c r="K604" s="12"/>
      <c r="L604" s="14">
        <f>SUBTOTAL(9,L592:L603)</f>
        <v>0</v>
      </c>
      <c r="M604" s="12"/>
      <c r="N604" s="12"/>
      <c r="O604" s="12"/>
    </row>
    <row r="605" spans="1:15" x14ac:dyDescent="0.25">
      <c r="A605" s="4">
        <v>59</v>
      </c>
      <c r="B605" s="5" t="s">
        <v>422</v>
      </c>
      <c r="C605" s="6" t="s">
        <v>18</v>
      </c>
      <c r="D605" s="6"/>
      <c r="E605" s="7" t="s">
        <v>422</v>
      </c>
      <c r="F605" s="6"/>
      <c r="G605" s="6"/>
      <c r="H605" s="6"/>
      <c r="I605" s="4">
        <v>1</v>
      </c>
      <c r="J605" s="4" t="s">
        <v>19</v>
      </c>
      <c r="K605" s="6"/>
      <c r="L605" s="6"/>
      <c r="M605" s="6"/>
      <c r="N605" s="6"/>
      <c r="O605" s="6"/>
    </row>
    <row r="606" spans="1:15" x14ac:dyDescent="0.25">
      <c r="A606" s="8">
        <v>59</v>
      </c>
      <c r="B606" s="9" t="str">
        <f t="shared" ref="B606:B619" si="205">B605</f>
        <v>ЩАВР (S5)</v>
      </c>
      <c r="C606" s="9" t="s">
        <v>20</v>
      </c>
      <c r="D606" s="9" t="s">
        <v>227</v>
      </c>
      <c r="E606" s="10" t="s">
        <v>228</v>
      </c>
      <c r="F606" s="11">
        <v>125305</v>
      </c>
      <c r="G606" s="11">
        <f>IF(F606="","",ROUND(F606*VLOOKUP(K606,Kurallar!$D$3:$E$14,2,0),2))</f>
        <v>75183</v>
      </c>
      <c r="H606" s="11">
        <f t="shared" ref="H606" si="206">IF(G606="","",G606*I606)</f>
        <v>75183</v>
      </c>
      <c r="I606" s="8">
        <v>1</v>
      </c>
      <c r="J606" s="8" t="s">
        <v>23</v>
      </c>
      <c r="K606" s="8" t="s">
        <v>24</v>
      </c>
      <c r="L606" s="11">
        <f t="shared" ref="L606" si="207">IF(H606="","",H606*$I$181)</f>
        <v>75183</v>
      </c>
      <c r="M606" s="9" t="s">
        <v>20</v>
      </c>
      <c r="N606" s="8" t="s">
        <v>209</v>
      </c>
      <c r="O606" s="8">
        <f>IFERROR(VLOOKUP(N606,Kurallar!$G$3:$H$22,2,0),0)</f>
        <v>90</v>
      </c>
    </row>
    <row r="607" spans="1:15" x14ac:dyDescent="0.25">
      <c r="A607" s="8">
        <v>59</v>
      </c>
      <c r="B607" s="9" t="str">
        <f t="shared" si="205"/>
        <v>ЩАВР (S5)</v>
      </c>
      <c r="C607" s="9" t="s">
        <v>145</v>
      </c>
      <c r="D607" s="9" t="s">
        <v>295</v>
      </c>
      <c r="E607" s="10" t="s">
        <v>296</v>
      </c>
      <c r="F607" s="11">
        <v>19418</v>
      </c>
      <c r="G607" s="11">
        <f>IF(F607="","",ROUND(F607*VLOOKUP(K607,Kurallar!$D$3:$E$14,2,0),2))</f>
        <v>11650.8</v>
      </c>
      <c r="H607" s="11">
        <f t="shared" ref="H607:H617" si="208">IF(G607="","",G607*I607)</f>
        <v>11650.8</v>
      </c>
      <c r="I607" s="8">
        <v>1</v>
      </c>
      <c r="J607" s="8" t="s">
        <v>23</v>
      </c>
      <c r="K607" s="8" t="s">
        <v>29</v>
      </c>
      <c r="L607" s="11">
        <f t="shared" ref="L607:L617" si="209">IF(H607="","",H607*$I$605)</f>
        <v>11650.8</v>
      </c>
      <c r="M607" s="9" t="s">
        <v>145</v>
      </c>
      <c r="N607" s="8" t="s">
        <v>148</v>
      </c>
      <c r="O607" s="8">
        <f>IFERROR(VLOOKUP(N607,Kurallar!$G$3:$H$22,2,0),0)</f>
        <v>35</v>
      </c>
    </row>
    <row r="608" spans="1:15" x14ac:dyDescent="0.25">
      <c r="A608" s="8">
        <v>59</v>
      </c>
      <c r="B608" s="9" t="str">
        <f t="shared" si="205"/>
        <v>ЩАВР (S5)</v>
      </c>
      <c r="C608" s="9" t="s">
        <v>54</v>
      </c>
      <c r="D608" s="9" t="s">
        <v>258</v>
      </c>
      <c r="E608" s="10" t="s">
        <v>259</v>
      </c>
      <c r="F608" s="11">
        <v>3641</v>
      </c>
      <c r="G608" s="11">
        <f>IF(F608="","",ROUND(F608*VLOOKUP(K608,Kurallar!$D$3:$E$14,2,0),2))</f>
        <v>2184.6</v>
      </c>
      <c r="H608" s="11">
        <f t="shared" si="208"/>
        <v>4369.2</v>
      </c>
      <c r="I608" s="8">
        <v>2</v>
      </c>
      <c r="J608" s="8" t="s">
        <v>23</v>
      </c>
      <c r="K608" s="8" t="s">
        <v>29</v>
      </c>
      <c r="L608" s="11">
        <f t="shared" si="209"/>
        <v>4369.2</v>
      </c>
      <c r="M608" s="9" t="s">
        <v>54</v>
      </c>
      <c r="N608" s="8" t="s">
        <v>113</v>
      </c>
      <c r="O608" s="8">
        <f>IFERROR(VLOOKUP(N608,Kurallar!$G$3:$H$22,2,0),0)</f>
        <v>10</v>
      </c>
    </row>
    <row r="609" spans="1:15" x14ac:dyDescent="0.25">
      <c r="A609" s="8">
        <v>59</v>
      </c>
      <c r="B609" s="9" t="str">
        <f t="shared" si="205"/>
        <v>ЩАВР (S5)</v>
      </c>
      <c r="C609" s="9" t="s">
        <v>54</v>
      </c>
      <c r="D609" s="9" t="s">
        <v>247</v>
      </c>
      <c r="E609" s="10" t="s">
        <v>248</v>
      </c>
      <c r="F609" s="11">
        <v>2429</v>
      </c>
      <c r="G609" s="11">
        <f>IF(F609="","",ROUND(F609*VLOOKUP(K609,Kurallar!$D$3:$E$14,2,0),2))</f>
        <v>1457.4</v>
      </c>
      <c r="H609" s="11">
        <f t="shared" si="208"/>
        <v>5829.6</v>
      </c>
      <c r="I609" s="8">
        <v>4</v>
      </c>
      <c r="J609" s="8" t="s">
        <v>23</v>
      </c>
      <c r="K609" s="8" t="s">
        <v>29</v>
      </c>
      <c r="L609" s="11">
        <f t="shared" si="209"/>
        <v>5829.6</v>
      </c>
      <c r="M609" s="9" t="s">
        <v>54</v>
      </c>
      <c r="N609" s="8" t="s">
        <v>113</v>
      </c>
      <c r="O609" s="8">
        <f>IFERROR(VLOOKUP(N609,Kurallar!$G$3:$H$22,2,0),0)</f>
        <v>10</v>
      </c>
    </row>
    <row r="610" spans="1:15" x14ac:dyDescent="0.25">
      <c r="A610" s="8">
        <v>59</v>
      </c>
      <c r="B610" s="9" t="str">
        <f t="shared" si="205"/>
        <v>ЩАВР (S5)</v>
      </c>
      <c r="C610" s="9" t="s">
        <v>54</v>
      </c>
      <c r="D610" s="9" t="s">
        <v>318</v>
      </c>
      <c r="E610" s="10" t="s">
        <v>319</v>
      </c>
      <c r="F610" s="11">
        <v>2499</v>
      </c>
      <c r="G610" s="11">
        <f>IF(F610="","",ROUND(F610*VLOOKUP(K610,Kurallar!$D$3:$E$14,2,0),2))</f>
        <v>1499.4</v>
      </c>
      <c r="H610" s="11">
        <f t="shared" si="208"/>
        <v>1499.4</v>
      </c>
      <c r="I610" s="8">
        <v>1</v>
      </c>
      <c r="J610" s="8" t="s">
        <v>23</v>
      </c>
      <c r="K610" s="8" t="s">
        <v>29</v>
      </c>
      <c r="L610" s="11">
        <f t="shared" si="209"/>
        <v>1499.4</v>
      </c>
      <c r="M610" s="9" t="s">
        <v>54</v>
      </c>
      <c r="N610" s="8" t="s">
        <v>113</v>
      </c>
      <c r="O610" s="8">
        <f>IFERROR(VLOOKUP(N610,Kurallar!$G$3:$H$22,2,0),0)</f>
        <v>10</v>
      </c>
    </row>
    <row r="611" spans="1:15" x14ac:dyDescent="0.25">
      <c r="A611" s="8">
        <v>59</v>
      </c>
      <c r="B611" s="9" t="str">
        <f t="shared" si="205"/>
        <v>ЩАВР (S5)</v>
      </c>
      <c r="C611" s="9" t="s">
        <v>26</v>
      </c>
      <c r="D611" s="9" t="s">
        <v>265</v>
      </c>
      <c r="E611" s="10" t="s">
        <v>266</v>
      </c>
      <c r="F611" s="11">
        <v>4334</v>
      </c>
      <c r="G611" s="11">
        <f>IF(F611="","",ROUND(F611*VLOOKUP(K611,Kurallar!$D$3:$E$14,2,0),2))</f>
        <v>2600.4</v>
      </c>
      <c r="H611" s="11">
        <f t="shared" si="208"/>
        <v>2600.4</v>
      </c>
      <c r="I611" s="8">
        <v>1</v>
      </c>
      <c r="J611" s="8" t="s">
        <v>23</v>
      </c>
      <c r="K611" s="8" t="s">
        <v>29</v>
      </c>
      <c r="L611" s="11">
        <f t="shared" si="209"/>
        <v>2600.4</v>
      </c>
      <c r="M611" s="9" t="s">
        <v>26</v>
      </c>
      <c r="N611" s="8" t="s">
        <v>30</v>
      </c>
      <c r="O611" s="8">
        <f>IFERROR(VLOOKUP(N611,Kurallar!$G$3:$H$22,2,0),0)</f>
        <v>30</v>
      </c>
    </row>
    <row r="612" spans="1:15" x14ac:dyDescent="0.25">
      <c r="A612" s="8">
        <v>59</v>
      </c>
      <c r="B612" s="9" t="str">
        <f t="shared" si="205"/>
        <v>ЩАВР (S5)</v>
      </c>
      <c r="C612" s="9" t="s">
        <v>26</v>
      </c>
      <c r="D612" s="9" t="s">
        <v>27</v>
      </c>
      <c r="E612" s="10" t="s">
        <v>28</v>
      </c>
      <c r="F612" s="11">
        <v>4439</v>
      </c>
      <c r="G612" s="11">
        <f>IF(F612="","",ROUND(F612*VLOOKUP(K612,Kurallar!$D$3:$E$14,2,0),2))</f>
        <v>2663.4</v>
      </c>
      <c r="H612" s="11">
        <f t="shared" si="208"/>
        <v>2663.4</v>
      </c>
      <c r="I612" s="8">
        <v>1</v>
      </c>
      <c r="J612" s="8" t="s">
        <v>23</v>
      </c>
      <c r="K612" s="8" t="s">
        <v>29</v>
      </c>
      <c r="L612" s="11">
        <f t="shared" si="209"/>
        <v>2663.4</v>
      </c>
      <c r="M612" s="9" t="s">
        <v>26</v>
      </c>
      <c r="N612" s="8" t="s">
        <v>30</v>
      </c>
      <c r="O612" s="8">
        <f>IFERROR(VLOOKUP(N612,Kurallar!$G$3:$H$22,2,0),0)</f>
        <v>30</v>
      </c>
    </row>
    <row r="613" spans="1:15" x14ac:dyDescent="0.25">
      <c r="A613" s="8">
        <v>59</v>
      </c>
      <c r="B613" s="9" t="str">
        <f t="shared" si="205"/>
        <v>ЩАВР (S5)</v>
      </c>
      <c r="C613" s="9" t="s">
        <v>26</v>
      </c>
      <c r="D613" s="9" t="s">
        <v>40</v>
      </c>
      <c r="E613" s="10" t="s">
        <v>41</v>
      </c>
      <c r="F613" s="11">
        <v>4217</v>
      </c>
      <c r="G613" s="11">
        <f>IF(F613="","",ROUND(F613*VLOOKUP(K613,Kurallar!$D$3:$E$14,2,0),2))</f>
        <v>2530.1999999999998</v>
      </c>
      <c r="H613" s="11">
        <f t="shared" si="208"/>
        <v>2530.1999999999998</v>
      </c>
      <c r="I613" s="8">
        <v>1</v>
      </c>
      <c r="J613" s="8" t="s">
        <v>23</v>
      </c>
      <c r="K613" s="8" t="s">
        <v>29</v>
      </c>
      <c r="L613" s="11">
        <f t="shared" si="209"/>
        <v>2530.1999999999998</v>
      </c>
      <c r="M613" s="9" t="s">
        <v>26</v>
      </c>
      <c r="N613" s="8" t="s">
        <v>42</v>
      </c>
      <c r="O613" s="8">
        <f>IFERROR(VLOOKUP(N613,Kurallar!$G$3:$H$22,2,0),0)</f>
        <v>15</v>
      </c>
    </row>
    <row r="614" spans="1:15" x14ac:dyDescent="0.25">
      <c r="A614" s="8">
        <v>59</v>
      </c>
      <c r="B614" s="9" t="str">
        <f t="shared" si="205"/>
        <v>ЩАВР (S5)</v>
      </c>
      <c r="C614" s="9" t="s">
        <v>26</v>
      </c>
      <c r="D614" s="9" t="s">
        <v>80</v>
      </c>
      <c r="E614" s="10" t="s">
        <v>81</v>
      </c>
      <c r="F614" s="11">
        <v>3372</v>
      </c>
      <c r="G614" s="11">
        <f>IF(F614="","",ROUND(F614*VLOOKUP(K614,Kurallar!$D$3:$E$14,2,0),2))</f>
        <v>2023.2</v>
      </c>
      <c r="H614" s="11">
        <f t="shared" si="208"/>
        <v>4046.4</v>
      </c>
      <c r="I614" s="8">
        <v>2</v>
      </c>
      <c r="J614" s="8" t="s">
        <v>23</v>
      </c>
      <c r="K614" s="8" t="s">
        <v>29</v>
      </c>
      <c r="L614" s="11">
        <f t="shared" si="209"/>
        <v>4046.4</v>
      </c>
      <c r="M614" s="9" t="s">
        <v>26</v>
      </c>
      <c r="N614" s="8" t="s">
        <v>42</v>
      </c>
      <c r="O614" s="8">
        <f>IFERROR(VLOOKUP(N614,Kurallar!$G$3:$H$22,2,0),0)</f>
        <v>15</v>
      </c>
    </row>
    <row r="615" spans="1:15" x14ac:dyDescent="0.25">
      <c r="A615" s="8">
        <v>59</v>
      </c>
      <c r="B615" s="9" t="str">
        <f t="shared" si="205"/>
        <v>ЩАВР (S5)</v>
      </c>
      <c r="C615" s="9" t="s">
        <v>54</v>
      </c>
      <c r="D615" s="9" t="s">
        <v>183</v>
      </c>
      <c r="E615" s="10" t="s">
        <v>184</v>
      </c>
      <c r="F615" s="11">
        <v>3985</v>
      </c>
      <c r="G615" s="11">
        <f>IF(F615="","",ROUND(F615*VLOOKUP(K615,Kurallar!$D$3:$E$14,2,0),2))</f>
        <v>2391</v>
      </c>
      <c r="H615" s="11">
        <f t="shared" si="208"/>
        <v>7173</v>
      </c>
      <c r="I615" s="8">
        <v>3</v>
      </c>
      <c r="J615" s="8" t="s">
        <v>23</v>
      </c>
      <c r="K615" s="8" t="s">
        <v>29</v>
      </c>
      <c r="L615" s="11">
        <f t="shared" si="209"/>
        <v>7173</v>
      </c>
      <c r="M615" s="9" t="s">
        <v>54</v>
      </c>
      <c r="N615" s="8" t="s">
        <v>113</v>
      </c>
      <c r="O615" s="8">
        <f>IFERROR(VLOOKUP(N615,Kurallar!$G$3:$H$22,2,0),0)</f>
        <v>10</v>
      </c>
    </row>
    <row r="616" spans="1:15" x14ac:dyDescent="0.25">
      <c r="A616" s="8">
        <v>59</v>
      </c>
      <c r="B616" s="9" t="str">
        <f t="shared" si="205"/>
        <v>ЩАВР (S5)</v>
      </c>
      <c r="C616" s="9" t="s">
        <v>54</v>
      </c>
      <c r="D616" s="9" t="s">
        <v>260</v>
      </c>
      <c r="E616" s="10" t="s">
        <v>261</v>
      </c>
      <c r="F616" s="11">
        <v>3604</v>
      </c>
      <c r="G616" s="11">
        <f>IF(F616="","",ROUND(F616*VLOOKUP(K616,Kurallar!$D$3:$E$14,2,0),2))</f>
        <v>2162.4</v>
      </c>
      <c r="H616" s="11">
        <f t="shared" si="208"/>
        <v>2162.4</v>
      </c>
      <c r="I616" s="8">
        <v>1</v>
      </c>
      <c r="J616" s="8" t="s">
        <v>23</v>
      </c>
      <c r="K616" s="8" t="s">
        <v>29</v>
      </c>
      <c r="L616" s="11">
        <f t="shared" si="209"/>
        <v>2162.4</v>
      </c>
      <c r="M616" s="9" t="s">
        <v>54</v>
      </c>
      <c r="N616" s="8" t="s">
        <v>113</v>
      </c>
      <c r="O616" s="8">
        <f>IFERROR(VLOOKUP(N616,Kurallar!$G$3:$H$22,2,0),0)</f>
        <v>10</v>
      </c>
    </row>
    <row r="617" spans="1:15" x14ac:dyDescent="0.25">
      <c r="A617" s="8">
        <v>59</v>
      </c>
      <c r="B617" s="9" t="str">
        <f t="shared" si="205"/>
        <v>ЩАВР (S5)</v>
      </c>
      <c r="C617" s="9" t="s">
        <v>82</v>
      </c>
      <c r="D617" s="9" t="s">
        <v>251</v>
      </c>
      <c r="E617" s="10" t="s">
        <v>252</v>
      </c>
      <c r="F617" s="11">
        <v>0</v>
      </c>
      <c r="G617" s="11">
        <f>F617</f>
        <v>0</v>
      </c>
      <c r="H617" s="11">
        <f t="shared" si="208"/>
        <v>0</v>
      </c>
      <c r="I617" s="8">
        <v>5</v>
      </c>
      <c r="J617" s="8" t="s">
        <v>23</v>
      </c>
      <c r="K617" s="8" t="s">
        <v>751</v>
      </c>
      <c r="L617" s="11">
        <f t="shared" si="209"/>
        <v>0</v>
      </c>
      <c r="M617" s="9" t="s">
        <v>82</v>
      </c>
      <c r="N617" s="8" t="s">
        <v>85</v>
      </c>
      <c r="O617" s="8">
        <f>IFERROR(VLOOKUP(N617,Kurallar!$G$3:$H$22,2,0),0)</f>
        <v>25</v>
      </c>
    </row>
    <row r="618" spans="1:15" x14ac:dyDescent="0.25">
      <c r="A618" s="8">
        <v>59</v>
      </c>
      <c r="B618" s="9" t="str">
        <f t="shared" si="205"/>
        <v>ЩАВР (S5)</v>
      </c>
      <c r="C618" s="9" t="s">
        <v>31</v>
      </c>
      <c r="E618" s="9" t="s">
        <v>32</v>
      </c>
      <c r="F618" s="11"/>
      <c r="G618" s="11">
        <f>ROUND(SUM(H606:H617)*Kurallar!$B$2,2)</f>
        <v>14364.94</v>
      </c>
      <c r="H618" s="11">
        <f>G618*I618</f>
        <v>14364.94</v>
      </c>
      <c r="I618" s="8">
        <v>1</v>
      </c>
      <c r="J618" s="8" t="s">
        <v>19</v>
      </c>
      <c r="K618" s="8" t="s">
        <v>33</v>
      </c>
      <c r="L618" s="11">
        <f>H618*$I$605</f>
        <v>14364.94</v>
      </c>
      <c r="M618" s="9" t="s">
        <v>31</v>
      </c>
    </row>
    <row r="619" spans="1:15" x14ac:dyDescent="0.25">
      <c r="A619" s="8">
        <v>59</v>
      </c>
      <c r="B619" s="9" t="str">
        <f t="shared" si="205"/>
        <v>ЩАВР (S5)</v>
      </c>
      <c r="C619" s="9" t="s">
        <v>34</v>
      </c>
      <c r="E619" s="9" t="s">
        <v>35</v>
      </c>
      <c r="F619" s="11">
        <f>ROUND(I619/60,1)</f>
        <v>8.9</v>
      </c>
      <c r="G619" s="11">
        <f>Kurallar!$B$3</f>
        <v>100</v>
      </c>
      <c r="H619" s="11">
        <f>G619*I619</f>
        <v>53500</v>
      </c>
      <c r="I619" s="8">
        <f>ROUND(SUMPRODUCT(I606:I617,O606:O617)*Kurallar!$B$4,0)</f>
        <v>535</v>
      </c>
      <c r="J619" s="8" t="s">
        <v>36</v>
      </c>
      <c r="K619" s="8" t="s">
        <v>33</v>
      </c>
      <c r="L619" s="11">
        <f>H619*$I$605</f>
        <v>53500</v>
      </c>
      <c r="M619" s="9" t="s">
        <v>34</v>
      </c>
    </row>
    <row r="620" spans="1:15" x14ac:dyDescent="0.25">
      <c r="A620" s="12"/>
      <c r="B620" s="13" t="s">
        <v>423</v>
      </c>
      <c r="C620" s="12"/>
      <c r="D620" s="12"/>
      <c r="E620" s="13" t="s">
        <v>424</v>
      </c>
      <c r="F620" s="12"/>
      <c r="G620" s="12"/>
      <c r="H620" s="14">
        <f>SUBTOTAL(9,H606:H619)</f>
        <v>187572.73999999996</v>
      </c>
      <c r="I620" s="15">
        <v>1</v>
      </c>
      <c r="J620" s="15" t="s">
        <v>19</v>
      </c>
      <c r="K620" s="12"/>
      <c r="L620" s="14">
        <f>SUBTOTAL(9,L606:L619)</f>
        <v>187572.73999999996</v>
      </c>
      <c r="M620" s="12"/>
      <c r="N620" s="12"/>
      <c r="O620" s="12"/>
    </row>
    <row r="621" spans="1:15" hidden="1" x14ac:dyDescent="0.25">
      <c r="A621" s="4">
        <v>60</v>
      </c>
      <c r="B621" s="5" t="s">
        <v>425</v>
      </c>
      <c r="C621" s="6" t="s">
        <v>18</v>
      </c>
      <c r="D621" s="6"/>
      <c r="E621" s="7" t="s">
        <v>425</v>
      </c>
      <c r="F621" s="6"/>
      <c r="G621" s="6"/>
      <c r="H621" s="6"/>
      <c r="I621" s="4">
        <v>3</v>
      </c>
      <c r="J621" s="4" t="s">
        <v>19</v>
      </c>
      <c r="K621" s="6"/>
      <c r="L621" s="6"/>
      <c r="M621" s="6"/>
      <c r="N621" s="6"/>
      <c r="O621" s="6"/>
    </row>
    <row r="622" spans="1:15" hidden="1" x14ac:dyDescent="0.25">
      <c r="A622" s="8">
        <v>60</v>
      </c>
      <c r="B622" s="9" t="str">
        <f t="shared" ref="B622:B627" si="210">B621</f>
        <v>ЯРВ_S5 (ЯРВ-63) (S5)</v>
      </c>
      <c r="C622" s="9" t="s">
        <v>20</v>
      </c>
      <c r="D622" s="9" t="s">
        <v>109</v>
      </c>
      <c r="E622" s="10" t="s">
        <v>110</v>
      </c>
      <c r="F622" s="11">
        <v>10305</v>
      </c>
      <c r="G622" s="11">
        <f>IF(F622="","",ROUND(F622*VLOOKUP(K622,Kurallar!$D$3:$E$14,2,0),2))</f>
        <v>6183</v>
      </c>
      <c r="H622" s="11">
        <f t="shared" ref="H622" si="211">IF(G622="","",G622*I622)</f>
        <v>6183</v>
      </c>
      <c r="I622" s="8">
        <v>1</v>
      </c>
      <c r="J622" s="8" t="s">
        <v>23</v>
      </c>
      <c r="K622" s="8" t="s">
        <v>24</v>
      </c>
      <c r="L622" s="11">
        <f t="shared" ref="L622" si="212">IF(H622="","",H622*$I$181)</f>
        <v>6183</v>
      </c>
      <c r="M622" s="9" t="s">
        <v>20</v>
      </c>
      <c r="N622" s="8" t="s">
        <v>25</v>
      </c>
      <c r="O622" s="8">
        <f>IFERROR(VLOOKUP(N622,Kurallar!$G$3:$H$22,2,0),0)</f>
        <v>8</v>
      </c>
    </row>
    <row r="623" spans="1:15" hidden="1" x14ac:dyDescent="0.25">
      <c r="A623" s="8">
        <v>60</v>
      </c>
      <c r="B623" s="9" t="str">
        <f t="shared" si="210"/>
        <v>ЯРВ_S5 (ЯРВ-63) (S5)</v>
      </c>
      <c r="C623" s="9" t="s">
        <v>26</v>
      </c>
      <c r="D623" s="9" t="s">
        <v>265</v>
      </c>
      <c r="E623" s="10" t="s">
        <v>266</v>
      </c>
      <c r="F623" s="11">
        <v>4334</v>
      </c>
      <c r="G623" s="11">
        <f>IF(F623="","",ROUND(F623*VLOOKUP(K623,Kurallar!$D$3:$E$14,2,0),2))</f>
        <v>2600.4</v>
      </c>
      <c r="H623" s="11">
        <f>IF(G623="","",G623*I623)</f>
        <v>2600.4</v>
      </c>
      <c r="I623" s="8">
        <v>1</v>
      </c>
      <c r="J623" s="8" t="s">
        <v>23</v>
      </c>
      <c r="K623" s="8" t="s">
        <v>29</v>
      </c>
      <c r="L623" s="11">
        <f>IF(H623="","",H623*$I$621)</f>
        <v>7801.2000000000007</v>
      </c>
      <c r="M623" s="9" t="s">
        <v>26</v>
      </c>
      <c r="N623" s="8" t="s">
        <v>30</v>
      </c>
      <c r="O623" s="8">
        <f>IFERROR(VLOOKUP(N623,Kurallar!$G$3:$H$22,2,0),0)</f>
        <v>30</v>
      </c>
    </row>
    <row r="624" spans="1:15" hidden="1" x14ac:dyDescent="0.25">
      <c r="A624" s="8">
        <v>60</v>
      </c>
      <c r="B624" s="9" t="str">
        <f t="shared" si="210"/>
        <v>ЯРВ_S5 (ЯРВ-63) (S5)</v>
      </c>
      <c r="C624" s="9" t="s">
        <v>86</v>
      </c>
      <c r="D624" s="9" t="s">
        <v>426</v>
      </c>
      <c r="E624" s="10" t="s">
        <v>427</v>
      </c>
      <c r="F624" s="11">
        <v>1525</v>
      </c>
      <c r="G624" s="11">
        <f>IF(F624="","",ROUND(F624*VLOOKUP(K624,Kurallar!$D$3:$E$14,2,0),2))</f>
        <v>915</v>
      </c>
      <c r="H624" s="11">
        <f>IF(G624="","",G624*I624)</f>
        <v>2745</v>
      </c>
      <c r="I624" s="8">
        <v>3</v>
      </c>
      <c r="J624" s="8" t="s">
        <v>23</v>
      </c>
      <c r="K624" s="8" t="s">
        <v>29</v>
      </c>
      <c r="L624" s="11">
        <f>IF(H624="","",H624*$I$621)</f>
        <v>8235</v>
      </c>
      <c r="M624" s="9" t="s">
        <v>86</v>
      </c>
      <c r="N624" s="8" t="s">
        <v>89</v>
      </c>
      <c r="O624" s="8">
        <f>IFERROR(VLOOKUP(N624,Kurallar!$G$3:$H$22,2,0),0)</f>
        <v>5</v>
      </c>
    </row>
    <row r="625" spans="1:15" hidden="1" x14ac:dyDescent="0.25">
      <c r="A625" s="8">
        <v>60</v>
      </c>
      <c r="B625" s="9" t="str">
        <f t="shared" si="210"/>
        <v>ЯРВ_S5 (ЯРВ-63) (S5)</v>
      </c>
      <c r="C625" s="9" t="s">
        <v>86</v>
      </c>
      <c r="D625" s="9" t="s">
        <v>269</v>
      </c>
      <c r="E625" s="10" t="s">
        <v>270</v>
      </c>
      <c r="F625" s="11">
        <v>2038</v>
      </c>
      <c r="G625" s="11">
        <f>IF(F625="","",ROUND(F625*VLOOKUP(K625,Kurallar!$D$3:$E$14,2,0),2))</f>
        <v>1222.8</v>
      </c>
      <c r="H625" s="11">
        <f>IF(G625="","",G625*I625)</f>
        <v>3668.3999999999996</v>
      </c>
      <c r="I625" s="8">
        <v>3</v>
      </c>
      <c r="J625" s="8" t="s">
        <v>23</v>
      </c>
      <c r="K625" s="8" t="s">
        <v>29</v>
      </c>
      <c r="L625" s="11">
        <f>IF(H625="","",H625*$I$621)</f>
        <v>11005.199999999999</v>
      </c>
      <c r="M625" s="9" t="s">
        <v>86</v>
      </c>
      <c r="N625" s="8" t="s">
        <v>89</v>
      </c>
      <c r="O625" s="8">
        <f>IFERROR(VLOOKUP(N625,Kurallar!$G$3:$H$22,2,0),0)</f>
        <v>5</v>
      </c>
    </row>
    <row r="626" spans="1:15" hidden="1" x14ac:dyDescent="0.25">
      <c r="A626" s="8">
        <v>60</v>
      </c>
      <c r="B626" s="9" t="str">
        <f t="shared" si="210"/>
        <v>ЯРВ_S5 (ЯРВ-63) (S5)</v>
      </c>
      <c r="C626" s="9" t="s">
        <v>31</v>
      </c>
      <c r="E626" s="9" t="s">
        <v>32</v>
      </c>
      <c r="F626" s="11"/>
      <c r="G626" s="11">
        <f>ROUND(SUM(H622:H625)*Kurallar!$B$2,2)</f>
        <v>1823.62</v>
      </c>
      <c r="H626" s="11">
        <f>G626*I626</f>
        <v>1823.62</v>
      </c>
      <c r="I626" s="8">
        <v>1</v>
      </c>
      <c r="J626" s="8" t="s">
        <v>19</v>
      </c>
      <c r="K626" s="8" t="s">
        <v>33</v>
      </c>
      <c r="L626" s="11">
        <f>H626*$I$621</f>
        <v>5470.86</v>
      </c>
      <c r="M626" s="9" t="s">
        <v>31</v>
      </c>
    </row>
    <row r="627" spans="1:15" hidden="1" x14ac:dyDescent="0.25">
      <c r="A627" s="8">
        <v>60</v>
      </c>
      <c r="B627" s="9" t="str">
        <f t="shared" si="210"/>
        <v>ЯРВ_S5 (ЯРВ-63) (S5)</v>
      </c>
      <c r="C627" s="9" t="s">
        <v>34</v>
      </c>
      <c r="E627" s="9" t="s">
        <v>35</v>
      </c>
      <c r="F627" s="11">
        <f>ROUND(I627/60,1)</f>
        <v>1.3</v>
      </c>
      <c r="G627" s="11">
        <f>Kurallar!$B$3</f>
        <v>100</v>
      </c>
      <c r="H627" s="11">
        <f>G627*I627</f>
        <v>7800</v>
      </c>
      <c r="I627" s="8">
        <f>ROUND(SUMPRODUCT(I622:I625,O622:O625)*Kurallar!$B$4,0)</f>
        <v>78</v>
      </c>
      <c r="J627" s="8" t="s">
        <v>36</v>
      </c>
      <c r="K627" s="8" t="s">
        <v>33</v>
      </c>
      <c r="L627" s="11">
        <f>H627*$I$621</f>
        <v>23400</v>
      </c>
      <c r="M627" s="9" t="s">
        <v>34</v>
      </c>
    </row>
    <row r="628" spans="1:15" hidden="1" x14ac:dyDescent="0.25">
      <c r="A628" s="12"/>
      <c r="B628" s="13" t="s">
        <v>428</v>
      </c>
      <c r="C628" s="12"/>
      <c r="D628" s="12"/>
      <c r="E628" s="13" t="s">
        <v>429</v>
      </c>
      <c r="F628" s="12"/>
      <c r="G628" s="12"/>
      <c r="H628" s="14">
        <f>SUBTOTAL(9,H622:H627)</f>
        <v>0</v>
      </c>
      <c r="I628" s="15">
        <v>3</v>
      </c>
      <c r="J628" s="15" t="s">
        <v>19</v>
      </c>
      <c r="K628" s="12"/>
      <c r="L628" s="14">
        <f>SUBTOTAL(9,L622:L627)</f>
        <v>0</v>
      </c>
      <c r="M628" s="12"/>
      <c r="N628" s="12"/>
      <c r="O628" s="12"/>
    </row>
    <row r="629" spans="1:15" hidden="1" x14ac:dyDescent="0.25">
      <c r="A629" s="4">
        <v>61</v>
      </c>
      <c r="B629" s="5" t="s">
        <v>430</v>
      </c>
      <c r="C629" s="6" t="s">
        <v>18</v>
      </c>
      <c r="D629" s="6"/>
      <c r="E629" s="7" t="s">
        <v>430</v>
      </c>
      <c r="F629" s="6"/>
      <c r="G629" s="6"/>
      <c r="H629" s="6"/>
      <c r="I629" s="4">
        <v>1</v>
      </c>
      <c r="J629" s="4" t="s">
        <v>19</v>
      </c>
      <c r="K629" s="6"/>
      <c r="L629" s="6"/>
      <c r="M629" s="6"/>
      <c r="N629" s="6"/>
      <c r="O629" s="6"/>
    </row>
    <row r="630" spans="1:15" hidden="1" x14ac:dyDescent="0.25">
      <c r="A630" s="8">
        <v>61</v>
      </c>
      <c r="B630" s="9" t="str">
        <f t="shared" ref="B630:B635" si="213">B629</f>
        <v>ЯРВ_S5 (ЯРВ-40) (S5)</v>
      </c>
      <c r="C630" s="9" t="s">
        <v>20</v>
      </c>
      <c r="D630" s="9" t="s">
        <v>109</v>
      </c>
      <c r="E630" s="10" t="s">
        <v>110</v>
      </c>
      <c r="F630" s="11">
        <v>10305</v>
      </c>
      <c r="G630" s="11">
        <f>IF(F630="","",ROUND(F630*VLOOKUP(K630,Kurallar!$D$3:$E$14,2,0),2))</f>
        <v>6183</v>
      </c>
      <c r="H630" s="11">
        <f t="shared" ref="H630" si="214">IF(G630="","",G630*I630)</f>
        <v>6183</v>
      </c>
      <c r="I630" s="8">
        <v>1</v>
      </c>
      <c r="J630" s="8" t="s">
        <v>23</v>
      </c>
      <c r="K630" s="8" t="s">
        <v>24</v>
      </c>
      <c r="L630" s="11">
        <f t="shared" ref="L630" si="215">IF(H630="","",H630*$I$181)</f>
        <v>6183</v>
      </c>
      <c r="M630" s="9" t="s">
        <v>20</v>
      </c>
      <c r="N630" s="8" t="s">
        <v>25</v>
      </c>
      <c r="O630" s="8">
        <f>IFERROR(VLOOKUP(N630,Kurallar!$G$3:$H$22,2,0),0)</f>
        <v>8</v>
      </c>
    </row>
    <row r="631" spans="1:15" hidden="1" x14ac:dyDescent="0.25">
      <c r="A631" s="8">
        <v>61</v>
      </c>
      <c r="B631" s="9" t="str">
        <f t="shared" si="213"/>
        <v>ЯРВ_S5 (ЯРВ-40) (S5)</v>
      </c>
      <c r="C631" s="9" t="s">
        <v>26</v>
      </c>
      <c r="D631" s="9" t="s">
        <v>265</v>
      </c>
      <c r="E631" s="10" t="s">
        <v>266</v>
      </c>
      <c r="F631" s="11">
        <v>4334</v>
      </c>
      <c r="G631" s="11">
        <f>IF(F631="","",ROUND(F631*VLOOKUP(K631,Kurallar!$D$3:$E$14,2,0),2))</f>
        <v>2600.4</v>
      </c>
      <c r="H631" s="11">
        <f>IF(G631="","",G631*I631)</f>
        <v>2600.4</v>
      </c>
      <c r="I631" s="8">
        <v>1</v>
      </c>
      <c r="J631" s="8" t="s">
        <v>23</v>
      </c>
      <c r="K631" s="8" t="s">
        <v>29</v>
      </c>
      <c r="L631" s="11">
        <f>IF(H631="","",H631*$I$629)</f>
        <v>2600.4</v>
      </c>
      <c r="M631" s="9" t="s">
        <v>26</v>
      </c>
      <c r="N631" s="8" t="s">
        <v>30</v>
      </c>
      <c r="O631" s="8">
        <f>IFERROR(VLOOKUP(N631,Kurallar!$G$3:$H$22,2,0),0)</f>
        <v>30</v>
      </c>
    </row>
    <row r="632" spans="1:15" hidden="1" x14ac:dyDescent="0.25">
      <c r="A632" s="8">
        <v>61</v>
      </c>
      <c r="B632" s="9" t="str">
        <f t="shared" si="213"/>
        <v>ЯРВ_S5 (ЯРВ-40) (S5)</v>
      </c>
      <c r="C632" s="9" t="s">
        <v>86</v>
      </c>
      <c r="D632" s="9" t="s">
        <v>431</v>
      </c>
      <c r="E632" s="10" t="s">
        <v>432</v>
      </c>
      <c r="F632" s="11">
        <v>1525</v>
      </c>
      <c r="G632" s="11">
        <f>IF(F632="","",ROUND(F632*VLOOKUP(K632,Kurallar!$D$3:$E$14,2,0),2))</f>
        <v>915</v>
      </c>
      <c r="H632" s="11">
        <f>IF(G632="","",G632*I632)</f>
        <v>2745</v>
      </c>
      <c r="I632" s="8">
        <v>3</v>
      </c>
      <c r="J632" s="8" t="s">
        <v>23</v>
      </c>
      <c r="K632" s="8" t="s">
        <v>29</v>
      </c>
      <c r="L632" s="11">
        <f>IF(H632="","",H632*$I$629)</f>
        <v>2745</v>
      </c>
      <c r="M632" s="9" t="s">
        <v>86</v>
      </c>
      <c r="N632" s="8" t="s">
        <v>89</v>
      </c>
      <c r="O632" s="8">
        <f>IFERROR(VLOOKUP(N632,Kurallar!$G$3:$H$22,2,0),0)</f>
        <v>5</v>
      </c>
    </row>
    <row r="633" spans="1:15" hidden="1" x14ac:dyDescent="0.25">
      <c r="A633" s="8">
        <v>61</v>
      </c>
      <c r="B633" s="9" t="str">
        <f t="shared" si="213"/>
        <v>ЯРВ_S5 (ЯРВ-40) (S5)</v>
      </c>
      <c r="C633" s="9" t="s">
        <v>86</v>
      </c>
      <c r="D633" s="9" t="s">
        <v>269</v>
      </c>
      <c r="E633" s="10" t="s">
        <v>270</v>
      </c>
      <c r="F633" s="11">
        <v>2038</v>
      </c>
      <c r="G633" s="11">
        <f>IF(F633="","",ROUND(F633*VLOOKUP(K633,Kurallar!$D$3:$E$14,2,0),2))</f>
        <v>1222.8</v>
      </c>
      <c r="H633" s="11">
        <f>IF(G633="","",G633*I633)</f>
        <v>3668.3999999999996</v>
      </c>
      <c r="I633" s="8">
        <v>3</v>
      </c>
      <c r="J633" s="8" t="s">
        <v>23</v>
      </c>
      <c r="K633" s="8" t="s">
        <v>29</v>
      </c>
      <c r="L633" s="11">
        <f>IF(H633="","",H633*$I$629)</f>
        <v>3668.3999999999996</v>
      </c>
      <c r="M633" s="9" t="s">
        <v>86</v>
      </c>
      <c r="N633" s="8" t="s">
        <v>89</v>
      </c>
      <c r="O633" s="8">
        <f>IFERROR(VLOOKUP(N633,Kurallar!$G$3:$H$22,2,0),0)</f>
        <v>5</v>
      </c>
    </row>
    <row r="634" spans="1:15" hidden="1" x14ac:dyDescent="0.25">
      <c r="A634" s="8">
        <v>61</v>
      </c>
      <c r="B634" s="9" t="str">
        <f t="shared" si="213"/>
        <v>ЯРВ_S5 (ЯРВ-40) (S5)</v>
      </c>
      <c r="C634" s="9" t="s">
        <v>31</v>
      </c>
      <c r="E634" s="9" t="s">
        <v>32</v>
      </c>
      <c r="F634" s="11"/>
      <c r="G634" s="11">
        <f>ROUND(SUM(H630:H633)*Kurallar!$B$2,2)</f>
        <v>1823.62</v>
      </c>
      <c r="H634" s="11">
        <f>G634*I634</f>
        <v>1823.62</v>
      </c>
      <c r="I634" s="8">
        <v>1</v>
      </c>
      <c r="J634" s="8" t="s">
        <v>19</v>
      </c>
      <c r="K634" s="8" t="s">
        <v>33</v>
      </c>
      <c r="L634" s="11">
        <f>H634*$I$629</f>
        <v>1823.62</v>
      </c>
      <c r="M634" s="9" t="s">
        <v>31</v>
      </c>
    </row>
    <row r="635" spans="1:15" hidden="1" x14ac:dyDescent="0.25">
      <c r="A635" s="8">
        <v>61</v>
      </c>
      <c r="B635" s="9" t="str">
        <f t="shared" si="213"/>
        <v>ЯРВ_S5 (ЯРВ-40) (S5)</v>
      </c>
      <c r="C635" s="9" t="s">
        <v>34</v>
      </c>
      <c r="E635" s="9" t="s">
        <v>35</v>
      </c>
      <c r="F635" s="11">
        <f>ROUND(I635/60,1)</f>
        <v>1.3</v>
      </c>
      <c r="G635" s="11">
        <f>Kurallar!$B$3</f>
        <v>100</v>
      </c>
      <c r="H635" s="11">
        <f>G635*I635</f>
        <v>7800</v>
      </c>
      <c r="I635" s="8">
        <f>ROUND(SUMPRODUCT(I630:I633,O630:O633)*Kurallar!$B$4,0)</f>
        <v>78</v>
      </c>
      <c r="J635" s="8" t="s">
        <v>36</v>
      </c>
      <c r="K635" s="8" t="s">
        <v>33</v>
      </c>
      <c r="L635" s="11">
        <f>H635*$I$629</f>
        <v>7800</v>
      </c>
      <c r="M635" s="9" t="s">
        <v>34</v>
      </c>
    </row>
    <row r="636" spans="1:15" hidden="1" x14ac:dyDescent="0.25">
      <c r="A636" s="12"/>
      <c r="B636" s="13" t="s">
        <v>433</v>
      </c>
      <c r="C636" s="12"/>
      <c r="D636" s="12"/>
      <c r="E636" s="13" t="s">
        <v>434</v>
      </c>
      <c r="F636" s="12"/>
      <c r="G636" s="12"/>
      <c r="H636" s="14">
        <f>SUBTOTAL(9,H630:H635)</f>
        <v>0</v>
      </c>
      <c r="I636" s="15">
        <v>1</v>
      </c>
      <c r="J636" s="15" t="s">
        <v>19</v>
      </c>
      <c r="K636" s="12"/>
      <c r="L636" s="14">
        <f>SUBTOTAL(9,L630:L635)</f>
        <v>0</v>
      </c>
      <c r="M636" s="12"/>
      <c r="N636" s="12"/>
      <c r="O636" s="12"/>
    </row>
    <row r="637" spans="1:15" hidden="1" x14ac:dyDescent="0.25">
      <c r="A637" s="4">
        <v>62</v>
      </c>
      <c r="B637" s="5" t="s">
        <v>435</v>
      </c>
      <c r="C637" s="6" t="s">
        <v>18</v>
      </c>
      <c r="D637" s="6"/>
      <c r="E637" s="7" t="s">
        <v>435</v>
      </c>
      <c r="F637" s="6"/>
      <c r="G637" s="6"/>
      <c r="H637" s="6"/>
      <c r="I637" s="4">
        <v>1</v>
      </c>
      <c r="J637" s="4" t="s">
        <v>19</v>
      </c>
      <c r="K637" s="6"/>
      <c r="L637" s="6"/>
      <c r="M637" s="6"/>
      <c r="N637" s="6"/>
      <c r="O637" s="6"/>
    </row>
    <row r="638" spans="1:15" hidden="1" x14ac:dyDescent="0.25">
      <c r="A638" s="8">
        <v>62</v>
      </c>
      <c r="B638" s="9" t="str">
        <f t="shared" ref="B638:B647" si="216">B637</f>
        <v>БАУО_S5</v>
      </c>
      <c r="C638" s="9" t="s">
        <v>20</v>
      </c>
      <c r="D638" s="9" t="s">
        <v>143</v>
      </c>
      <c r="E638" s="10" t="s">
        <v>144</v>
      </c>
      <c r="F638" s="11">
        <v>43775</v>
      </c>
      <c r="G638" s="11">
        <f>IF(F638="","",ROUND(F638*VLOOKUP(K638,Kurallar!$D$3:$E$14,2,0),2))</f>
        <v>26265</v>
      </c>
      <c r="H638" s="11">
        <f t="shared" ref="H638" si="217">IF(G638="","",G638*I638)</f>
        <v>26265</v>
      </c>
      <c r="I638" s="8">
        <v>1</v>
      </c>
      <c r="J638" s="8" t="s">
        <v>23</v>
      </c>
      <c r="K638" s="8" t="s">
        <v>24</v>
      </c>
      <c r="L638" s="11">
        <f t="shared" ref="L638" si="218">IF(H638="","",H638*$I$181)</f>
        <v>26265</v>
      </c>
      <c r="M638" s="9" t="s">
        <v>20</v>
      </c>
      <c r="N638" s="8" t="s">
        <v>75</v>
      </c>
      <c r="O638" s="8">
        <f>IFERROR(VLOOKUP(N638,Kurallar!$G$3:$H$22,2,0),0)</f>
        <v>30</v>
      </c>
    </row>
    <row r="639" spans="1:15" hidden="1" x14ac:dyDescent="0.25">
      <c r="A639" s="8">
        <v>62</v>
      </c>
      <c r="B639" s="9" t="str">
        <f t="shared" si="216"/>
        <v>БАУО_S5</v>
      </c>
      <c r="C639" s="9" t="s">
        <v>54</v>
      </c>
      <c r="D639" s="9" t="s">
        <v>247</v>
      </c>
      <c r="E639" s="10" t="s">
        <v>248</v>
      </c>
      <c r="F639" s="11">
        <v>2429</v>
      </c>
      <c r="G639" s="11">
        <f>IF(F639="","",ROUND(F639*VLOOKUP(K639,Kurallar!$D$3:$E$14,2,0),2))</f>
        <v>1457.4</v>
      </c>
      <c r="H639" s="11">
        <f t="shared" ref="H639:H645" si="219">IF(G639="","",G639*I639)</f>
        <v>2914.8</v>
      </c>
      <c r="I639" s="8">
        <v>2</v>
      </c>
      <c r="J639" s="8" t="s">
        <v>23</v>
      </c>
      <c r="K639" s="8" t="s">
        <v>29</v>
      </c>
      <c r="L639" s="11">
        <f t="shared" ref="L639:L645" si="220">IF(H639="","",H639*$I$637)</f>
        <v>2914.8</v>
      </c>
      <c r="M639" s="9" t="s">
        <v>54</v>
      </c>
      <c r="N639" s="8" t="s">
        <v>113</v>
      </c>
      <c r="O639" s="8">
        <f>IFERROR(VLOOKUP(N639,Kurallar!$G$3:$H$22,2,0),0)</f>
        <v>10</v>
      </c>
    </row>
    <row r="640" spans="1:15" hidden="1" x14ac:dyDescent="0.25">
      <c r="A640" s="8">
        <v>62</v>
      </c>
      <c r="B640" s="9" t="str">
        <f t="shared" si="216"/>
        <v>БАУО_S5</v>
      </c>
      <c r="C640" s="9" t="s">
        <v>54</v>
      </c>
      <c r="D640" s="9" t="s">
        <v>93</v>
      </c>
      <c r="E640" s="10" t="s">
        <v>94</v>
      </c>
      <c r="F640" s="11">
        <v>783</v>
      </c>
      <c r="G640" s="11">
        <f>IF(F640="","",ROUND(F640*VLOOKUP(K640,Kurallar!$D$3:$E$14,2,0),2))</f>
        <v>469.8</v>
      </c>
      <c r="H640" s="11">
        <f t="shared" si="219"/>
        <v>13624.2</v>
      </c>
      <c r="I640" s="8">
        <v>29</v>
      </c>
      <c r="J640" s="8" t="s">
        <v>23</v>
      </c>
      <c r="K640" s="8" t="s">
        <v>29</v>
      </c>
      <c r="L640" s="11">
        <f t="shared" si="220"/>
        <v>13624.2</v>
      </c>
      <c r="M640" s="9" t="s">
        <v>54</v>
      </c>
      <c r="N640" s="8" t="s">
        <v>57</v>
      </c>
      <c r="O640" s="8">
        <f>IFERROR(VLOOKUP(N640,Kurallar!$G$3:$H$22,2,0),0)</f>
        <v>3</v>
      </c>
    </row>
    <row r="641" spans="1:15" hidden="1" x14ac:dyDescent="0.25">
      <c r="A641" s="8">
        <v>62</v>
      </c>
      <c r="B641" s="9" t="str">
        <f t="shared" si="216"/>
        <v>БАУО_S5</v>
      </c>
      <c r="C641" s="9" t="s">
        <v>50</v>
      </c>
      <c r="D641" s="9" t="s">
        <v>274</v>
      </c>
      <c r="E641" s="10" t="s">
        <v>275</v>
      </c>
      <c r="F641" s="11">
        <v>5104</v>
      </c>
      <c r="G641" s="11">
        <f>IF(F641="","",ROUND(F641*VLOOKUP(K641,Kurallar!$D$3:$E$14,2,0),2))</f>
        <v>3062.4</v>
      </c>
      <c r="H641" s="11">
        <f t="shared" si="219"/>
        <v>27561.600000000002</v>
      </c>
      <c r="I641" s="8">
        <v>9</v>
      </c>
      <c r="J641" s="8" t="s">
        <v>23</v>
      </c>
      <c r="K641" s="8" t="s">
        <v>29</v>
      </c>
      <c r="L641" s="11">
        <f t="shared" si="220"/>
        <v>27561.600000000002</v>
      </c>
      <c r="M641" s="9" t="s">
        <v>50</v>
      </c>
      <c r="N641" s="8" t="s">
        <v>53</v>
      </c>
      <c r="O641" s="8">
        <f>IFERROR(VLOOKUP(N641,Kurallar!$G$3:$H$22,2,0),0)</f>
        <v>16</v>
      </c>
    </row>
    <row r="642" spans="1:15" hidden="1" x14ac:dyDescent="0.25">
      <c r="A642" s="8">
        <v>62</v>
      </c>
      <c r="B642" s="9" t="str">
        <f t="shared" si="216"/>
        <v>БАУО_S5</v>
      </c>
      <c r="C642" s="9" t="s">
        <v>58</v>
      </c>
      <c r="D642" s="9" t="s">
        <v>276</v>
      </c>
      <c r="E642" s="10" t="s">
        <v>277</v>
      </c>
      <c r="F642" s="11">
        <v>6145</v>
      </c>
      <c r="G642" s="11">
        <f>IF(F642="","",ROUND(F642*VLOOKUP(K642,Kurallar!$D$3:$E$14,2,0),2))</f>
        <v>3687</v>
      </c>
      <c r="H642" s="11">
        <f t="shared" si="219"/>
        <v>29496</v>
      </c>
      <c r="I642" s="8">
        <v>8</v>
      </c>
      <c r="J642" s="8" t="s">
        <v>23</v>
      </c>
      <c r="K642" s="8" t="s">
        <v>29</v>
      </c>
      <c r="L642" s="11">
        <f t="shared" si="220"/>
        <v>29496</v>
      </c>
      <c r="M642" s="9" t="s">
        <v>58</v>
      </c>
      <c r="N642" s="8" t="s">
        <v>61</v>
      </c>
      <c r="O642" s="8">
        <f>IFERROR(VLOOKUP(N642,Kurallar!$G$3:$H$22,2,0),0)</f>
        <v>15</v>
      </c>
    </row>
    <row r="643" spans="1:15" hidden="1" x14ac:dyDescent="0.25">
      <c r="A643" s="8">
        <v>62</v>
      </c>
      <c r="B643" s="9" t="str">
        <f t="shared" si="216"/>
        <v>БАУО_S5</v>
      </c>
      <c r="C643" s="9" t="s">
        <v>58</v>
      </c>
      <c r="D643" s="9" t="s">
        <v>278</v>
      </c>
      <c r="E643" s="10" t="s">
        <v>279</v>
      </c>
      <c r="F643" s="11">
        <v>13596</v>
      </c>
      <c r="G643" s="11">
        <f>IF(F643="","",ROUND(F643*VLOOKUP(K643,Kurallar!$D$3:$E$14,2,0),2))</f>
        <v>8157.6</v>
      </c>
      <c r="H643" s="11">
        <f t="shared" si="219"/>
        <v>8157.6</v>
      </c>
      <c r="I643" s="8">
        <v>1</v>
      </c>
      <c r="J643" s="8" t="s">
        <v>23</v>
      </c>
      <c r="K643" s="8" t="s">
        <v>29</v>
      </c>
      <c r="L643" s="11">
        <f t="shared" si="220"/>
        <v>8157.6</v>
      </c>
      <c r="M643" s="9" t="s">
        <v>58</v>
      </c>
      <c r="N643" s="8" t="s">
        <v>61</v>
      </c>
      <c r="O643" s="8">
        <f>IFERROR(VLOOKUP(N643,Kurallar!$G$3:$H$22,2,0),0)</f>
        <v>15</v>
      </c>
    </row>
    <row r="644" spans="1:15" hidden="1" x14ac:dyDescent="0.25">
      <c r="A644" s="8">
        <v>62</v>
      </c>
      <c r="B644" s="9" t="str">
        <f t="shared" si="216"/>
        <v>БАУО_S5</v>
      </c>
      <c r="C644" s="9" t="s">
        <v>54</v>
      </c>
      <c r="D644" s="9" t="s">
        <v>55</v>
      </c>
      <c r="E644" s="10" t="s">
        <v>56</v>
      </c>
      <c r="F644" s="11">
        <v>975</v>
      </c>
      <c r="G644" s="11">
        <f>IF(F644="","",ROUND(F644*VLOOKUP(K644,Kurallar!$D$3:$E$14,2,0),2))</f>
        <v>585</v>
      </c>
      <c r="H644" s="11">
        <f t="shared" si="219"/>
        <v>585</v>
      </c>
      <c r="I644" s="8">
        <v>1</v>
      </c>
      <c r="J644" s="8" t="s">
        <v>23</v>
      </c>
      <c r="K644" s="8" t="s">
        <v>29</v>
      </c>
      <c r="L644" s="11">
        <f t="shared" si="220"/>
        <v>585</v>
      </c>
      <c r="M644" s="9" t="s">
        <v>54</v>
      </c>
      <c r="N644" s="8" t="s">
        <v>57</v>
      </c>
      <c r="O644" s="8">
        <f>IFERROR(VLOOKUP(N644,Kurallar!$G$3:$H$22,2,0),0)</f>
        <v>3</v>
      </c>
    </row>
    <row r="645" spans="1:15" ht="24" hidden="1" x14ac:dyDescent="0.25">
      <c r="A645" s="8">
        <v>62</v>
      </c>
      <c r="B645" s="9" t="str">
        <f t="shared" si="216"/>
        <v>БАУО_S5</v>
      </c>
      <c r="C645" s="9" t="s">
        <v>62</v>
      </c>
      <c r="D645" s="9" t="s">
        <v>280</v>
      </c>
      <c r="E645" s="10" t="s">
        <v>281</v>
      </c>
      <c r="F645" s="11">
        <v>14264</v>
      </c>
      <c r="G645" s="11">
        <f>IF(F645="","",ROUND(F645*VLOOKUP(K645,Kurallar!$D$3:$E$14,2,0),2))</f>
        <v>14264</v>
      </c>
      <c r="H645" s="11">
        <f t="shared" si="219"/>
        <v>14264</v>
      </c>
      <c r="I645" s="8">
        <v>1</v>
      </c>
      <c r="J645" s="8" t="s">
        <v>23</v>
      </c>
      <c r="K645" s="8" t="s">
        <v>65</v>
      </c>
      <c r="L645" s="11">
        <f t="shared" si="220"/>
        <v>14264</v>
      </c>
      <c r="M645" s="9" t="s">
        <v>62</v>
      </c>
      <c r="N645" s="8" t="s">
        <v>66</v>
      </c>
      <c r="O645" s="8">
        <f>IFERROR(VLOOKUP(N645,Kurallar!$G$3:$H$22,2,0),0)</f>
        <v>5</v>
      </c>
    </row>
    <row r="646" spans="1:15" hidden="1" x14ac:dyDescent="0.25">
      <c r="A646" s="8">
        <v>62</v>
      </c>
      <c r="B646" t="str">
        <f t="shared" si="216"/>
        <v>БАУО_S5</v>
      </c>
      <c r="C646" s="9" t="s">
        <v>31</v>
      </c>
      <c r="E646" s="9" t="s">
        <v>32</v>
      </c>
      <c r="F646" s="11"/>
      <c r="G646" s="11">
        <f>ROUND(SUM(H638:H645)*Kurallar!$B$2,2)</f>
        <v>14744.18</v>
      </c>
      <c r="H646" s="11">
        <f>G646*I646</f>
        <v>14744.18</v>
      </c>
      <c r="I646" s="8">
        <v>1</v>
      </c>
      <c r="J646" s="8" t="s">
        <v>19</v>
      </c>
      <c r="K646" s="8" t="s">
        <v>33</v>
      </c>
      <c r="L646" s="11">
        <f>H646*$I$637</f>
        <v>14744.18</v>
      </c>
      <c r="M646" s="9" t="s">
        <v>31</v>
      </c>
    </row>
    <row r="647" spans="1:15" hidden="1" x14ac:dyDescent="0.25">
      <c r="A647" s="8">
        <v>62</v>
      </c>
      <c r="B647" t="str">
        <f t="shared" si="216"/>
        <v>БАУО_S5</v>
      </c>
      <c r="C647" s="9" t="s">
        <v>34</v>
      </c>
      <c r="E647" s="9" t="s">
        <v>35</v>
      </c>
      <c r="F647" s="11">
        <f>ROUND(I647/60,1)</f>
        <v>8.1</v>
      </c>
      <c r="G647" s="11">
        <f>Kurallar!$B$3</f>
        <v>100</v>
      </c>
      <c r="H647" s="11">
        <f>G647*I647</f>
        <v>48800</v>
      </c>
      <c r="I647" s="8">
        <f>ROUND(SUMPRODUCT(I638:I645,O638:O645)*Kurallar!$B$4,0)</f>
        <v>488</v>
      </c>
      <c r="J647" s="8" t="s">
        <v>36</v>
      </c>
      <c r="K647" s="8" t="s">
        <v>33</v>
      </c>
      <c r="L647" s="11">
        <f>H647*$I$637</f>
        <v>48800</v>
      </c>
      <c r="M647" s="9" t="s">
        <v>34</v>
      </c>
    </row>
    <row r="648" spans="1:15" hidden="1" x14ac:dyDescent="0.25">
      <c r="A648" s="12"/>
      <c r="B648" s="13" t="s">
        <v>436</v>
      </c>
      <c r="C648" s="12"/>
      <c r="D648" s="12"/>
      <c r="E648" s="13" t="s">
        <v>437</v>
      </c>
      <c r="F648" s="12"/>
      <c r="G648" s="12"/>
      <c r="H648" s="14">
        <f>SUBTOTAL(9,H638:H647)</f>
        <v>0</v>
      </c>
      <c r="I648" s="15">
        <v>1</v>
      </c>
      <c r="J648" s="15" t="s">
        <v>19</v>
      </c>
      <c r="K648" s="12"/>
      <c r="L648" s="14">
        <f>SUBTOTAL(9,L638:L647)</f>
        <v>0</v>
      </c>
      <c r="M648" s="12"/>
      <c r="N648" s="12"/>
      <c r="O648" s="12"/>
    </row>
    <row r="649" spans="1:15" hidden="1" x14ac:dyDescent="0.25">
      <c r="A649" s="4">
        <v>63</v>
      </c>
      <c r="B649" s="5" t="s">
        <v>438</v>
      </c>
      <c r="C649" s="6" t="s">
        <v>18</v>
      </c>
      <c r="D649" s="6"/>
      <c r="E649" s="7" t="s">
        <v>438</v>
      </c>
      <c r="F649" s="6"/>
      <c r="G649" s="6"/>
      <c r="H649" s="6"/>
      <c r="I649" s="4">
        <v>1</v>
      </c>
      <c r="J649" s="4" t="s">
        <v>19</v>
      </c>
      <c r="K649" s="6"/>
      <c r="L649" s="6"/>
      <c r="M649" s="6"/>
      <c r="N649" s="6"/>
      <c r="O649" s="6"/>
    </row>
    <row r="650" spans="1:15" hidden="1" x14ac:dyDescent="0.25">
      <c r="A650" s="8">
        <v>63</v>
      </c>
      <c r="B650" s="9" t="str">
        <f t="shared" ref="B650:B660" si="221">B649</f>
        <v>ВЩ-ВП (ВРУ1-ИНД-тип2-00 УХЛ4) (S5)</v>
      </c>
      <c r="C650" s="16" t="s">
        <v>20</v>
      </c>
      <c r="D650" s="9" t="s">
        <v>207</v>
      </c>
      <c r="E650" s="10" t="s">
        <v>208</v>
      </c>
      <c r="F650" s="11">
        <v>155000</v>
      </c>
      <c r="G650" s="11">
        <f>IF(F650="","",ROUND(F650*VLOOKUP(K650,Kurallar!$D$3:$E$14,2,0),2))</f>
        <v>93000</v>
      </c>
      <c r="H650" s="11">
        <f t="shared" ref="H650" si="222">IF(G650="","",G650*I650)</f>
        <v>93000</v>
      </c>
      <c r="I650" s="8">
        <v>1</v>
      </c>
      <c r="J650" s="8" t="s">
        <v>23</v>
      </c>
      <c r="K650" s="8" t="s">
        <v>24</v>
      </c>
      <c r="L650" s="11">
        <f t="shared" ref="L650" si="223">IF(H650="","",H650*$I$181)</f>
        <v>93000</v>
      </c>
      <c r="M650" s="9" t="s">
        <v>20</v>
      </c>
      <c r="N650" s="8" t="s">
        <v>209</v>
      </c>
      <c r="O650" s="8">
        <f>IFERROR(VLOOKUP(N650,Kurallar!$G$3:$H$22,2,0),0)</f>
        <v>90</v>
      </c>
    </row>
    <row r="651" spans="1:15" ht="24" hidden="1" x14ac:dyDescent="0.25">
      <c r="A651" s="8">
        <v>63</v>
      </c>
      <c r="B651" s="9" t="str">
        <f t="shared" si="221"/>
        <v>ВЩ-ВП (ВРУ1-ИНД-тип2-00 УХЛ4) (S5)</v>
      </c>
      <c r="C651" s="9" t="s">
        <v>26</v>
      </c>
      <c r="D651" s="9" t="s">
        <v>757</v>
      </c>
      <c r="E651" s="10" t="s">
        <v>758</v>
      </c>
      <c r="F651" s="11">
        <v>48003</v>
      </c>
      <c r="G651" s="11">
        <f>IF(F651="","",ROUND(F651*VLOOKUP(K651,Kurallar!$D$3:$E$14,2,0),2))</f>
        <v>48003</v>
      </c>
      <c r="H651" s="11">
        <f>IF(G651="","",G651*I651)</f>
        <v>48003</v>
      </c>
      <c r="I651" s="8">
        <v>1</v>
      </c>
      <c r="J651" s="8" t="s">
        <v>23</v>
      </c>
      <c r="K651" s="8" t="s">
        <v>754</v>
      </c>
      <c r="L651" s="11">
        <f>IF(H651="","",H651*$I$649)</f>
        <v>48003</v>
      </c>
      <c r="M651" s="9" t="s">
        <v>26</v>
      </c>
      <c r="N651" s="8" t="s">
        <v>30</v>
      </c>
      <c r="O651" s="8">
        <f>IFERROR(VLOOKUP(N651,Kurallar!$G$3:$H$22,2,0),0)</f>
        <v>30</v>
      </c>
    </row>
    <row r="652" spans="1:15" hidden="1" x14ac:dyDescent="0.25">
      <c r="A652" s="8">
        <v>63</v>
      </c>
      <c r="B652" s="9" t="str">
        <f t="shared" si="221"/>
        <v>ВЩ-ВП (ВРУ1-ИНД-тип2-00 УХЛ4) (S5)</v>
      </c>
      <c r="C652" s="9" t="s">
        <v>86</v>
      </c>
      <c r="D652" s="9" t="s">
        <v>439</v>
      </c>
      <c r="E652" s="10" t="s">
        <v>440</v>
      </c>
      <c r="F652" s="11">
        <v>12721</v>
      </c>
      <c r="G652" s="11">
        <f>IF(F652="","",ROUND(F652*VLOOKUP(K652,Kurallar!$D$3:$E$14,2,0),2))</f>
        <v>7632.6</v>
      </c>
      <c r="H652" s="11">
        <f>IF(G652="","",G652*I652)</f>
        <v>22897.800000000003</v>
      </c>
      <c r="I652" s="8">
        <v>3</v>
      </c>
      <c r="J652" s="8" t="s">
        <v>23</v>
      </c>
      <c r="K652" s="8" t="s">
        <v>29</v>
      </c>
      <c r="L652" s="11">
        <f>IF(H652="","",H652*$I$649)</f>
        <v>22897.800000000003</v>
      </c>
      <c r="M652" s="9" t="s">
        <v>86</v>
      </c>
      <c r="N652" s="8" t="s">
        <v>89</v>
      </c>
      <c r="O652" s="8">
        <f>IFERROR(VLOOKUP(N652,Kurallar!$G$3:$H$22,2,0),0)</f>
        <v>5</v>
      </c>
    </row>
    <row r="653" spans="1:15" hidden="1" x14ac:dyDescent="0.25">
      <c r="A653" s="8">
        <v>63</v>
      </c>
      <c r="B653" s="9" t="str">
        <f t="shared" si="221"/>
        <v>ВЩ-ВП (ВРУ1-ИНД-тип2-00 УХЛ4) (S5)</v>
      </c>
      <c r="C653" s="9" t="s">
        <v>86</v>
      </c>
      <c r="D653" s="9" t="s">
        <v>441</v>
      </c>
      <c r="E653" s="10" t="s">
        <v>442</v>
      </c>
      <c r="F653" s="11">
        <v>11728</v>
      </c>
      <c r="G653" s="11">
        <f>IF(F653="","",ROUND(F653*VLOOKUP(K653,Kurallar!$D$3:$E$14,2,0),2))</f>
        <v>7036.8</v>
      </c>
      <c r="H653" s="11">
        <f>IF(G653="","",G653*I653)</f>
        <v>21110.400000000001</v>
      </c>
      <c r="I653" s="8">
        <v>3</v>
      </c>
      <c r="J653" s="8" t="s">
        <v>23</v>
      </c>
      <c r="K653" s="8" t="s">
        <v>29</v>
      </c>
      <c r="L653" s="11">
        <f>IF(H653="","",H653*$I$649)</f>
        <v>21110.400000000001</v>
      </c>
      <c r="M653" s="9" t="s">
        <v>86</v>
      </c>
      <c r="N653" s="8" t="s">
        <v>89</v>
      </c>
      <c r="O653" s="8">
        <f>IFERROR(VLOOKUP(N653,Kurallar!$G$3:$H$22,2,0),0)</f>
        <v>5</v>
      </c>
    </row>
    <row r="654" spans="1:15" hidden="1" x14ac:dyDescent="0.25">
      <c r="A654" s="8">
        <v>63</v>
      </c>
      <c r="B654" s="9" t="str">
        <f t="shared" si="221"/>
        <v>ВЩ-ВП (ВРУ1-ИНД-тип2-00 УХЛ4) (S5)</v>
      </c>
      <c r="C654" s="9" t="s">
        <v>54</v>
      </c>
      <c r="D654" s="9" t="s">
        <v>55</v>
      </c>
      <c r="E654" s="10" t="s">
        <v>56</v>
      </c>
      <c r="F654" s="11">
        <v>975</v>
      </c>
      <c r="G654" s="11">
        <f>IF(F654="","",ROUND(F654*VLOOKUP(K654,Kurallar!$D$3:$E$14,2,0),2))</f>
        <v>585</v>
      </c>
      <c r="H654" s="11">
        <f>IF(G654="","",G654*I654)</f>
        <v>585</v>
      </c>
      <c r="I654" s="8">
        <v>1</v>
      </c>
      <c r="J654" s="8" t="s">
        <v>23</v>
      </c>
      <c r="K654" s="8" t="s">
        <v>29</v>
      </c>
      <c r="L654" s="11">
        <f>IF(H654="","",H654*$I$649)</f>
        <v>585</v>
      </c>
      <c r="M654" s="9" t="s">
        <v>54</v>
      </c>
      <c r="N654" s="8" t="s">
        <v>57</v>
      </c>
      <c r="O654" s="8">
        <f>IFERROR(VLOOKUP(N654,Kurallar!$G$3:$H$22,2,0),0)</f>
        <v>3</v>
      </c>
    </row>
    <row r="655" spans="1:15" hidden="1" x14ac:dyDescent="0.25">
      <c r="A655" s="8">
        <v>63</v>
      </c>
      <c r="B655" s="9" t="str">
        <f t="shared" si="221"/>
        <v>ВЩ-ВП (ВРУ1-ИНД-тип2-00 УХЛ4) (S5)</v>
      </c>
      <c r="C655" s="16" t="s">
        <v>214</v>
      </c>
      <c r="D655" s="9" t="s">
        <v>443</v>
      </c>
      <c r="E655" s="10" t="s">
        <v>444</v>
      </c>
      <c r="F655" s="11">
        <v>5523</v>
      </c>
      <c r="G655" s="11">
        <f>IF(F655="","",ROUND(F655*VLOOKUP(K655,Kurallar!$D$3:$E$14,2,0),2))</f>
        <v>5523</v>
      </c>
      <c r="H655" s="11">
        <f t="shared" ref="H655" si="224">IF(G655="","",G655*I655)</f>
        <v>16569</v>
      </c>
      <c r="I655" s="8">
        <v>3</v>
      </c>
      <c r="J655" s="8" t="s">
        <v>23</v>
      </c>
      <c r="K655" s="8" t="s">
        <v>65</v>
      </c>
      <c r="L655" s="9"/>
      <c r="M655" s="9" t="s">
        <v>214</v>
      </c>
      <c r="N655" s="8" t="s">
        <v>217</v>
      </c>
      <c r="O655" s="8">
        <f>IFERROR(VLOOKUP(N655,Kurallar!$G$3:$H$22,2,0),0)</f>
        <v>15</v>
      </c>
    </row>
    <row r="656" spans="1:15" hidden="1" x14ac:dyDescent="0.25">
      <c r="A656" s="8">
        <v>63</v>
      </c>
      <c r="B656" s="9" t="str">
        <f t="shared" si="221"/>
        <v>ВЩ-ВП (ВРУ1-ИНД-тип2-00 УХЛ4) (S5)</v>
      </c>
      <c r="C656" s="9" t="s">
        <v>82</v>
      </c>
      <c r="D656" s="9" t="s">
        <v>212</v>
      </c>
      <c r="E656" s="10" t="s">
        <v>213</v>
      </c>
      <c r="F656" s="11">
        <v>0</v>
      </c>
      <c r="G656" s="11">
        <f>F656</f>
        <v>0</v>
      </c>
      <c r="H656" s="11">
        <f>IF(G656="","",G656*I656)</f>
        <v>0</v>
      </c>
      <c r="I656" s="8">
        <v>1</v>
      </c>
      <c r="J656" s="8" t="s">
        <v>23</v>
      </c>
      <c r="K656" s="8" t="s">
        <v>751</v>
      </c>
      <c r="L656" s="11">
        <f>IF(H656="","",H656*$I$649)</f>
        <v>0</v>
      </c>
      <c r="M656" s="9" t="s">
        <v>82</v>
      </c>
      <c r="N656" s="8" t="s">
        <v>85</v>
      </c>
      <c r="O656" s="8">
        <f>IFERROR(VLOOKUP(N656,Kurallar!$G$3:$H$22,2,0),0)</f>
        <v>25</v>
      </c>
    </row>
    <row r="657" spans="1:15" hidden="1" x14ac:dyDescent="0.25">
      <c r="A657" s="8">
        <v>63</v>
      </c>
      <c r="B657" s="9" t="str">
        <f t="shared" si="221"/>
        <v>ВЩ-ВП (ВРУ1-ИНД-тип2-00 УХЛ4) (S5)</v>
      </c>
      <c r="C657" s="9" t="s">
        <v>218</v>
      </c>
      <c r="D657" s="9" t="s">
        <v>219</v>
      </c>
      <c r="E657" s="10" t="s">
        <v>220</v>
      </c>
      <c r="F657" s="11">
        <v>5275</v>
      </c>
      <c r="G657" s="11">
        <f>IF(F657="","",ROUND(F657*VLOOKUP(K657,Kurallar!$D$3:$E$14,2,0),2))</f>
        <v>3165</v>
      </c>
      <c r="H657" s="11">
        <f>IF(G657="","",G657*I657)</f>
        <v>9495</v>
      </c>
      <c r="I657" s="8">
        <v>3</v>
      </c>
      <c r="J657" s="8" t="s">
        <v>23</v>
      </c>
      <c r="K657" s="8" t="s">
        <v>29</v>
      </c>
      <c r="L657" s="11">
        <f>IF(H657="","",H657*$I$649)</f>
        <v>9495</v>
      </c>
      <c r="M657" s="9" t="s">
        <v>218</v>
      </c>
      <c r="N657" s="8" t="s">
        <v>221</v>
      </c>
      <c r="O657" s="8">
        <f>IFERROR(VLOOKUP(N657,Kurallar!$G$3:$H$22,2,0),0)</f>
        <v>15</v>
      </c>
    </row>
    <row r="658" spans="1:15" hidden="1" x14ac:dyDescent="0.25">
      <c r="A658" s="8">
        <v>63</v>
      </c>
      <c r="B658" s="9" t="str">
        <f t="shared" si="221"/>
        <v>ВЩ-ВП (ВРУ1-ИНД-тип2-00 УХЛ4) (S5)</v>
      </c>
      <c r="C658" s="9" t="s">
        <v>54</v>
      </c>
      <c r="D658" s="9" t="s">
        <v>222</v>
      </c>
      <c r="E658" s="10" t="s">
        <v>223</v>
      </c>
      <c r="F658" s="11">
        <v>2606</v>
      </c>
      <c r="G658" s="11">
        <f>IF(F658="","",ROUND(F658*VLOOKUP(K658,Kurallar!$D$3:$E$14,2,0),2))</f>
        <v>1563.6</v>
      </c>
      <c r="H658" s="11">
        <f>IF(G658="","",G658*I658)</f>
        <v>1563.6</v>
      </c>
      <c r="I658" s="8">
        <v>1</v>
      </c>
      <c r="J658" s="8" t="s">
        <v>23</v>
      </c>
      <c r="K658" s="8" t="s">
        <v>29</v>
      </c>
      <c r="L658" s="11">
        <f>IF(H658="","",H658*$I$649)</f>
        <v>1563.6</v>
      </c>
      <c r="M658" s="9" t="s">
        <v>54</v>
      </c>
      <c r="N658" s="8" t="s">
        <v>113</v>
      </c>
      <c r="O658" s="8">
        <f>IFERROR(VLOOKUP(N658,Kurallar!$G$3:$H$22,2,0),0)</f>
        <v>10</v>
      </c>
    </row>
    <row r="659" spans="1:15" hidden="1" x14ac:dyDescent="0.25">
      <c r="A659" s="8">
        <v>63</v>
      </c>
      <c r="B659" s="9" t="str">
        <f t="shared" si="221"/>
        <v>ВЩ-ВП (ВРУ1-ИНД-тип2-00 УХЛ4) (S5)</v>
      </c>
      <c r="C659" s="9" t="s">
        <v>31</v>
      </c>
      <c r="E659" s="9" t="s">
        <v>32</v>
      </c>
      <c r="F659" s="11"/>
      <c r="G659" s="11">
        <f>ROUND(SUM(H650:H658)*Kurallar!$B$2,2)</f>
        <v>25586.86</v>
      </c>
      <c r="H659" s="11">
        <f>G659*I659</f>
        <v>25586.86</v>
      </c>
      <c r="I659" s="8">
        <v>1</v>
      </c>
      <c r="J659" s="8" t="s">
        <v>19</v>
      </c>
      <c r="K659" s="8" t="s">
        <v>33</v>
      </c>
      <c r="L659" s="11">
        <f>H659*$I$649</f>
        <v>25586.86</v>
      </c>
      <c r="M659" s="9" t="s">
        <v>31</v>
      </c>
    </row>
    <row r="660" spans="1:15" hidden="1" x14ac:dyDescent="0.25">
      <c r="A660" s="8">
        <v>63</v>
      </c>
      <c r="B660" s="9" t="str">
        <f t="shared" si="221"/>
        <v>ВЩ-ВП (ВРУ1-ИНД-тип2-00 УХЛ4) (S5)</v>
      </c>
      <c r="C660" s="9" t="s">
        <v>34</v>
      </c>
      <c r="E660" s="9" t="s">
        <v>35</v>
      </c>
      <c r="F660" s="11">
        <f>ROUND(I660/60,1)</f>
        <v>5.3</v>
      </c>
      <c r="G660" s="11">
        <f>Kurallar!$B$3</f>
        <v>100</v>
      </c>
      <c r="H660" s="11">
        <f>G660*I660</f>
        <v>32000</v>
      </c>
      <c r="I660" s="8">
        <f>ROUND(SUMPRODUCT(I650:I658,O650:O658)*Kurallar!$B$4,0)</f>
        <v>320</v>
      </c>
      <c r="J660" s="8" t="s">
        <v>36</v>
      </c>
      <c r="K660" s="8" t="s">
        <v>33</v>
      </c>
      <c r="L660" s="11">
        <f>H660*$I$649</f>
        <v>32000</v>
      </c>
      <c r="M660" s="9" t="s">
        <v>34</v>
      </c>
    </row>
    <row r="661" spans="1:15" hidden="1" x14ac:dyDescent="0.25">
      <c r="A661" s="12"/>
      <c r="B661" s="13" t="s">
        <v>445</v>
      </c>
      <c r="C661" s="12"/>
      <c r="D661" s="12"/>
      <c r="E661" s="13" t="s">
        <v>446</v>
      </c>
      <c r="F661" s="12"/>
      <c r="G661" s="12"/>
      <c r="H661" s="14">
        <f>SUBTOTAL(9,H650:H660)</f>
        <v>0</v>
      </c>
      <c r="I661" s="15">
        <v>1</v>
      </c>
      <c r="J661" s="15" t="s">
        <v>19</v>
      </c>
      <c r="K661" s="12"/>
      <c r="L661" s="14">
        <f>SUBTOTAL(9,L650:L660)</f>
        <v>0</v>
      </c>
      <c r="M661" s="12"/>
      <c r="N661" s="12"/>
      <c r="O661" s="12"/>
    </row>
    <row r="662" spans="1:15" hidden="1" x14ac:dyDescent="0.25">
      <c r="A662" s="4">
        <v>64</v>
      </c>
      <c r="B662" s="5" t="s">
        <v>447</v>
      </c>
      <c r="C662" s="6" t="s">
        <v>18</v>
      </c>
      <c r="D662" s="6"/>
      <c r="E662" s="7" t="s">
        <v>447</v>
      </c>
      <c r="F662" s="6"/>
      <c r="G662" s="6"/>
      <c r="H662" s="6"/>
      <c r="I662" s="4">
        <v>1</v>
      </c>
      <c r="J662" s="4" t="s">
        <v>19</v>
      </c>
      <c r="K662" s="6"/>
      <c r="L662" s="6"/>
      <c r="M662" s="6"/>
      <c r="N662" s="6"/>
      <c r="O662" s="6"/>
    </row>
    <row r="663" spans="1:15" hidden="1" x14ac:dyDescent="0.25">
      <c r="A663" s="8">
        <v>64</v>
      </c>
      <c r="B663" s="9" t="str">
        <f t="shared" ref="B663:B669" si="225">B662</f>
        <v>ВЩ-РП (ВРУ1-50-00 УХЛ4) (S5)</v>
      </c>
      <c r="C663" s="16" t="s">
        <v>20</v>
      </c>
      <c r="D663" s="9" t="s">
        <v>207</v>
      </c>
      <c r="E663" s="10" t="s">
        <v>208</v>
      </c>
      <c r="F663" s="11">
        <v>155000</v>
      </c>
      <c r="G663" s="11">
        <f>IF(F663="","",ROUND(F663*VLOOKUP(K663,Kurallar!$D$3:$E$14,2,0),2))</f>
        <v>93000</v>
      </c>
      <c r="H663" s="11">
        <f t="shared" ref="H663" si="226">IF(G663="","",G663*I663)</f>
        <v>93000</v>
      </c>
      <c r="I663" s="8">
        <v>1</v>
      </c>
      <c r="J663" s="8" t="s">
        <v>23</v>
      </c>
      <c r="K663" s="8" t="s">
        <v>24</v>
      </c>
      <c r="L663" s="11">
        <f t="shared" ref="L663" si="227">IF(H663="","",H663*$I$181)</f>
        <v>93000</v>
      </c>
      <c r="M663" s="9" t="s">
        <v>20</v>
      </c>
      <c r="N663" s="8" t="s">
        <v>209</v>
      </c>
      <c r="O663" s="8">
        <f>IFERROR(VLOOKUP(N663,Kurallar!$G$3:$H$22,2,0),0)</f>
        <v>90</v>
      </c>
    </row>
    <row r="664" spans="1:15" hidden="1" x14ac:dyDescent="0.25">
      <c r="A664" s="8">
        <v>64</v>
      </c>
      <c r="B664" s="9" t="str">
        <f t="shared" si="225"/>
        <v>ВЩ-РП (ВРУ1-50-00 УХЛ4) (S5)</v>
      </c>
      <c r="C664" s="9" t="s">
        <v>145</v>
      </c>
      <c r="D664" s="9" t="s">
        <v>245</v>
      </c>
      <c r="E664" s="10" t="s">
        <v>246</v>
      </c>
      <c r="F664" s="11">
        <v>19760</v>
      </c>
      <c r="G664" s="11">
        <f>IF(F664="","",ROUND(F664*VLOOKUP(K664,Kurallar!$D$3:$E$14,2,0),2))</f>
        <v>11856</v>
      </c>
      <c r="H664" s="11">
        <f>IF(G664="","",G664*I664)</f>
        <v>11856</v>
      </c>
      <c r="I664" s="8">
        <v>1</v>
      </c>
      <c r="J664" s="8" t="s">
        <v>23</v>
      </c>
      <c r="K664" s="8" t="s">
        <v>29</v>
      </c>
      <c r="L664" s="11">
        <f>IF(H664="","",H664*$I$662)</f>
        <v>11856</v>
      </c>
      <c r="M664" s="9" t="s">
        <v>145</v>
      </c>
      <c r="N664" s="8" t="s">
        <v>148</v>
      </c>
      <c r="O664" s="8">
        <f>IFERROR(VLOOKUP(N664,Kurallar!$G$3:$H$22,2,0),0)</f>
        <v>35</v>
      </c>
    </row>
    <row r="665" spans="1:15" hidden="1" x14ac:dyDescent="0.25">
      <c r="A665" s="8">
        <v>64</v>
      </c>
      <c r="B665" s="9" t="str">
        <f t="shared" si="225"/>
        <v>ВЩ-РП (ВРУ1-50-00 УХЛ4) (S5)</v>
      </c>
      <c r="C665" s="9" t="s">
        <v>145</v>
      </c>
      <c r="D665" s="9" t="s">
        <v>293</v>
      </c>
      <c r="E665" s="10" t="s">
        <v>294</v>
      </c>
      <c r="F665" s="11">
        <v>19443</v>
      </c>
      <c r="G665" s="11">
        <f>IF(F665="","",ROUND(F665*VLOOKUP(K665,Kurallar!$D$3:$E$14,2,0),2))</f>
        <v>11665.8</v>
      </c>
      <c r="H665" s="11">
        <f>IF(G665="","",G665*I665)</f>
        <v>34997.399999999994</v>
      </c>
      <c r="I665" s="8">
        <v>3</v>
      </c>
      <c r="J665" s="8" t="s">
        <v>23</v>
      </c>
      <c r="K665" s="8" t="s">
        <v>29</v>
      </c>
      <c r="L665" s="11">
        <f>IF(H665="","",H665*$I$662)</f>
        <v>34997.399999999994</v>
      </c>
      <c r="M665" s="9" t="s">
        <v>145</v>
      </c>
      <c r="N665" s="8" t="s">
        <v>148</v>
      </c>
      <c r="O665" s="8">
        <f>IFERROR(VLOOKUP(N665,Kurallar!$G$3:$H$22,2,0),0)</f>
        <v>35</v>
      </c>
    </row>
    <row r="666" spans="1:15" hidden="1" x14ac:dyDescent="0.25">
      <c r="A666" s="8">
        <v>64</v>
      </c>
      <c r="B666" s="9" t="str">
        <f t="shared" si="225"/>
        <v>ВЩ-РП (ВРУ1-50-00 УХЛ4) (S5)</v>
      </c>
      <c r="C666" s="9" t="s">
        <v>145</v>
      </c>
      <c r="D666" s="9" t="s">
        <v>295</v>
      </c>
      <c r="E666" s="10" t="s">
        <v>296</v>
      </c>
      <c r="F666" s="11">
        <v>19418</v>
      </c>
      <c r="G666" s="11">
        <f>IF(F666="","",ROUND(F666*VLOOKUP(K666,Kurallar!$D$3:$E$14,2,0),2))</f>
        <v>11650.8</v>
      </c>
      <c r="H666" s="11">
        <f>IF(G666="","",G666*I666)</f>
        <v>34952.399999999994</v>
      </c>
      <c r="I666" s="8">
        <v>3</v>
      </c>
      <c r="J666" s="8" t="s">
        <v>23</v>
      </c>
      <c r="K666" s="8" t="s">
        <v>29</v>
      </c>
      <c r="L666" s="11">
        <f>IF(H666="","",H666*$I$662)</f>
        <v>34952.399999999994</v>
      </c>
      <c r="M666" s="9" t="s">
        <v>145</v>
      </c>
      <c r="N666" s="8" t="s">
        <v>148</v>
      </c>
      <c r="O666" s="8">
        <f>IFERROR(VLOOKUP(N666,Kurallar!$G$3:$H$22,2,0),0)</f>
        <v>35</v>
      </c>
    </row>
    <row r="667" spans="1:15" hidden="1" x14ac:dyDescent="0.25">
      <c r="A667" s="8">
        <v>64</v>
      </c>
      <c r="B667" s="9" t="str">
        <f t="shared" si="225"/>
        <v>ВЩ-РП (ВРУ1-50-00 УХЛ4) (S5)</v>
      </c>
      <c r="C667" s="9" t="s">
        <v>54</v>
      </c>
      <c r="D667" s="9" t="s">
        <v>247</v>
      </c>
      <c r="E667" s="10" t="s">
        <v>248</v>
      </c>
      <c r="F667" s="11">
        <v>2429</v>
      </c>
      <c r="G667" s="11">
        <f>IF(F667="","",ROUND(F667*VLOOKUP(K667,Kurallar!$D$3:$E$14,2,0),2))</f>
        <v>1457.4</v>
      </c>
      <c r="H667" s="11">
        <f>IF(G667="","",G667*I667)</f>
        <v>2914.8</v>
      </c>
      <c r="I667" s="8">
        <v>2</v>
      </c>
      <c r="J667" s="8" t="s">
        <v>23</v>
      </c>
      <c r="K667" s="8" t="s">
        <v>29</v>
      </c>
      <c r="L667" s="11">
        <f>IF(H667="","",H667*$I$662)</f>
        <v>2914.8</v>
      </c>
      <c r="M667" s="9" t="s">
        <v>54</v>
      </c>
      <c r="N667" s="8" t="s">
        <v>113</v>
      </c>
      <c r="O667" s="8">
        <f>IFERROR(VLOOKUP(N667,Kurallar!$G$3:$H$22,2,0),0)</f>
        <v>10</v>
      </c>
    </row>
    <row r="668" spans="1:15" hidden="1" x14ac:dyDescent="0.25">
      <c r="A668" s="8">
        <v>64</v>
      </c>
      <c r="B668" s="9" t="str">
        <f t="shared" si="225"/>
        <v>ВЩ-РП (ВРУ1-50-00 УХЛ4) (S5)</v>
      </c>
      <c r="C668" s="9" t="s">
        <v>31</v>
      </c>
      <c r="E668" s="9" t="s">
        <v>32</v>
      </c>
      <c r="F668" s="11"/>
      <c r="G668" s="11">
        <f>ROUND(SUM(H663:H667)*Kurallar!$B$2,2)</f>
        <v>21326.47</v>
      </c>
      <c r="H668" s="11">
        <f>G668*I668</f>
        <v>21326.47</v>
      </c>
      <c r="I668" s="8">
        <v>1</v>
      </c>
      <c r="J668" s="8" t="s">
        <v>19</v>
      </c>
      <c r="K668" s="8" t="s">
        <v>33</v>
      </c>
      <c r="L668" s="11">
        <f>H668*$I$662</f>
        <v>21326.47</v>
      </c>
      <c r="M668" s="9" t="s">
        <v>31</v>
      </c>
    </row>
    <row r="669" spans="1:15" hidden="1" x14ac:dyDescent="0.25">
      <c r="A669" s="8">
        <v>64</v>
      </c>
      <c r="B669" t="str">
        <f t="shared" si="225"/>
        <v>ВЩ-РП (ВРУ1-50-00 УХЛ4) (S5)</v>
      </c>
      <c r="C669" s="9" t="s">
        <v>34</v>
      </c>
      <c r="E669" s="9" t="s">
        <v>35</v>
      </c>
      <c r="F669" s="11">
        <f>ROUND(I669/60,1)</f>
        <v>6.8</v>
      </c>
      <c r="G669" s="11">
        <f>Kurallar!$B$3</f>
        <v>100</v>
      </c>
      <c r="H669" s="11">
        <f>G669*I669</f>
        <v>40800</v>
      </c>
      <c r="I669" s="8">
        <f>ROUND(SUMPRODUCT(I663:I667,O663:O667)*Kurallar!$B$4,0)</f>
        <v>408</v>
      </c>
      <c r="J669" s="8" t="s">
        <v>36</v>
      </c>
      <c r="K669" s="8" t="s">
        <v>33</v>
      </c>
      <c r="L669" s="11">
        <f>H669*$I$662</f>
        <v>40800</v>
      </c>
      <c r="M669" s="9" t="s">
        <v>34</v>
      </c>
    </row>
    <row r="670" spans="1:15" hidden="1" x14ac:dyDescent="0.25">
      <c r="A670" s="12"/>
      <c r="B670" s="13" t="s">
        <v>448</v>
      </c>
      <c r="C670" s="12"/>
      <c r="D670" s="12"/>
      <c r="E670" s="13" t="s">
        <v>449</v>
      </c>
      <c r="F670" s="12"/>
      <c r="G670" s="12"/>
      <c r="H670" s="14">
        <f>SUBTOTAL(9,H663:H669)</f>
        <v>0</v>
      </c>
      <c r="I670" s="15">
        <v>1</v>
      </c>
      <c r="J670" s="15" t="s">
        <v>19</v>
      </c>
      <c r="K670" s="12"/>
      <c r="L670" s="14">
        <f>SUBTOTAL(9,L663:L669)</f>
        <v>0</v>
      </c>
      <c r="M670" s="12"/>
      <c r="N670" s="12"/>
      <c r="O670" s="12"/>
    </row>
    <row r="671" spans="1:15" hidden="1" x14ac:dyDescent="0.25">
      <c r="A671" s="4">
        <v>65</v>
      </c>
      <c r="B671" s="5" t="s">
        <v>450</v>
      </c>
      <c r="C671" s="6" t="s">
        <v>18</v>
      </c>
      <c r="D671" s="6"/>
      <c r="E671" s="7" t="s">
        <v>450</v>
      </c>
      <c r="F671" s="6"/>
      <c r="G671" s="6"/>
      <c r="H671" s="6"/>
      <c r="I671" s="4">
        <v>1</v>
      </c>
      <c r="J671" s="4" t="s">
        <v>19</v>
      </c>
      <c r="K671" s="6"/>
      <c r="L671" s="6"/>
      <c r="M671" s="6"/>
      <c r="N671" s="6"/>
      <c r="O671" s="6"/>
    </row>
    <row r="672" spans="1:15" hidden="1" x14ac:dyDescent="0.25">
      <c r="A672" s="8">
        <v>65</v>
      </c>
      <c r="B672" s="9" t="str">
        <f t="shared" ref="B672:B681" si="228">B671</f>
        <v>ШУ_ВП (ВРУ1-50-00 УХЛ4) (S5)</v>
      </c>
      <c r="C672" s="16" t="s">
        <v>20</v>
      </c>
      <c r="D672" s="9" t="s">
        <v>207</v>
      </c>
      <c r="E672" s="10" t="s">
        <v>208</v>
      </c>
      <c r="F672" s="11">
        <v>155000</v>
      </c>
      <c r="G672" s="11">
        <f>IF(F672="","",ROUND(F672*VLOOKUP(K672,Kurallar!$D$3:$E$14,2,0),2))</f>
        <v>93000</v>
      </c>
      <c r="H672" s="11">
        <f t="shared" ref="H672" si="229">IF(G672="","",G672*I672)</f>
        <v>93000</v>
      </c>
      <c r="I672" s="8">
        <v>1</v>
      </c>
      <c r="J672" s="8" t="s">
        <v>23</v>
      </c>
      <c r="K672" s="8" t="s">
        <v>24</v>
      </c>
      <c r="L672" s="11">
        <f t="shared" ref="L672" si="230">IF(H672="","",H672*$I$181)</f>
        <v>93000</v>
      </c>
      <c r="M672" s="9" t="s">
        <v>20</v>
      </c>
      <c r="N672" s="8" t="s">
        <v>209</v>
      </c>
      <c r="O672" s="8">
        <f>IFERROR(VLOOKUP(N672,Kurallar!$G$3:$H$22,2,0),0)</f>
        <v>90</v>
      </c>
    </row>
    <row r="673" spans="1:15" hidden="1" x14ac:dyDescent="0.25">
      <c r="A673" s="8">
        <v>65</v>
      </c>
      <c r="B673" s="9" t="str">
        <f t="shared" si="228"/>
        <v>ШУ_ВП (ВРУ1-50-00 УХЛ4) (S5)</v>
      </c>
      <c r="C673" s="9" t="s">
        <v>26</v>
      </c>
      <c r="D673" s="9" t="s">
        <v>265</v>
      </c>
      <c r="E673" s="10" t="s">
        <v>266</v>
      </c>
      <c r="F673" s="11">
        <v>4334</v>
      </c>
      <c r="G673" s="11">
        <f>IF(F673="","",ROUND(F673*VLOOKUP(K673,Kurallar!$D$3:$E$14,2,0),2))</f>
        <v>2600.4</v>
      </c>
      <c r="H673" s="11">
        <f t="shared" ref="H673:H679" si="231">IF(G673="","",G673*I673)</f>
        <v>2600.4</v>
      </c>
      <c r="I673" s="8">
        <v>1</v>
      </c>
      <c r="J673" s="8" t="s">
        <v>23</v>
      </c>
      <c r="K673" s="8" t="s">
        <v>29</v>
      </c>
      <c r="L673" s="11">
        <f t="shared" ref="L673:L679" si="232">IF(H673="","",H673*$I$671)</f>
        <v>2600.4</v>
      </c>
      <c r="M673" s="9" t="s">
        <v>26</v>
      </c>
      <c r="N673" s="8" t="s">
        <v>30</v>
      </c>
      <c r="O673" s="8">
        <f>IFERROR(VLOOKUP(N673,Kurallar!$G$3:$H$22,2,0),0)</f>
        <v>30</v>
      </c>
    </row>
    <row r="674" spans="1:15" hidden="1" x14ac:dyDescent="0.25">
      <c r="A674" s="8">
        <v>65</v>
      </c>
      <c r="B674" s="9" t="str">
        <f t="shared" si="228"/>
        <v>ШУ_ВП (ВРУ1-50-00 УХЛ4) (S5)</v>
      </c>
      <c r="C674" s="9" t="s">
        <v>26</v>
      </c>
      <c r="D674" s="9" t="s">
        <v>27</v>
      </c>
      <c r="E674" s="10" t="s">
        <v>28</v>
      </c>
      <c r="F674" s="11">
        <v>4439</v>
      </c>
      <c r="G674" s="11">
        <f>IF(F674="","",ROUND(F674*VLOOKUP(K674,Kurallar!$D$3:$E$14,2,0),2))</f>
        <v>2663.4</v>
      </c>
      <c r="H674" s="11">
        <f t="shared" si="231"/>
        <v>7990.2000000000007</v>
      </c>
      <c r="I674" s="8">
        <v>3</v>
      </c>
      <c r="J674" s="8" t="s">
        <v>23</v>
      </c>
      <c r="K674" s="8" t="s">
        <v>29</v>
      </c>
      <c r="L674" s="11">
        <f t="shared" si="232"/>
        <v>7990.2000000000007</v>
      </c>
      <c r="M674" s="9" t="s">
        <v>26</v>
      </c>
      <c r="N674" s="8" t="s">
        <v>30</v>
      </c>
      <c r="O674" s="8">
        <f>IFERROR(VLOOKUP(N674,Kurallar!$G$3:$H$22,2,0),0)</f>
        <v>30</v>
      </c>
    </row>
    <row r="675" spans="1:15" hidden="1" x14ac:dyDescent="0.25">
      <c r="A675" s="8">
        <v>65</v>
      </c>
      <c r="B675" s="9" t="str">
        <f t="shared" si="228"/>
        <v>ШУ_ВП (ВРУ1-50-00 УХЛ4) (S5)</v>
      </c>
      <c r="C675" s="9" t="s">
        <v>26</v>
      </c>
      <c r="D675" s="9" t="s">
        <v>40</v>
      </c>
      <c r="E675" s="10" t="s">
        <v>41</v>
      </c>
      <c r="F675" s="11">
        <v>4217</v>
      </c>
      <c r="G675" s="11">
        <f>IF(F675="","",ROUND(F675*VLOOKUP(K675,Kurallar!$D$3:$E$14,2,0),2))</f>
        <v>2530.1999999999998</v>
      </c>
      <c r="H675" s="11">
        <f t="shared" si="231"/>
        <v>7590.5999999999995</v>
      </c>
      <c r="I675" s="8">
        <v>3</v>
      </c>
      <c r="J675" s="8" t="s">
        <v>23</v>
      </c>
      <c r="K675" s="8" t="s">
        <v>29</v>
      </c>
      <c r="L675" s="11">
        <f t="shared" si="232"/>
        <v>7590.5999999999995</v>
      </c>
      <c r="M675" s="9" t="s">
        <v>26</v>
      </c>
      <c r="N675" s="8" t="s">
        <v>42</v>
      </c>
      <c r="O675" s="8">
        <f>IFERROR(VLOOKUP(N675,Kurallar!$G$3:$H$22,2,0),0)</f>
        <v>15</v>
      </c>
    </row>
    <row r="676" spans="1:15" hidden="1" x14ac:dyDescent="0.25">
      <c r="A676" s="8">
        <v>65</v>
      </c>
      <c r="B676" s="9" t="str">
        <f t="shared" si="228"/>
        <v>ШУ_ВП (ВРУ1-50-00 УХЛ4) (S5)</v>
      </c>
      <c r="C676" s="9" t="s">
        <v>145</v>
      </c>
      <c r="D676" s="9" t="s">
        <v>293</v>
      </c>
      <c r="E676" s="10" t="s">
        <v>294</v>
      </c>
      <c r="F676" s="11">
        <v>19443</v>
      </c>
      <c r="G676" s="11">
        <f>IF(F676="","",ROUND(F676*VLOOKUP(K676,Kurallar!$D$3:$E$14,2,0),2))</f>
        <v>11665.8</v>
      </c>
      <c r="H676" s="11">
        <f t="shared" si="231"/>
        <v>11665.8</v>
      </c>
      <c r="I676" s="8">
        <v>1</v>
      </c>
      <c r="J676" s="8" t="s">
        <v>23</v>
      </c>
      <c r="K676" s="8" t="s">
        <v>29</v>
      </c>
      <c r="L676" s="11">
        <f t="shared" si="232"/>
        <v>11665.8</v>
      </c>
      <c r="M676" s="9" t="s">
        <v>145</v>
      </c>
      <c r="N676" s="8" t="s">
        <v>148</v>
      </c>
      <c r="O676" s="8">
        <f>IFERROR(VLOOKUP(N676,Kurallar!$G$3:$H$22,2,0),0)</f>
        <v>35</v>
      </c>
    </row>
    <row r="677" spans="1:15" hidden="1" x14ac:dyDescent="0.25">
      <c r="A677" s="8">
        <v>65</v>
      </c>
      <c r="B677" s="9" t="str">
        <f t="shared" si="228"/>
        <v>ШУ_ВП (ВРУ1-50-00 УХЛ4) (S5)</v>
      </c>
      <c r="C677" s="9" t="s">
        <v>145</v>
      </c>
      <c r="D677" s="9" t="s">
        <v>295</v>
      </c>
      <c r="E677" s="10" t="s">
        <v>296</v>
      </c>
      <c r="F677" s="11">
        <v>19418</v>
      </c>
      <c r="G677" s="11">
        <f>IF(F677="","",ROUND(F677*VLOOKUP(K677,Kurallar!$D$3:$E$14,2,0),2))</f>
        <v>11650.8</v>
      </c>
      <c r="H677" s="11">
        <f t="shared" si="231"/>
        <v>34952.399999999994</v>
      </c>
      <c r="I677" s="8">
        <v>3</v>
      </c>
      <c r="J677" s="8" t="s">
        <v>23</v>
      </c>
      <c r="K677" s="8" t="s">
        <v>29</v>
      </c>
      <c r="L677" s="11">
        <f t="shared" si="232"/>
        <v>34952.399999999994</v>
      </c>
      <c r="M677" s="9" t="s">
        <v>145</v>
      </c>
      <c r="N677" s="8" t="s">
        <v>148</v>
      </c>
      <c r="O677" s="8">
        <f>IFERROR(VLOOKUP(N677,Kurallar!$G$3:$H$22,2,0),0)</f>
        <v>35</v>
      </c>
    </row>
    <row r="678" spans="1:15" hidden="1" x14ac:dyDescent="0.25">
      <c r="A678" s="8">
        <v>65</v>
      </c>
      <c r="B678" s="9" t="str">
        <f t="shared" si="228"/>
        <v>ШУ_ВП (ВРУ1-50-00 УХЛ4) (S5)</v>
      </c>
      <c r="C678" s="9" t="s">
        <v>145</v>
      </c>
      <c r="D678" s="9" t="s">
        <v>316</v>
      </c>
      <c r="E678" s="10" t="s">
        <v>317</v>
      </c>
      <c r="F678" s="11">
        <v>18263</v>
      </c>
      <c r="G678" s="11">
        <f>IF(F678="","",ROUND(F678*VLOOKUP(K678,Kurallar!$D$3:$E$14,2,0),2))</f>
        <v>10957.8</v>
      </c>
      <c r="H678" s="11">
        <f t="shared" si="231"/>
        <v>32873.399999999994</v>
      </c>
      <c r="I678" s="8">
        <v>3</v>
      </c>
      <c r="J678" s="8" t="s">
        <v>23</v>
      </c>
      <c r="K678" s="8" t="s">
        <v>29</v>
      </c>
      <c r="L678" s="11">
        <f t="shared" si="232"/>
        <v>32873.399999999994</v>
      </c>
      <c r="M678" s="9" t="s">
        <v>145</v>
      </c>
      <c r="N678" s="8" t="s">
        <v>148</v>
      </c>
      <c r="O678" s="8">
        <f>IFERROR(VLOOKUP(N678,Kurallar!$G$3:$H$22,2,0),0)</f>
        <v>35</v>
      </c>
    </row>
    <row r="679" spans="1:15" hidden="1" x14ac:dyDescent="0.25">
      <c r="A679" s="8">
        <v>65</v>
      </c>
      <c r="B679" s="9" t="str">
        <f t="shared" si="228"/>
        <v>ШУ_ВП (ВРУ1-50-00 УХЛ4) (S5)</v>
      </c>
      <c r="C679" s="9" t="s">
        <v>82</v>
      </c>
      <c r="D679" s="9" t="s">
        <v>451</v>
      </c>
      <c r="E679" s="10" t="s">
        <v>452</v>
      </c>
      <c r="F679" s="11">
        <v>0</v>
      </c>
      <c r="G679" s="11">
        <f>F679</f>
        <v>0</v>
      </c>
      <c r="H679" s="11">
        <f t="shared" si="231"/>
        <v>0</v>
      </c>
      <c r="I679" s="8">
        <v>7</v>
      </c>
      <c r="J679" s="8" t="s">
        <v>23</v>
      </c>
      <c r="K679" s="8" t="s">
        <v>751</v>
      </c>
      <c r="L679" s="11">
        <f t="shared" si="232"/>
        <v>0</v>
      </c>
      <c r="M679" s="9" t="s">
        <v>82</v>
      </c>
      <c r="N679" s="8" t="s">
        <v>85</v>
      </c>
      <c r="O679" s="8">
        <f>IFERROR(VLOOKUP(N679,Kurallar!$G$3:$H$22,2,0),0)</f>
        <v>25</v>
      </c>
    </row>
    <row r="680" spans="1:15" hidden="1" x14ac:dyDescent="0.25">
      <c r="A680" s="8">
        <v>65</v>
      </c>
      <c r="B680" t="e">
        <f>#REF!</f>
        <v>#REF!</v>
      </c>
      <c r="C680" s="9" t="s">
        <v>31</v>
      </c>
      <c r="E680" s="9" t="s">
        <v>32</v>
      </c>
      <c r="F680" s="11"/>
      <c r="G680" s="11">
        <f>ROUND(SUM(H672:H679)*Kurallar!$B$2,2)</f>
        <v>22880.74</v>
      </c>
      <c r="H680" s="11">
        <f>G680*I680</f>
        <v>22880.74</v>
      </c>
      <c r="I680" s="8">
        <v>1</v>
      </c>
      <c r="J680" s="8" t="s">
        <v>19</v>
      </c>
      <c r="K680" s="8" t="s">
        <v>33</v>
      </c>
      <c r="L680" s="11">
        <f>H680*$I$671</f>
        <v>22880.74</v>
      </c>
      <c r="M680" s="9" t="s">
        <v>31</v>
      </c>
    </row>
    <row r="681" spans="1:15" hidden="1" x14ac:dyDescent="0.25">
      <c r="A681" s="8">
        <v>65</v>
      </c>
      <c r="B681" t="e">
        <f t="shared" si="228"/>
        <v>#REF!</v>
      </c>
      <c r="C681" s="9" t="s">
        <v>34</v>
      </c>
      <c r="E681" s="9" t="s">
        <v>35</v>
      </c>
      <c r="F681" s="11">
        <f>ROUND(I681/60,1)</f>
        <v>12.9</v>
      </c>
      <c r="G681" s="11">
        <f>Kurallar!$B$3</f>
        <v>100</v>
      </c>
      <c r="H681" s="11">
        <f>G681*I681</f>
        <v>77600</v>
      </c>
      <c r="I681" s="8">
        <f>ROUND(SUMPRODUCT(I672:I679,O672:O679)*Kurallar!$B$4,0)</f>
        <v>776</v>
      </c>
      <c r="J681" s="8" t="s">
        <v>36</v>
      </c>
      <c r="K681" s="8" t="s">
        <v>33</v>
      </c>
      <c r="L681" s="11">
        <f>H681*$I$671</f>
        <v>77600</v>
      </c>
      <c r="M681" s="9" t="s">
        <v>34</v>
      </c>
    </row>
    <row r="682" spans="1:15" hidden="1" x14ac:dyDescent="0.25">
      <c r="A682" s="12"/>
      <c r="B682" s="13" t="s">
        <v>453</v>
      </c>
      <c r="C682" s="12"/>
      <c r="D682" s="12"/>
      <c r="E682" s="13" t="s">
        <v>454</v>
      </c>
      <c r="F682" s="12"/>
      <c r="G682" s="12"/>
      <c r="H682" s="14">
        <f>SUBTOTAL(9,H672:H681)</f>
        <v>0</v>
      </c>
      <c r="I682" s="15">
        <v>1</v>
      </c>
      <c r="J682" s="15" t="s">
        <v>19</v>
      </c>
      <c r="K682" s="12"/>
      <c r="L682" s="14">
        <f>SUBTOTAL(9,L672:L681)</f>
        <v>0</v>
      </c>
      <c r="M682" s="12"/>
      <c r="N682" s="12"/>
      <c r="O682" s="12"/>
    </row>
    <row r="683" spans="1:15" hidden="1" x14ac:dyDescent="0.25">
      <c r="A683" s="4">
        <v>66</v>
      </c>
      <c r="B683" s="5" t="s">
        <v>455</v>
      </c>
      <c r="C683" s="6" t="s">
        <v>18</v>
      </c>
      <c r="D683" s="6"/>
      <c r="E683" s="7" t="s">
        <v>455</v>
      </c>
      <c r="F683" s="6"/>
      <c r="G683" s="6"/>
      <c r="H683" s="6"/>
      <c r="I683" s="4">
        <v>1</v>
      </c>
      <c r="J683" s="4" t="s">
        <v>19</v>
      </c>
      <c r="K683" s="6"/>
      <c r="L683" s="6"/>
      <c r="M683" s="6"/>
      <c r="N683" s="6"/>
      <c r="O683" s="6"/>
    </row>
    <row r="684" spans="1:15" hidden="1" x14ac:dyDescent="0.25">
      <c r="A684" s="8">
        <v>66</v>
      </c>
      <c r="B684" s="9" t="str">
        <f t="shared" ref="B684:B687" si="233">B683</f>
        <v>ЩС-3(S5)</v>
      </c>
      <c r="C684" s="9" t="s">
        <v>20</v>
      </c>
      <c r="D684" s="9" t="s">
        <v>153</v>
      </c>
      <c r="E684" s="10" t="s">
        <v>154</v>
      </c>
      <c r="F684" s="11">
        <v>10270</v>
      </c>
      <c r="G684" s="11">
        <f>IF(F684="","",ROUND(F684*VLOOKUP(K684,Kurallar!$D$3:$E$14,2,0),2))</f>
        <v>6162</v>
      </c>
      <c r="H684" s="11">
        <f t="shared" ref="H684" si="234">IF(G684="","",G684*I684)</f>
        <v>6162</v>
      </c>
      <c r="I684" s="8">
        <v>1</v>
      </c>
      <c r="J684" s="8" t="s">
        <v>23</v>
      </c>
      <c r="K684" s="8" t="s">
        <v>24</v>
      </c>
      <c r="L684" s="11">
        <f t="shared" ref="L684" si="235">IF(H684="","",H684*$I$181)</f>
        <v>6162</v>
      </c>
      <c r="M684" s="9" t="s">
        <v>20</v>
      </c>
      <c r="N684" s="8" t="s">
        <v>25</v>
      </c>
      <c r="O684" s="8">
        <f>IFERROR(VLOOKUP(N684,Kurallar!$G$3:$H$22,2,0),0)</f>
        <v>8</v>
      </c>
    </row>
    <row r="685" spans="1:15" hidden="1" x14ac:dyDescent="0.25">
      <c r="A685" s="8">
        <v>66</v>
      </c>
      <c r="B685" s="9" t="str">
        <f t="shared" si="233"/>
        <v>ЩС-3(S5)</v>
      </c>
      <c r="C685" s="9" t="s">
        <v>26</v>
      </c>
      <c r="D685" s="9" t="s">
        <v>27</v>
      </c>
      <c r="E685" s="10" t="s">
        <v>28</v>
      </c>
      <c r="F685" s="11">
        <v>4439</v>
      </c>
      <c r="G685" s="11">
        <f>IF(F685="","",ROUND(F685*VLOOKUP(K685,Kurallar!$D$3:$E$14,2,0),2))</f>
        <v>2663.4</v>
      </c>
      <c r="H685" s="11">
        <f>IF(G685="","",G685*I685)</f>
        <v>2663.4</v>
      </c>
      <c r="I685" s="8">
        <v>1</v>
      </c>
      <c r="J685" s="8" t="s">
        <v>23</v>
      </c>
      <c r="K685" s="8" t="s">
        <v>29</v>
      </c>
      <c r="L685" s="11">
        <f>IF(H685="","",H685*$I$683)</f>
        <v>2663.4</v>
      </c>
      <c r="M685" s="9" t="s">
        <v>26</v>
      </c>
      <c r="N685" s="8" t="s">
        <v>30</v>
      </c>
      <c r="O685" s="8">
        <f>IFERROR(VLOOKUP(N685,Kurallar!$G$3:$H$22,2,0),0)</f>
        <v>30</v>
      </c>
    </row>
    <row r="686" spans="1:15" hidden="1" x14ac:dyDescent="0.25">
      <c r="A686" s="8">
        <v>66</v>
      </c>
      <c r="B686" t="str">
        <f t="shared" si="233"/>
        <v>ЩС-3(S5)</v>
      </c>
      <c r="C686" s="9" t="s">
        <v>31</v>
      </c>
      <c r="E686" s="9" t="s">
        <v>32</v>
      </c>
      <c r="F686" s="11"/>
      <c r="G686" s="11">
        <f>ROUND(SUM(H684:H685)*Kurallar!$B$2,2)</f>
        <v>1059.05</v>
      </c>
      <c r="H686" s="11">
        <f>G686*I686</f>
        <v>1059.05</v>
      </c>
      <c r="I686" s="8">
        <v>1</v>
      </c>
      <c r="J686" s="8" t="s">
        <v>19</v>
      </c>
      <c r="K686" s="8" t="s">
        <v>33</v>
      </c>
      <c r="L686" s="11">
        <f>H686*$I$683</f>
        <v>1059.05</v>
      </c>
      <c r="M686" s="9" t="s">
        <v>31</v>
      </c>
    </row>
    <row r="687" spans="1:15" hidden="1" x14ac:dyDescent="0.25">
      <c r="A687" s="8">
        <v>66</v>
      </c>
      <c r="B687" t="str">
        <f t="shared" si="233"/>
        <v>ЩС-3(S5)</v>
      </c>
      <c r="C687" s="9" t="s">
        <v>34</v>
      </c>
      <c r="E687" s="9" t="s">
        <v>35</v>
      </c>
      <c r="F687" s="11">
        <f>ROUND(I687/60,1)</f>
        <v>0.7</v>
      </c>
      <c r="G687" s="11">
        <f>Kurallar!$B$3</f>
        <v>100</v>
      </c>
      <c r="H687" s="11">
        <f>G687*I687</f>
        <v>4400</v>
      </c>
      <c r="I687" s="8">
        <f>ROUND(SUMPRODUCT(I684:I685,O684:O685)*Kurallar!$B$4,0)</f>
        <v>44</v>
      </c>
      <c r="J687" s="8" t="s">
        <v>36</v>
      </c>
      <c r="K687" s="8" t="s">
        <v>33</v>
      </c>
      <c r="L687" s="11">
        <f>H687*$I$683</f>
        <v>4400</v>
      </c>
      <c r="M687" s="9" t="s">
        <v>34</v>
      </c>
    </row>
    <row r="688" spans="1:15" hidden="1" x14ac:dyDescent="0.25">
      <c r="A688" s="12"/>
      <c r="B688" s="13" t="s">
        <v>456</v>
      </c>
      <c r="C688" s="12"/>
      <c r="D688" s="12"/>
      <c r="E688" s="13" t="s">
        <v>457</v>
      </c>
      <c r="F688" s="12"/>
      <c r="G688" s="12"/>
      <c r="H688" s="14">
        <f>SUBTOTAL(9,H684:H687)</f>
        <v>0</v>
      </c>
      <c r="I688" s="15">
        <v>1</v>
      </c>
      <c r="J688" s="15" t="s">
        <v>19</v>
      </c>
      <c r="K688" s="12"/>
      <c r="L688" s="14">
        <f>SUBTOTAL(9,L684:L687)</f>
        <v>0</v>
      </c>
      <c r="M688" s="12"/>
      <c r="N688" s="12"/>
      <c r="O688" s="12"/>
    </row>
    <row r="689" spans="1:15" hidden="1" x14ac:dyDescent="0.25">
      <c r="A689" s="4">
        <v>67</v>
      </c>
      <c r="B689" s="5" t="s">
        <v>458</v>
      </c>
      <c r="C689" s="6" t="s">
        <v>18</v>
      </c>
      <c r="D689" s="6"/>
      <c r="E689" s="7" t="s">
        <v>458</v>
      </c>
      <c r="F689" s="6"/>
      <c r="G689" s="6"/>
      <c r="H689" s="6"/>
      <c r="I689" s="4">
        <v>1</v>
      </c>
      <c r="J689" s="4" t="s">
        <v>19</v>
      </c>
      <c r="K689" s="6"/>
      <c r="L689" s="6"/>
      <c r="M689" s="6"/>
      <c r="N689" s="6"/>
      <c r="O689" s="6"/>
    </row>
    <row r="690" spans="1:15" hidden="1" x14ac:dyDescent="0.25">
      <c r="A690" s="8">
        <v>67</v>
      </c>
      <c r="B690" s="9" t="str">
        <f t="shared" ref="B690:B693" si="236">B689</f>
        <v>ЩС-4(S5)</v>
      </c>
      <c r="C690" s="9" t="s">
        <v>20</v>
      </c>
      <c r="D690" s="9" t="s">
        <v>153</v>
      </c>
      <c r="E690" s="10" t="s">
        <v>154</v>
      </c>
      <c r="F690" s="11">
        <v>10270</v>
      </c>
      <c r="G690" s="11">
        <f>IF(F690="","",ROUND(F690*VLOOKUP(K690,Kurallar!$D$3:$E$14,2,0),2))</f>
        <v>6162</v>
      </c>
      <c r="H690" s="11">
        <f t="shared" ref="H690" si="237">IF(G690="","",G690*I690)</f>
        <v>6162</v>
      </c>
      <c r="I690" s="8">
        <v>1</v>
      </c>
      <c r="J690" s="8" t="s">
        <v>23</v>
      </c>
      <c r="K690" s="8" t="s">
        <v>24</v>
      </c>
      <c r="L690" s="11">
        <f t="shared" ref="L690" si="238">IF(H690="","",H690*$I$181)</f>
        <v>6162</v>
      </c>
      <c r="M690" s="9" t="s">
        <v>20</v>
      </c>
      <c r="N690" s="8" t="s">
        <v>25</v>
      </c>
      <c r="O690" s="8">
        <f>IFERROR(VLOOKUP(N690,Kurallar!$G$3:$H$22,2,0),0)</f>
        <v>8</v>
      </c>
    </row>
    <row r="691" spans="1:15" hidden="1" x14ac:dyDescent="0.25">
      <c r="A691" s="8">
        <v>67</v>
      </c>
      <c r="B691" s="9" t="str">
        <f t="shared" si="236"/>
        <v>ЩС-4(S5)</v>
      </c>
      <c r="C691" s="9" t="s">
        <v>26</v>
      </c>
      <c r="D691" s="9" t="s">
        <v>40</v>
      </c>
      <c r="E691" s="10" t="s">
        <v>41</v>
      </c>
      <c r="F691" s="11">
        <v>4217</v>
      </c>
      <c r="G691" s="11">
        <f>IF(F691="","",ROUND(F691*VLOOKUP(K691,Kurallar!$D$3:$E$14,2,0),2))</f>
        <v>2530.1999999999998</v>
      </c>
      <c r="H691" s="11">
        <f>IF(G691="","",G691*I691)</f>
        <v>2530.1999999999998</v>
      </c>
      <c r="I691" s="8">
        <v>1</v>
      </c>
      <c r="J691" s="8" t="s">
        <v>23</v>
      </c>
      <c r="K691" s="8" t="s">
        <v>29</v>
      </c>
      <c r="L691" s="11">
        <f>IF(H691="","",H691*$I$689)</f>
        <v>2530.1999999999998</v>
      </c>
      <c r="M691" s="9" t="s">
        <v>26</v>
      </c>
      <c r="N691" s="8" t="s">
        <v>42</v>
      </c>
      <c r="O691" s="8">
        <f>IFERROR(VLOOKUP(N691,Kurallar!$G$3:$H$22,2,0),0)</f>
        <v>15</v>
      </c>
    </row>
    <row r="692" spans="1:15" hidden="1" x14ac:dyDescent="0.25">
      <c r="A692" s="8">
        <v>67</v>
      </c>
      <c r="B692" t="str">
        <f t="shared" si="236"/>
        <v>ЩС-4(S5)</v>
      </c>
      <c r="C692" s="9" t="s">
        <v>31</v>
      </c>
      <c r="E692" s="9" t="s">
        <v>32</v>
      </c>
      <c r="F692" s="11"/>
      <c r="G692" s="11">
        <f>ROUND(SUM(H690:H691)*Kurallar!$B$2,2)</f>
        <v>1043.06</v>
      </c>
      <c r="H692" s="11">
        <f>G692*I692</f>
        <v>1043.06</v>
      </c>
      <c r="I692" s="8">
        <v>1</v>
      </c>
      <c r="J692" s="8" t="s">
        <v>19</v>
      </c>
      <c r="K692" s="8" t="s">
        <v>33</v>
      </c>
      <c r="L692" s="11">
        <f>H692*$I$689</f>
        <v>1043.06</v>
      </c>
      <c r="M692" s="9" t="s">
        <v>31</v>
      </c>
    </row>
    <row r="693" spans="1:15" hidden="1" x14ac:dyDescent="0.25">
      <c r="A693" s="8">
        <v>67</v>
      </c>
      <c r="B693" t="str">
        <f t="shared" si="236"/>
        <v>ЩС-4(S5)</v>
      </c>
      <c r="C693" s="9" t="s">
        <v>34</v>
      </c>
      <c r="E693" s="9" t="s">
        <v>35</v>
      </c>
      <c r="F693" s="11">
        <f>ROUND(I693/60,1)</f>
        <v>0.4</v>
      </c>
      <c r="G693" s="11">
        <f>Kurallar!$B$3</f>
        <v>100</v>
      </c>
      <c r="H693" s="11">
        <f>G693*I693</f>
        <v>2600</v>
      </c>
      <c r="I693" s="8">
        <f>ROUND(SUMPRODUCT(I690:I691,O690:O691)*Kurallar!$B$4,0)</f>
        <v>26</v>
      </c>
      <c r="J693" s="8" t="s">
        <v>36</v>
      </c>
      <c r="K693" s="8" t="s">
        <v>33</v>
      </c>
      <c r="L693" s="11">
        <f>H693*$I$689</f>
        <v>2600</v>
      </c>
      <c r="M693" s="9" t="s">
        <v>34</v>
      </c>
    </row>
    <row r="694" spans="1:15" hidden="1" x14ac:dyDescent="0.25">
      <c r="A694" s="12"/>
      <c r="B694" s="13" t="s">
        <v>459</v>
      </c>
      <c r="C694" s="12"/>
      <c r="D694" s="12"/>
      <c r="E694" s="13" t="s">
        <v>460</v>
      </c>
      <c r="F694" s="12"/>
      <c r="G694" s="12"/>
      <c r="H694" s="14">
        <f>SUBTOTAL(9,H690:H693)</f>
        <v>0</v>
      </c>
      <c r="I694" s="15">
        <v>1</v>
      </c>
      <c r="J694" s="15" t="s">
        <v>19</v>
      </c>
      <c r="K694" s="12"/>
      <c r="L694" s="14">
        <f>SUBTOTAL(9,L690:L693)</f>
        <v>0</v>
      </c>
      <c r="M694" s="12"/>
      <c r="N694" s="12"/>
      <c r="O694" s="12"/>
    </row>
    <row r="695" spans="1:15" hidden="1" x14ac:dyDescent="0.25">
      <c r="A695" s="4">
        <v>68</v>
      </c>
      <c r="B695" s="5" t="s">
        <v>461</v>
      </c>
      <c r="C695" s="6" t="s">
        <v>18</v>
      </c>
      <c r="D695" s="6"/>
      <c r="E695" s="7" t="s">
        <v>461</v>
      </c>
      <c r="F695" s="6"/>
      <c r="G695" s="6"/>
      <c r="H695" s="6"/>
      <c r="I695" s="4">
        <v>1</v>
      </c>
      <c r="J695" s="4" t="s">
        <v>19</v>
      </c>
      <c r="K695" s="6"/>
      <c r="L695" s="6"/>
      <c r="M695" s="6"/>
      <c r="N695" s="6"/>
      <c r="O695" s="6"/>
    </row>
    <row r="696" spans="1:15" hidden="1" x14ac:dyDescent="0.25">
      <c r="A696" s="8">
        <v>68</v>
      </c>
      <c r="B696" s="9" t="str">
        <f t="shared" ref="B696:B701" si="239">B695</f>
        <v>ЩС-м(S5)</v>
      </c>
      <c r="C696" s="9" t="s">
        <v>20</v>
      </c>
      <c r="D696" s="9" t="s">
        <v>331</v>
      </c>
      <c r="E696" s="10" t="s">
        <v>332</v>
      </c>
      <c r="F696" s="11">
        <v>9825</v>
      </c>
      <c r="G696" s="11">
        <f>IF(F696="","",ROUND(F696*VLOOKUP(K696,Kurallar!$D$3:$E$14,2,0),2))</f>
        <v>5895</v>
      </c>
      <c r="H696" s="11">
        <f t="shared" ref="H696" si="240">IF(G696="","",G696*I696)</f>
        <v>5895</v>
      </c>
      <c r="I696" s="8">
        <v>1</v>
      </c>
      <c r="J696" s="8" t="s">
        <v>23</v>
      </c>
      <c r="K696" s="8" t="s">
        <v>24</v>
      </c>
      <c r="L696" s="11">
        <f t="shared" ref="L696" si="241">IF(H696="","",H696*$I$181)</f>
        <v>5895</v>
      </c>
      <c r="M696" s="9" t="s">
        <v>20</v>
      </c>
      <c r="N696" s="8" t="s">
        <v>25</v>
      </c>
      <c r="O696" s="8">
        <f>IFERROR(VLOOKUP(N696,Kurallar!$G$3:$H$22,2,0),0)</f>
        <v>8</v>
      </c>
    </row>
    <row r="697" spans="1:15" hidden="1" x14ac:dyDescent="0.25">
      <c r="A697" s="8">
        <v>68</v>
      </c>
      <c r="B697" s="9" t="str">
        <f t="shared" si="239"/>
        <v>ЩС-м(S5)</v>
      </c>
      <c r="C697" s="9" t="s">
        <v>26</v>
      </c>
      <c r="D697" s="9" t="s">
        <v>48</v>
      </c>
      <c r="E697" s="10" t="s">
        <v>49</v>
      </c>
      <c r="F697" s="11">
        <v>3372</v>
      </c>
      <c r="G697" s="11">
        <f>IF(F697="","",ROUND(F697*VLOOKUP(K697,Kurallar!$D$3:$E$14,2,0),2))</f>
        <v>2023.2</v>
      </c>
      <c r="H697" s="11">
        <f>IF(G697="","",G697*I697)</f>
        <v>2023.2</v>
      </c>
      <c r="I697" s="8">
        <v>1</v>
      </c>
      <c r="J697" s="8" t="s">
        <v>23</v>
      </c>
      <c r="K697" s="8" t="s">
        <v>29</v>
      </c>
      <c r="L697" s="11">
        <f>IF(H697="","",H697*$I$695)</f>
        <v>2023.2</v>
      </c>
      <c r="M697" s="9" t="s">
        <v>26</v>
      </c>
      <c r="N697" s="8" t="s">
        <v>42</v>
      </c>
      <c r="O697" s="8">
        <f>IFERROR(VLOOKUP(N697,Kurallar!$G$3:$H$22,2,0),0)</f>
        <v>15</v>
      </c>
    </row>
    <row r="698" spans="1:15" hidden="1" x14ac:dyDescent="0.25">
      <c r="A698" s="8">
        <v>68</v>
      </c>
      <c r="B698" s="9" t="str">
        <f t="shared" si="239"/>
        <v>ЩС-м(S5)</v>
      </c>
      <c r="C698" s="9" t="s">
        <v>50</v>
      </c>
      <c r="D698" s="9" t="s">
        <v>274</v>
      </c>
      <c r="E698" s="10" t="s">
        <v>275</v>
      </c>
      <c r="F698" s="11">
        <v>5104</v>
      </c>
      <c r="G698" s="11">
        <f>IF(F698="","",ROUND(F698*VLOOKUP(K698,Kurallar!$D$3:$E$14,2,0),2))</f>
        <v>3062.4</v>
      </c>
      <c r="H698" s="11">
        <f>IF(G698="","",G698*I698)</f>
        <v>3062.4</v>
      </c>
      <c r="I698" s="8">
        <v>1</v>
      </c>
      <c r="J698" s="8" t="s">
        <v>23</v>
      </c>
      <c r="K698" s="8" t="s">
        <v>29</v>
      </c>
      <c r="L698" s="11">
        <f>IF(H698="","",H698*$I$695)</f>
        <v>3062.4</v>
      </c>
      <c r="M698" s="9" t="s">
        <v>50</v>
      </c>
      <c r="N698" s="8" t="s">
        <v>53</v>
      </c>
      <c r="O698" s="8">
        <f>IFERROR(VLOOKUP(N698,Kurallar!$G$3:$H$22,2,0),0)</f>
        <v>16</v>
      </c>
    </row>
    <row r="699" spans="1:15" hidden="1" x14ac:dyDescent="0.25">
      <c r="A699" s="8">
        <v>68</v>
      </c>
      <c r="B699" s="9" t="str">
        <f t="shared" si="239"/>
        <v>ЩС-м(S5)</v>
      </c>
      <c r="C699" s="9" t="s">
        <v>54</v>
      </c>
      <c r="D699" s="9" t="s">
        <v>93</v>
      </c>
      <c r="E699" s="10" t="s">
        <v>94</v>
      </c>
      <c r="F699" s="11">
        <v>783</v>
      </c>
      <c r="G699" s="11">
        <f>IF(F699="","",ROUND(F699*VLOOKUP(K699,Kurallar!$D$3:$E$14,2,0),2))</f>
        <v>469.8</v>
      </c>
      <c r="H699" s="11">
        <f>IF(G699="","",G699*I699)</f>
        <v>469.8</v>
      </c>
      <c r="I699" s="8">
        <v>1</v>
      </c>
      <c r="J699" s="8" t="s">
        <v>23</v>
      </c>
      <c r="K699" s="8" t="s">
        <v>29</v>
      </c>
      <c r="L699" s="11">
        <f>IF(H699="","",H699*$I$695)</f>
        <v>469.8</v>
      </c>
      <c r="M699" s="9" t="s">
        <v>54</v>
      </c>
      <c r="N699" s="8" t="s">
        <v>57</v>
      </c>
      <c r="O699" s="8">
        <f>IFERROR(VLOOKUP(N699,Kurallar!$G$3:$H$22,2,0),0)</f>
        <v>3</v>
      </c>
    </row>
    <row r="700" spans="1:15" hidden="1" x14ac:dyDescent="0.25">
      <c r="A700" s="8">
        <v>68</v>
      </c>
      <c r="B700" t="str">
        <f t="shared" si="239"/>
        <v>ЩС-м(S5)</v>
      </c>
      <c r="C700" s="9" t="s">
        <v>31</v>
      </c>
      <c r="E700" s="9" t="s">
        <v>32</v>
      </c>
      <c r="F700" s="11"/>
      <c r="G700" s="11">
        <f>ROUND(SUM(H696:H699)*Kurallar!$B$2,2)</f>
        <v>1374.05</v>
      </c>
      <c r="H700" s="11">
        <f>G700*I700</f>
        <v>1374.05</v>
      </c>
      <c r="I700" s="8">
        <v>1</v>
      </c>
      <c r="J700" s="8" t="s">
        <v>19</v>
      </c>
      <c r="K700" s="8" t="s">
        <v>33</v>
      </c>
      <c r="L700" s="11">
        <f>H700*$I$695</f>
        <v>1374.05</v>
      </c>
      <c r="M700" s="9" t="s">
        <v>31</v>
      </c>
    </row>
    <row r="701" spans="1:15" hidden="1" x14ac:dyDescent="0.25">
      <c r="A701" s="8">
        <v>68</v>
      </c>
      <c r="B701" t="str">
        <f t="shared" si="239"/>
        <v>ЩС-м(S5)</v>
      </c>
      <c r="C701" s="9" t="s">
        <v>34</v>
      </c>
      <c r="E701" s="9" t="s">
        <v>35</v>
      </c>
      <c r="F701" s="11">
        <f>ROUND(I701/60,1)</f>
        <v>0.8</v>
      </c>
      <c r="G701" s="11">
        <f>Kurallar!$B$3</f>
        <v>100</v>
      </c>
      <c r="H701" s="11">
        <f>G701*I701</f>
        <v>4800</v>
      </c>
      <c r="I701" s="8">
        <f>ROUND(SUMPRODUCT(I696:I699,O696:O699)*Kurallar!$B$4,0)</f>
        <v>48</v>
      </c>
      <c r="J701" s="8" t="s">
        <v>36</v>
      </c>
      <c r="K701" s="8" t="s">
        <v>33</v>
      </c>
      <c r="L701" s="11">
        <f>H701*$I$695</f>
        <v>4800</v>
      </c>
      <c r="M701" s="9" t="s">
        <v>34</v>
      </c>
    </row>
    <row r="702" spans="1:15" hidden="1" x14ac:dyDescent="0.25">
      <c r="A702" s="12"/>
      <c r="B702" s="13" t="s">
        <v>462</v>
      </c>
      <c r="C702" s="12"/>
      <c r="D702" s="12"/>
      <c r="E702" s="13" t="s">
        <v>463</v>
      </c>
      <c r="F702" s="12"/>
      <c r="G702" s="12"/>
      <c r="H702" s="14">
        <f>SUBTOTAL(9,H696:H701)</f>
        <v>0</v>
      </c>
      <c r="I702" s="15">
        <v>1</v>
      </c>
      <c r="J702" s="15" t="s">
        <v>19</v>
      </c>
      <c r="K702" s="12"/>
      <c r="L702" s="14">
        <f>SUBTOTAL(9,L696:L701)</f>
        <v>0</v>
      </c>
      <c r="M702" s="12"/>
      <c r="N702" s="12"/>
      <c r="O702" s="12"/>
    </row>
    <row r="703" spans="1:15" hidden="1" x14ac:dyDescent="0.25">
      <c r="A703" s="4">
        <v>69</v>
      </c>
      <c r="B703" s="5" t="s">
        <v>464</v>
      </c>
      <c r="C703" s="6" t="s">
        <v>18</v>
      </c>
      <c r="D703" s="6"/>
      <c r="E703" s="7" t="s">
        <v>464</v>
      </c>
      <c r="F703" s="6"/>
      <c r="G703" s="6"/>
      <c r="H703" s="6"/>
      <c r="I703" s="4">
        <v>1</v>
      </c>
      <c r="J703" s="4" t="s">
        <v>19</v>
      </c>
      <c r="K703" s="6"/>
      <c r="L703" s="6"/>
      <c r="M703" s="6"/>
      <c r="N703" s="6"/>
      <c r="O703" s="6"/>
    </row>
    <row r="704" spans="1:15" hidden="1" x14ac:dyDescent="0.25">
      <c r="A704" s="8">
        <v>69</v>
      </c>
      <c r="B704" s="9" t="str">
        <f t="shared" ref="B704:B710" si="242">B703</f>
        <v>ЩС-ДУ(S5)</v>
      </c>
      <c r="C704" s="9" t="s">
        <v>20</v>
      </c>
      <c r="D704" s="9" t="s">
        <v>46</v>
      </c>
      <c r="E704" s="10" t="s">
        <v>47</v>
      </c>
      <c r="F704" s="11">
        <v>9620</v>
      </c>
      <c r="G704" s="11">
        <f>IF(F704="","",ROUND(F704*VLOOKUP(K704,Kurallar!$D$3:$E$14,2,0),2))</f>
        <v>5772</v>
      </c>
      <c r="H704" s="11">
        <f t="shared" ref="H704" si="243">IF(G704="","",G704*I704)</f>
        <v>5772</v>
      </c>
      <c r="I704" s="8">
        <v>1</v>
      </c>
      <c r="J704" s="8" t="s">
        <v>23</v>
      </c>
      <c r="K704" s="8" t="s">
        <v>24</v>
      </c>
      <c r="L704" s="11">
        <f t="shared" ref="L704" si="244">IF(H704="","",H704*$I$181)</f>
        <v>5772</v>
      </c>
      <c r="M704" s="9" t="s">
        <v>20</v>
      </c>
      <c r="N704" s="8" t="s">
        <v>25</v>
      </c>
      <c r="O704" s="8">
        <f>IFERROR(VLOOKUP(N704,Kurallar!$G$3:$H$22,2,0),0)</f>
        <v>8</v>
      </c>
    </row>
    <row r="705" spans="1:15" hidden="1" x14ac:dyDescent="0.25">
      <c r="A705" s="8">
        <v>69</v>
      </c>
      <c r="B705" s="9" t="str">
        <f t="shared" si="242"/>
        <v>ЩС-ДУ(S5)</v>
      </c>
      <c r="C705" s="9" t="s">
        <v>26</v>
      </c>
      <c r="D705" s="9" t="s">
        <v>27</v>
      </c>
      <c r="E705" s="10" t="s">
        <v>28</v>
      </c>
      <c r="F705" s="11">
        <v>4439</v>
      </c>
      <c r="G705" s="11">
        <f>IF(F705="","",ROUND(F705*VLOOKUP(K705,Kurallar!$D$3:$E$14,2,0),2))</f>
        <v>2663.4</v>
      </c>
      <c r="H705" s="11">
        <f>IF(G705="","",G705*I705)</f>
        <v>2663.4</v>
      </c>
      <c r="I705" s="8">
        <v>1</v>
      </c>
      <c r="J705" s="8" t="s">
        <v>23</v>
      </c>
      <c r="K705" s="8" t="s">
        <v>29</v>
      </c>
      <c r="L705" s="11">
        <f>IF(H705="","",H705*$I$703)</f>
        <v>2663.4</v>
      </c>
      <c r="M705" s="9" t="s">
        <v>26</v>
      </c>
      <c r="N705" s="8" t="s">
        <v>30</v>
      </c>
      <c r="O705" s="8">
        <f>IFERROR(VLOOKUP(N705,Kurallar!$G$3:$H$22,2,0),0)</f>
        <v>30</v>
      </c>
    </row>
    <row r="706" spans="1:15" hidden="1" x14ac:dyDescent="0.25">
      <c r="A706" s="8">
        <v>69</v>
      </c>
      <c r="B706" s="9" t="str">
        <f t="shared" si="242"/>
        <v>ЩС-ДУ(S5)</v>
      </c>
      <c r="C706" s="9" t="s">
        <v>54</v>
      </c>
      <c r="D706" s="9" t="s">
        <v>195</v>
      </c>
      <c r="E706" s="10" t="s">
        <v>196</v>
      </c>
      <c r="F706" s="11">
        <v>3609</v>
      </c>
      <c r="G706" s="11">
        <f>IF(F706="","",ROUND(F706*VLOOKUP(K706,Kurallar!$D$3:$E$14,2,0),2))</f>
        <v>2165.4</v>
      </c>
      <c r="H706" s="11">
        <f>IF(G706="","",G706*I706)</f>
        <v>4330.8</v>
      </c>
      <c r="I706" s="8">
        <v>2</v>
      </c>
      <c r="J706" s="8" t="s">
        <v>23</v>
      </c>
      <c r="K706" s="8" t="s">
        <v>29</v>
      </c>
      <c r="L706" s="11">
        <f>IF(H706="","",H706*$I$703)</f>
        <v>4330.8</v>
      </c>
      <c r="M706" s="9" t="s">
        <v>54</v>
      </c>
      <c r="N706" s="8" t="s">
        <v>113</v>
      </c>
      <c r="O706" s="8">
        <f>IFERROR(VLOOKUP(N706,Kurallar!$G$3:$H$22,2,0),0)</f>
        <v>10</v>
      </c>
    </row>
    <row r="707" spans="1:15" hidden="1" x14ac:dyDescent="0.25">
      <c r="A707" s="8">
        <v>69</v>
      </c>
      <c r="B707" s="9" t="str">
        <f t="shared" si="242"/>
        <v>ЩС-ДУ(S5)</v>
      </c>
      <c r="C707" s="9" t="s">
        <v>54</v>
      </c>
      <c r="D707" s="9" t="s">
        <v>465</v>
      </c>
      <c r="E707" s="10" t="s">
        <v>466</v>
      </c>
      <c r="F707" s="11">
        <v>3604</v>
      </c>
      <c r="G707" s="11">
        <f>IF(F707="","",ROUND(F707*VLOOKUP(K707,Kurallar!$D$3:$E$14,2,0),2))</f>
        <v>2162.4</v>
      </c>
      <c r="H707" s="11">
        <f>IF(G707="","",G707*I707)</f>
        <v>6487.2000000000007</v>
      </c>
      <c r="I707" s="8">
        <v>3</v>
      </c>
      <c r="J707" s="8" t="s">
        <v>23</v>
      </c>
      <c r="K707" s="8" t="s">
        <v>29</v>
      </c>
      <c r="L707" s="11">
        <f>IF(H707="","",H707*$I$703)</f>
        <v>6487.2000000000007</v>
      </c>
      <c r="M707" s="9" t="s">
        <v>54</v>
      </c>
      <c r="N707" s="8" t="s">
        <v>113</v>
      </c>
      <c r="O707" s="8">
        <f>IFERROR(VLOOKUP(N707,Kurallar!$G$3:$H$22,2,0),0)</f>
        <v>10</v>
      </c>
    </row>
    <row r="708" spans="1:15" hidden="1" x14ac:dyDescent="0.25">
      <c r="A708" s="8">
        <v>69</v>
      </c>
      <c r="B708" s="9" t="str">
        <f t="shared" si="242"/>
        <v>ЩС-ДУ(S5)</v>
      </c>
      <c r="C708" s="9" t="s">
        <v>54</v>
      </c>
      <c r="D708" s="9" t="s">
        <v>93</v>
      </c>
      <c r="E708" s="10" t="s">
        <v>94</v>
      </c>
      <c r="F708" s="11">
        <v>783</v>
      </c>
      <c r="G708" s="11">
        <f>IF(F708="","",ROUND(F708*VLOOKUP(K708,Kurallar!$D$3:$E$14,2,0),2))</f>
        <v>469.8</v>
      </c>
      <c r="H708" s="11">
        <f>IF(G708="","",G708*I708)</f>
        <v>469.8</v>
      </c>
      <c r="I708" s="8">
        <v>1</v>
      </c>
      <c r="J708" s="8" t="s">
        <v>23</v>
      </c>
      <c r="K708" s="8" t="s">
        <v>29</v>
      </c>
      <c r="L708" s="11">
        <f>IF(H708="","",H708*$I$703)</f>
        <v>469.8</v>
      </c>
      <c r="M708" s="9" t="s">
        <v>54</v>
      </c>
      <c r="N708" s="8" t="s">
        <v>57</v>
      </c>
      <c r="O708" s="8">
        <f>IFERROR(VLOOKUP(N708,Kurallar!$G$3:$H$22,2,0),0)</f>
        <v>3</v>
      </c>
    </row>
    <row r="709" spans="1:15" hidden="1" x14ac:dyDescent="0.25">
      <c r="A709" s="8">
        <v>69</v>
      </c>
      <c r="B709" t="str">
        <f t="shared" si="242"/>
        <v>ЩС-ДУ(S5)</v>
      </c>
      <c r="C709" s="9" t="s">
        <v>31</v>
      </c>
      <c r="E709" s="9" t="s">
        <v>32</v>
      </c>
      <c r="F709" s="11"/>
      <c r="G709" s="11">
        <f>ROUND(SUM(H704:H708)*Kurallar!$B$2,2)</f>
        <v>2366.7800000000002</v>
      </c>
      <c r="H709" s="11">
        <f>G709*I709</f>
        <v>2366.7800000000002</v>
      </c>
      <c r="I709" s="8">
        <v>1</v>
      </c>
      <c r="J709" s="8" t="s">
        <v>19</v>
      </c>
      <c r="K709" s="8" t="s">
        <v>33</v>
      </c>
      <c r="L709" s="11">
        <f>H709*$I$703</f>
        <v>2366.7800000000002</v>
      </c>
      <c r="M709" s="9" t="s">
        <v>31</v>
      </c>
    </row>
    <row r="710" spans="1:15" hidden="1" x14ac:dyDescent="0.25">
      <c r="A710" s="8">
        <v>69</v>
      </c>
      <c r="B710" t="str">
        <f t="shared" si="242"/>
        <v>ЩС-ДУ(S5)</v>
      </c>
      <c r="C710" s="9" t="s">
        <v>34</v>
      </c>
      <c r="E710" s="9" t="s">
        <v>35</v>
      </c>
      <c r="F710" s="11">
        <f>ROUND(I710/60,1)</f>
        <v>1.8</v>
      </c>
      <c r="G710" s="11">
        <f>Kurallar!$B$3</f>
        <v>100</v>
      </c>
      <c r="H710" s="11">
        <f>G710*I710</f>
        <v>10500</v>
      </c>
      <c r="I710" s="8">
        <f>ROUND(SUMPRODUCT(I704:I708,O704:O708)*Kurallar!$B$4,0)</f>
        <v>105</v>
      </c>
      <c r="J710" s="8" t="s">
        <v>36</v>
      </c>
      <c r="K710" s="8" t="s">
        <v>33</v>
      </c>
      <c r="L710" s="11">
        <f>H710*$I$703</f>
        <v>10500</v>
      </c>
      <c r="M710" s="9" t="s">
        <v>34</v>
      </c>
    </row>
    <row r="711" spans="1:15" hidden="1" x14ac:dyDescent="0.25">
      <c r="A711" s="12"/>
      <c r="B711" s="13" t="s">
        <v>467</v>
      </c>
      <c r="C711" s="12"/>
      <c r="D711" s="12"/>
      <c r="E711" s="13" t="s">
        <v>468</v>
      </c>
      <c r="F711" s="12"/>
      <c r="G711" s="12"/>
      <c r="H711" s="14">
        <f>SUBTOTAL(9,H704:H710)</f>
        <v>0</v>
      </c>
      <c r="I711" s="15">
        <v>1</v>
      </c>
      <c r="J711" s="15" t="s">
        <v>19</v>
      </c>
      <c r="K711" s="12"/>
      <c r="L711" s="14">
        <f>SUBTOTAL(9,L704:L710)</f>
        <v>0</v>
      </c>
      <c r="M711" s="12"/>
      <c r="N711" s="12"/>
      <c r="O711" s="12"/>
    </row>
    <row r="712" spans="1:15" hidden="1" x14ac:dyDescent="0.25">
      <c r="A712" s="4">
        <v>70</v>
      </c>
      <c r="B712" s="5" t="s">
        <v>469</v>
      </c>
      <c r="C712" s="6" t="s">
        <v>18</v>
      </c>
      <c r="D712" s="6"/>
      <c r="E712" s="7" t="s">
        <v>469</v>
      </c>
      <c r="F712" s="6"/>
      <c r="G712" s="6"/>
      <c r="H712" s="6"/>
      <c r="I712" s="4">
        <v>1</v>
      </c>
      <c r="J712" s="4" t="s">
        <v>19</v>
      </c>
      <c r="K712" s="6"/>
      <c r="L712" s="6"/>
      <c r="M712" s="6"/>
      <c r="N712" s="6"/>
      <c r="O712" s="6"/>
    </row>
    <row r="713" spans="1:15" hidden="1" x14ac:dyDescent="0.25">
      <c r="A713" s="8">
        <v>70</v>
      </c>
      <c r="B713" s="9" t="str">
        <f t="shared" ref="B713:B718" si="245">B712</f>
        <v>ЩСВж_S5</v>
      </c>
      <c r="C713" s="9" t="s">
        <v>20</v>
      </c>
      <c r="D713" s="9" t="s">
        <v>153</v>
      </c>
      <c r="E713" s="10" t="s">
        <v>154</v>
      </c>
      <c r="F713" s="11">
        <v>10270</v>
      </c>
      <c r="G713" s="11">
        <f>IF(F713="","",ROUND(F713*VLOOKUP(K713,Kurallar!$D$3:$E$14,2,0),2))</f>
        <v>6162</v>
      </c>
      <c r="H713" s="11">
        <f t="shared" ref="H713" si="246">IF(G713="","",G713*I713)</f>
        <v>6162</v>
      </c>
      <c r="I713" s="8">
        <v>1</v>
      </c>
      <c r="J713" s="8" t="s">
        <v>23</v>
      </c>
      <c r="K713" s="8" t="s">
        <v>24</v>
      </c>
      <c r="L713" s="11">
        <f t="shared" ref="L713" si="247">IF(H713="","",H713*$I$181)</f>
        <v>6162</v>
      </c>
      <c r="M713" s="9" t="s">
        <v>20</v>
      </c>
      <c r="N713" s="8" t="s">
        <v>25</v>
      </c>
      <c r="O713" s="8">
        <f>IFERROR(VLOOKUP(N713,Kurallar!$G$3:$H$22,2,0),0)</f>
        <v>8</v>
      </c>
    </row>
    <row r="714" spans="1:15" hidden="1" x14ac:dyDescent="0.25">
      <c r="A714" s="8">
        <v>70</v>
      </c>
      <c r="B714" s="9" t="str">
        <f t="shared" si="245"/>
        <v>ЩСВж_S5</v>
      </c>
      <c r="C714" s="9" t="s">
        <v>54</v>
      </c>
      <c r="D714" s="9" t="s">
        <v>163</v>
      </c>
      <c r="E714" s="10" t="s">
        <v>164</v>
      </c>
      <c r="F714" s="11">
        <v>2447</v>
      </c>
      <c r="G714" s="11">
        <f>IF(F714="","",ROUND(F714*VLOOKUP(K714,Kurallar!$D$3:$E$14,2,0),2))</f>
        <v>1468.2</v>
      </c>
      <c r="H714" s="11">
        <f>IF(G714="","",G714*I714)</f>
        <v>1468.2</v>
      </c>
      <c r="I714" s="8">
        <v>1</v>
      </c>
      <c r="J714" s="8" t="s">
        <v>23</v>
      </c>
      <c r="K714" s="8" t="s">
        <v>29</v>
      </c>
      <c r="L714" s="11">
        <f>IF(H714="","",H714*$I$712)</f>
        <v>1468.2</v>
      </c>
      <c r="M714" s="9" t="s">
        <v>54</v>
      </c>
      <c r="N714" s="8" t="s">
        <v>113</v>
      </c>
      <c r="O714" s="8">
        <f>IFERROR(VLOOKUP(N714,Kurallar!$G$3:$H$22,2,0),0)</f>
        <v>10</v>
      </c>
    </row>
    <row r="715" spans="1:15" hidden="1" x14ac:dyDescent="0.25">
      <c r="A715" s="8">
        <v>70</v>
      </c>
      <c r="B715" s="9" t="str">
        <f t="shared" si="245"/>
        <v>ЩСВж_S5</v>
      </c>
      <c r="C715" s="9" t="s">
        <v>62</v>
      </c>
      <c r="D715" s="9" t="s">
        <v>336</v>
      </c>
      <c r="E715" s="10" t="s">
        <v>337</v>
      </c>
      <c r="F715" s="11">
        <v>5354</v>
      </c>
      <c r="G715" s="11">
        <f>IF(F715="","",ROUND(F715*VLOOKUP(K715,Kurallar!$D$3:$E$14,2,0),2))</f>
        <v>3212.4</v>
      </c>
      <c r="H715" s="11">
        <f>IF(G715="","",G715*I715)</f>
        <v>3212.4</v>
      </c>
      <c r="I715" s="8">
        <v>1</v>
      </c>
      <c r="J715" s="8" t="s">
        <v>23</v>
      </c>
      <c r="K715" s="8" t="s">
        <v>29</v>
      </c>
      <c r="L715" s="11">
        <f>IF(H715="","",H715*$I$712)</f>
        <v>3212.4</v>
      </c>
      <c r="M715" s="9" t="s">
        <v>62</v>
      </c>
      <c r="N715" s="8" t="s">
        <v>66</v>
      </c>
      <c r="O715" s="8">
        <f>IFERROR(VLOOKUP(N715,Kurallar!$G$3:$H$22,2,0),0)</f>
        <v>5</v>
      </c>
    </row>
    <row r="716" spans="1:15" hidden="1" x14ac:dyDescent="0.25">
      <c r="A716" s="8">
        <v>70</v>
      </c>
      <c r="B716" s="9" t="str">
        <f t="shared" si="245"/>
        <v>ЩСВж_S5</v>
      </c>
      <c r="C716" s="9" t="s">
        <v>54</v>
      </c>
      <c r="D716" s="9" t="s">
        <v>55</v>
      </c>
      <c r="E716" s="10" t="s">
        <v>56</v>
      </c>
      <c r="F716" s="11">
        <v>975</v>
      </c>
      <c r="G716" s="11">
        <f>IF(F716="","",ROUND(F716*VLOOKUP(K716,Kurallar!$D$3:$E$14,2,0),2))</f>
        <v>585</v>
      </c>
      <c r="H716" s="11">
        <f>IF(G716="","",G716*I716)</f>
        <v>1755</v>
      </c>
      <c r="I716" s="8">
        <v>3</v>
      </c>
      <c r="J716" s="8" t="s">
        <v>23</v>
      </c>
      <c r="K716" s="8" t="s">
        <v>29</v>
      </c>
      <c r="L716" s="11">
        <f>IF(H716="","",H716*$I$712)</f>
        <v>1755</v>
      </c>
      <c r="M716" s="9" t="s">
        <v>54</v>
      </c>
      <c r="N716" s="8" t="s">
        <v>57</v>
      </c>
      <c r="O716" s="8">
        <f>IFERROR(VLOOKUP(N716,Kurallar!$G$3:$H$22,2,0),0)</f>
        <v>3</v>
      </c>
    </row>
    <row r="717" spans="1:15" hidden="1" x14ac:dyDescent="0.25">
      <c r="A717" s="8">
        <v>70</v>
      </c>
      <c r="B717" t="str">
        <f t="shared" si="245"/>
        <v>ЩСВж_S5</v>
      </c>
      <c r="C717" s="9" t="s">
        <v>31</v>
      </c>
      <c r="E717" s="9" t="s">
        <v>32</v>
      </c>
      <c r="F717" s="11"/>
      <c r="G717" s="11">
        <f>ROUND(SUM(H713:H716)*Kurallar!$B$2,2)</f>
        <v>1511.71</v>
      </c>
      <c r="H717" s="11">
        <f>G717*I717</f>
        <v>1511.71</v>
      </c>
      <c r="I717" s="8">
        <v>1</v>
      </c>
      <c r="J717" s="8" t="s">
        <v>19</v>
      </c>
      <c r="K717" s="8" t="s">
        <v>33</v>
      </c>
      <c r="L717" s="11">
        <f>H717*$I$712</f>
        <v>1511.71</v>
      </c>
      <c r="M717" s="9" t="s">
        <v>31</v>
      </c>
    </row>
    <row r="718" spans="1:15" hidden="1" x14ac:dyDescent="0.25">
      <c r="A718" s="8">
        <v>70</v>
      </c>
      <c r="B718" t="str">
        <f t="shared" si="245"/>
        <v>ЩСВж_S5</v>
      </c>
      <c r="C718" s="9" t="s">
        <v>34</v>
      </c>
      <c r="E718" s="9" t="s">
        <v>35</v>
      </c>
      <c r="F718" s="11">
        <f>ROUND(I718/60,1)</f>
        <v>0.6</v>
      </c>
      <c r="G718" s="11">
        <f>Kurallar!$B$3</f>
        <v>100</v>
      </c>
      <c r="H718" s="11">
        <f>G718*I718</f>
        <v>3700</v>
      </c>
      <c r="I718" s="8">
        <f>ROUND(SUMPRODUCT(I713:I716,O713:O716)*Kurallar!$B$4,0)</f>
        <v>37</v>
      </c>
      <c r="J718" s="8" t="s">
        <v>36</v>
      </c>
      <c r="K718" s="8" t="s">
        <v>33</v>
      </c>
      <c r="L718" s="11">
        <f>H718*$I$712</f>
        <v>3700</v>
      </c>
      <c r="M718" s="9" t="s">
        <v>34</v>
      </c>
    </row>
    <row r="719" spans="1:15" hidden="1" x14ac:dyDescent="0.25">
      <c r="A719" s="12"/>
      <c r="B719" s="13" t="s">
        <v>470</v>
      </c>
      <c r="C719" s="12"/>
      <c r="D719" s="12"/>
      <c r="E719" s="13" t="s">
        <v>471</v>
      </c>
      <c r="F719" s="12"/>
      <c r="G719" s="12"/>
      <c r="H719" s="14">
        <f>SUBTOTAL(9,H713:H718)</f>
        <v>0</v>
      </c>
      <c r="I719" s="15">
        <v>1</v>
      </c>
      <c r="J719" s="15" t="s">
        <v>19</v>
      </c>
      <c r="K719" s="12"/>
      <c r="L719" s="14">
        <f>SUBTOTAL(9,L713:L718)</f>
        <v>0</v>
      </c>
      <c r="M719" s="12"/>
      <c r="N719" s="12"/>
      <c r="O719" s="12"/>
    </row>
    <row r="720" spans="1:15" hidden="1" x14ac:dyDescent="0.25">
      <c r="A720" s="4">
        <v>71</v>
      </c>
      <c r="B720" s="5" t="s">
        <v>472</v>
      </c>
      <c r="C720" s="6" t="s">
        <v>18</v>
      </c>
      <c r="D720" s="6"/>
      <c r="E720" s="7" t="s">
        <v>472</v>
      </c>
      <c r="F720" s="6"/>
      <c r="G720" s="6"/>
      <c r="H720" s="6"/>
      <c r="I720" s="4">
        <v>1</v>
      </c>
      <c r="J720" s="4" t="s">
        <v>19</v>
      </c>
      <c r="K720" s="6"/>
      <c r="L720" s="6"/>
      <c r="M720" s="6"/>
      <c r="N720" s="6"/>
      <c r="O720" s="6"/>
    </row>
    <row r="721" spans="1:15" hidden="1" x14ac:dyDescent="0.25">
      <c r="A721" s="8">
        <v>71</v>
      </c>
      <c r="B721" s="9" t="str">
        <f t="shared" ref="B721:B729" si="248">B720</f>
        <v>ЩОВ_S5</v>
      </c>
      <c r="C721" s="9" t="s">
        <v>20</v>
      </c>
      <c r="D721" s="9" t="s">
        <v>46</v>
      </c>
      <c r="E721" s="10" t="s">
        <v>47</v>
      </c>
      <c r="F721" s="11">
        <v>9620</v>
      </c>
      <c r="G721" s="11">
        <f>IF(F721="","",ROUND(F721*VLOOKUP(K721,Kurallar!$D$3:$E$14,2,0),2))</f>
        <v>5772</v>
      </c>
      <c r="H721" s="11">
        <f t="shared" ref="H721" si="249">IF(G721="","",G721*I721)</f>
        <v>5772</v>
      </c>
      <c r="I721" s="8">
        <v>1</v>
      </c>
      <c r="J721" s="8" t="s">
        <v>23</v>
      </c>
      <c r="K721" s="8" t="s">
        <v>24</v>
      </c>
      <c r="L721" s="11">
        <f t="shared" ref="L721" si="250">IF(H721="","",H721*$I$181)</f>
        <v>5772</v>
      </c>
      <c r="M721" s="9" t="s">
        <v>20</v>
      </c>
      <c r="N721" s="8" t="s">
        <v>25</v>
      </c>
      <c r="O721" s="8">
        <f>IFERROR(VLOOKUP(N721,Kurallar!$G$3:$H$22,2,0),0)</f>
        <v>8</v>
      </c>
    </row>
    <row r="722" spans="1:15" hidden="1" x14ac:dyDescent="0.25">
      <c r="A722" s="8">
        <v>71</v>
      </c>
      <c r="B722" s="9" t="str">
        <f t="shared" si="248"/>
        <v>ЩОВ_S5</v>
      </c>
      <c r="C722" s="9" t="s">
        <v>26</v>
      </c>
      <c r="D722" s="9" t="s">
        <v>48</v>
      </c>
      <c r="E722" s="10" t="s">
        <v>49</v>
      </c>
      <c r="F722" s="11">
        <v>3372</v>
      </c>
      <c r="G722" s="11">
        <f>IF(F722="","",ROUND(F722*VLOOKUP(K722,Kurallar!$D$3:$E$14,2,0),2))</f>
        <v>2023.2</v>
      </c>
      <c r="H722" s="11">
        <f t="shared" ref="H722:H727" si="251">IF(G722="","",G722*I722)</f>
        <v>2023.2</v>
      </c>
      <c r="I722" s="8">
        <v>1</v>
      </c>
      <c r="J722" s="8" t="s">
        <v>23</v>
      </c>
      <c r="K722" s="8" t="s">
        <v>29</v>
      </c>
      <c r="L722" s="11">
        <f t="shared" ref="L722:L727" si="252">IF(H722="","",H722*$I$720)</f>
        <v>2023.2</v>
      </c>
      <c r="M722" s="9" t="s">
        <v>26</v>
      </c>
      <c r="N722" s="8" t="s">
        <v>42</v>
      </c>
      <c r="O722" s="8">
        <f>IFERROR(VLOOKUP(N722,Kurallar!$G$3:$H$22,2,0),0)</f>
        <v>15</v>
      </c>
    </row>
    <row r="723" spans="1:15" hidden="1" x14ac:dyDescent="0.25">
      <c r="A723" s="8">
        <v>71</v>
      </c>
      <c r="B723" s="9" t="str">
        <f t="shared" si="248"/>
        <v>ЩОВ_S5</v>
      </c>
      <c r="C723" s="9" t="s">
        <v>50</v>
      </c>
      <c r="D723" s="9" t="s">
        <v>51</v>
      </c>
      <c r="E723" s="10" t="s">
        <v>52</v>
      </c>
      <c r="F723" s="11">
        <v>5719</v>
      </c>
      <c r="G723" s="11">
        <f>IF(F723="","",ROUND(F723*VLOOKUP(K723,Kurallar!$D$3:$E$14,2,0),2))</f>
        <v>3431.4</v>
      </c>
      <c r="H723" s="11">
        <f t="shared" si="251"/>
        <v>10294.200000000001</v>
      </c>
      <c r="I723" s="8">
        <v>3</v>
      </c>
      <c r="J723" s="8" t="s">
        <v>23</v>
      </c>
      <c r="K723" s="8" t="s">
        <v>29</v>
      </c>
      <c r="L723" s="11">
        <f t="shared" si="252"/>
        <v>10294.200000000001</v>
      </c>
      <c r="M723" s="9" t="s">
        <v>50</v>
      </c>
      <c r="N723" s="8" t="s">
        <v>53</v>
      </c>
      <c r="O723" s="8">
        <f>IFERROR(VLOOKUP(N723,Kurallar!$G$3:$H$22,2,0),0)</f>
        <v>16</v>
      </c>
    </row>
    <row r="724" spans="1:15" hidden="1" x14ac:dyDescent="0.25">
      <c r="A724" s="8">
        <v>71</v>
      </c>
      <c r="B724" s="9" t="str">
        <f t="shared" si="248"/>
        <v>ЩОВ_S5</v>
      </c>
      <c r="C724" s="9" t="s">
        <v>54</v>
      </c>
      <c r="D724" s="9" t="s">
        <v>55</v>
      </c>
      <c r="E724" s="10" t="s">
        <v>56</v>
      </c>
      <c r="F724" s="11">
        <v>975</v>
      </c>
      <c r="G724" s="11">
        <f>IF(F724="","",ROUND(F724*VLOOKUP(K724,Kurallar!$D$3:$E$14,2,0),2))</f>
        <v>585</v>
      </c>
      <c r="H724" s="11">
        <f t="shared" si="251"/>
        <v>585</v>
      </c>
      <c r="I724" s="8">
        <v>1</v>
      </c>
      <c r="J724" s="8" t="s">
        <v>23</v>
      </c>
      <c r="K724" s="8" t="s">
        <v>29</v>
      </c>
      <c r="L724" s="11">
        <f t="shared" si="252"/>
        <v>585</v>
      </c>
      <c r="M724" s="9" t="s">
        <v>54</v>
      </c>
      <c r="N724" s="8" t="s">
        <v>57</v>
      </c>
      <c r="O724" s="8">
        <f>IFERROR(VLOOKUP(N724,Kurallar!$G$3:$H$22,2,0),0)</f>
        <v>3</v>
      </c>
    </row>
    <row r="725" spans="1:15" hidden="1" x14ac:dyDescent="0.25">
      <c r="A725" s="8">
        <v>71</v>
      </c>
      <c r="B725" s="9" t="str">
        <f t="shared" si="248"/>
        <v>ЩОВ_S5</v>
      </c>
      <c r="C725" s="9" t="s">
        <v>58</v>
      </c>
      <c r="D725" s="9" t="s">
        <v>59</v>
      </c>
      <c r="E725" s="10" t="s">
        <v>60</v>
      </c>
      <c r="F725" s="11">
        <v>13575</v>
      </c>
      <c r="G725" s="11">
        <f>IF(F725="","",ROUND(F725*VLOOKUP(K725,Kurallar!$D$3:$E$14,2,0),2))</f>
        <v>8145</v>
      </c>
      <c r="H725" s="11">
        <f t="shared" si="251"/>
        <v>8145</v>
      </c>
      <c r="I725" s="8">
        <v>1</v>
      </c>
      <c r="J725" s="8" t="s">
        <v>23</v>
      </c>
      <c r="K725" s="8" t="s">
        <v>29</v>
      </c>
      <c r="L725" s="11">
        <f t="shared" si="252"/>
        <v>8145</v>
      </c>
      <c r="M725" s="9" t="s">
        <v>58</v>
      </c>
      <c r="N725" s="8" t="s">
        <v>61</v>
      </c>
      <c r="O725" s="8">
        <f>IFERROR(VLOOKUP(N725,Kurallar!$G$3:$H$22,2,0),0)</f>
        <v>15</v>
      </c>
    </row>
    <row r="726" spans="1:15" hidden="1" x14ac:dyDescent="0.25">
      <c r="A726" s="8">
        <v>71</v>
      </c>
      <c r="B726" s="9" t="str">
        <f t="shared" si="248"/>
        <v>ЩОВ_S5</v>
      </c>
      <c r="C726" s="9" t="s">
        <v>62</v>
      </c>
      <c r="D726" s="9" t="s">
        <v>63</v>
      </c>
      <c r="E726" s="10" t="s">
        <v>64</v>
      </c>
      <c r="F726" s="11">
        <v>13777</v>
      </c>
      <c r="G726" s="11">
        <f>IF(F726="","",ROUND(F726*VLOOKUP(K726,Kurallar!$D$3:$E$14,2,0),2))</f>
        <v>13777</v>
      </c>
      <c r="H726" s="11">
        <f t="shared" si="251"/>
        <v>13777</v>
      </c>
      <c r="I726" s="8">
        <v>1</v>
      </c>
      <c r="J726" s="8" t="s">
        <v>23</v>
      </c>
      <c r="K726" s="8" t="s">
        <v>65</v>
      </c>
      <c r="L726" s="11">
        <f t="shared" si="252"/>
        <v>13777</v>
      </c>
      <c r="M726" s="9" t="s">
        <v>62</v>
      </c>
      <c r="N726" s="8" t="s">
        <v>66</v>
      </c>
      <c r="O726" s="8">
        <f>IFERROR(VLOOKUP(N726,Kurallar!$G$3:$H$22,2,0),0)</f>
        <v>5</v>
      </c>
    </row>
    <row r="727" spans="1:15" hidden="1" x14ac:dyDescent="0.25">
      <c r="A727" s="8">
        <v>71</v>
      </c>
      <c r="B727" s="9" t="str">
        <f t="shared" si="248"/>
        <v>ЩОВ_S5</v>
      </c>
      <c r="C727" s="9" t="s">
        <v>67</v>
      </c>
      <c r="D727" s="9" t="s">
        <v>68</v>
      </c>
      <c r="E727" s="10" t="s">
        <v>69</v>
      </c>
      <c r="F727" s="11">
        <v>793</v>
      </c>
      <c r="G727" s="11">
        <f>IF(F727="","",ROUND(F727*VLOOKUP(K727,Kurallar!$D$3:$E$14,2,0),2))</f>
        <v>793</v>
      </c>
      <c r="H727" s="11">
        <f t="shared" si="251"/>
        <v>2379</v>
      </c>
      <c r="I727" s="8">
        <v>3</v>
      </c>
      <c r="J727" s="8" t="s">
        <v>23</v>
      </c>
      <c r="K727" s="8" t="s">
        <v>65</v>
      </c>
      <c r="L727" s="11">
        <f t="shared" si="252"/>
        <v>2379</v>
      </c>
      <c r="M727" s="9" t="s">
        <v>67</v>
      </c>
      <c r="N727" s="8" t="s">
        <v>70</v>
      </c>
      <c r="O727" s="8">
        <f>IFERROR(VLOOKUP(N727,Kurallar!$G$3:$H$22,2,0),0)</f>
        <v>5</v>
      </c>
    </row>
    <row r="728" spans="1:15" hidden="1" x14ac:dyDescent="0.25">
      <c r="A728" s="8">
        <v>71</v>
      </c>
      <c r="B728" t="str">
        <f t="shared" si="248"/>
        <v>ЩОВ_S5</v>
      </c>
      <c r="C728" s="9" t="s">
        <v>31</v>
      </c>
      <c r="E728" s="9" t="s">
        <v>32</v>
      </c>
      <c r="F728" s="11"/>
      <c r="G728" s="11">
        <f>ROUND(SUM(H721:H727)*Kurallar!$B$2,2)</f>
        <v>5157.05</v>
      </c>
      <c r="H728" s="11">
        <f>G728*I728</f>
        <v>5157.05</v>
      </c>
      <c r="I728" s="8">
        <v>1</v>
      </c>
      <c r="J728" s="8" t="s">
        <v>19</v>
      </c>
      <c r="K728" s="8" t="s">
        <v>33</v>
      </c>
      <c r="L728" s="11">
        <f>H728*$I$720</f>
        <v>5157.05</v>
      </c>
      <c r="M728" s="9" t="s">
        <v>31</v>
      </c>
    </row>
    <row r="729" spans="1:15" hidden="1" x14ac:dyDescent="0.25">
      <c r="A729" s="8">
        <v>71</v>
      </c>
      <c r="B729" t="str">
        <f t="shared" si="248"/>
        <v>ЩОВ_S5</v>
      </c>
      <c r="C729" s="9" t="s">
        <v>34</v>
      </c>
      <c r="E729" s="9" t="s">
        <v>35</v>
      </c>
      <c r="F729" s="11">
        <f>ROUND(I729/60,1)</f>
        <v>2.1</v>
      </c>
      <c r="G729" s="11">
        <f>Kurallar!$B$3</f>
        <v>100</v>
      </c>
      <c r="H729" s="11">
        <f>G729*I729</f>
        <v>12500</v>
      </c>
      <c r="I729" s="8">
        <f>ROUND(SUMPRODUCT(I721:I727,O721:O727)*Kurallar!$B$4,0)</f>
        <v>125</v>
      </c>
      <c r="J729" s="8" t="s">
        <v>36</v>
      </c>
      <c r="K729" s="8" t="s">
        <v>33</v>
      </c>
      <c r="L729" s="11">
        <f>H729*$I$720</f>
        <v>12500</v>
      </c>
      <c r="M729" s="9" t="s">
        <v>34</v>
      </c>
    </row>
    <row r="730" spans="1:15" hidden="1" x14ac:dyDescent="0.25">
      <c r="A730" s="12"/>
      <c r="B730" s="13" t="s">
        <v>473</v>
      </c>
      <c r="C730" s="12"/>
      <c r="D730" s="12"/>
      <c r="E730" s="13" t="s">
        <v>474</v>
      </c>
      <c r="F730" s="12"/>
      <c r="G730" s="12"/>
      <c r="H730" s="14">
        <f>SUBTOTAL(9,H721:H729)</f>
        <v>0</v>
      </c>
      <c r="I730" s="15">
        <v>1</v>
      </c>
      <c r="J730" s="15" t="s">
        <v>19</v>
      </c>
      <c r="K730" s="12"/>
      <c r="L730" s="14">
        <f>SUBTOTAL(9,L721:L729)</f>
        <v>0</v>
      </c>
      <c r="M730" s="12"/>
      <c r="N730" s="12"/>
      <c r="O730" s="12"/>
    </row>
    <row r="731" spans="1:15" hidden="1" x14ac:dyDescent="0.25">
      <c r="A731" s="4">
        <v>72</v>
      </c>
      <c r="B731" s="5" t="s">
        <v>475</v>
      </c>
      <c r="C731" s="6" t="s">
        <v>18</v>
      </c>
      <c r="D731" s="6"/>
      <c r="E731" s="7" t="s">
        <v>475</v>
      </c>
      <c r="F731" s="6"/>
      <c r="G731" s="6"/>
      <c r="H731" s="6"/>
      <c r="I731" s="4">
        <v>1</v>
      </c>
      <c r="J731" s="4" t="s">
        <v>19</v>
      </c>
      <c r="K731" s="6"/>
      <c r="L731" s="6"/>
      <c r="M731" s="6"/>
      <c r="N731" s="6"/>
      <c r="O731" s="6"/>
    </row>
    <row r="732" spans="1:15" hidden="1" x14ac:dyDescent="0.25">
      <c r="A732" s="8">
        <v>72</v>
      </c>
      <c r="B732" s="9" t="str">
        <f t="shared" ref="B732:B737" si="253">B731</f>
        <v>ЩС-С(S5)</v>
      </c>
      <c r="C732" s="9" t="s">
        <v>20</v>
      </c>
      <c r="D732" s="9" t="s">
        <v>349</v>
      </c>
      <c r="E732" s="10" t="s">
        <v>350</v>
      </c>
      <c r="F732" s="11">
        <v>13410</v>
      </c>
      <c r="G732" s="11">
        <f>IF(F732="","",ROUND(F732*VLOOKUP(K732,Kurallar!$D$3:$E$14,2,0),2))</f>
        <v>8046</v>
      </c>
      <c r="H732" s="11">
        <f t="shared" ref="H732" si="254">IF(G732="","",G732*I732)</f>
        <v>8046</v>
      </c>
      <c r="I732" s="8">
        <v>1</v>
      </c>
      <c r="J732" s="8" t="s">
        <v>23</v>
      </c>
      <c r="K732" s="8" t="s">
        <v>24</v>
      </c>
      <c r="L732" s="11">
        <f t="shared" ref="L732" si="255">IF(H732="","",H732*$I$181)</f>
        <v>8046</v>
      </c>
      <c r="M732" s="9" t="s">
        <v>20</v>
      </c>
      <c r="N732" s="8" t="s">
        <v>25</v>
      </c>
      <c r="O732" s="8">
        <f>IFERROR(VLOOKUP(N732,Kurallar!$G$3:$H$22,2,0),0)</f>
        <v>8</v>
      </c>
    </row>
    <row r="733" spans="1:15" hidden="1" x14ac:dyDescent="0.25">
      <c r="A733" s="8">
        <v>72</v>
      </c>
      <c r="B733" s="9" t="str">
        <f t="shared" si="253"/>
        <v>ЩС-С(S5)</v>
      </c>
      <c r="C733" s="9" t="s">
        <v>26</v>
      </c>
      <c r="D733" s="9" t="s">
        <v>48</v>
      </c>
      <c r="E733" s="10" t="s">
        <v>49</v>
      </c>
      <c r="F733" s="11">
        <v>3372</v>
      </c>
      <c r="G733" s="11">
        <f>IF(F733="","",ROUND(F733*VLOOKUP(K733,Kurallar!$D$3:$E$14,2,0),2))</f>
        <v>2023.2</v>
      </c>
      <c r="H733" s="11">
        <f>IF(G733="","",G733*I733)</f>
        <v>2023.2</v>
      </c>
      <c r="I733" s="8">
        <v>1</v>
      </c>
      <c r="J733" s="8" t="s">
        <v>23</v>
      </c>
      <c r="K733" s="8" t="s">
        <v>29</v>
      </c>
      <c r="L733" s="11">
        <f>IF(H733="","",H733*$I$731)</f>
        <v>2023.2</v>
      </c>
      <c r="M733" s="9" t="s">
        <v>26</v>
      </c>
      <c r="N733" s="8" t="s">
        <v>42</v>
      </c>
      <c r="O733" s="8">
        <f>IFERROR(VLOOKUP(N733,Kurallar!$G$3:$H$22,2,0),0)</f>
        <v>15</v>
      </c>
    </row>
    <row r="734" spans="1:15" hidden="1" x14ac:dyDescent="0.25">
      <c r="A734" s="8">
        <v>72</v>
      </c>
      <c r="B734" s="9" t="str">
        <f t="shared" si="253"/>
        <v>ЩС-С(S5)</v>
      </c>
      <c r="C734" s="9" t="s">
        <v>50</v>
      </c>
      <c r="D734" s="9" t="s">
        <v>51</v>
      </c>
      <c r="E734" s="10" t="s">
        <v>52</v>
      </c>
      <c r="F734" s="11">
        <v>5719</v>
      </c>
      <c r="G734" s="11">
        <f>IF(F734="","",ROUND(F734*VLOOKUP(K734,Kurallar!$D$3:$E$14,2,0),2))</f>
        <v>3431.4</v>
      </c>
      <c r="H734" s="11">
        <f>IF(G734="","",G734*I734)</f>
        <v>30882.600000000002</v>
      </c>
      <c r="I734" s="8">
        <v>9</v>
      </c>
      <c r="J734" s="8" t="s">
        <v>23</v>
      </c>
      <c r="K734" s="8" t="s">
        <v>29</v>
      </c>
      <c r="L734" s="11">
        <f>IF(H734="","",H734*$I$731)</f>
        <v>30882.600000000002</v>
      </c>
      <c r="M734" s="9" t="s">
        <v>50</v>
      </c>
      <c r="N734" s="8" t="s">
        <v>53</v>
      </c>
      <c r="O734" s="8">
        <f>IFERROR(VLOOKUP(N734,Kurallar!$G$3:$H$22,2,0),0)</f>
        <v>16</v>
      </c>
    </row>
    <row r="735" spans="1:15" hidden="1" x14ac:dyDescent="0.25">
      <c r="A735" s="8">
        <v>72</v>
      </c>
      <c r="B735" s="9" t="str">
        <f t="shared" si="253"/>
        <v>ЩС-С(S5)</v>
      </c>
      <c r="C735" s="9" t="s">
        <v>54</v>
      </c>
      <c r="D735" s="9" t="s">
        <v>165</v>
      </c>
      <c r="E735" s="10" t="s">
        <v>166</v>
      </c>
      <c r="F735" s="11">
        <v>783</v>
      </c>
      <c r="G735" s="11">
        <f>IF(F735="","",ROUND(F735*VLOOKUP(K735,Kurallar!$D$3:$E$14,2,0),2))</f>
        <v>469.8</v>
      </c>
      <c r="H735" s="11">
        <f>IF(G735="","",G735*I735)</f>
        <v>1879.2</v>
      </c>
      <c r="I735" s="8">
        <v>4</v>
      </c>
      <c r="J735" s="8" t="s">
        <v>23</v>
      </c>
      <c r="K735" s="8" t="s">
        <v>29</v>
      </c>
      <c r="L735" s="11">
        <f>IF(H735="","",H735*$I$731)</f>
        <v>1879.2</v>
      </c>
      <c r="M735" s="9" t="s">
        <v>54</v>
      </c>
      <c r="N735" s="8" t="s">
        <v>57</v>
      </c>
      <c r="O735" s="8">
        <f>IFERROR(VLOOKUP(N735,Kurallar!$G$3:$H$22,2,0),0)</f>
        <v>3</v>
      </c>
    </row>
    <row r="736" spans="1:15" hidden="1" x14ac:dyDescent="0.25">
      <c r="A736" s="8">
        <v>72</v>
      </c>
      <c r="B736" t="str">
        <f t="shared" si="253"/>
        <v>ЩС-С(S5)</v>
      </c>
      <c r="C736" s="9" t="s">
        <v>31</v>
      </c>
      <c r="E736" s="9" t="s">
        <v>32</v>
      </c>
      <c r="F736" s="11"/>
      <c r="G736" s="11">
        <f>ROUND(SUM(H732:H735)*Kurallar!$B$2,2)</f>
        <v>5139.72</v>
      </c>
      <c r="H736" s="11">
        <f>G736*I736</f>
        <v>5139.72</v>
      </c>
      <c r="I736" s="8">
        <v>1</v>
      </c>
      <c r="J736" s="8" t="s">
        <v>19</v>
      </c>
      <c r="K736" s="8" t="s">
        <v>33</v>
      </c>
      <c r="L736" s="11">
        <f>H736*$I$731</f>
        <v>5139.72</v>
      </c>
      <c r="M736" s="9" t="s">
        <v>31</v>
      </c>
    </row>
    <row r="737" spans="1:15" hidden="1" x14ac:dyDescent="0.25">
      <c r="A737" s="8">
        <v>72</v>
      </c>
      <c r="B737" t="str">
        <f t="shared" si="253"/>
        <v>ЩС-С(S5)</v>
      </c>
      <c r="C737" s="9" t="s">
        <v>34</v>
      </c>
      <c r="E737" s="9" t="s">
        <v>35</v>
      </c>
      <c r="F737" s="11">
        <f>ROUND(I737/60,1)</f>
        <v>3.4</v>
      </c>
      <c r="G737" s="11">
        <f>Kurallar!$B$3</f>
        <v>100</v>
      </c>
      <c r="H737" s="11">
        <f>G737*I737</f>
        <v>20600</v>
      </c>
      <c r="I737" s="8">
        <f>ROUND(SUMPRODUCT(I732:I735,O732:O735)*Kurallar!$B$4,0)</f>
        <v>206</v>
      </c>
      <c r="J737" s="8" t="s">
        <v>36</v>
      </c>
      <c r="K737" s="8" t="s">
        <v>33</v>
      </c>
      <c r="L737" s="11">
        <f>H737*$I$731</f>
        <v>20600</v>
      </c>
      <c r="M737" s="9" t="s">
        <v>34</v>
      </c>
    </row>
    <row r="738" spans="1:15" hidden="1" x14ac:dyDescent="0.25">
      <c r="A738" s="12"/>
      <c r="B738" s="13" t="s">
        <v>476</v>
      </c>
      <c r="C738" s="12"/>
      <c r="D738" s="12"/>
      <c r="E738" s="13" t="s">
        <v>477</v>
      </c>
      <c r="F738" s="12"/>
      <c r="G738" s="12"/>
      <c r="H738" s="14">
        <f>SUBTOTAL(9,H732:H737)</f>
        <v>0</v>
      </c>
      <c r="I738" s="15">
        <v>1</v>
      </c>
      <c r="J738" s="15" t="s">
        <v>19</v>
      </c>
      <c r="K738" s="12"/>
      <c r="L738" s="14">
        <f>SUBTOTAL(9,L732:L737)</f>
        <v>0</v>
      </c>
      <c r="M738" s="12"/>
      <c r="N738" s="12"/>
      <c r="O738" s="12"/>
    </row>
    <row r="739" spans="1:15" hidden="1" x14ac:dyDescent="0.25">
      <c r="A739" s="4">
        <v>73</v>
      </c>
      <c r="B739" s="5" t="s">
        <v>478</v>
      </c>
      <c r="C739" s="6" t="s">
        <v>18</v>
      </c>
      <c r="D739" s="6"/>
      <c r="E739" s="7" t="s">
        <v>478</v>
      </c>
      <c r="F739" s="6"/>
      <c r="G739" s="6"/>
      <c r="H739" s="6"/>
      <c r="I739" s="4">
        <v>8</v>
      </c>
      <c r="J739" s="4" t="s">
        <v>19</v>
      </c>
      <c r="K739" s="6"/>
      <c r="L739" s="6"/>
      <c r="M739" s="6"/>
      <c r="N739" s="6"/>
      <c r="O739" s="6"/>
    </row>
    <row r="740" spans="1:15" hidden="1" x14ac:dyDescent="0.25">
      <c r="A740" s="8">
        <v>73</v>
      </c>
      <c r="B740" s="9" t="str">
        <f t="shared" ref="B740:B747" si="256">B739</f>
        <v>ЩЭ_S5</v>
      </c>
      <c r="C740" s="9" t="s">
        <v>20</v>
      </c>
      <c r="D740" s="9" t="s">
        <v>479</v>
      </c>
      <c r="E740" s="10" t="s">
        <v>763</v>
      </c>
      <c r="F740" s="11">
        <v>78000</v>
      </c>
      <c r="G740" s="11">
        <f>IF(F740="","",ROUND(F740*VLOOKUP(K740,Kurallar!$D$3:$E$14,2,0),2))</f>
        <v>46800</v>
      </c>
      <c r="H740" s="11">
        <f t="shared" ref="H740" si="257">IF(G740="","",G740*I740)</f>
        <v>46800</v>
      </c>
      <c r="I740" s="8">
        <v>1</v>
      </c>
      <c r="J740" s="8" t="s">
        <v>23</v>
      </c>
      <c r="K740" s="8" t="s">
        <v>24</v>
      </c>
      <c r="L740" s="11">
        <f t="shared" ref="L740" si="258">IF(H740="","",H740*$I$181)</f>
        <v>46800</v>
      </c>
      <c r="M740" s="9" t="s">
        <v>20</v>
      </c>
      <c r="N740" s="8" t="s">
        <v>75</v>
      </c>
      <c r="O740" s="8">
        <f>IFERROR(VLOOKUP(N740,Kurallar!$G$3:$H$22,2,0),0)</f>
        <v>30</v>
      </c>
    </row>
    <row r="741" spans="1:15" hidden="1" x14ac:dyDescent="0.25">
      <c r="A741" s="8">
        <v>73</v>
      </c>
      <c r="B741" s="9" t="str">
        <f t="shared" si="256"/>
        <v>ЩЭ_S5</v>
      </c>
      <c r="C741" s="9" t="s">
        <v>26</v>
      </c>
      <c r="D741" s="9" t="s">
        <v>76</v>
      </c>
      <c r="E741" s="10" t="s">
        <v>77</v>
      </c>
      <c r="F741" s="11">
        <v>1421</v>
      </c>
      <c r="G741" s="11">
        <f>IF(F741="","",ROUND(F741*VLOOKUP(K741,Kurallar!$D$3:$E$14,2,0),2))</f>
        <v>852.6</v>
      </c>
      <c r="H741" s="11">
        <f t="shared" ref="H741:H745" si="259">IF(G741="","",G741*I741)</f>
        <v>4263</v>
      </c>
      <c r="I741" s="8">
        <v>5</v>
      </c>
      <c r="J741" s="8" t="s">
        <v>23</v>
      </c>
      <c r="K741" s="8" t="s">
        <v>29</v>
      </c>
      <c r="L741" s="11">
        <f t="shared" ref="L741:L745" si="260">IF(H741="","",H741*$I$739)</f>
        <v>34104</v>
      </c>
      <c r="M741" s="9" t="s">
        <v>26</v>
      </c>
      <c r="N741" s="8" t="s">
        <v>42</v>
      </c>
      <c r="O741" s="8">
        <f>IFERROR(VLOOKUP(N741,Kurallar!$G$3:$H$22,2,0),0)</f>
        <v>15</v>
      </c>
    </row>
    <row r="742" spans="1:15" hidden="1" x14ac:dyDescent="0.25">
      <c r="A742" s="8">
        <v>73</v>
      </c>
      <c r="B742" s="9" t="str">
        <f t="shared" si="256"/>
        <v>ЩЭ_S5</v>
      </c>
      <c r="C742" s="9" t="s">
        <v>50</v>
      </c>
      <c r="D742" s="9" t="s">
        <v>78</v>
      </c>
      <c r="E742" s="10" t="s">
        <v>79</v>
      </c>
      <c r="F742" s="11">
        <v>6215</v>
      </c>
      <c r="G742" s="11">
        <f>IF(F742="","",ROUND(F742*VLOOKUP(K742,Kurallar!$D$3:$E$14,2,0),2))</f>
        <v>3729</v>
      </c>
      <c r="H742" s="11">
        <f t="shared" si="259"/>
        <v>18645</v>
      </c>
      <c r="I742" s="8">
        <v>5</v>
      </c>
      <c r="J742" s="8" t="s">
        <v>23</v>
      </c>
      <c r="K742" s="8" t="s">
        <v>29</v>
      </c>
      <c r="L742" s="11">
        <f t="shared" si="260"/>
        <v>149160</v>
      </c>
      <c r="M742" s="9" t="s">
        <v>50</v>
      </c>
      <c r="N742" s="8" t="s">
        <v>53</v>
      </c>
      <c r="O742" s="8">
        <f>IFERROR(VLOOKUP(N742,Kurallar!$G$3:$H$22,2,0),0)</f>
        <v>16</v>
      </c>
    </row>
    <row r="743" spans="1:15" hidden="1" x14ac:dyDescent="0.25">
      <c r="A743" s="8">
        <v>73</v>
      </c>
      <c r="B743" s="9" t="str">
        <f t="shared" si="256"/>
        <v>ЩЭ_S5</v>
      </c>
      <c r="C743" s="9" t="s">
        <v>26</v>
      </c>
      <c r="D743" s="9" t="s">
        <v>80</v>
      </c>
      <c r="E743" s="10" t="s">
        <v>81</v>
      </c>
      <c r="F743" s="11">
        <v>3372</v>
      </c>
      <c r="G743" s="11">
        <f>IF(F743="","",ROUND(F743*VLOOKUP(K743,Kurallar!$D$3:$E$14,2,0),2))</f>
        <v>2023.2</v>
      </c>
      <c r="H743" s="11">
        <f t="shared" si="259"/>
        <v>2023.2</v>
      </c>
      <c r="I743" s="8">
        <v>1</v>
      </c>
      <c r="J743" s="8" t="s">
        <v>23</v>
      </c>
      <c r="K743" s="8" t="s">
        <v>29</v>
      </c>
      <c r="L743" s="11">
        <f t="shared" si="260"/>
        <v>16185.6</v>
      </c>
      <c r="M743" s="9" t="s">
        <v>26</v>
      </c>
      <c r="N743" s="8" t="s">
        <v>42</v>
      </c>
      <c r="O743" s="8">
        <f>IFERROR(VLOOKUP(N743,Kurallar!$G$3:$H$22,2,0),0)</f>
        <v>15</v>
      </c>
    </row>
    <row r="744" spans="1:15" hidden="1" x14ac:dyDescent="0.25">
      <c r="A744" s="8">
        <v>73</v>
      </c>
      <c r="B744" s="9" t="str">
        <f t="shared" si="256"/>
        <v>ЩЭ_S5</v>
      </c>
      <c r="C744" s="9" t="s">
        <v>82</v>
      </c>
      <c r="D744" s="9" t="s">
        <v>83</v>
      </c>
      <c r="E744" s="10" t="s">
        <v>84</v>
      </c>
      <c r="F744" s="11">
        <v>0</v>
      </c>
      <c r="G744" s="11">
        <f>F744</f>
        <v>0</v>
      </c>
      <c r="H744" s="11">
        <f t="shared" si="259"/>
        <v>0</v>
      </c>
      <c r="I744" s="8">
        <v>5</v>
      </c>
      <c r="J744" s="8" t="s">
        <v>23</v>
      </c>
      <c r="K744" s="8" t="s">
        <v>751</v>
      </c>
      <c r="L744" s="11">
        <f t="shared" si="260"/>
        <v>0</v>
      </c>
      <c r="M744" s="9" t="s">
        <v>82</v>
      </c>
      <c r="N744" s="8" t="s">
        <v>85</v>
      </c>
      <c r="O744" s="8">
        <f>IFERROR(VLOOKUP(N744,Kurallar!$G$3:$H$22,2,0),0)</f>
        <v>25</v>
      </c>
    </row>
    <row r="745" spans="1:15" hidden="1" x14ac:dyDescent="0.25">
      <c r="A745" s="8">
        <v>73</v>
      </c>
      <c r="B745" s="9" t="str">
        <f t="shared" si="256"/>
        <v>ЩЭ_S5</v>
      </c>
      <c r="C745" s="9" t="s">
        <v>86</v>
      </c>
      <c r="D745" s="9" t="s">
        <v>87</v>
      </c>
      <c r="E745" s="10" t="s">
        <v>88</v>
      </c>
      <c r="F745" s="11">
        <v>1738</v>
      </c>
      <c r="G745" s="11">
        <f>IF(F745="","",ROUND(F745*VLOOKUP(K745,Kurallar!$D$3:$E$14,2,0),2))</f>
        <v>1042.8</v>
      </c>
      <c r="H745" s="11">
        <f t="shared" si="259"/>
        <v>1042.8</v>
      </c>
      <c r="I745" s="8">
        <v>1</v>
      </c>
      <c r="J745" s="8" t="s">
        <v>23</v>
      </c>
      <c r="K745" s="8" t="s">
        <v>29</v>
      </c>
      <c r="L745" s="11">
        <f t="shared" si="260"/>
        <v>8342.4</v>
      </c>
      <c r="M745" s="9" t="s">
        <v>86</v>
      </c>
      <c r="N745" s="8" t="s">
        <v>89</v>
      </c>
      <c r="O745" s="8">
        <f>IFERROR(VLOOKUP(N745,Kurallar!$G$3:$H$22,2,0),0)</f>
        <v>5</v>
      </c>
    </row>
    <row r="746" spans="1:15" hidden="1" x14ac:dyDescent="0.25">
      <c r="A746" s="8">
        <v>73</v>
      </c>
      <c r="B746" t="str">
        <f t="shared" si="256"/>
        <v>ЩЭ_S5</v>
      </c>
      <c r="C746" s="9" t="s">
        <v>31</v>
      </c>
      <c r="E746" s="9" t="s">
        <v>32</v>
      </c>
      <c r="F746" s="11"/>
      <c r="G746" s="11">
        <f>ROUND(SUM(H740:H745)*Kurallar!$B$2,2)</f>
        <v>8732.8799999999992</v>
      </c>
      <c r="H746" s="11">
        <f>G746*I746</f>
        <v>8732.8799999999992</v>
      </c>
      <c r="I746" s="8">
        <v>1</v>
      </c>
      <c r="J746" s="8" t="s">
        <v>19</v>
      </c>
      <c r="K746" s="8" t="s">
        <v>33</v>
      </c>
      <c r="L746" s="11">
        <f>H746*$I$739</f>
        <v>69863.039999999994</v>
      </c>
      <c r="M746" s="9" t="s">
        <v>31</v>
      </c>
    </row>
    <row r="747" spans="1:15" hidden="1" x14ac:dyDescent="0.25">
      <c r="A747" s="8">
        <v>73</v>
      </c>
      <c r="B747" t="str">
        <f t="shared" si="256"/>
        <v>ЩЭ_S5</v>
      </c>
      <c r="C747" s="9" t="s">
        <v>34</v>
      </c>
      <c r="E747" s="9" t="s">
        <v>35</v>
      </c>
      <c r="F747" s="11">
        <f>ROUND(I747/60,1)</f>
        <v>6.3</v>
      </c>
      <c r="G747" s="11">
        <f>Kurallar!$B$3</f>
        <v>100</v>
      </c>
      <c r="H747" s="11">
        <f>G747*I747</f>
        <v>38000</v>
      </c>
      <c r="I747" s="8">
        <f>ROUND(SUMPRODUCT(I740:I745,O740:O745)*Kurallar!$B$4,0)</f>
        <v>380</v>
      </c>
      <c r="J747" s="8" t="s">
        <v>36</v>
      </c>
      <c r="K747" s="8" t="s">
        <v>33</v>
      </c>
      <c r="L747" s="11">
        <f>H747*$I$739</f>
        <v>304000</v>
      </c>
      <c r="M747" s="9" t="s">
        <v>34</v>
      </c>
    </row>
    <row r="748" spans="1:15" hidden="1" x14ac:dyDescent="0.25">
      <c r="A748" s="12"/>
      <c r="B748" s="13" t="s">
        <v>480</v>
      </c>
      <c r="C748" s="12"/>
      <c r="D748" s="12"/>
      <c r="E748" s="13" t="s">
        <v>481</v>
      </c>
      <c r="F748" s="12"/>
      <c r="G748" s="12"/>
      <c r="H748" s="14">
        <f>SUBTOTAL(9,H740:H747)</f>
        <v>0</v>
      </c>
      <c r="I748" s="15">
        <v>8</v>
      </c>
      <c r="J748" s="15" t="s">
        <v>19</v>
      </c>
      <c r="K748" s="12"/>
      <c r="L748" s="14">
        <f>SUBTOTAL(9,L740:L747)</f>
        <v>0</v>
      </c>
      <c r="M748" s="12"/>
      <c r="N748" s="12"/>
      <c r="O748" s="12"/>
    </row>
    <row r="749" spans="1:15" hidden="1" x14ac:dyDescent="0.25">
      <c r="A749" s="4">
        <v>74</v>
      </c>
      <c r="B749" s="5" t="s">
        <v>482</v>
      </c>
      <c r="C749" s="6" t="s">
        <v>18</v>
      </c>
      <c r="D749" s="6"/>
      <c r="E749" s="7" t="s">
        <v>482</v>
      </c>
      <c r="F749" s="6"/>
      <c r="G749" s="6"/>
      <c r="H749" s="6"/>
      <c r="I749" s="4">
        <v>9</v>
      </c>
      <c r="J749" s="4" t="s">
        <v>19</v>
      </c>
      <c r="K749" s="6"/>
      <c r="L749" s="6"/>
      <c r="M749" s="6"/>
      <c r="N749" s="6"/>
      <c r="O749" s="6"/>
    </row>
    <row r="750" spans="1:15" ht="24" hidden="1" x14ac:dyDescent="0.25">
      <c r="A750" s="8">
        <v>74</v>
      </c>
      <c r="B750" s="9" t="str">
        <f t="shared" ref="B750:B758" si="261">B749</f>
        <v>ЩК_S5</v>
      </c>
      <c r="C750" s="9" t="s">
        <v>20</v>
      </c>
      <c r="D750" s="9" t="s">
        <v>774</v>
      </c>
      <c r="E750" s="10" t="s">
        <v>775</v>
      </c>
      <c r="F750" s="11">
        <v>10700</v>
      </c>
      <c r="G750" s="11">
        <f>IF(F750="","",ROUND(F750*VLOOKUP(K750,Kurallar!$D$3:$E$14,2,0),2))</f>
        <v>10700</v>
      </c>
      <c r="H750" s="11">
        <f t="shared" ref="H750" si="262">IF(G750="","",G750*I750)</f>
        <v>10700</v>
      </c>
      <c r="I750" s="8">
        <v>1</v>
      </c>
      <c r="J750" s="8" t="s">
        <v>23</v>
      </c>
      <c r="K750" s="8" t="s">
        <v>776</v>
      </c>
      <c r="L750" s="11">
        <f t="shared" ref="L750" si="263">IF(H750="","",H750*$I$181)</f>
        <v>10700</v>
      </c>
      <c r="M750" s="9" t="s">
        <v>20</v>
      </c>
      <c r="N750" s="8" t="s">
        <v>25</v>
      </c>
      <c r="O750" s="8">
        <f>IFERROR(VLOOKUP(N750,Kurallar!$G$3:$H$22,2,0),0)</f>
        <v>8</v>
      </c>
    </row>
    <row r="751" spans="1:15" hidden="1" x14ac:dyDescent="0.25">
      <c r="A751" s="8">
        <v>74</v>
      </c>
      <c r="B751" s="9" t="str">
        <f t="shared" si="261"/>
        <v>ЩК_S5</v>
      </c>
      <c r="C751" s="9" t="s">
        <v>26</v>
      </c>
      <c r="D751" s="9" t="s">
        <v>772</v>
      </c>
      <c r="E751" s="10" t="s">
        <v>773</v>
      </c>
      <c r="F751" s="11">
        <v>2824</v>
      </c>
      <c r="G751" s="11">
        <f>IF(F751="","",ROUND(F751*VLOOKUP(K751,Kurallar!$D$3:$E$14,2,0),2))</f>
        <v>1694.4</v>
      </c>
      <c r="H751" s="11">
        <f t="shared" ref="H751:H756" si="264">IF(G751="","",G751*I751)</f>
        <v>1694.4</v>
      </c>
      <c r="I751" s="8">
        <v>1</v>
      </c>
      <c r="J751" s="8" t="s">
        <v>23</v>
      </c>
      <c r="K751" s="8" t="s">
        <v>29</v>
      </c>
      <c r="L751" s="11">
        <f t="shared" ref="L751:L756" si="265">IF(H751="","",H751*$I$749)</f>
        <v>15249.6</v>
      </c>
      <c r="M751" s="9" t="s">
        <v>26</v>
      </c>
      <c r="N751" s="8" t="s">
        <v>42</v>
      </c>
      <c r="O751" s="8">
        <f>IFERROR(VLOOKUP(N751,Kurallar!$G$3:$H$22,2,0),0)</f>
        <v>15</v>
      </c>
    </row>
    <row r="752" spans="1:15" hidden="1" x14ac:dyDescent="0.25">
      <c r="A752" s="8">
        <v>74</v>
      </c>
      <c r="B752" s="9" t="str">
        <f t="shared" si="261"/>
        <v>ЩК_S5</v>
      </c>
      <c r="C752" s="9" t="s">
        <v>54</v>
      </c>
      <c r="D752" s="9" t="s">
        <v>93</v>
      </c>
      <c r="E752" s="10" t="s">
        <v>94</v>
      </c>
      <c r="F752" s="11">
        <v>783</v>
      </c>
      <c r="G752" s="11">
        <f>IF(F752="","",ROUND(F752*VLOOKUP(K752,Kurallar!$D$3:$E$14,2,0),2))</f>
        <v>469.8</v>
      </c>
      <c r="H752" s="11">
        <f t="shared" si="264"/>
        <v>469.8</v>
      </c>
      <c r="I752" s="8">
        <v>1</v>
      </c>
      <c r="J752" s="8" t="s">
        <v>23</v>
      </c>
      <c r="K752" s="8" t="s">
        <v>29</v>
      </c>
      <c r="L752" s="11">
        <f t="shared" si="265"/>
        <v>4228.2</v>
      </c>
      <c r="M752" s="9" t="s">
        <v>54</v>
      </c>
      <c r="N752" s="8" t="s">
        <v>57</v>
      </c>
      <c r="O752" s="8">
        <f>IFERROR(VLOOKUP(N752,Kurallar!$G$3:$H$22,2,0),0)</f>
        <v>3</v>
      </c>
    </row>
    <row r="753" spans="1:15" hidden="1" x14ac:dyDescent="0.25">
      <c r="A753" s="8">
        <v>74</v>
      </c>
      <c r="B753" s="9" t="str">
        <f t="shared" si="261"/>
        <v>ЩК_S5</v>
      </c>
      <c r="C753" s="9" t="s">
        <v>54</v>
      </c>
      <c r="D753" s="9" t="s">
        <v>95</v>
      </c>
      <c r="E753" s="10" t="s">
        <v>96</v>
      </c>
      <c r="F753" s="11">
        <v>796</v>
      </c>
      <c r="G753" s="11">
        <f>IF(F753="","",ROUND(F753*VLOOKUP(K753,Kurallar!$D$3:$E$14,2,0),2))</f>
        <v>477.6</v>
      </c>
      <c r="H753" s="11">
        <f t="shared" si="264"/>
        <v>1432.8000000000002</v>
      </c>
      <c r="I753" s="8">
        <v>3</v>
      </c>
      <c r="J753" s="8" t="s">
        <v>23</v>
      </c>
      <c r="K753" s="8" t="s">
        <v>29</v>
      </c>
      <c r="L753" s="11">
        <f t="shared" si="265"/>
        <v>12895.2</v>
      </c>
      <c r="M753" s="9" t="s">
        <v>54</v>
      </c>
      <c r="N753" s="8" t="s">
        <v>57</v>
      </c>
      <c r="O753" s="8">
        <f>IFERROR(VLOOKUP(N753,Kurallar!$G$3:$H$22,2,0),0)</f>
        <v>3</v>
      </c>
    </row>
    <row r="754" spans="1:15" hidden="1" x14ac:dyDescent="0.25">
      <c r="A754" s="8">
        <v>74</v>
      </c>
      <c r="B754" s="9" t="str">
        <f t="shared" si="261"/>
        <v>ЩК_S5</v>
      </c>
      <c r="C754" s="9" t="s">
        <v>50</v>
      </c>
      <c r="D754" s="9" t="s">
        <v>97</v>
      </c>
      <c r="E754" s="10" t="s">
        <v>98</v>
      </c>
      <c r="F754" s="11">
        <v>5556</v>
      </c>
      <c r="G754" s="11">
        <f>IF(F754="","",ROUND(F754*VLOOKUP(K754,Kurallar!$D$3:$E$14,2,0),2))</f>
        <v>3333.6</v>
      </c>
      <c r="H754" s="11">
        <f t="shared" si="264"/>
        <v>6667.2</v>
      </c>
      <c r="I754" s="8">
        <v>2</v>
      </c>
      <c r="J754" s="8" t="s">
        <v>23</v>
      </c>
      <c r="K754" s="8" t="s">
        <v>29</v>
      </c>
      <c r="L754" s="11">
        <f t="shared" si="265"/>
        <v>60004.799999999996</v>
      </c>
      <c r="M754" s="9" t="s">
        <v>50</v>
      </c>
      <c r="N754" s="8" t="s">
        <v>53</v>
      </c>
      <c r="O754" s="8">
        <f>IFERROR(VLOOKUP(N754,Kurallar!$G$3:$H$22,2,0),0)</f>
        <v>16</v>
      </c>
    </row>
    <row r="755" spans="1:15" hidden="1" x14ac:dyDescent="0.25">
      <c r="A755" s="8">
        <v>74</v>
      </c>
      <c r="B755" s="9" t="str">
        <f t="shared" si="261"/>
        <v>ЩК_S5</v>
      </c>
      <c r="C755" s="9" t="s">
        <v>50</v>
      </c>
      <c r="D755" s="9" t="s">
        <v>99</v>
      </c>
      <c r="E755" s="10" t="s">
        <v>100</v>
      </c>
      <c r="F755" s="11">
        <v>5632</v>
      </c>
      <c r="G755" s="11">
        <f>IF(F755="","",ROUND(F755*VLOOKUP(K755,Kurallar!$D$3:$E$14,2,0),2))</f>
        <v>3379.2</v>
      </c>
      <c r="H755" s="11">
        <f t="shared" si="264"/>
        <v>6758.4</v>
      </c>
      <c r="I755" s="8">
        <v>2</v>
      </c>
      <c r="J755" s="8" t="s">
        <v>23</v>
      </c>
      <c r="K755" s="8" t="s">
        <v>29</v>
      </c>
      <c r="L755" s="11">
        <f t="shared" si="265"/>
        <v>60825.599999999999</v>
      </c>
      <c r="M755" s="9" t="s">
        <v>50</v>
      </c>
      <c r="N755" s="8" t="s">
        <v>53</v>
      </c>
      <c r="O755" s="8">
        <f>IFERROR(VLOOKUP(N755,Kurallar!$G$3:$H$22,2,0),0)</f>
        <v>16</v>
      </c>
    </row>
    <row r="756" spans="1:15" hidden="1" x14ac:dyDescent="0.25">
      <c r="A756" s="8">
        <v>74</v>
      </c>
      <c r="B756" s="9" t="str">
        <f t="shared" si="261"/>
        <v>ЩК_S5</v>
      </c>
      <c r="C756" s="9" t="s">
        <v>58</v>
      </c>
      <c r="D756" s="9" t="s">
        <v>101</v>
      </c>
      <c r="E756" s="10" t="s">
        <v>102</v>
      </c>
      <c r="F756" s="11">
        <v>12834</v>
      </c>
      <c r="G756" s="11">
        <f>IF(F756="","",ROUND(F756*VLOOKUP(K756,Kurallar!$D$3:$E$14,2,0),2))</f>
        <v>7700.4</v>
      </c>
      <c r="H756" s="11">
        <f t="shared" si="264"/>
        <v>7700.4</v>
      </c>
      <c r="I756" s="8">
        <v>1</v>
      </c>
      <c r="J756" s="8" t="s">
        <v>23</v>
      </c>
      <c r="K756" s="8" t="s">
        <v>29</v>
      </c>
      <c r="L756" s="11">
        <f t="shared" si="265"/>
        <v>69303.599999999991</v>
      </c>
      <c r="M756" s="9" t="s">
        <v>58</v>
      </c>
      <c r="N756" s="8" t="s">
        <v>61</v>
      </c>
      <c r="O756" s="8">
        <f>IFERROR(VLOOKUP(N756,Kurallar!$G$3:$H$22,2,0),0)</f>
        <v>15</v>
      </c>
    </row>
    <row r="757" spans="1:15" hidden="1" x14ac:dyDescent="0.25">
      <c r="A757" s="8">
        <v>74</v>
      </c>
      <c r="B757" t="str">
        <f t="shared" si="261"/>
        <v>ЩК_S5</v>
      </c>
      <c r="C757" s="9" t="s">
        <v>31</v>
      </c>
      <c r="E757" s="9" t="s">
        <v>32</v>
      </c>
      <c r="F757" s="11"/>
      <c r="G757" s="11">
        <f>ROUND(SUM(H750:H756)*Kurallar!$B$2,2)</f>
        <v>4250.76</v>
      </c>
      <c r="H757" s="11">
        <f>G757*I757</f>
        <v>4250.76</v>
      </c>
      <c r="I757" s="8">
        <v>1</v>
      </c>
      <c r="J757" s="8" t="s">
        <v>19</v>
      </c>
      <c r="K757" s="8" t="s">
        <v>33</v>
      </c>
      <c r="L757" s="11">
        <f>H757*$I$749</f>
        <v>38256.840000000004</v>
      </c>
      <c r="M757" s="9" t="s">
        <v>31</v>
      </c>
    </row>
    <row r="758" spans="1:15" hidden="1" x14ac:dyDescent="0.25">
      <c r="A758" s="8">
        <v>74</v>
      </c>
      <c r="B758" t="str">
        <f t="shared" si="261"/>
        <v>ЩК_S5</v>
      </c>
      <c r="C758" s="9" t="s">
        <v>34</v>
      </c>
      <c r="E758" s="9" t="s">
        <v>35</v>
      </c>
      <c r="F758" s="11">
        <f>ROUND(I758/60,1)</f>
        <v>2.2000000000000002</v>
      </c>
      <c r="G758" s="11">
        <f>Kurallar!$B$3</f>
        <v>100</v>
      </c>
      <c r="H758" s="11">
        <f>G758*I758</f>
        <v>13100</v>
      </c>
      <c r="I758" s="8">
        <f>ROUND(SUMPRODUCT(I750:I756,O750:O756)*Kurallar!$B$4,0)</f>
        <v>131</v>
      </c>
      <c r="J758" s="8" t="s">
        <v>36</v>
      </c>
      <c r="K758" s="8" t="s">
        <v>33</v>
      </c>
      <c r="L758" s="11">
        <f>H758*$I$749</f>
        <v>117900</v>
      </c>
      <c r="M758" s="9" t="s">
        <v>34</v>
      </c>
    </row>
    <row r="759" spans="1:15" hidden="1" x14ac:dyDescent="0.25">
      <c r="A759" s="12"/>
      <c r="B759" s="13" t="s">
        <v>483</v>
      </c>
      <c r="C759" s="12"/>
      <c r="D759" s="12"/>
      <c r="E759" s="13" t="s">
        <v>484</v>
      </c>
      <c r="F759" s="12"/>
      <c r="G759" s="12"/>
      <c r="H759" s="14">
        <f>SUBTOTAL(9,H750:H758)</f>
        <v>0</v>
      </c>
      <c r="I759" s="15">
        <v>9</v>
      </c>
      <c r="J759" s="15" t="s">
        <v>19</v>
      </c>
      <c r="K759" s="12"/>
      <c r="L759" s="14">
        <f>SUBTOTAL(9,L750:L758)</f>
        <v>0</v>
      </c>
      <c r="M759" s="12"/>
      <c r="N759" s="12"/>
      <c r="O759" s="12"/>
    </row>
    <row r="760" spans="1:15" hidden="1" x14ac:dyDescent="0.25">
      <c r="A760" s="4">
        <v>75</v>
      </c>
      <c r="B760" s="5" t="s">
        <v>485</v>
      </c>
      <c r="C760" s="6" t="s">
        <v>18</v>
      </c>
      <c r="D760" s="6"/>
      <c r="E760" s="7" t="s">
        <v>485</v>
      </c>
      <c r="F760" s="6"/>
      <c r="G760" s="6"/>
      <c r="H760" s="6"/>
      <c r="I760" s="4">
        <v>31</v>
      </c>
      <c r="J760" s="4" t="s">
        <v>19</v>
      </c>
      <c r="K760" s="6"/>
      <c r="L760" s="6"/>
      <c r="M760" s="6"/>
      <c r="N760" s="6"/>
      <c r="O760" s="6"/>
    </row>
    <row r="761" spans="1:15" ht="24" hidden="1" x14ac:dyDescent="0.25">
      <c r="A761" s="8">
        <v>75</v>
      </c>
      <c r="B761" s="9" t="str">
        <f t="shared" ref="B761:B769" si="266">B760</f>
        <v>ЩК2_S5</v>
      </c>
      <c r="C761" s="9" t="s">
        <v>20</v>
      </c>
      <c r="D761" s="9" t="s">
        <v>774</v>
      </c>
      <c r="E761" s="10" t="s">
        <v>775</v>
      </c>
      <c r="F761" s="11">
        <v>10700</v>
      </c>
      <c r="G761" s="11">
        <f>IF(F761="","",ROUND(F761*VLOOKUP(K761,Kurallar!$D$3:$E$14,2,0),2))</f>
        <v>10700</v>
      </c>
      <c r="H761" s="11">
        <f t="shared" ref="H761" si="267">IF(G761="","",G761*I761)</f>
        <v>10700</v>
      </c>
      <c r="I761" s="8">
        <v>1</v>
      </c>
      <c r="J761" s="8" t="s">
        <v>23</v>
      </c>
      <c r="K761" s="8" t="s">
        <v>776</v>
      </c>
      <c r="L761" s="11">
        <f t="shared" ref="L761" si="268">IF(H761="","",H761*$I$181)</f>
        <v>10700</v>
      </c>
      <c r="M761" s="9" t="s">
        <v>20</v>
      </c>
      <c r="N761" s="8" t="s">
        <v>25</v>
      </c>
      <c r="O761" s="8">
        <f>IFERROR(VLOOKUP(N761,Kurallar!$G$3:$H$22,2,0),0)</f>
        <v>8</v>
      </c>
    </row>
    <row r="762" spans="1:15" hidden="1" x14ac:dyDescent="0.25">
      <c r="A762" s="8">
        <v>75</v>
      </c>
      <c r="B762" s="9" t="str">
        <f t="shared" si="266"/>
        <v>ЩК2_S5</v>
      </c>
      <c r="C762" s="9" t="s">
        <v>26</v>
      </c>
      <c r="D762" s="9" t="s">
        <v>772</v>
      </c>
      <c r="E762" s="10" t="s">
        <v>773</v>
      </c>
      <c r="F762" s="11">
        <v>2824</v>
      </c>
      <c r="G762" s="11">
        <f>IF(F762="","",ROUND(F762*VLOOKUP(K762,Kurallar!$D$3:$E$14,2,0),2))</f>
        <v>1694.4</v>
      </c>
      <c r="H762" s="11">
        <f t="shared" ref="H762:H767" si="269">IF(G762="","",G762*I762)</f>
        <v>1694.4</v>
      </c>
      <c r="I762" s="8">
        <v>1</v>
      </c>
      <c r="J762" s="8" t="s">
        <v>23</v>
      </c>
      <c r="K762" s="8" t="s">
        <v>29</v>
      </c>
      <c r="L762" s="11">
        <f t="shared" ref="L762:L767" si="270">IF(H762="","",H762*$I$760)</f>
        <v>52526.400000000001</v>
      </c>
      <c r="M762" s="9" t="s">
        <v>26</v>
      </c>
      <c r="N762" s="8" t="s">
        <v>42</v>
      </c>
      <c r="O762" s="8">
        <f>IFERROR(VLOOKUP(N762,Kurallar!$G$3:$H$22,2,0),0)</f>
        <v>15</v>
      </c>
    </row>
    <row r="763" spans="1:15" hidden="1" x14ac:dyDescent="0.25">
      <c r="A763" s="8">
        <v>75</v>
      </c>
      <c r="B763" s="9" t="str">
        <f t="shared" si="266"/>
        <v>ЩК2_S5</v>
      </c>
      <c r="C763" s="9" t="s">
        <v>54</v>
      </c>
      <c r="D763" s="9" t="s">
        <v>93</v>
      </c>
      <c r="E763" s="10" t="s">
        <v>94</v>
      </c>
      <c r="F763" s="11">
        <v>783</v>
      </c>
      <c r="G763" s="11">
        <f>IF(F763="","",ROUND(F763*VLOOKUP(K763,Kurallar!$D$3:$E$14,2,0),2))</f>
        <v>469.8</v>
      </c>
      <c r="H763" s="11">
        <f t="shared" si="269"/>
        <v>469.8</v>
      </c>
      <c r="I763" s="8">
        <v>1</v>
      </c>
      <c r="J763" s="8" t="s">
        <v>23</v>
      </c>
      <c r="K763" s="8" t="s">
        <v>29</v>
      </c>
      <c r="L763" s="11">
        <f t="shared" si="270"/>
        <v>14563.800000000001</v>
      </c>
      <c r="M763" s="9" t="s">
        <v>54</v>
      </c>
      <c r="N763" s="8" t="s">
        <v>57</v>
      </c>
      <c r="O763" s="8">
        <f>IFERROR(VLOOKUP(N763,Kurallar!$G$3:$H$22,2,0),0)</f>
        <v>3</v>
      </c>
    </row>
    <row r="764" spans="1:15" hidden="1" x14ac:dyDescent="0.25">
      <c r="A764" s="8">
        <v>75</v>
      </c>
      <c r="B764" s="9" t="str">
        <f t="shared" si="266"/>
        <v>ЩК2_S5</v>
      </c>
      <c r="C764" s="9" t="s">
        <v>54</v>
      </c>
      <c r="D764" s="9" t="s">
        <v>95</v>
      </c>
      <c r="E764" s="10" t="s">
        <v>96</v>
      </c>
      <c r="F764" s="11">
        <v>796</v>
      </c>
      <c r="G764" s="11">
        <f>IF(F764="","",ROUND(F764*VLOOKUP(K764,Kurallar!$D$3:$E$14,2,0),2))</f>
        <v>477.6</v>
      </c>
      <c r="H764" s="11">
        <f t="shared" si="269"/>
        <v>1910.4</v>
      </c>
      <c r="I764" s="8">
        <v>4</v>
      </c>
      <c r="J764" s="8" t="s">
        <v>23</v>
      </c>
      <c r="K764" s="8" t="s">
        <v>29</v>
      </c>
      <c r="L764" s="11">
        <f t="shared" si="270"/>
        <v>59222.400000000001</v>
      </c>
      <c r="M764" s="9" t="s">
        <v>54</v>
      </c>
      <c r="N764" s="8" t="s">
        <v>57</v>
      </c>
      <c r="O764" s="8">
        <f>IFERROR(VLOOKUP(N764,Kurallar!$G$3:$H$22,2,0),0)</f>
        <v>3</v>
      </c>
    </row>
    <row r="765" spans="1:15" hidden="1" x14ac:dyDescent="0.25">
      <c r="A765" s="8">
        <v>75</v>
      </c>
      <c r="B765" s="9" t="str">
        <f t="shared" si="266"/>
        <v>ЩК2_S5</v>
      </c>
      <c r="C765" s="9" t="s">
        <v>50</v>
      </c>
      <c r="D765" s="9" t="s">
        <v>97</v>
      </c>
      <c r="E765" s="10" t="s">
        <v>98</v>
      </c>
      <c r="F765" s="11">
        <v>5556</v>
      </c>
      <c r="G765" s="11">
        <f>IF(F765="","",ROUND(F765*VLOOKUP(K765,Kurallar!$D$3:$E$14,2,0),2))</f>
        <v>3333.6</v>
      </c>
      <c r="H765" s="11">
        <f t="shared" si="269"/>
        <v>6667.2</v>
      </c>
      <c r="I765" s="8">
        <v>2</v>
      </c>
      <c r="J765" s="8" t="s">
        <v>23</v>
      </c>
      <c r="K765" s="8" t="s">
        <v>29</v>
      </c>
      <c r="L765" s="11">
        <f t="shared" si="270"/>
        <v>206683.19999999998</v>
      </c>
      <c r="M765" s="9" t="s">
        <v>50</v>
      </c>
      <c r="N765" s="8" t="s">
        <v>53</v>
      </c>
      <c r="O765" s="8">
        <f>IFERROR(VLOOKUP(N765,Kurallar!$G$3:$H$22,2,0),0)</f>
        <v>16</v>
      </c>
    </row>
    <row r="766" spans="1:15" hidden="1" x14ac:dyDescent="0.25">
      <c r="A766" s="8">
        <v>75</v>
      </c>
      <c r="B766" s="9" t="str">
        <f t="shared" si="266"/>
        <v>ЩК2_S5</v>
      </c>
      <c r="C766" s="9" t="s">
        <v>50</v>
      </c>
      <c r="D766" s="9" t="s">
        <v>99</v>
      </c>
      <c r="E766" s="10" t="s">
        <v>100</v>
      </c>
      <c r="F766" s="11">
        <v>5632</v>
      </c>
      <c r="G766" s="11">
        <f>IF(F766="","",ROUND(F766*VLOOKUP(K766,Kurallar!$D$3:$E$14,2,0),2))</f>
        <v>3379.2</v>
      </c>
      <c r="H766" s="11">
        <f t="shared" si="269"/>
        <v>6758.4</v>
      </c>
      <c r="I766" s="8">
        <v>2</v>
      </c>
      <c r="J766" s="8" t="s">
        <v>23</v>
      </c>
      <c r="K766" s="8" t="s">
        <v>29</v>
      </c>
      <c r="L766" s="11">
        <f t="shared" si="270"/>
        <v>209510.39999999999</v>
      </c>
      <c r="M766" s="9" t="s">
        <v>50</v>
      </c>
      <c r="N766" s="8" t="s">
        <v>53</v>
      </c>
      <c r="O766" s="8">
        <f>IFERROR(VLOOKUP(N766,Kurallar!$G$3:$H$22,2,0),0)</f>
        <v>16</v>
      </c>
    </row>
    <row r="767" spans="1:15" hidden="1" x14ac:dyDescent="0.25">
      <c r="A767" s="8">
        <v>75</v>
      </c>
      <c r="B767" s="9" t="str">
        <f t="shared" si="266"/>
        <v>ЩК2_S5</v>
      </c>
      <c r="C767" s="9" t="s">
        <v>58</v>
      </c>
      <c r="D767" s="9" t="s">
        <v>101</v>
      </c>
      <c r="E767" s="10" t="s">
        <v>102</v>
      </c>
      <c r="F767" s="11">
        <v>12834</v>
      </c>
      <c r="G767" s="11">
        <f>IF(F767="","",ROUND(F767*VLOOKUP(K767,Kurallar!$D$3:$E$14,2,0),2))</f>
        <v>7700.4</v>
      </c>
      <c r="H767" s="11">
        <f t="shared" si="269"/>
        <v>7700.4</v>
      </c>
      <c r="I767" s="8">
        <v>1</v>
      </c>
      <c r="J767" s="8" t="s">
        <v>23</v>
      </c>
      <c r="K767" s="8" t="s">
        <v>29</v>
      </c>
      <c r="L767" s="11">
        <f t="shared" si="270"/>
        <v>238712.4</v>
      </c>
      <c r="M767" s="9" t="s">
        <v>58</v>
      </c>
      <c r="N767" s="8" t="s">
        <v>61</v>
      </c>
      <c r="O767" s="8">
        <f>IFERROR(VLOOKUP(N767,Kurallar!$G$3:$H$22,2,0),0)</f>
        <v>15</v>
      </c>
    </row>
    <row r="768" spans="1:15" hidden="1" x14ac:dyDescent="0.25">
      <c r="A768" s="8">
        <v>75</v>
      </c>
      <c r="B768" t="str">
        <f t="shared" si="266"/>
        <v>ЩК2_S5</v>
      </c>
      <c r="C768" s="9" t="s">
        <v>31</v>
      </c>
      <c r="E768" s="9" t="s">
        <v>32</v>
      </c>
      <c r="F768" s="11"/>
      <c r="G768" s="11">
        <f>ROUND(SUM(H761:H767)*Kurallar!$B$2,2)</f>
        <v>4308.07</v>
      </c>
      <c r="H768" s="11">
        <f>G768*I768</f>
        <v>4308.07</v>
      </c>
      <c r="I768" s="8">
        <v>1</v>
      </c>
      <c r="J768" s="8" t="s">
        <v>19</v>
      </c>
      <c r="K768" s="8" t="s">
        <v>33</v>
      </c>
      <c r="L768" s="11">
        <f>H768*$I$760</f>
        <v>133550.16999999998</v>
      </c>
      <c r="M768" s="9" t="s">
        <v>31</v>
      </c>
    </row>
    <row r="769" spans="1:15" hidden="1" x14ac:dyDescent="0.25">
      <c r="A769" s="8">
        <v>75</v>
      </c>
      <c r="B769" t="str">
        <f t="shared" si="266"/>
        <v>ЩК2_S5</v>
      </c>
      <c r="C769" s="9" t="s">
        <v>34</v>
      </c>
      <c r="E769" s="9" t="s">
        <v>35</v>
      </c>
      <c r="F769" s="11">
        <f>ROUND(I769/60,1)</f>
        <v>2.2999999999999998</v>
      </c>
      <c r="G769" s="11">
        <f>Kurallar!$B$3</f>
        <v>100</v>
      </c>
      <c r="H769" s="11">
        <f>G769*I769</f>
        <v>13500</v>
      </c>
      <c r="I769" s="8">
        <f>ROUND(SUMPRODUCT(I761:I767,O761:O767)*Kurallar!$B$4,0)</f>
        <v>135</v>
      </c>
      <c r="J769" s="8" t="s">
        <v>36</v>
      </c>
      <c r="K769" s="8" t="s">
        <v>33</v>
      </c>
      <c r="L769" s="11">
        <f>H769*$I$760</f>
        <v>418500</v>
      </c>
      <c r="M769" s="9" t="s">
        <v>34</v>
      </c>
    </row>
    <row r="770" spans="1:15" hidden="1" x14ac:dyDescent="0.25">
      <c r="A770" s="12"/>
      <c r="B770" s="13" t="s">
        <v>486</v>
      </c>
      <c r="C770" s="12"/>
      <c r="D770" s="12"/>
      <c r="E770" s="13" t="s">
        <v>487</v>
      </c>
      <c r="F770" s="12"/>
      <c r="G770" s="12"/>
      <c r="H770" s="14">
        <f>SUBTOTAL(9,H761:H769)</f>
        <v>0</v>
      </c>
      <c r="I770" s="15">
        <v>31</v>
      </c>
      <c r="J770" s="15" t="s">
        <v>19</v>
      </c>
      <c r="K770" s="12"/>
      <c r="L770" s="14">
        <f>SUBTOTAL(9,L761:L769)</f>
        <v>0</v>
      </c>
      <c r="M770" s="12"/>
      <c r="N770" s="12"/>
      <c r="O770" s="12"/>
    </row>
    <row r="771" spans="1:15" hidden="1" x14ac:dyDescent="0.25">
      <c r="A771" s="4">
        <v>76</v>
      </c>
      <c r="B771" s="5" t="s">
        <v>488</v>
      </c>
      <c r="C771" s="6" t="s">
        <v>18</v>
      </c>
      <c r="D771" s="6"/>
      <c r="E771" s="7" t="s">
        <v>488</v>
      </c>
      <c r="F771" s="6"/>
      <c r="G771" s="6"/>
      <c r="H771" s="6"/>
      <c r="I771" s="4">
        <v>2</v>
      </c>
      <c r="J771" s="4" t="s">
        <v>19</v>
      </c>
      <c r="K771" s="6"/>
      <c r="L771" s="6"/>
      <c r="M771" s="6"/>
      <c r="N771" s="6"/>
      <c r="O771" s="6"/>
    </row>
    <row r="772" spans="1:15" hidden="1" x14ac:dyDescent="0.25">
      <c r="A772" s="8">
        <v>76</v>
      </c>
      <c r="B772" s="9" t="str">
        <f t="shared" ref="B772:B784" si="271">B771</f>
        <v>ДУ1, ПД2 (ШУН/В-R3 15.0 квТ) (S5)</v>
      </c>
      <c r="C772" s="9" t="s">
        <v>20</v>
      </c>
      <c r="D772" s="9" t="s">
        <v>109</v>
      </c>
      <c r="E772" s="10" t="s">
        <v>110</v>
      </c>
      <c r="F772" s="11">
        <v>10305</v>
      </c>
      <c r="G772" s="11">
        <f>IF(F772="","",ROUND(F772*VLOOKUP(K772,Kurallar!$D$3:$E$14,2,0),2))</f>
        <v>6183</v>
      </c>
      <c r="H772" s="11">
        <f t="shared" ref="H772" si="272">IF(G772="","",G772*I772)</f>
        <v>6183</v>
      </c>
      <c r="I772" s="8">
        <v>1</v>
      </c>
      <c r="J772" s="8" t="s">
        <v>23</v>
      </c>
      <c r="K772" s="8" t="s">
        <v>24</v>
      </c>
      <c r="L772" s="11">
        <f t="shared" ref="L772" si="273">IF(H772="","",H772*$I$181)</f>
        <v>6183</v>
      </c>
      <c r="M772" s="9" t="s">
        <v>20</v>
      </c>
      <c r="N772" s="8" t="s">
        <v>25</v>
      </c>
      <c r="O772" s="8">
        <f>IFERROR(VLOOKUP(N772,Kurallar!$G$3:$H$22,2,0),0)</f>
        <v>8</v>
      </c>
    </row>
    <row r="773" spans="1:15" hidden="1" x14ac:dyDescent="0.25">
      <c r="A773" s="8">
        <v>76</v>
      </c>
      <c r="B773" s="9" t="str">
        <f t="shared" si="271"/>
        <v>ДУ1, ПД2 (ШУН/В-R3 15.0 квТ) (S5)</v>
      </c>
      <c r="C773" s="9" t="s">
        <v>54</v>
      </c>
      <c r="D773" s="9" t="s">
        <v>183</v>
      </c>
      <c r="E773" s="10" t="s">
        <v>184</v>
      </c>
      <c r="F773" s="11">
        <v>3985</v>
      </c>
      <c r="G773" s="11">
        <f>IF(F773="","",ROUND(F773*VLOOKUP(K773,Kurallar!$D$3:$E$14,2,0),2))</f>
        <v>2391</v>
      </c>
      <c r="H773" s="11">
        <f t="shared" ref="H773:H782" si="274">IF(G773="","",G773*I773)</f>
        <v>2391</v>
      </c>
      <c r="I773" s="8">
        <v>1</v>
      </c>
      <c r="J773" s="8" t="s">
        <v>23</v>
      </c>
      <c r="K773" s="8" t="s">
        <v>29</v>
      </c>
      <c r="L773" s="11">
        <f t="shared" ref="L773:L782" si="275">IF(H773="","",H773*$I$771)</f>
        <v>4782</v>
      </c>
      <c r="M773" s="9" t="s">
        <v>54</v>
      </c>
      <c r="N773" s="8" t="s">
        <v>113</v>
      </c>
      <c r="O773" s="8">
        <f>IFERROR(VLOOKUP(N773,Kurallar!$G$3:$H$22,2,0),0)</f>
        <v>10</v>
      </c>
    </row>
    <row r="774" spans="1:15" hidden="1" x14ac:dyDescent="0.25">
      <c r="A774" s="8">
        <v>76</v>
      </c>
      <c r="B774" s="9" t="str">
        <f t="shared" si="271"/>
        <v>ДУ1, ПД2 (ШУН/В-R3 15.0 квТ) (S5)</v>
      </c>
      <c r="C774" s="9" t="s">
        <v>58</v>
      </c>
      <c r="D774" s="9" t="s">
        <v>185</v>
      </c>
      <c r="E774" s="10" t="s">
        <v>186</v>
      </c>
      <c r="F774" s="11">
        <v>16855</v>
      </c>
      <c r="G774" s="11">
        <f>IF(F774="","",ROUND(F774*VLOOKUP(K774,Kurallar!$D$3:$E$14,2,0),2))</f>
        <v>10113</v>
      </c>
      <c r="H774" s="11">
        <f t="shared" si="274"/>
        <v>10113</v>
      </c>
      <c r="I774" s="8">
        <v>1</v>
      </c>
      <c r="J774" s="8" t="s">
        <v>23</v>
      </c>
      <c r="K774" s="8" t="s">
        <v>29</v>
      </c>
      <c r="L774" s="11">
        <f t="shared" si="275"/>
        <v>20226</v>
      </c>
      <c r="M774" s="9" t="s">
        <v>58</v>
      </c>
      <c r="N774" s="8" t="s">
        <v>61</v>
      </c>
      <c r="O774" s="8">
        <f>IFERROR(VLOOKUP(N774,Kurallar!$G$3:$H$22,2,0),0)</f>
        <v>15</v>
      </c>
    </row>
    <row r="775" spans="1:15" hidden="1" x14ac:dyDescent="0.25">
      <c r="A775" s="8">
        <v>76</v>
      </c>
      <c r="B775" s="9" t="str">
        <f t="shared" si="271"/>
        <v>ДУ1, ПД2 (ШУН/В-R3 15.0 квТ) (S5)</v>
      </c>
      <c r="C775" s="9" t="s">
        <v>86</v>
      </c>
      <c r="D775" s="9" t="s">
        <v>116</v>
      </c>
      <c r="E775" s="10" t="s">
        <v>117</v>
      </c>
      <c r="F775" s="11">
        <v>571</v>
      </c>
      <c r="G775" s="11">
        <f>IF(F775="","",ROUND(F775*VLOOKUP(K775,Kurallar!$D$3:$E$14,2,0),2))</f>
        <v>342.6</v>
      </c>
      <c r="H775" s="11">
        <f t="shared" si="274"/>
        <v>342.6</v>
      </c>
      <c r="I775" s="8">
        <v>1</v>
      </c>
      <c r="J775" s="8" t="s">
        <v>23</v>
      </c>
      <c r="K775" s="8" t="s">
        <v>29</v>
      </c>
      <c r="L775" s="11">
        <f t="shared" si="275"/>
        <v>685.2</v>
      </c>
      <c r="M775" s="9" t="s">
        <v>86</v>
      </c>
      <c r="N775" s="8" t="s">
        <v>89</v>
      </c>
      <c r="O775" s="8">
        <f>IFERROR(VLOOKUP(N775,Kurallar!$G$3:$H$22,2,0),0)</f>
        <v>5</v>
      </c>
    </row>
    <row r="776" spans="1:15" hidden="1" x14ac:dyDescent="0.25">
      <c r="A776" s="8">
        <v>76</v>
      </c>
      <c r="B776" s="9" t="str">
        <f t="shared" si="271"/>
        <v>ДУ1, ПД2 (ШУН/В-R3 15.0 квТ) (S5)</v>
      </c>
      <c r="C776" s="9" t="s">
        <v>86</v>
      </c>
      <c r="D776" s="9" t="s">
        <v>118</v>
      </c>
      <c r="E776" s="10" t="s">
        <v>119</v>
      </c>
      <c r="F776" s="11">
        <v>589</v>
      </c>
      <c r="G776" s="11">
        <f>IF(F776="","",ROUND(F776*VLOOKUP(K776,Kurallar!$D$3:$E$14,2,0),2))</f>
        <v>353.4</v>
      </c>
      <c r="H776" s="11">
        <f t="shared" si="274"/>
        <v>353.4</v>
      </c>
      <c r="I776" s="8">
        <v>1</v>
      </c>
      <c r="J776" s="8" t="s">
        <v>23</v>
      </c>
      <c r="K776" s="8" t="s">
        <v>29</v>
      </c>
      <c r="L776" s="11">
        <f t="shared" si="275"/>
        <v>706.8</v>
      </c>
      <c r="M776" s="9" t="s">
        <v>86</v>
      </c>
      <c r="N776" s="8" t="s">
        <v>89</v>
      </c>
      <c r="O776" s="8">
        <f>IFERROR(VLOOKUP(N776,Kurallar!$G$3:$H$22,2,0),0)</f>
        <v>5</v>
      </c>
    </row>
    <row r="777" spans="1:15" hidden="1" x14ac:dyDescent="0.25">
      <c r="A777" s="8">
        <v>76</v>
      </c>
      <c r="B777" s="9" t="str">
        <f t="shared" si="271"/>
        <v>ДУ1, ПД2 (ШУН/В-R3 15.0 квТ) (S5)</v>
      </c>
      <c r="C777" s="9" t="s">
        <v>86</v>
      </c>
      <c r="D777" s="9" t="s">
        <v>120</v>
      </c>
      <c r="E777" s="10" t="s">
        <v>121</v>
      </c>
      <c r="F777" s="11">
        <v>571</v>
      </c>
      <c r="G777" s="11">
        <f>IF(F777="","",ROUND(F777*VLOOKUP(K777,Kurallar!$D$3:$E$14,2,0),2))</f>
        <v>342.6</v>
      </c>
      <c r="H777" s="11">
        <f t="shared" si="274"/>
        <v>342.6</v>
      </c>
      <c r="I777" s="8">
        <v>1</v>
      </c>
      <c r="J777" s="8" t="s">
        <v>23</v>
      </c>
      <c r="K777" s="8" t="s">
        <v>29</v>
      </c>
      <c r="L777" s="11">
        <f t="shared" si="275"/>
        <v>685.2</v>
      </c>
      <c r="M777" s="9" t="s">
        <v>86</v>
      </c>
      <c r="N777" s="8" t="s">
        <v>89</v>
      </c>
      <c r="O777" s="8">
        <f>IFERROR(VLOOKUP(N777,Kurallar!$G$3:$H$22,2,0),0)</f>
        <v>5</v>
      </c>
    </row>
    <row r="778" spans="1:15" hidden="1" x14ac:dyDescent="0.25">
      <c r="A778" s="8">
        <v>76</v>
      </c>
      <c r="B778" s="9" t="str">
        <f t="shared" si="271"/>
        <v>ДУ1, ПД2 (ШУН/В-R3 15.0 квТ) (S5)</v>
      </c>
      <c r="C778" s="9" t="s">
        <v>54</v>
      </c>
      <c r="D778" s="9" t="s">
        <v>122</v>
      </c>
      <c r="E778" s="10" t="s">
        <v>123</v>
      </c>
      <c r="F778" s="11">
        <v>1086</v>
      </c>
      <c r="G778" s="11">
        <f>IF(F778="","",ROUND(F778*VLOOKUP(K778,Kurallar!$D$3:$E$14,2,0),2))</f>
        <v>651.6</v>
      </c>
      <c r="H778" s="11">
        <f t="shared" si="274"/>
        <v>1303.2</v>
      </c>
      <c r="I778" s="8">
        <v>2</v>
      </c>
      <c r="J778" s="8" t="s">
        <v>23</v>
      </c>
      <c r="K778" s="8" t="s">
        <v>29</v>
      </c>
      <c r="L778" s="11">
        <f t="shared" si="275"/>
        <v>2606.4</v>
      </c>
      <c r="M778" s="9" t="s">
        <v>54</v>
      </c>
      <c r="N778" s="8" t="s">
        <v>57</v>
      </c>
      <c r="O778" s="8">
        <f>IFERROR(VLOOKUP(N778,Kurallar!$G$3:$H$22,2,0),0)</f>
        <v>3</v>
      </c>
    </row>
    <row r="779" spans="1:15" hidden="1" x14ac:dyDescent="0.25">
      <c r="A779" s="8">
        <v>76</v>
      </c>
      <c r="B779" s="9" t="str">
        <f t="shared" si="271"/>
        <v>ДУ1, ПД2 (ШУН/В-R3 15.0 квТ) (S5)</v>
      </c>
      <c r="C779" s="9" t="s">
        <v>62</v>
      </c>
      <c r="D779" s="9" t="s">
        <v>187</v>
      </c>
      <c r="E779" s="10" t="s">
        <v>188</v>
      </c>
      <c r="F779" s="11">
        <v>9156</v>
      </c>
      <c r="G779" s="11">
        <f>IF(F779="","",ROUND(F779*VLOOKUP(K779,Kurallar!$D$3:$E$14,2,0),2))</f>
        <v>5493.6</v>
      </c>
      <c r="H779" s="11">
        <f t="shared" si="274"/>
        <v>5493.6</v>
      </c>
      <c r="I779" s="8">
        <v>1</v>
      </c>
      <c r="J779" s="8" t="s">
        <v>23</v>
      </c>
      <c r="K779" s="8" t="s">
        <v>29</v>
      </c>
      <c r="L779" s="11">
        <f t="shared" si="275"/>
        <v>10987.2</v>
      </c>
      <c r="M779" s="9" t="s">
        <v>62</v>
      </c>
      <c r="N779" s="8" t="s">
        <v>66</v>
      </c>
      <c r="O779" s="8">
        <f>IFERROR(VLOOKUP(N779,Kurallar!$G$3:$H$22,2,0),0)</f>
        <v>5</v>
      </c>
    </row>
    <row r="780" spans="1:15" hidden="1" x14ac:dyDescent="0.25">
      <c r="A780" s="8">
        <v>76</v>
      </c>
      <c r="B780" s="9" t="str">
        <f t="shared" si="271"/>
        <v>ДУ1, ПД2 (ШУН/В-R3 15.0 квТ) (S5)</v>
      </c>
      <c r="C780" s="9" t="s">
        <v>58</v>
      </c>
      <c r="D780" s="9" t="s">
        <v>126</v>
      </c>
      <c r="E780" s="10" t="s">
        <v>127</v>
      </c>
      <c r="F780" s="11">
        <v>2177</v>
      </c>
      <c r="G780" s="11">
        <f>IF(F780="","",ROUND(F780*VLOOKUP(K780,Kurallar!$D$3:$E$14,2,0),2))</f>
        <v>1306.2</v>
      </c>
      <c r="H780" s="11">
        <f t="shared" si="274"/>
        <v>1306.2</v>
      </c>
      <c r="I780" s="8">
        <v>1</v>
      </c>
      <c r="J780" s="8" t="s">
        <v>23</v>
      </c>
      <c r="K780" s="8" t="s">
        <v>29</v>
      </c>
      <c r="L780" s="11">
        <f t="shared" si="275"/>
        <v>2612.4</v>
      </c>
      <c r="M780" s="9" t="s">
        <v>58</v>
      </c>
      <c r="N780" s="8" t="s">
        <v>61</v>
      </c>
      <c r="O780" s="8">
        <f>IFERROR(VLOOKUP(N780,Kurallar!$G$3:$H$22,2,0),0)</f>
        <v>15</v>
      </c>
    </row>
    <row r="781" spans="1:15" hidden="1" x14ac:dyDescent="0.25">
      <c r="A781" s="8">
        <v>76</v>
      </c>
      <c r="B781" s="9" t="str">
        <f t="shared" si="271"/>
        <v>ДУ1, ПД2 (ШУН/В-R3 15.0 квТ) (S5)</v>
      </c>
      <c r="C781" s="9" t="s">
        <v>62</v>
      </c>
      <c r="D781" s="9" t="s">
        <v>128</v>
      </c>
      <c r="E781" s="10" t="s">
        <v>129</v>
      </c>
      <c r="F781" s="11">
        <v>1565</v>
      </c>
      <c r="G781" s="11">
        <f>IF(F781="","",ROUND(F781*VLOOKUP(K781,Kurallar!$D$3:$E$14,2,0),2))</f>
        <v>939</v>
      </c>
      <c r="H781" s="11">
        <f t="shared" si="274"/>
        <v>1878</v>
      </c>
      <c r="I781" s="8">
        <v>2</v>
      </c>
      <c r="J781" s="8" t="s">
        <v>23</v>
      </c>
      <c r="K781" s="8" t="s">
        <v>29</v>
      </c>
      <c r="L781" s="11">
        <f t="shared" si="275"/>
        <v>3756</v>
      </c>
      <c r="M781" s="9" t="s">
        <v>62</v>
      </c>
      <c r="N781" s="8" t="s">
        <v>66</v>
      </c>
      <c r="O781" s="8">
        <f>IFERROR(VLOOKUP(N781,Kurallar!$G$3:$H$22,2,0),0)</f>
        <v>5</v>
      </c>
    </row>
    <row r="782" spans="1:15" hidden="1" x14ac:dyDescent="0.25">
      <c r="A782" s="8">
        <v>76</v>
      </c>
      <c r="B782" s="9" t="str">
        <f t="shared" si="271"/>
        <v>ДУ1, ПД2 (ШУН/В-R3 15.0 квТ) (S5)</v>
      </c>
      <c r="C782" s="9" t="s">
        <v>86</v>
      </c>
      <c r="D782" s="9" t="s">
        <v>130</v>
      </c>
      <c r="E782" s="10" t="s">
        <v>131</v>
      </c>
      <c r="F782" s="11">
        <v>682</v>
      </c>
      <c r="G782" s="11">
        <f>IF(F782="","",ROUND(F782*VLOOKUP(K782,Kurallar!$D$3:$E$14,2,0),2))</f>
        <v>409.2</v>
      </c>
      <c r="H782" s="11">
        <f t="shared" si="274"/>
        <v>818.4</v>
      </c>
      <c r="I782" s="8">
        <v>2</v>
      </c>
      <c r="J782" s="8" t="s">
        <v>23</v>
      </c>
      <c r="K782" s="8" t="s">
        <v>29</v>
      </c>
      <c r="L782" s="11">
        <f t="shared" si="275"/>
        <v>1636.8</v>
      </c>
      <c r="M782" s="9" t="s">
        <v>86</v>
      </c>
      <c r="N782" s="8" t="s">
        <v>89</v>
      </c>
      <c r="O782" s="8">
        <f>IFERROR(VLOOKUP(N782,Kurallar!$G$3:$H$22,2,0),0)</f>
        <v>5</v>
      </c>
    </row>
    <row r="783" spans="1:15" hidden="1" x14ac:dyDescent="0.25">
      <c r="A783" s="8">
        <v>76</v>
      </c>
      <c r="B783" t="str">
        <f t="shared" si="271"/>
        <v>ДУ1, ПД2 (ШУН/В-R3 15.0 квТ) (S5)</v>
      </c>
      <c r="C783" s="9" t="s">
        <v>31</v>
      </c>
      <c r="E783" s="9" t="s">
        <v>32</v>
      </c>
      <c r="F783" s="11"/>
      <c r="G783" s="11">
        <f>ROUND(SUM(H772:H782)*Kurallar!$B$2,2)</f>
        <v>3663</v>
      </c>
      <c r="H783" s="11">
        <f>G783*I783</f>
        <v>3663</v>
      </c>
      <c r="I783" s="8">
        <v>1</v>
      </c>
      <c r="J783" s="8" t="s">
        <v>19</v>
      </c>
      <c r="K783" s="8" t="s">
        <v>33</v>
      </c>
      <c r="L783" s="11">
        <f>H783*$I$771</f>
        <v>7326</v>
      </c>
      <c r="M783" s="9" t="s">
        <v>31</v>
      </c>
    </row>
    <row r="784" spans="1:15" hidden="1" x14ac:dyDescent="0.25">
      <c r="A784" s="8">
        <v>76</v>
      </c>
      <c r="B784" t="str">
        <f t="shared" si="271"/>
        <v>ДУ1, ПД2 (ШУН/В-R3 15.0 квТ) (S5)</v>
      </c>
      <c r="C784" s="9" t="s">
        <v>34</v>
      </c>
      <c r="E784" s="9" t="s">
        <v>35</v>
      </c>
      <c r="F784" s="11">
        <f>ROUND(I784/60,1)</f>
        <v>1.8</v>
      </c>
      <c r="G784" s="11">
        <f>Kurallar!$B$3</f>
        <v>100</v>
      </c>
      <c r="H784" s="11">
        <f>G784*I784</f>
        <v>10800</v>
      </c>
      <c r="I784" s="8">
        <f>ROUND(SUMPRODUCT(I772:I782,O772:O782)*Kurallar!$B$4,0)</f>
        <v>108</v>
      </c>
      <c r="J784" s="8" t="s">
        <v>36</v>
      </c>
      <c r="K784" s="8" t="s">
        <v>33</v>
      </c>
      <c r="L784" s="11">
        <f>H784*$I$771</f>
        <v>21600</v>
      </c>
      <c r="M784" s="9" t="s">
        <v>34</v>
      </c>
    </row>
    <row r="785" spans="1:15" hidden="1" x14ac:dyDescent="0.25">
      <c r="A785" s="12"/>
      <c r="B785" s="13" t="s">
        <v>489</v>
      </c>
      <c r="C785" s="12"/>
      <c r="D785" s="12"/>
      <c r="E785" s="13" t="s">
        <v>490</v>
      </c>
      <c r="F785" s="12"/>
      <c r="G785" s="12"/>
      <c r="H785" s="14">
        <f>SUBTOTAL(9,H772:H784)</f>
        <v>0</v>
      </c>
      <c r="I785" s="15">
        <v>2</v>
      </c>
      <c r="J785" s="15" t="s">
        <v>19</v>
      </c>
      <c r="K785" s="12"/>
      <c r="L785" s="14">
        <f>SUBTOTAL(9,L772:L784)</f>
        <v>0</v>
      </c>
      <c r="M785" s="12"/>
      <c r="N785" s="12"/>
      <c r="O785" s="12"/>
    </row>
    <row r="786" spans="1:15" hidden="1" x14ac:dyDescent="0.25">
      <c r="A786" s="4">
        <v>77</v>
      </c>
      <c r="B786" s="5" t="s">
        <v>491</v>
      </c>
      <c r="C786" s="6" t="s">
        <v>18</v>
      </c>
      <c r="D786" s="6"/>
      <c r="E786" s="7" t="s">
        <v>491</v>
      </c>
      <c r="F786" s="6"/>
      <c r="G786" s="6"/>
      <c r="H786" s="6"/>
      <c r="I786" s="4">
        <v>1</v>
      </c>
      <c r="J786" s="4" t="s">
        <v>19</v>
      </c>
      <c r="K786" s="6"/>
      <c r="L786" s="6"/>
      <c r="M786" s="6"/>
      <c r="N786" s="6"/>
      <c r="O786" s="6"/>
    </row>
    <row r="787" spans="1:15" hidden="1" x14ac:dyDescent="0.25">
      <c r="A787" s="8">
        <v>77</v>
      </c>
      <c r="B787" s="9" t="str">
        <f t="shared" ref="B787:B799" si="276">B786</f>
        <v>ПД1 (ШУН/В-R3 2,2 квТ) (S5)</v>
      </c>
      <c r="C787" s="9" t="s">
        <v>20</v>
      </c>
      <c r="D787" s="9" t="s">
        <v>109</v>
      </c>
      <c r="E787" s="10" t="s">
        <v>110</v>
      </c>
      <c r="F787" s="11">
        <v>10305</v>
      </c>
      <c r="G787" s="11">
        <f>IF(F787="","",ROUND(F787*VLOOKUP(K787,Kurallar!$D$3:$E$14,2,0),2))</f>
        <v>6183</v>
      </c>
      <c r="H787" s="11">
        <f t="shared" ref="H787" si="277">IF(G787="","",G787*I787)</f>
        <v>6183</v>
      </c>
      <c r="I787" s="8">
        <v>1</v>
      </c>
      <c r="J787" s="8" t="s">
        <v>23</v>
      </c>
      <c r="K787" s="8" t="s">
        <v>24</v>
      </c>
      <c r="L787" s="11">
        <f t="shared" ref="L787" si="278">IF(H787="","",H787*$I$181)</f>
        <v>6183</v>
      </c>
      <c r="M787" s="9" t="s">
        <v>20</v>
      </c>
      <c r="N787" s="8" t="s">
        <v>25</v>
      </c>
      <c r="O787" s="8">
        <f>IFERROR(VLOOKUP(N787,Kurallar!$G$3:$H$22,2,0),0)</f>
        <v>8</v>
      </c>
    </row>
    <row r="788" spans="1:15" hidden="1" x14ac:dyDescent="0.25">
      <c r="A788" s="8">
        <v>77</v>
      </c>
      <c r="B788" s="9" t="str">
        <f t="shared" si="276"/>
        <v>ПД1 (ШУН/В-R3 2,2 квТ) (S5)</v>
      </c>
      <c r="C788" s="9" t="s">
        <v>54</v>
      </c>
      <c r="D788" s="9" t="s">
        <v>111</v>
      </c>
      <c r="E788" s="10" t="s">
        <v>112</v>
      </c>
      <c r="F788" s="11">
        <v>3644</v>
      </c>
      <c r="G788" s="11">
        <f>IF(F788="","",ROUND(F788*VLOOKUP(K788,Kurallar!$D$3:$E$14,2,0),2))</f>
        <v>2186.4</v>
      </c>
      <c r="H788" s="11">
        <f t="shared" ref="H788:H797" si="279">IF(G788="","",G788*I788)</f>
        <v>2186.4</v>
      </c>
      <c r="I788" s="8">
        <v>1</v>
      </c>
      <c r="J788" s="8" t="s">
        <v>23</v>
      </c>
      <c r="K788" s="8" t="s">
        <v>29</v>
      </c>
      <c r="L788" s="11">
        <f t="shared" ref="L788:L797" si="280">IF(H788="","",H788*$I$786)</f>
        <v>2186.4</v>
      </c>
      <c r="M788" s="9" t="s">
        <v>54</v>
      </c>
      <c r="N788" s="8" t="s">
        <v>113</v>
      </c>
      <c r="O788" s="8">
        <f>IFERROR(VLOOKUP(N788,Kurallar!$G$3:$H$22,2,0),0)</f>
        <v>10</v>
      </c>
    </row>
    <row r="789" spans="1:15" hidden="1" x14ac:dyDescent="0.25">
      <c r="A789" s="8">
        <v>77</v>
      </c>
      <c r="B789" s="9" t="str">
        <f t="shared" si="276"/>
        <v>ПД1 (ШУН/В-R3 2,2 квТ) (S5)</v>
      </c>
      <c r="C789" s="9" t="s">
        <v>58</v>
      </c>
      <c r="D789" s="9" t="s">
        <v>114</v>
      </c>
      <c r="E789" s="10" t="s">
        <v>115</v>
      </c>
      <c r="F789" s="11">
        <v>5214</v>
      </c>
      <c r="G789" s="11">
        <f>IF(F789="","",ROUND(F789*VLOOKUP(K789,Kurallar!$D$3:$E$14,2,0),2))</f>
        <v>3128.4</v>
      </c>
      <c r="H789" s="11">
        <f t="shared" si="279"/>
        <v>3128.4</v>
      </c>
      <c r="I789" s="8">
        <v>1</v>
      </c>
      <c r="J789" s="8" t="s">
        <v>23</v>
      </c>
      <c r="K789" s="8" t="s">
        <v>29</v>
      </c>
      <c r="L789" s="11">
        <f t="shared" si="280"/>
        <v>3128.4</v>
      </c>
      <c r="M789" s="9" t="s">
        <v>58</v>
      </c>
      <c r="N789" s="8" t="s">
        <v>61</v>
      </c>
      <c r="O789" s="8">
        <f>IFERROR(VLOOKUP(N789,Kurallar!$G$3:$H$22,2,0),0)</f>
        <v>15</v>
      </c>
    </row>
    <row r="790" spans="1:15" hidden="1" x14ac:dyDescent="0.25">
      <c r="A790" s="8">
        <v>77</v>
      </c>
      <c r="B790" s="9" t="str">
        <f t="shared" si="276"/>
        <v>ПД1 (ШУН/В-R3 2,2 квТ) (S5)</v>
      </c>
      <c r="C790" s="9" t="s">
        <v>86</v>
      </c>
      <c r="D790" s="9" t="s">
        <v>116</v>
      </c>
      <c r="E790" s="10" t="s">
        <v>117</v>
      </c>
      <c r="F790" s="11">
        <v>571</v>
      </c>
      <c r="G790" s="11">
        <f>IF(F790="","",ROUND(F790*VLOOKUP(K790,Kurallar!$D$3:$E$14,2,0),2))</f>
        <v>342.6</v>
      </c>
      <c r="H790" s="11">
        <f t="shared" si="279"/>
        <v>342.6</v>
      </c>
      <c r="I790" s="8">
        <v>1</v>
      </c>
      <c r="J790" s="8" t="s">
        <v>23</v>
      </c>
      <c r="K790" s="8" t="s">
        <v>29</v>
      </c>
      <c r="L790" s="11">
        <f t="shared" si="280"/>
        <v>342.6</v>
      </c>
      <c r="M790" s="9" t="s">
        <v>86</v>
      </c>
      <c r="N790" s="8" t="s">
        <v>89</v>
      </c>
      <c r="O790" s="8">
        <f>IFERROR(VLOOKUP(N790,Kurallar!$G$3:$H$22,2,0),0)</f>
        <v>5</v>
      </c>
    </row>
    <row r="791" spans="1:15" hidden="1" x14ac:dyDescent="0.25">
      <c r="A791" s="8">
        <v>77</v>
      </c>
      <c r="B791" s="9" t="str">
        <f t="shared" si="276"/>
        <v>ПД1 (ШУН/В-R3 2,2 квТ) (S5)</v>
      </c>
      <c r="C791" s="9" t="s">
        <v>86</v>
      </c>
      <c r="D791" s="9" t="s">
        <v>118</v>
      </c>
      <c r="E791" s="10" t="s">
        <v>119</v>
      </c>
      <c r="F791" s="11">
        <v>589</v>
      </c>
      <c r="G791" s="11">
        <f>IF(F791="","",ROUND(F791*VLOOKUP(K791,Kurallar!$D$3:$E$14,2,0),2))</f>
        <v>353.4</v>
      </c>
      <c r="H791" s="11">
        <f t="shared" si="279"/>
        <v>353.4</v>
      </c>
      <c r="I791" s="8">
        <v>1</v>
      </c>
      <c r="J791" s="8" t="s">
        <v>23</v>
      </c>
      <c r="K791" s="8" t="s">
        <v>29</v>
      </c>
      <c r="L791" s="11">
        <f t="shared" si="280"/>
        <v>353.4</v>
      </c>
      <c r="M791" s="9" t="s">
        <v>86</v>
      </c>
      <c r="N791" s="8" t="s">
        <v>89</v>
      </c>
      <c r="O791" s="8">
        <f>IFERROR(VLOOKUP(N791,Kurallar!$G$3:$H$22,2,0),0)</f>
        <v>5</v>
      </c>
    </row>
    <row r="792" spans="1:15" hidden="1" x14ac:dyDescent="0.25">
      <c r="A792" s="8">
        <v>77</v>
      </c>
      <c r="B792" s="9" t="str">
        <f t="shared" si="276"/>
        <v>ПД1 (ШУН/В-R3 2,2 квТ) (S5)</v>
      </c>
      <c r="C792" s="9" t="s">
        <v>86</v>
      </c>
      <c r="D792" s="9" t="s">
        <v>120</v>
      </c>
      <c r="E792" s="10" t="s">
        <v>121</v>
      </c>
      <c r="F792" s="11">
        <v>571</v>
      </c>
      <c r="G792" s="11">
        <f>IF(F792="","",ROUND(F792*VLOOKUP(K792,Kurallar!$D$3:$E$14,2,0),2))</f>
        <v>342.6</v>
      </c>
      <c r="H792" s="11">
        <f t="shared" si="279"/>
        <v>342.6</v>
      </c>
      <c r="I792" s="8">
        <v>1</v>
      </c>
      <c r="J792" s="8" t="s">
        <v>23</v>
      </c>
      <c r="K792" s="8" t="s">
        <v>29</v>
      </c>
      <c r="L792" s="11">
        <f t="shared" si="280"/>
        <v>342.6</v>
      </c>
      <c r="M792" s="9" t="s">
        <v>86</v>
      </c>
      <c r="N792" s="8" t="s">
        <v>89</v>
      </c>
      <c r="O792" s="8">
        <f>IFERROR(VLOOKUP(N792,Kurallar!$G$3:$H$22,2,0),0)</f>
        <v>5</v>
      </c>
    </row>
    <row r="793" spans="1:15" hidden="1" x14ac:dyDescent="0.25">
      <c r="A793" s="8">
        <v>77</v>
      </c>
      <c r="B793" s="9" t="str">
        <f t="shared" si="276"/>
        <v>ПД1 (ШУН/В-R3 2,2 квТ) (S5)</v>
      </c>
      <c r="C793" s="9" t="s">
        <v>54</v>
      </c>
      <c r="D793" s="9" t="s">
        <v>122</v>
      </c>
      <c r="E793" s="10" t="s">
        <v>123</v>
      </c>
      <c r="F793" s="11">
        <v>1086</v>
      </c>
      <c r="G793" s="11">
        <f>IF(F793="","",ROUND(F793*VLOOKUP(K793,Kurallar!$D$3:$E$14,2,0),2))</f>
        <v>651.6</v>
      </c>
      <c r="H793" s="11">
        <f t="shared" si="279"/>
        <v>1303.2</v>
      </c>
      <c r="I793" s="8">
        <v>2</v>
      </c>
      <c r="J793" s="8" t="s">
        <v>23</v>
      </c>
      <c r="K793" s="8" t="s">
        <v>29</v>
      </c>
      <c r="L793" s="11">
        <f t="shared" si="280"/>
        <v>1303.2</v>
      </c>
      <c r="M793" s="9" t="s">
        <v>54</v>
      </c>
      <c r="N793" s="8" t="s">
        <v>57</v>
      </c>
      <c r="O793" s="8">
        <f>IFERROR(VLOOKUP(N793,Kurallar!$G$3:$H$22,2,0),0)</f>
        <v>3</v>
      </c>
    </row>
    <row r="794" spans="1:15" hidden="1" x14ac:dyDescent="0.25">
      <c r="A794" s="8">
        <v>77</v>
      </c>
      <c r="B794" s="9" t="str">
        <f t="shared" si="276"/>
        <v>ПД1 (ШУН/В-R3 2,2 квТ) (S5)</v>
      </c>
      <c r="C794" s="9" t="s">
        <v>62</v>
      </c>
      <c r="D794" s="9" t="s">
        <v>124</v>
      </c>
      <c r="E794" s="10" t="s">
        <v>125</v>
      </c>
      <c r="F794" s="11">
        <v>4315</v>
      </c>
      <c r="G794" s="11">
        <f>IF(F794="","",ROUND(F794*VLOOKUP(K794,Kurallar!$D$3:$E$14,2,0),2))</f>
        <v>2589</v>
      </c>
      <c r="H794" s="11">
        <f t="shared" si="279"/>
        <v>2589</v>
      </c>
      <c r="I794" s="8">
        <v>1</v>
      </c>
      <c r="J794" s="8" t="s">
        <v>23</v>
      </c>
      <c r="K794" s="8" t="s">
        <v>29</v>
      </c>
      <c r="L794" s="11">
        <f t="shared" si="280"/>
        <v>2589</v>
      </c>
      <c r="M794" s="9" t="s">
        <v>62</v>
      </c>
      <c r="N794" s="8" t="s">
        <v>66</v>
      </c>
      <c r="O794" s="8">
        <f>IFERROR(VLOOKUP(N794,Kurallar!$G$3:$H$22,2,0),0)</f>
        <v>5</v>
      </c>
    </row>
    <row r="795" spans="1:15" hidden="1" x14ac:dyDescent="0.25">
      <c r="A795" s="8">
        <v>77</v>
      </c>
      <c r="B795" s="9" t="str">
        <f t="shared" si="276"/>
        <v>ПД1 (ШУН/В-R3 2,2 квТ) (S5)</v>
      </c>
      <c r="C795" s="9" t="s">
        <v>58</v>
      </c>
      <c r="D795" s="9" t="s">
        <v>126</v>
      </c>
      <c r="E795" s="10" t="s">
        <v>127</v>
      </c>
      <c r="F795" s="11">
        <v>2177</v>
      </c>
      <c r="G795" s="11">
        <f>IF(F795="","",ROUND(F795*VLOOKUP(K795,Kurallar!$D$3:$E$14,2,0),2))</f>
        <v>1306.2</v>
      </c>
      <c r="H795" s="11">
        <f t="shared" si="279"/>
        <v>1306.2</v>
      </c>
      <c r="I795" s="8">
        <v>1</v>
      </c>
      <c r="J795" s="8" t="s">
        <v>23</v>
      </c>
      <c r="K795" s="8" t="s">
        <v>29</v>
      </c>
      <c r="L795" s="11">
        <f t="shared" si="280"/>
        <v>1306.2</v>
      </c>
      <c r="M795" s="9" t="s">
        <v>58</v>
      </c>
      <c r="N795" s="8" t="s">
        <v>61</v>
      </c>
      <c r="O795" s="8">
        <f>IFERROR(VLOOKUP(N795,Kurallar!$G$3:$H$22,2,0),0)</f>
        <v>15</v>
      </c>
    </row>
    <row r="796" spans="1:15" hidden="1" x14ac:dyDescent="0.25">
      <c r="A796" s="8">
        <v>77</v>
      </c>
      <c r="B796" s="9" t="str">
        <f t="shared" si="276"/>
        <v>ПД1 (ШУН/В-R3 2,2 квТ) (S5)</v>
      </c>
      <c r="C796" s="9" t="s">
        <v>62</v>
      </c>
      <c r="D796" s="9" t="s">
        <v>128</v>
      </c>
      <c r="E796" s="10" t="s">
        <v>129</v>
      </c>
      <c r="F796" s="11">
        <v>1565</v>
      </c>
      <c r="G796" s="11">
        <f>IF(F796="","",ROUND(F796*VLOOKUP(K796,Kurallar!$D$3:$E$14,2,0),2))</f>
        <v>939</v>
      </c>
      <c r="H796" s="11">
        <f t="shared" si="279"/>
        <v>1878</v>
      </c>
      <c r="I796" s="8">
        <v>2</v>
      </c>
      <c r="J796" s="8" t="s">
        <v>23</v>
      </c>
      <c r="K796" s="8" t="s">
        <v>29</v>
      </c>
      <c r="L796" s="11">
        <f t="shared" si="280"/>
        <v>1878</v>
      </c>
      <c r="M796" s="9" t="s">
        <v>62</v>
      </c>
      <c r="N796" s="8" t="s">
        <v>66</v>
      </c>
      <c r="O796" s="8">
        <f>IFERROR(VLOOKUP(N796,Kurallar!$G$3:$H$22,2,0),0)</f>
        <v>5</v>
      </c>
    </row>
    <row r="797" spans="1:15" hidden="1" x14ac:dyDescent="0.25">
      <c r="A797" s="8">
        <v>77</v>
      </c>
      <c r="B797" s="9" t="str">
        <f t="shared" si="276"/>
        <v>ПД1 (ШУН/В-R3 2,2 квТ) (S5)</v>
      </c>
      <c r="C797" s="9" t="s">
        <v>86</v>
      </c>
      <c r="D797" s="9" t="s">
        <v>130</v>
      </c>
      <c r="E797" s="10" t="s">
        <v>131</v>
      </c>
      <c r="F797" s="11">
        <v>682</v>
      </c>
      <c r="G797" s="11">
        <f>IF(F797="","",ROUND(F797*VLOOKUP(K797,Kurallar!$D$3:$E$14,2,0),2))</f>
        <v>409.2</v>
      </c>
      <c r="H797" s="11">
        <f t="shared" si="279"/>
        <v>818.4</v>
      </c>
      <c r="I797" s="8">
        <v>2</v>
      </c>
      <c r="J797" s="8" t="s">
        <v>23</v>
      </c>
      <c r="K797" s="8" t="s">
        <v>29</v>
      </c>
      <c r="L797" s="11">
        <f t="shared" si="280"/>
        <v>818.4</v>
      </c>
      <c r="M797" s="9" t="s">
        <v>86</v>
      </c>
      <c r="N797" s="8" t="s">
        <v>89</v>
      </c>
      <c r="O797" s="8">
        <f>IFERROR(VLOOKUP(N797,Kurallar!$G$3:$H$22,2,0),0)</f>
        <v>5</v>
      </c>
    </row>
    <row r="798" spans="1:15" hidden="1" x14ac:dyDescent="0.25">
      <c r="A798" s="8">
        <v>77</v>
      </c>
      <c r="B798" t="str">
        <f t="shared" si="276"/>
        <v>ПД1 (ШУН/В-R3 2,2 квТ) (S5)</v>
      </c>
      <c r="C798" s="9" t="s">
        <v>31</v>
      </c>
      <c r="E798" s="9" t="s">
        <v>32</v>
      </c>
      <c r="F798" s="11"/>
      <c r="G798" s="11">
        <f>ROUND(SUM(H787:H797)*Kurallar!$B$2,2)</f>
        <v>2451.7399999999998</v>
      </c>
      <c r="H798" s="11">
        <f>G798*I798</f>
        <v>2451.7399999999998</v>
      </c>
      <c r="I798" s="8">
        <v>1</v>
      </c>
      <c r="J798" s="8" t="s">
        <v>19</v>
      </c>
      <c r="K798" s="8" t="s">
        <v>33</v>
      </c>
      <c r="L798" s="11">
        <f>H798*$I$786</f>
        <v>2451.7399999999998</v>
      </c>
      <c r="M798" s="9" t="s">
        <v>31</v>
      </c>
    </row>
    <row r="799" spans="1:15" hidden="1" x14ac:dyDescent="0.25">
      <c r="A799" s="8">
        <v>77</v>
      </c>
      <c r="B799" t="str">
        <f t="shared" si="276"/>
        <v>ПД1 (ШУН/В-R3 2,2 квТ) (S5)</v>
      </c>
      <c r="C799" s="9" t="s">
        <v>34</v>
      </c>
      <c r="E799" s="9" t="s">
        <v>35</v>
      </c>
      <c r="F799" s="11">
        <f>ROUND(I799/60,1)</f>
        <v>1.8</v>
      </c>
      <c r="G799" s="11">
        <f>Kurallar!$B$3</f>
        <v>100</v>
      </c>
      <c r="H799" s="11">
        <f>G799*I799</f>
        <v>10800</v>
      </c>
      <c r="I799" s="8">
        <f>ROUND(SUMPRODUCT(I787:I797,O787:O797)*Kurallar!$B$4,0)</f>
        <v>108</v>
      </c>
      <c r="J799" s="8" t="s">
        <v>36</v>
      </c>
      <c r="K799" s="8" t="s">
        <v>33</v>
      </c>
      <c r="L799" s="11">
        <f>H799*$I$786</f>
        <v>10800</v>
      </c>
      <c r="M799" s="9" t="s">
        <v>34</v>
      </c>
    </row>
    <row r="800" spans="1:15" hidden="1" x14ac:dyDescent="0.25">
      <c r="A800" s="12"/>
      <c r="B800" s="13" t="s">
        <v>492</v>
      </c>
      <c r="C800" s="12"/>
      <c r="D800" s="12"/>
      <c r="E800" s="13" t="s">
        <v>493</v>
      </c>
      <c r="F800" s="12"/>
      <c r="G800" s="12"/>
      <c r="H800" s="14">
        <f>SUBTOTAL(9,H787:H799)</f>
        <v>0</v>
      </c>
      <c r="I800" s="15">
        <v>1</v>
      </c>
      <c r="J800" s="15" t="s">
        <v>19</v>
      </c>
      <c r="K800" s="12"/>
      <c r="L800" s="14">
        <f>SUBTOTAL(9,L787:L799)</f>
        <v>0</v>
      </c>
      <c r="M800" s="12"/>
      <c r="N800" s="12"/>
      <c r="O800" s="12"/>
    </row>
    <row r="801" spans="1:15" hidden="1" x14ac:dyDescent="0.25">
      <c r="A801" s="4">
        <v>78</v>
      </c>
      <c r="B801" s="5" t="s">
        <v>494</v>
      </c>
      <c r="C801" s="6" t="s">
        <v>18</v>
      </c>
      <c r="D801" s="6"/>
      <c r="E801" s="7" t="s">
        <v>494</v>
      </c>
      <c r="F801" s="6"/>
      <c r="G801" s="6"/>
      <c r="H801" s="6"/>
      <c r="I801" s="4">
        <v>1</v>
      </c>
      <c r="J801" s="4" t="s">
        <v>19</v>
      </c>
      <c r="K801" s="6"/>
      <c r="L801" s="6"/>
      <c r="M801" s="6"/>
      <c r="N801" s="6"/>
      <c r="O801" s="6"/>
    </row>
    <row r="802" spans="1:15" hidden="1" x14ac:dyDescent="0.25">
      <c r="A802" s="8">
        <v>78</v>
      </c>
      <c r="B802" s="9" t="str">
        <f t="shared" ref="B802:B805" si="281">B801</f>
        <v>В1 (S5)</v>
      </c>
      <c r="C802" s="16" t="s">
        <v>135</v>
      </c>
      <c r="D802" s="9"/>
      <c r="E802" s="10" t="s">
        <v>136</v>
      </c>
      <c r="F802" s="9"/>
      <c r="G802" s="9"/>
      <c r="H802" s="9"/>
      <c r="I802" s="8">
        <v>1</v>
      </c>
      <c r="J802" s="8" t="s">
        <v>23</v>
      </c>
      <c r="K802" s="8" t="s">
        <v>137</v>
      </c>
      <c r="L802" s="9"/>
      <c r="M802" s="9" t="s">
        <v>20</v>
      </c>
      <c r="N802" s="8" t="s">
        <v>25</v>
      </c>
      <c r="O802" s="8">
        <f>IFERROR(VLOOKUP(N802,Kurallar!$G$3:$H$22,2,0),0)</f>
        <v>8</v>
      </c>
    </row>
    <row r="803" spans="1:15" hidden="1" x14ac:dyDescent="0.25">
      <c r="A803" s="8">
        <v>78</v>
      </c>
      <c r="B803" s="9" t="str">
        <f t="shared" si="281"/>
        <v>В1 (S5)</v>
      </c>
      <c r="C803" s="16" t="s">
        <v>750</v>
      </c>
      <c r="D803" s="9"/>
      <c r="E803" s="10" t="s">
        <v>138</v>
      </c>
      <c r="F803" s="9">
        <v>21500</v>
      </c>
      <c r="G803" s="9">
        <f>F803</f>
        <v>21500</v>
      </c>
      <c r="H803" s="9">
        <f>G803*I803</f>
        <v>21500</v>
      </c>
      <c r="I803" s="8">
        <v>1</v>
      </c>
      <c r="J803" s="8" t="s">
        <v>23</v>
      </c>
      <c r="K803" s="8" t="s">
        <v>139</v>
      </c>
      <c r="L803" s="9"/>
      <c r="M803" s="9" t="s">
        <v>58</v>
      </c>
      <c r="N803" s="8" t="s">
        <v>61</v>
      </c>
      <c r="O803" s="8">
        <f>IFERROR(VLOOKUP(N803,Kurallar!$G$3:$H$22,2,0),0)</f>
        <v>15</v>
      </c>
    </row>
    <row r="804" spans="1:15" hidden="1" x14ac:dyDescent="0.25">
      <c r="A804" s="8">
        <v>78</v>
      </c>
      <c r="B804" t="str">
        <f t="shared" si="281"/>
        <v>В1 (S5)</v>
      </c>
      <c r="C804" s="9" t="s">
        <v>31</v>
      </c>
      <c r="E804" s="9" t="s">
        <v>32</v>
      </c>
      <c r="F804" s="11"/>
      <c r="G804" s="11">
        <f>ROUND(SUM(H802:H803)*Kurallar!$B$2,2)</f>
        <v>2580</v>
      </c>
      <c r="H804" s="11">
        <f>G804*I804</f>
        <v>2580</v>
      </c>
      <c r="I804" s="8">
        <v>1</v>
      </c>
      <c r="J804" s="8" t="s">
        <v>19</v>
      </c>
      <c r="K804" s="8" t="s">
        <v>33</v>
      </c>
      <c r="L804" s="11">
        <f>H804*$I$801</f>
        <v>2580</v>
      </c>
      <c r="M804" s="9" t="s">
        <v>31</v>
      </c>
    </row>
    <row r="805" spans="1:15" hidden="1" x14ac:dyDescent="0.25">
      <c r="A805" s="8">
        <v>78</v>
      </c>
      <c r="B805" t="str">
        <f t="shared" si="281"/>
        <v>В1 (S5)</v>
      </c>
      <c r="C805" s="9" t="s">
        <v>34</v>
      </c>
      <c r="E805" s="9" t="s">
        <v>35</v>
      </c>
      <c r="F805" s="11">
        <f>ROUND(I805/60,1)</f>
        <v>0.4</v>
      </c>
      <c r="G805" s="11">
        <f>Kurallar!$B$3</f>
        <v>100</v>
      </c>
      <c r="H805" s="11">
        <f>G805*I805</f>
        <v>2600</v>
      </c>
      <c r="I805" s="8">
        <f>ROUND(SUMPRODUCT(I802:I803,O802:O803)*Kurallar!$B$4,0)</f>
        <v>26</v>
      </c>
      <c r="J805" s="8" t="s">
        <v>36</v>
      </c>
      <c r="K805" s="8" t="s">
        <v>33</v>
      </c>
      <c r="L805" s="11">
        <f>H805*$I$801</f>
        <v>2600</v>
      </c>
      <c r="M805" s="9" t="s">
        <v>34</v>
      </c>
    </row>
    <row r="806" spans="1:15" hidden="1" x14ac:dyDescent="0.25">
      <c r="A806" s="12"/>
      <c r="B806" s="13" t="s">
        <v>495</v>
      </c>
      <c r="C806" s="12"/>
      <c r="D806" s="12"/>
      <c r="E806" s="13" t="s">
        <v>496</v>
      </c>
      <c r="F806" s="12"/>
      <c r="G806" s="12"/>
      <c r="H806" s="14">
        <f>SUBTOTAL(9,H802:H805)</f>
        <v>0</v>
      </c>
      <c r="I806" s="15">
        <v>1</v>
      </c>
      <c r="J806" s="15" t="s">
        <v>19</v>
      </c>
      <c r="K806" s="12"/>
      <c r="L806" s="14">
        <f>SUBTOTAL(9,L802:L805)</f>
        <v>0</v>
      </c>
      <c r="M806" s="12"/>
      <c r="N806" s="12"/>
      <c r="O806" s="12"/>
    </row>
    <row r="807" spans="1:15" hidden="1" x14ac:dyDescent="0.25">
      <c r="A807" s="4">
        <v>79</v>
      </c>
      <c r="B807" s="5" t="s">
        <v>497</v>
      </c>
      <c r="C807" s="6" t="s">
        <v>18</v>
      </c>
      <c r="D807" s="6"/>
      <c r="E807" s="7" t="s">
        <v>497</v>
      </c>
      <c r="F807" s="6"/>
      <c r="G807" s="6"/>
      <c r="H807" s="6"/>
      <c r="I807" s="4">
        <v>1</v>
      </c>
      <c r="J807" s="4" t="s">
        <v>19</v>
      </c>
      <c r="K807" s="6"/>
      <c r="L807" s="6"/>
      <c r="M807" s="6"/>
      <c r="N807" s="6"/>
      <c r="O807" s="6"/>
    </row>
    <row r="808" spans="1:15" hidden="1" x14ac:dyDescent="0.25">
      <c r="A808" s="8">
        <v>79</v>
      </c>
      <c r="B808" s="9" t="str">
        <f t="shared" ref="B808:B817" si="282">B807</f>
        <v>КРМ (УКМ-58 0,4-30-УЗ) (S5)</v>
      </c>
      <c r="C808" s="9" t="s">
        <v>20</v>
      </c>
      <c r="D808" s="9" t="s">
        <v>768</v>
      </c>
      <c r="E808" s="10" t="s">
        <v>769</v>
      </c>
      <c r="F808" s="11">
        <v>110000</v>
      </c>
      <c r="G808" s="11">
        <f>IF(F808="","",ROUND(F808*VLOOKUP(K808,Kurallar!$D$3:$E$14,2,0),2))</f>
        <v>66000</v>
      </c>
      <c r="H808" s="11">
        <f t="shared" ref="H808" si="283">IF(G808="","",G808*I808)</f>
        <v>66000</v>
      </c>
      <c r="I808" s="8">
        <v>1</v>
      </c>
      <c r="J808" s="8" t="s">
        <v>23</v>
      </c>
      <c r="K808" s="8" t="s">
        <v>24</v>
      </c>
      <c r="L808" s="11">
        <f t="shared" ref="L808" si="284">IF(H808="","",H808*$I$181)</f>
        <v>66000</v>
      </c>
      <c r="M808" s="9" t="s">
        <v>20</v>
      </c>
      <c r="N808" s="8" t="s">
        <v>75</v>
      </c>
      <c r="O808" s="8">
        <f>IFERROR(VLOOKUP(N808,Kurallar!$G$3:$H$22,2,0),0)</f>
        <v>30</v>
      </c>
    </row>
    <row r="809" spans="1:15" ht="24" hidden="1" x14ac:dyDescent="0.25">
      <c r="A809" s="8">
        <v>79</v>
      </c>
      <c r="B809" s="9" t="str">
        <f t="shared" si="282"/>
        <v>КРМ (УКМ-58 0,4-30-УЗ) (S5)</v>
      </c>
      <c r="C809" s="9" t="s">
        <v>26</v>
      </c>
      <c r="D809" s="9" t="s">
        <v>752</v>
      </c>
      <c r="E809" s="10" t="s">
        <v>753</v>
      </c>
      <c r="F809" s="11">
        <v>8202</v>
      </c>
      <c r="G809" s="11">
        <f>IF(F809="","",ROUND(F809*VLOOKUP(K809,Kurallar!$D$3:$E$14,2,0),2))</f>
        <v>8202</v>
      </c>
      <c r="H809" s="11">
        <f t="shared" ref="H809:H815" si="285">IF(G809="","",G809*I809)</f>
        <v>8202</v>
      </c>
      <c r="I809" s="8">
        <v>1</v>
      </c>
      <c r="J809" s="8" t="s">
        <v>23</v>
      </c>
      <c r="K809" s="8" t="s">
        <v>754</v>
      </c>
      <c r="L809" s="11">
        <f t="shared" ref="L809:L815" si="286">IF(H809="","",H809*$I$807)</f>
        <v>8202</v>
      </c>
      <c r="M809" s="9" t="s">
        <v>26</v>
      </c>
      <c r="N809" s="8" t="s">
        <v>30</v>
      </c>
      <c r="O809" s="8">
        <f>IFERROR(VLOOKUP(N809,Kurallar!$G$3:$H$22,2,0),0)</f>
        <v>30</v>
      </c>
    </row>
    <row r="810" spans="1:15" hidden="1" x14ac:dyDescent="0.25">
      <c r="A810" s="8">
        <v>79</v>
      </c>
      <c r="B810" s="9" t="str">
        <f t="shared" si="282"/>
        <v>КРМ (УКМ-58 0,4-30-УЗ) (S5)</v>
      </c>
      <c r="C810" s="9" t="s">
        <v>54</v>
      </c>
      <c r="D810" s="9" t="s">
        <v>258</v>
      </c>
      <c r="E810" s="10" t="s">
        <v>259</v>
      </c>
      <c r="F810" s="11">
        <v>3641</v>
      </c>
      <c r="G810" s="11">
        <f>IF(F810="","",ROUND(F810*VLOOKUP(K810,Kurallar!$D$3:$E$14,2,0),2))</f>
        <v>2184.6</v>
      </c>
      <c r="H810" s="11">
        <f t="shared" si="285"/>
        <v>2184.6</v>
      </c>
      <c r="I810" s="8">
        <v>1</v>
      </c>
      <c r="J810" s="8" t="s">
        <v>23</v>
      </c>
      <c r="K810" s="8" t="s">
        <v>29</v>
      </c>
      <c r="L810" s="11">
        <f t="shared" si="286"/>
        <v>2184.6</v>
      </c>
      <c r="M810" s="9" t="s">
        <v>54</v>
      </c>
      <c r="N810" s="8" t="s">
        <v>113</v>
      </c>
      <c r="O810" s="8">
        <f>IFERROR(VLOOKUP(N810,Kurallar!$G$3:$H$22,2,0),0)</f>
        <v>10</v>
      </c>
    </row>
    <row r="811" spans="1:15" hidden="1" x14ac:dyDescent="0.25">
      <c r="A811" s="8">
        <v>79</v>
      </c>
      <c r="B811" s="9" t="str">
        <f t="shared" si="282"/>
        <v>КРМ (УКМ-58 0,4-30-УЗ) (S5)</v>
      </c>
      <c r="C811" s="9" t="s">
        <v>54</v>
      </c>
      <c r="D811" s="9" t="s">
        <v>55</v>
      </c>
      <c r="E811" s="10" t="s">
        <v>56</v>
      </c>
      <c r="F811" s="11">
        <v>975</v>
      </c>
      <c r="G811" s="11">
        <f>IF(F811="","",ROUND(F811*VLOOKUP(K811,Kurallar!$D$3:$E$14,2,0),2))</f>
        <v>585</v>
      </c>
      <c r="H811" s="11">
        <f t="shared" si="285"/>
        <v>1755</v>
      </c>
      <c r="I811" s="8">
        <v>3</v>
      </c>
      <c r="J811" s="8" t="s">
        <v>23</v>
      </c>
      <c r="K811" s="8" t="s">
        <v>29</v>
      </c>
      <c r="L811" s="11">
        <f t="shared" si="286"/>
        <v>1755</v>
      </c>
      <c r="M811" s="9" t="s">
        <v>54</v>
      </c>
      <c r="N811" s="8" t="s">
        <v>57</v>
      </c>
      <c r="O811" s="8">
        <f>IFERROR(VLOOKUP(N811,Kurallar!$G$3:$H$22,2,0),0)</f>
        <v>3</v>
      </c>
    </row>
    <row r="812" spans="1:15" ht="24" hidden="1" x14ac:dyDescent="0.25">
      <c r="A812" s="8">
        <v>79</v>
      </c>
      <c r="B812" s="9" t="str">
        <f t="shared" si="282"/>
        <v>КРМ (УКМ-58 0,4-30-УЗ) (S5)</v>
      </c>
      <c r="C812" s="9" t="s">
        <v>58</v>
      </c>
      <c r="D812" s="9" t="s">
        <v>764</v>
      </c>
      <c r="E812" s="10" t="s">
        <v>765</v>
      </c>
      <c r="F812" s="11">
        <v>13217</v>
      </c>
      <c r="G812" s="11">
        <f>IF(F812="","",ROUND(F812*VLOOKUP(K812,Kurallar!$D$3:$E$14,2,0),2))</f>
        <v>7930.2</v>
      </c>
      <c r="H812" s="11">
        <f t="shared" si="285"/>
        <v>47581.2</v>
      </c>
      <c r="I812" s="8">
        <v>6</v>
      </c>
      <c r="J812" s="8" t="s">
        <v>23</v>
      </c>
      <c r="K812" s="8" t="s">
        <v>29</v>
      </c>
      <c r="L812" s="11">
        <f t="shared" si="286"/>
        <v>47581.2</v>
      </c>
      <c r="M812" s="9" t="s">
        <v>58</v>
      </c>
      <c r="N812" s="8" t="s">
        <v>61</v>
      </c>
      <c r="O812" s="8">
        <f>IFERROR(VLOOKUP(N812,Kurallar!$G$3:$H$22,2,0),0)</f>
        <v>15</v>
      </c>
    </row>
    <row r="813" spans="1:15" hidden="1" x14ac:dyDescent="0.25">
      <c r="A813" s="8">
        <v>79</v>
      </c>
      <c r="B813" s="9" t="str">
        <f t="shared" si="282"/>
        <v>КРМ (УКМ-58 0,4-30-УЗ) (S5)</v>
      </c>
      <c r="C813" s="9" t="s">
        <v>86</v>
      </c>
      <c r="D813" s="9" t="s">
        <v>235</v>
      </c>
      <c r="E813" s="10" t="s">
        <v>236</v>
      </c>
      <c r="F813" s="11">
        <v>1306</v>
      </c>
      <c r="G813" s="11">
        <f>IF(F813="","",ROUND(F813*VLOOKUP(K813,Kurallar!$D$3:$E$14,2,0),2))</f>
        <v>783.6</v>
      </c>
      <c r="H813" s="11">
        <f t="shared" si="285"/>
        <v>783.6</v>
      </c>
      <c r="I813" s="8">
        <v>1</v>
      </c>
      <c r="J813" s="8" t="s">
        <v>23</v>
      </c>
      <c r="K813" s="8" t="s">
        <v>29</v>
      </c>
      <c r="L813" s="11">
        <f t="shared" si="286"/>
        <v>783.6</v>
      </c>
      <c r="M813" s="9" t="s">
        <v>86</v>
      </c>
      <c r="N813" s="8" t="s">
        <v>89</v>
      </c>
      <c r="O813" s="8">
        <f>IFERROR(VLOOKUP(N813,Kurallar!$G$3:$H$22,2,0),0)</f>
        <v>5</v>
      </c>
    </row>
    <row r="814" spans="1:15" hidden="1" x14ac:dyDescent="0.25">
      <c r="A814" s="8">
        <v>79</v>
      </c>
      <c r="B814" s="9" t="str">
        <f t="shared" si="282"/>
        <v>КРМ (УКМ-58 0,4-30-УЗ) (S5)</v>
      </c>
      <c r="C814" s="9" t="s">
        <v>86</v>
      </c>
      <c r="D814" s="9" t="s">
        <v>766</v>
      </c>
      <c r="E814" s="10" t="s">
        <v>767</v>
      </c>
      <c r="F814" s="11">
        <v>17619</v>
      </c>
      <c r="G814" s="11">
        <f>IF(F814="","",ROUND(F814*VLOOKUP(K814,Kurallar!$D$3:$E$14,2,0),2))</f>
        <v>10571.4</v>
      </c>
      <c r="H814" s="11">
        <f t="shared" si="285"/>
        <v>63428.399999999994</v>
      </c>
      <c r="I814" s="8">
        <v>6</v>
      </c>
      <c r="J814" s="8" t="s">
        <v>23</v>
      </c>
      <c r="K814" s="8" t="s">
        <v>29</v>
      </c>
      <c r="L814" s="11">
        <f t="shared" si="286"/>
        <v>63428.399999999994</v>
      </c>
      <c r="M814" s="9" t="s">
        <v>86</v>
      </c>
      <c r="N814" s="8" t="s">
        <v>89</v>
      </c>
      <c r="O814" s="8">
        <f>IFERROR(VLOOKUP(N814,Kurallar!$G$3:$H$22,2,0),0)</f>
        <v>5</v>
      </c>
    </row>
    <row r="815" spans="1:15" hidden="1" x14ac:dyDescent="0.25">
      <c r="A815" s="8">
        <v>79</v>
      </c>
      <c r="B815" s="9" t="str">
        <f t="shared" si="282"/>
        <v>КРМ (УКМ-58 0,4-30-УЗ) (S5)</v>
      </c>
      <c r="C815" s="9" t="s">
        <v>62</v>
      </c>
      <c r="D815" s="9" t="s">
        <v>378</v>
      </c>
      <c r="E815" s="10" t="s">
        <v>379</v>
      </c>
      <c r="F815" s="11">
        <v>70078</v>
      </c>
      <c r="G815" s="11">
        <f>IF(F815="","",ROUND(F815*VLOOKUP(K815,Kurallar!$D$3:$E$14,2,0),2))</f>
        <v>42046.8</v>
      </c>
      <c r="H815" s="11">
        <f t="shared" si="285"/>
        <v>42046.8</v>
      </c>
      <c r="I815" s="8">
        <v>1</v>
      </c>
      <c r="J815" s="8" t="s">
        <v>23</v>
      </c>
      <c r="K815" s="8" t="s">
        <v>29</v>
      </c>
      <c r="L815" s="11">
        <f t="shared" si="286"/>
        <v>42046.8</v>
      </c>
      <c r="M815" s="9" t="s">
        <v>62</v>
      </c>
      <c r="N815" s="8" t="s">
        <v>66</v>
      </c>
      <c r="O815" s="8">
        <f>IFERROR(VLOOKUP(N815,Kurallar!$G$3:$H$22,2,0),0)</f>
        <v>5</v>
      </c>
    </row>
    <row r="816" spans="1:15" hidden="1" x14ac:dyDescent="0.25">
      <c r="A816" s="8">
        <v>79</v>
      </c>
      <c r="B816" s="9" t="str">
        <f t="shared" si="282"/>
        <v>КРМ (УКМ-58 0,4-30-УЗ) (S5)</v>
      </c>
      <c r="C816" s="9" t="s">
        <v>31</v>
      </c>
      <c r="E816" s="9" t="s">
        <v>32</v>
      </c>
      <c r="F816" s="11"/>
      <c r="G816" s="11">
        <f>ROUND(SUM(H808:H815)*Kurallar!$B$2,2)</f>
        <v>27837.79</v>
      </c>
      <c r="H816" s="11">
        <f>G816*I816</f>
        <v>27837.79</v>
      </c>
      <c r="I816" s="8">
        <v>1</v>
      </c>
      <c r="J816" s="8" t="s">
        <v>19</v>
      </c>
      <c r="K816" s="8" t="s">
        <v>33</v>
      </c>
      <c r="L816" s="11">
        <f>H816*$I$807</f>
        <v>27837.79</v>
      </c>
      <c r="M816" s="9" t="s">
        <v>31</v>
      </c>
    </row>
    <row r="817" spans="1:15" hidden="1" x14ac:dyDescent="0.25">
      <c r="A817" s="8">
        <v>79</v>
      </c>
      <c r="B817" s="9" t="str">
        <f t="shared" si="282"/>
        <v>КРМ (УКМ-58 0,4-30-УЗ) (S5)</v>
      </c>
      <c r="C817" s="9" t="s">
        <v>34</v>
      </c>
      <c r="E817" s="9" t="s">
        <v>35</v>
      </c>
      <c r="F817" s="11">
        <f>ROUND(I817/60,1)</f>
        <v>4</v>
      </c>
      <c r="G817" s="11">
        <f>Kurallar!$B$3</f>
        <v>100</v>
      </c>
      <c r="H817" s="11">
        <f>G817*I817</f>
        <v>24000</v>
      </c>
      <c r="I817" s="8">
        <f>ROUND(SUMPRODUCT(I808:I815,O808:O815)*Kurallar!$B$4,0)</f>
        <v>240</v>
      </c>
      <c r="J817" s="8" t="s">
        <v>36</v>
      </c>
      <c r="K817" s="8" t="s">
        <v>33</v>
      </c>
      <c r="L817" s="11">
        <f>H817*$I$807</f>
        <v>24000</v>
      </c>
      <c r="M817" s="9" t="s">
        <v>34</v>
      </c>
    </row>
    <row r="818" spans="1:15" hidden="1" x14ac:dyDescent="0.25">
      <c r="A818" s="12"/>
      <c r="B818" s="13" t="s">
        <v>498</v>
      </c>
      <c r="C818" s="12"/>
      <c r="D818" s="12"/>
      <c r="E818" s="13" t="s">
        <v>499</v>
      </c>
      <c r="F818" s="12"/>
      <c r="G818" s="12"/>
      <c r="H818" s="14">
        <f>SUBTOTAL(9,H808:H817)</f>
        <v>0</v>
      </c>
      <c r="I818" s="15">
        <v>1</v>
      </c>
      <c r="J818" s="15" t="s">
        <v>19</v>
      </c>
      <c r="K818" s="12"/>
      <c r="L818" s="14">
        <f>SUBTOTAL(9,L808:L817)</f>
        <v>0</v>
      </c>
      <c r="M818" s="12"/>
      <c r="N818" s="12"/>
      <c r="O818" s="12"/>
    </row>
    <row r="819" spans="1:15" hidden="1" x14ac:dyDescent="0.25">
      <c r="A819" s="4">
        <v>80</v>
      </c>
      <c r="B819" s="5" t="s">
        <v>500</v>
      </c>
      <c r="C819" s="6" t="s">
        <v>18</v>
      </c>
      <c r="D819" s="6"/>
      <c r="E819" s="7" t="s">
        <v>500</v>
      </c>
      <c r="F819" s="6"/>
      <c r="G819" s="6"/>
      <c r="H819" s="6"/>
      <c r="I819" s="4">
        <v>1</v>
      </c>
      <c r="J819" s="4" t="s">
        <v>19</v>
      </c>
      <c r="K819" s="6"/>
      <c r="L819" s="6"/>
      <c r="M819" s="6"/>
      <c r="N819" s="6"/>
      <c r="O819" s="6"/>
    </row>
    <row r="820" spans="1:15" hidden="1" x14ac:dyDescent="0.25">
      <c r="A820" s="8">
        <v>80</v>
      </c>
      <c r="B820" s="9" t="str">
        <f t="shared" ref="B820:B830" si="287">B819</f>
        <v>ВРУ (ВРУ-1-21-10 УХЛ4) (P1)</v>
      </c>
      <c r="C820" s="16" t="s">
        <v>20</v>
      </c>
      <c r="D820" s="9" t="s">
        <v>207</v>
      </c>
      <c r="E820" s="10" t="s">
        <v>208</v>
      </c>
      <c r="F820" s="11">
        <v>155000</v>
      </c>
      <c r="G820" s="11">
        <f>IF(F820="","",ROUND(F820*VLOOKUP(K820,Kurallar!$D$3:$E$14,2,0),2))</f>
        <v>93000</v>
      </c>
      <c r="H820" s="11">
        <f t="shared" ref="H820" si="288">IF(G820="","",G820*I820)</f>
        <v>93000</v>
      </c>
      <c r="I820" s="8">
        <v>1</v>
      </c>
      <c r="J820" s="8" t="s">
        <v>23</v>
      </c>
      <c r="K820" s="8" t="s">
        <v>24</v>
      </c>
      <c r="L820" s="11">
        <f t="shared" ref="L820" si="289">IF(H820="","",H820*$I$181)</f>
        <v>93000</v>
      </c>
      <c r="M820" s="9" t="s">
        <v>20</v>
      </c>
      <c r="N820" s="8" t="s">
        <v>209</v>
      </c>
      <c r="O820" s="8">
        <f>IFERROR(VLOOKUP(N820,Kurallar!$G$3:$H$22,2,0),0)</f>
        <v>90</v>
      </c>
    </row>
    <row r="821" spans="1:15" hidden="1" x14ac:dyDescent="0.25">
      <c r="A821" s="8">
        <v>80</v>
      </c>
      <c r="B821" s="9" t="str">
        <f t="shared" si="287"/>
        <v>ВРУ (ВРУ-1-21-10 УХЛ4) (P1)</v>
      </c>
      <c r="C821" s="9" t="s">
        <v>54</v>
      </c>
      <c r="D821" s="9" t="s">
        <v>247</v>
      </c>
      <c r="E821" s="10" t="s">
        <v>248</v>
      </c>
      <c r="F821" s="11">
        <v>2429</v>
      </c>
      <c r="G821" s="11">
        <f>IF(F821="","",ROUND(F821*VLOOKUP(K821,Kurallar!$D$3:$E$14,2,0),2))</f>
        <v>1457.4</v>
      </c>
      <c r="H821" s="11">
        <f t="shared" ref="H821:H828" si="290">IF(G821="","",G821*I821)</f>
        <v>1457.4</v>
      </c>
      <c r="I821" s="8">
        <v>1</v>
      </c>
      <c r="J821" s="8" t="s">
        <v>23</v>
      </c>
      <c r="K821" s="8" t="s">
        <v>29</v>
      </c>
      <c r="L821" s="11">
        <f t="shared" ref="L821:L828" si="291">IF(H821="","",H821*$I$819)</f>
        <v>1457.4</v>
      </c>
      <c r="M821" s="9" t="s">
        <v>54</v>
      </c>
      <c r="N821" s="8" t="s">
        <v>113</v>
      </c>
      <c r="O821" s="8">
        <f>IFERROR(VLOOKUP(N821,Kurallar!$G$3:$H$22,2,0),0)</f>
        <v>10</v>
      </c>
    </row>
    <row r="822" spans="1:15" hidden="1" x14ac:dyDescent="0.25">
      <c r="A822" s="8">
        <v>80</v>
      </c>
      <c r="B822" s="9" t="str">
        <f t="shared" si="287"/>
        <v>ВРУ (ВРУ-1-21-10 УХЛ4) (P1)</v>
      </c>
      <c r="C822" s="9" t="s">
        <v>145</v>
      </c>
      <c r="D822" s="9" t="s">
        <v>501</v>
      </c>
      <c r="E822" s="10" t="s">
        <v>502</v>
      </c>
      <c r="F822" s="11">
        <v>20174</v>
      </c>
      <c r="G822" s="11">
        <f>IF(F822="","",ROUND(F822*VLOOKUP(K822,Kurallar!$D$3:$E$14,2,0),2))</f>
        <v>12104.4</v>
      </c>
      <c r="H822" s="11">
        <f t="shared" si="290"/>
        <v>12104.4</v>
      </c>
      <c r="I822" s="8">
        <v>1</v>
      </c>
      <c r="J822" s="8" t="s">
        <v>23</v>
      </c>
      <c r="K822" s="8" t="s">
        <v>29</v>
      </c>
      <c r="L822" s="11">
        <f t="shared" si="291"/>
        <v>12104.4</v>
      </c>
      <c r="M822" s="9" t="s">
        <v>145</v>
      </c>
      <c r="N822" s="8" t="s">
        <v>148</v>
      </c>
      <c r="O822" s="8">
        <f>IFERROR(VLOOKUP(N822,Kurallar!$G$3:$H$22,2,0),0)</f>
        <v>35</v>
      </c>
    </row>
    <row r="823" spans="1:15" hidden="1" x14ac:dyDescent="0.25">
      <c r="A823" s="8">
        <v>80</v>
      </c>
      <c r="B823" s="9" t="str">
        <f t="shared" si="287"/>
        <v>ВРУ (ВРУ-1-21-10 УХЛ4) (P1)</v>
      </c>
      <c r="C823" s="9" t="s">
        <v>86</v>
      </c>
      <c r="D823" s="9" t="s">
        <v>426</v>
      </c>
      <c r="E823" s="10" t="s">
        <v>427</v>
      </c>
      <c r="F823" s="11">
        <v>1525</v>
      </c>
      <c r="G823" s="11">
        <f>IF(F823="","",ROUND(F823*VLOOKUP(K823,Kurallar!$D$3:$E$14,2,0),2))</f>
        <v>915</v>
      </c>
      <c r="H823" s="11">
        <f t="shared" si="290"/>
        <v>2745</v>
      </c>
      <c r="I823" s="8">
        <v>3</v>
      </c>
      <c r="J823" s="8" t="s">
        <v>23</v>
      </c>
      <c r="K823" s="8" t="s">
        <v>29</v>
      </c>
      <c r="L823" s="11">
        <f t="shared" si="291"/>
        <v>2745</v>
      </c>
      <c r="M823" s="9" t="s">
        <v>86</v>
      </c>
      <c r="N823" s="8" t="s">
        <v>89</v>
      </c>
      <c r="O823" s="8">
        <f>IFERROR(VLOOKUP(N823,Kurallar!$G$3:$H$22,2,0),0)</f>
        <v>5</v>
      </c>
    </row>
    <row r="824" spans="1:15" hidden="1" x14ac:dyDescent="0.25">
      <c r="A824" s="8">
        <v>80</v>
      </c>
      <c r="B824" s="9" t="str">
        <f t="shared" si="287"/>
        <v>ВРУ (ВРУ-1-21-10 УХЛ4) (P1)</v>
      </c>
      <c r="C824" s="9" t="s">
        <v>86</v>
      </c>
      <c r="D824" s="9" t="s">
        <v>269</v>
      </c>
      <c r="E824" s="10" t="s">
        <v>270</v>
      </c>
      <c r="F824" s="11">
        <v>2038</v>
      </c>
      <c r="G824" s="11">
        <f>IF(F824="","",ROUND(F824*VLOOKUP(K824,Kurallar!$D$3:$E$14,2,0),2))</f>
        <v>1222.8</v>
      </c>
      <c r="H824" s="11">
        <f t="shared" si="290"/>
        <v>3668.3999999999996</v>
      </c>
      <c r="I824" s="8">
        <v>3</v>
      </c>
      <c r="J824" s="8" t="s">
        <v>23</v>
      </c>
      <c r="K824" s="8" t="s">
        <v>29</v>
      </c>
      <c r="L824" s="11">
        <f t="shared" si="291"/>
        <v>3668.3999999999996</v>
      </c>
      <c r="M824" s="9" t="s">
        <v>86</v>
      </c>
      <c r="N824" s="8" t="s">
        <v>89</v>
      </c>
      <c r="O824" s="8">
        <f>IFERROR(VLOOKUP(N824,Kurallar!$G$3:$H$22,2,0),0)</f>
        <v>5</v>
      </c>
    </row>
    <row r="825" spans="1:15" hidden="1" x14ac:dyDescent="0.25">
      <c r="A825" s="8">
        <v>80</v>
      </c>
      <c r="B825" s="9" t="str">
        <f t="shared" si="287"/>
        <v>ВРУ (ВРУ-1-21-10 УХЛ4) (P1)</v>
      </c>
      <c r="C825" s="9" t="s">
        <v>54</v>
      </c>
      <c r="D825" s="9" t="s">
        <v>55</v>
      </c>
      <c r="E825" s="10" t="s">
        <v>56</v>
      </c>
      <c r="F825" s="11">
        <v>975</v>
      </c>
      <c r="G825" s="11">
        <f>IF(F825="","",ROUND(F825*VLOOKUP(K825,Kurallar!$D$3:$E$14,2,0),2))</f>
        <v>585</v>
      </c>
      <c r="H825" s="11">
        <f t="shared" si="290"/>
        <v>1170</v>
      </c>
      <c r="I825" s="8">
        <v>2</v>
      </c>
      <c r="J825" s="8" t="s">
        <v>23</v>
      </c>
      <c r="K825" s="8" t="s">
        <v>29</v>
      </c>
      <c r="L825" s="11">
        <f t="shared" si="291"/>
        <v>1170</v>
      </c>
      <c r="M825" s="9" t="s">
        <v>54</v>
      </c>
      <c r="N825" s="8" t="s">
        <v>57</v>
      </c>
      <c r="O825" s="8">
        <f>IFERROR(VLOOKUP(N825,Kurallar!$G$3:$H$22,2,0),0)</f>
        <v>3</v>
      </c>
    </row>
    <row r="826" spans="1:15" hidden="1" x14ac:dyDescent="0.25">
      <c r="A826" s="8">
        <v>80</v>
      </c>
      <c r="B826" s="9" t="str">
        <f t="shared" si="287"/>
        <v>ВРУ (ВРУ-1-21-10 УХЛ4) (P1)</v>
      </c>
      <c r="C826" s="9" t="s">
        <v>82</v>
      </c>
      <c r="D826" s="9" t="s">
        <v>251</v>
      </c>
      <c r="E826" s="10" t="s">
        <v>252</v>
      </c>
      <c r="F826" s="11">
        <v>0</v>
      </c>
      <c r="G826" s="11">
        <f>F826</f>
        <v>0</v>
      </c>
      <c r="H826" s="11">
        <f t="shared" si="290"/>
        <v>0</v>
      </c>
      <c r="I826" s="8">
        <v>1</v>
      </c>
      <c r="J826" s="8" t="s">
        <v>23</v>
      </c>
      <c r="K826" s="8" t="s">
        <v>751</v>
      </c>
      <c r="L826" s="11">
        <f t="shared" si="291"/>
        <v>0</v>
      </c>
      <c r="M826" s="9" t="s">
        <v>82</v>
      </c>
      <c r="N826" s="8" t="s">
        <v>85</v>
      </c>
      <c r="O826" s="8">
        <f>IFERROR(VLOOKUP(N826,Kurallar!$G$3:$H$22,2,0),0)</f>
        <v>25</v>
      </c>
    </row>
    <row r="827" spans="1:15" hidden="1" x14ac:dyDescent="0.25">
      <c r="A827" s="8">
        <v>80</v>
      </c>
      <c r="B827" s="9" t="str">
        <f t="shared" si="287"/>
        <v>ВРУ (ВРУ-1-21-10 УХЛ4) (P1)</v>
      </c>
      <c r="C827" s="9" t="s">
        <v>218</v>
      </c>
      <c r="D827" s="9" t="s">
        <v>219</v>
      </c>
      <c r="E827" s="10" t="s">
        <v>220</v>
      </c>
      <c r="F827" s="11">
        <v>5275</v>
      </c>
      <c r="G827" s="11">
        <f>IF(F827="","",ROUND(F827*VLOOKUP(K827,Kurallar!$D$3:$E$14,2,0),2))</f>
        <v>3165</v>
      </c>
      <c r="H827" s="11">
        <f t="shared" si="290"/>
        <v>9495</v>
      </c>
      <c r="I827" s="8">
        <v>3</v>
      </c>
      <c r="J827" s="8" t="s">
        <v>23</v>
      </c>
      <c r="K827" s="8" t="s">
        <v>29</v>
      </c>
      <c r="L827" s="11">
        <f t="shared" si="291"/>
        <v>9495</v>
      </c>
      <c r="M827" s="9" t="s">
        <v>218</v>
      </c>
      <c r="N827" s="8" t="s">
        <v>221</v>
      </c>
      <c r="O827" s="8">
        <f>IFERROR(VLOOKUP(N827,Kurallar!$G$3:$H$22,2,0),0)</f>
        <v>15</v>
      </c>
    </row>
    <row r="828" spans="1:15" hidden="1" x14ac:dyDescent="0.25">
      <c r="A828" s="8">
        <v>80</v>
      </c>
      <c r="B828" s="9" t="str">
        <f t="shared" si="287"/>
        <v>ВРУ (ВРУ-1-21-10 УХЛ4) (P1)</v>
      </c>
      <c r="C828" s="9" t="s">
        <v>54</v>
      </c>
      <c r="D828" s="9" t="s">
        <v>222</v>
      </c>
      <c r="E828" s="10" t="s">
        <v>223</v>
      </c>
      <c r="F828" s="11">
        <v>2606</v>
      </c>
      <c r="G828" s="11">
        <f>IF(F828="","",ROUND(F828*VLOOKUP(K828,Kurallar!$D$3:$E$14,2,0),2))</f>
        <v>1563.6</v>
      </c>
      <c r="H828" s="11">
        <f t="shared" si="290"/>
        <v>1563.6</v>
      </c>
      <c r="I828" s="8">
        <v>1</v>
      </c>
      <c r="J828" s="8" t="s">
        <v>23</v>
      </c>
      <c r="K828" s="8" t="s">
        <v>29</v>
      </c>
      <c r="L828" s="11">
        <f t="shared" si="291"/>
        <v>1563.6</v>
      </c>
      <c r="M828" s="9" t="s">
        <v>54</v>
      </c>
      <c r="N828" s="8" t="s">
        <v>113</v>
      </c>
      <c r="O828" s="8">
        <f>IFERROR(VLOOKUP(N828,Kurallar!$G$3:$H$22,2,0),0)</f>
        <v>10</v>
      </c>
    </row>
    <row r="829" spans="1:15" hidden="1" x14ac:dyDescent="0.25">
      <c r="A829" s="8">
        <v>80</v>
      </c>
      <c r="B829" s="9" t="str">
        <f t="shared" si="287"/>
        <v>ВРУ (ВРУ-1-21-10 УХЛ4) (P1)</v>
      </c>
      <c r="C829" s="9" t="s">
        <v>31</v>
      </c>
      <c r="E829" s="9" t="s">
        <v>32</v>
      </c>
      <c r="F829" s="11"/>
      <c r="G829" s="11">
        <f>ROUND(SUM(H820:H828)*Kurallar!$B$2,2)</f>
        <v>15024.46</v>
      </c>
      <c r="H829" s="11">
        <f>G829*I829</f>
        <v>15024.46</v>
      </c>
      <c r="I829" s="8">
        <v>1</v>
      </c>
      <c r="J829" s="8" t="s">
        <v>19</v>
      </c>
      <c r="K829" s="8" t="s">
        <v>33</v>
      </c>
      <c r="L829" s="11">
        <f>H829*$I$819</f>
        <v>15024.46</v>
      </c>
      <c r="M829" s="9" t="s">
        <v>31</v>
      </c>
    </row>
    <row r="830" spans="1:15" hidden="1" x14ac:dyDescent="0.25">
      <c r="A830" s="8">
        <v>80</v>
      </c>
      <c r="B830" s="9" t="str">
        <f t="shared" si="287"/>
        <v>ВРУ (ВРУ-1-21-10 УХЛ4) (P1)</v>
      </c>
      <c r="C830" s="9" t="s">
        <v>34</v>
      </c>
      <c r="E830" s="9" t="s">
        <v>35</v>
      </c>
      <c r="F830" s="11">
        <f>ROUND(I830/60,1)</f>
        <v>4.8</v>
      </c>
      <c r="G830" s="11">
        <f>Kurallar!$B$3</f>
        <v>100</v>
      </c>
      <c r="H830" s="11">
        <f>G830*I830</f>
        <v>28900</v>
      </c>
      <c r="I830" s="8">
        <f>ROUND(SUMPRODUCT(I820:I828,O820:O828)*Kurallar!$B$4,0)</f>
        <v>289</v>
      </c>
      <c r="J830" s="8" t="s">
        <v>36</v>
      </c>
      <c r="K830" s="8" t="s">
        <v>33</v>
      </c>
      <c r="L830" s="11">
        <f>H830*$I$819</f>
        <v>28900</v>
      </c>
      <c r="M830" s="9" t="s">
        <v>34</v>
      </c>
    </row>
    <row r="831" spans="1:15" hidden="1" x14ac:dyDescent="0.25">
      <c r="A831" s="12"/>
      <c r="B831" s="13" t="s">
        <v>503</v>
      </c>
      <c r="C831" s="12"/>
      <c r="D831" s="12"/>
      <c r="E831" s="13" t="s">
        <v>504</v>
      </c>
      <c r="F831" s="12"/>
      <c r="G831" s="12"/>
      <c r="H831" s="14">
        <f>SUBTOTAL(9,H820:H830)</f>
        <v>0</v>
      </c>
      <c r="I831" s="15">
        <v>1</v>
      </c>
      <c r="J831" s="15" t="s">
        <v>19</v>
      </c>
      <c r="K831" s="12"/>
      <c r="L831" s="14">
        <f>SUBTOTAL(9,L820:L830)</f>
        <v>0</v>
      </c>
      <c r="M831" s="12"/>
      <c r="N831" s="12"/>
      <c r="O831" s="12"/>
    </row>
    <row r="832" spans="1:15" hidden="1" x14ac:dyDescent="0.25">
      <c r="A832" s="4">
        <v>81</v>
      </c>
      <c r="B832" s="5" t="s">
        <v>505</v>
      </c>
      <c r="C832" s="6" t="s">
        <v>18</v>
      </c>
      <c r="D832" s="6"/>
      <c r="E832" s="7" t="s">
        <v>505</v>
      </c>
      <c r="F832" s="6"/>
      <c r="G832" s="6"/>
      <c r="H832" s="6"/>
      <c r="I832" s="4">
        <v>1</v>
      </c>
      <c r="J832" s="4" t="s">
        <v>19</v>
      </c>
      <c r="K832" s="6"/>
      <c r="L832" s="6"/>
      <c r="M832" s="6"/>
      <c r="N832" s="6"/>
      <c r="O832" s="6"/>
    </row>
    <row r="833" spans="1:15" hidden="1" x14ac:dyDescent="0.25">
      <c r="A833" s="8">
        <v>81</v>
      </c>
      <c r="B833" s="9" t="str">
        <f t="shared" ref="B833:B842" si="292">B832</f>
        <v>ВРУп (ВРУ1-21-10 УХЛ4) (P1)</v>
      </c>
      <c r="C833" s="16" t="s">
        <v>20</v>
      </c>
      <c r="D833" s="9" t="s">
        <v>207</v>
      </c>
      <c r="E833" s="10" t="s">
        <v>208</v>
      </c>
      <c r="F833" s="11">
        <v>155000</v>
      </c>
      <c r="G833" s="11">
        <f>IF(F833="","",ROUND(F833*VLOOKUP(K833,Kurallar!$D$3:$E$14,2,0),2))</f>
        <v>93000</v>
      </c>
      <c r="H833" s="11">
        <f t="shared" ref="H833" si="293">IF(G833="","",G833*I833)</f>
        <v>93000</v>
      </c>
      <c r="I833" s="8">
        <v>1</v>
      </c>
      <c r="J833" s="8" t="s">
        <v>23</v>
      </c>
      <c r="K833" s="8" t="s">
        <v>24</v>
      </c>
      <c r="L833" s="11">
        <f t="shared" ref="L833" si="294">IF(H833="","",H833*$I$181)</f>
        <v>93000</v>
      </c>
      <c r="M833" s="9" t="s">
        <v>20</v>
      </c>
      <c r="N833" s="8" t="s">
        <v>209</v>
      </c>
      <c r="O833" s="8">
        <f>IFERROR(VLOOKUP(N833,Kurallar!$G$3:$H$22,2,0),0)</f>
        <v>90</v>
      </c>
    </row>
    <row r="834" spans="1:15" ht="24" hidden="1" x14ac:dyDescent="0.25">
      <c r="A834" s="8">
        <v>81</v>
      </c>
      <c r="B834" s="9" t="str">
        <f t="shared" si="292"/>
        <v>ВРУп (ВРУ1-21-10 УХЛ4) (P1)</v>
      </c>
      <c r="C834" s="9" t="s">
        <v>26</v>
      </c>
      <c r="D834" s="9" t="s">
        <v>755</v>
      </c>
      <c r="E834" s="10" t="s">
        <v>756</v>
      </c>
      <c r="F834" s="11">
        <v>10520</v>
      </c>
      <c r="G834" s="11">
        <f>IF(F834="","",ROUND(F834*VLOOKUP(K834,Kurallar!$D$3:$E$14,2,0),2))</f>
        <v>10520</v>
      </c>
      <c r="H834" s="11">
        <f t="shared" ref="H834:H840" si="295">IF(G834="","",G834*I834)</f>
        <v>10520</v>
      </c>
      <c r="I834" s="8">
        <v>1</v>
      </c>
      <c r="J834" s="8" t="s">
        <v>23</v>
      </c>
      <c r="K834" s="8" t="s">
        <v>754</v>
      </c>
      <c r="L834" s="11">
        <f t="shared" ref="L834:L840" si="296">IF(H834="","",H834*$I$832)</f>
        <v>10520</v>
      </c>
      <c r="M834" s="9" t="s">
        <v>26</v>
      </c>
      <c r="N834" s="8" t="s">
        <v>30</v>
      </c>
      <c r="O834" s="8">
        <f>IFERROR(VLOOKUP(N834,Kurallar!$G$3:$H$22,2,0),0)</f>
        <v>30</v>
      </c>
    </row>
    <row r="835" spans="1:15" hidden="1" x14ac:dyDescent="0.25">
      <c r="A835" s="8">
        <v>81</v>
      </c>
      <c r="B835" s="9" t="str">
        <f t="shared" si="292"/>
        <v>ВРУп (ВРУ1-21-10 УХЛ4) (P1)</v>
      </c>
      <c r="C835" s="9" t="s">
        <v>145</v>
      </c>
      <c r="D835" s="9" t="s">
        <v>506</v>
      </c>
      <c r="E835" s="10" t="s">
        <v>507</v>
      </c>
      <c r="F835" s="11">
        <v>18139</v>
      </c>
      <c r="G835" s="11">
        <f>IF(F835="","",ROUND(F835*VLOOKUP(K835,Kurallar!$D$3:$E$14,2,0),2))</f>
        <v>10883.4</v>
      </c>
      <c r="H835" s="11">
        <f t="shared" si="295"/>
        <v>32650.199999999997</v>
      </c>
      <c r="I835" s="8">
        <v>3</v>
      </c>
      <c r="J835" s="8" t="s">
        <v>23</v>
      </c>
      <c r="K835" s="8" t="s">
        <v>29</v>
      </c>
      <c r="L835" s="11">
        <f t="shared" si="296"/>
        <v>32650.199999999997</v>
      </c>
      <c r="M835" s="9" t="s">
        <v>145</v>
      </c>
      <c r="N835" s="8" t="s">
        <v>148</v>
      </c>
      <c r="O835" s="8">
        <f>IFERROR(VLOOKUP(N835,Kurallar!$G$3:$H$22,2,0),0)</f>
        <v>35</v>
      </c>
    </row>
    <row r="836" spans="1:15" hidden="1" x14ac:dyDescent="0.25">
      <c r="A836" s="8">
        <v>81</v>
      </c>
      <c r="B836" s="9" t="str">
        <f t="shared" si="292"/>
        <v>ВРУп (ВРУ1-21-10 УХЛ4) (P1)</v>
      </c>
      <c r="C836" s="9" t="s">
        <v>145</v>
      </c>
      <c r="D836" s="9" t="s">
        <v>508</v>
      </c>
      <c r="E836" s="10" t="s">
        <v>509</v>
      </c>
      <c r="F836" s="11">
        <v>19700</v>
      </c>
      <c r="G836" s="11">
        <f>IF(F836="","",ROUND(F836*VLOOKUP(K836,Kurallar!$D$3:$E$14,2,0),2))</f>
        <v>11820</v>
      </c>
      <c r="H836" s="11">
        <f t="shared" si="295"/>
        <v>23640</v>
      </c>
      <c r="I836" s="8">
        <v>2</v>
      </c>
      <c r="J836" s="8" t="s">
        <v>23</v>
      </c>
      <c r="K836" s="8" t="s">
        <v>29</v>
      </c>
      <c r="L836" s="11">
        <f t="shared" si="296"/>
        <v>23640</v>
      </c>
      <c r="M836" s="9" t="s">
        <v>145</v>
      </c>
      <c r="N836" s="8" t="s">
        <v>148</v>
      </c>
      <c r="O836" s="8">
        <f>IFERROR(VLOOKUP(N836,Kurallar!$G$3:$H$22,2,0),0)</f>
        <v>35</v>
      </c>
    </row>
    <row r="837" spans="1:15" hidden="1" x14ac:dyDescent="0.25">
      <c r="A837" s="8">
        <v>81</v>
      </c>
      <c r="B837" s="9" t="str">
        <f t="shared" si="292"/>
        <v>ВРУп (ВРУ1-21-10 УХЛ4) (P1)</v>
      </c>
      <c r="C837" s="9" t="s">
        <v>86</v>
      </c>
      <c r="D837" s="9" t="s">
        <v>510</v>
      </c>
      <c r="E837" s="10" t="s">
        <v>511</v>
      </c>
      <c r="F837" s="11">
        <v>3100</v>
      </c>
      <c r="G837" s="11">
        <f>IF(F837="","",ROUND(F837*VLOOKUP(K837,Kurallar!$D$3:$E$14,2,0),2))</f>
        <v>1860</v>
      </c>
      <c r="H837" s="11">
        <f t="shared" si="295"/>
        <v>5580</v>
      </c>
      <c r="I837" s="8">
        <v>3</v>
      </c>
      <c r="J837" s="8" t="s">
        <v>23</v>
      </c>
      <c r="K837" s="8" t="s">
        <v>29</v>
      </c>
      <c r="L837" s="11">
        <f t="shared" si="296"/>
        <v>5580</v>
      </c>
      <c r="M837" s="9" t="s">
        <v>86</v>
      </c>
      <c r="N837" s="8" t="s">
        <v>89</v>
      </c>
      <c r="O837" s="8">
        <f>IFERROR(VLOOKUP(N837,Kurallar!$G$3:$H$22,2,0),0)</f>
        <v>5</v>
      </c>
    </row>
    <row r="838" spans="1:15" hidden="1" x14ac:dyDescent="0.25">
      <c r="A838" s="8">
        <v>81</v>
      </c>
      <c r="B838" s="9" t="str">
        <f t="shared" si="292"/>
        <v>ВРУп (ВРУ1-21-10 УХЛ4) (P1)</v>
      </c>
      <c r="C838" s="9" t="s">
        <v>86</v>
      </c>
      <c r="D838" s="9" t="s">
        <v>512</v>
      </c>
      <c r="E838" s="10" t="s">
        <v>513</v>
      </c>
      <c r="F838" s="11">
        <v>2189</v>
      </c>
      <c r="G838" s="11">
        <f>IF(F838="","",ROUND(F838*VLOOKUP(K838,Kurallar!$D$3:$E$14,2,0),2))</f>
        <v>1313.4</v>
      </c>
      <c r="H838" s="11">
        <f t="shared" si="295"/>
        <v>3940.2000000000003</v>
      </c>
      <c r="I838" s="8">
        <v>3</v>
      </c>
      <c r="J838" s="8" t="s">
        <v>23</v>
      </c>
      <c r="K838" s="8" t="s">
        <v>29</v>
      </c>
      <c r="L838" s="11">
        <f t="shared" si="296"/>
        <v>3940.2000000000003</v>
      </c>
      <c r="M838" s="9" t="s">
        <v>86</v>
      </c>
      <c r="N838" s="8" t="s">
        <v>89</v>
      </c>
      <c r="O838" s="8">
        <f>IFERROR(VLOOKUP(N838,Kurallar!$G$3:$H$22,2,0),0)</f>
        <v>5</v>
      </c>
    </row>
    <row r="839" spans="1:15" hidden="1" x14ac:dyDescent="0.25">
      <c r="A839" s="8">
        <v>81</v>
      </c>
      <c r="B839" s="9" t="str">
        <f t="shared" si="292"/>
        <v>ВРУп (ВРУ1-21-10 УХЛ4) (P1)</v>
      </c>
      <c r="C839" s="9" t="s">
        <v>54</v>
      </c>
      <c r="D839" s="9" t="s">
        <v>55</v>
      </c>
      <c r="E839" s="10" t="s">
        <v>56</v>
      </c>
      <c r="F839" s="11">
        <v>975</v>
      </c>
      <c r="G839" s="11">
        <f>IF(F839="","",ROUND(F839*VLOOKUP(K839,Kurallar!$D$3:$E$14,2,0),2))</f>
        <v>585</v>
      </c>
      <c r="H839" s="11">
        <f t="shared" si="295"/>
        <v>585</v>
      </c>
      <c r="I839" s="8">
        <v>1</v>
      </c>
      <c r="J839" s="8" t="s">
        <v>23</v>
      </c>
      <c r="K839" s="8" t="s">
        <v>29</v>
      </c>
      <c r="L839" s="11">
        <f t="shared" si="296"/>
        <v>585</v>
      </c>
      <c r="M839" s="9" t="s">
        <v>54</v>
      </c>
      <c r="N839" s="8" t="s">
        <v>57</v>
      </c>
      <c r="O839" s="8">
        <f>IFERROR(VLOOKUP(N839,Kurallar!$G$3:$H$22,2,0),0)</f>
        <v>3</v>
      </c>
    </row>
    <row r="840" spans="1:15" hidden="1" x14ac:dyDescent="0.25">
      <c r="A840" s="8">
        <v>81</v>
      </c>
      <c r="B840" s="9" t="str">
        <f t="shared" si="292"/>
        <v>ВРУп (ВРУ1-21-10 УХЛ4) (P1)</v>
      </c>
      <c r="C840" s="9" t="s">
        <v>82</v>
      </c>
      <c r="D840" s="9" t="s">
        <v>514</v>
      </c>
      <c r="E840" s="10" t="s">
        <v>515</v>
      </c>
      <c r="F840" s="11">
        <v>0</v>
      </c>
      <c r="G840" s="11">
        <f>IF(F840="","",ROUND(F840*VLOOKUP(K840,Kurallar!$D$3:$E$14,2,0),2))</f>
        <v>0</v>
      </c>
      <c r="H840" s="11">
        <f t="shared" si="295"/>
        <v>0</v>
      </c>
      <c r="I840" s="8">
        <v>1</v>
      </c>
      <c r="J840" s="8" t="s">
        <v>23</v>
      </c>
      <c r="K840" s="8" t="s">
        <v>241</v>
      </c>
      <c r="L840" s="11">
        <f t="shared" si="296"/>
        <v>0</v>
      </c>
      <c r="M840" s="9" t="s">
        <v>82</v>
      </c>
      <c r="N840" s="8" t="s">
        <v>85</v>
      </c>
      <c r="O840" s="8">
        <f>IFERROR(VLOOKUP(N840,Kurallar!$G$3:$H$22,2,0),0)</f>
        <v>25</v>
      </c>
    </row>
    <row r="841" spans="1:15" hidden="1" x14ac:dyDescent="0.25">
      <c r="A841" s="8">
        <v>81</v>
      </c>
      <c r="B841" s="9" t="str">
        <f t="shared" si="292"/>
        <v>ВРУп (ВРУ1-21-10 УХЛ4) (P1)</v>
      </c>
      <c r="C841" s="9" t="s">
        <v>31</v>
      </c>
      <c r="E841" s="9" t="s">
        <v>32</v>
      </c>
      <c r="F841" s="11"/>
      <c r="G841" s="11">
        <f>ROUND(SUM(H833:H840)*Kurallar!$B$2,2)</f>
        <v>20389.849999999999</v>
      </c>
      <c r="H841" s="11">
        <f>G841*I841</f>
        <v>20389.849999999999</v>
      </c>
      <c r="I841" s="8">
        <v>1</v>
      </c>
      <c r="J841" s="8" t="s">
        <v>19</v>
      </c>
      <c r="K841" s="8" t="s">
        <v>33</v>
      </c>
      <c r="L841" s="11">
        <f>H841*$I$832</f>
        <v>20389.849999999999</v>
      </c>
      <c r="M841" s="9" t="s">
        <v>31</v>
      </c>
    </row>
    <row r="842" spans="1:15" hidden="1" x14ac:dyDescent="0.25">
      <c r="A842" s="8">
        <v>81</v>
      </c>
      <c r="B842" s="9" t="str">
        <f t="shared" si="292"/>
        <v>ВРУп (ВРУ1-21-10 УХЛ4) (P1)</v>
      </c>
      <c r="C842" s="9" t="s">
        <v>34</v>
      </c>
      <c r="E842" s="9" t="s">
        <v>35</v>
      </c>
      <c r="F842" s="11">
        <f>ROUND(I842/60,1)</f>
        <v>6.8</v>
      </c>
      <c r="G842" s="11">
        <f>Kurallar!$B$3</f>
        <v>100</v>
      </c>
      <c r="H842" s="11">
        <f>G842*I842</f>
        <v>40600</v>
      </c>
      <c r="I842" s="8">
        <f>ROUND(SUMPRODUCT(I833:I840,O833:O840)*Kurallar!$B$4,0)</f>
        <v>406</v>
      </c>
      <c r="J842" s="8" t="s">
        <v>36</v>
      </c>
      <c r="K842" s="8" t="s">
        <v>33</v>
      </c>
      <c r="L842" s="11">
        <f>H842*$I$832</f>
        <v>40600</v>
      </c>
      <c r="M842" s="9" t="s">
        <v>34</v>
      </c>
    </row>
    <row r="843" spans="1:15" hidden="1" x14ac:dyDescent="0.25">
      <c r="A843" s="12"/>
      <c r="B843" s="13" t="s">
        <v>516</v>
      </c>
      <c r="C843" s="12"/>
      <c r="D843" s="12"/>
      <c r="E843" s="13" t="s">
        <v>517</v>
      </c>
      <c r="F843" s="12"/>
      <c r="G843" s="12"/>
      <c r="H843" s="14">
        <f>SUBTOTAL(9,H833:H842)</f>
        <v>0</v>
      </c>
      <c r="I843" s="15">
        <v>1</v>
      </c>
      <c r="J843" s="15" t="s">
        <v>19</v>
      </c>
      <c r="K843" s="12"/>
      <c r="L843" s="14">
        <f>SUBTOTAL(9,L833:L842)</f>
        <v>0</v>
      </c>
      <c r="M843" s="12"/>
      <c r="N843" s="12"/>
      <c r="O843" s="12"/>
    </row>
    <row r="844" spans="1:15" x14ac:dyDescent="0.25">
      <c r="A844" s="4">
        <v>82</v>
      </c>
      <c r="B844" s="5" t="s">
        <v>518</v>
      </c>
      <c r="C844" s="6" t="s">
        <v>18</v>
      </c>
      <c r="D844" s="6"/>
      <c r="E844" s="7" t="s">
        <v>518</v>
      </c>
      <c r="F844" s="6"/>
      <c r="G844" s="6"/>
      <c r="H844" s="6"/>
      <c r="I844" s="4">
        <v>1</v>
      </c>
      <c r="J844" s="4" t="s">
        <v>19</v>
      </c>
      <c r="K844" s="6"/>
      <c r="L844" s="6"/>
      <c r="M844" s="6"/>
      <c r="N844" s="6"/>
      <c r="O844" s="6"/>
    </row>
    <row r="845" spans="1:15" x14ac:dyDescent="0.25">
      <c r="A845" s="8">
        <v>82</v>
      </c>
      <c r="B845" s="9" t="str">
        <f t="shared" ref="B845:B854" si="297">B844</f>
        <v>АВР (P1)</v>
      </c>
      <c r="C845" s="9" t="s">
        <v>20</v>
      </c>
      <c r="D845" s="9" t="s">
        <v>227</v>
      </c>
      <c r="E845" s="10" t="s">
        <v>228</v>
      </c>
      <c r="F845" s="11">
        <v>125305</v>
      </c>
      <c r="G845" s="11">
        <f>IF(F845="","",ROUND(F845*VLOOKUP(K845,Kurallar!$D$3:$E$14,2,0),2))</f>
        <v>75183</v>
      </c>
      <c r="H845" s="11">
        <f t="shared" ref="H845" si="298">IF(G845="","",G845*I845)</f>
        <v>75183</v>
      </c>
      <c r="I845" s="8">
        <v>1</v>
      </c>
      <c r="J845" s="8" t="s">
        <v>23</v>
      </c>
      <c r="K845" s="8" t="s">
        <v>24</v>
      </c>
      <c r="L845" s="11">
        <f t="shared" ref="L845" si="299">IF(H845="","",H845*$I$181)</f>
        <v>75183</v>
      </c>
      <c r="M845" s="9" t="s">
        <v>20</v>
      </c>
      <c r="N845" s="8" t="s">
        <v>209</v>
      </c>
      <c r="O845" s="8">
        <f>IFERROR(VLOOKUP(N845,Kurallar!$G$3:$H$22,2,0),0)</f>
        <v>90</v>
      </c>
    </row>
    <row r="846" spans="1:15" x14ac:dyDescent="0.25">
      <c r="A846" s="8">
        <v>82</v>
      </c>
      <c r="B846" s="9" t="str">
        <f t="shared" si="297"/>
        <v>АВР (P1)</v>
      </c>
      <c r="C846" s="9" t="s">
        <v>145</v>
      </c>
      <c r="D846" s="9" t="s">
        <v>146</v>
      </c>
      <c r="E846" s="10" t="s">
        <v>147</v>
      </c>
      <c r="F846" s="11">
        <v>34800</v>
      </c>
      <c r="G846" s="11">
        <f>IF(F846="","",ROUND(F846*VLOOKUP(K846,Kurallar!$D$3:$E$14,2,0),2))</f>
        <v>20880</v>
      </c>
      <c r="H846" s="11">
        <f t="shared" ref="H846:H852" si="300">IF(G846="","",G846*I846)</f>
        <v>62640</v>
      </c>
      <c r="I846" s="8">
        <v>3</v>
      </c>
      <c r="J846" s="8" t="s">
        <v>23</v>
      </c>
      <c r="K846" s="8" t="s">
        <v>29</v>
      </c>
      <c r="L846" s="11">
        <f t="shared" ref="L846:L852" si="301">IF(H846="","",H846*$I$844)</f>
        <v>62640</v>
      </c>
      <c r="M846" s="9" t="s">
        <v>145</v>
      </c>
      <c r="N846" s="8" t="s">
        <v>148</v>
      </c>
      <c r="O846" s="8">
        <f>IFERROR(VLOOKUP(N846,Kurallar!$G$3:$H$22,2,0),0)</f>
        <v>35</v>
      </c>
    </row>
    <row r="847" spans="1:15" x14ac:dyDescent="0.25">
      <c r="A847" s="8">
        <v>82</v>
      </c>
      <c r="B847" s="9" t="str">
        <f t="shared" si="297"/>
        <v>АВР (P1)</v>
      </c>
      <c r="C847" s="9" t="s">
        <v>54</v>
      </c>
      <c r="D847" s="9" t="s">
        <v>231</v>
      </c>
      <c r="E847" s="10" t="s">
        <v>232</v>
      </c>
      <c r="F847" s="11">
        <v>2873</v>
      </c>
      <c r="G847" s="11">
        <f>IF(F847="","",ROUND(F847*VLOOKUP(K847,Kurallar!$D$3:$E$14,2,0),2))</f>
        <v>1723.8</v>
      </c>
      <c r="H847" s="11">
        <f t="shared" si="300"/>
        <v>5171.3999999999996</v>
      </c>
      <c r="I847" s="8">
        <v>3</v>
      </c>
      <c r="J847" s="8" t="s">
        <v>23</v>
      </c>
      <c r="K847" s="8" t="s">
        <v>29</v>
      </c>
      <c r="L847" s="11">
        <f t="shared" si="301"/>
        <v>5171.3999999999996</v>
      </c>
      <c r="M847" s="9" t="s">
        <v>54</v>
      </c>
      <c r="N847" s="8" t="s">
        <v>113</v>
      </c>
      <c r="O847" s="8">
        <f>IFERROR(VLOOKUP(N847,Kurallar!$G$3:$H$22,2,0),0)</f>
        <v>10</v>
      </c>
    </row>
    <row r="848" spans="1:15" x14ac:dyDescent="0.25">
      <c r="A848" s="8">
        <v>82</v>
      </c>
      <c r="B848" s="9" t="str">
        <f t="shared" si="297"/>
        <v>АВР (P1)</v>
      </c>
      <c r="C848" s="9" t="s">
        <v>58</v>
      </c>
      <c r="D848" s="9" t="s">
        <v>519</v>
      </c>
      <c r="E848" s="10" t="s">
        <v>520</v>
      </c>
      <c r="F848" s="11">
        <v>162648</v>
      </c>
      <c r="G848" s="11">
        <f>IF(F848="","",ROUND(F848*VLOOKUP(K848,Kurallar!$D$3:$E$14,2,0),2))</f>
        <v>97588.800000000003</v>
      </c>
      <c r="H848" s="11">
        <f t="shared" si="300"/>
        <v>292766.40000000002</v>
      </c>
      <c r="I848" s="8">
        <v>3</v>
      </c>
      <c r="J848" s="8" t="s">
        <v>23</v>
      </c>
      <c r="K848" s="8" t="s">
        <v>29</v>
      </c>
      <c r="L848" s="11">
        <f t="shared" si="301"/>
        <v>292766.40000000002</v>
      </c>
      <c r="M848" s="9" t="s">
        <v>58</v>
      </c>
      <c r="N848" s="8" t="s">
        <v>61</v>
      </c>
      <c r="O848" s="8">
        <f>IFERROR(VLOOKUP(N848,Kurallar!$G$3:$H$22,2,0),0)</f>
        <v>15</v>
      </c>
    </row>
    <row r="849" spans="1:15" x14ac:dyDescent="0.25">
      <c r="A849" s="8">
        <v>82</v>
      </c>
      <c r="B849" s="9" t="str">
        <f t="shared" si="297"/>
        <v>АВР (P1)</v>
      </c>
      <c r="C849" s="9" t="s">
        <v>86</v>
      </c>
      <c r="D849" s="9" t="s">
        <v>235</v>
      </c>
      <c r="E849" s="10" t="s">
        <v>236</v>
      </c>
      <c r="F849" s="11">
        <v>1306</v>
      </c>
      <c r="G849" s="11">
        <f>IF(F849="","",ROUND(F849*VLOOKUP(K849,Kurallar!$D$3:$E$14,2,0),2))</f>
        <v>783.6</v>
      </c>
      <c r="H849" s="11">
        <f t="shared" si="300"/>
        <v>2350.8000000000002</v>
      </c>
      <c r="I849" s="8">
        <v>3</v>
      </c>
      <c r="J849" s="8" t="s">
        <v>23</v>
      </c>
      <c r="K849" s="8" t="s">
        <v>29</v>
      </c>
      <c r="L849" s="11">
        <f t="shared" si="301"/>
        <v>2350.8000000000002</v>
      </c>
      <c r="M849" s="9" t="s">
        <v>86</v>
      </c>
      <c r="N849" s="8" t="s">
        <v>89</v>
      </c>
      <c r="O849" s="8">
        <f>IFERROR(VLOOKUP(N849,Kurallar!$G$3:$H$22,2,0),0)</f>
        <v>5</v>
      </c>
    </row>
    <row r="850" spans="1:15" x14ac:dyDescent="0.25">
      <c r="A850" s="8">
        <v>82</v>
      </c>
      <c r="B850" s="9" t="str">
        <f t="shared" si="297"/>
        <v>АВР (P1)</v>
      </c>
      <c r="C850" s="9" t="s">
        <v>62</v>
      </c>
      <c r="D850" s="9" t="s">
        <v>237</v>
      </c>
      <c r="E850" s="10" t="s">
        <v>238</v>
      </c>
      <c r="F850" s="11">
        <v>16808</v>
      </c>
      <c r="G850" s="11">
        <f>IF(F850="","",ROUND(F850*VLOOKUP(K850,Kurallar!$D$3:$E$14,2,0),2))</f>
        <v>10084.799999999999</v>
      </c>
      <c r="H850" s="11">
        <f t="shared" si="300"/>
        <v>30254.399999999998</v>
      </c>
      <c r="I850" s="8">
        <v>3</v>
      </c>
      <c r="J850" s="8" t="s">
        <v>23</v>
      </c>
      <c r="K850" s="8" t="s">
        <v>29</v>
      </c>
      <c r="L850" s="11">
        <f t="shared" si="301"/>
        <v>30254.399999999998</v>
      </c>
      <c r="M850" s="9" t="s">
        <v>62</v>
      </c>
      <c r="N850" s="8" t="s">
        <v>66</v>
      </c>
      <c r="O850" s="8">
        <f>IFERROR(VLOOKUP(N850,Kurallar!$G$3:$H$22,2,0),0)</f>
        <v>5</v>
      </c>
    </row>
    <row r="851" spans="1:15" x14ac:dyDescent="0.25">
      <c r="A851" s="8">
        <v>82</v>
      </c>
      <c r="B851" s="9" t="str">
        <f t="shared" si="297"/>
        <v>АВР (P1)</v>
      </c>
      <c r="C851" s="9" t="s">
        <v>214</v>
      </c>
      <c r="D851" s="9" t="s">
        <v>311</v>
      </c>
      <c r="E851" s="10" t="s">
        <v>312</v>
      </c>
      <c r="F851" s="11">
        <v>5100</v>
      </c>
      <c r="G851" s="11">
        <f>IF(F851="","",ROUND(F851*VLOOKUP(K851,Kurallar!$D$3:$E$14,2,0),2))</f>
        <v>5100</v>
      </c>
      <c r="H851" s="11">
        <f t="shared" si="300"/>
        <v>35700</v>
      </c>
      <c r="I851" s="8">
        <v>7</v>
      </c>
      <c r="J851" s="8" t="s">
        <v>23</v>
      </c>
      <c r="K851" s="8" t="s">
        <v>65</v>
      </c>
      <c r="L851" s="11">
        <f t="shared" si="301"/>
        <v>35700</v>
      </c>
      <c r="M851" s="9" t="s">
        <v>214</v>
      </c>
      <c r="N851" s="8" t="s">
        <v>217</v>
      </c>
      <c r="O851" s="8">
        <f>IFERROR(VLOOKUP(N851,Kurallar!$G$3:$H$22,2,0),0)</f>
        <v>15</v>
      </c>
    </row>
    <row r="852" spans="1:15" x14ac:dyDescent="0.25">
      <c r="A852" s="8">
        <v>82</v>
      </c>
      <c r="B852" s="9" t="str">
        <f t="shared" si="297"/>
        <v>АВР (P1)</v>
      </c>
      <c r="C852" s="9" t="s">
        <v>82</v>
      </c>
      <c r="D852" s="9" t="s">
        <v>212</v>
      </c>
      <c r="E852" s="10" t="s">
        <v>213</v>
      </c>
      <c r="F852" s="11">
        <v>0</v>
      </c>
      <c r="G852" s="11">
        <f>F852</f>
        <v>0</v>
      </c>
      <c r="H852" s="11">
        <f t="shared" si="300"/>
        <v>0</v>
      </c>
      <c r="I852" s="8">
        <v>2</v>
      </c>
      <c r="J852" s="8" t="s">
        <v>23</v>
      </c>
      <c r="K852" s="8" t="s">
        <v>751</v>
      </c>
      <c r="L852" s="11">
        <f t="shared" si="301"/>
        <v>0</v>
      </c>
      <c r="M852" s="9" t="s">
        <v>82</v>
      </c>
      <c r="N852" s="8" t="s">
        <v>85</v>
      </c>
      <c r="O852" s="8">
        <f>IFERROR(VLOOKUP(N852,Kurallar!$G$3:$H$22,2,0),0)</f>
        <v>25</v>
      </c>
    </row>
    <row r="853" spans="1:15" x14ac:dyDescent="0.25">
      <c r="A853" s="8">
        <v>82</v>
      </c>
      <c r="B853" s="9" t="str">
        <f t="shared" si="297"/>
        <v>АВР (P1)</v>
      </c>
      <c r="C853" s="9" t="s">
        <v>31</v>
      </c>
      <c r="E853" s="9" t="s">
        <v>32</v>
      </c>
      <c r="F853" s="11"/>
      <c r="G853" s="11">
        <f>ROUND(SUM(H845:H852)*Kurallar!$B$2,2)</f>
        <v>60487.92</v>
      </c>
      <c r="H853" s="11">
        <f>G853*I853</f>
        <v>60487.92</v>
      </c>
      <c r="I853" s="8">
        <v>1</v>
      </c>
      <c r="J853" s="8" t="s">
        <v>19</v>
      </c>
      <c r="K853" s="8" t="s">
        <v>33</v>
      </c>
      <c r="L853" s="11">
        <f>H853*$I$844</f>
        <v>60487.92</v>
      </c>
      <c r="M853" s="9" t="s">
        <v>31</v>
      </c>
    </row>
    <row r="854" spans="1:15" x14ac:dyDescent="0.25">
      <c r="A854" s="8">
        <v>82</v>
      </c>
      <c r="B854" s="9" t="str">
        <f t="shared" si="297"/>
        <v>АВР (P1)</v>
      </c>
      <c r="C854" s="9" t="s">
        <v>34</v>
      </c>
      <c r="E854" s="9" t="s">
        <v>35</v>
      </c>
      <c r="F854" s="11">
        <f>ROUND(I854/60,1)</f>
        <v>8.6999999999999993</v>
      </c>
      <c r="G854" s="11">
        <f>Kurallar!$B$3</f>
        <v>100</v>
      </c>
      <c r="H854" s="11">
        <f>G854*I854</f>
        <v>52300</v>
      </c>
      <c r="I854" s="8">
        <f>ROUND(SUMPRODUCT(I845:I852,O845:O852)*Kurallar!$B$4,0)</f>
        <v>523</v>
      </c>
      <c r="J854" s="8" t="s">
        <v>36</v>
      </c>
      <c r="K854" s="8" t="s">
        <v>33</v>
      </c>
      <c r="L854" s="11">
        <f>H854*$I$844</f>
        <v>52300</v>
      </c>
      <c r="M854" s="9" t="s">
        <v>34</v>
      </c>
    </row>
    <row r="855" spans="1:15" x14ac:dyDescent="0.25">
      <c r="A855" s="12"/>
      <c r="B855" s="13" t="s">
        <v>521</v>
      </c>
      <c r="C855" s="12"/>
      <c r="D855" s="12"/>
      <c r="E855" s="13" t="s">
        <v>522</v>
      </c>
      <c r="F855" s="12"/>
      <c r="G855" s="12"/>
      <c r="H855" s="14">
        <f>SUBTOTAL(9,H845:H854)</f>
        <v>616853.92000000004</v>
      </c>
      <c r="I855" s="15">
        <v>1</v>
      </c>
      <c r="J855" s="15" t="s">
        <v>19</v>
      </c>
      <c r="K855" s="12"/>
      <c r="L855" s="14">
        <f>SUBTOTAL(9,L845:L854)</f>
        <v>616853.92000000004</v>
      </c>
      <c r="M855" s="12"/>
      <c r="N855" s="12"/>
      <c r="O855" s="12"/>
    </row>
    <row r="856" spans="1:15" hidden="1" x14ac:dyDescent="0.25">
      <c r="A856" s="4">
        <v>83</v>
      </c>
      <c r="B856" s="5" t="s">
        <v>523</v>
      </c>
      <c r="C856" s="6" t="s">
        <v>18</v>
      </c>
      <c r="D856" s="6"/>
      <c r="E856" s="7" t="s">
        <v>523</v>
      </c>
      <c r="F856" s="6"/>
      <c r="G856" s="6"/>
      <c r="H856" s="6"/>
      <c r="I856" s="4">
        <v>1</v>
      </c>
      <c r="J856" s="4" t="s">
        <v>19</v>
      </c>
      <c r="K856" s="6"/>
      <c r="L856" s="6"/>
      <c r="M856" s="6"/>
      <c r="N856" s="6"/>
      <c r="O856" s="6"/>
    </row>
    <row r="857" spans="1:15" hidden="1" x14ac:dyDescent="0.25">
      <c r="A857" s="8">
        <v>83</v>
      </c>
      <c r="B857" s="9" t="str">
        <f t="shared" ref="B857:B866" si="302">B856</f>
        <v>ЩУ-Jet (P1)</v>
      </c>
      <c r="C857" s="9" t="s">
        <v>20</v>
      </c>
      <c r="D857" s="9" t="s">
        <v>256</v>
      </c>
      <c r="E857" s="10" t="s">
        <v>257</v>
      </c>
      <c r="F857" s="11">
        <v>38905</v>
      </c>
      <c r="G857" s="11">
        <f>IF(F857="","",ROUND(F857*VLOOKUP(K857,Kurallar!$D$3:$E$14,2,0),2))</f>
        <v>23343</v>
      </c>
      <c r="H857" s="11">
        <f t="shared" ref="H857" si="303">IF(G857="","",G857*I857)</f>
        <v>23343</v>
      </c>
      <c r="I857" s="8">
        <v>1</v>
      </c>
      <c r="J857" s="8" t="s">
        <v>23</v>
      </c>
      <c r="K857" s="8" t="s">
        <v>24</v>
      </c>
      <c r="L857" s="11">
        <f t="shared" ref="L857" si="304">IF(H857="","",H857*$I$181)</f>
        <v>23343</v>
      </c>
      <c r="M857" s="9" t="s">
        <v>20</v>
      </c>
      <c r="N857" s="8" t="s">
        <v>75</v>
      </c>
      <c r="O857" s="8">
        <f>IFERROR(VLOOKUP(N857,Kurallar!$G$3:$H$22,2,0),0)</f>
        <v>30</v>
      </c>
    </row>
    <row r="858" spans="1:15" hidden="1" x14ac:dyDescent="0.25">
      <c r="A858" s="8">
        <v>83</v>
      </c>
      <c r="B858" s="9" t="str">
        <f t="shared" si="302"/>
        <v>ЩУ-Jet (P1)</v>
      </c>
      <c r="C858" s="9" t="s">
        <v>145</v>
      </c>
      <c r="D858" s="9" t="s">
        <v>293</v>
      </c>
      <c r="E858" s="10" t="s">
        <v>294</v>
      </c>
      <c r="F858" s="11">
        <v>19443</v>
      </c>
      <c r="G858" s="11">
        <f>IF(F858="","",ROUND(F858*VLOOKUP(K858,Kurallar!$D$3:$E$14,2,0),2))</f>
        <v>11665.8</v>
      </c>
      <c r="H858" s="11">
        <f t="shared" ref="H858:H864" si="305">IF(G858="","",G858*I858)</f>
        <v>11665.8</v>
      </c>
      <c r="I858" s="8">
        <v>1</v>
      </c>
      <c r="J858" s="8" t="s">
        <v>23</v>
      </c>
      <c r="K858" s="8" t="s">
        <v>29</v>
      </c>
      <c r="L858" s="11">
        <f t="shared" ref="L858:L864" si="306">IF(H858="","",H858*$I$856)</f>
        <v>11665.8</v>
      </c>
      <c r="M858" s="9" t="s">
        <v>145</v>
      </c>
      <c r="N858" s="8" t="s">
        <v>148</v>
      </c>
      <c r="O858" s="8">
        <f>IFERROR(VLOOKUP(N858,Kurallar!$G$3:$H$22,2,0),0)</f>
        <v>35</v>
      </c>
    </row>
    <row r="859" spans="1:15" hidden="1" x14ac:dyDescent="0.25">
      <c r="A859" s="8">
        <v>83</v>
      </c>
      <c r="B859" s="9" t="str">
        <f t="shared" si="302"/>
        <v>ЩУ-Jet (P1)</v>
      </c>
      <c r="C859" s="9" t="s">
        <v>54</v>
      </c>
      <c r="D859" s="9" t="s">
        <v>260</v>
      </c>
      <c r="E859" s="10" t="s">
        <v>261</v>
      </c>
      <c r="F859" s="11">
        <v>3604</v>
      </c>
      <c r="G859" s="11">
        <f>IF(F859="","",ROUND(F859*VLOOKUP(K859,Kurallar!$D$3:$E$14,2,0),2))</f>
        <v>2162.4</v>
      </c>
      <c r="H859" s="11">
        <f t="shared" si="305"/>
        <v>4324.8</v>
      </c>
      <c r="I859" s="8">
        <v>2</v>
      </c>
      <c r="J859" s="8" t="s">
        <v>23</v>
      </c>
      <c r="K859" s="8" t="s">
        <v>29</v>
      </c>
      <c r="L859" s="11">
        <f t="shared" si="306"/>
        <v>4324.8</v>
      </c>
      <c r="M859" s="9" t="s">
        <v>54</v>
      </c>
      <c r="N859" s="8" t="s">
        <v>113</v>
      </c>
      <c r="O859" s="8">
        <f>IFERROR(VLOOKUP(N859,Kurallar!$G$3:$H$22,2,0),0)</f>
        <v>10</v>
      </c>
    </row>
    <row r="860" spans="1:15" hidden="1" x14ac:dyDescent="0.25">
      <c r="A860" s="8">
        <v>83</v>
      </c>
      <c r="B860" s="9" t="str">
        <f t="shared" si="302"/>
        <v>ЩУ-Jet (P1)</v>
      </c>
      <c r="C860" s="9" t="s">
        <v>54</v>
      </c>
      <c r="D860" s="9" t="s">
        <v>524</v>
      </c>
      <c r="E860" s="10" t="s">
        <v>525</v>
      </c>
      <c r="F860" s="11">
        <v>3604</v>
      </c>
      <c r="G860" s="11">
        <f>IF(F860="","",ROUND(F860*VLOOKUP(K860,Kurallar!$D$3:$E$14,2,0),2))</f>
        <v>2162.4</v>
      </c>
      <c r="H860" s="11">
        <f t="shared" si="305"/>
        <v>2162.4</v>
      </c>
      <c r="I860" s="8">
        <v>1</v>
      </c>
      <c r="J860" s="8" t="s">
        <v>23</v>
      </c>
      <c r="K860" s="8" t="s">
        <v>29</v>
      </c>
      <c r="L860" s="11">
        <f t="shared" si="306"/>
        <v>2162.4</v>
      </c>
      <c r="M860" s="9" t="s">
        <v>54</v>
      </c>
      <c r="N860" s="8" t="s">
        <v>113</v>
      </c>
      <c r="O860" s="8">
        <f>IFERROR(VLOOKUP(N860,Kurallar!$G$3:$H$22,2,0),0)</f>
        <v>10</v>
      </c>
    </row>
    <row r="861" spans="1:15" hidden="1" x14ac:dyDescent="0.25">
      <c r="A861" s="8">
        <v>83</v>
      </c>
      <c r="B861" s="9" t="str">
        <f t="shared" si="302"/>
        <v>ЩУ-Jet (P1)</v>
      </c>
      <c r="C861" s="9" t="s">
        <v>54</v>
      </c>
      <c r="D861" s="9" t="s">
        <v>111</v>
      </c>
      <c r="E861" s="10" t="s">
        <v>112</v>
      </c>
      <c r="F861" s="11">
        <v>3644</v>
      </c>
      <c r="G861" s="11">
        <f>IF(F861="","",ROUND(F861*VLOOKUP(K861,Kurallar!$D$3:$E$14,2,0),2))</f>
        <v>2186.4</v>
      </c>
      <c r="H861" s="11">
        <f t="shared" si="305"/>
        <v>2186.4</v>
      </c>
      <c r="I861" s="8">
        <v>1</v>
      </c>
      <c r="J861" s="8" t="s">
        <v>23</v>
      </c>
      <c r="K861" s="8" t="s">
        <v>29</v>
      </c>
      <c r="L861" s="11">
        <f t="shared" si="306"/>
        <v>2186.4</v>
      </c>
      <c r="M861" s="9" t="s">
        <v>54</v>
      </c>
      <c r="N861" s="8" t="s">
        <v>113</v>
      </c>
      <c r="O861" s="8">
        <f>IFERROR(VLOOKUP(N861,Kurallar!$G$3:$H$22,2,0),0)</f>
        <v>10</v>
      </c>
    </row>
    <row r="862" spans="1:15" hidden="1" x14ac:dyDescent="0.25">
      <c r="A862" s="8">
        <v>83</v>
      </c>
      <c r="B862" s="9" t="str">
        <f t="shared" si="302"/>
        <v>ЩУ-Jet (P1)</v>
      </c>
      <c r="C862" s="9" t="s">
        <v>54</v>
      </c>
      <c r="D862" s="9" t="s">
        <v>526</v>
      </c>
      <c r="E862" s="10" t="s">
        <v>527</v>
      </c>
      <c r="F862" s="11">
        <v>3644</v>
      </c>
      <c r="G862" s="11">
        <f>IF(F862="","",ROUND(F862*VLOOKUP(K862,Kurallar!$D$3:$E$14,2,0),2))</f>
        <v>2186.4</v>
      </c>
      <c r="H862" s="11">
        <f t="shared" si="305"/>
        <v>4372.8</v>
      </c>
      <c r="I862" s="8">
        <v>2</v>
      </c>
      <c r="J862" s="8" t="s">
        <v>23</v>
      </c>
      <c r="K862" s="8" t="s">
        <v>29</v>
      </c>
      <c r="L862" s="11">
        <f t="shared" si="306"/>
        <v>4372.8</v>
      </c>
      <c r="M862" s="9" t="s">
        <v>54</v>
      </c>
      <c r="N862" s="8" t="s">
        <v>113</v>
      </c>
      <c r="O862" s="8">
        <f>IFERROR(VLOOKUP(N862,Kurallar!$G$3:$H$22,2,0),0)</f>
        <v>10</v>
      </c>
    </row>
    <row r="863" spans="1:15" hidden="1" x14ac:dyDescent="0.25">
      <c r="A863" s="8">
        <v>83</v>
      </c>
      <c r="B863" s="9" t="str">
        <f t="shared" si="302"/>
        <v>ЩУ-Jet (P1)</v>
      </c>
      <c r="C863" s="9" t="s">
        <v>54</v>
      </c>
      <c r="D863" s="9" t="s">
        <v>528</v>
      </c>
      <c r="E863" s="10" t="s">
        <v>529</v>
      </c>
      <c r="F863" s="11">
        <v>3232</v>
      </c>
      <c r="G863" s="11">
        <f>IF(F863="","",ROUND(F863*VLOOKUP(K863,Kurallar!$D$3:$E$14,2,0),2))</f>
        <v>1939.2</v>
      </c>
      <c r="H863" s="11">
        <f t="shared" si="305"/>
        <v>1939.2</v>
      </c>
      <c r="I863" s="8">
        <v>1</v>
      </c>
      <c r="J863" s="8" t="s">
        <v>23</v>
      </c>
      <c r="K863" s="8" t="s">
        <v>29</v>
      </c>
      <c r="L863" s="11">
        <f t="shared" si="306"/>
        <v>1939.2</v>
      </c>
      <c r="M863" s="9" t="s">
        <v>54</v>
      </c>
      <c r="N863" s="8" t="s">
        <v>113</v>
      </c>
      <c r="O863" s="8">
        <f>IFERROR(VLOOKUP(N863,Kurallar!$G$3:$H$22,2,0),0)</f>
        <v>10</v>
      </c>
    </row>
    <row r="864" spans="1:15" hidden="1" x14ac:dyDescent="0.25">
      <c r="A864" s="8">
        <v>83</v>
      </c>
      <c r="B864" s="9" t="str">
        <f t="shared" si="302"/>
        <v>ЩУ-Jet (P1)</v>
      </c>
      <c r="C864" s="9" t="s">
        <v>54</v>
      </c>
      <c r="D864" s="9" t="s">
        <v>122</v>
      </c>
      <c r="E864" s="10" t="s">
        <v>123</v>
      </c>
      <c r="F864" s="11">
        <v>1086</v>
      </c>
      <c r="G864" s="11">
        <f>IF(F864="","",ROUND(F864*VLOOKUP(K864,Kurallar!$D$3:$E$14,2,0),2))</f>
        <v>651.6</v>
      </c>
      <c r="H864" s="11">
        <f t="shared" si="305"/>
        <v>3258</v>
      </c>
      <c r="I864" s="8">
        <v>5</v>
      </c>
      <c r="J864" s="8" t="s">
        <v>23</v>
      </c>
      <c r="K864" s="8" t="s">
        <v>29</v>
      </c>
      <c r="L864" s="11">
        <f t="shared" si="306"/>
        <v>3258</v>
      </c>
      <c r="M864" s="9" t="s">
        <v>54</v>
      </c>
      <c r="N864" s="8" t="s">
        <v>57</v>
      </c>
      <c r="O864" s="8">
        <f>IFERROR(VLOOKUP(N864,Kurallar!$G$3:$H$22,2,0),0)</f>
        <v>3</v>
      </c>
    </row>
    <row r="865" spans="1:15" hidden="1" x14ac:dyDescent="0.25">
      <c r="A865" s="8">
        <v>83</v>
      </c>
      <c r="B865" s="9" t="str">
        <f t="shared" si="302"/>
        <v>ЩУ-Jet (P1)</v>
      </c>
      <c r="C865" s="9" t="s">
        <v>31</v>
      </c>
      <c r="E865" s="9" t="s">
        <v>32</v>
      </c>
      <c r="F865" s="11"/>
      <c r="G865" s="11">
        <f>ROUND(SUM(H857:H864)*Kurallar!$B$2,2)</f>
        <v>6390.29</v>
      </c>
      <c r="H865" s="11">
        <f>G865*I865</f>
        <v>6390.29</v>
      </c>
      <c r="I865" s="8">
        <v>1</v>
      </c>
      <c r="J865" s="8" t="s">
        <v>19</v>
      </c>
      <c r="K865" s="8" t="s">
        <v>33</v>
      </c>
      <c r="L865" s="11">
        <f>H865*$I$856</f>
        <v>6390.29</v>
      </c>
      <c r="M865" s="9" t="s">
        <v>31</v>
      </c>
    </row>
    <row r="866" spans="1:15" hidden="1" x14ac:dyDescent="0.25">
      <c r="A866" s="8">
        <v>83</v>
      </c>
      <c r="B866" s="9" t="str">
        <f t="shared" si="302"/>
        <v>ЩУ-Jet (P1)</v>
      </c>
      <c r="C866" s="9" t="s">
        <v>34</v>
      </c>
      <c r="E866" s="9" t="s">
        <v>35</v>
      </c>
      <c r="F866" s="11">
        <f>ROUND(I866/60,1)</f>
        <v>2.9</v>
      </c>
      <c r="G866" s="11">
        <f>Kurallar!$B$3</f>
        <v>100</v>
      </c>
      <c r="H866" s="11">
        <f>G866*I866</f>
        <v>17300</v>
      </c>
      <c r="I866" s="8">
        <f>ROUND(SUMPRODUCT(I857:I864,O857:O864)*Kurallar!$B$4,0)</f>
        <v>173</v>
      </c>
      <c r="J866" s="8" t="s">
        <v>36</v>
      </c>
      <c r="K866" s="8" t="s">
        <v>33</v>
      </c>
      <c r="L866" s="11">
        <f>H866*$I$856</f>
        <v>17300</v>
      </c>
      <c r="M866" s="9" t="s">
        <v>34</v>
      </c>
    </row>
    <row r="867" spans="1:15" hidden="1" x14ac:dyDescent="0.25">
      <c r="A867" s="12"/>
      <c r="B867" s="13" t="s">
        <v>530</v>
      </c>
      <c r="C867" s="12"/>
      <c r="D867" s="12"/>
      <c r="E867" s="13" t="s">
        <v>531</v>
      </c>
      <c r="F867" s="12"/>
      <c r="G867" s="12"/>
      <c r="H867" s="14">
        <f>SUBTOTAL(9,H857:H866)</f>
        <v>0</v>
      </c>
      <c r="I867" s="15">
        <v>1</v>
      </c>
      <c r="J867" s="15" t="s">
        <v>19</v>
      </c>
      <c r="K867" s="12"/>
      <c r="L867" s="14">
        <f>SUBTOTAL(9,L857:L866)</f>
        <v>0</v>
      </c>
      <c r="M867" s="12"/>
      <c r="N867" s="12"/>
      <c r="O867" s="12"/>
    </row>
    <row r="868" spans="1:15" hidden="1" x14ac:dyDescent="0.25">
      <c r="A868" s="4">
        <v>84</v>
      </c>
      <c r="B868" s="5" t="s">
        <v>532</v>
      </c>
      <c r="C868" s="6" t="s">
        <v>18</v>
      </c>
      <c r="D868" s="6"/>
      <c r="E868" s="7" t="s">
        <v>532</v>
      </c>
      <c r="F868" s="6"/>
      <c r="G868" s="6"/>
      <c r="H868" s="6"/>
      <c r="I868" s="4">
        <v>1</v>
      </c>
      <c r="J868" s="4" t="s">
        <v>19</v>
      </c>
      <c r="K868" s="6"/>
      <c r="L868" s="6"/>
      <c r="M868" s="6"/>
      <c r="N868" s="6"/>
      <c r="O868" s="6"/>
    </row>
    <row r="869" spans="1:15" hidden="1" x14ac:dyDescent="0.25">
      <c r="A869" s="8">
        <v>84</v>
      </c>
      <c r="B869" s="9" t="str">
        <f t="shared" ref="B869:B883" si="307">B868</f>
        <v>ЩУ-Апт(P1)</v>
      </c>
      <c r="C869" s="9" t="s">
        <v>20</v>
      </c>
      <c r="D869" s="9" t="s">
        <v>256</v>
      </c>
      <c r="E869" s="10" t="s">
        <v>257</v>
      </c>
      <c r="F869" s="11">
        <v>38905</v>
      </c>
      <c r="G869" s="11">
        <f>IF(F869="","",ROUND(F869*VLOOKUP(K869,Kurallar!$D$3:$E$14,2,0),2))</f>
        <v>23343</v>
      </c>
      <c r="H869" s="11">
        <f t="shared" ref="H869" si="308">IF(G869="","",G869*I869)</f>
        <v>23343</v>
      </c>
      <c r="I869" s="8">
        <v>1</v>
      </c>
      <c r="J869" s="8" t="s">
        <v>23</v>
      </c>
      <c r="K869" s="8" t="s">
        <v>24</v>
      </c>
      <c r="L869" s="11">
        <f t="shared" ref="L869" si="309">IF(H869="","",H869*$I$181)</f>
        <v>23343</v>
      </c>
      <c r="M869" s="9" t="s">
        <v>20</v>
      </c>
      <c r="N869" s="8" t="s">
        <v>75</v>
      </c>
      <c r="O869" s="8">
        <f>IFERROR(VLOOKUP(N869,Kurallar!$G$3:$H$22,2,0),0)</f>
        <v>30</v>
      </c>
    </row>
    <row r="870" spans="1:15" hidden="1" x14ac:dyDescent="0.25">
      <c r="A870" s="8">
        <v>84</v>
      </c>
      <c r="B870" s="9" t="str">
        <f t="shared" si="307"/>
        <v>ЩУ-Апт(P1)</v>
      </c>
      <c r="C870" s="9" t="s">
        <v>145</v>
      </c>
      <c r="D870" s="9" t="s">
        <v>293</v>
      </c>
      <c r="E870" s="10" t="s">
        <v>294</v>
      </c>
      <c r="F870" s="11">
        <v>19443</v>
      </c>
      <c r="G870" s="11">
        <f>IF(F870="","",ROUND(F870*VLOOKUP(K870,Kurallar!$D$3:$E$14,2,0),2))</f>
        <v>11665.8</v>
      </c>
      <c r="H870" s="11">
        <f t="shared" ref="H870:H881" si="310">IF(G870="","",G870*I870)</f>
        <v>11665.8</v>
      </c>
      <c r="I870" s="8">
        <v>1</v>
      </c>
      <c r="J870" s="8" t="s">
        <v>23</v>
      </c>
      <c r="K870" s="8" t="s">
        <v>29</v>
      </c>
      <c r="L870" s="11">
        <f t="shared" ref="L870:L881" si="311">IF(H870="","",H870*$I$868)</f>
        <v>11665.8</v>
      </c>
      <c r="M870" s="9" t="s">
        <v>145</v>
      </c>
      <c r="N870" s="8" t="s">
        <v>148</v>
      </c>
      <c r="O870" s="8">
        <f>IFERROR(VLOOKUP(N870,Kurallar!$G$3:$H$22,2,0),0)</f>
        <v>35</v>
      </c>
    </row>
    <row r="871" spans="1:15" hidden="1" x14ac:dyDescent="0.25">
      <c r="A871" s="8">
        <v>84</v>
      </c>
      <c r="B871" s="9" t="str">
        <f t="shared" si="307"/>
        <v>ЩУ-Апт(P1)</v>
      </c>
      <c r="C871" s="9" t="s">
        <v>54</v>
      </c>
      <c r="D871" s="9" t="s">
        <v>533</v>
      </c>
      <c r="E871" s="10" t="s">
        <v>534</v>
      </c>
      <c r="F871" s="11">
        <v>3985</v>
      </c>
      <c r="G871" s="11">
        <f>IF(F871="","",ROUND(F871*VLOOKUP(K871,Kurallar!$D$3:$E$14,2,0),2))</f>
        <v>2391</v>
      </c>
      <c r="H871" s="11">
        <f t="shared" si="310"/>
        <v>4782</v>
      </c>
      <c r="I871" s="8">
        <v>2</v>
      </c>
      <c r="J871" s="8" t="s">
        <v>23</v>
      </c>
      <c r="K871" s="8" t="s">
        <v>29</v>
      </c>
      <c r="L871" s="11">
        <f t="shared" si="311"/>
        <v>4782</v>
      </c>
      <c r="M871" s="9" t="s">
        <v>54</v>
      </c>
      <c r="N871" s="8" t="s">
        <v>113</v>
      </c>
      <c r="O871" s="8">
        <f>IFERROR(VLOOKUP(N871,Kurallar!$G$3:$H$22,2,0),0)</f>
        <v>10</v>
      </c>
    </row>
    <row r="872" spans="1:15" hidden="1" x14ac:dyDescent="0.25">
      <c r="A872" s="8">
        <v>84</v>
      </c>
      <c r="B872" s="9" t="str">
        <f t="shared" si="307"/>
        <v>ЩУ-Апт(P1)</v>
      </c>
      <c r="C872" s="9" t="s">
        <v>54</v>
      </c>
      <c r="D872" s="9" t="s">
        <v>526</v>
      </c>
      <c r="E872" s="10" t="s">
        <v>527</v>
      </c>
      <c r="F872" s="11">
        <v>3644</v>
      </c>
      <c r="G872" s="11">
        <f>IF(F872="","",ROUND(F872*VLOOKUP(K872,Kurallar!$D$3:$E$14,2,0),2))</f>
        <v>2186.4</v>
      </c>
      <c r="H872" s="11">
        <f t="shared" si="310"/>
        <v>2186.4</v>
      </c>
      <c r="I872" s="8">
        <v>1</v>
      </c>
      <c r="J872" s="8" t="s">
        <v>23</v>
      </c>
      <c r="K872" s="8" t="s">
        <v>29</v>
      </c>
      <c r="L872" s="11">
        <f t="shared" si="311"/>
        <v>2186.4</v>
      </c>
      <c r="M872" s="9" t="s">
        <v>54</v>
      </c>
      <c r="N872" s="8" t="s">
        <v>113</v>
      </c>
      <c r="O872" s="8">
        <f>IFERROR(VLOOKUP(N872,Kurallar!$G$3:$H$22,2,0),0)</f>
        <v>10</v>
      </c>
    </row>
    <row r="873" spans="1:15" hidden="1" x14ac:dyDescent="0.25">
      <c r="A873" s="8">
        <v>84</v>
      </c>
      <c r="B873" s="9" t="str">
        <f t="shared" si="307"/>
        <v>ЩУ-Апт(P1)</v>
      </c>
      <c r="C873" s="9" t="s">
        <v>86</v>
      </c>
      <c r="D873" s="9" t="s">
        <v>116</v>
      </c>
      <c r="E873" s="10" t="s">
        <v>117</v>
      </c>
      <c r="F873" s="11">
        <v>571</v>
      </c>
      <c r="G873" s="11">
        <f>IF(F873="","",ROUND(F873*VLOOKUP(K873,Kurallar!$D$3:$E$14,2,0),2))</f>
        <v>342.6</v>
      </c>
      <c r="H873" s="11">
        <f t="shared" si="310"/>
        <v>1027.8000000000002</v>
      </c>
      <c r="I873" s="8">
        <v>3</v>
      </c>
      <c r="J873" s="8" t="s">
        <v>23</v>
      </c>
      <c r="K873" s="8" t="s">
        <v>29</v>
      </c>
      <c r="L873" s="11">
        <f t="shared" si="311"/>
        <v>1027.8000000000002</v>
      </c>
      <c r="M873" s="9" t="s">
        <v>86</v>
      </c>
      <c r="N873" s="8" t="s">
        <v>89</v>
      </c>
      <c r="O873" s="8">
        <f>IFERROR(VLOOKUP(N873,Kurallar!$G$3:$H$22,2,0),0)</f>
        <v>5</v>
      </c>
    </row>
    <row r="874" spans="1:15" hidden="1" x14ac:dyDescent="0.25">
      <c r="A874" s="8">
        <v>84</v>
      </c>
      <c r="B874" s="9" t="str">
        <f t="shared" si="307"/>
        <v>ЩУ-Апт(P1)</v>
      </c>
      <c r="C874" s="9" t="s">
        <v>86</v>
      </c>
      <c r="D874" s="9" t="s">
        <v>118</v>
      </c>
      <c r="E874" s="10" t="s">
        <v>119</v>
      </c>
      <c r="F874" s="11">
        <v>589</v>
      </c>
      <c r="G874" s="11">
        <f>IF(F874="","",ROUND(F874*VLOOKUP(K874,Kurallar!$D$3:$E$14,2,0),2))</f>
        <v>353.4</v>
      </c>
      <c r="H874" s="11">
        <f t="shared" si="310"/>
        <v>1060.1999999999998</v>
      </c>
      <c r="I874" s="8">
        <v>3</v>
      </c>
      <c r="J874" s="8" t="s">
        <v>23</v>
      </c>
      <c r="K874" s="8" t="s">
        <v>29</v>
      </c>
      <c r="L874" s="11">
        <f t="shared" si="311"/>
        <v>1060.1999999999998</v>
      </c>
      <c r="M874" s="9" t="s">
        <v>86</v>
      </c>
      <c r="N874" s="8" t="s">
        <v>89</v>
      </c>
      <c r="O874" s="8">
        <f>IFERROR(VLOOKUP(N874,Kurallar!$G$3:$H$22,2,0),0)</f>
        <v>5</v>
      </c>
    </row>
    <row r="875" spans="1:15" hidden="1" x14ac:dyDescent="0.25">
      <c r="A875" s="8">
        <v>84</v>
      </c>
      <c r="B875" s="9" t="str">
        <f t="shared" si="307"/>
        <v>ЩУ-Апт(P1)</v>
      </c>
      <c r="C875" s="9" t="s">
        <v>86</v>
      </c>
      <c r="D875" s="9" t="s">
        <v>120</v>
      </c>
      <c r="E875" s="10" t="s">
        <v>121</v>
      </c>
      <c r="F875" s="11">
        <v>571</v>
      </c>
      <c r="G875" s="11">
        <f>IF(F875="","",ROUND(F875*VLOOKUP(K875,Kurallar!$D$3:$E$14,2,0),2))</f>
        <v>342.6</v>
      </c>
      <c r="H875" s="11">
        <f t="shared" si="310"/>
        <v>1027.8000000000002</v>
      </c>
      <c r="I875" s="8">
        <v>3</v>
      </c>
      <c r="J875" s="8" t="s">
        <v>23</v>
      </c>
      <c r="K875" s="8" t="s">
        <v>29</v>
      </c>
      <c r="L875" s="11">
        <f t="shared" si="311"/>
        <v>1027.8000000000002</v>
      </c>
      <c r="M875" s="9" t="s">
        <v>86</v>
      </c>
      <c r="N875" s="8" t="s">
        <v>89</v>
      </c>
      <c r="O875" s="8">
        <f>IFERROR(VLOOKUP(N875,Kurallar!$G$3:$H$22,2,0),0)</f>
        <v>5</v>
      </c>
    </row>
    <row r="876" spans="1:15" hidden="1" x14ac:dyDescent="0.25">
      <c r="A876" s="8">
        <v>84</v>
      </c>
      <c r="B876" s="9" t="str">
        <f t="shared" si="307"/>
        <v>ЩУ-Апт(P1)</v>
      </c>
      <c r="C876" s="9" t="s">
        <v>54</v>
      </c>
      <c r="D876" s="9" t="s">
        <v>55</v>
      </c>
      <c r="E876" s="10" t="s">
        <v>56</v>
      </c>
      <c r="F876" s="11">
        <v>975</v>
      </c>
      <c r="G876" s="11">
        <f>IF(F876="","",ROUND(F876*VLOOKUP(K876,Kurallar!$D$3:$E$14,2,0),2))</f>
        <v>585</v>
      </c>
      <c r="H876" s="11">
        <f t="shared" si="310"/>
        <v>1170</v>
      </c>
      <c r="I876" s="8">
        <v>2</v>
      </c>
      <c r="J876" s="8" t="s">
        <v>23</v>
      </c>
      <c r="K876" s="8" t="s">
        <v>29</v>
      </c>
      <c r="L876" s="11">
        <f t="shared" si="311"/>
        <v>1170</v>
      </c>
      <c r="M876" s="9" t="s">
        <v>54</v>
      </c>
      <c r="N876" s="8" t="s">
        <v>57</v>
      </c>
      <c r="O876" s="8">
        <f>IFERROR(VLOOKUP(N876,Kurallar!$G$3:$H$22,2,0),0)</f>
        <v>3</v>
      </c>
    </row>
    <row r="877" spans="1:15" hidden="1" x14ac:dyDescent="0.25">
      <c r="A877" s="8">
        <v>84</v>
      </c>
      <c r="B877" s="9" t="str">
        <f t="shared" si="307"/>
        <v>ЩУ-Апт(P1)</v>
      </c>
      <c r="C877" s="9" t="s">
        <v>62</v>
      </c>
      <c r="D877" s="9" t="s">
        <v>535</v>
      </c>
      <c r="E877" s="10" t="s">
        <v>536</v>
      </c>
      <c r="F877" s="11">
        <v>9156</v>
      </c>
      <c r="G877" s="11">
        <f>IF(F877="","",ROUND(F877*VLOOKUP(K877,Kurallar!$D$3:$E$14,2,0),2))</f>
        <v>5493.6</v>
      </c>
      <c r="H877" s="11">
        <f t="shared" si="310"/>
        <v>10987.2</v>
      </c>
      <c r="I877" s="8">
        <v>2</v>
      </c>
      <c r="J877" s="8" t="s">
        <v>23</v>
      </c>
      <c r="K877" s="8" t="s">
        <v>29</v>
      </c>
      <c r="L877" s="11">
        <f t="shared" si="311"/>
        <v>10987.2</v>
      </c>
      <c r="M877" s="9" t="s">
        <v>62</v>
      </c>
      <c r="N877" s="8" t="s">
        <v>66</v>
      </c>
      <c r="O877" s="8">
        <f>IFERROR(VLOOKUP(N877,Kurallar!$G$3:$H$22,2,0),0)</f>
        <v>5</v>
      </c>
    </row>
    <row r="878" spans="1:15" hidden="1" x14ac:dyDescent="0.25">
      <c r="A878" s="8">
        <v>84</v>
      </c>
      <c r="B878" s="9" t="str">
        <f t="shared" si="307"/>
        <v>ЩУ-Апт(P1)</v>
      </c>
      <c r="C878" s="9" t="s">
        <v>62</v>
      </c>
      <c r="D878" s="9" t="s">
        <v>537</v>
      </c>
      <c r="E878" s="10" t="s">
        <v>538</v>
      </c>
      <c r="F878" s="11">
        <v>4445</v>
      </c>
      <c r="G878" s="11">
        <f>IF(F878="","",ROUND(F878*VLOOKUP(K878,Kurallar!$D$3:$E$14,2,0),2))</f>
        <v>2667</v>
      </c>
      <c r="H878" s="11">
        <f t="shared" si="310"/>
        <v>2667</v>
      </c>
      <c r="I878" s="8">
        <v>1</v>
      </c>
      <c r="J878" s="8" t="s">
        <v>23</v>
      </c>
      <c r="K878" s="8" t="s">
        <v>29</v>
      </c>
      <c r="L878" s="11">
        <f t="shared" si="311"/>
        <v>2667</v>
      </c>
      <c r="M878" s="9" t="s">
        <v>62</v>
      </c>
      <c r="N878" s="8" t="s">
        <v>66</v>
      </c>
      <c r="O878" s="8">
        <f>IFERROR(VLOOKUP(N878,Kurallar!$G$3:$H$22,2,0),0)</f>
        <v>5</v>
      </c>
    </row>
    <row r="879" spans="1:15" hidden="1" x14ac:dyDescent="0.25">
      <c r="A879" s="8">
        <v>84</v>
      </c>
      <c r="B879" s="9" t="str">
        <f t="shared" si="307"/>
        <v>ЩУ-Апт(P1)</v>
      </c>
      <c r="C879" s="9" t="s">
        <v>62</v>
      </c>
      <c r="D879" s="9" t="s">
        <v>128</v>
      </c>
      <c r="E879" s="10" t="s">
        <v>129</v>
      </c>
      <c r="F879" s="11">
        <v>1565</v>
      </c>
      <c r="G879" s="11">
        <f>IF(F879="","",ROUND(F879*VLOOKUP(K879,Kurallar!$D$3:$E$14,2,0),2))</f>
        <v>939</v>
      </c>
      <c r="H879" s="11">
        <f t="shared" si="310"/>
        <v>3756</v>
      </c>
      <c r="I879" s="8">
        <v>4</v>
      </c>
      <c r="J879" s="8" t="s">
        <v>23</v>
      </c>
      <c r="K879" s="8" t="s">
        <v>29</v>
      </c>
      <c r="L879" s="11">
        <f t="shared" si="311"/>
        <v>3756</v>
      </c>
      <c r="M879" s="9" t="s">
        <v>62</v>
      </c>
      <c r="N879" s="8" t="s">
        <v>66</v>
      </c>
      <c r="O879" s="8">
        <f>IFERROR(VLOOKUP(N879,Kurallar!$G$3:$H$22,2,0),0)</f>
        <v>5</v>
      </c>
    </row>
    <row r="880" spans="1:15" hidden="1" x14ac:dyDescent="0.25">
      <c r="A880" s="8">
        <v>84</v>
      </c>
      <c r="B880" s="9" t="str">
        <f t="shared" si="307"/>
        <v>ЩУ-Апт(P1)</v>
      </c>
      <c r="C880" s="9" t="s">
        <v>86</v>
      </c>
      <c r="D880" s="9" t="s">
        <v>130</v>
      </c>
      <c r="E880" s="10" t="s">
        <v>131</v>
      </c>
      <c r="F880" s="11">
        <v>682</v>
      </c>
      <c r="G880" s="11">
        <f>IF(F880="","",ROUND(F880*VLOOKUP(K880,Kurallar!$D$3:$E$14,2,0),2))</f>
        <v>409.2</v>
      </c>
      <c r="H880" s="11">
        <f t="shared" si="310"/>
        <v>1636.8</v>
      </c>
      <c r="I880" s="8">
        <v>4</v>
      </c>
      <c r="J880" s="8" t="s">
        <v>23</v>
      </c>
      <c r="K880" s="8" t="s">
        <v>29</v>
      </c>
      <c r="L880" s="11">
        <f t="shared" si="311"/>
        <v>1636.8</v>
      </c>
      <c r="M880" s="9" t="s">
        <v>86</v>
      </c>
      <c r="N880" s="8" t="s">
        <v>89</v>
      </c>
      <c r="O880" s="8">
        <f>IFERROR(VLOOKUP(N880,Kurallar!$G$3:$H$22,2,0),0)</f>
        <v>5</v>
      </c>
    </row>
    <row r="881" spans="1:15" hidden="1" x14ac:dyDescent="0.25">
      <c r="A881" s="8">
        <v>84</v>
      </c>
      <c r="B881" s="9" t="str">
        <f t="shared" si="307"/>
        <v>ЩУ-Апт(P1)</v>
      </c>
      <c r="C881" s="9" t="s">
        <v>86</v>
      </c>
      <c r="D881" s="9" t="s">
        <v>539</v>
      </c>
      <c r="E881" s="10" t="s">
        <v>540</v>
      </c>
      <c r="F881" s="11">
        <v>1836</v>
      </c>
      <c r="G881" s="11">
        <f>IF(F881="","",ROUND(F881*VLOOKUP(K881,Kurallar!$D$3:$E$14,2,0),2))</f>
        <v>1101.5999999999999</v>
      </c>
      <c r="H881" s="11">
        <f t="shared" si="310"/>
        <v>3304.7999999999997</v>
      </c>
      <c r="I881" s="8">
        <v>3</v>
      </c>
      <c r="J881" s="8" t="s">
        <v>23</v>
      </c>
      <c r="K881" s="8" t="s">
        <v>29</v>
      </c>
      <c r="L881" s="11">
        <f t="shared" si="311"/>
        <v>3304.7999999999997</v>
      </c>
      <c r="M881" s="9" t="s">
        <v>86</v>
      </c>
      <c r="N881" s="8" t="s">
        <v>89</v>
      </c>
      <c r="O881" s="8">
        <f>IFERROR(VLOOKUP(N881,Kurallar!$G$3:$H$22,2,0),0)</f>
        <v>5</v>
      </c>
    </row>
    <row r="882" spans="1:15" hidden="1" x14ac:dyDescent="0.25">
      <c r="A882" s="8">
        <v>84</v>
      </c>
      <c r="B882" s="9" t="str">
        <f t="shared" si="307"/>
        <v>ЩУ-Апт(P1)</v>
      </c>
      <c r="C882" s="9" t="s">
        <v>31</v>
      </c>
      <c r="E882" s="9" t="s">
        <v>32</v>
      </c>
      <c r="F882" s="11"/>
      <c r="G882" s="11">
        <f>ROUND(SUM(H869:H881)*Kurallar!$B$2,2)</f>
        <v>8233.7800000000007</v>
      </c>
      <c r="H882" s="11">
        <f>G882*I882</f>
        <v>8233.7800000000007</v>
      </c>
      <c r="I882" s="8">
        <v>1</v>
      </c>
      <c r="J882" s="8" t="s">
        <v>19</v>
      </c>
      <c r="K882" s="8" t="s">
        <v>33</v>
      </c>
      <c r="L882" s="11">
        <f>H882*$I$868</f>
        <v>8233.7800000000007</v>
      </c>
      <c r="M882" s="9" t="s">
        <v>31</v>
      </c>
    </row>
    <row r="883" spans="1:15" hidden="1" x14ac:dyDescent="0.25">
      <c r="A883" s="8">
        <v>84</v>
      </c>
      <c r="B883" s="9" t="str">
        <f t="shared" si="307"/>
        <v>ЩУ-Апт(P1)</v>
      </c>
      <c r="C883" s="9" t="s">
        <v>34</v>
      </c>
      <c r="E883" s="9" t="s">
        <v>35</v>
      </c>
      <c r="F883" s="11">
        <f>ROUND(I883/60,1)</f>
        <v>4.0999999999999996</v>
      </c>
      <c r="G883" s="11">
        <f>Kurallar!$B$3</f>
        <v>100</v>
      </c>
      <c r="H883" s="11">
        <f>G883*I883</f>
        <v>24800</v>
      </c>
      <c r="I883" s="8">
        <f>ROUND(SUMPRODUCT(I869:I881,O869:O881)*Kurallar!$B$4,0)</f>
        <v>248</v>
      </c>
      <c r="J883" s="8" t="s">
        <v>36</v>
      </c>
      <c r="K883" s="8" t="s">
        <v>33</v>
      </c>
      <c r="L883" s="11">
        <f>H883*$I$868</f>
        <v>24800</v>
      </c>
      <c r="M883" s="9" t="s">
        <v>34</v>
      </c>
    </row>
    <row r="884" spans="1:15" hidden="1" x14ac:dyDescent="0.25">
      <c r="A884" s="12"/>
      <c r="B884" s="13" t="s">
        <v>541</v>
      </c>
      <c r="C884" s="12"/>
      <c r="D884" s="12"/>
      <c r="E884" s="13" t="s">
        <v>542</v>
      </c>
      <c r="F884" s="12"/>
      <c r="G884" s="12"/>
      <c r="H884" s="14">
        <f>SUBTOTAL(9,H869:H883)</f>
        <v>0</v>
      </c>
      <c r="I884" s="15">
        <v>1</v>
      </c>
      <c r="J884" s="15" t="s">
        <v>19</v>
      </c>
      <c r="K884" s="12"/>
      <c r="L884" s="14">
        <f>SUBTOTAL(9,L869:L883)</f>
        <v>0</v>
      </c>
      <c r="M884" s="12"/>
      <c r="N884" s="12"/>
      <c r="O884" s="12"/>
    </row>
    <row r="885" spans="1:15" hidden="1" x14ac:dyDescent="0.25">
      <c r="A885" s="4">
        <v>85</v>
      </c>
      <c r="B885" s="5" t="s">
        <v>543</v>
      </c>
      <c r="C885" s="6" t="s">
        <v>18</v>
      </c>
      <c r="D885" s="6"/>
      <c r="E885" s="7" t="s">
        <v>543</v>
      </c>
      <c r="F885" s="6"/>
      <c r="G885" s="6"/>
      <c r="H885" s="6"/>
      <c r="I885" s="4">
        <v>1</v>
      </c>
      <c r="J885" s="4" t="s">
        <v>19</v>
      </c>
      <c r="K885" s="6"/>
      <c r="L885" s="6"/>
      <c r="M885" s="6"/>
      <c r="N885" s="6"/>
      <c r="O885" s="6"/>
    </row>
    <row r="886" spans="1:15" hidden="1" x14ac:dyDescent="0.25">
      <c r="A886" s="8">
        <v>85</v>
      </c>
      <c r="B886" s="9" t="str">
        <f t="shared" ref="B886:B891" si="312">B885</f>
        <v>ЩУп-1 (P1)</v>
      </c>
      <c r="C886" s="9" t="s">
        <v>20</v>
      </c>
      <c r="D886" s="9" t="s">
        <v>109</v>
      </c>
      <c r="E886" s="10" t="s">
        <v>110</v>
      </c>
      <c r="F886" s="11">
        <v>10305</v>
      </c>
      <c r="G886" s="11">
        <f>IF(F886="","",ROUND(F886*VLOOKUP(K886,Kurallar!$D$3:$E$14,2,0),2))</f>
        <v>6183</v>
      </c>
      <c r="H886" s="11">
        <f t="shared" ref="H886" si="313">IF(G886="","",G886*I886)</f>
        <v>6183</v>
      </c>
      <c r="I886" s="8">
        <v>1</v>
      </c>
      <c r="J886" s="8" t="s">
        <v>23</v>
      </c>
      <c r="K886" s="8" t="s">
        <v>24</v>
      </c>
      <c r="L886" s="11">
        <f t="shared" ref="L886" si="314">IF(H886="","",H886*$I$181)</f>
        <v>6183</v>
      </c>
      <c r="M886" s="9" t="s">
        <v>20</v>
      </c>
      <c r="N886" s="8" t="s">
        <v>25</v>
      </c>
      <c r="O886" s="8">
        <f>IFERROR(VLOOKUP(N886,Kurallar!$G$3:$H$22,2,0),0)</f>
        <v>8</v>
      </c>
    </row>
    <row r="887" spans="1:15" hidden="1" x14ac:dyDescent="0.25">
      <c r="A887" s="8">
        <v>85</v>
      </c>
      <c r="B887" s="9" t="str">
        <f t="shared" si="312"/>
        <v>ЩУп-1 (P1)</v>
      </c>
      <c r="C887" s="9" t="s">
        <v>26</v>
      </c>
      <c r="D887" s="9" t="s">
        <v>80</v>
      </c>
      <c r="E887" s="10" t="s">
        <v>81</v>
      </c>
      <c r="F887" s="11">
        <v>3372</v>
      </c>
      <c r="G887" s="11">
        <f>IF(F887="","",ROUND(F887*VLOOKUP(K887,Kurallar!$D$3:$E$14,2,0),2))</f>
        <v>2023.2</v>
      </c>
      <c r="H887" s="11">
        <f>IF(G887="","",G887*I887)</f>
        <v>2023.2</v>
      </c>
      <c r="I887" s="8">
        <v>1</v>
      </c>
      <c r="J887" s="8" t="s">
        <v>23</v>
      </c>
      <c r="K887" s="8" t="s">
        <v>29</v>
      </c>
      <c r="L887" s="11">
        <f>IF(H887="","",H887*$I$885)</f>
        <v>2023.2</v>
      </c>
      <c r="M887" s="9" t="s">
        <v>26</v>
      </c>
      <c r="N887" s="8" t="s">
        <v>42</v>
      </c>
      <c r="O887" s="8">
        <f>IFERROR(VLOOKUP(N887,Kurallar!$G$3:$H$22,2,0),0)</f>
        <v>15</v>
      </c>
    </row>
    <row r="888" spans="1:15" hidden="1" x14ac:dyDescent="0.25">
      <c r="A888" s="8">
        <v>85</v>
      </c>
      <c r="B888" s="9" t="str">
        <f t="shared" si="312"/>
        <v>ЩУп-1 (P1)</v>
      </c>
      <c r="C888" s="9" t="s">
        <v>54</v>
      </c>
      <c r="D888" s="9" t="s">
        <v>247</v>
      </c>
      <c r="E888" s="10" t="s">
        <v>248</v>
      </c>
      <c r="F888" s="11">
        <v>2429</v>
      </c>
      <c r="G888" s="11">
        <f>IF(F888="","",ROUND(F888*VLOOKUP(K888,Kurallar!$D$3:$E$14,2,0),2))</f>
        <v>1457.4</v>
      </c>
      <c r="H888" s="11">
        <f>IF(G888="","",G888*I888)</f>
        <v>1457.4</v>
      </c>
      <c r="I888" s="8">
        <v>1</v>
      </c>
      <c r="J888" s="8" t="s">
        <v>23</v>
      </c>
      <c r="K888" s="8" t="s">
        <v>29</v>
      </c>
      <c r="L888" s="11">
        <f>IF(H888="","",H888*$I$885)</f>
        <v>1457.4</v>
      </c>
      <c r="M888" s="9" t="s">
        <v>54</v>
      </c>
      <c r="N888" s="8" t="s">
        <v>113</v>
      </c>
      <c r="O888" s="8">
        <f>IFERROR(VLOOKUP(N888,Kurallar!$G$3:$H$22,2,0),0)</f>
        <v>10</v>
      </c>
    </row>
    <row r="889" spans="1:15" hidden="1" x14ac:dyDescent="0.25">
      <c r="A889" s="8">
        <v>85</v>
      </c>
      <c r="B889" s="9" t="str">
        <f t="shared" si="312"/>
        <v>ЩУп-1 (P1)</v>
      </c>
      <c r="C889" s="9" t="s">
        <v>82</v>
      </c>
      <c r="D889" s="9" t="s">
        <v>544</v>
      </c>
      <c r="E889" s="10" t="s">
        <v>545</v>
      </c>
      <c r="F889" s="11">
        <v>0</v>
      </c>
      <c r="G889" s="11">
        <f>IF(F889="","",ROUND(F889*VLOOKUP(K889,Kurallar!$D$3:$E$14,2,0),2))</f>
        <v>0</v>
      </c>
      <c r="H889" s="11">
        <f>IF(G889="","",G889*I889)</f>
        <v>0</v>
      </c>
      <c r="I889" s="8">
        <v>1</v>
      </c>
      <c r="J889" s="8" t="s">
        <v>23</v>
      </c>
      <c r="K889" s="8" t="s">
        <v>241</v>
      </c>
      <c r="L889" s="11">
        <f>IF(H889="","",H889*$I$885)</f>
        <v>0</v>
      </c>
      <c r="M889" s="9" t="s">
        <v>82</v>
      </c>
      <c r="N889" s="8" t="s">
        <v>85</v>
      </c>
      <c r="O889" s="8">
        <f>IFERROR(VLOOKUP(N889,Kurallar!$G$3:$H$22,2,0),0)</f>
        <v>25</v>
      </c>
    </row>
    <row r="890" spans="1:15" hidden="1" x14ac:dyDescent="0.25">
      <c r="A890" s="8">
        <v>85</v>
      </c>
      <c r="B890" t="str">
        <f t="shared" si="312"/>
        <v>ЩУп-1 (P1)</v>
      </c>
      <c r="C890" s="9" t="s">
        <v>31</v>
      </c>
      <c r="E890" s="9" t="s">
        <v>32</v>
      </c>
      <c r="F890" s="11"/>
      <c r="G890" s="11">
        <f>ROUND(SUM(H886:H889)*Kurallar!$B$2,2)</f>
        <v>1159.6300000000001</v>
      </c>
      <c r="H890" s="11">
        <f>G890*I890</f>
        <v>1159.6300000000001</v>
      </c>
      <c r="I890" s="8">
        <v>1</v>
      </c>
      <c r="J890" s="8" t="s">
        <v>19</v>
      </c>
      <c r="K890" s="8" t="s">
        <v>33</v>
      </c>
      <c r="L890" s="11">
        <f>H890*$I$885</f>
        <v>1159.6300000000001</v>
      </c>
      <c r="M890" s="9" t="s">
        <v>31</v>
      </c>
    </row>
    <row r="891" spans="1:15" hidden="1" x14ac:dyDescent="0.25">
      <c r="A891" s="8">
        <v>85</v>
      </c>
      <c r="B891" t="str">
        <f t="shared" si="312"/>
        <v>ЩУп-1 (P1)</v>
      </c>
      <c r="C891" s="9" t="s">
        <v>34</v>
      </c>
      <c r="E891" s="9" t="s">
        <v>35</v>
      </c>
      <c r="F891" s="11">
        <f>ROUND(I891/60,1)</f>
        <v>1.1000000000000001</v>
      </c>
      <c r="G891" s="11">
        <f>Kurallar!$B$3</f>
        <v>100</v>
      </c>
      <c r="H891" s="11">
        <f>G891*I891</f>
        <v>6700</v>
      </c>
      <c r="I891" s="8">
        <f>ROUND(SUMPRODUCT(I886:I889,O886:O889)*Kurallar!$B$4,0)</f>
        <v>67</v>
      </c>
      <c r="J891" s="8" t="s">
        <v>36</v>
      </c>
      <c r="K891" s="8" t="s">
        <v>33</v>
      </c>
      <c r="L891" s="11">
        <f>H891*$I$885</f>
        <v>6700</v>
      </c>
      <c r="M891" s="9" t="s">
        <v>34</v>
      </c>
    </row>
    <row r="892" spans="1:15" hidden="1" x14ac:dyDescent="0.25">
      <c r="A892" s="12"/>
      <c r="B892" s="13" t="s">
        <v>546</v>
      </c>
      <c r="C892" s="12"/>
      <c r="D892" s="12"/>
      <c r="E892" s="13" t="s">
        <v>547</v>
      </c>
      <c r="F892" s="12"/>
      <c r="G892" s="12"/>
      <c r="H892" s="14">
        <f>SUBTOTAL(9,H886:H891)</f>
        <v>0</v>
      </c>
      <c r="I892" s="15">
        <v>1</v>
      </c>
      <c r="J892" s="15" t="s">
        <v>19</v>
      </c>
      <c r="K892" s="12"/>
      <c r="L892" s="14">
        <f>SUBTOTAL(9,L886:L891)</f>
        <v>0</v>
      </c>
      <c r="M892" s="12"/>
      <c r="N892" s="12"/>
      <c r="O892" s="12"/>
    </row>
    <row r="893" spans="1:15" x14ac:dyDescent="0.25">
      <c r="A893" s="4">
        <v>86</v>
      </c>
      <c r="B893" s="5" t="s">
        <v>548</v>
      </c>
      <c r="C893" s="6" t="s">
        <v>18</v>
      </c>
      <c r="D893" s="6"/>
      <c r="E893" s="7" t="s">
        <v>548</v>
      </c>
      <c r="F893" s="6"/>
      <c r="G893" s="6"/>
      <c r="H893" s="6"/>
      <c r="I893" s="4">
        <v>1</v>
      </c>
      <c r="J893" s="4" t="s">
        <v>19</v>
      </c>
      <c r="K893" s="6"/>
      <c r="L893" s="6"/>
      <c r="M893" s="6"/>
      <c r="N893" s="6"/>
      <c r="O893" s="6"/>
    </row>
    <row r="894" spans="1:15" x14ac:dyDescent="0.25">
      <c r="A894" s="8">
        <v>86</v>
      </c>
      <c r="B894" s="9" t="str">
        <f t="shared" ref="B894:B899" si="315">B893</f>
        <v>ЩР-АВР(ПР11-3067-54 У1) (P1)</v>
      </c>
      <c r="C894" s="9" t="s">
        <v>20</v>
      </c>
      <c r="D894" s="9" t="s">
        <v>549</v>
      </c>
      <c r="E894" s="10" t="s">
        <v>550</v>
      </c>
      <c r="F894" s="11">
        <v>30540</v>
      </c>
      <c r="G894" s="11">
        <f>IF(F894="","",ROUND(F894*VLOOKUP(K894,Kurallar!$D$3:$E$14,2,0),2))</f>
        <v>18324</v>
      </c>
      <c r="H894" s="11">
        <f t="shared" ref="H894" si="316">IF(G894="","",G894*I894)</f>
        <v>18324</v>
      </c>
      <c r="I894" s="8">
        <v>1</v>
      </c>
      <c r="J894" s="8" t="s">
        <v>23</v>
      </c>
      <c r="K894" s="8" t="s">
        <v>24</v>
      </c>
      <c r="L894" s="11">
        <f t="shared" ref="L894" si="317">IF(H894="","",H894*$I$181)</f>
        <v>18324</v>
      </c>
      <c r="M894" s="9" t="s">
        <v>20</v>
      </c>
      <c r="N894" s="8" t="s">
        <v>75</v>
      </c>
      <c r="O894" s="8">
        <f>IFERROR(VLOOKUP(N894,Kurallar!$G$3:$H$22,2,0),0)</f>
        <v>30</v>
      </c>
    </row>
    <row r="895" spans="1:15" x14ac:dyDescent="0.25">
      <c r="A895" s="8">
        <v>86</v>
      </c>
      <c r="B895" s="9" t="str">
        <f t="shared" si="315"/>
        <v>ЩР-АВР(ПР11-3067-54 У1) (P1)</v>
      </c>
      <c r="C895" s="9" t="s">
        <v>145</v>
      </c>
      <c r="D895" s="9" t="s">
        <v>293</v>
      </c>
      <c r="E895" s="10" t="s">
        <v>294</v>
      </c>
      <c r="F895" s="11">
        <v>19443</v>
      </c>
      <c r="G895" s="11">
        <f>IF(F895="","",ROUND(F895*VLOOKUP(K895,Kurallar!$D$3:$E$14,2,0),2))</f>
        <v>11665.8</v>
      </c>
      <c r="H895" s="11">
        <f>IF(G895="","",G895*I895)</f>
        <v>23331.599999999999</v>
      </c>
      <c r="I895" s="8">
        <v>2</v>
      </c>
      <c r="J895" s="8" t="s">
        <v>23</v>
      </c>
      <c r="K895" s="8" t="s">
        <v>29</v>
      </c>
      <c r="L895" s="11">
        <f>IF(H895="","",H895*$I$893)</f>
        <v>23331.599999999999</v>
      </c>
      <c r="M895" s="9" t="s">
        <v>145</v>
      </c>
      <c r="N895" s="8" t="s">
        <v>148</v>
      </c>
      <c r="O895" s="8">
        <f>IFERROR(VLOOKUP(N895,Kurallar!$G$3:$H$22,2,0),0)</f>
        <v>35</v>
      </c>
    </row>
    <row r="896" spans="1:15" x14ac:dyDescent="0.25">
      <c r="A896" s="8">
        <v>86</v>
      </c>
      <c r="B896" s="9" t="str">
        <f t="shared" si="315"/>
        <v>ЩР-АВР(ПР11-3067-54 У1) (P1)</v>
      </c>
      <c r="C896" s="9" t="s">
        <v>145</v>
      </c>
      <c r="D896" s="9" t="s">
        <v>508</v>
      </c>
      <c r="E896" s="10" t="s">
        <v>509</v>
      </c>
      <c r="F896" s="11">
        <v>19700</v>
      </c>
      <c r="G896" s="11">
        <f>IF(F896="","",ROUND(F896*VLOOKUP(K896,Kurallar!$D$3:$E$14,2,0),2))</f>
        <v>11820</v>
      </c>
      <c r="H896" s="11">
        <f>IF(G896="","",G896*I896)</f>
        <v>11820</v>
      </c>
      <c r="I896" s="8">
        <v>1</v>
      </c>
      <c r="J896" s="8" t="s">
        <v>23</v>
      </c>
      <c r="K896" s="8" t="s">
        <v>29</v>
      </c>
      <c r="L896" s="11">
        <f>IF(H896="","",H896*$I$893)</f>
        <v>11820</v>
      </c>
      <c r="M896" s="9" t="s">
        <v>145</v>
      </c>
      <c r="N896" s="8" t="s">
        <v>148</v>
      </c>
      <c r="O896" s="8">
        <f>IFERROR(VLOOKUP(N896,Kurallar!$G$3:$H$22,2,0),0)</f>
        <v>35</v>
      </c>
    </row>
    <row r="897" spans="1:15" x14ac:dyDescent="0.25">
      <c r="A897" s="8">
        <v>86</v>
      </c>
      <c r="B897" s="9" t="str">
        <f t="shared" si="315"/>
        <v>ЩР-АВР(ПР11-3067-54 У1) (P1)</v>
      </c>
      <c r="C897" s="9" t="s">
        <v>145</v>
      </c>
      <c r="D897" s="9" t="s">
        <v>506</v>
      </c>
      <c r="E897" s="10" t="s">
        <v>507</v>
      </c>
      <c r="F897" s="11">
        <v>18139</v>
      </c>
      <c r="G897" s="11">
        <f>IF(F897="","",ROUND(F897*VLOOKUP(K897,Kurallar!$D$3:$E$14,2,0),2))</f>
        <v>10883.4</v>
      </c>
      <c r="H897" s="11">
        <f>IF(G897="","",G897*I897)</f>
        <v>43533.599999999999</v>
      </c>
      <c r="I897" s="8">
        <v>4</v>
      </c>
      <c r="J897" s="8" t="s">
        <v>23</v>
      </c>
      <c r="K897" s="8" t="s">
        <v>29</v>
      </c>
      <c r="L897" s="11">
        <f>IF(H897="","",H897*$I$893)</f>
        <v>43533.599999999999</v>
      </c>
      <c r="M897" s="9" t="s">
        <v>145</v>
      </c>
      <c r="N897" s="8" t="s">
        <v>148</v>
      </c>
      <c r="O897" s="8">
        <f>IFERROR(VLOOKUP(N897,Kurallar!$G$3:$H$22,2,0),0)</f>
        <v>35</v>
      </c>
    </row>
    <row r="898" spans="1:15" x14ac:dyDescent="0.25">
      <c r="A898" s="8">
        <v>86</v>
      </c>
      <c r="B898" s="9" t="str">
        <f t="shared" si="315"/>
        <v>ЩР-АВР(ПР11-3067-54 У1) (P1)</v>
      </c>
      <c r="C898" s="9" t="s">
        <v>31</v>
      </c>
      <c r="E898" s="9" t="s">
        <v>32</v>
      </c>
      <c r="F898" s="11"/>
      <c r="G898" s="11">
        <f>ROUND(SUM(H894:H897)*Kurallar!$B$2,2)</f>
        <v>11641.1</v>
      </c>
      <c r="H898" s="11">
        <f>G898*I898</f>
        <v>11641.1</v>
      </c>
      <c r="I898" s="8">
        <v>1</v>
      </c>
      <c r="J898" s="8" t="s">
        <v>19</v>
      </c>
      <c r="K898" s="8" t="s">
        <v>33</v>
      </c>
      <c r="L898" s="11">
        <f>H898*$I$893</f>
        <v>11641.1</v>
      </c>
      <c r="M898" s="9" t="s">
        <v>31</v>
      </c>
    </row>
    <row r="899" spans="1:15" x14ac:dyDescent="0.25">
      <c r="A899" s="8">
        <v>86</v>
      </c>
      <c r="B899" s="9" t="str">
        <f t="shared" si="315"/>
        <v>ЩР-АВР(ПР11-3067-54 У1) (P1)</v>
      </c>
      <c r="C899" s="9" t="s">
        <v>34</v>
      </c>
      <c r="E899" s="9" t="s">
        <v>35</v>
      </c>
      <c r="F899" s="11">
        <f>ROUND(I899/60,1)</f>
        <v>5.3</v>
      </c>
      <c r="G899" s="11">
        <f>Kurallar!$B$3</f>
        <v>100</v>
      </c>
      <c r="H899" s="11">
        <f>G899*I899</f>
        <v>31600</v>
      </c>
      <c r="I899" s="8">
        <f>ROUND(SUMPRODUCT(I894:I897,O894:O897)*Kurallar!$B$4,0)</f>
        <v>316</v>
      </c>
      <c r="J899" s="8" t="s">
        <v>36</v>
      </c>
      <c r="K899" s="8" t="s">
        <v>33</v>
      </c>
      <c r="L899" s="11">
        <f>H899*$I$893</f>
        <v>31600</v>
      </c>
      <c r="M899" s="9" t="s">
        <v>34</v>
      </c>
    </row>
    <row r="900" spans="1:15" x14ac:dyDescent="0.25">
      <c r="A900" s="12"/>
      <c r="B900" s="13" t="s">
        <v>551</v>
      </c>
      <c r="C900" s="12"/>
      <c r="D900" s="12"/>
      <c r="E900" s="13" t="s">
        <v>552</v>
      </c>
      <c r="F900" s="12"/>
      <c r="G900" s="12"/>
      <c r="H900" s="14">
        <f>SUBTOTAL(9,H894:H899)</f>
        <v>140250.29999999999</v>
      </c>
      <c r="I900" s="15">
        <v>1</v>
      </c>
      <c r="J900" s="15" t="s">
        <v>19</v>
      </c>
      <c r="K900" s="12"/>
      <c r="L900" s="14">
        <f>SUBTOTAL(9,L894:L899)</f>
        <v>140250.29999999999</v>
      </c>
      <c r="M900" s="12"/>
      <c r="N900" s="12"/>
      <c r="O900" s="12"/>
    </row>
    <row r="901" spans="1:15" hidden="1" x14ac:dyDescent="0.25">
      <c r="A901" s="4">
        <v>87</v>
      </c>
      <c r="B901" s="5" t="s">
        <v>553</v>
      </c>
      <c r="C901" s="6" t="s">
        <v>18</v>
      </c>
      <c r="D901" s="6"/>
      <c r="E901" s="7" t="s">
        <v>553</v>
      </c>
      <c r="F901" s="6"/>
      <c r="G901" s="6"/>
      <c r="H901" s="6"/>
      <c r="I901" s="4">
        <v>1</v>
      </c>
      <c r="J901" s="4" t="s">
        <v>19</v>
      </c>
      <c r="K901" s="6"/>
      <c r="L901" s="6"/>
      <c r="M901" s="6"/>
      <c r="N901" s="6"/>
      <c r="O901" s="6"/>
    </row>
    <row r="902" spans="1:15" hidden="1" x14ac:dyDescent="0.25">
      <c r="A902" s="8">
        <v>87</v>
      </c>
      <c r="B902" s="9" t="str">
        <f t="shared" ref="B902:B907" si="318">B901</f>
        <v>ЩС-Р (P1)</v>
      </c>
      <c r="C902" s="9" t="s">
        <v>20</v>
      </c>
      <c r="D902" s="9" t="s">
        <v>554</v>
      </c>
      <c r="E902" s="10" t="s">
        <v>555</v>
      </c>
      <c r="F902" s="11">
        <v>15140</v>
      </c>
      <c r="G902" s="11">
        <f>IF(F902="","",ROUND(F902*VLOOKUP(K902,Kurallar!$D$3:$E$14,2,0),2))</f>
        <v>9084</v>
      </c>
      <c r="H902" s="11">
        <f t="shared" ref="H902" si="319">IF(G902="","",G902*I902)</f>
        <v>9084</v>
      </c>
      <c r="I902" s="8">
        <v>1</v>
      </c>
      <c r="J902" s="8" t="s">
        <v>23</v>
      </c>
      <c r="K902" s="8" t="s">
        <v>24</v>
      </c>
      <c r="L902" s="11">
        <f t="shared" ref="L902" si="320">IF(H902="","",H902*$I$181)</f>
        <v>9084</v>
      </c>
      <c r="M902" s="9" t="s">
        <v>20</v>
      </c>
      <c r="N902" s="8" t="s">
        <v>25</v>
      </c>
      <c r="O902" s="8">
        <f>IFERROR(VLOOKUP(N902,Kurallar!$G$3:$H$22,2,0),0)</f>
        <v>8</v>
      </c>
    </row>
    <row r="903" spans="1:15" hidden="1" x14ac:dyDescent="0.25">
      <c r="A903" s="8">
        <v>87</v>
      </c>
      <c r="B903" s="9" t="str">
        <f t="shared" si="318"/>
        <v>ЩС-Р (P1)</v>
      </c>
      <c r="C903" s="9" t="s">
        <v>26</v>
      </c>
      <c r="D903" s="9" t="s">
        <v>80</v>
      </c>
      <c r="E903" s="10" t="s">
        <v>81</v>
      </c>
      <c r="F903" s="11">
        <v>3372</v>
      </c>
      <c r="G903" s="11">
        <f>IF(F903="","",ROUND(F903*VLOOKUP(K903,Kurallar!$D$3:$E$14,2,0),2))</f>
        <v>2023.2</v>
      </c>
      <c r="H903" s="11">
        <f>IF(G903="","",G903*I903)</f>
        <v>2023.2</v>
      </c>
      <c r="I903" s="8">
        <v>1</v>
      </c>
      <c r="J903" s="8" t="s">
        <v>23</v>
      </c>
      <c r="K903" s="8" t="s">
        <v>29</v>
      </c>
      <c r="L903" s="11">
        <f>IF(H903="","",H903*$I$901)</f>
        <v>2023.2</v>
      </c>
      <c r="M903" s="9" t="s">
        <v>26</v>
      </c>
      <c r="N903" s="8" t="s">
        <v>42</v>
      </c>
      <c r="O903" s="8">
        <f>IFERROR(VLOOKUP(N903,Kurallar!$G$3:$H$22,2,0),0)</f>
        <v>15</v>
      </c>
    </row>
    <row r="904" spans="1:15" hidden="1" x14ac:dyDescent="0.25">
      <c r="A904" s="8">
        <v>87</v>
      </c>
      <c r="B904" s="9" t="str">
        <f t="shared" si="318"/>
        <v>ЩС-Р (P1)</v>
      </c>
      <c r="C904" s="9" t="s">
        <v>50</v>
      </c>
      <c r="D904" s="9" t="s">
        <v>556</v>
      </c>
      <c r="E904" s="10" t="s">
        <v>557</v>
      </c>
      <c r="F904" s="11">
        <v>5069</v>
      </c>
      <c r="G904" s="11">
        <f>IF(F904="","",ROUND(F904*VLOOKUP(K904,Kurallar!$D$3:$E$14,2,0),2))</f>
        <v>3041.4</v>
      </c>
      <c r="H904" s="11">
        <f>IF(G904="","",G904*I904)</f>
        <v>12165.6</v>
      </c>
      <c r="I904" s="8">
        <v>4</v>
      </c>
      <c r="J904" s="8" t="s">
        <v>23</v>
      </c>
      <c r="K904" s="8" t="s">
        <v>29</v>
      </c>
      <c r="L904" s="11">
        <f>IF(H904="","",H904*$I$901)</f>
        <v>12165.6</v>
      </c>
      <c r="M904" s="9" t="s">
        <v>50</v>
      </c>
      <c r="N904" s="8" t="s">
        <v>53</v>
      </c>
      <c r="O904" s="8">
        <f>IFERROR(VLOOKUP(N904,Kurallar!$G$3:$H$22,2,0),0)</f>
        <v>16</v>
      </c>
    </row>
    <row r="905" spans="1:15" hidden="1" x14ac:dyDescent="0.25">
      <c r="A905" s="8">
        <v>87</v>
      </c>
      <c r="B905" s="9" t="str">
        <f t="shared" si="318"/>
        <v>ЩС-Р (P1)</v>
      </c>
      <c r="C905" s="9" t="s">
        <v>50</v>
      </c>
      <c r="D905" s="9" t="s">
        <v>274</v>
      </c>
      <c r="E905" s="10" t="s">
        <v>275</v>
      </c>
      <c r="F905" s="11">
        <v>5104</v>
      </c>
      <c r="G905" s="11">
        <f>IF(F905="","",ROUND(F905*VLOOKUP(K905,Kurallar!$D$3:$E$14,2,0),2))</f>
        <v>3062.4</v>
      </c>
      <c r="H905" s="11">
        <f>IF(G905="","",G905*I905)</f>
        <v>18374.400000000001</v>
      </c>
      <c r="I905" s="8">
        <v>6</v>
      </c>
      <c r="J905" s="8" t="s">
        <v>23</v>
      </c>
      <c r="K905" s="8" t="s">
        <v>29</v>
      </c>
      <c r="L905" s="11">
        <f>IF(H905="","",H905*$I$901)</f>
        <v>18374.400000000001</v>
      </c>
      <c r="M905" s="9" t="s">
        <v>50</v>
      </c>
      <c r="N905" s="8" t="s">
        <v>53</v>
      </c>
      <c r="O905" s="8">
        <f>IFERROR(VLOOKUP(N905,Kurallar!$G$3:$H$22,2,0),0)</f>
        <v>16</v>
      </c>
    </row>
    <row r="906" spans="1:15" hidden="1" x14ac:dyDescent="0.25">
      <c r="A906" s="8">
        <v>87</v>
      </c>
      <c r="B906" t="str">
        <f t="shared" si="318"/>
        <v>ЩС-Р (P1)</v>
      </c>
      <c r="C906" s="9" t="s">
        <v>31</v>
      </c>
      <c r="E906" s="9" t="s">
        <v>32</v>
      </c>
      <c r="F906" s="11"/>
      <c r="G906" s="11">
        <f>ROUND(SUM(H902:H905)*Kurallar!$B$2,2)</f>
        <v>4997.66</v>
      </c>
      <c r="H906" s="11">
        <f>G906*I906</f>
        <v>4997.66</v>
      </c>
      <c r="I906" s="8">
        <v>1</v>
      </c>
      <c r="J906" s="8" t="s">
        <v>19</v>
      </c>
      <c r="K906" s="8" t="s">
        <v>33</v>
      </c>
      <c r="L906" s="11">
        <f>H906*$I$901</f>
        <v>4997.66</v>
      </c>
      <c r="M906" s="9" t="s">
        <v>31</v>
      </c>
    </row>
    <row r="907" spans="1:15" hidden="1" x14ac:dyDescent="0.25">
      <c r="A907" s="8">
        <v>87</v>
      </c>
      <c r="B907" t="str">
        <f t="shared" si="318"/>
        <v>ЩС-Р (P1)</v>
      </c>
      <c r="C907" s="9" t="s">
        <v>34</v>
      </c>
      <c r="E907" s="9" t="s">
        <v>35</v>
      </c>
      <c r="F907" s="11">
        <f>ROUND(I907/60,1)</f>
        <v>3.5</v>
      </c>
      <c r="G907" s="11">
        <f>Kurallar!$B$3</f>
        <v>100</v>
      </c>
      <c r="H907" s="11">
        <f>G907*I907</f>
        <v>21000</v>
      </c>
      <c r="I907" s="8">
        <f>ROUND(SUMPRODUCT(I902:I905,O902:O905)*Kurallar!$B$4,0)</f>
        <v>210</v>
      </c>
      <c r="J907" s="8" t="s">
        <v>36</v>
      </c>
      <c r="K907" s="8" t="s">
        <v>33</v>
      </c>
      <c r="L907" s="11">
        <f>H907*$I$901</f>
        <v>21000</v>
      </c>
      <c r="M907" s="9" t="s">
        <v>34</v>
      </c>
    </row>
    <row r="908" spans="1:15" hidden="1" x14ac:dyDescent="0.25">
      <c r="A908" s="12"/>
      <c r="B908" s="13" t="s">
        <v>558</v>
      </c>
      <c r="C908" s="12"/>
      <c r="D908" s="12"/>
      <c r="E908" s="13" t="s">
        <v>559</v>
      </c>
      <c r="F908" s="12"/>
      <c r="G908" s="12"/>
      <c r="H908" s="14">
        <f>SUBTOTAL(9,H902:H907)</f>
        <v>0</v>
      </c>
      <c r="I908" s="15">
        <v>1</v>
      </c>
      <c r="J908" s="15" t="s">
        <v>19</v>
      </c>
      <c r="K908" s="12"/>
      <c r="L908" s="14">
        <f>SUBTOTAL(9,L902:L907)</f>
        <v>0</v>
      </c>
      <c r="M908" s="12"/>
      <c r="N908" s="12"/>
      <c r="O908" s="12"/>
    </row>
    <row r="909" spans="1:15" hidden="1" x14ac:dyDescent="0.25">
      <c r="A909" s="4">
        <v>88</v>
      </c>
      <c r="B909" s="5" t="s">
        <v>560</v>
      </c>
      <c r="C909" s="6" t="s">
        <v>18</v>
      </c>
      <c r="D909" s="6"/>
      <c r="E909" s="7" t="s">
        <v>560</v>
      </c>
      <c r="F909" s="6"/>
      <c r="G909" s="6"/>
      <c r="H909" s="6"/>
      <c r="I909" s="4">
        <v>1</v>
      </c>
      <c r="J909" s="4" t="s">
        <v>19</v>
      </c>
      <c r="K909" s="6"/>
      <c r="L909" s="6"/>
      <c r="M909" s="6"/>
      <c r="N909" s="6"/>
      <c r="O909" s="6"/>
    </row>
    <row r="910" spans="1:15" hidden="1" x14ac:dyDescent="0.25">
      <c r="A910" s="8">
        <v>88</v>
      </c>
      <c r="B910" s="9" t="str">
        <f t="shared" ref="B910:B915" si="321">B909</f>
        <v>ЩС-1 (P1)</v>
      </c>
      <c r="C910" s="9" t="s">
        <v>20</v>
      </c>
      <c r="D910" s="9" t="s">
        <v>153</v>
      </c>
      <c r="E910" s="10" t="s">
        <v>154</v>
      </c>
      <c r="F910" s="11">
        <v>10270</v>
      </c>
      <c r="G910" s="11">
        <f>IF(F910="","",ROUND(F910*VLOOKUP(K910,Kurallar!$D$3:$E$14,2,0),2))</f>
        <v>6162</v>
      </c>
      <c r="H910" s="11">
        <f t="shared" ref="H910" si="322">IF(G910="","",G910*I910)</f>
        <v>6162</v>
      </c>
      <c r="I910" s="8">
        <v>1</v>
      </c>
      <c r="J910" s="8" t="s">
        <v>23</v>
      </c>
      <c r="K910" s="8" t="s">
        <v>24</v>
      </c>
      <c r="L910" s="11">
        <f t="shared" ref="L910" si="323">IF(H910="","",H910*$I$181)</f>
        <v>6162</v>
      </c>
      <c r="M910" s="9" t="s">
        <v>20</v>
      </c>
      <c r="N910" s="8" t="s">
        <v>25</v>
      </c>
      <c r="O910" s="8">
        <f>IFERROR(VLOOKUP(N910,Kurallar!$G$3:$H$22,2,0),0)</f>
        <v>8</v>
      </c>
    </row>
    <row r="911" spans="1:15" hidden="1" x14ac:dyDescent="0.25">
      <c r="A911" s="8">
        <v>88</v>
      </c>
      <c r="B911" s="9" t="str">
        <f t="shared" si="321"/>
        <v>ЩС-1 (P1)</v>
      </c>
      <c r="C911" s="9" t="s">
        <v>26</v>
      </c>
      <c r="D911" s="9" t="s">
        <v>80</v>
      </c>
      <c r="E911" s="10" t="s">
        <v>81</v>
      </c>
      <c r="F911" s="11">
        <v>3372</v>
      </c>
      <c r="G911" s="11">
        <f>IF(F911="","",ROUND(F911*VLOOKUP(K911,Kurallar!$D$3:$E$14,2,0),2))</f>
        <v>2023.2</v>
      </c>
      <c r="H911" s="11">
        <f>IF(G911="","",G911*I911)</f>
        <v>2023.2</v>
      </c>
      <c r="I911" s="8">
        <v>1</v>
      </c>
      <c r="J911" s="8" t="s">
        <v>23</v>
      </c>
      <c r="K911" s="8" t="s">
        <v>29</v>
      </c>
      <c r="L911" s="11">
        <f>IF(H911="","",H911*$I$909)</f>
        <v>2023.2</v>
      </c>
      <c r="M911" s="9" t="s">
        <v>26</v>
      </c>
      <c r="N911" s="8" t="s">
        <v>42</v>
      </c>
      <c r="O911" s="8">
        <f>IFERROR(VLOOKUP(N911,Kurallar!$G$3:$H$22,2,0),0)</f>
        <v>15</v>
      </c>
    </row>
    <row r="912" spans="1:15" hidden="1" x14ac:dyDescent="0.25">
      <c r="A912" s="8">
        <v>88</v>
      </c>
      <c r="B912" s="9" t="str">
        <f t="shared" si="321"/>
        <v>ЩС-1 (P1)</v>
      </c>
      <c r="C912" s="9" t="s">
        <v>54</v>
      </c>
      <c r="D912" s="9" t="s">
        <v>165</v>
      </c>
      <c r="E912" s="10" t="s">
        <v>166</v>
      </c>
      <c r="F912" s="11">
        <v>783</v>
      </c>
      <c r="G912" s="11">
        <f>IF(F912="","",ROUND(F912*VLOOKUP(K912,Kurallar!$D$3:$E$14,2,0),2))</f>
        <v>469.8</v>
      </c>
      <c r="H912" s="11">
        <f>IF(G912="","",G912*I912)</f>
        <v>469.8</v>
      </c>
      <c r="I912" s="8">
        <v>1</v>
      </c>
      <c r="J912" s="8" t="s">
        <v>23</v>
      </c>
      <c r="K912" s="8" t="s">
        <v>29</v>
      </c>
      <c r="L912" s="11">
        <f>IF(H912="","",H912*$I$909)</f>
        <v>469.8</v>
      </c>
      <c r="M912" s="9" t="s">
        <v>54</v>
      </c>
      <c r="N912" s="8" t="s">
        <v>57</v>
      </c>
      <c r="O912" s="8">
        <f>IFERROR(VLOOKUP(N912,Kurallar!$G$3:$H$22,2,0),0)</f>
        <v>3</v>
      </c>
    </row>
    <row r="913" spans="1:15" hidden="1" x14ac:dyDescent="0.25">
      <c r="A913" s="8">
        <v>88</v>
      </c>
      <c r="B913" s="9" t="str">
        <f t="shared" si="321"/>
        <v>ЩС-1 (P1)</v>
      </c>
      <c r="C913" s="9" t="s">
        <v>50</v>
      </c>
      <c r="D913" s="9" t="s">
        <v>274</v>
      </c>
      <c r="E913" s="10" t="s">
        <v>275</v>
      </c>
      <c r="F913" s="11">
        <v>5104</v>
      </c>
      <c r="G913" s="11">
        <f>IF(F913="","",ROUND(F913*VLOOKUP(K913,Kurallar!$D$3:$E$14,2,0),2))</f>
        <v>3062.4</v>
      </c>
      <c r="H913" s="11">
        <f>IF(G913="","",G913*I913)</f>
        <v>6124.8</v>
      </c>
      <c r="I913" s="8">
        <v>2</v>
      </c>
      <c r="J913" s="8" t="s">
        <v>23</v>
      </c>
      <c r="K913" s="8" t="s">
        <v>29</v>
      </c>
      <c r="L913" s="11">
        <f>IF(H913="","",H913*$I$909)</f>
        <v>6124.8</v>
      </c>
      <c r="M913" s="9" t="s">
        <v>50</v>
      </c>
      <c r="N913" s="8" t="s">
        <v>53</v>
      </c>
      <c r="O913" s="8">
        <f>IFERROR(VLOOKUP(N913,Kurallar!$G$3:$H$22,2,0),0)</f>
        <v>16</v>
      </c>
    </row>
    <row r="914" spans="1:15" hidden="1" x14ac:dyDescent="0.25">
      <c r="A914" s="8">
        <v>88</v>
      </c>
      <c r="B914" t="str">
        <f t="shared" si="321"/>
        <v>ЩС-1 (P1)</v>
      </c>
      <c r="C914" s="9" t="s">
        <v>31</v>
      </c>
      <c r="E914" s="9" t="s">
        <v>32</v>
      </c>
      <c r="F914" s="11"/>
      <c r="G914" s="11">
        <f>ROUND(SUM(H910:H913)*Kurallar!$B$2,2)</f>
        <v>1773.58</v>
      </c>
      <c r="H914" s="11">
        <f>G914*I914</f>
        <v>1773.58</v>
      </c>
      <c r="I914" s="8">
        <v>1</v>
      </c>
      <c r="J914" s="8" t="s">
        <v>19</v>
      </c>
      <c r="K914" s="8" t="s">
        <v>33</v>
      </c>
      <c r="L914" s="11">
        <f>H914*$I$909</f>
        <v>1773.58</v>
      </c>
      <c r="M914" s="9" t="s">
        <v>31</v>
      </c>
    </row>
    <row r="915" spans="1:15" hidden="1" x14ac:dyDescent="0.25">
      <c r="A915" s="8">
        <v>88</v>
      </c>
      <c r="B915" t="str">
        <f t="shared" si="321"/>
        <v>ЩС-1 (P1)</v>
      </c>
      <c r="C915" s="9" t="s">
        <v>34</v>
      </c>
      <c r="E915" s="9" t="s">
        <v>35</v>
      </c>
      <c r="F915" s="11">
        <f>ROUND(I915/60,1)</f>
        <v>1.1000000000000001</v>
      </c>
      <c r="G915" s="11">
        <f>Kurallar!$B$3</f>
        <v>100</v>
      </c>
      <c r="H915" s="11">
        <f>G915*I915</f>
        <v>6700</v>
      </c>
      <c r="I915" s="8">
        <f>ROUND(SUMPRODUCT(I910:I913,O910:O913)*Kurallar!$B$4,0)</f>
        <v>67</v>
      </c>
      <c r="J915" s="8" t="s">
        <v>36</v>
      </c>
      <c r="K915" s="8" t="s">
        <v>33</v>
      </c>
      <c r="L915" s="11">
        <f>H915*$I$909</f>
        <v>6700</v>
      </c>
      <c r="M915" s="9" t="s">
        <v>34</v>
      </c>
    </row>
    <row r="916" spans="1:15" hidden="1" x14ac:dyDescent="0.25">
      <c r="A916" s="12"/>
      <c r="B916" s="13" t="s">
        <v>561</v>
      </c>
      <c r="C916" s="12"/>
      <c r="D916" s="12"/>
      <c r="E916" s="13" t="s">
        <v>562</v>
      </c>
      <c r="F916" s="12"/>
      <c r="G916" s="12"/>
      <c r="H916" s="14">
        <f>SUBTOTAL(9,H910:H915)</f>
        <v>0</v>
      </c>
      <c r="I916" s="15">
        <v>1</v>
      </c>
      <c r="J916" s="15" t="s">
        <v>19</v>
      </c>
      <c r="K916" s="12"/>
      <c r="L916" s="14">
        <f>SUBTOTAL(9,L910:L915)</f>
        <v>0</v>
      </c>
      <c r="M916" s="12"/>
      <c r="N916" s="12"/>
      <c r="O916" s="12"/>
    </row>
    <row r="917" spans="1:15" hidden="1" x14ac:dyDescent="0.25">
      <c r="A917" s="4">
        <v>89</v>
      </c>
      <c r="B917" s="5" t="s">
        <v>563</v>
      </c>
      <c r="C917" s="6" t="s">
        <v>18</v>
      </c>
      <c r="D917" s="6"/>
      <c r="E917" s="7" t="s">
        <v>563</v>
      </c>
      <c r="F917" s="6"/>
      <c r="G917" s="6"/>
      <c r="H917" s="6"/>
      <c r="I917" s="4">
        <v>1</v>
      </c>
      <c r="J917" s="4" t="s">
        <v>19</v>
      </c>
      <c r="K917" s="6"/>
      <c r="L917" s="6"/>
      <c r="M917" s="6"/>
      <c r="N917" s="6"/>
      <c r="O917" s="6"/>
    </row>
    <row r="918" spans="1:15" hidden="1" x14ac:dyDescent="0.25">
      <c r="A918" s="8">
        <v>89</v>
      </c>
      <c r="B918" s="9" t="str">
        <f t="shared" ref="B918:B925" si="324">B917</f>
        <v>ЩС-CC (P1)</v>
      </c>
      <c r="C918" s="9" t="s">
        <v>20</v>
      </c>
      <c r="D918" s="9" t="s">
        <v>349</v>
      </c>
      <c r="E918" s="10" t="s">
        <v>350</v>
      </c>
      <c r="F918" s="11">
        <v>13410</v>
      </c>
      <c r="G918" s="11">
        <f>IF(F918="","",ROUND(F918*VLOOKUP(K918,Kurallar!$D$3:$E$14,2,0),2))</f>
        <v>8046</v>
      </c>
      <c r="H918" s="11">
        <f t="shared" ref="H918" si="325">IF(G918="","",G918*I918)</f>
        <v>8046</v>
      </c>
      <c r="I918" s="8">
        <v>1</v>
      </c>
      <c r="J918" s="8" t="s">
        <v>23</v>
      </c>
      <c r="K918" s="8" t="s">
        <v>24</v>
      </c>
      <c r="L918" s="11">
        <f t="shared" ref="L918" si="326">IF(H918="","",H918*$I$181)</f>
        <v>8046</v>
      </c>
      <c r="M918" s="9" t="s">
        <v>20</v>
      </c>
      <c r="N918" s="8" t="s">
        <v>25</v>
      </c>
      <c r="O918" s="8">
        <f>IFERROR(VLOOKUP(N918,Kurallar!$G$3:$H$22,2,0),0)</f>
        <v>8</v>
      </c>
    </row>
    <row r="919" spans="1:15" hidden="1" x14ac:dyDescent="0.25">
      <c r="A919" s="8">
        <v>89</v>
      </c>
      <c r="B919" s="9" t="str">
        <f t="shared" si="324"/>
        <v>ЩС-CC (P1)</v>
      </c>
      <c r="C919" s="9" t="s">
        <v>26</v>
      </c>
      <c r="D919" s="9" t="s">
        <v>80</v>
      </c>
      <c r="E919" s="10" t="s">
        <v>81</v>
      </c>
      <c r="F919" s="11">
        <v>3372</v>
      </c>
      <c r="G919" s="11">
        <f>IF(F919="","",ROUND(F919*VLOOKUP(K919,Kurallar!$D$3:$E$14,2,0),2))</f>
        <v>2023.2</v>
      </c>
      <c r="H919" s="11">
        <f t="shared" ref="H919:H923" si="327">IF(G919="","",G919*I919)</f>
        <v>2023.2</v>
      </c>
      <c r="I919" s="8">
        <v>1</v>
      </c>
      <c r="J919" s="8" t="s">
        <v>23</v>
      </c>
      <c r="K919" s="8" t="s">
        <v>29</v>
      </c>
      <c r="L919" s="11">
        <f t="shared" ref="L919:L923" si="328">IF(H919="","",H919*$I$917)</f>
        <v>2023.2</v>
      </c>
      <c r="M919" s="9" t="s">
        <v>26</v>
      </c>
      <c r="N919" s="8" t="s">
        <v>42</v>
      </c>
      <c r="O919" s="8">
        <f>IFERROR(VLOOKUP(N919,Kurallar!$G$3:$H$22,2,0),0)</f>
        <v>15</v>
      </c>
    </row>
    <row r="920" spans="1:15" hidden="1" x14ac:dyDescent="0.25">
      <c r="A920" s="8">
        <v>89</v>
      </c>
      <c r="B920" s="9" t="str">
        <f t="shared" si="324"/>
        <v>ЩС-CC (P1)</v>
      </c>
      <c r="C920" s="9" t="s">
        <v>54</v>
      </c>
      <c r="D920" s="9" t="s">
        <v>564</v>
      </c>
      <c r="E920" s="10" t="s">
        <v>565</v>
      </c>
      <c r="F920" s="11">
        <v>800</v>
      </c>
      <c r="G920" s="11">
        <f>IF(F920="","",ROUND(F920*VLOOKUP(K920,Kurallar!$D$3:$E$14,2,0),2))</f>
        <v>480</v>
      </c>
      <c r="H920" s="11">
        <f t="shared" si="327"/>
        <v>480</v>
      </c>
      <c r="I920" s="8">
        <v>1</v>
      </c>
      <c r="J920" s="8" t="s">
        <v>23</v>
      </c>
      <c r="K920" s="8" t="s">
        <v>29</v>
      </c>
      <c r="L920" s="11">
        <f t="shared" si="328"/>
        <v>480</v>
      </c>
      <c r="M920" s="9" t="s">
        <v>54</v>
      </c>
      <c r="N920" s="8" t="s">
        <v>57</v>
      </c>
      <c r="O920" s="8">
        <f>IFERROR(VLOOKUP(N920,Kurallar!$G$3:$H$22,2,0),0)</f>
        <v>3</v>
      </c>
    </row>
    <row r="921" spans="1:15" hidden="1" x14ac:dyDescent="0.25">
      <c r="A921" s="8">
        <v>89</v>
      </c>
      <c r="B921" s="9" t="str">
        <f t="shared" si="324"/>
        <v>ЩС-CC (P1)</v>
      </c>
      <c r="C921" s="9" t="s">
        <v>54</v>
      </c>
      <c r="D921" s="9" t="s">
        <v>93</v>
      </c>
      <c r="E921" s="10" t="s">
        <v>94</v>
      </c>
      <c r="F921" s="11">
        <v>783</v>
      </c>
      <c r="G921" s="11">
        <f>IF(F921="","",ROUND(F921*VLOOKUP(K921,Kurallar!$D$3:$E$14,2,0),2))</f>
        <v>469.8</v>
      </c>
      <c r="H921" s="11">
        <f t="shared" si="327"/>
        <v>1409.4</v>
      </c>
      <c r="I921" s="8">
        <v>3</v>
      </c>
      <c r="J921" s="8" t="s">
        <v>23</v>
      </c>
      <c r="K921" s="8" t="s">
        <v>29</v>
      </c>
      <c r="L921" s="11">
        <f t="shared" si="328"/>
        <v>1409.4</v>
      </c>
      <c r="M921" s="9" t="s">
        <v>54</v>
      </c>
      <c r="N921" s="8" t="s">
        <v>57</v>
      </c>
      <c r="O921" s="8">
        <f>IFERROR(VLOOKUP(N921,Kurallar!$G$3:$H$22,2,0),0)</f>
        <v>3</v>
      </c>
    </row>
    <row r="922" spans="1:15" hidden="1" x14ac:dyDescent="0.25">
      <c r="A922" s="8">
        <v>89</v>
      </c>
      <c r="B922" s="9" t="str">
        <f t="shared" si="324"/>
        <v>ЩС-CC (P1)</v>
      </c>
      <c r="C922" s="9" t="s">
        <v>54</v>
      </c>
      <c r="D922" s="9" t="s">
        <v>165</v>
      </c>
      <c r="E922" s="10" t="s">
        <v>166</v>
      </c>
      <c r="F922" s="11">
        <v>783</v>
      </c>
      <c r="G922" s="11">
        <f>IF(F922="","",ROUND(F922*VLOOKUP(K922,Kurallar!$D$3:$E$14,2,0),2))</f>
        <v>469.8</v>
      </c>
      <c r="H922" s="11">
        <f t="shared" si="327"/>
        <v>1879.2</v>
      </c>
      <c r="I922" s="8">
        <v>4</v>
      </c>
      <c r="J922" s="8" t="s">
        <v>23</v>
      </c>
      <c r="K922" s="8" t="s">
        <v>29</v>
      </c>
      <c r="L922" s="11">
        <f t="shared" si="328"/>
        <v>1879.2</v>
      </c>
      <c r="M922" s="9" t="s">
        <v>54</v>
      </c>
      <c r="N922" s="8" t="s">
        <v>57</v>
      </c>
      <c r="O922" s="8">
        <f>IFERROR(VLOOKUP(N922,Kurallar!$G$3:$H$22,2,0),0)</f>
        <v>3</v>
      </c>
    </row>
    <row r="923" spans="1:15" hidden="1" x14ac:dyDescent="0.25">
      <c r="A923" s="8">
        <v>89</v>
      </c>
      <c r="B923" s="9" t="str">
        <f t="shared" si="324"/>
        <v>ЩС-CC (P1)</v>
      </c>
      <c r="C923" s="9" t="s">
        <v>50</v>
      </c>
      <c r="D923" s="9" t="s">
        <v>566</v>
      </c>
      <c r="E923" s="10" t="s">
        <v>567</v>
      </c>
      <c r="F923" s="11">
        <v>8352</v>
      </c>
      <c r="G923" s="11">
        <f>IF(F923="","",ROUND(F923*VLOOKUP(K923,Kurallar!$D$3:$E$14,2,0),2))</f>
        <v>5011.2</v>
      </c>
      <c r="H923" s="11">
        <f t="shared" si="327"/>
        <v>5011.2</v>
      </c>
      <c r="I923" s="8">
        <v>1</v>
      </c>
      <c r="J923" s="8" t="s">
        <v>23</v>
      </c>
      <c r="K923" s="8" t="s">
        <v>29</v>
      </c>
      <c r="L923" s="11">
        <f t="shared" si="328"/>
        <v>5011.2</v>
      </c>
      <c r="M923" s="9" t="s">
        <v>50</v>
      </c>
      <c r="N923" s="8" t="s">
        <v>53</v>
      </c>
      <c r="O923" s="8">
        <f>IFERROR(VLOOKUP(N923,Kurallar!$G$3:$H$22,2,0),0)</f>
        <v>16</v>
      </c>
    </row>
    <row r="924" spans="1:15" hidden="1" x14ac:dyDescent="0.25">
      <c r="A924" s="8">
        <v>89</v>
      </c>
      <c r="B924" t="str">
        <f t="shared" si="324"/>
        <v>ЩС-CC (P1)</v>
      </c>
      <c r="C924" s="9" t="s">
        <v>31</v>
      </c>
      <c r="E924" s="9" t="s">
        <v>32</v>
      </c>
      <c r="F924" s="11"/>
      <c r="G924" s="11">
        <f>ROUND(SUM(H918:H923)*Kurallar!$B$2,2)</f>
        <v>2261.88</v>
      </c>
      <c r="H924" s="11">
        <f>G924*I924</f>
        <v>2261.88</v>
      </c>
      <c r="I924" s="8">
        <v>1</v>
      </c>
      <c r="J924" s="8" t="s">
        <v>19</v>
      </c>
      <c r="K924" s="8" t="s">
        <v>33</v>
      </c>
      <c r="L924" s="11">
        <f>H924*$I$917</f>
        <v>2261.88</v>
      </c>
      <c r="M924" s="9" t="s">
        <v>31</v>
      </c>
    </row>
    <row r="925" spans="1:15" hidden="1" x14ac:dyDescent="0.25">
      <c r="A925" s="8">
        <v>89</v>
      </c>
      <c r="B925" t="str">
        <f t="shared" si="324"/>
        <v>ЩС-CC (P1)</v>
      </c>
      <c r="C925" s="9" t="s">
        <v>34</v>
      </c>
      <c r="E925" s="9" t="s">
        <v>35</v>
      </c>
      <c r="F925" s="11">
        <f>ROUND(I925/60,1)</f>
        <v>1.2</v>
      </c>
      <c r="G925" s="11">
        <f>Kurallar!$B$3</f>
        <v>100</v>
      </c>
      <c r="H925" s="11">
        <f>G925*I925</f>
        <v>7200</v>
      </c>
      <c r="I925" s="8">
        <f>ROUND(SUMPRODUCT(I918:I923,O918:O923)*Kurallar!$B$4,0)</f>
        <v>72</v>
      </c>
      <c r="J925" s="8" t="s">
        <v>36</v>
      </c>
      <c r="K925" s="8" t="s">
        <v>33</v>
      </c>
      <c r="L925" s="11">
        <f>H925*$I$917</f>
        <v>7200</v>
      </c>
      <c r="M925" s="9" t="s">
        <v>34</v>
      </c>
    </row>
    <row r="926" spans="1:15" hidden="1" x14ac:dyDescent="0.25">
      <c r="A926" s="12"/>
      <c r="B926" s="13" t="s">
        <v>568</v>
      </c>
      <c r="C926" s="12"/>
      <c r="D926" s="12"/>
      <c r="E926" s="13" t="s">
        <v>569</v>
      </c>
      <c r="F926" s="12"/>
      <c r="G926" s="12"/>
      <c r="H926" s="14">
        <f>SUBTOTAL(9,H918:H925)</f>
        <v>0</v>
      </c>
      <c r="I926" s="15">
        <v>1</v>
      </c>
      <c r="J926" s="15" t="s">
        <v>19</v>
      </c>
      <c r="K926" s="12"/>
      <c r="L926" s="14">
        <f>SUBTOTAL(9,L918:L925)</f>
        <v>0</v>
      </c>
      <c r="M926" s="12"/>
      <c r="N926" s="12"/>
      <c r="O926" s="12"/>
    </row>
    <row r="927" spans="1:15" hidden="1" x14ac:dyDescent="0.25">
      <c r="A927" s="4">
        <v>90</v>
      </c>
      <c r="B927" s="5" t="s">
        <v>570</v>
      </c>
      <c r="C927" s="6" t="s">
        <v>18</v>
      </c>
      <c r="D927" s="6"/>
      <c r="E927" s="7" t="s">
        <v>570</v>
      </c>
      <c r="F927" s="6"/>
      <c r="G927" s="6"/>
      <c r="H927" s="6"/>
      <c r="I927" s="4">
        <v>1</v>
      </c>
      <c r="J927" s="4" t="s">
        <v>19</v>
      </c>
      <c r="K927" s="6"/>
      <c r="L927" s="6"/>
      <c r="M927" s="6"/>
      <c r="N927" s="6"/>
      <c r="O927" s="6"/>
    </row>
    <row r="928" spans="1:15" hidden="1" x14ac:dyDescent="0.25">
      <c r="A928" s="8">
        <v>90</v>
      </c>
      <c r="B928" s="9" t="str">
        <f t="shared" ref="B928:B936" si="329">B927</f>
        <v>ЩОВ_P1</v>
      </c>
      <c r="C928" s="9" t="s">
        <v>20</v>
      </c>
      <c r="D928" s="9" t="s">
        <v>46</v>
      </c>
      <c r="E928" s="10" t="s">
        <v>47</v>
      </c>
      <c r="F928" s="11">
        <v>9620</v>
      </c>
      <c r="G928" s="11">
        <f>IF(F928="","",ROUND(F928*VLOOKUP(K928,Kurallar!$D$3:$E$14,2,0),2))</f>
        <v>5772</v>
      </c>
      <c r="H928" s="11">
        <f t="shared" ref="H928" si="330">IF(G928="","",G928*I928)</f>
        <v>5772</v>
      </c>
      <c r="I928" s="8">
        <v>1</v>
      </c>
      <c r="J928" s="8" t="s">
        <v>23</v>
      </c>
      <c r="K928" s="8" t="s">
        <v>24</v>
      </c>
      <c r="L928" s="11">
        <f t="shared" ref="L928" si="331">IF(H928="","",H928*$I$181)</f>
        <v>5772</v>
      </c>
      <c r="M928" s="9" t="s">
        <v>20</v>
      </c>
      <c r="N928" s="8" t="s">
        <v>25</v>
      </c>
      <c r="O928" s="8">
        <f>IFERROR(VLOOKUP(N928,Kurallar!$G$3:$H$22,2,0),0)</f>
        <v>8</v>
      </c>
    </row>
    <row r="929" spans="1:15" hidden="1" x14ac:dyDescent="0.25">
      <c r="A929" s="8">
        <v>90</v>
      </c>
      <c r="B929" s="9" t="str">
        <f t="shared" si="329"/>
        <v>ЩОВ_P1</v>
      </c>
      <c r="C929" s="9" t="s">
        <v>26</v>
      </c>
      <c r="D929" s="9" t="s">
        <v>80</v>
      </c>
      <c r="E929" s="10" t="s">
        <v>81</v>
      </c>
      <c r="F929" s="11">
        <v>3372</v>
      </c>
      <c r="G929" s="11">
        <f>IF(F929="","",ROUND(F929*VLOOKUP(K929,Kurallar!$D$3:$E$14,2,0),2))</f>
        <v>2023.2</v>
      </c>
      <c r="H929" s="11">
        <f t="shared" ref="H929:H934" si="332">IF(G929="","",G929*I929)</f>
        <v>2023.2</v>
      </c>
      <c r="I929" s="8">
        <v>1</v>
      </c>
      <c r="J929" s="8" t="s">
        <v>23</v>
      </c>
      <c r="K929" s="8" t="s">
        <v>29</v>
      </c>
      <c r="L929" s="11">
        <f t="shared" ref="L929:L934" si="333">IF(H929="","",H929*$I$927)</f>
        <v>2023.2</v>
      </c>
      <c r="M929" s="9" t="s">
        <v>26</v>
      </c>
      <c r="N929" s="8" t="s">
        <v>42</v>
      </c>
      <c r="O929" s="8">
        <f>IFERROR(VLOOKUP(N929,Kurallar!$G$3:$H$22,2,0),0)</f>
        <v>15</v>
      </c>
    </row>
    <row r="930" spans="1:15" hidden="1" x14ac:dyDescent="0.25">
      <c r="A930" s="8">
        <v>90</v>
      </c>
      <c r="B930" s="9" t="str">
        <f t="shared" si="329"/>
        <v>ЩОВ_P1</v>
      </c>
      <c r="C930" s="9" t="s">
        <v>50</v>
      </c>
      <c r="D930" s="9" t="s">
        <v>274</v>
      </c>
      <c r="E930" s="10" t="s">
        <v>275</v>
      </c>
      <c r="F930" s="11">
        <v>5104</v>
      </c>
      <c r="G930" s="11">
        <f>IF(F930="","",ROUND(F930*VLOOKUP(K930,Kurallar!$D$3:$E$14,2,0),2))</f>
        <v>3062.4</v>
      </c>
      <c r="H930" s="11">
        <f t="shared" si="332"/>
        <v>6124.8</v>
      </c>
      <c r="I930" s="8">
        <v>2</v>
      </c>
      <c r="J930" s="8" t="s">
        <v>23</v>
      </c>
      <c r="K930" s="8" t="s">
        <v>29</v>
      </c>
      <c r="L930" s="11">
        <f t="shared" si="333"/>
        <v>6124.8</v>
      </c>
      <c r="M930" s="9" t="s">
        <v>50</v>
      </c>
      <c r="N930" s="8" t="s">
        <v>53</v>
      </c>
      <c r="O930" s="8">
        <f>IFERROR(VLOOKUP(N930,Kurallar!$G$3:$H$22,2,0),0)</f>
        <v>16</v>
      </c>
    </row>
    <row r="931" spans="1:15" hidden="1" x14ac:dyDescent="0.25">
      <c r="A931" s="8">
        <v>90</v>
      </c>
      <c r="B931" s="9" t="str">
        <f t="shared" si="329"/>
        <v>ЩОВ_P1</v>
      </c>
      <c r="C931" s="9" t="s">
        <v>54</v>
      </c>
      <c r="D931" s="9" t="s">
        <v>55</v>
      </c>
      <c r="E931" s="10" t="s">
        <v>56</v>
      </c>
      <c r="F931" s="11">
        <v>975</v>
      </c>
      <c r="G931" s="11">
        <f>IF(F931="","",ROUND(F931*VLOOKUP(K931,Kurallar!$D$3:$E$14,2,0),2))</f>
        <v>585</v>
      </c>
      <c r="H931" s="11">
        <f t="shared" si="332"/>
        <v>585</v>
      </c>
      <c r="I931" s="8">
        <v>1</v>
      </c>
      <c r="J931" s="8" t="s">
        <v>23</v>
      </c>
      <c r="K931" s="8" t="s">
        <v>29</v>
      </c>
      <c r="L931" s="11">
        <f t="shared" si="333"/>
        <v>585</v>
      </c>
      <c r="M931" s="9" t="s">
        <v>54</v>
      </c>
      <c r="N931" s="8" t="s">
        <v>57</v>
      </c>
      <c r="O931" s="8">
        <f>IFERROR(VLOOKUP(N931,Kurallar!$G$3:$H$22,2,0),0)</f>
        <v>3</v>
      </c>
    </row>
    <row r="932" spans="1:15" hidden="1" x14ac:dyDescent="0.25">
      <c r="A932" s="8">
        <v>90</v>
      </c>
      <c r="B932" s="9" t="str">
        <f t="shared" si="329"/>
        <v>ЩОВ_P1</v>
      </c>
      <c r="C932" s="9" t="s">
        <v>58</v>
      </c>
      <c r="D932" s="9" t="s">
        <v>276</v>
      </c>
      <c r="E932" s="10" t="s">
        <v>277</v>
      </c>
      <c r="F932" s="11">
        <v>6145</v>
      </c>
      <c r="G932" s="11">
        <f>IF(F932="","",ROUND(F932*VLOOKUP(K932,Kurallar!$D$3:$E$14,2,0),2))</f>
        <v>3687</v>
      </c>
      <c r="H932" s="11">
        <f t="shared" si="332"/>
        <v>3687</v>
      </c>
      <c r="I932" s="8">
        <v>1</v>
      </c>
      <c r="J932" s="8" t="s">
        <v>23</v>
      </c>
      <c r="K932" s="8" t="s">
        <v>29</v>
      </c>
      <c r="L932" s="11">
        <f t="shared" si="333"/>
        <v>3687</v>
      </c>
      <c r="M932" s="9" t="s">
        <v>58</v>
      </c>
      <c r="N932" s="8" t="s">
        <v>61</v>
      </c>
      <c r="O932" s="8">
        <f>IFERROR(VLOOKUP(N932,Kurallar!$G$3:$H$22,2,0),0)</f>
        <v>15</v>
      </c>
    </row>
    <row r="933" spans="1:15" hidden="1" x14ac:dyDescent="0.25">
      <c r="A933" s="8">
        <v>90</v>
      </c>
      <c r="B933" s="9" t="str">
        <f t="shared" si="329"/>
        <v>ЩОВ_P1</v>
      </c>
      <c r="C933" s="9" t="s">
        <v>62</v>
      </c>
      <c r="D933" s="9" t="s">
        <v>63</v>
      </c>
      <c r="E933" s="10" t="s">
        <v>64</v>
      </c>
      <c r="F933" s="11">
        <v>13777</v>
      </c>
      <c r="G933" s="11">
        <f>IF(F933="","",ROUND(F933*VLOOKUP(K933,Kurallar!$D$3:$E$14,2,0),2))</f>
        <v>13777</v>
      </c>
      <c r="H933" s="11">
        <f t="shared" si="332"/>
        <v>13777</v>
      </c>
      <c r="I933" s="8">
        <v>1</v>
      </c>
      <c r="J933" s="8" t="s">
        <v>23</v>
      </c>
      <c r="K933" s="8" t="s">
        <v>65</v>
      </c>
      <c r="L933" s="11">
        <f t="shared" si="333"/>
        <v>13777</v>
      </c>
      <c r="M933" s="9" t="s">
        <v>62</v>
      </c>
      <c r="N933" s="8" t="s">
        <v>66</v>
      </c>
      <c r="O933" s="8">
        <f>IFERROR(VLOOKUP(N933,Kurallar!$G$3:$H$22,2,0),0)</f>
        <v>5</v>
      </c>
    </row>
    <row r="934" spans="1:15" hidden="1" x14ac:dyDescent="0.25">
      <c r="A934" s="8">
        <v>90</v>
      </c>
      <c r="B934" s="9" t="str">
        <f t="shared" si="329"/>
        <v>ЩОВ_P1</v>
      </c>
      <c r="C934" s="9" t="s">
        <v>67</v>
      </c>
      <c r="D934" s="9" t="s">
        <v>68</v>
      </c>
      <c r="E934" s="10" t="s">
        <v>69</v>
      </c>
      <c r="F934" s="11">
        <v>793</v>
      </c>
      <c r="G934" s="11">
        <f>IF(F934="","",ROUND(F934*VLOOKUP(K934,Kurallar!$D$3:$E$14,2,0),2))</f>
        <v>793</v>
      </c>
      <c r="H934" s="11">
        <f t="shared" si="332"/>
        <v>793</v>
      </c>
      <c r="I934" s="8">
        <v>1</v>
      </c>
      <c r="J934" s="8" t="s">
        <v>23</v>
      </c>
      <c r="K934" s="8" t="s">
        <v>65</v>
      </c>
      <c r="L934" s="11">
        <f t="shared" si="333"/>
        <v>793</v>
      </c>
      <c r="M934" s="9" t="s">
        <v>67</v>
      </c>
      <c r="N934" s="8" t="s">
        <v>70</v>
      </c>
      <c r="O934" s="8">
        <f>IFERROR(VLOOKUP(N934,Kurallar!$G$3:$H$22,2,0),0)</f>
        <v>5</v>
      </c>
    </row>
    <row r="935" spans="1:15" hidden="1" x14ac:dyDescent="0.25">
      <c r="A935" s="8">
        <v>90</v>
      </c>
      <c r="B935" t="str">
        <f t="shared" si="329"/>
        <v>ЩОВ_P1</v>
      </c>
      <c r="C935" s="9" t="s">
        <v>31</v>
      </c>
      <c r="E935" s="9" t="s">
        <v>32</v>
      </c>
      <c r="F935" s="11"/>
      <c r="G935" s="11">
        <f>ROUND(SUM(H928:H934)*Kurallar!$B$2,2)</f>
        <v>3931.44</v>
      </c>
      <c r="H935" s="11">
        <f>G935*I935</f>
        <v>3931.44</v>
      </c>
      <c r="I935" s="8">
        <v>1</v>
      </c>
      <c r="J935" s="8" t="s">
        <v>19</v>
      </c>
      <c r="K935" s="8" t="s">
        <v>33</v>
      </c>
      <c r="L935" s="11">
        <f>H935*$I$927</f>
        <v>3931.44</v>
      </c>
      <c r="M935" s="9" t="s">
        <v>31</v>
      </c>
    </row>
    <row r="936" spans="1:15" hidden="1" x14ac:dyDescent="0.25">
      <c r="A936" s="8">
        <v>90</v>
      </c>
      <c r="B936" t="str">
        <f t="shared" si="329"/>
        <v>ЩОВ_P1</v>
      </c>
      <c r="C936" s="9" t="s">
        <v>34</v>
      </c>
      <c r="E936" s="9" t="s">
        <v>35</v>
      </c>
      <c r="F936" s="11">
        <f>ROUND(I936/60,1)</f>
        <v>1.6</v>
      </c>
      <c r="G936" s="11">
        <f>Kurallar!$B$3</f>
        <v>100</v>
      </c>
      <c r="H936" s="11">
        <f>G936*I936</f>
        <v>9500</v>
      </c>
      <c r="I936" s="8">
        <f>ROUND(SUMPRODUCT(I928:I934,O928:O934)*Kurallar!$B$4,0)</f>
        <v>95</v>
      </c>
      <c r="J936" s="8" t="s">
        <v>36</v>
      </c>
      <c r="K936" s="8" t="s">
        <v>33</v>
      </c>
      <c r="L936" s="11">
        <f>H936*$I$927</f>
        <v>9500</v>
      </c>
      <c r="M936" s="9" t="s">
        <v>34</v>
      </c>
    </row>
    <row r="937" spans="1:15" hidden="1" x14ac:dyDescent="0.25">
      <c r="A937" s="12"/>
      <c r="B937" s="13" t="s">
        <v>571</v>
      </c>
      <c r="C937" s="12"/>
      <c r="D937" s="12"/>
      <c r="E937" s="13" t="s">
        <v>572</v>
      </c>
      <c r="F937" s="12"/>
      <c r="G937" s="12"/>
      <c r="H937" s="14">
        <f>SUBTOTAL(9,H928:H936)</f>
        <v>0</v>
      </c>
      <c r="I937" s="15">
        <v>1</v>
      </c>
      <c r="J937" s="15" t="s">
        <v>19</v>
      </c>
      <c r="K937" s="12"/>
      <c r="L937" s="14">
        <f>SUBTOTAL(9,L928:L936)</f>
        <v>0</v>
      </c>
      <c r="M937" s="12"/>
      <c r="N937" s="12"/>
      <c r="O937" s="12"/>
    </row>
    <row r="938" spans="1:15" hidden="1" x14ac:dyDescent="0.25">
      <c r="A938" s="4">
        <v>91</v>
      </c>
      <c r="B938" s="5" t="s">
        <v>573</v>
      </c>
      <c r="C938" s="6" t="s">
        <v>18</v>
      </c>
      <c r="D938" s="6"/>
      <c r="E938" s="7" t="s">
        <v>573</v>
      </c>
      <c r="F938" s="6"/>
      <c r="G938" s="6"/>
      <c r="H938" s="6"/>
      <c r="I938" s="4">
        <v>1</v>
      </c>
      <c r="J938" s="4" t="s">
        <v>19</v>
      </c>
      <c r="K938" s="6"/>
      <c r="L938" s="6"/>
      <c r="M938" s="6"/>
      <c r="N938" s="6"/>
      <c r="O938" s="6"/>
    </row>
    <row r="939" spans="1:15" hidden="1" x14ac:dyDescent="0.25">
      <c r="A939" s="8">
        <v>91</v>
      </c>
      <c r="B939" s="9" t="str">
        <f t="shared" ref="B939:B943" si="334">B938</f>
        <v>Щоп-1 (P1)</v>
      </c>
      <c r="C939" s="9" t="s">
        <v>20</v>
      </c>
      <c r="D939" s="9" t="s">
        <v>153</v>
      </c>
      <c r="E939" s="10" t="s">
        <v>154</v>
      </c>
      <c r="F939" s="11">
        <v>10270</v>
      </c>
      <c r="G939" s="11">
        <f>IF(F939="","",ROUND(F939*VLOOKUP(K939,Kurallar!$D$3:$E$14,2,0),2))</f>
        <v>6162</v>
      </c>
      <c r="H939" s="11">
        <f t="shared" ref="H939" si="335">IF(G939="","",G939*I939)</f>
        <v>6162</v>
      </c>
      <c r="I939" s="8">
        <v>1</v>
      </c>
      <c r="J939" s="8" t="s">
        <v>23</v>
      </c>
      <c r="K939" s="8" t="s">
        <v>24</v>
      </c>
      <c r="L939" s="11">
        <f t="shared" ref="L939" si="336">IF(H939="","",H939*$I$181)</f>
        <v>6162</v>
      </c>
      <c r="M939" s="9" t="s">
        <v>20</v>
      </c>
      <c r="N939" s="8" t="s">
        <v>25</v>
      </c>
      <c r="O939" s="8">
        <f>IFERROR(VLOOKUP(N939,Kurallar!$G$3:$H$22,2,0),0)</f>
        <v>8</v>
      </c>
    </row>
    <row r="940" spans="1:15" hidden="1" x14ac:dyDescent="0.25">
      <c r="A940" s="8">
        <v>91</v>
      </c>
      <c r="B940" s="9" t="str">
        <f t="shared" si="334"/>
        <v>Щоп-1 (P1)</v>
      </c>
      <c r="C940" s="9" t="s">
        <v>26</v>
      </c>
      <c r="D940" s="9" t="s">
        <v>48</v>
      </c>
      <c r="E940" s="10" t="s">
        <v>49</v>
      </c>
      <c r="F940" s="11">
        <v>3372</v>
      </c>
      <c r="G940" s="11">
        <f>IF(F940="","",ROUND(F940*VLOOKUP(K940,Kurallar!$D$3:$E$14,2,0),2))</f>
        <v>2023.2</v>
      </c>
      <c r="H940" s="11">
        <f>IF(G940="","",G940*I940)</f>
        <v>2023.2</v>
      </c>
      <c r="I940" s="8">
        <v>1</v>
      </c>
      <c r="J940" s="8" t="s">
        <v>23</v>
      </c>
      <c r="K940" s="8" t="s">
        <v>29</v>
      </c>
      <c r="L940" s="11">
        <f>IF(H940="","",H940*$I$938)</f>
        <v>2023.2</v>
      </c>
      <c r="M940" s="9" t="s">
        <v>26</v>
      </c>
      <c r="N940" s="8" t="s">
        <v>42</v>
      </c>
      <c r="O940" s="8">
        <f>IFERROR(VLOOKUP(N940,Kurallar!$G$3:$H$22,2,0),0)</f>
        <v>15</v>
      </c>
    </row>
    <row r="941" spans="1:15" hidden="1" x14ac:dyDescent="0.25">
      <c r="A941" s="8">
        <v>91</v>
      </c>
      <c r="B941" s="9" t="str">
        <f t="shared" si="334"/>
        <v>Щоп-1 (P1)</v>
      </c>
      <c r="C941" s="9" t="s">
        <v>54</v>
      </c>
      <c r="D941" s="9" t="s">
        <v>93</v>
      </c>
      <c r="E941" s="10" t="s">
        <v>94</v>
      </c>
      <c r="F941" s="11">
        <v>783</v>
      </c>
      <c r="G941" s="11">
        <f>IF(F941="","",ROUND(F941*VLOOKUP(K941,Kurallar!$D$3:$E$14,2,0),2))</f>
        <v>469.8</v>
      </c>
      <c r="H941" s="11">
        <f>IF(G941="","",G941*I941)</f>
        <v>2818.8</v>
      </c>
      <c r="I941" s="8">
        <v>6</v>
      </c>
      <c r="J941" s="8" t="s">
        <v>23</v>
      </c>
      <c r="K941" s="8" t="s">
        <v>29</v>
      </c>
      <c r="L941" s="11">
        <f>IF(H941="","",H941*$I$938)</f>
        <v>2818.8</v>
      </c>
      <c r="M941" s="9" t="s">
        <v>54</v>
      </c>
      <c r="N941" s="8" t="s">
        <v>57</v>
      </c>
      <c r="O941" s="8">
        <f>IFERROR(VLOOKUP(N941,Kurallar!$G$3:$H$22,2,0),0)</f>
        <v>3</v>
      </c>
    </row>
    <row r="942" spans="1:15" hidden="1" x14ac:dyDescent="0.25">
      <c r="A942" s="8">
        <v>91</v>
      </c>
      <c r="B942" t="str">
        <f t="shared" si="334"/>
        <v>Щоп-1 (P1)</v>
      </c>
      <c r="C942" s="9" t="s">
        <v>31</v>
      </c>
      <c r="E942" s="9" t="s">
        <v>32</v>
      </c>
      <c r="F942" s="11"/>
      <c r="G942" s="11">
        <f>ROUND(SUM(H939:H941)*Kurallar!$B$2,2)</f>
        <v>1320.48</v>
      </c>
      <c r="H942" s="11">
        <f>G942*I942</f>
        <v>1320.48</v>
      </c>
      <c r="I942" s="8">
        <v>1</v>
      </c>
      <c r="J942" s="8" t="s">
        <v>19</v>
      </c>
      <c r="K942" s="8" t="s">
        <v>33</v>
      </c>
      <c r="L942" s="11">
        <f>H942*$I$938</f>
        <v>1320.48</v>
      </c>
      <c r="M942" s="9" t="s">
        <v>31</v>
      </c>
    </row>
    <row r="943" spans="1:15" hidden="1" x14ac:dyDescent="0.25">
      <c r="A943" s="8">
        <v>91</v>
      </c>
      <c r="B943" t="str">
        <f t="shared" si="334"/>
        <v>Щоп-1 (P1)</v>
      </c>
      <c r="C943" s="9" t="s">
        <v>34</v>
      </c>
      <c r="E943" s="9" t="s">
        <v>35</v>
      </c>
      <c r="F943" s="11">
        <f>ROUND(I943/60,1)</f>
        <v>0.8</v>
      </c>
      <c r="G943" s="11">
        <f>Kurallar!$B$3</f>
        <v>100</v>
      </c>
      <c r="H943" s="11">
        <f>G943*I943</f>
        <v>4700</v>
      </c>
      <c r="I943" s="8">
        <f>ROUND(SUMPRODUCT(I939:I941,O939:O941)*Kurallar!$B$4,0)</f>
        <v>47</v>
      </c>
      <c r="J943" s="8" t="s">
        <v>36</v>
      </c>
      <c r="K943" s="8" t="s">
        <v>33</v>
      </c>
      <c r="L943" s="11">
        <f>H943*$I$938</f>
        <v>4700</v>
      </c>
      <c r="M943" s="9" t="s">
        <v>34</v>
      </c>
    </row>
    <row r="944" spans="1:15" hidden="1" x14ac:dyDescent="0.25">
      <c r="A944" s="12"/>
      <c r="B944" s="13" t="s">
        <v>574</v>
      </c>
      <c r="C944" s="12"/>
      <c r="D944" s="12"/>
      <c r="E944" s="13" t="s">
        <v>575</v>
      </c>
      <c r="F944" s="12"/>
      <c r="G944" s="12"/>
      <c r="H944" s="14">
        <f>SUBTOTAL(9,H939:H943)</f>
        <v>0</v>
      </c>
      <c r="I944" s="15">
        <v>1</v>
      </c>
      <c r="J944" s="15" t="s">
        <v>19</v>
      </c>
      <c r="K944" s="12"/>
      <c r="L944" s="14">
        <f>SUBTOTAL(9,L939:L943)</f>
        <v>0</v>
      </c>
      <c r="M944" s="12"/>
      <c r="N944" s="12"/>
      <c r="O944" s="12"/>
    </row>
    <row r="945" spans="1:15" hidden="1" x14ac:dyDescent="0.25">
      <c r="A945" s="4">
        <v>92</v>
      </c>
      <c r="B945" s="5" t="s">
        <v>576</v>
      </c>
      <c r="C945" s="6" t="s">
        <v>18</v>
      </c>
      <c r="D945" s="6"/>
      <c r="E945" s="7" t="s">
        <v>576</v>
      </c>
      <c r="F945" s="6"/>
      <c r="G945" s="6"/>
      <c r="H945" s="6"/>
      <c r="I945" s="4">
        <v>1</v>
      </c>
      <c r="J945" s="4" t="s">
        <v>19</v>
      </c>
      <c r="K945" s="6"/>
      <c r="L945" s="6"/>
      <c r="M945" s="6"/>
      <c r="N945" s="6"/>
      <c r="O945" s="6"/>
    </row>
    <row r="946" spans="1:15" hidden="1" x14ac:dyDescent="0.25">
      <c r="A946" s="8">
        <v>92</v>
      </c>
      <c r="B946" s="9" t="str">
        <f t="shared" ref="B946:B950" si="337">B945</f>
        <v>ЩАОп-1</v>
      </c>
      <c r="C946" s="9" t="s">
        <v>20</v>
      </c>
      <c r="D946" s="9" t="s">
        <v>153</v>
      </c>
      <c r="E946" s="10" t="s">
        <v>154</v>
      </c>
      <c r="F946" s="11">
        <v>10270</v>
      </c>
      <c r="G946" s="11">
        <f>IF(F946="","",ROUND(F946*VLOOKUP(K946,Kurallar!$D$3:$E$14,2,0),2))</f>
        <v>6162</v>
      </c>
      <c r="H946" s="11">
        <f t="shared" ref="H946" si="338">IF(G946="","",G946*I946)</f>
        <v>6162</v>
      </c>
      <c r="I946" s="8">
        <v>1</v>
      </c>
      <c r="J946" s="8" t="s">
        <v>23</v>
      </c>
      <c r="K946" s="8" t="s">
        <v>24</v>
      </c>
      <c r="L946" s="11">
        <f t="shared" ref="L946" si="339">IF(H946="","",H946*$I$181)</f>
        <v>6162</v>
      </c>
      <c r="M946" s="9" t="s">
        <v>20</v>
      </c>
      <c r="N946" s="8" t="s">
        <v>25</v>
      </c>
      <c r="O946" s="8">
        <f>IFERROR(VLOOKUP(N946,Kurallar!$G$3:$H$22,2,0),0)</f>
        <v>8</v>
      </c>
    </row>
    <row r="947" spans="1:15" hidden="1" x14ac:dyDescent="0.25">
      <c r="A947" s="8">
        <v>92</v>
      </c>
      <c r="B947" s="9" t="str">
        <f t="shared" si="337"/>
        <v>ЩАОп-1</v>
      </c>
      <c r="C947" s="9" t="s">
        <v>26</v>
      </c>
      <c r="D947" s="9" t="s">
        <v>48</v>
      </c>
      <c r="E947" s="10" t="s">
        <v>49</v>
      </c>
      <c r="F947" s="11">
        <v>3372</v>
      </c>
      <c r="G947" s="11">
        <f>IF(F947="","",ROUND(F947*VLOOKUP(K947,Kurallar!$D$3:$E$14,2,0),2))</f>
        <v>2023.2</v>
      </c>
      <c r="H947" s="11">
        <f>IF(G947="","",G947*I947)</f>
        <v>2023.2</v>
      </c>
      <c r="I947" s="8">
        <v>1</v>
      </c>
      <c r="J947" s="8" t="s">
        <v>23</v>
      </c>
      <c r="K947" s="8" t="s">
        <v>29</v>
      </c>
      <c r="L947" s="11">
        <f>IF(H947="","",H947*$I$945)</f>
        <v>2023.2</v>
      </c>
      <c r="M947" s="9" t="s">
        <v>26</v>
      </c>
      <c r="N947" s="8" t="s">
        <v>42</v>
      </c>
      <c r="O947" s="8">
        <f>IFERROR(VLOOKUP(N947,Kurallar!$G$3:$H$22,2,0),0)</f>
        <v>15</v>
      </c>
    </row>
    <row r="948" spans="1:15" hidden="1" x14ac:dyDescent="0.25">
      <c r="A948" s="8">
        <v>92</v>
      </c>
      <c r="B948" s="9" t="str">
        <f t="shared" si="337"/>
        <v>ЩАОп-1</v>
      </c>
      <c r="C948" s="9" t="s">
        <v>54</v>
      </c>
      <c r="D948" s="9" t="s">
        <v>93</v>
      </c>
      <c r="E948" s="10" t="s">
        <v>94</v>
      </c>
      <c r="F948" s="11">
        <v>783</v>
      </c>
      <c r="G948" s="11">
        <f>IF(F948="","",ROUND(F948*VLOOKUP(K948,Kurallar!$D$3:$E$14,2,0),2))</f>
        <v>469.8</v>
      </c>
      <c r="H948" s="11">
        <f>IF(G948="","",G948*I948)</f>
        <v>1879.2</v>
      </c>
      <c r="I948" s="8">
        <v>4</v>
      </c>
      <c r="J948" s="8" t="s">
        <v>23</v>
      </c>
      <c r="K948" s="8" t="s">
        <v>29</v>
      </c>
      <c r="L948" s="11">
        <f>IF(H948="","",H948*$I$945)</f>
        <v>1879.2</v>
      </c>
      <c r="M948" s="9" t="s">
        <v>54</v>
      </c>
      <c r="N948" s="8" t="s">
        <v>57</v>
      </c>
      <c r="O948" s="8">
        <f>IFERROR(VLOOKUP(N948,Kurallar!$G$3:$H$22,2,0),0)</f>
        <v>3</v>
      </c>
    </row>
    <row r="949" spans="1:15" hidden="1" x14ac:dyDescent="0.25">
      <c r="A949" s="8">
        <v>92</v>
      </c>
      <c r="B949" t="str">
        <f t="shared" si="337"/>
        <v>ЩАОп-1</v>
      </c>
      <c r="C949" s="9" t="s">
        <v>31</v>
      </c>
      <c r="E949" s="9" t="s">
        <v>32</v>
      </c>
      <c r="F949" s="11"/>
      <c r="G949" s="11">
        <f>ROUND(SUM(H946:H948)*Kurallar!$B$2,2)</f>
        <v>1207.73</v>
      </c>
      <c r="H949" s="11">
        <f>G949*I949</f>
        <v>1207.73</v>
      </c>
      <c r="I949" s="8">
        <v>1</v>
      </c>
      <c r="J949" s="8" t="s">
        <v>19</v>
      </c>
      <c r="K949" s="8" t="s">
        <v>33</v>
      </c>
      <c r="L949" s="11">
        <f>H949*$I$945</f>
        <v>1207.73</v>
      </c>
      <c r="M949" s="9" t="s">
        <v>31</v>
      </c>
    </row>
    <row r="950" spans="1:15" hidden="1" x14ac:dyDescent="0.25">
      <c r="A950" s="8">
        <v>92</v>
      </c>
      <c r="B950" t="str">
        <f t="shared" si="337"/>
        <v>ЩАОп-1</v>
      </c>
      <c r="C950" s="9" t="s">
        <v>34</v>
      </c>
      <c r="E950" s="9" t="s">
        <v>35</v>
      </c>
      <c r="F950" s="11">
        <f>ROUND(I950/60,1)</f>
        <v>0.7</v>
      </c>
      <c r="G950" s="11">
        <f>Kurallar!$B$3</f>
        <v>100</v>
      </c>
      <c r="H950" s="11">
        <f>G950*I950</f>
        <v>4000</v>
      </c>
      <c r="I950" s="8">
        <f>ROUND(SUMPRODUCT(I946:I948,O946:O948)*Kurallar!$B$4,0)</f>
        <v>40</v>
      </c>
      <c r="J950" s="8" t="s">
        <v>36</v>
      </c>
      <c r="K950" s="8" t="s">
        <v>33</v>
      </c>
      <c r="L950" s="11">
        <f>H950*$I$945</f>
        <v>4000</v>
      </c>
      <c r="M950" s="9" t="s">
        <v>34</v>
      </c>
    </row>
    <row r="951" spans="1:15" hidden="1" x14ac:dyDescent="0.25">
      <c r="A951" s="12"/>
      <c r="B951" s="13" t="s">
        <v>577</v>
      </c>
      <c r="C951" s="12"/>
      <c r="D951" s="12"/>
      <c r="E951" s="13" t="s">
        <v>578</v>
      </c>
      <c r="F951" s="12"/>
      <c r="G951" s="12"/>
      <c r="H951" s="14">
        <f>SUBTOTAL(9,H946:H950)</f>
        <v>0</v>
      </c>
      <c r="I951" s="15">
        <v>1</v>
      </c>
      <c r="J951" s="15" t="s">
        <v>19</v>
      </c>
      <c r="K951" s="12"/>
      <c r="L951" s="14">
        <f>SUBTOTAL(9,L946:L950)</f>
        <v>0</v>
      </c>
      <c r="M951" s="12"/>
      <c r="N951" s="12"/>
      <c r="O951" s="12"/>
    </row>
    <row r="952" spans="1:15" hidden="1" x14ac:dyDescent="0.25">
      <c r="A952" s="4">
        <v>93</v>
      </c>
      <c r="B952" s="5" t="s">
        <v>579</v>
      </c>
      <c r="C952" s="6" t="s">
        <v>18</v>
      </c>
      <c r="D952" s="6"/>
      <c r="E952" s="7" t="s">
        <v>579</v>
      </c>
      <c r="F952" s="6"/>
      <c r="G952" s="6"/>
      <c r="H952" s="6"/>
      <c r="I952" s="4">
        <v>1</v>
      </c>
      <c r="J952" s="4" t="s">
        <v>19</v>
      </c>
      <c r="K952" s="6"/>
      <c r="L952" s="6"/>
      <c r="M952" s="6"/>
      <c r="N952" s="6"/>
      <c r="O952" s="6"/>
    </row>
    <row r="953" spans="1:15" hidden="1" x14ac:dyDescent="0.25">
      <c r="A953" s="8">
        <v>93</v>
      </c>
      <c r="B953" s="9" t="str">
        <f t="shared" ref="B953:B981" si="340">B952</f>
        <v>ЩУНп (P1)</v>
      </c>
      <c r="C953" s="9" t="s">
        <v>20</v>
      </c>
      <c r="D953" s="9" t="s">
        <v>256</v>
      </c>
      <c r="E953" s="10" t="s">
        <v>257</v>
      </c>
      <c r="F953" s="11">
        <v>38905</v>
      </c>
      <c r="G953" s="11">
        <f>IF(F953="","",ROUND(F953*VLOOKUP(K953,Kurallar!$D$3:$E$14,2,0),2))</f>
        <v>23343</v>
      </c>
      <c r="H953" s="11">
        <f t="shared" ref="H953" si="341">IF(G953="","",G953*I953)</f>
        <v>23343</v>
      </c>
      <c r="I953" s="8">
        <v>1</v>
      </c>
      <c r="J953" s="8" t="s">
        <v>23</v>
      </c>
      <c r="K953" s="8" t="s">
        <v>24</v>
      </c>
      <c r="L953" s="11">
        <f t="shared" ref="L953" si="342">IF(H953="","",H953*$I$181)</f>
        <v>23343</v>
      </c>
      <c r="M953" s="9" t="s">
        <v>20</v>
      </c>
      <c r="N953" s="8" t="s">
        <v>75</v>
      </c>
      <c r="O953" s="8">
        <f>IFERROR(VLOOKUP(N953,Kurallar!$G$3:$H$22,2,0),0)</f>
        <v>30</v>
      </c>
    </row>
    <row r="954" spans="1:15" hidden="1" x14ac:dyDescent="0.25">
      <c r="A954" s="8">
        <v>93</v>
      </c>
      <c r="B954" s="9" t="str">
        <f t="shared" si="340"/>
        <v>ЩУНп (P1)</v>
      </c>
      <c r="C954" s="9" t="s">
        <v>54</v>
      </c>
      <c r="D954" s="9" t="s">
        <v>580</v>
      </c>
      <c r="E954" s="10" t="s">
        <v>581</v>
      </c>
      <c r="F954" s="11">
        <v>3172</v>
      </c>
      <c r="G954" s="11">
        <f>IF(F954="","",ROUND(F954*VLOOKUP(K954,Kurallar!$D$3:$E$14,2,0),2))</f>
        <v>1903.2</v>
      </c>
      <c r="H954" s="11">
        <f t="shared" ref="H954:H979" si="343">IF(G954="","",G954*I954)</f>
        <v>3806.4</v>
      </c>
      <c r="I954" s="8">
        <v>2</v>
      </c>
      <c r="J954" s="8" t="s">
        <v>23</v>
      </c>
      <c r="K954" s="8" t="s">
        <v>29</v>
      </c>
      <c r="L954" s="11">
        <f t="shared" ref="L954:L979" si="344">IF(H954="","",H954*$I$952)</f>
        <v>3806.4</v>
      </c>
      <c r="M954" s="9" t="s">
        <v>54</v>
      </c>
      <c r="N954" s="8" t="s">
        <v>113</v>
      </c>
      <c r="O954" s="8">
        <f>IFERROR(VLOOKUP(N954,Kurallar!$G$3:$H$22,2,0),0)</f>
        <v>10</v>
      </c>
    </row>
    <row r="955" spans="1:15" hidden="1" x14ac:dyDescent="0.25">
      <c r="A955" s="8">
        <v>93</v>
      </c>
      <c r="B955" s="9" t="str">
        <f t="shared" si="340"/>
        <v>ЩУНп (P1)</v>
      </c>
      <c r="C955" s="9" t="s">
        <v>54</v>
      </c>
      <c r="D955" s="9" t="s">
        <v>231</v>
      </c>
      <c r="E955" s="10" t="s">
        <v>232</v>
      </c>
      <c r="F955" s="11">
        <v>2873</v>
      </c>
      <c r="G955" s="11">
        <f>IF(F955="","",ROUND(F955*VLOOKUP(K955,Kurallar!$D$3:$E$14,2,0),2))</f>
        <v>1723.8</v>
      </c>
      <c r="H955" s="11">
        <f t="shared" si="343"/>
        <v>1723.8</v>
      </c>
      <c r="I955" s="8">
        <v>1</v>
      </c>
      <c r="J955" s="8" t="s">
        <v>23</v>
      </c>
      <c r="K955" s="8" t="s">
        <v>29</v>
      </c>
      <c r="L955" s="11">
        <f t="shared" si="344"/>
        <v>1723.8</v>
      </c>
      <c r="M955" s="9" t="s">
        <v>54</v>
      </c>
      <c r="N955" s="8" t="s">
        <v>113</v>
      </c>
      <c r="O955" s="8">
        <f>IFERROR(VLOOKUP(N955,Kurallar!$G$3:$H$22,2,0),0)</f>
        <v>10</v>
      </c>
    </row>
    <row r="956" spans="1:15" hidden="1" x14ac:dyDescent="0.25">
      <c r="A956" s="8">
        <v>93</v>
      </c>
      <c r="B956" s="9" t="str">
        <f t="shared" si="340"/>
        <v>ЩУНп (P1)</v>
      </c>
      <c r="C956" s="9" t="s">
        <v>86</v>
      </c>
      <c r="D956" s="9" t="s">
        <v>582</v>
      </c>
      <c r="E956" s="10" t="s">
        <v>583</v>
      </c>
      <c r="F956" s="11">
        <v>2856</v>
      </c>
      <c r="G956" s="11">
        <f>IF(F956="","",ROUND(F956*VLOOKUP(K956,Kurallar!$D$3:$E$14,2,0),2))</f>
        <v>1713.6</v>
      </c>
      <c r="H956" s="11">
        <f t="shared" si="343"/>
        <v>5140.7999999999993</v>
      </c>
      <c r="I956" s="8">
        <v>3</v>
      </c>
      <c r="J956" s="8" t="s">
        <v>23</v>
      </c>
      <c r="K956" s="8" t="s">
        <v>29</v>
      </c>
      <c r="L956" s="11">
        <f t="shared" si="344"/>
        <v>5140.7999999999993</v>
      </c>
      <c r="M956" s="9" t="s">
        <v>86</v>
      </c>
      <c r="N956" s="8" t="s">
        <v>89</v>
      </c>
      <c r="O956" s="8">
        <f>IFERROR(VLOOKUP(N956,Kurallar!$G$3:$H$22,2,0),0)</f>
        <v>5</v>
      </c>
    </row>
    <row r="957" spans="1:15" hidden="1" x14ac:dyDescent="0.25">
      <c r="A957" s="8">
        <v>93</v>
      </c>
      <c r="B957" s="9" t="str">
        <f t="shared" si="340"/>
        <v>ЩУНп (P1)</v>
      </c>
      <c r="C957" s="9" t="s">
        <v>54</v>
      </c>
      <c r="D957" s="9" t="s">
        <v>584</v>
      </c>
      <c r="E957" s="10" t="s">
        <v>585</v>
      </c>
      <c r="F957" s="11">
        <v>1090</v>
      </c>
      <c r="G957" s="11">
        <f>IF(F957="","",ROUND(F957*VLOOKUP(K957,Kurallar!$D$3:$E$14,2,0),2))</f>
        <v>654</v>
      </c>
      <c r="H957" s="11">
        <f t="shared" si="343"/>
        <v>1308</v>
      </c>
      <c r="I957" s="8">
        <v>2</v>
      </c>
      <c r="J957" s="8" t="s">
        <v>23</v>
      </c>
      <c r="K957" s="8" t="s">
        <v>29</v>
      </c>
      <c r="L957" s="11">
        <f t="shared" si="344"/>
        <v>1308</v>
      </c>
      <c r="M957" s="9" t="s">
        <v>54</v>
      </c>
      <c r="N957" s="8" t="s">
        <v>57</v>
      </c>
      <c r="O957" s="8">
        <f>IFERROR(VLOOKUP(N957,Kurallar!$G$3:$H$22,2,0),0)</f>
        <v>3</v>
      </c>
    </row>
    <row r="958" spans="1:15" hidden="1" x14ac:dyDescent="0.25">
      <c r="A958" s="8">
        <v>93</v>
      </c>
      <c r="B958" s="9" t="str">
        <f t="shared" si="340"/>
        <v>ЩУНп (P1)</v>
      </c>
      <c r="C958" s="9" t="s">
        <v>54</v>
      </c>
      <c r="D958" s="9" t="s">
        <v>122</v>
      </c>
      <c r="E958" s="10" t="s">
        <v>123</v>
      </c>
      <c r="F958" s="11">
        <v>1086</v>
      </c>
      <c r="G958" s="11">
        <f>IF(F958="","",ROUND(F958*VLOOKUP(K958,Kurallar!$D$3:$E$14,2,0),2))</f>
        <v>651.6</v>
      </c>
      <c r="H958" s="11">
        <f t="shared" si="343"/>
        <v>651.6</v>
      </c>
      <c r="I958" s="8">
        <v>1</v>
      </c>
      <c r="J958" s="8" t="s">
        <v>23</v>
      </c>
      <c r="K958" s="8" t="s">
        <v>29</v>
      </c>
      <c r="L958" s="11">
        <f t="shared" si="344"/>
        <v>651.6</v>
      </c>
      <c r="M958" s="9" t="s">
        <v>54</v>
      </c>
      <c r="N958" s="8" t="s">
        <v>57</v>
      </c>
      <c r="O958" s="8">
        <f>IFERROR(VLOOKUP(N958,Kurallar!$G$3:$H$22,2,0),0)</f>
        <v>3</v>
      </c>
    </row>
    <row r="959" spans="1:15" hidden="1" x14ac:dyDescent="0.25">
      <c r="A959" s="8">
        <v>93</v>
      </c>
      <c r="B959" s="9" t="str">
        <f t="shared" si="340"/>
        <v>ЩУНп (P1)</v>
      </c>
      <c r="C959" s="9" t="s">
        <v>58</v>
      </c>
      <c r="D959" s="9" t="s">
        <v>185</v>
      </c>
      <c r="E959" s="10" t="s">
        <v>186</v>
      </c>
      <c r="F959" s="11">
        <v>16855</v>
      </c>
      <c r="G959" s="11">
        <f>IF(F959="","",ROUND(F959*VLOOKUP(K959,Kurallar!$D$3:$E$14,2,0),2))</f>
        <v>10113</v>
      </c>
      <c r="H959" s="11">
        <f t="shared" si="343"/>
        <v>20226</v>
      </c>
      <c r="I959" s="8">
        <v>2</v>
      </c>
      <c r="J959" s="8" t="s">
        <v>23</v>
      </c>
      <c r="K959" s="8" t="s">
        <v>29</v>
      </c>
      <c r="L959" s="11">
        <f t="shared" si="344"/>
        <v>20226</v>
      </c>
      <c r="M959" s="9" t="s">
        <v>58</v>
      </c>
      <c r="N959" s="8" t="s">
        <v>61</v>
      </c>
      <c r="O959" s="8">
        <f>IFERROR(VLOOKUP(N959,Kurallar!$G$3:$H$22,2,0),0)</f>
        <v>15</v>
      </c>
    </row>
    <row r="960" spans="1:15" hidden="1" x14ac:dyDescent="0.25">
      <c r="A960" s="8">
        <v>93</v>
      </c>
      <c r="B960" s="9" t="str">
        <f t="shared" si="340"/>
        <v>ЩУНп (P1)</v>
      </c>
      <c r="C960" s="9" t="s">
        <v>58</v>
      </c>
      <c r="D960" s="9" t="s">
        <v>126</v>
      </c>
      <c r="E960" s="10" t="s">
        <v>127</v>
      </c>
      <c r="F960" s="11">
        <v>2177</v>
      </c>
      <c r="G960" s="11">
        <f>IF(F960="","",ROUND(F960*VLOOKUP(K960,Kurallar!$D$3:$E$14,2,0),2))</f>
        <v>1306.2</v>
      </c>
      <c r="H960" s="11">
        <f t="shared" si="343"/>
        <v>2612.4</v>
      </c>
      <c r="I960" s="8">
        <v>2</v>
      </c>
      <c r="J960" s="8" t="s">
        <v>23</v>
      </c>
      <c r="K960" s="8" t="s">
        <v>29</v>
      </c>
      <c r="L960" s="11">
        <f t="shared" si="344"/>
        <v>2612.4</v>
      </c>
      <c r="M960" s="9" t="s">
        <v>58</v>
      </c>
      <c r="N960" s="8" t="s">
        <v>61</v>
      </c>
      <c r="O960" s="8">
        <f>IFERROR(VLOOKUP(N960,Kurallar!$G$3:$H$22,2,0),0)</f>
        <v>15</v>
      </c>
    </row>
    <row r="961" spans="1:15" hidden="1" x14ac:dyDescent="0.25">
      <c r="A961" s="8">
        <v>93</v>
      </c>
      <c r="B961" s="9" t="str">
        <f t="shared" si="340"/>
        <v>ЩУНп (P1)</v>
      </c>
      <c r="C961" s="9" t="s">
        <v>58</v>
      </c>
      <c r="D961" s="9" t="s">
        <v>586</v>
      </c>
      <c r="E961" s="10" t="s">
        <v>587</v>
      </c>
      <c r="F961" s="11">
        <v>4563</v>
      </c>
      <c r="G961" s="11">
        <f>IF(F961="","",ROUND(F961*VLOOKUP(K961,Kurallar!$D$3:$E$14,2,0),2))</f>
        <v>2737.8</v>
      </c>
      <c r="H961" s="11">
        <f t="shared" si="343"/>
        <v>8213.4000000000015</v>
      </c>
      <c r="I961" s="8">
        <v>3</v>
      </c>
      <c r="J961" s="8" t="s">
        <v>23</v>
      </c>
      <c r="K961" s="8" t="s">
        <v>29</v>
      </c>
      <c r="L961" s="11">
        <f t="shared" si="344"/>
        <v>8213.4000000000015</v>
      </c>
      <c r="M961" s="9" t="s">
        <v>58</v>
      </c>
      <c r="N961" s="8" t="s">
        <v>61</v>
      </c>
      <c r="O961" s="8">
        <f>IFERROR(VLOOKUP(N961,Kurallar!$G$3:$H$22,2,0),0)</f>
        <v>15</v>
      </c>
    </row>
    <row r="962" spans="1:15" hidden="1" x14ac:dyDescent="0.25">
      <c r="A962" s="8">
        <v>93</v>
      </c>
      <c r="B962" s="9" t="str">
        <f t="shared" si="340"/>
        <v>ЩУНп (P1)</v>
      </c>
      <c r="C962" s="9" t="s">
        <v>58</v>
      </c>
      <c r="D962" s="9" t="s">
        <v>588</v>
      </c>
      <c r="E962" s="10" t="s">
        <v>589</v>
      </c>
      <c r="F962" s="11">
        <v>3299</v>
      </c>
      <c r="G962" s="11">
        <f>IF(F962="","",ROUND(F962*VLOOKUP(K962,Kurallar!$D$3:$E$14,2,0),2))</f>
        <v>1979.4</v>
      </c>
      <c r="H962" s="11">
        <f t="shared" si="343"/>
        <v>1979.4</v>
      </c>
      <c r="I962" s="8">
        <v>1</v>
      </c>
      <c r="J962" s="8" t="s">
        <v>23</v>
      </c>
      <c r="K962" s="8" t="s">
        <v>29</v>
      </c>
      <c r="L962" s="11">
        <f t="shared" si="344"/>
        <v>1979.4</v>
      </c>
      <c r="M962" s="9" t="s">
        <v>58</v>
      </c>
      <c r="N962" s="8" t="s">
        <v>61</v>
      </c>
      <c r="O962" s="8">
        <f>IFERROR(VLOOKUP(N962,Kurallar!$G$3:$H$22,2,0),0)</f>
        <v>15</v>
      </c>
    </row>
    <row r="963" spans="1:15" hidden="1" x14ac:dyDescent="0.25">
      <c r="A963" s="8">
        <v>93</v>
      </c>
      <c r="B963" s="9" t="str">
        <f t="shared" si="340"/>
        <v>ЩУНп (P1)</v>
      </c>
      <c r="C963" s="9" t="s">
        <v>54</v>
      </c>
      <c r="D963" s="9" t="s">
        <v>590</v>
      </c>
      <c r="E963" s="10" t="s">
        <v>591</v>
      </c>
      <c r="F963" s="11">
        <v>6326</v>
      </c>
      <c r="G963" s="11">
        <f>IF(F963="","",ROUND(F963*VLOOKUP(K963,Kurallar!$D$3:$E$14,2,0),2))</f>
        <v>3795.6</v>
      </c>
      <c r="H963" s="11">
        <f t="shared" si="343"/>
        <v>7591.2</v>
      </c>
      <c r="I963" s="8">
        <v>2</v>
      </c>
      <c r="J963" s="8" t="s">
        <v>23</v>
      </c>
      <c r="K963" s="8" t="s">
        <v>29</v>
      </c>
      <c r="L963" s="11">
        <f t="shared" si="344"/>
        <v>7591.2</v>
      </c>
      <c r="M963" s="9" t="s">
        <v>54</v>
      </c>
      <c r="N963" s="8" t="s">
        <v>57</v>
      </c>
      <c r="O963" s="8">
        <f>IFERROR(VLOOKUP(N963,Kurallar!$G$3:$H$22,2,0),0)</f>
        <v>3</v>
      </c>
    </row>
    <row r="964" spans="1:15" hidden="1" x14ac:dyDescent="0.25">
      <c r="A964" s="8">
        <v>93</v>
      </c>
      <c r="B964" s="9" t="str">
        <f t="shared" si="340"/>
        <v>ЩУНп (P1)</v>
      </c>
      <c r="C964" s="9" t="s">
        <v>62</v>
      </c>
      <c r="D964" s="9" t="s">
        <v>124</v>
      </c>
      <c r="E964" s="10" t="s">
        <v>125</v>
      </c>
      <c r="F964" s="11">
        <v>4315</v>
      </c>
      <c r="G964" s="11">
        <f>IF(F964="","",ROUND(F964*VLOOKUP(K964,Kurallar!$D$3:$E$14,2,0),2))</f>
        <v>2589</v>
      </c>
      <c r="H964" s="11">
        <f t="shared" si="343"/>
        <v>2589</v>
      </c>
      <c r="I964" s="8">
        <v>1</v>
      </c>
      <c r="J964" s="8" t="s">
        <v>23</v>
      </c>
      <c r="K964" s="8" t="s">
        <v>29</v>
      </c>
      <c r="L964" s="11">
        <f t="shared" si="344"/>
        <v>2589</v>
      </c>
      <c r="M964" s="9" t="s">
        <v>62</v>
      </c>
      <c r="N964" s="8" t="s">
        <v>66</v>
      </c>
      <c r="O964" s="8">
        <f>IFERROR(VLOOKUP(N964,Kurallar!$G$3:$H$22,2,0),0)</f>
        <v>5</v>
      </c>
    </row>
    <row r="965" spans="1:15" hidden="1" x14ac:dyDescent="0.25">
      <c r="A965" s="8">
        <v>93</v>
      </c>
      <c r="B965" s="9" t="str">
        <f t="shared" si="340"/>
        <v>ЩУНп (P1)</v>
      </c>
      <c r="C965" s="9" t="s">
        <v>62</v>
      </c>
      <c r="D965" s="9" t="s">
        <v>128</v>
      </c>
      <c r="E965" s="10" t="s">
        <v>129</v>
      </c>
      <c r="F965" s="11">
        <v>1565</v>
      </c>
      <c r="G965" s="11">
        <f>IF(F965="","",ROUND(F965*VLOOKUP(K965,Kurallar!$D$3:$E$14,2,0),2))</f>
        <v>939</v>
      </c>
      <c r="H965" s="11">
        <f t="shared" si="343"/>
        <v>1878</v>
      </c>
      <c r="I965" s="8">
        <v>2</v>
      </c>
      <c r="J965" s="8" t="s">
        <v>23</v>
      </c>
      <c r="K965" s="8" t="s">
        <v>29</v>
      </c>
      <c r="L965" s="11">
        <f t="shared" si="344"/>
        <v>1878</v>
      </c>
      <c r="M965" s="9" t="s">
        <v>62</v>
      </c>
      <c r="N965" s="8" t="s">
        <v>66</v>
      </c>
      <c r="O965" s="8">
        <f>IFERROR(VLOOKUP(N965,Kurallar!$G$3:$H$22,2,0),0)</f>
        <v>5</v>
      </c>
    </row>
    <row r="966" spans="1:15" hidden="1" x14ac:dyDescent="0.25">
      <c r="A966" s="8">
        <v>93</v>
      </c>
      <c r="B966" s="9" t="str">
        <f t="shared" si="340"/>
        <v>ЩУНп (P1)</v>
      </c>
      <c r="C966" s="9" t="s">
        <v>86</v>
      </c>
      <c r="D966" s="9" t="s">
        <v>130</v>
      </c>
      <c r="E966" s="10" t="s">
        <v>131</v>
      </c>
      <c r="F966" s="11">
        <v>682</v>
      </c>
      <c r="G966" s="11">
        <f>IF(F966="","",ROUND(F966*VLOOKUP(K966,Kurallar!$D$3:$E$14,2,0),2))</f>
        <v>409.2</v>
      </c>
      <c r="H966" s="11">
        <f t="shared" si="343"/>
        <v>818.4</v>
      </c>
      <c r="I966" s="8">
        <v>2</v>
      </c>
      <c r="J966" s="8" t="s">
        <v>23</v>
      </c>
      <c r="K966" s="8" t="s">
        <v>29</v>
      </c>
      <c r="L966" s="11">
        <f t="shared" si="344"/>
        <v>818.4</v>
      </c>
      <c r="M966" s="9" t="s">
        <v>86</v>
      </c>
      <c r="N966" s="8" t="s">
        <v>89</v>
      </c>
      <c r="O966" s="8">
        <f>IFERROR(VLOOKUP(N966,Kurallar!$G$3:$H$22,2,0),0)</f>
        <v>5</v>
      </c>
    </row>
    <row r="967" spans="1:15" hidden="1" x14ac:dyDescent="0.25">
      <c r="A967" s="8">
        <v>93</v>
      </c>
      <c r="B967" s="9" t="str">
        <f t="shared" si="340"/>
        <v>ЩУНп (P1)</v>
      </c>
      <c r="C967" s="9" t="s">
        <v>62</v>
      </c>
      <c r="D967" s="9" t="s">
        <v>592</v>
      </c>
      <c r="E967" s="10" t="s">
        <v>593</v>
      </c>
      <c r="F967" s="11">
        <v>80</v>
      </c>
      <c r="G967" s="11">
        <f>IF(F967="","",ROUND(F967*VLOOKUP(K967,Kurallar!$D$3:$E$14,2,0),2))</f>
        <v>48</v>
      </c>
      <c r="H967" s="11">
        <f t="shared" si="343"/>
        <v>96</v>
      </c>
      <c r="I967" s="8">
        <v>2</v>
      </c>
      <c r="J967" s="8" t="s">
        <v>23</v>
      </c>
      <c r="K967" s="8" t="s">
        <v>29</v>
      </c>
      <c r="L967" s="11">
        <f t="shared" si="344"/>
        <v>96</v>
      </c>
      <c r="M967" s="9" t="s">
        <v>62</v>
      </c>
      <c r="N967" s="8" t="s">
        <v>66</v>
      </c>
      <c r="O967" s="8">
        <f>IFERROR(VLOOKUP(N967,Kurallar!$G$3:$H$22,2,0),0)</f>
        <v>5</v>
      </c>
    </row>
    <row r="968" spans="1:15" hidden="1" x14ac:dyDescent="0.25">
      <c r="A968" s="8">
        <v>93</v>
      </c>
      <c r="B968" s="9" t="str">
        <f t="shared" si="340"/>
        <v>ЩУНп (P1)</v>
      </c>
      <c r="C968" s="9" t="s">
        <v>62</v>
      </c>
      <c r="D968" s="9" t="s">
        <v>594</v>
      </c>
      <c r="E968" s="10" t="s">
        <v>595</v>
      </c>
      <c r="F968" s="11">
        <v>1575</v>
      </c>
      <c r="G968" s="11">
        <f>IF(F968="","",ROUND(F968*VLOOKUP(K968,Kurallar!$D$3:$E$14,2,0),2))</f>
        <v>945</v>
      </c>
      <c r="H968" s="11">
        <f t="shared" si="343"/>
        <v>6615</v>
      </c>
      <c r="I968" s="8">
        <v>7</v>
      </c>
      <c r="J968" s="8" t="s">
        <v>23</v>
      </c>
      <c r="K968" s="8" t="s">
        <v>29</v>
      </c>
      <c r="L968" s="11">
        <f t="shared" si="344"/>
        <v>6615</v>
      </c>
      <c r="M968" s="9" t="s">
        <v>62</v>
      </c>
      <c r="N968" s="8" t="s">
        <v>66</v>
      </c>
      <c r="O968" s="8">
        <f>IFERROR(VLOOKUP(N968,Kurallar!$G$3:$H$22,2,0),0)</f>
        <v>5</v>
      </c>
    </row>
    <row r="969" spans="1:15" hidden="1" x14ac:dyDescent="0.25">
      <c r="A969" s="8">
        <v>93</v>
      </c>
      <c r="B969" s="9" t="str">
        <f t="shared" si="340"/>
        <v>ЩУНп (P1)</v>
      </c>
      <c r="C969" s="9" t="s">
        <v>86</v>
      </c>
      <c r="D969" s="9" t="s">
        <v>596</v>
      </c>
      <c r="E969" s="10" t="s">
        <v>597</v>
      </c>
      <c r="F969" s="11">
        <v>1280</v>
      </c>
      <c r="G969" s="11">
        <f>IF(F969="","",ROUND(F969*VLOOKUP(K969,Kurallar!$D$3:$E$14,2,0),2))</f>
        <v>768</v>
      </c>
      <c r="H969" s="11">
        <f t="shared" si="343"/>
        <v>5376</v>
      </c>
      <c r="I969" s="8">
        <v>7</v>
      </c>
      <c r="J969" s="8" t="s">
        <v>23</v>
      </c>
      <c r="K969" s="8" t="s">
        <v>29</v>
      </c>
      <c r="L969" s="11">
        <f t="shared" si="344"/>
        <v>5376</v>
      </c>
      <c r="M969" s="9" t="s">
        <v>86</v>
      </c>
      <c r="N969" s="8" t="s">
        <v>89</v>
      </c>
      <c r="O969" s="8">
        <f>IFERROR(VLOOKUP(N969,Kurallar!$G$3:$H$22,2,0),0)</f>
        <v>5</v>
      </c>
    </row>
    <row r="970" spans="1:15" hidden="1" x14ac:dyDescent="0.25">
      <c r="A970" s="8">
        <v>93</v>
      </c>
      <c r="B970" s="9" t="str">
        <f t="shared" si="340"/>
        <v>ЩУНп (P1)</v>
      </c>
      <c r="C970" s="9" t="s">
        <v>62</v>
      </c>
      <c r="D970" s="9" t="s">
        <v>592</v>
      </c>
      <c r="E970" s="10" t="s">
        <v>593</v>
      </c>
      <c r="F970" s="11">
        <v>80</v>
      </c>
      <c r="G970" s="11">
        <f>IF(F970="","",ROUND(F970*VLOOKUP(K970,Kurallar!$D$3:$E$14,2,0),2))</f>
        <v>48</v>
      </c>
      <c r="H970" s="11">
        <f t="shared" si="343"/>
        <v>336</v>
      </c>
      <c r="I970" s="8">
        <v>7</v>
      </c>
      <c r="J970" s="8" t="s">
        <v>23</v>
      </c>
      <c r="K970" s="8" t="s">
        <v>29</v>
      </c>
      <c r="L970" s="11">
        <f t="shared" si="344"/>
        <v>336</v>
      </c>
      <c r="M970" s="9" t="s">
        <v>62</v>
      </c>
      <c r="N970" s="8" t="s">
        <v>66</v>
      </c>
      <c r="O970" s="8">
        <f>IFERROR(VLOOKUP(N970,Kurallar!$G$3:$H$22,2,0),0)</f>
        <v>5</v>
      </c>
    </row>
    <row r="971" spans="1:15" ht="24" hidden="1" x14ac:dyDescent="0.25">
      <c r="A971" s="8">
        <v>93</v>
      </c>
      <c r="B971" s="9" t="str">
        <f t="shared" si="340"/>
        <v>ЩУНп (P1)</v>
      </c>
      <c r="C971" s="9" t="s">
        <v>62</v>
      </c>
      <c r="D971" s="9" t="s">
        <v>598</v>
      </c>
      <c r="E971" s="10" t="s">
        <v>599</v>
      </c>
      <c r="F971" s="11">
        <v>7799</v>
      </c>
      <c r="G971" s="11">
        <f>IF(F971="","",ROUND(F971*VLOOKUP(K971,Kurallar!$D$3:$E$14,2,0),2))</f>
        <v>4679.3999999999996</v>
      </c>
      <c r="H971" s="11">
        <f t="shared" si="343"/>
        <v>9358.7999999999993</v>
      </c>
      <c r="I971" s="8">
        <v>2</v>
      </c>
      <c r="J971" s="8" t="s">
        <v>23</v>
      </c>
      <c r="K971" s="8" t="s">
        <v>29</v>
      </c>
      <c r="L971" s="11">
        <f t="shared" si="344"/>
        <v>9358.7999999999993</v>
      </c>
      <c r="M971" s="9" t="s">
        <v>62</v>
      </c>
      <c r="N971" s="8" t="s">
        <v>66</v>
      </c>
      <c r="O971" s="8">
        <f>IFERROR(VLOOKUP(N971,Kurallar!$G$3:$H$22,2,0),0)</f>
        <v>5</v>
      </c>
    </row>
    <row r="972" spans="1:15" hidden="1" x14ac:dyDescent="0.25">
      <c r="A972" s="8">
        <v>93</v>
      </c>
      <c r="B972" s="9" t="str">
        <f t="shared" si="340"/>
        <v>ЩУНп (P1)</v>
      </c>
      <c r="C972" s="9" t="s">
        <v>86</v>
      </c>
      <c r="D972" s="9" t="s">
        <v>600</v>
      </c>
      <c r="E972" s="10" t="s">
        <v>601</v>
      </c>
      <c r="F972" s="11">
        <v>689</v>
      </c>
      <c r="G972" s="11">
        <f>IF(F972="","",ROUND(F972*VLOOKUP(K972,Kurallar!$D$3:$E$14,2,0),2))</f>
        <v>413.4</v>
      </c>
      <c r="H972" s="11">
        <f t="shared" si="343"/>
        <v>1240.1999999999998</v>
      </c>
      <c r="I972" s="8">
        <v>3</v>
      </c>
      <c r="J972" s="8" t="s">
        <v>23</v>
      </c>
      <c r="K972" s="8" t="s">
        <v>29</v>
      </c>
      <c r="L972" s="11">
        <f t="shared" si="344"/>
        <v>1240.1999999999998</v>
      </c>
      <c r="M972" s="9" t="s">
        <v>86</v>
      </c>
      <c r="N972" s="8" t="s">
        <v>89</v>
      </c>
      <c r="O972" s="8">
        <f>IFERROR(VLOOKUP(N972,Kurallar!$G$3:$H$22,2,0),0)</f>
        <v>5</v>
      </c>
    </row>
    <row r="973" spans="1:15" hidden="1" x14ac:dyDescent="0.25">
      <c r="A973" s="8">
        <v>93</v>
      </c>
      <c r="B973" s="9" t="str">
        <f t="shared" si="340"/>
        <v>ЩУНп (P1)</v>
      </c>
      <c r="C973" s="9" t="s">
        <v>86</v>
      </c>
      <c r="D973" s="9" t="s">
        <v>602</v>
      </c>
      <c r="E973" s="10" t="s">
        <v>603</v>
      </c>
      <c r="F973" s="11">
        <v>689</v>
      </c>
      <c r="G973" s="11">
        <f>IF(F973="","",ROUND(F973*VLOOKUP(K973,Kurallar!$D$3:$E$14,2,0),2))</f>
        <v>413.4</v>
      </c>
      <c r="H973" s="11">
        <f t="shared" si="343"/>
        <v>1240.1999999999998</v>
      </c>
      <c r="I973" s="8">
        <v>3</v>
      </c>
      <c r="J973" s="8" t="s">
        <v>23</v>
      </c>
      <c r="K973" s="8" t="s">
        <v>29</v>
      </c>
      <c r="L973" s="11">
        <f t="shared" si="344"/>
        <v>1240.1999999999998</v>
      </c>
      <c r="M973" s="9" t="s">
        <v>86</v>
      </c>
      <c r="N973" s="8" t="s">
        <v>89</v>
      </c>
      <c r="O973" s="8">
        <f>IFERROR(VLOOKUP(N973,Kurallar!$G$3:$H$22,2,0),0)</f>
        <v>5</v>
      </c>
    </row>
    <row r="974" spans="1:15" hidden="1" x14ac:dyDescent="0.25">
      <c r="A974" s="8">
        <v>93</v>
      </c>
      <c r="B974" s="9" t="str">
        <f t="shared" si="340"/>
        <v>ЩУНп (P1)</v>
      </c>
      <c r="C974" s="9" t="s">
        <v>86</v>
      </c>
      <c r="D974" s="9" t="s">
        <v>539</v>
      </c>
      <c r="E974" s="10" t="s">
        <v>540</v>
      </c>
      <c r="F974" s="11">
        <v>1836</v>
      </c>
      <c r="G974" s="11">
        <f>IF(F974="","",ROUND(F974*VLOOKUP(K974,Kurallar!$D$3:$E$14,2,0),2))</f>
        <v>1101.5999999999999</v>
      </c>
      <c r="H974" s="11">
        <f t="shared" si="343"/>
        <v>4406.3999999999996</v>
      </c>
      <c r="I974" s="8">
        <v>4</v>
      </c>
      <c r="J974" s="8" t="s">
        <v>23</v>
      </c>
      <c r="K974" s="8" t="s">
        <v>29</v>
      </c>
      <c r="L974" s="11">
        <f t="shared" si="344"/>
        <v>4406.3999999999996</v>
      </c>
      <c r="M974" s="9" t="s">
        <v>86</v>
      </c>
      <c r="N974" s="8" t="s">
        <v>89</v>
      </c>
      <c r="O974" s="8">
        <f>IFERROR(VLOOKUP(N974,Kurallar!$G$3:$H$22,2,0),0)</f>
        <v>5</v>
      </c>
    </row>
    <row r="975" spans="1:15" hidden="1" x14ac:dyDescent="0.25">
      <c r="A975" s="8">
        <v>93</v>
      </c>
      <c r="B975" s="9" t="str">
        <f t="shared" si="340"/>
        <v>ЩУНп (P1)</v>
      </c>
      <c r="C975" s="9" t="s">
        <v>86</v>
      </c>
      <c r="D975" s="9" t="s">
        <v>604</v>
      </c>
      <c r="E975" s="10" t="s">
        <v>605</v>
      </c>
      <c r="F975" s="11">
        <v>360</v>
      </c>
      <c r="G975" s="11">
        <f>IF(F975="","",ROUND(F975*VLOOKUP(K975,Kurallar!$D$3:$E$14,2,0),2))</f>
        <v>216</v>
      </c>
      <c r="H975" s="11">
        <f t="shared" si="343"/>
        <v>1296</v>
      </c>
      <c r="I975" s="8">
        <v>6</v>
      </c>
      <c r="J975" s="8" t="s">
        <v>23</v>
      </c>
      <c r="K975" s="8" t="s">
        <v>29</v>
      </c>
      <c r="L975" s="11">
        <f t="shared" si="344"/>
        <v>1296</v>
      </c>
      <c r="M975" s="9" t="s">
        <v>86</v>
      </c>
      <c r="N975" s="8" t="s">
        <v>89</v>
      </c>
      <c r="O975" s="8">
        <f>IFERROR(VLOOKUP(N975,Kurallar!$G$3:$H$22,2,0),0)</f>
        <v>5</v>
      </c>
    </row>
    <row r="976" spans="1:15" hidden="1" x14ac:dyDescent="0.25">
      <c r="A976" s="8">
        <v>93</v>
      </c>
      <c r="B976" s="9" t="str">
        <f t="shared" si="340"/>
        <v>ЩУНп (P1)</v>
      </c>
      <c r="C976" s="9" t="s">
        <v>86</v>
      </c>
      <c r="D976" s="9" t="s">
        <v>606</v>
      </c>
      <c r="E976" s="10" t="s">
        <v>607</v>
      </c>
      <c r="F976" s="11">
        <v>350</v>
      </c>
      <c r="G976" s="11">
        <f>IF(F976="","",ROUND(F976*VLOOKUP(K976,Kurallar!$D$3:$E$14,2,0),2))</f>
        <v>210</v>
      </c>
      <c r="H976" s="11">
        <f t="shared" si="343"/>
        <v>420</v>
      </c>
      <c r="I976" s="8">
        <v>2</v>
      </c>
      <c r="J976" s="8" t="s">
        <v>23</v>
      </c>
      <c r="K976" s="8" t="s">
        <v>29</v>
      </c>
      <c r="L976" s="11">
        <f t="shared" si="344"/>
        <v>420</v>
      </c>
      <c r="M976" s="9" t="s">
        <v>86</v>
      </c>
      <c r="N976" s="8" t="s">
        <v>89</v>
      </c>
      <c r="O976" s="8">
        <f>IFERROR(VLOOKUP(N976,Kurallar!$G$3:$H$22,2,0),0)</f>
        <v>5</v>
      </c>
    </row>
    <row r="977" spans="1:15" hidden="1" x14ac:dyDescent="0.25">
      <c r="A977" s="8">
        <v>93</v>
      </c>
      <c r="B977" s="9" t="str">
        <f t="shared" si="340"/>
        <v>ЩУНп (P1)</v>
      </c>
      <c r="C977" s="9" t="s">
        <v>86</v>
      </c>
      <c r="D977" s="9" t="s">
        <v>118</v>
      </c>
      <c r="E977" s="10" t="s">
        <v>119</v>
      </c>
      <c r="F977" s="11">
        <v>589</v>
      </c>
      <c r="G977" s="11">
        <f>IF(F977="","",ROUND(F977*VLOOKUP(K977,Kurallar!$D$3:$E$14,2,0),2))</f>
        <v>353.4</v>
      </c>
      <c r="H977" s="11">
        <f t="shared" si="343"/>
        <v>1060.1999999999998</v>
      </c>
      <c r="I977" s="8">
        <v>3</v>
      </c>
      <c r="J977" s="8" t="s">
        <v>23</v>
      </c>
      <c r="K977" s="8" t="s">
        <v>29</v>
      </c>
      <c r="L977" s="11">
        <f t="shared" si="344"/>
        <v>1060.1999999999998</v>
      </c>
      <c r="M977" s="9" t="s">
        <v>86</v>
      </c>
      <c r="N977" s="8" t="s">
        <v>89</v>
      </c>
      <c r="O977" s="8">
        <f>IFERROR(VLOOKUP(N977,Kurallar!$G$3:$H$22,2,0),0)</f>
        <v>5</v>
      </c>
    </row>
    <row r="978" spans="1:15" hidden="1" x14ac:dyDescent="0.25">
      <c r="A978" s="8">
        <v>93</v>
      </c>
      <c r="B978" s="9" t="str">
        <f t="shared" si="340"/>
        <v>ЩУНп (P1)</v>
      </c>
      <c r="C978" s="9" t="s">
        <v>86</v>
      </c>
      <c r="D978" s="9" t="s">
        <v>116</v>
      </c>
      <c r="E978" s="10" t="s">
        <v>117</v>
      </c>
      <c r="F978" s="11">
        <v>571</v>
      </c>
      <c r="G978" s="11">
        <f>IF(F978="","",ROUND(F978*VLOOKUP(K978,Kurallar!$D$3:$E$14,2,0),2))</f>
        <v>342.6</v>
      </c>
      <c r="H978" s="11">
        <f t="shared" si="343"/>
        <v>2055.6000000000004</v>
      </c>
      <c r="I978" s="8">
        <v>6</v>
      </c>
      <c r="J978" s="8" t="s">
        <v>23</v>
      </c>
      <c r="K978" s="8" t="s">
        <v>29</v>
      </c>
      <c r="L978" s="11">
        <f t="shared" si="344"/>
        <v>2055.6000000000004</v>
      </c>
      <c r="M978" s="9" t="s">
        <v>86</v>
      </c>
      <c r="N978" s="8" t="s">
        <v>89</v>
      </c>
      <c r="O978" s="8">
        <f>IFERROR(VLOOKUP(N978,Kurallar!$G$3:$H$22,2,0),0)</f>
        <v>5</v>
      </c>
    </row>
    <row r="979" spans="1:15" hidden="1" x14ac:dyDescent="0.25">
      <c r="A979" s="8">
        <v>93</v>
      </c>
      <c r="B979" s="9" t="str">
        <f t="shared" si="340"/>
        <v>ЩУНп (P1)</v>
      </c>
      <c r="C979" s="9" t="s">
        <v>86</v>
      </c>
      <c r="D979" s="9" t="s">
        <v>120</v>
      </c>
      <c r="E979" s="10" t="s">
        <v>121</v>
      </c>
      <c r="F979" s="11">
        <v>571</v>
      </c>
      <c r="G979" s="11">
        <f>IF(F979="","",ROUND(F979*VLOOKUP(K979,Kurallar!$D$3:$E$14,2,0),2))</f>
        <v>342.6</v>
      </c>
      <c r="H979" s="11">
        <f t="shared" si="343"/>
        <v>1027.8000000000002</v>
      </c>
      <c r="I979" s="8">
        <v>3</v>
      </c>
      <c r="J979" s="8" t="s">
        <v>23</v>
      </c>
      <c r="K979" s="8" t="s">
        <v>29</v>
      </c>
      <c r="L979" s="11">
        <f t="shared" si="344"/>
        <v>1027.8000000000002</v>
      </c>
      <c r="M979" s="9" t="s">
        <v>86</v>
      </c>
      <c r="N979" s="8" t="s">
        <v>89</v>
      </c>
      <c r="O979" s="8">
        <f>IFERROR(VLOOKUP(N979,Kurallar!$G$3:$H$22,2,0),0)</f>
        <v>5</v>
      </c>
    </row>
    <row r="980" spans="1:15" hidden="1" x14ac:dyDescent="0.25">
      <c r="A980" s="8">
        <v>93</v>
      </c>
      <c r="B980" s="9" t="str">
        <f t="shared" si="340"/>
        <v>ЩУНп (P1)</v>
      </c>
      <c r="C980" s="9" t="s">
        <v>31</v>
      </c>
      <c r="E980" s="9" t="s">
        <v>32</v>
      </c>
      <c r="F980" s="11"/>
      <c r="G980" s="11">
        <f>ROUND(SUM(H953:H979)*Kurallar!$B$2,2)</f>
        <v>13969.15</v>
      </c>
      <c r="H980" s="11">
        <f>G980*I980</f>
        <v>13969.15</v>
      </c>
      <c r="I980" s="8">
        <v>1</v>
      </c>
      <c r="J980" s="8" t="s">
        <v>19</v>
      </c>
      <c r="K980" s="8" t="s">
        <v>33</v>
      </c>
      <c r="L980" s="11">
        <f>H980*$I$952</f>
        <v>13969.15</v>
      </c>
      <c r="M980" s="9" t="s">
        <v>31</v>
      </c>
    </row>
    <row r="981" spans="1:15" hidden="1" x14ac:dyDescent="0.25">
      <c r="A981" s="8">
        <v>93</v>
      </c>
      <c r="B981" s="9" t="str">
        <f t="shared" si="340"/>
        <v>ЩУНп (P1)</v>
      </c>
      <c r="C981" s="9" t="s">
        <v>34</v>
      </c>
      <c r="E981" s="9" t="s">
        <v>35</v>
      </c>
      <c r="F981" s="11">
        <f>ROUND(I981/60,1)</f>
        <v>9.8000000000000007</v>
      </c>
      <c r="G981" s="11">
        <f>Kurallar!$B$3</f>
        <v>100</v>
      </c>
      <c r="H981" s="11">
        <f>G981*I981</f>
        <v>58700</v>
      </c>
      <c r="I981" s="8">
        <f>ROUND(SUMPRODUCT(I953:I979,O953:O979)*Kurallar!$B$4,0)</f>
        <v>587</v>
      </c>
      <c r="J981" s="8" t="s">
        <v>36</v>
      </c>
      <c r="K981" s="8" t="s">
        <v>33</v>
      </c>
      <c r="L981" s="11">
        <f>H981*$I$952</f>
        <v>58700</v>
      </c>
      <c r="M981" s="9" t="s">
        <v>34</v>
      </c>
    </row>
    <row r="982" spans="1:15" hidden="1" x14ac:dyDescent="0.25">
      <c r="A982" s="12"/>
      <c r="B982" s="13" t="s">
        <v>608</v>
      </c>
      <c r="C982" s="12"/>
      <c r="D982" s="12"/>
      <c r="E982" s="13" t="s">
        <v>609</v>
      </c>
      <c r="F982" s="12"/>
      <c r="G982" s="12"/>
      <c r="H982" s="14">
        <f>SUBTOTAL(9,H953:H981)</f>
        <v>0</v>
      </c>
      <c r="I982" s="15">
        <v>1</v>
      </c>
      <c r="J982" s="15" t="s">
        <v>19</v>
      </c>
      <c r="K982" s="12"/>
      <c r="L982" s="14">
        <f>SUBTOTAL(9,L953:L981)</f>
        <v>0</v>
      </c>
      <c r="M982" s="12"/>
      <c r="N982" s="12"/>
      <c r="O982" s="12"/>
    </row>
    <row r="983" spans="1:15" hidden="1" x14ac:dyDescent="0.25">
      <c r="A983" s="4">
        <v>94</v>
      </c>
      <c r="B983" s="5" t="s">
        <v>610</v>
      </c>
      <c r="C983" s="6" t="s">
        <v>18</v>
      </c>
      <c r="D983" s="6"/>
      <c r="E983" s="7" t="s">
        <v>610</v>
      </c>
      <c r="F983" s="6"/>
      <c r="G983" s="6"/>
      <c r="H983" s="6"/>
      <c r="I983" s="4">
        <v>1</v>
      </c>
      <c r="J983" s="4" t="s">
        <v>19</v>
      </c>
      <c r="K983" s="6"/>
      <c r="L983" s="6"/>
      <c r="M983" s="6"/>
      <c r="N983" s="6"/>
      <c r="O983" s="6"/>
    </row>
    <row r="984" spans="1:15" hidden="1" x14ac:dyDescent="0.25">
      <c r="A984" s="8">
        <v>94</v>
      </c>
      <c r="B984" s="9" t="str">
        <f t="shared" ref="B984:B993" si="345">B983</f>
        <v>КРМ (УКРМ-0,4-10-2,5 У3) (P1)</v>
      </c>
      <c r="C984" s="9" t="s">
        <v>20</v>
      </c>
      <c r="D984" s="9" t="s">
        <v>770</v>
      </c>
      <c r="E984" s="10" t="s">
        <v>771</v>
      </c>
      <c r="F984" s="11">
        <v>30540</v>
      </c>
      <c r="G984" s="11">
        <f>IF(F984="","",ROUND(F984*VLOOKUP(K984,Kurallar!$D$3:$E$14,2,0),2))</f>
        <v>18324</v>
      </c>
      <c r="H984" s="11">
        <f t="shared" ref="H984" si="346">IF(G984="","",G984*I984)</f>
        <v>18324</v>
      </c>
      <c r="I984" s="8">
        <v>1</v>
      </c>
      <c r="J984" s="8" t="s">
        <v>23</v>
      </c>
      <c r="K984" s="8" t="s">
        <v>24</v>
      </c>
      <c r="L984" s="11">
        <f t="shared" ref="L984" si="347">IF(H984="","",H984*$I$181)</f>
        <v>18324</v>
      </c>
      <c r="M984" s="9" t="s">
        <v>20</v>
      </c>
      <c r="N984" s="8" t="s">
        <v>75</v>
      </c>
      <c r="O984" s="8">
        <f>IFERROR(VLOOKUP(N984,Kurallar!$G$3:$H$22,2,0),0)</f>
        <v>30</v>
      </c>
    </row>
    <row r="985" spans="1:15" hidden="1" x14ac:dyDescent="0.25">
      <c r="A985" s="8">
        <v>94</v>
      </c>
      <c r="B985" s="9" t="str">
        <f t="shared" si="345"/>
        <v>КРМ (УКРМ-0,4-10-2,5 У3) (P1)</v>
      </c>
      <c r="C985" s="9" t="s">
        <v>26</v>
      </c>
      <c r="D985" s="9" t="s">
        <v>376</v>
      </c>
      <c r="E985" s="10" t="s">
        <v>377</v>
      </c>
      <c r="F985" s="11">
        <v>3372</v>
      </c>
      <c r="G985" s="11">
        <f>IF(F985="","",ROUND(F985*VLOOKUP(K985,Kurallar!$D$3:$E$14,2,0),2))</f>
        <v>2023.2</v>
      </c>
      <c r="H985" s="11">
        <f t="shared" ref="H985:H991" si="348">IF(G985="","",G985*I985)</f>
        <v>2023.2</v>
      </c>
      <c r="I985" s="8">
        <v>1</v>
      </c>
      <c r="J985" s="8" t="s">
        <v>23</v>
      </c>
      <c r="K985" s="8" t="s">
        <v>29</v>
      </c>
      <c r="L985" s="11">
        <f t="shared" ref="L985:L991" si="349">IF(H985="","",H985*$I$983)</f>
        <v>2023.2</v>
      </c>
      <c r="M985" s="9" t="s">
        <v>26</v>
      </c>
      <c r="N985" s="8" t="s">
        <v>42</v>
      </c>
      <c r="O985" s="8">
        <f>IFERROR(VLOOKUP(N985,Kurallar!$G$3:$H$22,2,0),0)</f>
        <v>15</v>
      </c>
    </row>
    <row r="986" spans="1:15" hidden="1" x14ac:dyDescent="0.25">
      <c r="A986" s="8">
        <v>94</v>
      </c>
      <c r="B986" s="9" t="str">
        <f t="shared" si="345"/>
        <v>КРМ (УКРМ-0,4-10-2,5 У3) (P1)</v>
      </c>
      <c r="C986" s="9" t="s">
        <v>54</v>
      </c>
      <c r="D986" s="9" t="s">
        <v>247</v>
      </c>
      <c r="E986" s="10" t="s">
        <v>248</v>
      </c>
      <c r="F986" s="11">
        <v>2429</v>
      </c>
      <c r="G986" s="11">
        <f>IF(F986="","",ROUND(F986*VLOOKUP(K986,Kurallar!$D$3:$E$14,2,0),2))</f>
        <v>1457.4</v>
      </c>
      <c r="H986" s="11">
        <f t="shared" si="348"/>
        <v>1457.4</v>
      </c>
      <c r="I986" s="8">
        <v>1</v>
      </c>
      <c r="J986" s="8" t="s">
        <v>23</v>
      </c>
      <c r="K986" s="8" t="s">
        <v>29</v>
      </c>
      <c r="L986" s="11">
        <f t="shared" si="349"/>
        <v>1457.4</v>
      </c>
      <c r="M986" s="9" t="s">
        <v>54</v>
      </c>
      <c r="N986" s="8" t="s">
        <v>113</v>
      </c>
      <c r="O986" s="8">
        <f>IFERROR(VLOOKUP(N986,Kurallar!$G$3:$H$22,2,0),0)</f>
        <v>10</v>
      </c>
    </row>
    <row r="987" spans="1:15" hidden="1" x14ac:dyDescent="0.25">
      <c r="A987" s="8">
        <v>94</v>
      </c>
      <c r="B987" s="9" t="str">
        <f t="shared" si="345"/>
        <v>КРМ (УКРМ-0,4-10-2,5 У3) (P1)</v>
      </c>
      <c r="C987" s="9" t="s">
        <v>54</v>
      </c>
      <c r="D987" s="9" t="s">
        <v>55</v>
      </c>
      <c r="E987" s="10" t="s">
        <v>56</v>
      </c>
      <c r="F987" s="11">
        <v>975</v>
      </c>
      <c r="G987" s="11">
        <f>IF(F987="","",ROUND(F987*VLOOKUP(K987,Kurallar!$D$3:$E$14,2,0),2))</f>
        <v>585</v>
      </c>
      <c r="H987" s="11">
        <f t="shared" si="348"/>
        <v>1755</v>
      </c>
      <c r="I987" s="8">
        <v>3</v>
      </c>
      <c r="J987" s="8" t="s">
        <v>23</v>
      </c>
      <c r="K987" s="8" t="s">
        <v>29</v>
      </c>
      <c r="L987" s="11">
        <f t="shared" si="349"/>
        <v>1755</v>
      </c>
      <c r="M987" s="9" t="s">
        <v>54</v>
      </c>
      <c r="N987" s="8" t="s">
        <v>57</v>
      </c>
      <c r="O987" s="8">
        <f>IFERROR(VLOOKUP(N987,Kurallar!$G$3:$H$22,2,0),0)</f>
        <v>3</v>
      </c>
    </row>
    <row r="988" spans="1:15" ht="24" hidden="1" x14ac:dyDescent="0.25">
      <c r="A988" s="8">
        <v>94</v>
      </c>
      <c r="B988" s="9" t="str">
        <f t="shared" si="345"/>
        <v>КРМ (УКРМ-0,4-10-2,5 У3) (P1)</v>
      </c>
      <c r="C988" s="9" t="s">
        <v>58</v>
      </c>
      <c r="D988" s="9" t="s">
        <v>764</v>
      </c>
      <c r="E988" s="10" t="s">
        <v>765</v>
      </c>
      <c r="F988" s="11">
        <v>13217</v>
      </c>
      <c r="G988" s="11">
        <f>IF(F988="","",ROUND(F988*VLOOKUP(K988,Kurallar!$D$3:$E$14,2,0),2))</f>
        <v>7930.2</v>
      </c>
      <c r="H988" s="11">
        <f t="shared" si="348"/>
        <v>23790.6</v>
      </c>
      <c r="I988" s="8">
        <v>3</v>
      </c>
      <c r="J988" s="8" t="s">
        <v>23</v>
      </c>
      <c r="K988" s="8" t="s">
        <v>29</v>
      </c>
      <c r="L988" s="11">
        <f t="shared" si="349"/>
        <v>23790.6</v>
      </c>
      <c r="M988" s="9" t="s">
        <v>58</v>
      </c>
      <c r="N988" s="8" t="s">
        <v>61</v>
      </c>
      <c r="O988" s="8">
        <f>IFERROR(VLOOKUP(N988,Kurallar!$G$3:$H$22,2,0),0)</f>
        <v>15</v>
      </c>
    </row>
    <row r="989" spans="1:15" hidden="1" x14ac:dyDescent="0.25">
      <c r="A989" s="8">
        <v>94</v>
      </c>
      <c r="B989" s="9" t="str">
        <f t="shared" si="345"/>
        <v>КРМ (УКРМ-0,4-10-2,5 У3) (P1)</v>
      </c>
      <c r="C989" s="9" t="s">
        <v>86</v>
      </c>
      <c r="D989" s="9" t="s">
        <v>235</v>
      </c>
      <c r="E989" s="10" t="s">
        <v>236</v>
      </c>
      <c r="F989" s="11">
        <v>1306</v>
      </c>
      <c r="G989" s="11">
        <f>IF(F989="","",ROUND(F989*VLOOKUP(K989,Kurallar!$D$3:$E$14,2,0),2))</f>
        <v>783.6</v>
      </c>
      <c r="H989" s="11">
        <f t="shared" si="348"/>
        <v>783.6</v>
      </c>
      <c r="I989" s="8">
        <v>1</v>
      </c>
      <c r="J989" s="8" t="s">
        <v>23</v>
      </c>
      <c r="K989" s="8" t="s">
        <v>29</v>
      </c>
      <c r="L989" s="11">
        <f t="shared" si="349"/>
        <v>783.6</v>
      </c>
      <c r="M989" s="9" t="s">
        <v>86</v>
      </c>
      <c r="N989" s="8" t="s">
        <v>89</v>
      </c>
      <c r="O989" s="8">
        <f>IFERROR(VLOOKUP(N989,Kurallar!$G$3:$H$22,2,0),0)</f>
        <v>5</v>
      </c>
    </row>
    <row r="990" spans="1:15" hidden="1" x14ac:dyDescent="0.25">
      <c r="A990" s="8">
        <v>94</v>
      </c>
      <c r="B990" s="9" t="str">
        <f t="shared" si="345"/>
        <v>КРМ (УКРМ-0,4-10-2,5 У3) (P1)</v>
      </c>
      <c r="C990" s="9" t="s">
        <v>86</v>
      </c>
      <c r="D990" s="9" t="s">
        <v>766</v>
      </c>
      <c r="E990" s="10" t="s">
        <v>767</v>
      </c>
      <c r="F990" s="11">
        <v>17619</v>
      </c>
      <c r="G990" s="11">
        <f>IF(F990="","",ROUND(F990*VLOOKUP(K990,Kurallar!$D$3:$E$14,2,0),2))</f>
        <v>10571.4</v>
      </c>
      <c r="H990" s="11">
        <f t="shared" si="348"/>
        <v>31714.199999999997</v>
      </c>
      <c r="I990" s="8">
        <v>3</v>
      </c>
      <c r="J990" s="8" t="s">
        <v>23</v>
      </c>
      <c r="K990" s="8" t="s">
        <v>29</v>
      </c>
      <c r="L990" s="11">
        <f t="shared" si="349"/>
        <v>31714.199999999997</v>
      </c>
      <c r="M990" s="9" t="s">
        <v>86</v>
      </c>
      <c r="N990" s="8" t="s">
        <v>89</v>
      </c>
      <c r="O990" s="8">
        <f>IFERROR(VLOOKUP(N990,Kurallar!$G$3:$H$22,2,0),0)</f>
        <v>5</v>
      </c>
    </row>
    <row r="991" spans="1:15" hidden="1" x14ac:dyDescent="0.25">
      <c r="A991" s="8">
        <v>94</v>
      </c>
      <c r="B991" s="9" t="str">
        <f t="shared" si="345"/>
        <v>КРМ (УКРМ-0,4-10-2,5 У3) (P1)</v>
      </c>
      <c r="C991" s="9" t="s">
        <v>62</v>
      </c>
      <c r="D991" s="9" t="s">
        <v>378</v>
      </c>
      <c r="E991" s="10" t="s">
        <v>379</v>
      </c>
      <c r="F991" s="11">
        <v>70078</v>
      </c>
      <c r="G991" s="11">
        <f>IF(F991="","",ROUND(F991*VLOOKUP(K991,Kurallar!$D$3:$E$14,2,0),2))</f>
        <v>42046.8</v>
      </c>
      <c r="H991" s="11">
        <f t="shared" si="348"/>
        <v>42046.8</v>
      </c>
      <c r="I991" s="8">
        <v>1</v>
      </c>
      <c r="J991" s="8" t="s">
        <v>23</v>
      </c>
      <c r="K991" s="8" t="s">
        <v>29</v>
      </c>
      <c r="L991" s="11">
        <f t="shared" si="349"/>
        <v>42046.8</v>
      </c>
      <c r="M991" s="9" t="s">
        <v>62</v>
      </c>
      <c r="N991" s="8" t="s">
        <v>66</v>
      </c>
      <c r="O991" s="8">
        <f>IFERROR(VLOOKUP(N991,Kurallar!$G$3:$H$22,2,0),0)</f>
        <v>5</v>
      </c>
    </row>
    <row r="992" spans="1:15" hidden="1" x14ac:dyDescent="0.25">
      <c r="A992" s="8">
        <v>94</v>
      </c>
      <c r="B992" t="str">
        <f t="shared" si="345"/>
        <v>КРМ (УКРМ-0,4-10-2,5 У3) (P1)</v>
      </c>
      <c r="C992" s="9" t="s">
        <v>31</v>
      </c>
      <c r="E992" s="9" t="s">
        <v>32</v>
      </c>
      <c r="F992" s="11"/>
      <c r="G992" s="11">
        <f>ROUND(SUM(H984:H991)*Kurallar!$B$2,2)</f>
        <v>14627.38</v>
      </c>
      <c r="H992" s="11">
        <f>G992*I992</f>
        <v>14627.38</v>
      </c>
      <c r="I992" s="8">
        <v>1</v>
      </c>
      <c r="J992" s="8" t="s">
        <v>19</v>
      </c>
      <c r="K992" s="8" t="s">
        <v>33</v>
      </c>
      <c r="L992" s="11">
        <f>H992*$I$983</f>
        <v>14627.38</v>
      </c>
      <c r="M992" s="9" t="s">
        <v>31</v>
      </c>
    </row>
    <row r="993" spans="1:15" hidden="1" x14ac:dyDescent="0.25">
      <c r="A993" s="8">
        <v>94</v>
      </c>
      <c r="B993" t="str">
        <f t="shared" si="345"/>
        <v>КРМ (УКРМ-0,4-10-2,5 У3) (P1)</v>
      </c>
      <c r="C993" s="9" t="s">
        <v>34</v>
      </c>
      <c r="E993" s="9" t="s">
        <v>35</v>
      </c>
      <c r="F993" s="11">
        <f>ROUND(I993/60,1)</f>
        <v>2.6</v>
      </c>
      <c r="G993" s="11">
        <f>Kurallar!$B$3</f>
        <v>100</v>
      </c>
      <c r="H993" s="11">
        <f>G993*I993</f>
        <v>15400</v>
      </c>
      <c r="I993" s="8">
        <f>ROUND(SUMPRODUCT(I984:I991,O984:O991)*Kurallar!$B$4,0)</f>
        <v>154</v>
      </c>
      <c r="J993" s="8" t="s">
        <v>36</v>
      </c>
      <c r="K993" s="8" t="s">
        <v>33</v>
      </c>
      <c r="L993" s="11">
        <f>H993*$I$983</f>
        <v>15400</v>
      </c>
      <c r="M993" s="9" t="s">
        <v>34</v>
      </c>
    </row>
    <row r="994" spans="1:15" hidden="1" x14ac:dyDescent="0.25">
      <c r="A994" s="12"/>
      <c r="B994" s="13" t="s">
        <v>611</v>
      </c>
      <c r="C994" s="12"/>
      <c r="D994" s="12"/>
      <c r="E994" s="13" t="s">
        <v>612</v>
      </c>
      <c r="F994" s="12"/>
      <c r="G994" s="12"/>
      <c r="H994" s="14">
        <f>SUBTOTAL(9,H984:H993)</f>
        <v>0</v>
      </c>
      <c r="I994" s="15">
        <v>1</v>
      </c>
      <c r="J994" s="15" t="s">
        <v>19</v>
      </c>
      <c r="K994" s="12"/>
      <c r="L994" s="14">
        <f>SUBTOTAL(9,L984:L993)</f>
        <v>0</v>
      </c>
      <c r="M994" s="12"/>
      <c r="N994" s="12"/>
      <c r="O994" s="12"/>
    </row>
    <row r="995" spans="1:15" x14ac:dyDescent="0.25">
      <c r="A995" s="17"/>
      <c r="B995" s="18" t="s">
        <v>613</v>
      </c>
      <c r="C995" s="17"/>
      <c r="D995" s="17"/>
      <c r="E995" s="18" t="s">
        <v>614</v>
      </c>
      <c r="F995" s="17"/>
      <c r="G995" s="17"/>
      <c r="H995" s="17"/>
      <c r="I995" s="17"/>
      <c r="J995" s="17"/>
      <c r="K995" s="17"/>
      <c r="L995" s="19">
        <f>SUBTOTAL(9,L5:L994)</f>
        <v>2317668.9499999997</v>
      </c>
      <c r="M995" s="17"/>
      <c r="N995" s="17"/>
      <c r="O995" s="17"/>
    </row>
  </sheetData>
  <autoFilter ref="A4:O994" xr:uid="{00000000-0001-0000-0000-000000000000}">
    <filterColumn colId="1">
      <filters>
        <filter val="Toplam АВР (P1)"/>
        <filter val="Toplam АВР-160А (ША8333-160-74 УХЛ4) (S3)"/>
        <filter val="Toplam АВР-160А (ША8333-160-74 УХЛ4) (S5)"/>
        <filter val="Toplam ЩАВР (S3)"/>
        <filter val="Toplam ЩАВР (S5)"/>
        <filter val="Toplam ЩР-АВР(ПР11-3067-54 У1) (P1)"/>
        <filter val="АВР (P1)"/>
        <filter val="АВР-160А (ША8333-160-74 УХЛ4) (S3)"/>
        <filter val="АВР-160А (ША8333-160-74 УХЛ4) (S5)"/>
        <filter val="ЩАВР (S3)"/>
        <filter val="ЩАВР (S5)"/>
        <filter val="ЩР-АВР(ПР11-3067-54 У1) (P1)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8"/>
  <sheetViews>
    <sheetView topLeftCell="A65" zoomScaleNormal="100" workbookViewId="0">
      <selection activeCell="E4" sqref="E4:E97"/>
    </sheetView>
  </sheetViews>
  <sheetFormatPr defaultColWidth="8.7109375" defaultRowHeight="15" x14ac:dyDescent="0.25"/>
  <cols>
    <col min="1" max="1" width="5" customWidth="1"/>
    <col min="2" max="2" width="40" customWidth="1"/>
    <col min="3" max="3" width="11" customWidth="1"/>
    <col min="4" max="5" width="18" customWidth="1"/>
    <col min="6" max="6" width="18.28515625" customWidth="1"/>
  </cols>
  <sheetData>
    <row r="1" spans="1:6" ht="15.75" x14ac:dyDescent="0.25">
      <c r="A1" s="1" t="s">
        <v>615</v>
      </c>
    </row>
    <row r="3" spans="1:6" x14ac:dyDescent="0.25">
      <c r="A3" s="20" t="s">
        <v>616</v>
      </c>
      <c r="B3" s="20" t="s">
        <v>617</v>
      </c>
      <c r="C3" s="20" t="s">
        <v>618</v>
      </c>
      <c r="D3" s="20" t="s">
        <v>619</v>
      </c>
      <c r="E3" s="20" t="s">
        <v>620</v>
      </c>
      <c r="F3" s="20" t="s">
        <v>621</v>
      </c>
    </row>
    <row r="4" spans="1:6" x14ac:dyDescent="0.25">
      <c r="A4" s="21">
        <v>1</v>
      </c>
      <c r="B4" s="22" t="s">
        <v>17</v>
      </c>
      <c r="C4" s="21">
        <v>1</v>
      </c>
      <c r="D4" s="23">
        <f>BOM!H10</f>
        <v>0</v>
      </c>
      <c r="E4" s="23">
        <f>BOM!L10</f>
        <v>0</v>
      </c>
      <c r="F4" s="21">
        <v>9</v>
      </c>
    </row>
    <row r="5" spans="1:6" x14ac:dyDescent="0.25">
      <c r="A5" s="21">
        <v>2</v>
      </c>
      <c r="B5" s="22" t="s">
        <v>39</v>
      </c>
      <c r="C5" s="21">
        <v>1</v>
      </c>
      <c r="D5" s="23">
        <f>BOM!H16</f>
        <v>0</v>
      </c>
      <c r="E5" s="23">
        <f>BOM!L16</f>
        <v>0</v>
      </c>
      <c r="F5" s="21">
        <v>15</v>
      </c>
    </row>
    <row r="6" spans="1:6" x14ac:dyDescent="0.25">
      <c r="A6" s="21">
        <v>3</v>
      </c>
      <c r="B6" s="22" t="s">
        <v>45</v>
      </c>
      <c r="C6" s="21">
        <v>1</v>
      </c>
      <c r="D6" s="23">
        <f>BOM!H27</f>
        <v>0</v>
      </c>
      <c r="E6" s="23">
        <f>BOM!L27</f>
        <v>0</v>
      </c>
      <c r="F6" s="21">
        <v>26</v>
      </c>
    </row>
    <row r="7" spans="1:6" x14ac:dyDescent="0.25">
      <c r="A7" s="21">
        <v>4</v>
      </c>
      <c r="B7" s="22" t="s">
        <v>73</v>
      </c>
      <c r="C7" s="21">
        <v>8</v>
      </c>
      <c r="D7" s="23">
        <f>BOM!H37</f>
        <v>0</v>
      </c>
      <c r="E7" s="23">
        <f>BOM!L37</f>
        <v>0</v>
      </c>
      <c r="F7" s="21">
        <v>36</v>
      </c>
    </row>
    <row r="8" spans="1:6" x14ac:dyDescent="0.25">
      <c r="A8" s="21">
        <v>5</v>
      </c>
      <c r="B8" s="22" t="s">
        <v>92</v>
      </c>
      <c r="C8" s="21">
        <v>16</v>
      </c>
      <c r="D8" s="23">
        <f>BOM!H48</f>
        <v>0</v>
      </c>
      <c r="E8" s="23">
        <f>BOM!L48</f>
        <v>0</v>
      </c>
      <c r="F8" s="21">
        <v>47</v>
      </c>
    </row>
    <row r="9" spans="1:6" x14ac:dyDescent="0.25">
      <c r="A9" s="21">
        <v>6</v>
      </c>
      <c r="B9" s="22" t="s">
        <v>105</v>
      </c>
      <c r="C9" s="21">
        <v>16</v>
      </c>
      <c r="D9" s="23">
        <f>BOM!H59</f>
        <v>0</v>
      </c>
      <c r="E9" s="23">
        <f>BOM!L59</f>
        <v>0</v>
      </c>
      <c r="F9" s="21">
        <v>58</v>
      </c>
    </row>
    <row r="10" spans="1:6" x14ac:dyDescent="0.25">
      <c r="A10" s="21">
        <v>7</v>
      </c>
      <c r="B10" s="22" t="s">
        <v>108</v>
      </c>
      <c r="C10" s="21">
        <v>1</v>
      </c>
      <c r="D10" s="23">
        <f>BOM!H74</f>
        <v>0</v>
      </c>
      <c r="E10" s="23">
        <f>BOM!L74</f>
        <v>0</v>
      </c>
      <c r="F10" s="21">
        <v>73</v>
      </c>
    </row>
    <row r="11" spans="1:6" x14ac:dyDescent="0.25">
      <c r="A11" s="21">
        <v>8</v>
      </c>
      <c r="B11" s="22" t="s">
        <v>134</v>
      </c>
      <c r="C11" s="21">
        <v>1</v>
      </c>
      <c r="D11" s="23">
        <f>BOM!H80</f>
        <v>0</v>
      </c>
      <c r="E11" s="23">
        <f>BOM!L80</f>
        <v>0</v>
      </c>
      <c r="F11" s="21">
        <v>79</v>
      </c>
    </row>
    <row r="12" spans="1:6" x14ac:dyDescent="0.25">
      <c r="A12" s="21">
        <v>9</v>
      </c>
      <c r="B12" s="22" t="s">
        <v>142</v>
      </c>
      <c r="C12" s="21">
        <v>1</v>
      </c>
      <c r="D12" s="23">
        <f>BOM!H86</f>
        <v>0</v>
      </c>
      <c r="E12" s="23">
        <f>BOM!L86</f>
        <v>0</v>
      </c>
      <c r="F12" s="21">
        <v>86</v>
      </c>
    </row>
    <row r="13" spans="1:6" x14ac:dyDescent="0.25">
      <c r="A13" s="21">
        <v>10</v>
      </c>
      <c r="B13" s="22" t="s">
        <v>152</v>
      </c>
      <c r="C13" s="21">
        <v>2</v>
      </c>
      <c r="D13" s="23">
        <f>BOM!H92</f>
        <v>0</v>
      </c>
      <c r="E13" s="23">
        <f>BOM!L92</f>
        <v>0</v>
      </c>
      <c r="F13" s="21">
        <v>92</v>
      </c>
    </row>
    <row r="14" spans="1:6" x14ac:dyDescent="0.25">
      <c r="A14" s="21">
        <v>11</v>
      </c>
      <c r="B14" s="22" t="s">
        <v>157</v>
      </c>
      <c r="C14" s="21">
        <v>1</v>
      </c>
      <c r="D14" s="23">
        <f>BOM!H98</f>
        <v>0</v>
      </c>
      <c r="E14" s="23">
        <f>BOM!L98</f>
        <v>0</v>
      </c>
      <c r="F14" s="21">
        <v>98</v>
      </c>
    </row>
    <row r="15" spans="1:6" x14ac:dyDescent="0.25">
      <c r="A15" s="21">
        <v>12</v>
      </c>
      <c r="B15" s="22" t="s">
        <v>160</v>
      </c>
      <c r="C15" s="21">
        <v>1</v>
      </c>
      <c r="D15" s="23">
        <f>BOM!H107</f>
        <v>0</v>
      </c>
      <c r="E15" s="23">
        <f>BOM!L107</f>
        <v>0</v>
      </c>
      <c r="F15" s="21">
        <v>107</v>
      </c>
    </row>
    <row r="16" spans="1:6" x14ac:dyDescent="0.25">
      <c r="A16" s="21">
        <v>13</v>
      </c>
      <c r="B16" s="22" t="s">
        <v>169</v>
      </c>
      <c r="C16" s="21">
        <v>1</v>
      </c>
      <c r="D16" s="23">
        <f>BOM!H118</f>
        <v>0</v>
      </c>
      <c r="E16" s="23">
        <f>BOM!L118</f>
        <v>0</v>
      </c>
      <c r="F16" s="21">
        <v>118</v>
      </c>
    </row>
    <row r="17" spans="1:6" x14ac:dyDescent="0.25">
      <c r="A17" s="21">
        <v>14</v>
      </c>
      <c r="B17" s="22" t="s">
        <v>172</v>
      </c>
      <c r="C17" s="21">
        <v>11</v>
      </c>
      <c r="D17" s="23">
        <f>BOM!H128</f>
        <v>0</v>
      </c>
      <c r="E17" s="23">
        <f>BOM!L128</f>
        <v>0</v>
      </c>
      <c r="F17" s="21">
        <v>128</v>
      </c>
    </row>
    <row r="18" spans="1:6" x14ac:dyDescent="0.25">
      <c r="A18" s="21">
        <v>15</v>
      </c>
      <c r="B18" s="22" t="s">
        <v>176</v>
      </c>
      <c r="C18" s="21">
        <v>33</v>
      </c>
      <c r="D18" s="23">
        <f>BOM!H139</f>
        <v>0</v>
      </c>
      <c r="E18" s="23">
        <f>BOM!L139</f>
        <v>0</v>
      </c>
      <c r="F18" s="21">
        <v>139</v>
      </c>
    </row>
    <row r="19" spans="1:6" x14ac:dyDescent="0.25">
      <c r="A19" s="21">
        <v>16</v>
      </c>
      <c r="B19" s="22" t="s">
        <v>179</v>
      </c>
      <c r="C19" s="21">
        <v>22</v>
      </c>
      <c r="D19" s="23">
        <f>BOM!H150</f>
        <v>0</v>
      </c>
      <c r="E19" s="23">
        <f>BOM!L150</f>
        <v>0</v>
      </c>
      <c r="F19" s="21">
        <v>150</v>
      </c>
    </row>
    <row r="20" spans="1:6" x14ac:dyDescent="0.25">
      <c r="A20" s="21">
        <v>17</v>
      </c>
      <c r="B20" s="22" t="s">
        <v>182</v>
      </c>
      <c r="C20" s="21">
        <v>1</v>
      </c>
      <c r="D20" s="23">
        <f>BOM!H165</f>
        <v>0</v>
      </c>
      <c r="E20" s="23">
        <f>BOM!L165</f>
        <v>0</v>
      </c>
      <c r="F20" s="21">
        <v>165</v>
      </c>
    </row>
    <row r="21" spans="1:6" x14ac:dyDescent="0.25">
      <c r="A21" s="21">
        <v>18</v>
      </c>
      <c r="B21" s="22" t="s">
        <v>191</v>
      </c>
      <c r="C21" s="21">
        <v>1</v>
      </c>
      <c r="D21" s="23">
        <f>BOM!H180</f>
        <v>0</v>
      </c>
      <c r="E21" s="23">
        <f>BOM!L180</f>
        <v>0</v>
      </c>
      <c r="F21" s="21">
        <v>180</v>
      </c>
    </row>
    <row r="22" spans="1:6" x14ac:dyDescent="0.25">
      <c r="A22" s="21">
        <v>19</v>
      </c>
      <c r="B22" s="22" t="s">
        <v>194</v>
      </c>
      <c r="C22" s="21">
        <v>1</v>
      </c>
      <c r="D22" s="23">
        <f>BOM!H195</f>
        <v>0</v>
      </c>
      <c r="E22" s="23">
        <f>BOM!L195</f>
        <v>0</v>
      </c>
      <c r="F22" s="21">
        <v>195</v>
      </c>
    </row>
    <row r="23" spans="1:6" x14ac:dyDescent="0.25">
      <c r="A23" s="21">
        <v>20</v>
      </c>
      <c r="B23" s="22" t="s">
        <v>203</v>
      </c>
      <c r="C23" s="21">
        <v>2</v>
      </c>
      <c r="D23" s="23">
        <f>BOM!H201</f>
        <v>0</v>
      </c>
      <c r="E23" s="23">
        <f>BOM!L201</f>
        <v>0</v>
      </c>
      <c r="F23" s="21">
        <v>201</v>
      </c>
    </row>
    <row r="24" spans="1:6" x14ac:dyDescent="0.25">
      <c r="A24" s="21">
        <v>21</v>
      </c>
      <c r="B24" s="22" t="s">
        <v>206</v>
      </c>
      <c r="C24" s="21">
        <v>1</v>
      </c>
      <c r="D24" s="23">
        <f>BOM!H214</f>
        <v>0</v>
      </c>
      <c r="E24" s="23">
        <f>BOM!L214</f>
        <v>0</v>
      </c>
      <c r="F24" s="21">
        <v>215</v>
      </c>
    </row>
    <row r="25" spans="1:6" x14ac:dyDescent="0.25">
      <c r="A25" s="21">
        <v>22</v>
      </c>
      <c r="B25" s="22" t="s">
        <v>226</v>
      </c>
      <c r="C25" s="21">
        <v>1</v>
      </c>
      <c r="D25" s="23">
        <f>BOM!H226</f>
        <v>499353.82</v>
      </c>
      <c r="E25" s="23">
        <f>BOM!L226</f>
        <v>499353.82</v>
      </c>
      <c r="F25" s="21">
        <v>228</v>
      </c>
    </row>
    <row r="26" spans="1:6" x14ac:dyDescent="0.25">
      <c r="A26" s="21">
        <v>23</v>
      </c>
      <c r="B26" s="22" t="s">
        <v>244</v>
      </c>
      <c r="C26" s="21">
        <v>1</v>
      </c>
      <c r="D26" s="23">
        <f>BOM!H239</f>
        <v>0</v>
      </c>
      <c r="E26" s="23">
        <f>BOM!L239</f>
        <v>0</v>
      </c>
      <c r="F26" s="21">
        <v>242</v>
      </c>
    </row>
    <row r="27" spans="1:6" x14ac:dyDescent="0.25">
      <c r="A27" s="21">
        <v>24</v>
      </c>
      <c r="B27" s="22" t="s">
        <v>255</v>
      </c>
      <c r="C27" s="21">
        <v>1</v>
      </c>
      <c r="D27" s="23">
        <f>BOM!H251</f>
        <v>85466.140000000014</v>
      </c>
      <c r="E27" s="23">
        <f>BOM!L251</f>
        <v>85466.140000000014</v>
      </c>
      <c r="F27" s="21">
        <v>255</v>
      </c>
    </row>
    <row r="28" spans="1:6" x14ac:dyDescent="0.25">
      <c r="A28" s="21">
        <v>25</v>
      </c>
      <c r="B28" s="22" t="s">
        <v>264</v>
      </c>
      <c r="C28" s="21">
        <v>4</v>
      </c>
      <c r="D28" s="23">
        <f>BOM!H259</f>
        <v>0</v>
      </c>
      <c r="E28" s="23">
        <f>BOM!L259</f>
        <v>0</v>
      </c>
      <c r="F28" s="21">
        <v>264</v>
      </c>
    </row>
    <row r="29" spans="1:6" x14ac:dyDescent="0.25">
      <c r="A29" s="21">
        <v>26</v>
      </c>
      <c r="B29" s="22" t="s">
        <v>273</v>
      </c>
      <c r="C29" s="21">
        <v>1</v>
      </c>
      <c r="D29" s="23">
        <f>BOM!H271</f>
        <v>0</v>
      </c>
      <c r="E29" s="23">
        <f>BOM!L271</f>
        <v>0</v>
      </c>
      <c r="F29" s="21">
        <v>276</v>
      </c>
    </row>
    <row r="30" spans="1:6" x14ac:dyDescent="0.25">
      <c r="A30" s="21">
        <v>27</v>
      </c>
      <c r="B30" s="22" t="s">
        <v>284</v>
      </c>
      <c r="C30" s="21">
        <v>1</v>
      </c>
      <c r="D30" s="23">
        <f>BOM!H283</f>
        <v>0</v>
      </c>
      <c r="E30" s="23">
        <f>BOM!L283</f>
        <v>0</v>
      </c>
      <c r="F30" s="21">
        <v>289</v>
      </c>
    </row>
    <row r="31" spans="1:6" x14ac:dyDescent="0.25">
      <c r="A31" s="21">
        <v>28</v>
      </c>
      <c r="B31" s="22" t="s">
        <v>290</v>
      </c>
      <c r="C31" s="21">
        <v>1</v>
      </c>
      <c r="D31" s="23">
        <f>BOM!H292</f>
        <v>0</v>
      </c>
      <c r="E31" s="23">
        <f>BOM!L292</f>
        <v>0</v>
      </c>
      <c r="F31" s="21">
        <v>299</v>
      </c>
    </row>
    <row r="32" spans="1:6" x14ac:dyDescent="0.25">
      <c r="A32" s="21">
        <v>29</v>
      </c>
      <c r="B32" s="22" t="s">
        <v>299</v>
      </c>
      <c r="C32" s="21">
        <v>1</v>
      </c>
      <c r="D32" s="23">
        <f>BOM!H308</f>
        <v>0</v>
      </c>
      <c r="E32" s="23">
        <f>BOM!L308</f>
        <v>0</v>
      </c>
      <c r="F32" s="21">
        <v>316</v>
      </c>
    </row>
    <row r="33" spans="1:6" x14ac:dyDescent="0.25">
      <c r="A33" s="21">
        <v>30</v>
      </c>
      <c r="B33" s="22" t="s">
        <v>308</v>
      </c>
      <c r="C33" s="21">
        <v>1</v>
      </c>
      <c r="D33" s="23">
        <f>BOM!H320</f>
        <v>0</v>
      </c>
      <c r="E33" s="23">
        <f>BOM!L320</f>
        <v>0</v>
      </c>
      <c r="F33" s="21">
        <v>329</v>
      </c>
    </row>
    <row r="34" spans="1:6" x14ac:dyDescent="0.25">
      <c r="A34" s="21">
        <v>31</v>
      </c>
      <c r="B34" s="22" t="s">
        <v>315</v>
      </c>
      <c r="C34" s="21">
        <v>1</v>
      </c>
      <c r="D34" s="23">
        <f>BOM!H332</f>
        <v>0</v>
      </c>
      <c r="E34" s="23">
        <f>BOM!L332</f>
        <v>0</v>
      </c>
      <c r="F34" s="21">
        <v>342</v>
      </c>
    </row>
    <row r="35" spans="1:6" x14ac:dyDescent="0.25">
      <c r="A35" s="21">
        <v>32</v>
      </c>
      <c r="B35" s="22" t="s">
        <v>322</v>
      </c>
      <c r="C35" s="21">
        <v>1</v>
      </c>
      <c r="D35" s="23">
        <f>BOM!H338</f>
        <v>0</v>
      </c>
      <c r="E35" s="23">
        <f>BOM!L338</f>
        <v>0</v>
      </c>
      <c r="F35" s="21">
        <v>349</v>
      </c>
    </row>
    <row r="36" spans="1:6" x14ac:dyDescent="0.25">
      <c r="A36" s="21">
        <v>33</v>
      </c>
      <c r="B36" s="22" t="s">
        <v>327</v>
      </c>
      <c r="C36" s="21">
        <v>1</v>
      </c>
      <c r="D36" s="23">
        <f>BOM!H344</f>
        <v>0</v>
      </c>
      <c r="E36" s="23">
        <f>BOM!L344</f>
        <v>0</v>
      </c>
      <c r="F36" s="21">
        <v>355</v>
      </c>
    </row>
    <row r="37" spans="1:6" x14ac:dyDescent="0.25">
      <c r="A37" s="21">
        <v>34</v>
      </c>
      <c r="B37" s="22" t="s">
        <v>330</v>
      </c>
      <c r="C37" s="21">
        <v>1</v>
      </c>
      <c r="D37" s="23">
        <f>BOM!H352</f>
        <v>0</v>
      </c>
      <c r="E37" s="23">
        <f>BOM!L352</f>
        <v>0</v>
      </c>
      <c r="F37" s="21">
        <v>363</v>
      </c>
    </row>
    <row r="38" spans="1:6" x14ac:dyDescent="0.25">
      <c r="A38" s="21">
        <v>35</v>
      </c>
      <c r="B38" s="22" t="s">
        <v>335</v>
      </c>
      <c r="C38" s="21">
        <v>1</v>
      </c>
      <c r="D38" s="23">
        <f>BOM!H360</f>
        <v>0</v>
      </c>
      <c r="E38" s="23">
        <f>BOM!L360</f>
        <v>0</v>
      </c>
      <c r="F38" s="21">
        <v>371</v>
      </c>
    </row>
    <row r="39" spans="1:6" x14ac:dyDescent="0.25">
      <c r="A39" s="21">
        <v>36</v>
      </c>
      <c r="B39" s="22" t="s">
        <v>340</v>
      </c>
      <c r="C39" s="21">
        <v>1</v>
      </c>
      <c r="D39" s="23">
        <f>BOM!H371</f>
        <v>0</v>
      </c>
      <c r="E39" s="23">
        <f>BOM!L371</f>
        <v>0</v>
      </c>
      <c r="F39" s="21">
        <v>382</v>
      </c>
    </row>
    <row r="40" spans="1:6" x14ac:dyDescent="0.25">
      <c r="A40" s="21">
        <v>37</v>
      </c>
      <c r="B40" s="22" t="s">
        <v>343</v>
      </c>
      <c r="C40" s="21">
        <v>1</v>
      </c>
      <c r="D40" s="23">
        <f>BOM!H380</f>
        <v>0</v>
      </c>
      <c r="E40" s="23">
        <f>BOM!L380</f>
        <v>0</v>
      </c>
      <c r="F40" s="21">
        <v>391</v>
      </c>
    </row>
    <row r="41" spans="1:6" x14ac:dyDescent="0.25">
      <c r="A41" s="21">
        <v>38</v>
      </c>
      <c r="B41" s="22" t="s">
        <v>348</v>
      </c>
      <c r="C41" s="21">
        <v>1</v>
      </c>
      <c r="D41" s="23">
        <f>BOM!H388</f>
        <v>0</v>
      </c>
      <c r="E41" s="23">
        <f>BOM!L388</f>
        <v>0</v>
      </c>
      <c r="F41" s="21">
        <v>399</v>
      </c>
    </row>
    <row r="42" spans="1:6" x14ac:dyDescent="0.25">
      <c r="A42" s="21">
        <v>39</v>
      </c>
      <c r="B42" s="22" t="s">
        <v>353</v>
      </c>
      <c r="C42" s="21">
        <v>11</v>
      </c>
      <c r="D42" s="23">
        <f>BOM!H398</f>
        <v>0</v>
      </c>
      <c r="E42" s="23">
        <f>BOM!L398</f>
        <v>0</v>
      </c>
      <c r="F42" s="21">
        <v>409</v>
      </c>
    </row>
    <row r="43" spans="1:6" x14ac:dyDescent="0.25">
      <c r="A43" s="21">
        <v>40</v>
      </c>
      <c r="B43" s="22" t="s">
        <v>357</v>
      </c>
      <c r="C43" s="21">
        <v>33</v>
      </c>
      <c r="D43" s="23">
        <f>BOM!H409</f>
        <v>0</v>
      </c>
      <c r="E43" s="23">
        <f>BOM!L409</f>
        <v>0</v>
      </c>
      <c r="F43" s="21">
        <v>420</v>
      </c>
    </row>
    <row r="44" spans="1:6" x14ac:dyDescent="0.25">
      <c r="A44" s="21">
        <v>41</v>
      </c>
      <c r="B44" s="22" t="s">
        <v>360</v>
      </c>
      <c r="C44" s="21">
        <v>33</v>
      </c>
      <c r="D44" s="23">
        <f>BOM!H420</f>
        <v>0</v>
      </c>
      <c r="E44" s="23">
        <f>BOM!L420</f>
        <v>0</v>
      </c>
      <c r="F44" s="21">
        <v>431</v>
      </c>
    </row>
    <row r="45" spans="1:6" x14ac:dyDescent="0.25">
      <c r="A45" s="21">
        <v>42</v>
      </c>
      <c r="B45" s="22" t="s">
        <v>363</v>
      </c>
      <c r="C45" s="21">
        <v>1</v>
      </c>
      <c r="D45" s="23">
        <f>BOM!H435</f>
        <v>0</v>
      </c>
      <c r="E45" s="23">
        <f>BOM!L435</f>
        <v>0</v>
      </c>
      <c r="F45" s="21">
        <v>446</v>
      </c>
    </row>
    <row r="46" spans="1:6" x14ac:dyDescent="0.25">
      <c r="A46" s="21">
        <v>43</v>
      </c>
      <c r="B46" s="22" t="s">
        <v>366</v>
      </c>
      <c r="C46" s="21">
        <v>1</v>
      </c>
      <c r="D46" s="23">
        <f>BOM!H450</f>
        <v>0</v>
      </c>
      <c r="E46" s="23">
        <f>BOM!L450</f>
        <v>0</v>
      </c>
      <c r="F46" s="21">
        <v>461</v>
      </c>
    </row>
    <row r="47" spans="1:6" x14ac:dyDescent="0.25">
      <c r="A47" s="21">
        <v>44</v>
      </c>
      <c r="B47" s="22" t="s">
        <v>369</v>
      </c>
      <c r="C47" s="21">
        <v>1</v>
      </c>
      <c r="D47" s="23">
        <f>BOM!H465</f>
        <v>0</v>
      </c>
      <c r="E47" s="23">
        <f>BOM!L465</f>
        <v>0</v>
      </c>
      <c r="F47" s="21">
        <v>476</v>
      </c>
    </row>
    <row r="48" spans="1:6" x14ac:dyDescent="0.25">
      <c r="A48" s="21">
        <v>45</v>
      </c>
      <c r="B48" s="22" t="s">
        <v>372</v>
      </c>
      <c r="C48" s="21">
        <v>2</v>
      </c>
      <c r="D48" s="23">
        <f>BOM!H471</f>
        <v>0</v>
      </c>
      <c r="E48" s="23">
        <f>BOM!L471</f>
        <v>0</v>
      </c>
      <c r="F48" s="21">
        <v>482</v>
      </c>
    </row>
    <row r="49" spans="1:6" x14ac:dyDescent="0.25">
      <c r="A49" s="21">
        <v>46</v>
      </c>
      <c r="B49" s="22" t="s">
        <v>375</v>
      </c>
      <c r="C49" s="21">
        <v>1</v>
      </c>
      <c r="D49" s="23">
        <f>BOM!H483</f>
        <v>0</v>
      </c>
      <c r="E49" s="23">
        <f>BOM!L483</f>
        <v>0</v>
      </c>
      <c r="F49" s="21">
        <v>494</v>
      </c>
    </row>
    <row r="50" spans="1:6" x14ac:dyDescent="0.25">
      <c r="A50" s="21">
        <v>47</v>
      </c>
      <c r="B50" s="22" t="s">
        <v>382</v>
      </c>
      <c r="C50" s="21">
        <v>1</v>
      </c>
      <c r="D50" s="23">
        <f>BOM!H489</f>
        <v>0</v>
      </c>
      <c r="E50" s="23">
        <f>BOM!L489</f>
        <v>0</v>
      </c>
      <c r="F50" s="21">
        <v>501</v>
      </c>
    </row>
    <row r="51" spans="1:6" x14ac:dyDescent="0.25">
      <c r="A51" s="21">
        <v>48</v>
      </c>
      <c r="B51" s="22" t="s">
        <v>385</v>
      </c>
      <c r="C51" s="21">
        <v>1</v>
      </c>
      <c r="D51" s="23">
        <f>BOM!H495</f>
        <v>0</v>
      </c>
      <c r="E51" s="23">
        <f>BOM!L495</f>
        <v>0</v>
      </c>
      <c r="F51" s="21">
        <v>507</v>
      </c>
    </row>
    <row r="52" spans="1:6" x14ac:dyDescent="0.25">
      <c r="A52" s="21">
        <v>49</v>
      </c>
      <c r="B52" s="22" t="s">
        <v>388</v>
      </c>
      <c r="C52" s="21">
        <v>1</v>
      </c>
      <c r="D52" s="23">
        <f>BOM!H501</f>
        <v>0</v>
      </c>
      <c r="E52" s="23">
        <f>BOM!L501</f>
        <v>0</v>
      </c>
      <c r="F52" s="21">
        <v>513</v>
      </c>
    </row>
    <row r="53" spans="1:6" x14ac:dyDescent="0.25">
      <c r="A53" s="21">
        <v>50</v>
      </c>
      <c r="B53" s="22" t="s">
        <v>391</v>
      </c>
      <c r="C53" s="21">
        <v>1</v>
      </c>
      <c r="D53" s="23">
        <f>BOM!H512</f>
        <v>0</v>
      </c>
      <c r="E53" s="23">
        <f>BOM!L512</f>
        <v>0</v>
      </c>
      <c r="F53" s="21">
        <v>524</v>
      </c>
    </row>
    <row r="54" spans="1:6" x14ac:dyDescent="0.25">
      <c r="A54" s="21">
        <v>51</v>
      </c>
      <c r="B54" s="22" t="s">
        <v>394</v>
      </c>
      <c r="C54" s="21">
        <v>11</v>
      </c>
      <c r="D54" s="23">
        <f>BOM!H522</f>
        <v>0</v>
      </c>
      <c r="E54" s="23">
        <f>BOM!L522</f>
        <v>0</v>
      </c>
      <c r="F54" s="21">
        <v>534</v>
      </c>
    </row>
    <row r="55" spans="1:6" x14ac:dyDescent="0.25">
      <c r="A55" s="21">
        <v>52</v>
      </c>
      <c r="B55" s="22" t="s">
        <v>397</v>
      </c>
      <c r="C55" s="21">
        <v>22</v>
      </c>
      <c r="D55" s="23">
        <f>BOM!H533</f>
        <v>0</v>
      </c>
      <c r="E55" s="23">
        <f>BOM!L533</f>
        <v>0</v>
      </c>
      <c r="F55" s="21">
        <v>545</v>
      </c>
    </row>
    <row r="56" spans="1:6" x14ac:dyDescent="0.25">
      <c r="A56" s="21">
        <v>53</v>
      </c>
      <c r="B56" s="22" t="s">
        <v>400</v>
      </c>
      <c r="C56" s="21">
        <v>22</v>
      </c>
      <c r="D56" s="23">
        <f>BOM!H544</f>
        <v>0</v>
      </c>
      <c r="E56" s="23">
        <f>BOM!L544</f>
        <v>0</v>
      </c>
      <c r="F56" s="21">
        <v>556</v>
      </c>
    </row>
    <row r="57" spans="1:6" x14ac:dyDescent="0.25">
      <c r="A57" s="21">
        <v>54</v>
      </c>
      <c r="B57" s="22" t="s">
        <v>403</v>
      </c>
      <c r="C57" s="21">
        <v>1</v>
      </c>
      <c r="D57" s="23">
        <f>BOM!H559</f>
        <v>0</v>
      </c>
      <c r="E57" s="23">
        <f>BOM!L559</f>
        <v>0</v>
      </c>
      <c r="F57" s="21">
        <v>571</v>
      </c>
    </row>
    <row r="58" spans="1:6" x14ac:dyDescent="0.25">
      <c r="A58" s="21">
        <v>55</v>
      </c>
      <c r="B58" s="22" t="s">
        <v>406</v>
      </c>
      <c r="C58" s="21">
        <v>1</v>
      </c>
      <c r="D58" s="23">
        <f>BOM!H565</f>
        <v>0</v>
      </c>
      <c r="E58" s="23">
        <f>BOM!L565</f>
        <v>0</v>
      </c>
      <c r="F58" s="21">
        <v>577</v>
      </c>
    </row>
    <row r="59" spans="1:6" x14ac:dyDescent="0.25">
      <c r="A59" s="21">
        <v>56</v>
      </c>
      <c r="B59" s="22" t="s">
        <v>409</v>
      </c>
      <c r="C59" s="21">
        <v>1</v>
      </c>
      <c r="D59" s="23">
        <f>BOM!H578</f>
        <v>0</v>
      </c>
      <c r="E59" s="23">
        <f>BOM!L578</f>
        <v>0</v>
      </c>
      <c r="F59" s="21">
        <v>591</v>
      </c>
    </row>
    <row r="60" spans="1:6" x14ac:dyDescent="0.25">
      <c r="A60" s="21">
        <v>57</v>
      </c>
      <c r="B60" s="22" t="s">
        <v>412</v>
      </c>
      <c r="C60" s="21">
        <v>1</v>
      </c>
      <c r="D60" s="23">
        <f>BOM!H590</f>
        <v>788172.03</v>
      </c>
      <c r="E60" s="23">
        <f>BOM!L590</f>
        <v>788172.03</v>
      </c>
      <c r="F60" s="21">
        <v>604</v>
      </c>
    </row>
    <row r="61" spans="1:6" x14ac:dyDescent="0.25">
      <c r="A61" s="21">
        <v>58</v>
      </c>
      <c r="B61" s="22" t="s">
        <v>419</v>
      </c>
      <c r="C61" s="21">
        <v>1</v>
      </c>
      <c r="D61" s="23">
        <f>BOM!H604</f>
        <v>0</v>
      </c>
      <c r="E61" s="23">
        <f>BOM!L604</f>
        <v>0</v>
      </c>
      <c r="F61" s="21">
        <v>619</v>
      </c>
    </row>
    <row r="62" spans="1:6" x14ac:dyDescent="0.25">
      <c r="A62" s="21">
        <v>59</v>
      </c>
      <c r="B62" s="22" t="s">
        <v>422</v>
      </c>
      <c r="C62" s="21">
        <v>1</v>
      </c>
      <c r="D62" s="23">
        <f>BOM!H620</f>
        <v>187572.73999999996</v>
      </c>
      <c r="E62" s="23">
        <f>BOM!L620</f>
        <v>187572.73999999996</v>
      </c>
      <c r="F62" s="21">
        <v>636</v>
      </c>
    </row>
    <row r="63" spans="1:6" x14ac:dyDescent="0.25">
      <c r="A63" s="21">
        <v>60</v>
      </c>
      <c r="B63" s="22" t="s">
        <v>425</v>
      </c>
      <c r="C63" s="21">
        <v>3</v>
      </c>
      <c r="D63" s="23">
        <f>BOM!H628</f>
        <v>0</v>
      </c>
      <c r="E63" s="23">
        <f>BOM!L628</f>
        <v>0</v>
      </c>
      <c r="F63" s="21">
        <v>645</v>
      </c>
    </row>
    <row r="64" spans="1:6" x14ac:dyDescent="0.25">
      <c r="A64" s="21">
        <v>61</v>
      </c>
      <c r="B64" s="22" t="s">
        <v>430</v>
      </c>
      <c r="C64" s="21">
        <v>1</v>
      </c>
      <c r="D64" s="23">
        <f>BOM!H636</f>
        <v>0</v>
      </c>
      <c r="E64" s="23">
        <f>BOM!L636</f>
        <v>0</v>
      </c>
      <c r="F64" s="21">
        <v>654</v>
      </c>
    </row>
    <row r="65" spans="1:6" x14ac:dyDescent="0.25">
      <c r="A65" s="21">
        <v>62</v>
      </c>
      <c r="B65" s="22" t="s">
        <v>435</v>
      </c>
      <c r="C65" s="21">
        <v>1</v>
      </c>
      <c r="D65" s="23">
        <f>BOM!H648</f>
        <v>0</v>
      </c>
      <c r="E65" s="23">
        <f>BOM!L648</f>
        <v>0</v>
      </c>
      <c r="F65" s="21">
        <v>666</v>
      </c>
    </row>
    <row r="66" spans="1:6" x14ac:dyDescent="0.25">
      <c r="A66" s="21">
        <v>63</v>
      </c>
      <c r="B66" s="22" t="s">
        <v>438</v>
      </c>
      <c r="C66" s="21">
        <v>1</v>
      </c>
      <c r="D66" s="23">
        <f>BOM!H661</f>
        <v>0</v>
      </c>
      <c r="E66" s="23">
        <f>BOM!L661</f>
        <v>0</v>
      </c>
      <c r="F66" s="21">
        <v>680</v>
      </c>
    </row>
    <row r="67" spans="1:6" x14ac:dyDescent="0.25">
      <c r="A67" s="21">
        <v>64</v>
      </c>
      <c r="B67" s="22" t="s">
        <v>447</v>
      </c>
      <c r="C67" s="21">
        <v>1</v>
      </c>
      <c r="D67" s="23">
        <f>BOM!H670</f>
        <v>0</v>
      </c>
      <c r="E67" s="23">
        <f>BOM!L670</f>
        <v>0</v>
      </c>
      <c r="F67" s="21">
        <v>690</v>
      </c>
    </row>
    <row r="68" spans="1:6" x14ac:dyDescent="0.25">
      <c r="A68" s="21">
        <v>65</v>
      </c>
      <c r="B68" s="22" t="s">
        <v>450</v>
      </c>
      <c r="C68" s="21">
        <v>1</v>
      </c>
      <c r="D68" s="23">
        <f>BOM!H682</f>
        <v>0</v>
      </c>
      <c r="E68" s="23">
        <f>BOM!L682</f>
        <v>0</v>
      </c>
      <c r="F68" s="21">
        <v>703</v>
      </c>
    </row>
    <row r="69" spans="1:6" x14ac:dyDescent="0.25">
      <c r="A69" s="21">
        <v>66</v>
      </c>
      <c r="B69" s="22" t="s">
        <v>455</v>
      </c>
      <c r="C69" s="21">
        <v>1</v>
      </c>
      <c r="D69" s="23">
        <f>BOM!H688</f>
        <v>0</v>
      </c>
      <c r="E69" s="23">
        <f>BOM!L688</f>
        <v>0</v>
      </c>
      <c r="F69" s="21">
        <v>709</v>
      </c>
    </row>
    <row r="70" spans="1:6" x14ac:dyDescent="0.25">
      <c r="A70" s="21">
        <v>67</v>
      </c>
      <c r="B70" s="22" t="s">
        <v>458</v>
      </c>
      <c r="C70" s="21">
        <v>1</v>
      </c>
      <c r="D70" s="23">
        <f>BOM!H694</f>
        <v>0</v>
      </c>
      <c r="E70" s="23">
        <f>BOM!L694</f>
        <v>0</v>
      </c>
      <c r="F70" s="21">
        <v>715</v>
      </c>
    </row>
    <row r="71" spans="1:6" x14ac:dyDescent="0.25">
      <c r="A71" s="21">
        <v>68</v>
      </c>
      <c r="B71" s="22" t="s">
        <v>461</v>
      </c>
      <c r="C71" s="21">
        <v>1</v>
      </c>
      <c r="D71" s="23">
        <f>BOM!H702</f>
        <v>0</v>
      </c>
      <c r="E71" s="23">
        <f>BOM!L702</f>
        <v>0</v>
      </c>
      <c r="F71" s="21">
        <v>723</v>
      </c>
    </row>
    <row r="72" spans="1:6" x14ac:dyDescent="0.25">
      <c r="A72" s="21">
        <v>69</v>
      </c>
      <c r="B72" s="22" t="s">
        <v>464</v>
      </c>
      <c r="C72" s="21">
        <v>1</v>
      </c>
      <c r="D72" s="23">
        <f>BOM!H711</f>
        <v>0</v>
      </c>
      <c r="E72" s="23">
        <f>BOM!L711</f>
        <v>0</v>
      </c>
      <c r="F72" s="21">
        <v>732</v>
      </c>
    </row>
    <row r="73" spans="1:6" x14ac:dyDescent="0.25">
      <c r="A73" s="21">
        <v>70</v>
      </c>
      <c r="B73" s="22" t="s">
        <v>469</v>
      </c>
      <c r="C73" s="21">
        <v>1</v>
      </c>
      <c r="D73" s="23">
        <f>BOM!H719</f>
        <v>0</v>
      </c>
      <c r="E73" s="23">
        <f>BOM!L719</f>
        <v>0</v>
      </c>
      <c r="F73" s="21">
        <v>740</v>
      </c>
    </row>
    <row r="74" spans="1:6" x14ac:dyDescent="0.25">
      <c r="A74" s="21">
        <v>71</v>
      </c>
      <c r="B74" s="22" t="s">
        <v>472</v>
      </c>
      <c r="C74" s="21">
        <v>1</v>
      </c>
      <c r="D74" s="23">
        <f>BOM!H730</f>
        <v>0</v>
      </c>
      <c r="E74" s="23">
        <f>BOM!L730</f>
        <v>0</v>
      </c>
      <c r="F74" s="21">
        <v>751</v>
      </c>
    </row>
    <row r="75" spans="1:6" x14ac:dyDescent="0.25">
      <c r="A75" s="21">
        <v>72</v>
      </c>
      <c r="B75" s="22" t="s">
        <v>475</v>
      </c>
      <c r="C75" s="21">
        <v>1</v>
      </c>
      <c r="D75" s="23">
        <f>BOM!H738</f>
        <v>0</v>
      </c>
      <c r="E75" s="23">
        <f>BOM!L738</f>
        <v>0</v>
      </c>
      <c r="F75" s="21">
        <v>759</v>
      </c>
    </row>
    <row r="76" spans="1:6" x14ac:dyDescent="0.25">
      <c r="A76" s="21">
        <v>73</v>
      </c>
      <c r="B76" s="22" t="s">
        <v>478</v>
      </c>
      <c r="C76" s="21">
        <v>8</v>
      </c>
      <c r="D76" s="23">
        <f>BOM!H748</f>
        <v>0</v>
      </c>
      <c r="E76" s="23">
        <f>BOM!L748</f>
        <v>0</v>
      </c>
      <c r="F76" s="21">
        <v>769</v>
      </c>
    </row>
    <row r="77" spans="1:6" x14ac:dyDescent="0.25">
      <c r="A77" s="21">
        <v>74</v>
      </c>
      <c r="B77" s="22" t="s">
        <v>482</v>
      </c>
      <c r="C77" s="21">
        <v>9</v>
      </c>
      <c r="D77" s="23">
        <f>BOM!H759</f>
        <v>0</v>
      </c>
      <c r="E77" s="23">
        <f>BOM!L759</f>
        <v>0</v>
      </c>
      <c r="F77" s="21">
        <v>780</v>
      </c>
    </row>
    <row r="78" spans="1:6" x14ac:dyDescent="0.25">
      <c r="A78" s="21">
        <v>75</v>
      </c>
      <c r="B78" s="22" t="s">
        <v>485</v>
      </c>
      <c r="C78" s="21">
        <v>31</v>
      </c>
      <c r="D78" s="23">
        <f>BOM!H770</f>
        <v>0</v>
      </c>
      <c r="E78" s="23">
        <f>BOM!L770</f>
        <v>0</v>
      </c>
      <c r="F78" s="21">
        <v>791</v>
      </c>
    </row>
    <row r="79" spans="1:6" x14ac:dyDescent="0.25">
      <c r="A79" s="21">
        <v>76</v>
      </c>
      <c r="B79" s="22" t="s">
        <v>488</v>
      </c>
      <c r="C79" s="21">
        <v>2</v>
      </c>
      <c r="D79" s="23">
        <f>BOM!H785</f>
        <v>0</v>
      </c>
      <c r="E79" s="23">
        <f>BOM!L785</f>
        <v>0</v>
      </c>
      <c r="F79" s="21">
        <v>806</v>
      </c>
    </row>
    <row r="80" spans="1:6" x14ac:dyDescent="0.25">
      <c r="A80" s="21">
        <v>77</v>
      </c>
      <c r="B80" s="22" t="s">
        <v>491</v>
      </c>
      <c r="C80" s="21">
        <v>1</v>
      </c>
      <c r="D80" s="23">
        <f>BOM!H800</f>
        <v>0</v>
      </c>
      <c r="E80" s="23">
        <f>BOM!L800</f>
        <v>0</v>
      </c>
      <c r="F80" s="21">
        <v>821</v>
      </c>
    </row>
    <row r="81" spans="1:6" x14ac:dyDescent="0.25">
      <c r="A81" s="21">
        <v>78</v>
      </c>
      <c r="B81" s="22" t="s">
        <v>494</v>
      </c>
      <c r="C81" s="21">
        <v>1</v>
      </c>
      <c r="D81" s="23">
        <f>BOM!H806</f>
        <v>0</v>
      </c>
      <c r="E81" s="23">
        <f>BOM!L806</f>
        <v>0</v>
      </c>
      <c r="F81" s="21">
        <v>827</v>
      </c>
    </row>
    <row r="82" spans="1:6" x14ac:dyDescent="0.25">
      <c r="A82" s="21">
        <v>79</v>
      </c>
      <c r="B82" s="22" t="s">
        <v>497</v>
      </c>
      <c r="C82" s="21">
        <v>1</v>
      </c>
      <c r="D82" s="23">
        <f>BOM!H818</f>
        <v>0</v>
      </c>
      <c r="E82" s="23">
        <f>BOM!L818</f>
        <v>0</v>
      </c>
      <c r="F82" s="21">
        <v>840</v>
      </c>
    </row>
    <row r="83" spans="1:6" x14ac:dyDescent="0.25">
      <c r="A83" s="21">
        <v>80</v>
      </c>
      <c r="B83" s="22" t="s">
        <v>500</v>
      </c>
      <c r="C83" s="21">
        <v>1</v>
      </c>
      <c r="D83" s="23">
        <f>BOM!H831</f>
        <v>0</v>
      </c>
      <c r="E83" s="23">
        <f>BOM!L831</f>
        <v>0</v>
      </c>
      <c r="F83" s="21">
        <v>854</v>
      </c>
    </row>
    <row r="84" spans="1:6" x14ac:dyDescent="0.25">
      <c r="A84" s="21">
        <v>81</v>
      </c>
      <c r="B84" s="22" t="s">
        <v>505</v>
      </c>
      <c r="C84" s="21">
        <v>1</v>
      </c>
      <c r="D84" s="23">
        <f>BOM!H843</f>
        <v>0</v>
      </c>
      <c r="E84" s="23">
        <f>BOM!L843</f>
        <v>0</v>
      </c>
      <c r="F84" s="21">
        <v>867</v>
      </c>
    </row>
    <row r="85" spans="1:6" x14ac:dyDescent="0.25">
      <c r="A85" s="21">
        <v>82</v>
      </c>
      <c r="B85" s="22" t="s">
        <v>518</v>
      </c>
      <c r="C85" s="21">
        <v>1</v>
      </c>
      <c r="D85" s="23">
        <f>BOM!H855</f>
        <v>616853.92000000004</v>
      </c>
      <c r="E85" s="23">
        <f>BOM!L855</f>
        <v>616853.92000000004</v>
      </c>
      <c r="F85" s="21">
        <v>880</v>
      </c>
    </row>
    <row r="86" spans="1:6" x14ac:dyDescent="0.25">
      <c r="A86" s="21">
        <v>83</v>
      </c>
      <c r="B86" s="22" t="s">
        <v>523</v>
      </c>
      <c r="C86" s="21">
        <v>1</v>
      </c>
      <c r="D86" s="23">
        <f>BOM!H867</f>
        <v>0</v>
      </c>
      <c r="E86" s="23">
        <f>BOM!L867</f>
        <v>0</v>
      </c>
      <c r="F86" s="21">
        <v>893</v>
      </c>
    </row>
    <row r="87" spans="1:6" x14ac:dyDescent="0.25">
      <c r="A87" s="21">
        <v>84</v>
      </c>
      <c r="B87" s="22" t="s">
        <v>532</v>
      </c>
      <c r="C87" s="21">
        <v>1</v>
      </c>
      <c r="D87" s="23">
        <f>BOM!H884</f>
        <v>0</v>
      </c>
      <c r="E87" s="23">
        <f>BOM!L884</f>
        <v>0</v>
      </c>
      <c r="F87" s="21">
        <v>911</v>
      </c>
    </row>
    <row r="88" spans="1:6" x14ac:dyDescent="0.25">
      <c r="A88" s="21">
        <v>85</v>
      </c>
      <c r="B88" s="22" t="s">
        <v>543</v>
      </c>
      <c r="C88" s="21">
        <v>1</v>
      </c>
      <c r="D88" s="23">
        <f>BOM!H892</f>
        <v>0</v>
      </c>
      <c r="E88" s="23">
        <f>BOM!L892</f>
        <v>0</v>
      </c>
      <c r="F88" s="21">
        <v>919</v>
      </c>
    </row>
    <row r="89" spans="1:6" x14ac:dyDescent="0.25">
      <c r="A89" s="21">
        <v>86</v>
      </c>
      <c r="B89" s="22" t="s">
        <v>548</v>
      </c>
      <c r="C89" s="21">
        <v>1</v>
      </c>
      <c r="D89" s="23">
        <f>BOM!H900</f>
        <v>140250.29999999999</v>
      </c>
      <c r="E89" s="23">
        <f>BOM!L900</f>
        <v>140250.29999999999</v>
      </c>
      <c r="F89" s="21">
        <v>928</v>
      </c>
    </row>
    <row r="90" spans="1:6" x14ac:dyDescent="0.25">
      <c r="A90" s="21">
        <v>87</v>
      </c>
      <c r="B90" s="22" t="s">
        <v>553</v>
      </c>
      <c r="C90" s="21">
        <v>1</v>
      </c>
      <c r="D90" s="23">
        <f>BOM!H908</f>
        <v>0</v>
      </c>
      <c r="E90" s="23">
        <f>BOM!L908</f>
        <v>0</v>
      </c>
      <c r="F90" s="21">
        <v>936</v>
      </c>
    </row>
    <row r="91" spans="1:6" x14ac:dyDescent="0.25">
      <c r="A91" s="21">
        <v>88</v>
      </c>
      <c r="B91" s="22" t="s">
        <v>560</v>
      </c>
      <c r="C91" s="21">
        <v>1</v>
      </c>
      <c r="D91" s="23">
        <f>BOM!H916</f>
        <v>0</v>
      </c>
      <c r="E91" s="23">
        <f>BOM!L916</f>
        <v>0</v>
      </c>
      <c r="F91" s="21">
        <v>944</v>
      </c>
    </row>
    <row r="92" spans="1:6" x14ac:dyDescent="0.25">
      <c r="A92" s="21">
        <v>89</v>
      </c>
      <c r="B92" s="22" t="s">
        <v>563</v>
      </c>
      <c r="C92" s="21">
        <v>1</v>
      </c>
      <c r="D92" s="23">
        <f>BOM!H926</f>
        <v>0</v>
      </c>
      <c r="E92" s="23">
        <f>BOM!L926</f>
        <v>0</v>
      </c>
      <c r="F92" s="21">
        <v>954</v>
      </c>
    </row>
    <row r="93" spans="1:6" x14ac:dyDescent="0.25">
      <c r="A93" s="21">
        <v>90</v>
      </c>
      <c r="B93" s="22" t="s">
        <v>570</v>
      </c>
      <c r="C93" s="21">
        <v>1</v>
      </c>
      <c r="D93" s="23">
        <f>BOM!H937</f>
        <v>0</v>
      </c>
      <c r="E93" s="23">
        <f>BOM!L937</f>
        <v>0</v>
      </c>
      <c r="F93" s="21">
        <v>965</v>
      </c>
    </row>
    <row r="94" spans="1:6" x14ac:dyDescent="0.25">
      <c r="A94" s="21">
        <v>91</v>
      </c>
      <c r="B94" s="22" t="s">
        <v>573</v>
      </c>
      <c r="C94" s="21">
        <v>1</v>
      </c>
      <c r="D94" s="23">
        <f>BOM!H944</f>
        <v>0</v>
      </c>
      <c r="E94" s="23">
        <f>BOM!L944</f>
        <v>0</v>
      </c>
      <c r="F94" s="21">
        <v>972</v>
      </c>
    </row>
    <row r="95" spans="1:6" x14ac:dyDescent="0.25">
      <c r="A95" s="21">
        <v>92</v>
      </c>
      <c r="B95" s="22" t="s">
        <v>576</v>
      </c>
      <c r="C95" s="21">
        <v>1</v>
      </c>
      <c r="D95" s="23">
        <f>BOM!H951</f>
        <v>0</v>
      </c>
      <c r="E95" s="23">
        <f>BOM!L951</f>
        <v>0</v>
      </c>
      <c r="F95" s="21">
        <v>979</v>
      </c>
    </row>
    <row r="96" spans="1:6" x14ac:dyDescent="0.25">
      <c r="A96" s="21">
        <v>93</v>
      </c>
      <c r="B96" s="22" t="s">
        <v>579</v>
      </c>
      <c r="C96" s="21">
        <v>1</v>
      </c>
      <c r="D96" s="23">
        <f>BOM!H982</f>
        <v>0</v>
      </c>
      <c r="E96" s="23">
        <f>BOM!L982</f>
        <v>0</v>
      </c>
      <c r="F96" s="21">
        <v>1012</v>
      </c>
    </row>
    <row r="97" spans="1:6" x14ac:dyDescent="0.25">
      <c r="A97" s="21">
        <v>94</v>
      </c>
      <c r="B97" s="22" t="s">
        <v>610</v>
      </c>
      <c r="C97" s="21">
        <v>1</v>
      </c>
      <c r="D97" s="23">
        <f>BOM!H994</f>
        <v>0</v>
      </c>
      <c r="E97" s="23">
        <f>BOM!L994</f>
        <v>0</v>
      </c>
      <c r="F97" s="21">
        <v>1024</v>
      </c>
    </row>
    <row r="98" spans="1:6" x14ac:dyDescent="0.25">
      <c r="B98" s="24" t="s">
        <v>622</v>
      </c>
      <c r="C98" s="20">
        <f>SUM(C4:C97)</f>
        <v>374</v>
      </c>
      <c r="E98" s="25">
        <f>SUM(E4:E97)</f>
        <v>2317668.9499999997</v>
      </c>
      <c r="F98" s="20">
        <f>SUM(F4:F97)</f>
        <v>47403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9"/>
  <sheetViews>
    <sheetView zoomScaleNormal="100" workbookViewId="0">
      <selection activeCell="B7" sqref="B7"/>
    </sheetView>
  </sheetViews>
  <sheetFormatPr defaultColWidth="8.7109375" defaultRowHeight="15" x14ac:dyDescent="0.25"/>
  <cols>
    <col min="1" max="1" width="95" customWidth="1"/>
    <col min="2" max="2" width="14" customWidth="1"/>
    <col min="3" max="3" width="3" customWidth="1"/>
    <col min="4" max="4" width="16" customWidth="1"/>
    <col min="5" max="5" width="13" customWidth="1"/>
    <col min="6" max="6" width="3" customWidth="1"/>
    <col min="7" max="7" width="18" customWidth="1"/>
    <col min="8" max="8" width="13" customWidth="1"/>
  </cols>
  <sheetData>
    <row r="1" spans="1:8" ht="15.75" x14ac:dyDescent="0.25">
      <c r="A1" s="26" t="s">
        <v>623</v>
      </c>
    </row>
    <row r="2" spans="1:8" x14ac:dyDescent="0.25">
      <c r="A2" s="27" t="s">
        <v>624</v>
      </c>
      <c r="B2" s="28">
        <v>0.12</v>
      </c>
      <c r="D2" s="29" t="s">
        <v>625</v>
      </c>
      <c r="E2" s="29" t="s">
        <v>626</v>
      </c>
      <c r="G2" s="29" t="s">
        <v>627</v>
      </c>
      <c r="H2" s="29" t="s">
        <v>628</v>
      </c>
    </row>
    <row r="3" spans="1:8" x14ac:dyDescent="0.25">
      <c r="A3" s="27" t="s">
        <v>629</v>
      </c>
      <c r="B3" s="30">
        <v>100</v>
      </c>
      <c r="D3" s="31" t="s">
        <v>29</v>
      </c>
      <c r="E3" s="32">
        <v>0.6</v>
      </c>
      <c r="G3" s="31" t="s">
        <v>25</v>
      </c>
      <c r="H3" s="33">
        <v>8</v>
      </c>
    </row>
    <row r="4" spans="1:8" x14ac:dyDescent="0.25">
      <c r="A4" s="27" t="s">
        <v>630</v>
      </c>
      <c r="B4" s="32">
        <v>1.1499999999999999</v>
      </c>
      <c r="D4" s="31" t="s">
        <v>24</v>
      </c>
      <c r="E4" s="32">
        <v>0.6</v>
      </c>
      <c r="G4" s="31" t="s">
        <v>75</v>
      </c>
      <c r="H4" s="33">
        <v>30</v>
      </c>
    </row>
    <row r="5" spans="1:8" x14ac:dyDescent="0.25">
      <c r="A5" s="27" t="s">
        <v>631</v>
      </c>
      <c r="B5" s="28">
        <v>0.08</v>
      </c>
      <c r="D5" s="31" t="s">
        <v>632</v>
      </c>
      <c r="E5" s="32">
        <v>1</v>
      </c>
      <c r="G5" s="31" t="s">
        <v>209</v>
      </c>
      <c r="H5" s="33">
        <v>90</v>
      </c>
    </row>
    <row r="6" spans="1:8" x14ac:dyDescent="0.25">
      <c r="A6" s="27" t="s">
        <v>633</v>
      </c>
      <c r="B6" s="28">
        <v>0.25</v>
      </c>
      <c r="D6" s="31" t="s">
        <v>65</v>
      </c>
      <c r="E6" s="32">
        <v>1</v>
      </c>
      <c r="G6" s="31" t="s">
        <v>57</v>
      </c>
      <c r="H6" s="33">
        <v>3</v>
      </c>
    </row>
    <row r="7" spans="1:8" x14ac:dyDescent="0.25">
      <c r="A7" s="27" t="s">
        <v>634</v>
      </c>
      <c r="B7" s="28">
        <v>0.16</v>
      </c>
      <c r="D7" s="31" t="s">
        <v>241</v>
      </c>
      <c r="E7" s="32">
        <v>1</v>
      </c>
      <c r="G7" s="31" t="s">
        <v>113</v>
      </c>
      <c r="H7" s="33">
        <v>10</v>
      </c>
    </row>
    <row r="8" spans="1:8" x14ac:dyDescent="0.25">
      <c r="D8" s="31" t="s">
        <v>635</v>
      </c>
      <c r="E8" s="32">
        <v>1</v>
      </c>
      <c r="G8" s="31" t="s">
        <v>53</v>
      </c>
      <c r="H8" s="33">
        <v>16</v>
      </c>
    </row>
    <row r="9" spans="1:8" x14ac:dyDescent="0.25">
      <c r="D9" s="31" t="s">
        <v>636</v>
      </c>
      <c r="E9" s="32">
        <v>1</v>
      </c>
      <c r="G9" s="31" t="s">
        <v>148</v>
      </c>
      <c r="H9" s="33">
        <v>35</v>
      </c>
    </row>
    <row r="10" spans="1:8" x14ac:dyDescent="0.25">
      <c r="D10" s="31" t="s">
        <v>637</v>
      </c>
      <c r="E10" s="32">
        <v>0.3</v>
      </c>
      <c r="G10" s="31" t="s">
        <v>638</v>
      </c>
      <c r="H10" s="33">
        <v>50</v>
      </c>
    </row>
    <row r="11" spans="1:8" x14ac:dyDescent="0.25">
      <c r="D11" s="31" t="s">
        <v>639</v>
      </c>
      <c r="E11" s="32">
        <v>0.23</v>
      </c>
      <c r="G11" s="31" t="s">
        <v>42</v>
      </c>
      <c r="H11" s="33">
        <v>15</v>
      </c>
    </row>
    <row r="12" spans="1:8" x14ac:dyDescent="0.25">
      <c r="D12" s="31" t="s">
        <v>640</v>
      </c>
      <c r="E12" s="32">
        <v>0.6</v>
      </c>
      <c r="G12" s="31" t="s">
        <v>30</v>
      </c>
      <c r="H12" s="33">
        <v>30</v>
      </c>
    </row>
    <row r="13" spans="1:8" x14ac:dyDescent="0.25">
      <c r="D13" s="31" t="s">
        <v>641</v>
      </c>
      <c r="E13" s="32">
        <v>0.5</v>
      </c>
      <c r="G13" s="31" t="s">
        <v>221</v>
      </c>
      <c r="H13" s="33">
        <v>15</v>
      </c>
    </row>
    <row r="14" spans="1:8" x14ac:dyDescent="0.25">
      <c r="D14" s="31" t="s">
        <v>33</v>
      </c>
      <c r="E14" s="32">
        <v>1</v>
      </c>
      <c r="G14" s="31" t="s">
        <v>85</v>
      </c>
      <c r="H14" s="33">
        <v>25</v>
      </c>
    </row>
    <row r="15" spans="1:8" x14ac:dyDescent="0.25">
      <c r="D15" s="31"/>
      <c r="E15" s="32"/>
      <c r="G15" s="31" t="s">
        <v>217</v>
      </c>
      <c r="H15" s="33">
        <v>15</v>
      </c>
    </row>
    <row r="16" spans="1:8" x14ac:dyDescent="0.25">
      <c r="D16" s="31"/>
      <c r="E16" s="32"/>
      <c r="G16" s="31" t="s">
        <v>61</v>
      </c>
      <c r="H16" s="33">
        <v>15</v>
      </c>
    </row>
    <row r="17" spans="1:8" x14ac:dyDescent="0.25">
      <c r="G17" s="31" t="s">
        <v>66</v>
      </c>
      <c r="H17" s="33">
        <v>5</v>
      </c>
    </row>
    <row r="18" spans="1:8" x14ac:dyDescent="0.25">
      <c r="G18" s="31" t="s">
        <v>642</v>
      </c>
      <c r="H18" s="33">
        <v>2</v>
      </c>
    </row>
    <row r="19" spans="1:8" x14ac:dyDescent="0.25">
      <c r="G19" s="31" t="s">
        <v>149</v>
      </c>
      <c r="H19" s="33">
        <v>25</v>
      </c>
    </row>
    <row r="20" spans="1:8" x14ac:dyDescent="0.25">
      <c r="G20" s="31" t="s">
        <v>643</v>
      </c>
      <c r="H20" s="33">
        <v>2</v>
      </c>
    </row>
    <row r="21" spans="1:8" x14ac:dyDescent="0.25">
      <c r="G21" s="31" t="s">
        <v>70</v>
      </c>
      <c r="H21" s="33">
        <v>5</v>
      </c>
    </row>
    <row r="22" spans="1:8" x14ac:dyDescent="0.25">
      <c r="G22" s="31" t="s">
        <v>89</v>
      </c>
      <c r="H22" s="33">
        <v>5</v>
      </c>
    </row>
    <row r="24" spans="1:8" ht="48" x14ac:dyDescent="0.25">
      <c r="G24" s="34" t="s">
        <v>644</v>
      </c>
    </row>
    <row r="26" spans="1:8" ht="15.75" x14ac:dyDescent="0.25">
      <c r="A26" s="26" t="s">
        <v>645</v>
      </c>
    </row>
    <row r="28" spans="1:8" x14ac:dyDescent="0.25">
      <c r="A28" s="29" t="s">
        <v>646</v>
      </c>
    </row>
    <row r="29" spans="1:8" ht="24" x14ac:dyDescent="0.25">
      <c r="A29" s="34" t="s">
        <v>647</v>
      </c>
    </row>
    <row r="30" spans="1:8" x14ac:dyDescent="0.25">
      <c r="A30" s="34" t="s">
        <v>648</v>
      </c>
    </row>
    <row r="31" spans="1:8" ht="24" x14ac:dyDescent="0.25">
      <c r="A31" s="34" t="s">
        <v>649</v>
      </c>
    </row>
    <row r="32" spans="1:8" ht="24" x14ac:dyDescent="0.25">
      <c r="A32" s="34" t="s">
        <v>650</v>
      </c>
    </row>
    <row r="33" spans="1:1" ht="24" x14ac:dyDescent="0.25">
      <c r="A33" s="34" t="s">
        <v>651</v>
      </c>
    </row>
    <row r="34" spans="1:1" x14ac:dyDescent="0.25">
      <c r="A34" s="34" t="s">
        <v>652</v>
      </c>
    </row>
    <row r="35" spans="1:1" x14ac:dyDescent="0.25">
      <c r="A35" s="34" t="s">
        <v>653</v>
      </c>
    </row>
    <row r="36" spans="1:1" x14ac:dyDescent="0.25">
      <c r="A36" s="34" t="s">
        <v>654</v>
      </c>
    </row>
    <row r="37" spans="1:1" x14ac:dyDescent="0.25">
      <c r="A37" s="34" t="s">
        <v>655</v>
      </c>
    </row>
    <row r="39" spans="1:1" x14ac:dyDescent="0.25">
      <c r="A39" s="29" t="s">
        <v>656</v>
      </c>
    </row>
    <row r="40" spans="1:1" ht="36" x14ac:dyDescent="0.25">
      <c r="A40" s="34" t="s">
        <v>657</v>
      </c>
    </row>
    <row r="41" spans="1:1" ht="24" x14ac:dyDescent="0.25">
      <c r="A41" s="34" t="s">
        <v>658</v>
      </c>
    </row>
    <row r="42" spans="1:1" ht="24" x14ac:dyDescent="0.25">
      <c r="A42" s="34" t="s">
        <v>659</v>
      </c>
    </row>
    <row r="43" spans="1:1" ht="36" x14ac:dyDescent="0.25">
      <c r="A43" s="34" t="s">
        <v>660</v>
      </c>
    </row>
    <row r="44" spans="1:1" ht="36" x14ac:dyDescent="0.25">
      <c r="A44" s="34" t="s">
        <v>661</v>
      </c>
    </row>
    <row r="45" spans="1:1" ht="24" x14ac:dyDescent="0.25">
      <c r="A45" s="34" t="s">
        <v>662</v>
      </c>
    </row>
    <row r="46" spans="1:1" ht="36" x14ac:dyDescent="0.25">
      <c r="A46" s="34" t="s">
        <v>663</v>
      </c>
    </row>
    <row r="47" spans="1:1" ht="24" x14ac:dyDescent="0.25">
      <c r="A47" s="34" t="s">
        <v>664</v>
      </c>
    </row>
    <row r="48" spans="1:1" ht="36" x14ac:dyDescent="0.25">
      <c r="A48" s="34" t="s">
        <v>665</v>
      </c>
    </row>
    <row r="49" spans="1:1" ht="24" x14ac:dyDescent="0.25">
      <c r="A49" s="34" t="s">
        <v>666</v>
      </c>
    </row>
    <row r="50" spans="1:1" ht="36" x14ac:dyDescent="0.25">
      <c r="A50" s="34" t="s">
        <v>667</v>
      </c>
    </row>
    <row r="51" spans="1:1" ht="36" x14ac:dyDescent="0.25">
      <c r="A51" s="34" t="s">
        <v>668</v>
      </c>
    </row>
    <row r="52" spans="1:1" ht="36" x14ac:dyDescent="0.25">
      <c r="A52" s="34" t="s">
        <v>669</v>
      </c>
    </row>
    <row r="53" spans="1:1" ht="36" x14ac:dyDescent="0.25">
      <c r="A53" s="34" t="s">
        <v>670</v>
      </c>
    </row>
    <row r="54" spans="1:1" ht="24" x14ac:dyDescent="0.25">
      <c r="A54" s="34" t="s">
        <v>671</v>
      </c>
    </row>
    <row r="55" spans="1:1" ht="24" x14ac:dyDescent="0.25">
      <c r="A55" s="34" t="s">
        <v>672</v>
      </c>
    </row>
    <row r="56" spans="1:1" ht="24" x14ac:dyDescent="0.25">
      <c r="A56" s="34" t="s">
        <v>673</v>
      </c>
    </row>
    <row r="57" spans="1:1" ht="24" x14ac:dyDescent="0.25">
      <c r="A57" s="34" t="s">
        <v>674</v>
      </c>
    </row>
    <row r="58" spans="1:1" ht="36" x14ac:dyDescent="0.25">
      <c r="A58" s="34" t="s">
        <v>675</v>
      </c>
    </row>
    <row r="59" spans="1:1" ht="24" x14ac:dyDescent="0.25">
      <c r="A59" s="34" t="s">
        <v>676</v>
      </c>
    </row>
    <row r="60" spans="1:1" ht="24" x14ac:dyDescent="0.25">
      <c r="A60" s="34" t="s">
        <v>677</v>
      </c>
    </row>
    <row r="61" spans="1:1" ht="24" x14ac:dyDescent="0.25">
      <c r="A61" s="34" t="s">
        <v>678</v>
      </c>
    </row>
    <row r="62" spans="1:1" ht="24" x14ac:dyDescent="0.25">
      <c r="A62" s="34" t="s">
        <v>679</v>
      </c>
    </row>
    <row r="63" spans="1:1" ht="24" x14ac:dyDescent="0.25">
      <c r="A63" s="34" t="s">
        <v>680</v>
      </c>
    </row>
    <row r="64" spans="1:1" ht="24" x14ac:dyDescent="0.25">
      <c r="A64" s="34" t="s">
        <v>681</v>
      </c>
    </row>
    <row r="65" spans="1:1" ht="24" x14ac:dyDescent="0.25">
      <c r="A65" s="34" t="s">
        <v>682</v>
      </c>
    </row>
    <row r="66" spans="1:1" ht="24" x14ac:dyDescent="0.25">
      <c r="A66" s="34" t="s">
        <v>683</v>
      </c>
    </row>
    <row r="67" spans="1:1" ht="24" x14ac:dyDescent="0.25">
      <c r="A67" s="34" t="s">
        <v>684</v>
      </c>
    </row>
    <row r="68" spans="1:1" ht="24" x14ac:dyDescent="0.25">
      <c r="A68" s="34" t="s">
        <v>685</v>
      </c>
    </row>
    <row r="69" spans="1:1" ht="24" x14ac:dyDescent="0.25">
      <c r="A69" s="34" t="s">
        <v>686</v>
      </c>
    </row>
    <row r="70" spans="1:1" ht="36" x14ac:dyDescent="0.25">
      <c r="A70" s="34" t="s">
        <v>687</v>
      </c>
    </row>
    <row r="71" spans="1:1" ht="36" x14ac:dyDescent="0.25">
      <c r="A71" s="34" t="s">
        <v>688</v>
      </c>
    </row>
    <row r="72" spans="1:1" ht="24" x14ac:dyDescent="0.25">
      <c r="A72" s="34" t="s">
        <v>689</v>
      </c>
    </row>
    <row r="73" spans="1:1" ht="36" x14ac:dyDescent="0.25">
      <c r="A73" s="34" t="s">
        <v>690</v>
      </c>
    </row>
    <row r="74" spans="1:1" ht="24" x14ac:dyDescent="0.25">
      <c r="A74" s="34" t="s">
        <v>691</v>
      </c>
    </row>
    <row r="75" spans="1:1" ht="24" x14ac:dyDescent="0.25">
      <c r="A75" s="34" t="s">
        <v>692</v>
      </c>
    </row>
    <row r="76" spans="1:1" ht="36" x14ac:dyDescent="0.25">
      <c r="A76" s="34" t="s">
        <v>693</v>
      </c>
    </row>
    <row r="77" spans="1:1" ht="24" x14ac:dyDescent="0.25">
      <c r="A77" s="34" t="s">
        <v>694</v>
      </c>
    </row>
    <row r="78" spans="1:1" ht="24" x14ac:dyDescent="0.25">
      <c r="A78" s="34" t="s">
        <v>695</v>
      </c>
    </row>
    <row r="79" spans="1:1" ht="24" x14ac:dyDescent="0.25">
      <c r="A79" s="34" t="s">
        <v>696</v>
      </c>
    </row>
    <row r="80" spans="1:1" ht="24" x14ac:dyDescent="0.25">
      <c r="A80" s="34" t="s">
        <v>697</v>
      </c>
    </row>
    <row r="81" spans="1:1" ht="36" x14ac:dyDescent="0.25">
      <c r="A81" s="34" t="s">
        <v>698</v>
      </c>
    </row>
    <row r="82" spans="1:1" ht="36" x14ac:dyDescent="0.25">
      <c r="A82" s="34" t="s">
        <v>699</v>
      </c>
    </row>
    <row r="83" spans="1:1" ht="24" x14ac:dyDescent="0.25">
      <c r="A83" s="34" t="s">
        <v>700</v>
      </c>
    </row>
    <row r="84" spans="1:1" ht="24" x14ac:dyDescent="0.25">
      <c r="A84" s="34" t="s">
        <v>701</v>
      </c>
    </row>
    <row r="85" spans="1:1" ht="24" x14ac:dyDescent="0.25">
      <c r="A85" s="34" t="s">
        <v>702</v>
      </c>
    </row>
    <row r="86" spans="1:1" ht="24" x14ac:dyDescent="0.25">
      <c r="A86" s="34" t="s">
        <v>703</v>
      </c>
    </row>
    <row r="87" spans="1:1" ht="36" x14ac:dyDescent="0.25">
      <c r="A87" s="34" t="s">
        <v>704</v>
      </c>
    </row>
    <row r="88" spans="1:1" ht="36" x14ac:dyDescent="0.25">
      <c r="A88" s="34" t="s">
        <v>705</v>
      </c>
    </row>
    <row r="89" spans="1:1" ht="24" x14ac:dyDescent="0.25">
      <c r="A89" s="34" t="s">
        <v>706</v>
      </c>
    </row>
    <row r="91" spans="1:1" x14ac:dyDescent="0.25">
      <c r="A91" s="29" t="s">
        <v>707</v>
      </c>
    </row>
    <row r="92" spans="1:1" ht="24" x14ac:dyDescent="0.25">
      <c r="A92" s="34" t="s">
        <v>708</v>
      </c>
    </row>
    <row r="93" spans="1:1" ht="24" x14ac:dyDescent="0.25">
      <c r="A93" s="34" t="s">
        <v>709</v>
      </c>
    </row>
    <row r="94" spans="1:1" ht="36" x14ac:dyDescent="0.25">
      <c r="A94" s="34" t="s">
        <v>710</v>
      </c>
    </row>
    <row r="95" spans="1:1" ht="24" x14ac:dyDescent="0.25">
      <c r="A95" s="34" t="s">
        <v>711</v>
      </c>
    </row>
    <row r="97" spans="1:1" x14ac:dyDescent="0.25">
      <c r="A97" s="29" t="s">
        <v>712</v>
      </c>
    </row>
    <row r="98" spans="1:1" x14ac:dyDescent="0.25">
      <c r="A98" s="34" t="s">
        <v>713</v>
      </c>
    </row>
    <row r="99" spans="1:1" ht="24" x14ac:dyDescent="0.25">
      <c r="A99" s="34" t="s">
        <v>714</v>
      </c>
    </row>
    <row r="100" spans="1:1" ht="24" x14ac:dyDescent="0.25">
      <c r="A100" s="34" t="s">
        <v>715</v>
      </c>
    </row>
    <row r="101" spans="1:1" ht="36" x14ac:dyDescent="0.25">
      <c r="A101" s="34" t="s">
        <v>716</v>
      </c>
    </row>
    <row r="102" spans="1:1" x14ac:dyDescent="0.25">
      <c r="A102" s="34" t="s">
        <v>717</v>
      </c>
    </row>
    <row r="103" spans="1:1" ht="24" x14ac:dyDescent="0.25">
      <c r="A103" s="34" t="s">
        <v>718</v>
      </c>
    </row>
    <row r="105" spans="1:1" x14ac:dyDescent="0.25">
      <c r="A105" s="29" t="s">
        <v>719</v>
      </c>
    </row>
    <row r="106" spans="1:1" x14ac:dyDescent="0.25">
      <c r="A106" s="34" t="s">
        <v>720</v>
      </c>
    </row>
    <row r="107" spans="1:1" x14ac:dyDescent="0.25">
      <c r="A107" s="34" t="s">
        <v>721</v>
      </c>
    </row>
    <row r="108" spans="1:1" x14ac:dyDescent="0.25">
      <c r="A108" s="34" t="s">
        <v>722</v>
      </c>
    </row>
    <row r="109" spans="1:1" x14ac:dyDescent="0.25">
      <c r="A109" s="34" t="s">
        <v>723</v>
      </c>
    </row>
    <row r="111" spans="1:1" x14ac:dyDescent="0.25">
      <c r="A111" s="29" t="s">
        <v>724</v>
      </c>
    </row>
    <row r="112" spans="1:1" x14ac:dyDescent="0.25">
      <c r="A112" s="34" t="s">
        <v>725</v>
      </c>
    </row>
    <row r="113" spans="1:1" x14ac:dyDescent="0.25">
      <c r="A113" s="34" t="s">
        <v>726</v>
      </c>
    </row>
    <row r="114" spans="1:1" x14ac:dyDescent="0.25">
      <c r="A114" s="34" t="s">
        <v>727</v>
      </c>
    </row>
    <row r="115" spans="1:1" ht="24" x14ac:dyDescent="0.25">
      <c r="A115" s="34" t="s">
        <v>728</v>
      </c>
    </row>
    <row r="116" spans="1:1" x14ac:dyDescent="0.25">
      <c r="A116" s="34" t="s">
        <v>729</v>
      </c>
    </row>
    <row r="117" spans="1:1" ht="24" x14ac:dyDescent="0.25">
      <c r="A117" s="34" t="s">
        <v>730</v>
      </c>
    </row>
    <row r="118" spans="1:1" ht="24" x14ac:dyDescent="0.25">
      <c r="A118" s="34" t="s">
        <v>731</v>
      </c>
    </row>
    <row r="119" spans="1:1" x14ac:dyDescent="0.25">
      <c r="A119" s="34" t="s">
        <v>732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6"/>
  <sheetViews>
    <sheetView topLeftCell="A6" zoomScaleNormal="100" workbookViewId="0">
      <selection activeCell="D8" sqref="D8"/>
    </sheetView>
  </sheetViews>
  <sheetFormatPr defaultColWidth="8.7109375" defaultRowHeight="15" x14ac:dyDescent="0.25"/>
  <cols>
    <col min="1" max="1" width="5" customWidth="1"/>
    <col min="2" max="2" width="46" customWidth="1"/>
    <col min="3" max="3" width="11" customWidth="1"/>
    <col min="4" max="4" width="18" customWidth="1"/>
    <col min="5" max="5" width="20" customWidth="1"/>
  </cols>
  <sheetData>
    <row r="1" spans="1:5" ht="18" x14ac:dyDescent="0.25">
      <c r="A1" s="35" t="s">
        <v>733</v>
      </c>
    </row>
    <row r="2" spans="1:5" x14ac:dyDescent="0.25">
      <c r="A2" s="36" t="s">
        <v>734</v>
      </c>
    </row>
    <row r="3" spans="1:5" x14ac:dyDescent="0.25">
      <c r="A3" s="36" t="s">
        <v>735</v>
      </c>
    </row>
    <row r="4" spans="1:5" x14ac:dyDescent="0.25">
      <c r="A4" s="36" t="s">
        <v>736</v>
      </c>
    </row>
    <row r="6" spans="1:5" x14ac:dyDescent="0.25">
      <c r="A6" s="20" t="s">
        <v>616</v>
      </c>
      <c r="B6" s="20" t="s">
        <v>737</v>
      </c>
      <c r="C6" s="20" t="s">
        <v>618</v>
      </c>
      <c r="D6" s="20" t="s">
        <v>738</v>
      </c>
      <c r="E6" s="20" t="s">
        <v>620</v>
      </c>
    </row>
    <row r="7" spans="1:5" x14ac:dyDescent="0.25">
      <c r="A7" s="21">
        <v>1</v>
      </c>
      <c r="B7" s="37" t="s">
        <v>17</v>
      </c>
      <c r="C7" s="21">
        <v>1</v>
      </c>
      <c r="D7" s="23">
        <f>ROUND(BOM!H10*(1+Kurallar!$B$5)*(1+Kurallar!$B$6),0)</f>
        <v>0</v>
      </c>
      <c r="E7" s="23">
        <f t="shared" ref="E7:E38" si="0">C7*D7</f>
        <v>0</v>
      </c>
    </row>
    <row r="8" spans="1:5" x14ac:dyDescent="0.25">
      <c r="A8" s="21">
        <v>2</v>
      </c>
      <c r="B8" s="37" t="s">
        <v>39</v>
      </c>
      <c r="C8" s="21">
        <v>1</v>
      </c>
      <c r="D8" s="23">
        <f>ROUND(BOM!H16*(1+Kurallar!$B$5)*(1+Kurallar!$B$6),0)</f>
        <v>0</v>
      </c>
      <c r="E8" s="23">
        <f t="shared" si="0"/>
        <v>0</v>
      </c>
    </row>
    <row r="9" spans="1:5" x14ac:dyDescent="0.25">
      <c r="A9" s="21">
        <v>3</v>
      </c>
      <c r="B9" s="37" t="s">
        <v>45</v>
      </c>
      <c r="C9" s="21">
        <v>1</v>
      </c>
      <c r="D9" s="23">
        <f>ROUND(BOM!H27*(1+Kurallar!$B$5)*(1+Kurallar!$B$6),0)</f>
        <v>0</v>
      </c>
      <c r="E9" s="23">
        <f t="shared" si="0"/>
        <v>0</v>
      </c>
    </row>
    <row r="10" spans="1:5" x14ac:dyDescent="0.25">
      <c r="A10" s="21">
        <v>4</v>
      </c>
      <c r="B10" s="37" t="s">
        <v>73</v>
      </c>
      <c r="C10" s="21">
        <v>8</v>
      </c>
      <c r="D10" s="23">
        <f>ROUND(BOM!H37*(1+Kurallar!$B$5)*(1+Kurallar!$B$6),0)</f>
        <v>0</v>
      </c>
      <c r="E10" s="23">
        <f t="shared" si="0"/>
        <v>0</v>
      </c>
    </row>
    <row r="11" spans="1:5" x14ac:dyDescent="0.25">
      <c r="A11" s="21">
        <v>5</v>
      </c>
      <c r="B11" s="37" t="s">
        <v>92</v>
      </c>
      <c r="C11" s="21">
        <v>16</v>
      </c>
      <c r="D11" s="23">
        <f>ROUND(BOM!H48*(1+Kurallar!$B$5)*(1+Kurallar!$B$6),0)</f>
        <v>0</v>
      </c>
      <c r="E11" s="23">
        <f t="shared" si="0"/>
        <v>0</v>
      </c>
    </row>
    <row r="12" spans="1:5" x14ac:dyDescent="0.25">
      <c r="A12" s="21">
        <v>6</v>
      </c>
      <c r="B12" s="37" t="s">
        <v>105</v>
      </c>
      <c r="C12" s="21">
        <v>16</v>
      </c>
      <c r="D12" s="23">
        <f>ROUND(BOM!H59*(1+Kurallar!$B$5)*(1+Kurallar!$B$6),0)</f>
        <v>0</v>
      </c>
      <c r="E12" s="23">
        <f t="shared" si="0"/>
        <v>0</v>
      </c>
    </row>
    <row r="13" spans="1:5" x14ac:dyDescent="0.25">
      <c r="A13" s="21">
        <v>7</v>
      </c>
      <c r="B13" s="37" t="s">
        <v>108</v>
      </c>
      <c r="C13" s="21">
        <v>1</v>
      </c>
      <c r="D13" s="23">
        <f>ROUND(BOM!H74*(1+Kurallar!$B$5)*(1+Kurallar!$B$6),0)</f>
        <v>0</v>
      </c>
      <c r="E13" s="23">
        <f t="shared" si="0"/>
        <v>0</v>
      </c>
    </row>
    <row r="14" spans="1:5" x14ac:dyDescent="0.25">
      <c r="A14" s="21">
        <v>8</v>
      </c>
      <c r="B14" s="37" t="s">
        <v>134</v>
      </c>
      <c r="C14" s="21">
        <v>1</v>
      </c>
      <c r="D14" s="23">
        <f>ROUND(BOM!H80*(1+Kurallar!$B$5)*(1+Kurallar!$B$6),0)</f>
        <v>0</v>
      </c>
      <c r="E14" s="23">
        <f t="shared" si="0"/>
        <v>0</v>
      </c>
    </row>
    <row r="15" spans="1:5" x14ac:dyDescent="0.25">
      <c r="A15" s="21">
        <v>9</v>
      </c>
      <c r="B15" s="37" t="s">
        <v>142</v>
      </c>
      <c r="C15" s="21">
        <v>1</v>
      </c>
      <c r="D15" s="23">
        <f>ROUND(BOM!H86*(1+Kurallar!$B$5)*(1+Kurallar!$B$6),0)</f>
        <v>0</v>
      </c>
      <c r="E15" s="23">
        <f t="shared" si="0"/>
        <v>0</v>
      </c>
    </row>
    <row r="16" spans="1:5" x14ac:dyDescent="0.25">
      <c r="A16" s="21">
        <v>10</v>
      </c>
      <c r="B16" s="37" t="s">
        <v>152</v>
      </c>
      <c r="C16" s="21">
        <v>2</v>
      </c>
      <c r="D16" s="23">
        <f>ROUND(BOM!H92*(1+Kurallar!$B$5)*(1+Kurallar!$B$6),0)</f>
        <v>0</v>
      </c>
      <c r="E16" s="23">
        <f t="shared" si="0"/>
        <v>0</v>
      </c>
    </row>
    <row r="17" spans="1:5" x14ac:dyDescent="0.25">
      <c r="A17" s="21">
        <v>11</v>
      </c>
      <c r="B17" s="37" t="s">
        <v>157</v>
      </c>
      <c r="C17" s="21">
        <v>1</v>
      </c>
      <c r="D17" s="23">
        <f>ROUND(BOM!H98*(1+Kurallar!$B$5)*(1+Kurallar!$B$6),0)</f>
        <v>0</v>
      </c>
      <c r="E17" s="23">
        <f t="shared" si="0"/>
        <v>0</v>
      </c>
    </row>
    <row r="18" spans="1:5" x14ac:dyDescent="0.25">
      <c r="A18" s="21">
        <v>12</v>
      </c>
      <c r="B18" s="37" t="s">
        <v>160</v>
      </c>
      <c r="C18" s="21">
        <v>1</v>
      </c>
      <c r="D18" s="23">
        <f>ROUND(BOM!H107*(1+Kurallar!$B$5)*(1+Kurallar!$B$6),0)</f>
        <v>0</v>
      </c>
      <c r="E18" s="23">
        <f t="shared" si="0"/>
        <v>0</v>
      </c>
    </row>
    <row r="19" spans="1:5" x14ac:dyDescent="0.25">
      <c r="A19" s="21">
        <v>13</v>
      </c>
      <c r="B19" s="37" t="s">
        <v>169</v>
      </c>
      <c r="C19" s="21">
        <v>1</v>
      </c>
      <c r="D19" s="23">
        <f>ROUND(BOM!H118*(1+Kurallar!$B$5)*(1+Kurallar!$B$6),0)</f>
        <v>0</v>
      </c>
      <c r="E19" s="23">
        <f t="shared" si="0"/>
        <v>0</v>
      </c>
    </row>
    <row r="20" spans="1:5" x14ac:dyDescent="0.25">
      <c r="A20" s="21">
        <v>14</v>
      </c>
      <c r="B20" s="37" t="s">
        <v>172</v>
      </c>
      <c r="C20" s="21">
        <v>11</v>
      </c>
      <c r="D20" s="23">
        <f>ROUND(BOM!H128*(1+Kurallar!$B$5)*(1+Kurallar!$B$6),0)</f>
        <v>0</v>
      </c>
      <c r="E20" s="23">
        <f t="shared" si="0"/>
        <v>0</v>
      </c>
    </row>
    <row r="21" spans="1:5" x14ac:dyDescent="0.25">
      <c r="A21" s="21">
        <v>15</v>
      </c>
      <c r="B21" s="37" t="s">
        <v>176</v>
      </c>
      <c r="C21" s="21">
        <v>33</v>
      </c>
      <c r="D21" s="23">
        <f>ROUND(BOM!H139*(1+Kurallar!$B$5)*(1+Kurallar!$B$6),0)</f>
        <v>0</v>
      </c>
      <c r="E21" s="23">
        <f t="shared" si="0"/>
        <v>0</v>
      </c>
    </row>
    <row r="22" spans="1:5" x14ac:dyDescent="0.25">
      <c r="A22" s="21">
        <v>16</v>
      </c>
      <c r="B22" s="37" t="s">
        <v>179</v>
      </c>
      <c r="C22" s="21">
        <v>22</v>
      </c>
      <c r="D22" s="23">
        <f>ROUND(BOM!H150*(1+Kurallar!$B$5)*(1+Kurallar!$B$6),0)</f>
        <v>0</v>
      </c>
      <c r="E22" s="23">
        <f t="shared" si="0"/>
        <v>0</v>
      </c>
    </row>
    <row r="23" spans="1:5" x14ac:dyDescent="0.25">
      <c r="A23" s="21">
        <v>17</v>
      </c>
      <c r="B23" s="37" t="s">
        <v>182</v>
      </c>
      <c r="C23" s="21">
        <v>1</v>
      </c>
      <c r="D23" s="23">
        <f>ROUND(BOM!H165*(1+Kurallar!$B$5)*(1+Kurallar!$B$6),0)</f>
        <v>0</v>
      </c>
      <c r="E23" s="23">
        <f t="shared" si="0"/>
        <v>0</v>
      </c>
    </row>
    <row r="24" spans="1:5" x14ac:dyDescent="0.25">
      <c r="A24" s="21">
        <v>18</v>
      </c>
      <c r="B24" s="37" t="s">
        <v>191</v>
      </c>
      <c r="C24" s="21">
        <v>1</v>
      </c>
      <c r="D24" s="23">
        <f>ROUND(BOM!H180*(1+Kurallar!$B$5)*(1+Kurallar!$B$6),0)</f>
        <v>0</v>
      </c>
      <c r="E24" s="23">
        <f t="shared" si="0"/>
        <v>0</v>
      </c>
    </row>
    <row r="25" spans="1:5" x14ac:dyDescent="0.25">
      <c r="A25" s="21">
        <v>19</v>
      </c>
      <c r="B25" s="37" t="s">
        <v>194</v>
      </c>
      <c r="C25" s="21">
        <v>1</v>
      </c>
      <c r="D25" s="23">
        <f>ROUND(BOM!H195*(1+Kurallar!$B$5)*(1+Kurallar!$B$6),0)</f>
        <v>0</v>
      </c>
      <c r="E25" s="23">
        <f t="shared" si="0"/>
        <v>0</v>
      </c>
    </row>
    <row r="26" spans="1:5" x14ac:dyDescent="0.25">
      <c r="A26" s="21">
        <v>20</v>
      </c>
      <c r="B26" s="37" t="s">
        <v>203</v>
      </c>
      <c r="C26" s="21">
        <v>2</v>
      </c>
      <c r="D26" s="23">
        <f>ROUND(BOM!H201*(1+Kurallar!$B$5)*(1+Kurallar!$B$6),0)</f>
        <v>0</v>
      </c>
      <c r="E26" s="23">
        <f t="shared" si="0"/>
        <v>0</v>
      </c>
    </row>
    <row r="27" spans="1:5" x14ac:dyDescent="0.25">
      <c r="A27" s="21">
        <v>21</v>
      </c>
      <c r="B27" s="37" t="s">
        <v>206</v>
      </c>
      <c r="C27" s="21">
        <v>1</v>
      </c>
      <c r="D27" s="23">
        <f>ROUND(BOM!H214*(1+Kurallar!$B$5)*(1+Kurallar!$B$6),0)</f>
        <v>0</v>
      </c>
      <c r="E27" s="23">
        <f t="shared" si="0"/>
        <v>0</v>
      </c>
    </row>
    <row r="28" spans="1:5" x14ac:dyDescent="0.25">
      <c r="A28" s="21">
        <v>22</v>
      </c>
      <c r="B28" s="37" t="s">
        <v>226</v>
      </c>
      <c r="C28" s="21">
        <v>1</v>
      </c>
      <c r="D28" s="23">
        <f>ROUND(BOM!H226*(1+Kurallar!$B$5)*(1+Kurallar!$B$6),0)</f>
        <v>674128</v>
      </c>
      <c r="E28" s="23">
        <f t="shared" si="0"/>
        <v>674128</v>
      </c>
    </row>
    <row r="29" spans="1:5" x14ac:dyDescent="0.25">
      <c r="A29" s="21">
        <v>23</v>
      </c>
      <c r="B29" s="37" t="s">
        <v>244</v>
      </c>
      <c r="C29" s="21">
        <v>1</v>
      </c>
      <c r="D29" s="23">
        <f>ROUND(BOM!H239*(1+Kurallar!$B$5)*(1+Kurallar!$B$6),0)</f>
        <v>0</v>
      </c>
      <c r="E29" s="23">
        <f t="shared" si="0"/>
        <v>0</v>
      </c>
    </row>
    <row r="30" spans="1:5" x14ac:dyDescent="0.25">
      <c r="A30" s="21">
        <v>24</v>
      </c>
      <c r="B30" s="37" t="s">
        <v>255</v>
      </c>
      <c r="C30" s="21">
        <v>1</v>
      </c>
      <c r="D30" s="23">
        <f>ROUND(BOM!H251*(1+Kurallar!$B$5)*(1+Kurallar!$B$6),0)</f>
        <v>115379</v>
      </c>
      <c r="E30" s="23">
        <f t="shared" si="0"/>
        <v>115379</v>
      </c>
    </row>
    <row r="31" spans="1:5" x14ac:dyDescent="0.25">
      <c r="A31" s="21">
        <v>25</v>
      </c>
      <c r="B31" s="37" t="s">
        <v>264</v>
      </c>
      <c r="C31" s="21">
        <v>4</v>
      </c>
      <c r="D31" s="23">
        <f>ROUND(BOM!H259*(1+Kurallar!$B$5)*(1+Kurallar!$B$6),0)</f>
        <v>0</v>
      </c>
      <c r="E31" s="23">
        <f t="shared" si="0"/>
        <v>0</v>
      </c>
    </row>
    <row r="32" spans="1:5" x14ac:dyDescent="0.25">
      <c r="A32" s="21">
        <v>26</v>
      </c>
      <c r="B32" s="37" t="s">
        <v>273</v>
      </c>
      <c r="C32" s="21">
        <v>1</v>
      </c>
      <c r="D32" s="23">
        <f>ROUND(BOM!H271*(1+Kurallar!$B$5)*(1+Kurallar!$B$6),0)</f>
        <v>0</v>
      </c>
      <c r="E32" s="23">
        <f t="shared" si="0"/>
        <v>0</v>
      </c>
    </row>
    <row r="33" spans="1:5" x14ac:dyDescent="0.25">
      <c r="A33" s="21">
        <v>27</v>
      </c>
      <c r="B33" s="37" t="s">
        <v>284</v>
      </c>
      <c r="C33" s="21">
        <v>1</v>
      </c>
      <c r="D33" s="23">
        <f>ROUND(BOM!H283*(1+Kurallar!$B$5)*(1+Kurallar!$B$6),0)</f>
        <v>0</v>
      </c>
      <c r="E33" s="23">
        <f t="shared" si="0"/>
        <v>0</v>
      </c>
    </row>
    <row r="34" spans="1:5" x14ac:dyDescent="0.25">
      <c r="A34" s="21">
        <v>28</v>
      </c>
      <c r="B34" s="37" t="s">
        <v>290</v>
      </c>
      <c r="C34" s="21">
        <v>1</v>
      </c>
      <c r="D34" s="23">
        <f>ROUND(BOM!H292*(1+Kurallar!$B$5)*(1+Kurallar!$B$6),0)</f>
        <v>0</v>
      </c>
      <c r="E34" s="23">
        <f t="shared" si="0"/>
        <v>0</v>
      </c>
    </row>
    <row r="35" spans="1:5" x14ac:dyDescent="0.25">
      <c r="A35" s="21">
        <v>29</v>
      </c>
      <c r="B35" s="37" t="s">
        <v>299</v>
      </c>
      <c r="C35" s="21">
        <v>1</v>
      </c>
      <c r="D35" s="23">
        <f>ROUND(BOM!H308*(1+Kurallar!$B$5)*(1+Kurallar!$B$6),0)</f>
        <v>0</v>
      </c>
      <c r="E35" s="23">
        <f t="shared" si="0"/>
        <v>0</v>
      </c>
    </row>
    <row r="36" spans="1:5" x14ac:dyDescent="0.25">
      <c r="A36" s="21">
        <v>30</v>
      </c>
      <c r="B36" s="37" t="s">
        <v>308</v>
      </c>
      <c r="C36" s="21">
        <v>1</v>
      </c>
      <c r="D36" s="23">
        <f>ROUND(BOM!H320*(1+Kurallar!$B$5)*(1+Kurallar!$B$6),0)</f>
        <v>0</v>
      </c>
      <c r="E36" s="23">
        <f t="shared" si="0"/>
        <v>0</v>
      </c>
    </row>
    <row r="37" spans="1:5" x14ac:dyDescent="0.25">
      <c r="A37" s="21">
        <v>31</v>
      </c>
      <c r="B37" s="37" t="s">
        <v>315</v>
      </c>
      <c r="C37" s="21">
        <v>1</v>
      </c>
      <c r="D37" s="23">
        <f>ROUND(BOM!H332*(1+Kurallar!$B$5)*(1+Kurallar!$B$6),0)</f>
        <v>0</v>
      </c>
      <c r="E37" s="23">
        <f t="shared" si="0"/>
        <v>0</v>
      </c>
    </row>
    <row r="38" spans="1:5" x14ac:dyDescent="0.25">
      <c r="A38" s="21">
        <v>32</v>
      </c>
      <c r="B38" s="37" t="s">
        <v>322</v>
      </c>
      <c r="C38" s="21">
        <v>1</v>
      </c>
      <c r="D38" s="23">
        <f>ROUND(BOM!H338*(1+Kurallar!$B$5)*(1+Kurallar!$B$6),0)</f>
        <v>0</v>
      </c>
      <c r="E38" s="23">
        <f t="shared" si="0"/>
        <v>0</v>
      </c>
    </row>
    <row r="39" spans="1:5" x14ac:dyDescent="0.25">
      <c r="A39" s="21">
        <v>33</v>
      </c>
      <c r="B39" s="37" t="s">
        <v>327</v>
      </c>
      <c r="C39" s="21">
        <v>1</v>
      </c>
      <c r="D39" s="23">
        <f>ROUND(BOM!H344*(1+Kurallar!$B$5)*(1+Kurallar!$B$6),0)</f>
        <v>0</v>
      </c>
      <c r="E39" s="23">
        <f t="shared" ref="E39:E70" si="1">C39*D39</f>
        <v>0</v>
      </c>
    </row>
    <row r="40" spans="1:5" x14ac:dyDescent="0.25">
      <c r="A40" s="21">
        <v>34</v>
      </c>
      <c r="B40" s="37" t="s">
        <v>330</v>
      </c>
      <c r="C40" s="21">
        <v>1</v>
      </c>
      <c r="D40" s="23">
        <f>ROUND(BOM!H352*(1+Kurallar!$B$5)*(1+Kurallar!$B$6),0)</f>
        <v>0</v>
      </c>
      <c r="E40" s="23">
        <f t="shared" si="1"/>
        <v>0</v>
      </c>
    </row>
    <row r="41" spans="1:5" x14ac:dyDescent="0.25">
      <c r="A41" s="21">
        <v>35</v>
      </c>
      <c r="B41" s="37" t="s">
        <v>335</v>
      </c>
      <c r="C41" s="21">
        <v>1</v>
      </c>
      <c r="D41" s="23">
        <f>ROUND(BOM!H360*(1+Kurallar!$B$5)*(1+Kurallar!$B$6),0)</f>
        <v>0</v>
      </c>
      <c r="E41" s="23">
        <f t="shared" si="1"/>
        <v>0</v>
      </c>
    </row>
    <row r="42" spans="1:5" x14ac:dyDescent="0.25">
      <c r="A42" s="21">
        <v>36</v>
      </c>
      <c r="B42" s="37" t="s">
        <v>340</v>
      </c>
      <c r="C42" s="21">
        <v>1</v>
      </c>
      <c r="D42" s="23">
        <f>ROUND(BOM!H371*(1+Kurallar!$B$5)*(1+Kurallar!$B$6),0)</f>
        <v>0</v>
      </c>
      <c r="E42" s="23">
        <f t="shared" si="1"/>
        <v>0</v>
      </c>
    </row>
    <row r="43" spans="1:5" x14ac:dyDescent="0.25">
      <c r="A43" s="21">
        <v>37</v>
      </c>
      <c r="B43" s="37" t="s">
        <v>343</v>
      </c>
      <c r="C43" s="21">
        <v>1</v>
      </c>
      <c r="D43" s="23">
        <f>ROUND(BOM!H380*(1+Kurallar!$B$5)*(1+Kurallar!$B$6),0)</f>
        <v>0</v>
      </c>
      <c r="E43" s="23">
        <f t="shared" si="1"/>
        <v>0</v>
      </c>
    </row>
    <row r="44" spans="1:5" x14ac:dyDescent="0.25">
      <c r="A44" s="21">
        <v>38</v>
      </c>
      <c r="B44" s="37" t="s">
        <v>348</v>
      </c>
      <c r="C44" s="21">
        <v>1</v>
      </c>
      <c r="D44" s="23">
        <f>ROUND(BOM!H388*(1+Kurallar!$B$5)*(1+Kurallar!$B$6),0)</f>
        <v>0</v>
      </c>
      <c r="E44" s="23">
        <f t="shared" si="1"/>
        <v>0</v>
      </c>
    </row>
    <row r="45" spans="1:5" x14ac:dyDescent="0.25">
      <c r="A45" s="21">
        <v>39</v>
      </c>
      <c r="B45" s="37" t="s">
        <v>353</v>
      </c>
      <c r="C45" s="21">
        <v>11</v>
      </c>
      <c r="D45" s="23">
        <f>ROUND(BOM!H398*(1+Kurallar!$B$5)*(1+Kurallar!$B$6),0)</f>
        <v>0</v>
      </c>
      <c r="E45" s="23">
        <f t="shared" si="1"/>
        <v>0</v>
      </c>
    </row>
    <row r="46" spans="1:5" x14ac:dyDescent="0.25">
      <c r="A46" s="21">
        <v>40</v>
      </c>
      <c r="B46" s="37" t="s">
        <v>357</v>
      </c>
      <c r="C46" s="21">
        <v>33</v>
      </c>
      <c r="D46" s="23">
        <f>ROUND(BOM!H409*(1+Kurallar!$B$5)*(1+Kurallar!$B$6),0)</f>
        <v>0</v>
      </c>
      <c r="E46" s="23">
        <f t="shared" si="1"/>
        <v>0</v>
      </c>
    </row>
    <row r="47" spans="1:5" x14ac:dyDescent="0.25">
      <c r="A47" s="21">
        <v>41</v>
      </c>
      <c r="B47" s="37" t="s">
        <v>360</v>
      </c>
      <c r="C47" s="21">
        <v>33</v>
      </c>
      <c r="D47" s="23">
        <f>ROUND(BOM!H420*(1+Kurallar!$B$5)*(1+Kurallar!$B$6),0)</f>
        <v>0</v>
      </c>
      <c r="E47" s="23">
        <f t="shared" si="1"/>
        <v>0</v>
      </c>
    </row>
    <row r="48" spans="1:5" x14ac:dyDescent="0.25">
      <c r="A48" s="21">
        <v>42</v>
      </c>
      <c r="B48" s="37" t="s">
        <v>363</v>
      </c>
      <c r="C48" s="21">
        <v>1</v>
      </c>
      <c r="D48" s="23">
        <f>ROUND(BOM!H435*(1+Kurallar!$B$5)*(1+Kurallar!$B$6),0)</f>
        <v>0</v>
      </c>
      <c r="E48" s="23">
        <f t="shared" si="1"/>
        <v>0</v>
      </c>
    </row>
    <row r="49" spans="1:5" x14ac:dyDescent="0.25">
      <c r="A49" s="21">
        <v>43</v>
      </c>
      <c r="B49" s="37" t="s">
        <v>366</v>
      </c>
      <c r="C49" s="21">
        <v>1</v>
      </c>
      <c r="D49" s="23">
        <f>ROUND(BOM!H450*(1+Kurallar!$B$5)*(1+Kurallar!$B$6),0)</f>
        <v>0</v>
      </c>
      <c r="E49" s="23">
        <f t="shared" si="1"/>
        <v>0</v>
      </c>
    </row>
    <row r="50" spans="1:5" x14ac:dyDescent="0.25">
      <c r="A50" s="21">
        <v>44</v>
      </c>
      <c r="B50" s="37" t="s">
        <v>369</v>
      </c>
      <c r="C50" s="21">
        <v>1</v>
      </c>
      <c r="D50" s="23">
        <f>ROUND(BOM!H465*(1+Kurallar!$B$5)*(1+Kurallar!$B$6),0)</f>
        <v>0</v>
      </c>
      <c r="E50" s="23">
        <f t="shared" si="1"/>
        <v>0</v>
      </c>
    </row>
    <row r="51" spans="1:5" x14ac:dyDescent="0.25">
      <c r="A51" s="21">
        <v>45</v>
      </c>
      <c r="B51" s="37" t="s">
        <v>372</v>
      </c>
      <c r="C51" s="21">
        <v>2</v>
      </c>
      <c r="D51" s="23">
        <f>ROUND(BOM!H471*(1+Kurallar!$B$5)*(1+Kurallar!$B$6),0)</f>
        <v>0</v>
      </c>
      <c r="E51" s="23">
        <f t="shared" si="1"/>
        <v>0</v>
      </c>
    </row>
    <row r="52" spans="1:5" x14ac:dyDescent="0.25">
      <c r="A52" s="21">
        <v>46</v>
      </c>
      <c r="B52" s="37" t="s">
        <v>375</v>
      </c>
      <c r="C52" s="21">
        <v>1</v>
      </c>
      <c r="D52" s="23">
        <f>ROUND(BOM!H483*(1+Kurallar!$B$5)*(1+Kurallar!$B$6),0)</f>
        <v>0</v>
      </c>
      <c r="E52" s="23">
        <f t="shared" si="1"/>
        <v>0</v>
      </c>
    </row>
    <row r="53" spans="1:5" x14ac:dyDescent="0.25">
      <c r="A53" s="21">
        <v>47</v>
      </c>
      <c r="B53" s="37" t="s">
        <v>382</v>
      </c>
      <c r="C53" s="21">
        <v>1</v>
      </c>
      <c r="D53" s="23">
        <f>ROUND(BOM!H489*(1+Kurallar!$B$5)*(1+Kurallar!$B$6),0)</f>
        <v>0</v>
      </c>
      <c r="E53" s="23">
        <f t="shared" si="1"/>
        <v>0</v>
      </c>
    </row>
    <row r="54" spans="1:5" x14ac:dyDescent="0.25">
      <c r="A54" s="21">
        <v>48</v>
      </c>
      <c r="B54" s="37" t="s">
        <v>385</v>
      </c>
      <c r="C54" s="21">
        <v>1</v>
      </c>
      <c r="D54" s="23">
        <f>ROUND(BOM!H495*(1+Kurallar!$B$5)*(1+Kurallar!$B$6),0)</f>
        <v>0</v>
      </c>
      <c r="E54" s="23">
        <f t="shared" si="1"/>
        <v>0</v>
      </c>
    </row>
    <row r="55" spans="1:5" x14ac:dyDescent="0.25">
      <c r="A55" s="21">
        <v>49</v>
      </c>
      <c r="B55" s="37" t="s">
        <v>388</v>
      </c>
      <c r="C55" s="21">
        <v>1</v>
      </c>
      <c r="D55" s="23">
        <f>ROUND(BOM!H501*(1+Kurallar!$B$5)*(1+Kurallar!$B$6),0)</f>
        <v>0</v>
      </c>
      <c r="E55" s="23">
        <f t="shared" si="1"/>
        <v>0</v>
      </c>
    </row>
    <row r="56" spans="1:5" x14ac:dyDescent="0.25">
      <c r="A56" s="21">
        <v>50</v>
      </c>
      <c r="B56" s="37" t="s">
        <v>391</v>
      </c>
      <c r="C56" s="21">
        <v>1</v>
      </c>
      <c r="D56" s="23">
        <f>ROUND(BOM!H512*(1+Kurallar!$B$5)*(1+Kurallar!$B$6),0)</f>
        <v>0</v>
      </c>
      <c r="E56" s="23">
        <f t="shared" si="1"/>
        <v>0</v>
      </c>
    </row>
    <row r="57" spans="1:5" x14ac:dyDescent="0.25">
      <c r="A57" s="21">
        <v>51</v>
      </c>
      <c r="B57" s="37" t="s">
        <v>394</v>
      </c>
      <c r="C57" s="21">
        <v>11</v>
      </c>
      <c r="D57" s="23">
        <f>ROUND(BOM!H522*(1+Kurallar!$B$5)*(1+Kurallar!$B$6),0)</f>
        <v>0</v>
      </c>
      <c r="E57" s="23">
        <f t="shared" si="1"/>
        <v>0</v>
      </c>
    </row>
    <row r="58" spans="1:5" x14ac:dyDescent="0.25">
      <c r="A58" s="21">
        <v>52</v>
      </c>
      <c r="B58" s="37" t="s">
        <v>397</v>
      </c>
      <c r="C58" s="21">
        <v>22</v>
      </c>
      <c r="D58" s="23">
        <f>ROUND(BOM!H533*(1+Kurallar!$B$5)*(1+Kurallar!$B$6),0)</f>
        <v>0</v>
      </c>
      <c r="E58" s="23">
        <f t="shared" si="1"/>
        <v>0</v>
      </c>
    </row>
    <row r="59" spans="1:5" x14ac:dyDescent="0.25">
      <c r="A59" s="21">
        <v>53</v>
      </c>
      <c r="B59" s="37" t="s">
        <v>400</v>
      </c>
      <c r="C59" s="21">
        <v>22</v>
      </c>
      <c r="D59" s="23">
        <f>ROUND(BOM!H544*(1+Kurallar!$B$5)*(1+Kurallar!$B$6),0)</f>
        <v>0</v>
      </c>
      <c r="E59" s="23">
        <f t="shared" si="1"/>
        <v>0</v>
      </c>
    </row>
    <row r="60" spans="1:5" x14ac:dyDescent="0.25">
      <c r="A60" s="21">
        <v>54</v>
      </c>
      <c r="B60" s="37" t="s">
        <v>403</v>
      </c>
      <c r="C60" s="21">
        <v>1</v>
      </c>
      <c r="D60" s="23">
        <f>ROUND(BOM!H559*(1+Kurallar!$B$5)*(1+Kurallar!$B$6),0)</f>
        <v>0</v>
      </c>
      <c r="E60" s="23">
        <f t="shared" si="1"/>
        <v>0</v>
      </c>
    </row>
    <row r="61" spans="1:5" x14ac:dyDescent="0.25">
      <c r="A61" s="21">
        <v>55</v>
      </c>
      <c r="B61" s="37" t="s">
        <v>406</v>
      </c>
      <c r="C61" s="21">
        <v>1</v>
      </c>
      <c r="D61" s="23">
        <f>ROUND(BOM!H565*(1+Kurallar!$B$5)*(1+Kurallar!$B$6),0)</f>
        <v>0</v>
      </c>
      <c r="E61" s="23">
        <f t="shared" si="1"/>
        <v>0</v>
      </c>
    </row>
    <row r="62" spans="1:5" x14ac:dyDescent="0.25">
      <c r="A62" s="21">
        <v>56</v>
      </c>
      <c r="B62" s="37" t="s">
        <v>409</v>
      </c>
      <c r="C62" s="21">
        <v>1</v>
      </c>
      <c r="D62" s="23">
        <f>ROUND(BOM!H578*(1+Kurallar!$B$5)*(1+Kurallar!$B$6),0)</f>
        <v>0</v>
      </c>
      <c r="E62" s="23">
        <f t="shared" si="1"/>
        <v>0</v>
      </c>
    </row>
    <row r="63" spans="1:5" x14ac:dyDescent="0.25">
      <c r="A63" s="21">
        <v>57</v>
      </c>
      <c r="B63" s="37" t="s">
        <v>412</v>
      </c>
      <c r="C63" s="21">
        <v>1</v>
      </c>
      <c r="D63" s="23">
        <f>ROUND(BOM!H590*(1+Kurallar!$B$5)*(1+Kurallar!$B$6),0)</f>
        <v>1064032</v>
      </c>
      <c r="E63" s="23">
        <f t="shared" si="1"/>
        <v>1064032</v>
      </c>
    </row>
    <row r="64" spans="1:5" x14ac:dyDescent="0.25">
      <c r="A64" s="21">
        <v>58</v>
      </c>
      <c r="B64" s="37" t="s">
        <v>419</v>
      </c>
      <c r="C64" s="21">
        <v>1</v>
      </c>
      <c r="D64" s="23">
        <f>ROUND(BOM!H604*(1+Kurallar!$B$5)*(1+Kurallar!$B$6),0)</f>
        <v>0</v>
      </c>
      <c r="E64" s="23">
        <f t="shared" si="1"/>
        <v>0</v>
      </c>
    </row>
    <row r="65" spans="1:5" x14ac:dyDescent="0.25">
      <c r="A65" s="21">
        <v>59</v>
      </c>
      <c r="B65" s="37" t="s">
        <v>422</v>
      </c>
      <c r="C65" s="21">
        <v>1</v>
      </c>
      <c r="D65" s="23">
        <f>ROUND(BOM!H620*(1+Kurallar!$B$5)*(1+Kurallar!$B$6),0)</f>
        <v>253223</v>
      </c>
      <c r="E65" s="23">
        <f t="shared" si="1"/>
        <v>253223</v>
      </c>
    </row>
    <row r="66" spans="1:5" x14ac:dyDescent="0.25">
      <c r="A66" s="21">
        <v>60</v>
      </c>
      <c r="B66" s="37" t="s">
        <v>425</v>
      </c>
      <c r="C66" s="21">
        <v>3</v>
      </c>
      <c r="D66" s="23">
        <f>ROUND(BOM!H628*(1+Kurallar!$B$5)*(1+Kurallar!$B$6),0)</f>
        <v>0</v>
      </c>
      <c r="E66" s="23">
        <f t="shared" si="1"/>
        <v>0</v>
      </c>
    </row>
    <row r="67" spans="1:5" x14ac:dyDescent="0.25">
      <c r="A67" s="21">
        <v>61</v>
      </c>
      <c r="B67" s="37" t="s">
        <v>430</v>
      </c>
      <c r="C67" s="21">
        <v>1</v>
      </c>
      <c r="D67" s="23">
        <f>ROUND(BOM!H636*(1+Kurallar!$B$5)*(1+Kurallar!$B$6),0)</f>
        <v>0</v>
      </c>
      <c r="E67" s="23">
        <f t="shared" si="1"/>
        <v>0</v>
      </c>
    </row>
    <row r="68" spans="1:5" x14ac:dyDescent="0.25">
      <c r="A68" s="21">
        <v>62</v>
      </c>
      <c r="B68" s="37" t="s">
        <v>435</v>
      </c>
      <c r="C68" s="21">
        <v>1</v>
      </c>
      <c r="D68" s="23">
        <f>ROUND(BOM!H648*(1+Kurallar!$B$5)*(1+Kurallar!$B$6),0)</f>
        <v>0</v>
      </c>
      <c r="E68" s="23">
        <f t="shared" si="1"/>
        <v>0</v>
      </c>
    </row>
    <row r="69" spans="1:5" x14ac:dyDescent="0.25">
      <c r="A69" s="21">
        <v>63</v>
      </c>
      <c r="B69" s="37" t="s">
        <v>438</v>
      </c>
      <c r="C69" s="21">
        <v>1</v>
      </c>
      <c r="D69" s="23">
        <f>ROUND(BOM!H661*(1+Kurallar!$B$5)*(1+Kurallar!$B$6),0)</f>
        <v>0</v>
      </c>
      <c r="E69" s="23">
        <f t="shared" si="1"/>
        <v>0</v>
      </c>
    </row>
    <row r="70" spans="1:5" x14ac:dyDescent="0.25">
      <c r="A70" s="21">
        <v>64</v>
      </c>
      <c r="B70" s="37" t="s">
        <v>447</v>
      </c>
      <c r="C70" s="21">
        <v>1</v>
      </c>
      <c r="D70" s="23">
        <f>ROUND(BOM!H670*(1+Kurallar!$B$5)*(1+Kurallar!$B$6),0)</f>
        <v>0</v>
      </c>
      <c r="E70" s="23">
        <f t="shared" si="1"/>
        <v>0</v>
      </c>
    </row>
    <row r="71" spans="1:5" x14ac:dyDescent="0.25">
      <c r="A71" s="21">
        <v>65</v>
      </c>
      <c r="B71" s="37" t="s">
        <v>450</v>
      </c>
      <c r="C71" s="21">
        <v>1</v>
      </c>
      <c r="D71" s="23">
        <f>ROUND(BOM!H682*(1+Kurallar!$B$5)*(1+Kurallar!$B$6),0)</f>
        <v>0</v>
      </c>
      <c r="E71" s="23">
        <f t="shared" ref="E71:E100" si="2">C71*D71</f>
        <v>0</v>
      </c>
    </row>
    <row r="72" spans="1:5" x14ac:dyDescent="0.25">
      <c r="A72" s="21">
        <v>66</v>
      </c>
      <c r="B72" s="37" t="s">
        <v>455</v>
      </c>
      <c r="C72" s="21">
        <v>1</v>
      </c>
      <c r="D72" s="23">
        <f>ROUND(BOM!H688*(1+Kurallar!$B$5)*(1+Kurallar!$B$6),0)</f>
        <v>0</v>
      </c>
      <c r="E72" s="23">
        <f t="shared" si="2"/>
        <v>0</v>
      </c>
    </row>
    <row r="73" spans="1:5" x14ac:dyDescent="0.25">
      <c r="A73" s="21">
        <v>67</v>
      </c>
      <c r="B73" s="37" t="s">
        <v>458</v>
      </c>
      <c r="C73" s="21">
        <v>1</v>
      </c>
      <c r="D73" s="23">
        <f>ROUND(BOM!H694*(1+Kurallar!$B$5)*(1+Kurallar!$B$6),0)</f>
        <v>0</v>
      </c>
      <c r="E73" s="23">
        <f t="shared" si="2"/>
        <v>0</v>
      </c>
    </row>
    <row r="74" spans="1:5" x14ac:dyDescent="0.25">
      <c r="A74" s="21">
        <v>68</v>
      </c>
      <c r="B74" s="37" t="s">
        <v>461</v>
      </c>
      <c r="C74" s="21">
        <v>1</v>
      </c>
      <c r="D74" s="23">
        <f>ROUND(BOM!H702*(1+Kurallar!$B$5)*(1+Kurallar!$B$6),0)</f>
        <v>0</v>
      </c>
      <c r="E74" s="23">
        <f t="shared" si="2"/>
        <v>0</v>
      </c>
    </row>
    <row r="75" spans="1:5" x14ac:dyDescent="0.25">
      <c r="A75" s="21">
        <v>69</v>
      </c>
      <c r="B75" s="37" t="s">
        <v>464</v>
      </c>
      <c r="C75" s="21">
        <v>1</v>
      </c>
      <c r="D75" s="23">
        <f>ROUND(BOM!H711*(1+Kurallar!$B$5)*(1+Kurallar!$B$6),0)</f>
        <v>0</v>
      </c>
      <c r="E75" s="23">
        <f t="shared" si="2"/>
        <v>0</v>
      </c>
    </row>
    <row r="76" spans="1:5" x14ac:dyDescent="0.25">
      <c r="A76" s="21">
        <v>70</v>
      </c>
      <c r="B76" s="37" t="s">
        <v>469</v>
      </c>
      <c r="C76" s="21">
        <v>1</v>
      </c>
      <c r="D76" s="23">
        <f>ROUND(BOM!H719*(1+Kurallar!$B$5)*(1+Kurallar!$B$6),0)</f>
        <v>0</v>
      </c>
      <c r="E76" s="23">
        <f t="shared" si="2"/>
        <v>0</v>
      </c>
    </row>
    <row r="77" spans="1:5" x14ac:dyDescent="0.25">
      <c r="A77" s="21">
        <v>71</v>
      </c>
      <c r="B77" s="37" t="s">
        <v>472</v>
      </c>
      <c r="C77" s="21">
        <v>1</v>
      </c>
      <c r="D77" s="23">
        <f>ROUND(BOM!H730*(1+Kurallar!$B$5)*(1+Kurallar!$B$6),0)</f>
        <v>0</v>
      </c>
      <c r="E77" s="23">
        <f t="shared" si="2"/>
        <v>0</v>
      </c>
    </row>
    <row r="78" spans="1:5" x14ac:dyDescent="0.25">
      <c r="A78" s="21">
        <v>72</v>
      </c>
      <c r="B78" s="37" t="s">
        <v>475</v>
      </c>
      <c r="C78" s="21">
        <v>1</v>
      </c>
      <c r="D78" s="23">
        <f>ROUND(BOM!H738*(1+Kurallar!$B$5)*(1+Kurallar!$B$6),0)</f>
        <v>0</v>
      </c>
      <c r="E78" s="23">
        <f t="shared" si="2"/>
        <v>0</v>
      </c>
    </row>
    <row r="79" spans="1:5" x14ac:dyDescent="0.25">
      <c r="A79" s="21">
        <v>73</v>
      </c>
      <c r="B79" s="37" t="s">
        <v>478</v>
      </c>
      <c r="C79" s="21">
        <v>8</v>
      </c>
      <c r="D79" s="23">
        <f>ROUND(BOM!H748*(1+Kurallar!$B$5)*(1+Kurallar!$B$6),0)</f>
        <v>0</v>
      </c>
      <c r="E79" s="23">
        <f t="shared" si="2"/>
        <v>0</v>
      </c>
    </row>
    <row r="80" spans="1:5" x14ac:dyDescent="0.25">
      <c r="A80" s="21">
        <v>74</v>
      </c>
      <c r="B80" s="37" t="s">
        <v>482</v>
      </c>
      <c r="C80" s="21">
        <v>9</v>
      </c>
      <c r="D80" s="23">
        <f>ROUND(BOM!H759*(1+Kurallar!$B$5)*(1+Kurallar!$B$6),0)</f>
        <v>0</v>
      </c>
      <c r="E80" s="23">
        <f t="shared" si="2"/>
        <v>0</v>
      </c>
    </row>
    <row r="81" spans="1:5" x14ac:dyDescent="0.25">
      <c r="A81" s="21">
        <v>75</v>
      </c>
      <c r="B81" s="37" t="s">
        <v>485</v>
      </c>
      <c r="C81" s="21">
        <v>31</v>
      </c>
      <c r="D81" s="23">
        <f>ROUND(BOM!H770*(1+Kurallar!$B$5)*(1+Kurallar!$B$6),0)</f>
        <v>0</v>
      </c>
      <c r="E81" s="23">
        <f t="shared" si="2"/>
        <v>0</v>
      </c>
    </row>
    <row r="82" spans="1:5" x14ac:dyDescent="0.25">
      <c r="A82" s="21">
        <v>76</v>
      </c>
      <c r="B82" s="37" t="s">
        <v>488</v>
      </c>
      <c r="C82" s="21">
        <v>2</v>
      </c>
      <c r="D82" s="23">
        <f>ROUND(BOM!H785*(1+Kurallar!$B$5)*(1+Kurallar!$B$6),0)</f>
        <v>0</v>
      </c>
      <c r="E82" s="23">
        <f t="shared" si="2"/>
        <v>0</v>
      </c>
    </row>
    <row r="83" spans="1:5" x14ac:dyDescent="0.25">
      <c r="A83" s="21">
        <v>77</v>
      </c>
      <c r="B83" s="37" t="s">
        <v>491</v>
      </c>
      <c r="C83" s="21">
        <v>1</v>
      </c>
      <c r="D83" s="23">
        <f>ROUND(BOM!H800*(1+Kurallar!$B$5)*(1+Kurallar!$B$6),0)</f>
        <v>0</v>
      </c>
      <c r="E83" s="23">
        <f t="shared" si="2"/>
        <v>0</v>
      </c>
    </row>
    <row r="84" spans="1:5" x14ac:dyDescent="0.25">
      <c r="A84" s="21">
        <v>78</v>
      </c>
      <c r="B84" s="37" t="s">
        <v>494</v>
      </c>
      <c r="C84" s="21">
        <v>1</v>
      </c>
      <c r="D84" s="23">
        <f>ROUND(BOM!H806*(1+Kurallar!$B$5)*(1+Kurallar!$B$6),0)</f>
        <v>0</v>
      </c>
      <c r="E84" s="23">
        <f t="shared" si="2"/>
        <v>0</v>
      </c>
    </row>
    <row r="85" spans="1:5" x14ac:dyDescent="0.25">
      <c r="A85" s="21">
        <v>79</v>
      </c>
      <c r="B85" s="37" t="s">
        <v>497</v>
      </c>
      <c r="C85" s="21">
        <v>1</v>
      </c>
      <c r="D85" s="23">
        <f>ROUND(BOM!H818*(1+Kurallar!$B$5)*(1+Kurallar!$B$6),0)</f>
        <v>0</v>
      </c>
      <c r="E85" s="23">
        <f t="shared" si="2"/>
        <v>0</v>
      </c>
    </row>
    <row r="86" spans="1:5" x14ac:dyDescent="0.25">
      <c r="A86" s="21">
        <v>80</v>
      </c>
      <c r="B86" s="37" t="s">
        <v>500</v>
      </c>
      <c r="C86" s="21">
        <v>1</v>
      </c>
      <c r="D86" s="23">
        <f>ROUND(BOM!H831*(1+Kurallar!$B$5)*(1+Kurallar!$B$6),0)</f>
        <v>0</v>
      </c>
      <c r="E86" s="23">
        <f t="shared" si="2"/>
        <v>0</v>
      </c>
    </row>
    <row r="87" spans="1:5" x14ac:dyDescent="0.25">
      <c r="A87" s="21">
        <v>81</v>
      </c>
      <c r="B87" s="37" t="s">
        <v>505</v>
      </c>
      <c r="C87" s="21">
        <v>1</v>
      </c>
      <c r="D87" s="23">
        <f>ROUND(BOM!H843*(1+Kurallar!$B$5)*(1+Kurallar!$B$6),0)</f>
        <v>0</v>
      </c>
      <c r="E87" s="23">
        <f t="shared" si="2"/>
        <v>0</v>
      </c>
    </row>
    <row r="88" spans="1:5" x14ac:dyDescent="0.25">
      <c r="A88" s="21">
        <v>82</v>
      </c>
      <c r="B88" s="37" t="s">
        <v>518</v>
      </c>
      <c r="C88" s="21">
        <v>1</v>
      </c>
      <c r="D88" s="23">
        <f>ROUND(BOM!H855*(1+Kurallar!$B$5)*(1+Kurallar!$B$6),0)</f>
        <v>832753</v>
      </c>
      <c r="E88" s="23">
        <f t="shared" si="2"/>
        <v>832753</v>
      </c>
    </row>
    <row r="89" spans="1:5" x14ac:dyDescent="0.25">
      <c r="A89" s="21">
        <v>83</v>
      </c>
      <c r="B89" s="37" t="s">
        <v>523</v>
      </c>
      <c r="C89" s="21">
        <v>1</v>
      </c>
      <c r="D89" s="23">
        <f>ROUND(BOM!H867*(1+Kurallar!$B$5)*(1+Kurallar!$B$6),0)</f>
        <v>0</v>
      </c>
      <c r="E89" s="23">
        <f t="shared" si="2"/>
        <v>0</v>
      </c>
    </row>
    <row r="90" spans="1:5" x14ac:dyDescent="0.25">
      <c r="A90" s="21">
        <v>84</v>
      </c>
      <c r="B90" s="37" t="s">
        <v>532</v>
      </c>
      <c r="C90" s="21">
        <v>1</v>
      </c>
      <c r="D90" s="23">
        <f>ROUND(BOM!H884*(1+Kurallar!$B$5)*(1+Kurallar!$B$6),0)</f>
        <v>0</v>
      </c>
      <c r="E90" s="23">
        <f t="shared" si="2"/>
        <v>0</v>
      </c>
    </row>
    <row r="91" spans="1:5" x14ac:dyDescent="0.25">
      <c r="A91" s="21">
        <v>85</v>
      </c>
      <c r="B91" s="37" t="s">
        <v>543</v>
      </c>
      <c r="C91" s="21">
        <v>1</v>
      </c>
      <c r="D91" s="23">
        <f>ROUND(BOM!H892*(1+Kurallar!$B$5)*(1+Kurallar!$B$6),0)</f>
        <v>0</v>
      </c>
      <c r="E91" s="23">
        <f t="shared" si="2"/>
        <v>0</v>
      </c>
    </row>
    <row r="92" spans="1:5" x14ac:dyDescent="0.25">
      <c r="A92" s="21">
        <v>86</v>
      </c>
      <c r="B92" s="37" t="s">
        <v>548</v>
      </c>
      <c r="C92" s="21">
        <v>1</v>
      </c>
      <c r="D92" s="23">
        <f>ROUND(BOM!H900*(1+Kurallar!$B$5)*(1+Kurallar!$B$6),0)</f>
        <v>189338</v>
      </c>
      <c r="E92" s="23">
        <f t="shared" si="2"/>
        <v>189338</v>
      </c>
    </row>
    <row r="93" spans="1:5" x14ac:dyDescent="0.25">
      <c r="A93" s="21">
        <v>87</v>
      </c>
      <c r="B93" s="37" t="s">
        <v>553</v>
      </c>
      <c r="C93" s="21">
        <v>1</v>
      </c>
      <c r="D93" s="23">
        <f>ROUND(BOM!H908*(1+Kurallar!$B$5)*(1+Kurallar!$B$6),0)</f>
        <v>0</v>
      </c>
      <c r="E93" s="23">
        <f t="shared" si="2"/>
        <v>0</v>
      </c>
    </row>
    <row r="94" spans="1:5" x14ac:dyDescent="0.25">
      <c r="A94" s="21">
        <v>88</v>
      </c>
      <c r="B94" s="37" t="s">
        <v>560</v>
      </c>
      <c r="C94" s="21">
        <v>1</v>
      </c>
      <c r="D94" s="23">
        <f>ROUND(BOM!H916*(1+Kurallar!$B$5)*(1+Kurallar!$B$6),0)</f>
        <v>0</v>
      </c>
      <c r="E94" s="23">
        <f t="shared" si="2"/>
        <v>0</v>
      </c>
    </row>
    <row r="95" spans="1:5" x14ac:dyDescent="0.25">
      <c r="A95" s="21">
        <v>89</v>
      </c>
      <c r="B95" s="37" t="s">
        <v>563</v>
      </c>
      <c r="C95" s="21">
        <v>1</v>
      </c>
      <c r="D95" s="23">
        <f>ROUND(BOM!H926*(1+Kurallar!$B$5)*(1+Kurallar!$B$6),0)</f>
        <v>0</v>
      </c>
      <c r="E95" s="23">
        <f t="shared" si="2"/>
        <v>0</v>
      </c>
    </row>
    <row r="96" spans="1:5" x14ac:dyDescent="0.25">
      <c r="A96" s="21">
        <v>90</v>
      </c>
      <c r="B96" s="37" t="s">
        <v>570</v>
      </c>
      <c r="C96" s="21">
        <v>1</v>
      </c>
      <c r="D96" s="23">
        <f>ROUND(BOM!H937*(1+Kurallar!$B$5)*(1+Kurallar!$B$6),0)</f>
        <v>0</v>
      </c>
      <c r="E96" s="23">
        <f t="shared" si="2"/>
        <v>0</v>
      </c>
    </row>
    <row r="97" spans="1:5" x14ac:dyDescent="0.25">
      <c r="A97" s="21">
        <v>91</v>
      </c>
      <c r="B97" s="37" t="s">
        <v>573</v>
      </c>
      <c r="C97" s="21">
        <v>1</v>
      </c>
      <c r="D97" s="23">
        <f>ROUND(BOM!H944*(1+Kurallar!$B$5)*(1+Kurallar!$B$6),0)</f>
        <v>0</v>
      </c>
      <c r="E97" s="23">
        <f t="shared" si="2"/>
        <v>0</v>
      </c>
    </row>
    <row r="98" spans="1:5" x14ac:dyDescent="0.25">
      <c r="A98" s="21">
        <v>92</v>
      </c>
      <c r="B98" s="37" t="s">
        <v>576</v>
      </c>
      <c r="C98" s="21">
        <v>1</v>
      </c>
      <c r="D98" s="23">
        <f>ROUND(BOM!H951*(1+Kurallar!$B$5)*(1+Kurallar!$B$6),0)</f>
        <v>0</v>
      </c>
      <c r="E98" s="23">
        <f t="shared" si="2"/>
        <v>0</v>
      </c>
    </row>
    <row r="99" spans="1:5" x14ac:dyDescent="0.25">
      <c r="A99" s="21">
        <v>93</v>
      </c>
      <c r="B99" s="37" t="s">
        <v>579</v>
      </c>
      <c r="C99" s="21">
        <v>1</v>
      </c>
      <c r="D99" s="23">
        <f>ROUND(BOM!H982*(1+Kurallar!$B$5)*(1+Kurallar!$B$6),0)</f>
        <v>0</v>
      </c>
      <c r="E99" s="23">
        <f t="shared" si="2"/>
        <v>0</v>
      </c>
    </row>
    <row r="100" spans="1:5" x14ac:dyDescent="0.25">
      <c r="A100" s="21">
        <v>94</v>
      </c>
      <c r="B100" s="37" t="s">
        <v>610</v>
      </c>
      <c r="C100" s="21">
        <v>1</v>
      </c>
      <c r="D100" s="23">
        <f>ROUND(BOM!H994*(1+Kurallar!$B$5)*(1+Kurallar!$B$6),0)</f>
        <v>0</v>
      </c>
      <c r="E100" s="23">
        <f t="shared" si="2"/>
        <v>0</v>
      </c>
    </row>
    <row r="101" spans="1:5" x14ac:dyDescent="0.25">
      <c r="B101" s="38" t="s">
        <v>739</v>
      </c>
      <c r="E101" s="39">
        <f>SUM(E7:E100)</f>
        <v>3128853</v>
      </c>
    </row>
    <row r="102" spans="1:5" x14ac:dyDescent="0.25">
      <c r="B102" s="40" t="s">
        <v>740</v>
      </c>
      <c r="E102" s="41">
        <f>E101*Kurallar!$B$7</f>
        <v>500616.48</v>
      </c>
    </row>
    <row r="103" spans="1:5" x14ac:dyDescent="0.25">
      <c r="B103" s="24" t="s">
        <v>741</v>
      </c>
      <c r="E103" s="25">
        <f>E101+E102</f>
        <v>3629469.48</v>
      </c>
    </row>
    <row r="105" spans="1:5" x14ac:dyDescent="0.25">
      <c r="A105" s="2" t="s">
        <v>742</v>
      </c>
    </row>
    <row r="106" spans="1:5" x14ac:dyDescent="0.25">
      <c r="A106" s="42" t="s">
        <v>743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BOM</vt:lpstr>
      <vt:lpstr>СВОД</vt:lpstr>
      <vt:lpstr>Kurallar</vt:lpstr>
      <vt:lpstr>KP-TEKLIF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2026-08-27T08:35:05Z</dcterms:created>
  <dcterms:modified xsi:type="dcterms:W3CDTF">2026-09-17T12:12:15Z</dcterms:modified>
  <dc:language>en-US</dc:language>
</cp:coreProperties>
</file>