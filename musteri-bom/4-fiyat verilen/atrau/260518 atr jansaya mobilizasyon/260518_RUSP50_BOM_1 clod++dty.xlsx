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18 atr jansaya mobilizasyon\"/>
    </mc:Choice>
  </mc:AlternateContent>
  <xr:revisionPtr revIDLastSave="0" documentId="13_ncr:1_{0FB72ABA-A534-4878-8E42-332652FDEB7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yat calismasi burda" sheetId="1" r:id="rId1"/>
  </sheets>
  <definedNames>
    <definedName name="_xlnm._FilterDatabase" localSheetId="0" hidden="1">'fiyat calismasi burda'!$A$1:$K$15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4" i="1" l="1"/>
  <c r="H14" i="1" s="1"/>
  <c r="F13" i="1" s="1"/>
  <c r="G13" i="1" s="1"/>
  <c r="H1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3" i="1"/>
  <c r="H3" i="1" s="1"/>
  <c r="G12" i="1"/>
  <c r="H12" i="1" s="1"/>
  <c r="H15" i="1" l="1"/>
  <c r="G2" i="1" l="1"/>
  <c r="H2" i="1" s="1"/>
</calcChain>
</file>

<file path=xl/sharedStrings.xml><?xml version="1.0" encoding="utf-8"?>
<sst xmlns="http://schemas.openxmlformats.org/spreadsheetml/2006/main" count="88" uniqueCount="48">
  <si>
    <t>sira no</t>
  </si>
  <si>
    <t>Наименование 1</t>
  </si>
  <si>
    <t>malzeme</t>
  </si>
  <si>
    <t>Артикул</t>
  </si>
  <si>
    <t>Наименование</t>
  </si>
  <si>
    <t>Цена,тг</t>
  </si>
  <si>
    <t>СУММ.</t>
  </si>
  <si>
    <t>Кол-во</t>
  </si>
  <si>
    <t>Ед.изм</t>
  </si>
  <si>
    <t>завод изготовитель</t>
  </si>
  <si>
    <t>ШМ-РУСП-50-4х1П-3х3П IP54 (ввод 50A, 4x220В, 3x380В, УЗО+АВ раздельно)</t>
  </si>
  <si>
    <t>989-090-RUSP50</t>
  </si>
  <si>
    <t>комплект</t>
  </si>
  <si>
    <t>korpus</t>
  </si>
  <si>
    <t xml:space="preserve"> ШТ. </t>
  </si>
  <si>
    <t>814175</t>
  </si>
  <si>
    <t>АВ NXB-63 3P 50A 6кА х-ка C (ввод)</t>
  </si>
  <si>
    <t>CHINT</t>
  </si>
  <si>
    <t>УЗО 220В</t>
  </si>
  <si>
    <t>280721</t>
  </si>
  <si>
    <t>УЗО NXL-63 6кА 1P+N 25A 30мА тип AC</t>
  </si>
  <si>
    <t>MCB 220В</t>
  </si>
  <si>
    <t>814014</t>
  </si>
  <si>
    <t>АВ NXB-63 1P 16A 6кА х-ка C (выход 220В)</t>
  </si>
  <si>
    <t>УЗО 380В</t>
  </si>
  <si>
    <t>280789</t>
  </si>
  <si>
    <t>УЗО NXL-63 6кА 3P+N 25A 30мА тип AC</t>
  </si>
  <si>
    <t>MCB 380В</t>
  </si>
  <si>
    <t>814170</t>
  </si>
  <si>
    <t>АВ NXB-63 3P 16A 6кА х-ка C (выход 380В)</t>
  </si>
  <si>
    <t>sinyal lamb</t>
  </si>
  <si>
    <t>593077</t>
  </si>
  <si>
    <t>Индикатор ND16-22D/2 зеленый AC/DC230В (R)</t>
  </si>
  <si>
    <t>593075</t>
  </si>
  <si>
    <t>Индикатор ND16-22D/2 красный AC/DC230В (R)</t>
  </si>
  <si>
    <t>593076</t>
  </si>
  <si>
    <t>Индикатор ND16-22D/2 желтый AC/DC230В (R)</t>
  </si>
  <si>
    <t>SALNIK</t>
  </si>
  <si>
    <t>IEK</t>
  </si>
  <si>
    <t>989-100-1243</t>
  </si>
  <si>
    <t>Salnik PG 21 (15-18mm) IEK</t>
  </si>
  <si>
    <t>montaj malz.</t>
  </si>
  <si>
    <t>iscilik</t>
  </si>
  <si>
    <t>mcb</t>
  </si>
  <si>
    <t>Teksan f</t>
  </si>
  <si>
    <t>719-15632</t>
  </si>
  <si>
    <t>Мет. Щит  600x500x300мм +ножка 600мм</t>
  </si>
  <si>
    <t>TEKSAN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</si>
</sst>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Обычный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I3" sqref="I3"/>
    </sheetView>
  </sheetViews>
  <sheetFormatPr defaultColWidth="8.7109375" defaultRowHeight="15" x14ac:dyDescent="0.25"/>
  <cols>
    <col min="1" max="1" width="6" style="2" customWidth="1"/>
    <col min="2" max="2" width="38" style="2" customWidth="1"/>
    <col min="3" max="3" width="16" style="2" customWidth="1"/>
    <col min="4" max="4" width="22" style="2" customWidth="1"/>
    <col min="5" max="5" width="50" style="2" customWidth="1"/>
    <col min="6" max="7" width="14" style="2" customWidth="1"/>
    <col min="8" max="8" width="16" style="2" customWidth="1"/>
    <col min="9" max="9" width="9" style="2" customWidth="1"/>
    <col min="10" max="10" width="10" style="2" customWidth="1"/>
    <col min="11" max="11" width="16" style="2" customWidth="1"/>
    <col min="12" max="16384" width="8.7109375" style="2"/>
  </cols>
  <sheetData>
    <row r="1" spans="1:11" ht="55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45" customHeight="1" x14ac:dyDescent="0.25">
      <c r="A2" s="3"/>
      <c r="B2" s="3" t="s">
        <v>10</v>
      </c>
      <c r="C2" s="3"/>
      <c r="D2" s="3" t="s">
        <v>11</v>
      </c>
      <c r="E2" s="3" t="s">
        <v>10</v>
      </c>
      <c r="F2" s="3"/>
      <c r="G2" s="4">
        <f>2.3*H15</f>
        <v>344815.07999999996</v>
      </c>
      <c r="H2" s="4">
        <f t="shared" ref="H2:H14" si="0">G2*I2</f>
        <v>3448150.8</v>
      </c>
      <c r="I2" s="3">
        <v>10</v>
      </c>
      <c r="J2" s="3" t="s">
        <v>12</v>
      </c>
      <c r="K2" s="3" t="s">
        <v>47</v>
      </c>
    </row>
    <row r="3" spans="1:11" ht="45" customHeight="1" x14ac:dyDescent="0.25">
      <c r="A3" s="5">
        <v>1</v>
      </c>
      <c r="B3" s="5" t="s">
        <v>10</v>
      </c>
      <c r="C3" s="5" t="s">
        <v>13</v>
      </c>
      <c r="D3" s="5" t="s">
        <v>45</v>
      </c>
      <c r="E3" s="5" t="s">
        <v>46</v>
      </c>
      <c r="F3" s="6">
        <v>59965</v>
      </c>
      <c r="G3" s="6">
        <f>0.6*F3</f>
        <v>35979</v>
      </c>
      <c r="H3" s="6">
        <f t="shared" si="0"/>
        <v>35979</v>
      </c>
      <c r="I3" s="7">
        <v>1</v>
      </c>
      <c r="J3" s="5" t="s">
        <v>14</v>
      </c>
      <c r="K3" s="5" t="s">
        <v>44</v>
      </c>
    </row>
    <row r="4" spans="1:11" ht="45" customHeight="1" x14ac:dyDescent="0.25">
      <c r="A4" s="5">
        <v>2</v>
      </c>
      <c r="B4" s="5" t="s">
        <v>10</v>
      </c>
      <c r="C4" s="5" t="s">
        <v>43</v>
      </c>
      <c r="D4" s="5" t="s">
        <v>15</v>
      </c>
      <c r="E4" s="5" t="s">
        <v>16</v>
      </c>
      <c r="F4" s="6">
        <v>5719</v>
      </c>
      <c r="G4" s="6">
        <f t="shared" ref="G4:G11" si="1">0.6*F4</f>
        <v>3431.4</v>
      </c>
      <c r="H4" s="6">
        <f t="shared" si="0"/>
        <v>3431.4</v>
      </c>
      <c r="I4" s="7">
        <v>1</v>
      </c>
      <c r="J4" s="5" t="s">
        <v>14</v>
      </c>
      <c r="K4" s="5" t="s">
        <v>17</v>
      </c>
    </row>
    <row r="5" spans="1:11" ht="45" customHeight="1" x14ac:dyDescent="0.25">
      <c r="A5" s="5">
        <v>3</v>
      </c>
      <c r="B5" s="5" t="s">
        <v>10</v>
      </c>
      <c r="C5" s="5" t="s">
        <v>18</v>
      </c>
      <c r="D5" s="5" t="s">
        <v>19</v>
      </c>
      <c r="E5" s="5" t="s">
        <v>20</v>
      </c>
      <c r="F5" s="6">
        <v>7422</v>
      </c>
      <c r="G5" s="6">
        <f t="shared" si="1"/>
        <v>4453.2</v>
      </c>
      <c r="H5" s="6">
        <f t="shared" si="0"/>
        <v>17812.8</v>
      </c>
      <c r="I5" s="7">
        <v>4</v>
      </c>
      <c r="J5" s="5" t="s">
        <v>14</v>
      </c>
      <c r="K5" s="5" t="s">
        <v>17</v>
      </c>
    </row>
    <row r="6" spans="1:11" ht="45" customHeight="1" x14ac:dyDescent="0.25">
      <c r="A6" s="5">
        <v>4</v>
      </c>
      <c r="B6" s="5" t="s">
        <v>10</v>
      </c>
      <c r="C6" s="5" t="s">
        <v>21</v>
      </c>
      <c r="D6" s="5" t="s">
        <v>22</v>
      </c>
      <c r="E6" s="5" t="s">
        <v>23</v>
      </c>
      <c r="F6" s="6">
        <v>1389</v>
      </c>
      <c r="G6" s="6">
        <f t="shared" si="1"/>
        <v>833.4</v>
      </c>
      <c r="H6" s="6">
        <f t="shared" si="0"/>
        <v>3333.6</v>
      </c>
      <c r="I6" s="7">
        <v>4</v>
      </c>
      <c r="J6" s="5" t="s">
        <v>14</v>
      </c>
      <c r="K6" s="5" t="s">
        <v>17</v>
      </c>
    </row>
    <row r="7" spans="1:11" ht="45" customHeight="1" x14ac:dyDescent="0.25">
      <c r="A7" s="5">
        <v>5</v>
      </c>
      <c r="B7" s="5" t="s">
        <v>10</v>
      </c>
      <c r="C7" s="5" t="s">
        <v>24</v>
      </c>
      <c r="D7" s="5" t="s">
        <v>25</v>
      </c>
      <c r="E7" s="5" t="s">
        <v>26</v>
      </c>
      <c r="F7" s="6">
        <v>13357</v>
      </c>
      <c r="G7" s="6">
        <f t="shared" si="1"/>
        <v>8014.2</v>
      </c>
      <c r="H7" s="6">
        <f t="shared" si="0"/>
        <v>24042.6</v>
      </c>
      <c r="I7" s="7">
        <v>3</v>
      </c>
      <c r="J7" s="5" t="s">
        <v>14</v>
      </c>
      <c r="K7" s="5" t="s">
        <v>17</v>
      </c>
    </row>
    <row r="8" spans="1:11" ht="45" customHeight="1" x14ac:dyDescent="0.25">
      <c r="A8" s="5">
        <v>6</v>
      </c>
      <c r="B8" s="5" t="s">
        <v>10</v>
      </c>
      <c r="C8" s="5" t="s">
        <v>27</v>
      </c>
      <c r="D8" s="5" t="s">
        <v>28</v>
      </c>
      <c r="E8" s="5" t="s">
        <v>29</v>
      </c>
      <c r="F8" s="6">
        <v>5462</v>
      </c>
      <c r="G8" s="6">
        <f t="shared" si="1"/>
        <v>3277.2</v>
      </c>
      <c r="H8" s="6">
        <f t="shared" si="0"/>
        <v>9831.5999999999985</v>
      </c>
      <c r="I8" s="7">
        <v>3</v>
      </c>
      <c r="J8" s="5" t="s">
        <v>14</v>
      </c>
      <c r="K8" s="5" t="s">
        <v>17</v>
      </c>
    </row>
    <row r="9" spans="1:11" ht="45" customHeight="1" x14ac:dyDescent="0.25">
      <c r="A9" s="5">
        <v>7</v>
      </c>
      <c r="B9" s="5" t="s">
        <v>10</v>
      </c>
      <c r="C9" s="5" t="s">
        <v>30</v>
      </c>
      <c r="D9" s="5" t="s">
        <v>31</v>
      </c>
      <c r="E9" s="5" t="s">
        <v>32</v>
      </c>
      <c r="F9" s="6">
        <v>589</v>
      </c>
      <c r="G9" s="6">
        <f t="shared" si="1"/>
        <v>353.4</v>
      </c>
      <c r="H9" s="6">
        <f t="shared" si="0"/>
        <v>353.4</v>
      </c>
      <c r="I9" s="7">
        <v>1</v>
      </c>
      <c r="J9" s="5" t="s">
        <v>14</v>
      </c>
      <c r="K9" s="5" t="s">
        <v>17</v>
      </c>
    </row>
    <row r="10" spans="1:11" ht="45" customHeight="1" x14ac:dyDescent="0.25">
      <c r="A10" s="5">
        <v>8</v>
      </c>
      <c r="B10" s="5" t="s">
        <v>10</v>
      </c>
      <c r="C10" s="5" t="s">
        <v>30</v>
      </c>
      <c r="D10" s="5" t="s">
        <v>33</v>
      </c>
      <c r="E10" s="5" t="s">
        <v>34</v>
      </c>
      <c r="F10" s="6">
        <v>571</v>
      </c>
      <c r="G10" s="6">
        <f t="shared" si="1"/>
        <v>342.59999999999997</v>
      </c>
      <c r="H10" s="6">
        <f t="shared" si="0"/>
        <v>342.59999999999997</v>
      </c>
      <c r="I10" s="7">
        <v>1</v>
      </c>
      <c r="J10" s="5" t="s">
        <v>14</v>
      </c>
      <c r="K10" s="5" t="s">
        <v>17</v>
      </c>
    </row>
    <row r="11" spans="1:11" ht="45" customHeight="1" x14ac:dyDescent="0.25">
      <c r="A11" s="5">
        <v>9</v>
      </c>
      <c r="B11" s="5" t="s">
        <v>10</v>
      </c>
      <c r="C11" s="5" t="s">
        <v>30</v>
      </c>
      <c r="D11" s="5" t="s">
        <v>35</v>
      </c>
      <c r="E11" s="5" t="s">
        <v>36</v>
      </c>
      <c r="F11" s="6">
        <v>571</v>
      </c>
      <c r="G11" s="6">
        <f t="shared" si="1"/>
        <v>342.59999999999997</v>
      </c>
      <c r="H11" s="6">
        <f t="shared" si="0"/>
        <v>342.59999999999997</v>
      </c>
      <c r="I11" s="7">
        <v>1</v>
      </c>
      <c r="J11" s="5" t="s">
        <v>14</v>
      </c>
      <c r="K11" s="5" t="s">
        <v>17</v>
      </c>
    </row>
    <row r="12" spans="1:11" ht="45" customHeight="1" x14ac:dyDescent="0.25">
      <c r="A12" s="5">
        <v>12</v>
      </c>
      <c r="B12" s="5" t="s">
        <v>10</v>
      </c>
      <c r="C12" s="5" t="s">
        <v>37</v>
      </c>
      <c r="D12" s="5" t="s">
        <v>39</v>
      </c>
      <c r="E12" s="5" t="s">
        <v>40</v>
      </c>
      <c r="F12" s="6">
        <v>450</v>
      </c>
      <c r="G12" s="6">
        <f t="shared" ref="G12:G13" si="2">F12</f>
        <v>450</v>
      </c>
      <c r="H12" s="6">
        <f t="shared" si="0"/>
        <v>450</v>
      </c>
      <c r="I12" s="7">
        <v>1</v>
      </c>
      <c r="J12" s="5" t="s">
        <v>14</v>
      </c>
      <c r="K12" s="5" t="s">
        <v>38</v>
      </c>
    </row>
    <row r="13" spans="1:11" ht="45" customHeight="1" x14ac:dyDescent="0.25">
      <c r="A13" s="5">
        <v>14</v>
      </c>
      <c r="B13" s="5" t="s">
        <v>10</v>
      </c>
      <c r="C13" s="5" t="s">
        <v>41</v>
      </c>
      <c r="D13" s="5" t="s">
        <v>41</v>
      </c>
      <c r="E13" s="5" t="s">
        <v>41</v>
      </c>
      <c r="F13" s="6">
        <f>H14</f>
        <v>27000</v>
      </c>
      <c r="G13" s="6">
        <f t="shared" si="2"/>
        <v>27000</v>
      </c>
      <c r="H13" s="6">
        <f t="shared" si="0"/>
        <v>27000</v>
      </c>
      <c r="I13" s="7">
        <v>1</v>
      </c>
      <c r="J13" s="5" t="s">
        <v>14</v>
      </c>
      <c r="K13" s="5" t="s">
        <v>41</v>
      </c>
    </row>
    <row r="14" spans="1:11" ht="45" customHeight="1" x14ac:dyDescent="0.25">
      <c r="A14" s="5">
        <v>15</v>
      </c>
      <c r="B14" s="5" t="s">
        <v>10</v>
      </c>
      <c r="C14" s="5" t="s">
        <v>42</v>
      </c>
      <c r="D14" s="5" t="s">
        <v>42</v>
      </c>
      <c r="E14" s="5" t="s">
        <v>42</v>
      </c>
      <c r="F14" s="6">
        <v>4.5</v>
      </c>
      <c r="G14" s="6">
        <v>100</v>
      </c>
      <c r="H14" s="6">
        <f t="shared" si="0"/>
        <v>27000</v>
      </c>
      <c r="I14" s="7">
        <f>60*F14</f>
        <v>270</v>
      </c>
      <c r="J14" s="5" t="s">
        <v>14</v>
      </c>
      <c r="K14" s="5" t="s">
        <v>42</v>
      </c>
    </row>
    <row r="15" spans="1:11" ht="45" customHeight="1" x14ac:dyDescent="0.25">
      <c r="H15" s="8">
        <f>SUM(H3:H14)</f>
        <v>149919.6</v>
      </c>
    </row>
    <row r="16" spans="1:11" ht="39.75" customHeight="1" x14ac:dyDescent="0.25"/>
    <row r="17" ht="39.75" customHeight="1" x14ac:dyDescent="0.25"/>
    <row r="18" ht="39.75" customHeight="1" x14ac:dyDescent="0.25"/>
    <row r="19" ht="39.75" customHeight="1" x14ac:dyDescent="0.25"/>
    <row r="20" ht="39.75" customHeight="1" x14ac:dyDescent="0.25"/>
    <row r="21" ht="39.75" customHeight="1" x14ac:dyDescent="0.25"/>
    <row r="22" ht="39.75" customHeight="1" x14ac:dyDescent="0.25"/>
    <row r="23" ht="39.75" customHeight="1" x14ac:dyDescent="0.25"/>
    <row r="24" ht="39.75" customHeight="1" x14ac:dyDescent="0.25"/>
    <row r="25" ht="39.75" customHeight="1" x14ac:dyDescent="0.25"/>
    <row r="26" ht="39.75" customHeight="1" x14ac:dyDescent="0.25"/>
  </sheetData>
  <autoFilter ref="A1:K15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fiyat calismasi burda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2026-05-18T09:20:53Z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