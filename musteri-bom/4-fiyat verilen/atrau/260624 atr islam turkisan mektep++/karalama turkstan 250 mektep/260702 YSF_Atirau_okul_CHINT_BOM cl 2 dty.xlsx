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СВОД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<sst xmlns="http://schemas.openxmlformats.org/spreadsheetml/2006/main" count="516" uniqueCount="156">
  <si>
    <t xml:space="preserve">YSF HICH — BOM — Atırau 250 kişilik okul ek bina (24-2024-ЭЛ) — CHINT apparat + TEKSAN korpus</t>
  </si>
  <si>
    <t xml:space="preserve">CHINT net kat. (liste ×):</t>
  </si>
  <si>
    <t xml:space="preserve">Montaj malzeme % (düzenle):</t>
  </si>
  <si>
    <t xml:space="preserve">Montaj işçilik % (düzenle):</t>
  </si>
  <si>
    <t xml:space="preserve">TEKSAN net kat. (iskonto teyit):</t>
  </si>
  <si>
    <t xml:space="preserve">№</t>
  </si>
  <si>
    <t xml:space="preserve">Наименование</t>
  </si>
  <si>
    <t xml:space="preserve">Тип</t>
  </si>
  <si>
    <t xml:space="preserve">Артикул</t>
  </si>
  <si>
    <t xml:space="preserve">Номенклатура</t>
  </si>
  <si>
    <t xml:space="preserve">Цена (лист)</t>
  </si>
  <si>
    <t xml:space="preserve">Нетто KZT</t>
  </si>
  <si>
    <t xml:space="preserve">Сумма KZT</t>
  </si>
  <si>
    <t xml:space="preserve">Кол-во</t>
  </si>
  <si>
    <t xml:space="preserve">Ед.изм.</t>
  </si>
  <si>
    <t xml:space="preserve">Завод</t>
  </si>
  <si>
    <t xml:space="preserve">ВРУ</t>
  </si>
  <si>
    <t xml:space="preserve">ВРУ (ВРУ1-11-10 giriş+АВР + ВРУ1-47-00 dağıtım, 2 seksiyon)</t>
  </si>
  <si>
    <t xml:space="preserve">компл.</t>
  </si>
  <si>
    <t xml:space="preserve">CHINT+TEKSAN</t>
  </si>
  <si>
    <t xml:space="preserve">korpus</t>
  </si>
  <si>
    <t xml:space="preserve">714-15112</t>
  </si>
  <si>
    <t xml:space="preserve">Щит мет. ЩРн-7-2 PR 1320х750х300 IP54 (TEKSAN) — ВРУ gövde</t>
  </si>
  <si>
    <t xml:space="preserve">шт.</t>
  </si>
  <si>
    <t xml:space="preserve">TEKSAN</t>
  </si>
  <si>
    <t xml:space="preserve">rubilnik</t>
  </si>
  <si>
    <t xml:space="preserve">420126</t>
  </si>
  <si>
    <t xml:space="preserve">Реверсивный рубильник NH40-125 с блоком АВР, приоритет 1-го ввода, 3P 125А</t>
  </si>
  <si>
    <t xml:space="preserve">CHINT</t>
  </si>
  <si>
    <t xml:space="preserve">fu</t>
  </si>
  <si>
    <t xml:space="preserve">521260</t>
  </si>
  <si>
    <t xml:space="preserve">Держатель плавк. вставки RT36-00-160 габ.00 160А (1П)</t>
  </si>
  <si>
    <t xml:space="preserve">521345</t>
  </si>
  <si>
    <t xml:space="preserve">Плавкая вставка RT36-00-160 габ.00 50А</t>
  </si>
  <si>
    <t xml:space="preserve">521341</t>
  </si>
  <si>
    <t xml:space="preserve">Плавкая вставка RT36-00-160 габ.00 32А</t>
  </si>
  <si>
    <t xml:space="preserve">521340</t>
  </si>
  <si>
    <t xml:space="preserve">Плавкая вставка RT36-00-160 габ.00 25А</t>
  </si>
  <si>
    <t xml:space="preserve">521366</t>
  </si>
  <si>
    <t xml:space="preserve">Держатель плавк. вставки RT36-0-160 габ.0 160А (1П)</t>
  </si>
  <si>
    <t xml:space="preserve">521223</t>
  </si>
  <si>
    <t xml:space="preserve">Плавкая вставка RT36-0-160 габ.0 40А ⚠stok</t>
  </si>
  <si>
    <t xml:space="preserve">montaj</t>
  </si>
  <si>
    <t xml:space="preserve">Монтажный материал</t>
  </si>
  <si>
    <t xml:space="preserve">işçilik</t>
  </si>
  <si>
    <t xml:space="preserve">Монтажная работа</t>
  </si>
  <si>
    <t xml:space="preserve">Toplam ВРУ</t>
  </si>
  <si>
    <t xml:space="preserve">ЩО-1</t>
  </si>
  <si>
    <t xml:space="preserve">Щит осветительный ЩО-1 (ЩРв-24)</t>
  </si>
  <si>
    <t xml:space="preserve">713-15010</t>
  </si>
  <si>
    <t xml:space="preserve">Щит мет. ЩРв-24 б/о 320х405х120 IP31 (TEKSAN)</t>
  </si>
  <si>
    <t xml:space="preserve">OTO</t>
  </si>
  <si>
    <t xml:space="preserve">179703</t>
  </si>
  <si>
    <t xml:space="preserve">Авт. выкл. NB1-63 3P 25А 6кА х-ка C</t>
  </si>
  <si>
    <t xml:space="preserve">179616</t>
  </si>
  <si>
    <t xml:space="preserve">Авт. выкл. NB1-63 1P 16А 6кА х-ка C</t>
  </si>
  <si>
    <t xml:space="preserve">DİF</t>
  </si>
  <si>
    <t xml:space="preserve">515380</t>
  </si>
  <si>
    <t xml:space="preserve">Диф. авт. NXBLE-63YH 1P+N C16 30mA тип AC 6kA</t>
  </si>
  <si>
    <t xml:space="preserve">Toplam ЩО-1</t>
  </si>
  <si>
    <t xml:space="preserve">ЩО-2</t>
  </si>
  <si>
    <t xml:space="preserve">Щит осветительный ЩО-2 (ЩРв-24)</t>
  </si>
  <si>
    <t xml:space="preserve">Toplam ЩО-2</t>
  </si>
  <si>
    <t xml:space="preserve">ЩО-3</t>
  </si>
  <si>
    <t xml:space="preserve">Щит осветительный ЩО-3 (ЩРв-24)</t>
  </si>
  <si>
    <t xml:space="preserve">Toplam ЩО-3</t>
  </si>
  <si>
    <t xml:space="preserve">ЩО-4</t>
  </si>
  <si>
    <t xml:space="preserve">Щит осветительный ЩО-4 (ЩРв-24)</t>
  </si>
  <si>
    <t xml:space="preserve">Toplam ЩО-4</t>
  </si>
  <si>
    <t xml:space="preserve">ЩАО-1</t>
  </si>
  <si>
    <t xml:space="preserve">Щит авар. освещения ЩАО-1 (ЩРв-9)</t>
  </si>
  <si>
    <t xml:space="preserve">713-15037</t>
  </si>
  <si>
    <t xml:space="preserve">Щит мет. ЩРв-9 275х320х120 (TEKSAN)</t>
  </si>
  <si>
    <t xml:space="preserve">Toplam ЩАО-1</t>
  </si>
  <si>
    <t xml:space="preserve">ЩАО-2</t>
  </si>
  <si>
    <t xml:space="preserve">Щит авар. освещения ЩАО-2 (ЩРв-9)</t>
  </si>
  <si>
    <t xml:space="preserve">Toplam ЩАО-2</t>
  </si>
  <si>
    <t xml:space="preserve">ЩС-1</t>
  </si>
  <si>
    <t xml:space="preserve">Щит силовой ЩС-1 (ЩРв-36)</t>
  </si>
  <si>
    <t xml:space="preserve">713-15030</t>
  </si>
  <si>
    <t xml:space="preserve">Щит мет. ЩРв-36 550х320х120 (TEKSAN)</t>
  </si>
  <si>
    <t xml:space="preserve">Toplam ЩС-1</t>
  </si>
  <si>
    <t xml:space="preserve">ЩС-2</t>
  </si>
  <si>
    <t xml:space="preserve">Щит силовой ЩС-2 (ЩРв-48)</t>
  </si>
  <si>
    <t xml:space="preserve">719-15925</t>
  </si>
  <si>
    <t xml:space="preserve">Щит мет. ЩРв-48з-3 620х310х120 (TEKSAN)</t>
  </si>
  <si>
    <t xml:space="preserve">515387</t>
  </si>
  <si>
    <t xml:space="preserve">Диф. авт. NXBLE-63YH 1P+N C20 30mA тип AC 6kA</t>
  </si>
  <si>
    <t xml:space="preserve">Toplam ЩС-2</t>
  </si>
  <si>
    <t xml:space="preserve">ЩС-3</t>
  </si>
  <si>
    <t xml:space="preserve">Щит силовой ЩС-3 (ЩРв-54→72)</t>
  </si>
  <si>
    <t xml:space="preserve">713-15024</t>
  </si>
  <si>
    <t xml:space="preserve">Щит мет. ЩРв-72 670х450х125 (TEKSAN)</t>
  </si>
  <si>
    <t xml:space="preserve">179700</t>
  </si>
  <si>
    <t xml:space="preserve">Авт. выкл. NB1-63 3P 16А 6кА х-ка C</t>
  </si>
  <si>
    <t xml:space="preserve">Toplam ЩС-3</t>
  </si>
  <si>
    <t xml:space="preserve">ЩС-4</t>
  </si>
  <si>
    <t xml:space="preserve">Щит силовой ЩС-4 (ЩРв-36)</t>
  </si>
  <si>
    <t xml:space="preserve">179619</t>
  </si>
  <si>
    <t xml:space="preserve">Авт. выкл. NB1-63 1P 25А 6кА х-ка C</t>
  </si>
  <si>
    <t xml:space="preserve">Toplam ЩС-4</t>
  </si>
  <si>
    <t xml:space="preserve">ЩС-5</t>
  </si>
  <si>
    <t xml:space="preserve">Щит силовой ЩС-5/ЩСВ (ЩРв-36)</t>
  </si>
  <si>
    <t xml:space="preserve">Toplam ЩС-5</t>
  </si>
  <si>
    <t xml:space="preserve">ЩС-6</t>
  </si>
  <si>
    <t xml:space="preserve">Щит силовой ЩС-6/ЩСВ (ЩРв-18)</t>
  </si>
  <si>
    <t xml:space="preserve">713-15007</t>
  </si>
  <si>
    <t xml:space="preserve">Щит мет. ЩРв-1/18 277х450х120 IP31 (TEKSAN)</t>
  </si>
  <si>
    <t xml:space="preserve">Toplam ЩС-6</t>
  </si>
  <si>
    <t xml:space="preserve">GENEL TOPLAM (tüm panolar)</t>
  </si>
  <si>
    <t xml:space="preserve">СВОД — Panolar özeti — Atırau 250 kişilik okul (24-2024-ЭЛ) — CHINT apparat + TEKSAN korpus</t>
  </si>
  <si>
    <t xml:space="preserve">Пано</t>
  </si>
  <si>
    <t xml:space="preserve">Пано tipi / gövde</t>
  </si>
  <si>
    <t xml:space="preserve">Cihaz özeti</t>
  </si>
  <si>
    <t xml:space="preserve">Tutar KZT (netto+montaj)</t>
  </si>
  <si>
    <t xml:space="preserve">ЩРн-7-2 PR (gövde teyit)</t>
  </si>
  <si>
    <t xml:space="preserve">АВР NH40-125 ×1; ППН çıkış 10 (50A×4,40A×3,32A×1,25A×2) fuse-switch</t>
  </si>
  <si>
    <t xml:space="preserve">ЩРв-24</t>
  </si>
  <si>
    <t xml:space="preserve">Ввод 3P25A ×1; 1P16A ×12; RCBO16 ×2</t>
  </si>
  <si>
    <t xml:space="preserve">Ввод 3P25A ×1; 1P16A ×9; RCBO16 ×2</t>
  </si>
  <si>
    <t xml:space="preserve">Ввод 3P25A ×1; 1P16A ×13; RCBO16 ×2</t>
  </si>
  <si>
    <t xml:space="preserve">ЩРв-9</t>
  </si>
  <si>
    <t xml:space="preserve">Ввод 3P25A ×1; 1P16A ×4</t>
  </si>
  <si>
    <t xml:space="preserve">Ввод 3P25A ×1; 1P16A ×3</t>
  </si>
  <si>
    <t xml:space="preserve">ЩРв-36</t>
  </si>
  <si>
    <t xml:space="preserve">Ввод 3P25A ×1; RCBO16 ×9</t>
  </si>
  <si>
    <t xml:space="preserve">ЩРв-48</t>
  </si>
  <si>
    <t xml:space="preserve">Ввод 3P25A ×1; RCBO20 ×1; RCBO16 ×11</t>
  </si>
  <si>
    <t xml:space="preserve">ЩРв-72 (spec 54)</t>
  </si>
  <si>
    <t xml:space="preserve">Ввод 3P25A ×1; 3P16A ×2; RCBO20 ×1; RCBO16 ×11</t>
  </si>
  <si>
    <t xml:space="preserve">Ввод 3P25A ×1; 3P16A ×2; 1P25A ×1; 1P16A ×4; RCBO16 ×5</t>
  </si>
  <si>
    <t xml:space="preserve">Ввод 3P25A ×1; 3P16A ×5; RCBO16 ×2</t>
  </si>
  <si>
    <t xml:space="preserve">ЩРв-18</t>
  </si>
  <si>
    <t xml:space="preserve">Ввод 3P25A ×1; 3P16A ×4</t>
  </si>
  <si>
    <t xml:space="preserve">GENEL TOPLAM</t>
  </si>
  <si>
    <t xml:space="preserve">Metraj notu: 40A gab0 sigorta stok 3 ad. (9 gerekli) — sipariş; ATS stok 1 — rezerve; sayaç+akım trafosu (СА4У 100/5) ayrı metraj (SAİMAN/şebeke)</t>
  </si>
  <si>
    <t xml:space="preserve">Cihaz toplamları (dağıtım panoları)</t>
  </si>
  <si>
    <t xml:space="preserve">Cihaz</t>
  </si>
  <si>
    <t xml:space="preserve">Adet</t>
  </si>
  <si>
    <t xml:space="preserve">Liste KZT</t>
  </si>
  <si>
    <t xml:space="preserve">Netto KZT</t>
  </si>
  <si>
    <t xml:space="preserve">Toplam netto KZT</t>
  </si>
  <si>
    <t xml:space="preserve">NB1-63 3P C25 (ввод)</t>
  </si>
  <si>
    <t xml:space="preserve">NB1-63 1P C16</t>
  </si>
  <si>
    <t xml:space="preserve">NB1-63 1P C25</t>
  </si>
  <si>
    <t xml:space="preserve">NB1-63 3P C16</t>
  </si>
  <si>
    <t xml:space="preserve">NXBLE-63YH 1P+N C16 30mA</t>
  </si>
  <si>
    <t xml:space="preserve">NXBLE-63YH 1P+N C20 30mA</t>
  </si>
  <si>
    <t xml:space="preserve">Korpuslar (TEKSAN)</t>
  </si>
  <si>
    <t xml:space="preserve">Щит мет. ЩРв-24 б/о 320х405х120 IP31</t>
  </si>
  <si>
    <t xml:space="preserve">Щит мет. ЩРв-9 275х320х120</t>
  </si>
  <si>
    <t xml:space="preserve">Щит мет. ЩРв-36 550х320х120</t>
  </si>
  <si>
    <t xml:space="preserve">Щит мет. ЩРв-48з-3 620х310х120</t>
  </si>
  <si>
    <t xml:space="preserve">Щит мет. ЩРв-72 670х450х125</t>
  </si>
  <si>
    <t xml:space="preserve">Щит мет. ЩРв-1/18 277х450х120 IP31</t>
  </si>
  <si>
    <t xml:space="preserve">Щит мет. ЩРн-7-2 PR 1320х750х300 IP54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</si>
</sst>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%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50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1" min="11" style="0" width="13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0.6</v>
      </c>
    </row>
    <row r="3" customFormat="false" ht="15" hidden="false" customHeight="false" outlineLevel="0" collapsed="false">
      <c r="A3" s="2" t="s">
        <v>2</v>
      </c>
      <c r="B3" s="4" t="n">
        <v>0.03</v>
      </c>
    </row>
    <row r="4" customFormat="false" ht="15" hidden="false" customHeight="false" outlineLevel="0" collapsed="false">
      <c r="A4" s="2" t="s">
        <v>3</v>
      </c>
      <c r="B4" s="4" t="n">
        <v>0.05</v>
      </c>
    </row>
    <row r="5" customFormat="false" ht="15" hidden="false" customHeight="false" outlineLevel="0" collapsed="false">
      <c r="A5" s="2" t="s">
        <v>4</v>
      </c>
      <c r="B5" s="3" t="n">
        <v>1</v>
      </c>
    </row>
    <row r="6" customFormat="false" ht="15" hidden="false" customHeight="false" outlineLevel="0" collapsed="false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  <c r="K6" s="5" t="s">
        <v>15</v>
      </c>
    </row>
    <row r="7" customFormat="false" ht="15" hidden="false" customHeight="false" outlineLevel="0" collapsed="false">
      <c r="A7" s="6" t="n">
        <v>1</v>
      </c>
      <c r="B7" s="7" t="s">
        <v>16</v>
      </c>
      <c r="C7" s="8"/>
      <c r="D7" s="8"/>
      <c r="E7" s="8" t="s">
        <v>17</v>
      </c>
      <c r="F7" s="8"/>
      <c r="G7" s="8"/>
      <c r="H7" s="8"/>
      <c r="I7" s="9" t="n">
        <v>1</v>
      </c>
      <c r="J7" s="9" t="s">
        <v>18</v>
      </c>
      <c r="K7" s="9" t="s">
        <v>19</v>
      </c>
    </row>
    <row r="8" customFormat="false" ht="22.35" hidden="false" customHeight="false" outlineLevel="0" collapsed="false">
      <c r="A8" s="6" t="n">
        <v>2</v>
      </c>
      <c r="B8" s="10"/>
      <c r="C8" s="6" t="s">
        <v>20</v>
      </c>
      <c r="D8" s="6" t="s">
        <v>21</v>
      </c>
      <c r="E8" s="11" t="s">
        <v>22</v>
      </c>
      <c r="F8" s="12" t="n">
        <v>71190</v>
      </c>
      <c r="G8" s="12" t="n">
        <f aca="false">F8*$B$5</f>
        <v>71190</v>
      </c>
      <c r="H8" s="12" t="n">
        <f aca="false">G8*I8</f>
        <v>71190</v>
      </c>
      <c r="I8" s="6" t="n">
        <v>1</v>
      </c>
      <c r="J8" s="6" t="s">
        <v>23</v>
      </c>
      <c r="K8" s="6" t="s">
        <v>24</v>
      </c>
    </row>
    <row r="9" customFormat="false" ht="22.35" hidden="false" customHeight="false" outlineLevel="0" collapsed="false">
      <c r="A9" s="6" t="n">
        <v>3</v>
      </c>
      <c r="B9" s="10"/>
      <c r="C9" s="6" t="s">
        <v>25</v>
      </c>
      <c r="D9" s="6" t="s">
        <v>26</v>
      </c>
      <c r="E9" s="11" t="s">
        <v>27</v>
      </c>
      <c r="F9" s="12" t="n">
        <v>444876</v>
      </c>
      <c r="G9" s="12" t="n">
        <f aca="false">F9*$B$2</f>
        <v>266925.6</v>
      </c>
      <c r="H9" s="12" t="n">
        <f aca="false">G9*I9</f>
        <v>266925.6</v>
      </c>
      <c r="I9" s="6" t="n">
        <v>1</v>
      </c>
      <c r="J9" s="6" t="s">
        <v>23</v>
      </c>
      <c r="K9" s="6" t="s">
        <v>28</v>
      </c>
    </row>
    <row r="10" customFormat="false" ht="15" hidden="false" customHeight="false" outlineLevel="0" collapsed="false">
      <c r="A10" s="6" t="n">
        <v>4</v>
      </c>
      <c r="B10" s="10"/>
      <c r="C10" s="6" t="s">
        <v>29</v>
      </c>
      <c r="D10" s="6" t="s">
        <v>30</v>
      </c>
      <c r="E10" s="11" t="s">
        <v>31</v>
      </c>
      <c r="F10" s="12" t="n">
        <v>2038</v>
      </c>
      <c r="G10" s="12" t="n">
        <f aca="false">F10*$B$2</f>
        <v>1222.8</v>
      </c>
      <c r="H10" s="12" t="n">
        <f aca="false">G10*I10</f>
        <v>25678.8</v>
      </c>
      <c r="I10" s="6" t="n">
        <v>21</v>
      </c>
      <c r="J10" s="6" t="s">
        <v>23</v>
      </c>
      <c r="K10" s="6" t="s">
        <v>28</v>
      </c>
    </row>
    <row r="11" customFormat="false" ht="15" hidden="false" customHeight="false" outlineLevel="0" collapsed="false">
      <c r="A11" s="6" t="n">
        <v>5</v>
      </c>
      <c r="B11" s="10"/>
      <c r="C11" s="6" t="s">
        <v>29</v>
      </c>
      <c r="D11" s="6" t="s">
        <v>32</v>
      </c>
      <c r="E11" s="11" t="s">
        <v>33</v>
      </c>
      <c r="F11" s="12" t="n">
        <v>1525</v>
      </c>
      <c r="G11" s="12" t="n">
        <f aca="false">F11*$B$2</f>
        <v>915</v>
      </c>
      <c r="H11" s="12" t="n">
        <f aca="false">G11*I11</f>
        <v>10980</v>
      </c>
      <c r="I11" s="6" t="n">
        <v>12</v>
      </c>
      <c r="J11" s="6" t="s">
        <v>23</v>
      </c>
      <c r="K11" s="6" t="s">
        <v>28</v>
      </c>
    </row>
    <row r="12" customFormat="false" ht="15" hidden="false" customHeight="false" outlineLevel="0" collapsed="false">
      <c r="A12" s="6" t="n">
        <v>6</v>
      </c>
      <c r="B12" s="10"/>
      <c r="C12" s="6" t="s">
        <v>29</v>
      </c>
      <c r="D12" s="6" t="s">
        <v>34</v>
      </c>
      <c r="E12" s="11" t="s">
        <v>35</v>
      </c>
      <c r="F12" s="12" t="n">
        <v>1510</v>
      </c>
      <c r="G12" s="12" t="n">
        <f aca="false">F12*$B$2</f>
        <v>906</v>
      </c>
      <c r="H12" s="12" t="n">
        <f aca="false">G12*I12</f>
        <v>2718</v>
      </c>
      <c r="I12" s="6" t="n">
        <v>3</v>
      </c>
      <c r="J12" s="6" t="s">
        <v>23</v>
      </c>
      <c r="K12" s="6" t="s">
        <v>28</v>
      </c>
    </row>
    <row r="13" customFormat="false" ht="15" hidden="false" customHeight="false" outlineLevel="0" collapsed="false">
      <c r="A13" s="6" t="n">
        <v>7</v>
      </c>
      <c r="B13" s="10"/>
      <c r="C13" s="6" t="s">
        <v>29</v>
      </c>
      <c r="D13" s="6" t="s">
        <v>36</v>
      </c>
      <c r="E13" s="11" t="s">
        <v>37</v>
      </c>
      <c r="F13" s="12" t="n">
        <v>1510</v>
      </c>
      <c r="G13" s="12" t="n">
        <f aca="false">F13*$B$2</f>
        <v>906</v>
      </c>
      <c r="H13" s="12" t="n">
        <f aca="false">G13*I13</f>
        <v>5436</v>
      </c>
      <c r="I13" s="6" t="n">
        <v>6</v>
      </c>
      <c r="J13" s="6" t="s">
        <v>23</v>
      </c>
      <c r="K13" s="6" t="s">
        <v>28</v>
      </c>
    </row>
    <row r="14" customFormat="false" ht="15" hidden="false" customHeight="false" outlineLevel="0" collapsed="false">
      <c r="A14" s="6" t="n">
        <v>8</v>
      </c>
      <c r="B14" s="10"/>
      <c r="C14" s="6" t="s">
        <v>29</v>
      </c>
      <c r="D14" s="6" t="s">
        <v>38</v>
      </c>
      <c r="E14" s="11" t="s">
        <v>39</v>
      </c>
      <c r="F14" s="12" t="n">
        <v>3100</v>
      </c>
      <c r="G14" s="12" t="n">
        <f aca="false">F14*$B$2</f>
        <v>1860</v>
      </c>
      <c r="H14" s="12" t="n">
        <f aca="false">G14*I14</f>
        <v>16740</v>
      </c>
      <c r="I14" s="6" t="n">
        <v>9</v>
      </c>
      <c r="J14" s="6" t="s">
        <v>23</v>
      </c>
      <c r="K14" s="6" t="s">
        <v>28</v>
      </c>
    </row>
    <row r="15" customFormat="false" ht="15" hidden="false" customHeight="false" outlineLevel="0" collapsed="false">
      <c r="A15" s="6" t="n">
        <v>9</v>
      </c>
      <c r="B15" s="10"/>
      <c r="C15" s="6" t="s">
        <v>29</v>
      </c>
      <c r="D15" s="6" t="s">
        <v>40</v>
      </c>
      <c r="E15" s="11" t="s">
        <v>41</v>
      </c>
      <c r="F15" s="12" t="n">
        <v>2175</v>
      </c>
      <c r="G15" s="12" t="n">
        <f aca="false">F15*$B$2</f>
        <v>1305</v>
      </c>
      <c r="H15" s="12" t="n">
        <f aca="false">G15*I15</f>
        <v>11745</v>
      </c>
      <c r="I15" s="6" t="n">
        <v>9</v>
      </c>
      <c r="J15" s="6" t="s">
        <v>23</v>
      </c>
      <c r="K15" s="6" t="s">
        <v>28</v>
      </c>
    </row>
    <row r="16" customFormat="false" ht="15" hidden="false" customHeight="false" outlineLevel="0" collapsed="false">
      <c r="A16" s="6" t="n">
        <v>10</v>
      </c>
      <c r="B16" s="10"/>
      <c r="C16" s="6" t="s">
        <v>42</v>
      </c>
      <c r="D16" s="10"/>
      <c r="E16" s="10" t="s">
        <v>43</v>
      </c>
      <c r="H16" s="12" t="n">
        <f aca="false">$B$3*SUM(H8:H15)</f>
        <v>12342.402</v>
      </c>
      <c r="I16" s="6" t="n">
        <v>1</v>
      </c>
      <c r="J16" s="6" t="s">
        <v>18</v>
      </c>
      <c r="K16" s="10"/>
    </row>
    <row r="17" customFormat="false" ht="15" hidden="false" customHeight="false" outlineLevel="0" collapsed="false">
      <c r="A17" s="6" t="n">
        <v>11</v>
      </c>
      <c r="B17" s="10"/>
      <c r="C17" s="6" t="s">
        <v>44</v>
      </c>
      <c r="D17" s="10"/>
      <c r="E17" s="10" t="s">
        <v>45</v>
      </c>
      <c r="H17" s="12" t="n">
        <f aca="false">$B$4*SUM(H8:H15)</f>
        <v>20570.67</v>
      </c>
      <c r="I17" s="6" t="n">
        <v>1</v>
      </c>
      <c r="J17" s="6" t="s">
        <v>18</v>
      </c>
      <c r="K17" s="10"/>
    </row>
    <row r="18" customFormat="false" ht="15" hidden="false" customHeight="false" outlineLevel="0" collapsed="false">
      <c r="A18" s="10"/>
      <c r="B18" s="13" t="s">
        <v>46</v>
      </c>
      <c r="H18" s="14" t="n">
        <f aca="false">SUBTOTAL(9,H8:H17)</f>
        <v>444326.472</v>
      </c>
    </row>
    <row r="19" customFormat="false" ht="15" hidden="false" customHeight="false" outlineLevel="0" collapsed="false">
      <c r="A19" s="6" t="n">
        <v>12</v>
      </c>
      <c r="B19" s="7" t="s">
        <v>47</v>
      </c>
      <c r="C19" s="8"/>
      <c r="D19" s="8"/>
      <c r="E19" s="8" t="s">
        <v>48</v>
      </c>
      <c r="F19" s="8"/>
      <c r="G19" s="8"/>
      <c r="H19" s="8"/>
      <c r="I19" s="9" t="n">
        <v>1</v>
      </c>
      <c r="J19" s="9" t="s">
        <v>18</v>
      </c>
      <c r="K19" s="9" t="s">
        <v>19</v>
      </c>
    </row>
    <row r="20" customFormat="false" ht="15" hidden="false" customHeight="false" outlineLevel="0" collapsed="false">
      <c r="A20" s="6" t="n">
        <v>13</v>
      </c>
      <c r="B20" s="10"/>
      <c r="C20" s="6" t="s">
        <v>20</v>
      </c>
      <c r="D20" s="6" t="s">
        <v>49</v>
      </c>
      <c r="E20" s="11" t="s">
        <v>50</v>
      </c>
      <c r="F20" s="12" t="n">
        <v>11150</v>
      </c>
      <c r="G20" s="12" t="n">
        <f aca="false">F20*$B$5</f>
        <v>11150</v>
      </c>
      <c r="H20" s="12" t="n">
        <f aca="false">G20*I20</f>
        <v>11150</v>
      </c>
      <c r="I20" s="6" t="n">
        <v>1</v>
      </c>
      <c r="J20" s="6" t="s">
        <v>23</v>
      </c>
      <c r="K20" s="6" t="s">
        <v>24</v>
      </c>
    </row>
    <row r="21" customFormat="false" ht="15" hidden="false" customHeight="false" outlineLevel="0" collapsed="false">
      <c r="A21" s="6" t="n">
        <v>14</v>
      </c>
      <c r="B21" s="10"/>
      <c r="C21" s="6" t="s">
        <v>51</v>
      </c>
      <c r="D21" s="6" t="s">
        <v>52</v>
      </c>
      <c r="E21" s="11" t="s">
        <v>53</v>
      </c>
      <c r="F21" s="12" t="n">
        <v>7907</v>
      </c>
      <c r="G21" s="12" t="n">
        <f aca="false">F21*$B$2</f>
        <v>4744.2</v>
      </c>
      <c r="H21" s="12" t="n">
        <f aca="false">G21*I21</f>
        <v>4744.2</v>
      </c>
      <c r="I21" s="6" t="n">
        <v>1</v>
      </c>
      <c r="J21" s="6" t="s">
        <v>23</v>
      </c>
      <c r="K21" s="6" t="s">
        <v>28</v>
      </c>
    </row>
    <row r="22" customFormat="false" ht="15" hidden="false" customHeight="false" outlineLevel="0" collapsed="false">
      <c r="A22" s="6" t="n">
        <v>15</v>
      </c>
      <c r="B22" s="10"/>
      <c r="C22" s="6" t="s">
        <v>51</v>
      </c>
      <c r="D22" s="6" t="s">
        <v>54</v>
      </c>
      <c r="E22" s="11" t="s">
        <v>55</v>
      </c>
      <c r="F22" s="12" t="n">
        <v>2818</v>
      </c>
      <c r="G22" s="12" t="n">
        <f aca="false">F22*$B$2</f>
        <v>1690.8</v>
      </c>
      <c r="H22" s="12" t="n">
        <f aca="false">G22*I22</f>
        <v>20289.6</v>
      </c>
      <c r="I22" s="6" t="n">
        <v>12</v>
      </c>
      <c r="J22" s="6" t="s">
        <v>23</v>
      </c>
      <c r="K22" s="6" t="s">
        <v>28</v>
      </c>
    </row>
    <row r="23" customFormat="false" ht="15" hidden="false" customHeight="false" outlineLevel="0" collapsed="false">
      <c r="A23" s="6" t="n">
        <v>16</v>
      </c>
      <c r="B23" s="10"/>
      <c r="C23" s="6" t="s">
        <v>56</v>
      </c>
      <c r="D23" s="6" t="s">
        <v>57</v>
      </c>
      <c r="E23" s="11" t="s">
        <v>58</v>
      </c>
      <c r="F23" s="12" t="n">
        <v>5104</v>
      </c>
      <c r="G23" s="12" t="n">
        <f aca="false">F23*$B$2</f>
        <v>3062.4</v>
      </c>
      <c r="H23" s="12" t="n">
        <f aca="false">G23*I23</f>
        <v>6124.8</v>
      </c>
      <c r="I23" s="6" t="n">
        <v>2</v>
      </c>
      <c r="J23" s="6" t="s">
        <v>23</v>
      </c>
      <c r="K23" s="6" t="s">
        <v>28</v>
      </c>
    </row>
    <row r="24" customFormat="false" ht="15" hidden="false" customHeight="false" outlineLevel="0" collapsed="false">
      <c r="A24" s="6" t="n">
        <v>17</v>
      </c>
      <c r="B24" s="10"/>
      <c r="C24" s="6" t="s">
        <v>42</v>
      </c>
      <c r="D24" s="10"/>
      <c r="E24" s="10" t="s">
        <v>43</v>
      </c>
      <c r="H24" s="12" t="n">
        <f aca="false">$B$3*SUM(H20:H23)</f>
        <v>1269.258</v>
      </c>
      <c r="I24" s="6" t="n">
        <v>1</v>
      </c>
      <c r="J24" s="6" t="s">
        <v>18</v>
      </c>
      <c r="K24" s="10"/>
    </row>
    <row r="25" customFormat="false" ht="15" hidden="false" customHeight="false" outlineLevel="0" collapsed="false">
      <c r="A25" s="6" t="n">
        <v>18</v>
      </c>
      <c r="B25" s="10"/>
      <c r="C25" s="6" t="s">
        <v>44</v>
      </c>
      <c r="D25" s="10"/>
      <c r="E25" s="10" t="s">
        <v>45</v>
      </c>
      <c r="H25" s="12" t="n">
        <f aca="false">$B$4*SUM(H20:H23)</f>
        <v>2115.43</v>
      </c>
      <c r="I25" s="6" t="n">
        <v>1</v>
      </c>
      <c r="J25" s="6" t="s">
        <v>18</v>
      </c>
      <c r="K25" s="10"/>
    </row>
    <row r="26" customFormat="false" ht="15" hidden="false" customHeight="false" outlineLevel="0" collapsed="false">
      <c r="A26" s="10"/>
      <c r="B26" s="13" t="s">
        <v>59</v>
      </c>
      <c r="H26" s="14" t="n">
        <f aca="false">SUBTOTAL(9,H20:H25)</f>
        <v>45693.288</v>
      </c>
    </row>
    <row r="27" customFormat="false" ht="15" hidden="false" customHeight="false" outlineLevel="0" collapsed="false">
      <c r="A27" s="6" t="n">
        <v>19</v>
      </c>
      <c r="B27" s="7" t="s">
        <v>60</v>
      </c>
      <c r="C27" s="8"/>
      <c r="D27" s="8"/>
      <c r="E27" s="8" t="s">
        <v>61</v>
      </c>
      <c r="F27" s="8"/>
      <c r="G27" s="8"/>
      <c r="H27" s="8"/>
      <c r="I27" s="9" t="n">
        <v>1</v>
      </c>
      <c r="J27" s="9" t="s">
        <v>18</v>
      </c>
      <c r="K27" s="9" t="s">
        <v>19</v>
      </c>
    </row>
    <row r="28" customFormat="false" ht="15" hidden="false" customHeight="false" outlineLevel="0" collapsed="false">
      <c r="A28" s="6" t="n">
        <v>20</v>
      </c>
      <c r="B28" s="10"/>
      <c r="C28" s="6" t="s">
        <v>20</v>
      </c>
      <c r="D28" s="6" t="s">
        <v>49</v>
      </c>
      <c r="E28" s="11" t="s">
        <v>50</v>
      </c>
      <c r="F28" s="12" t="n">
        <v>11150</v>
      </c>
      <c r="G28" s="12" t="n">
        <f aca="false">F28*$B$5</f>
        <v>11150</v>
      </c>
      <c r="H28" s="12" t="n">
        <f aca="false">G28*I28</f>
        <v>11150</v>
      </c>
      <c r="I28" s="6" t="n">
        <v>1</v>
      </c>
      <c r="J28" s="6" t="s">
        <v>23</v>
      </c>
      <c r="K28" s="6" t="s">
        <v>24</v>
      </c>
    </row>
    <row r="29" customFormat="false" ht="15" hidden="false" customHeight="false" outlineLevel="0" collapsed="false">
      <c r="A29" s="6" t="n">
        <v>21</v>
      </c>
      <c r="B29" s="10"/>
      <c r="C29" s="6" t="s">
        <v>51</v>
      </c>
      <c r="D29" s="6" t="s">
        <v>52</v>
      </c>
      <c r="E29" s="11" t="s">
        <v>53</v>
      </c>
      <c r="F29" s="12" t="n">
        <v>7907</v>
      </c>
      <c r="G29" s="12" t="n">
        <f aca="false">F29*$B$2</f>
        <v>4744.2</v>
      </c>
      <c r="H29" s="12" t="n">
        <f aca="false">G29*I29</f>
        <v>4744.2</v>
      </c>
      <c r="I29" s="6" t="n">
        <v>1</v>
      </c>
      <c r="J29" s="6" t="s">
        <v>23</v>
      </c>
      <c r="K29" s="6" t="s">
        <v>28</v>
      </c>
    </row>
    <row r="30" customFormat="false" ht="15" hidden="false" customHeight="false" outlineLevel="0" collapsed="false">
      <c r="A30" s="6" t="n">
        <v>22</v>
      </c>
      <c r="B30" s="10"/>
      <c r="C30" s="6" t="s">
        <v>51</v>
      </c>
      <c r="D30" s="6" t="s">
        <v>54</v>
      </c>
      <c r="E30" s="11" t="s">
        <v>55</v>
      </c>
      <c r="F30" s="12" t="n">
        <v>2818</v>
      </c>
      <c r="G30" s="12" t="n">
        <f aca="false">F30*$B$2</f>
        <v>1690.8</v>
      </c>
      <c r="H30" s="12" t="n">
        <f aca="false">G30*I30</f>
        <v>15217.2</v>
      </c>
      <c r="I30" s="6" t="n">
        <v>9</v>
      </c>
      <c r="J30" s="6" t="s">
        <v>23</v>
      </c>
      <c r="K30" s="6" t="s">
        <v>28</v>
      </c>
    </row>
    <row r="31" customFormat="false" ht="15" hidden="false" customHeight="false" outlineLevel="0" collapsed="false">
      <c r="A31" s="6" t="n">
        <v>23</v>
      </c>
      <c r="B31" s="10"/>
      <c r="C31" s="6" t="s">
        <v>56</v>
      </c>
      <c r="D31" s="6" t="s">
        <v>57</v>
      </c>
      <c r="E31" s="11" t="s">
        <v>58</v>
      </c>
      <c r="F31" s="12" t="n">
        <v>5104</v>
      </c>
      <c r="G31" s="12" t="n">
        <f aca="false">F31*$B$2</f>
        <v>3062.4</v>
      </c>
      <c r="H31" s="12" t="n">
        <f aca="false">G31*I31</f>
        <v>6124.8</v>
      </c>
      <c r="I31" s="6" t="n">
        <v>2</v>
      </c>
      <c r="J31" s="6" t="s">
        <v>23</v>
      </c>
      <c r="K31" s="6" t="s">
        <v>28</v>
      </c>
    </row>
    <row r="32" customFormat="false" ht="15" hidden="false" customHeight="false" outlineLevel="0" collapsed="false">
      <c r="A32" s="6" t="n">
        <v>24</v>
      </c>
      <c r="B32" s="10"/>
      <c r="C32" s="6" t="s">
        <v>42</v>
      </c>
      <c r="D32" s="10"/>
      <c r="E32" s="10" t="s">
        <v>43</v>
      </c>
      <c r="H32" s="12" t="n">
        <f aca="false">$B$3*SUM(H28:H31)</f>
        <v>1117.086</v>
      </c>
      <c r="I32" s="6" t="n">
        <v>1</v>
      </c>
      <c r="J32" s="6" t="s">
        <v>18</v>
      </c>
      <c r="K32" s="10"/>
    </row>
    <row r="33" customFormat="false" ht="15" hidden="false" customHeight="false" outlineLevel="0" collapsed="false">
      <c r="A33" s="6" t="n">
        <v>25</v>
      </c>
      <c r="B33" s="10"/>
      <c r="C33" s="6" t="s">
        <v>44</v>
      </c>
      <c r="D33" s="10"/>
      <c r="E33" s="10" t="s">
        <v>45</v>
      </c>
      <c r="H33" s="12" t="n">
        <f aca="false">$B$4*SUM(H28:H31)</f>
        <v>1861.81</v>
      </c>
      <c r="I33" s="6" t="n">
        <v>1</v>
      </c>
      <c r="J33" s="6" t="s">
        <v>18</v>
      </c>
      <c r="K33" s="10"/>
    </row>
    <row r="34" customFormat="false" ht="15" hidden="false" customHeight="false" outlineLevel="0" collapsed="false">
      <c r="A34" s="10"/>
      <c r="B34" s="13" t="s">
        <v>62</v>
      </c>
      <c r="H34" s="14" t="n">
        <f aca="false">SUBTOTAL(9,H28:H33)</f>
        <v>40215.096</v>
      </c>
    </row>
    <row r="35" customFormat="false" ht="15" hidden="false" customHeight="false" outlineLevel="0" collapsed="false">
      <c r="A35" s="6" t="n">
        <v>26</v>
      </c>
      <c r="B35" s="7" t="s">
        <v>63</v>
      </c>
      <c r="C35" s="8"/>
      <c r="D35" s="8"/>
      <c r="E35" s="8" t="s">
        <v>64</v>
      </c>
      <c r="F35" s="8"/>
      <c r="G35" s="8"/>
      <c r="H35" s="8"/>
      <c r="I35" s="9" t="n">
        <v>1</v>
      </c>
      <c r="J35" s="9" t="s">
        <v>18</v>
      </c>
      <c r="K35" s="9" t="s">
        <v>19</v>
      </c>
    </row>
    <row r="36" customFormat="false" ht="15" hidden="false" customHeight="false" outlineLevel="0" collapsed="false">
      <c r="A36" s="6" t="n">
        <v>27</v>
      </c>
      <c r="B36" s="10"/>
      <c r="C36" s="6" t="s">
        <v>20</v>
      </c>
      <c r="D36" s="6" t="s">
        <v>49</v>
      </c>
      <c r="E36" s="11" t="s">
        <v>50</v>
      </c>
      <c r="F36" s="12" t="n">
        <v>11150</v>
      </c>
      <c r="G36" s="12" t="n">
        <f aca="false">F36*$B$5</f>
        <v>11150</v>
      </c>
      <c r="H36" s="12" t="n">
        <f aca="false">G36*I36</f>
        <v>11150</v>
      </c>
      <c r="I36" s="6" t="n">
        <v>1</v>
      </c>
      <c r="J36" s="6" t="s">
        <v>23</v>
      </c>
      <c r="K36" s="6" t="s">
        <v>24</v>
      </c>
    </row>
    <row r="37" customFormat="false" ht="15" hidden="false" customHeight="false" outlineLevel="0" collapsed="false">
      <c r="A37" s="6" t="n">
        <v>28</v>
      </c>
      <c r="B37" s="10"/>
      <c r="C37" s="6" t="s">
        <v>51</v>
      </c>
      <c r="D37" s="6" t="s">
        <v>52</v>
      </c>
      <c r="E37" s="11" t="s">
        <v>53</v>
      </c>
      <c r="F37" s="12" t="n">
        <v>7907</v>
      </c>
      <c r="G37" s="12" t="n">
        <f aca="false">F37*$B$2</f>
        <v>4744.2</v>
      </c>
      <c r="H37" s="12" t="n">
        <f aca="false">G37*I37</f>
        <v>4744.2</v>
      </c>
      <c r="I37" s="6" t="n">
        <v>1</v>
      </c>
      <c r="J37" s="6" t="s">
        <v>23</v>
      </c>
      <c r="K37" s="6" t="s">
        <v>28</v>
      </c>
    </row>
    <row r="38" customFormat="false" ht="15" hidden="false" customHeight="false" outlineLevel="0" collapsed="false">
      <c r="A38" s="6" t="n">
        <v>29</v>
      </c>
      <c r="B38" s="10"/>
      <c r="C38" s="6" t="s">
        <v>51</v>
      </c>
      <c r="D38" s="6" t="s">
        <v>54</v>
      </c>
      <c r="E38" s="11" t="s">
        <v>55</v>
      </c>
      <c r="F38" s="12" t="n">
        <v>2818</v>
      </c>
      <c r="G38" s="12" t="n">
        <f aca="false">F38*$B$2</f>
        <v>1690.8</v>
      </c>
      <c r="H38" s="12" t="n">
        <f aca="false">G38*I38</f>
        <v>20289.6</v>
      </c>
      <c r="I38" s="6" t="n">
        <v>12</v>
      </c>
      <c r="J38" s="6" t="s">
        <v>23</v>
      </c>
      <c r="K38" s="6" t="s">
        <v>28</v>
      </c>
    </row>
    <row r="39" customFormat="false" ht="15" hidden="false" customHeight="false" outlineLevel="0" collapsed="false">
      <c r="A39" s="6" t="n">
        <v>30</v>
      </c>
      <c r="B39" s="10"/>
      <c r="C39" s="6" t="s">
        <v>56</v>
      </c>
      <c r="D39" s="6" t="s">
        <v>57</v>
      </c>
      <c r="E39" s="11" t="s">
        <v>58</v>
      </c>
      <c r="F39" s="12" t="n">
        <v>5104</v>
      </c>
      <c r="G39" s="12" t="n">
        <f aca="false">F39*$B$2</f>
        <v>3062.4</v>
      </c>
      <c r="H39" s="12" t="n">
        <f aca="false">G39*I39</f>
        <v>6124.8</v>
      </c>
      <c r="I39" s="6" t="n">
        <v>2</v>
      </c>
      <c r="J39" s="6" t="s">
        <v>23</v>
      </c>
      <c r="K39" s="6" t="s">
        <v>28</v>
      </c>
    </row>
    <row r="40" customFormat="false" ht="15" hidden="false" customHeight="false" outlineLevel="0" collapsed="false">
      <c r="A40" s="6" t="n">
        <v>31</v>
      </c>
      <c r="B40" s="10"/>
      <c r="C40" s="6" t="s">
        <v>42</v>
      </c>
      <c r="D40" s="10"/>
      <c r="E40" s="10" t="s">
        <v>43</v>
      </c>
      <c r="H40" s="12" t="n">
        <f aca="false">$B$3*SUM(H36:H39)</f>
        <v>1269.258</v>
      </c>
      <c r="I40" s="6" t="n">
        <v>1</v>
      </c>
      <c r="J40" s="6" t="s">
        <v>18</v>
      </c>
      <c r="K40" s="10"/>
    </row>
    <row r="41" customFormat="false" ht="15" hidden="false" customHeight="false" outlineLevel="0" collapsed="false">
      <c r="A41" s="6" t="n">
        <v>32</v>
      </c>
      <c r="B41" s="10"/>
      <c r="C41" s="6" t="s">
        <v>44</v>
      </c>
      <c r="D41" s="10"/>
      <c r="E41" s="10" t="s">
        <v>45</v>
      </c>
      <c r="H41" s="12" t="n">
        <f aca="false">$B$4*SUM(H36:H39)</f>
        <v>2115.43</v>
      </c>
      <c r="I41" s="6" t="n">
        <v>1</v>
      </c>
      <c r="J41" s="6" t="s">
        <v>18</v>
      </c>
      <c r="K41" s="10"/>
    </row>
    <row r="42" customFormat="false" ht="15" hidden="false" customHeight="false" outlineLevel="0" collapsed="false">
      <c r="A42" s="10"/>
      <c r="B42" s="13" t="s">
        <v>65</v>
      </c>
      <c r="H42" s="14" t="n">
        <f aca="false">SUBTOTAL(9,H36:H41)</f>
        <v>45693.288</v>
      </c>
    </row>
    <row r="43" customFormat="false" ht="15" hidden="false" customHeight="false" outlineLevel="0" collapsed="false">
      <c r="A43" s="6" t="n">
        <v>33</v>
      </c>
      <c r="B43" s="7" t="s">
        <v>66</v>
      </c>
      <c r="C43" s="8"/>
      <c r="D43" s="8"/>
      <c r="E43" s="8" t="s">
        <v>67</v>
      </c>
      <c r="F43" s="8"/>
      <c r="G43" s="8"/>
      <c r="H43" s="8"/>
      <c r="I43" s="9" t="n">
        <v>1</v>
      </c>
      <c r="J43" s="9" t="s">
        <v>18</v>
      </c>
      <c r="K43" s="9" t="s">
        <v>19</v>
      </c>
    </row>
    <row r="44" customFormat="false" ht="15" hidden="false" customHeight="false" outlineLevel="0" collapsed="false">
      <c r="A44" s="6" t="n">
        <v>34</v>
      </c>
      <c r="B44" s="10"/>
      <c r="C44" s="6" t="s">
        <v>20</v>
      </c>
      <c r="D44" s="6" t="s">
        <v>49</v>
      </c>
      <c r="E44" s="11" t="s">
        <v>50</v>
      </c>
      <c r="F44" s="12" t="n">
        <v>11150</v>
      </c>
      <c r="G44" s="12" t="n">
        <f aca="false">F44*$B$5</f>
        <v>11150</v>
      </c>
      <c r="H44" s="12" t="n">
        <f aca="false">G44*I44</f>
        <v>11150</v>
      </c>
      <c r="I44" s="6" t="n">
        <v>1</v>
      </c>
      <c r="J44" s="6" t="s">
        <v>23</v>
      </c>
      <c r="K44" s="6" t="s">
        <v>24</v>
      </c>
    </row>
    <row r="45" customFormat="false" ht="15" hidden="false" customHeight="false" outlineLevel="0" collapsed="false">
      <c r="A45" s="6" t="n">
        <v>35</v>
      </c>
      <c r="B45" s="10"/>
      <c r="C45" s="6" t="s">
        <v>51</v>
      </c>
      <c r="D45" s="6" t="s">
        <v>52</v>
      </c>
      <c r="E45" s="11" t="s">
        <v>53</v>
      </c>
      <c r="F45" s="12" t="n">
        <v>7907</v>
      </c>
      <c r="G45" s="12" t="n">
        <f aca="false">F45*$B$2</f>
        <v>4744.2</v>
      </c>
      <c r="H45" s="12" t="n">
        <f aca="false">G45*I45</f>
        <v>4744.2</v>
      </c>
      <c r="I45" s="6" t="n">
        <v>1</v>
      </c>
      <c r="J45" s="6" t="s">
        <v>23</v>
      </c>
      <c r="K45" s="6" t="s">
        <v>28</v>
      </c>
    </row>
    <row r="46" customFormat="false" ht="15" hidden="false" customHeight="false" outlineLevel="0" collapsed="false">
      <c r="A46" s="6" t="n">
        <v>36</v>
      </c>
      <c r="B46" s="10"/>
      <c r="C46" s="6" t="s">
        <v>51</v>
      </c>
      <c r="D46" s="6" t="s">
        <v>54</v>
      </c>
      <c r="E46" s="11" t="s">
        <v>55</v>
      </c>
      <c r="F46" s="12" t="n">
        <v>2818</v>
      </c>
      <c r="G46" s="12" t="n">
        <f aca="false">F46*$B$2</f>
        <v>1690.8</v>
      </c>
      <c r="H46" s="12" t="n">
        <f aca="false">G46*I46</f>
        <v>21980.4</v>
      </c>
      <c r="I46" s="6" t="n">
        <v>13</v>
      </c>
      <c r="J46" s="6" t="s">
        <v>23</v>
      </c>
      <c r="K46" s="6" t="s">
        <v>28</v>
      </c>
    </row>
    <row r="47" customFormat="false" ht="15" hidden="false" customHeight="false" outlineLevel="0" collapsed="false">
      <c r="A47" s="6" t="n">
        <v>37</v>
      </c>
      <c r="B47" s="10"/>
      <c r="C47" s="6" t="s">
        <v>56</v>
      </c>
      <c r="D47" s="6" t="s">
        <v>57</v>
      </c>
      <c r="E47" s="11" t="s">
        <v>58</v>
      </c>
      <c r="F47" s="12" t="n">
        <v>5104</v>
      </c>
      <c r="G47" s="12" t="n">
        <f aca="false">F47*$B$2</f>
        <v>3062.4</v>
      </c>
      <c r="H47" s="12" t="n">
        <f aca="false">G47*I47</f>
        <v>6124.8</v>
      </c>
      <c r="I47" s="6" t="n">
        <v>2</v>
      </c>
      <c r="J47" s="6" t="s">
        <v>23</v>
      </c>
      <c r="K47" s="6" t="s">
        <v>28</v>
      </c>
    </row>
    <row r="48" customFormat="false" ht="15" hidden="false" customHeight="false" outlineLevel="0" collapsed="false">
      <c r="A48" s="6" t="n">
        <v>38</v>
      </c>
      <c r="B48" s="10"/>
      <c r="C48" s="6" t="s">
        <v>42</v>
      </c>
      <c r="D48" s="10"/>
      <c r="E48" s="10" t="s">
        <v>43</v>
      </c>
      <c r="H48" s="12" t="n">
        <f aca="false">$B$3*SUM(H44:H47)</f>
        <v>1319.982</v>
      </c>
      <c r="I48" s="6" t="n">
        <v>1</v>
      </c>
      <c r="J48" s="6" t="s">
        <v>18</v>
      </c>
      <c r="K48" s="10"/>
    </row>
    <row r="49" customFormat="false" ht="15" hidden="false" customHeight="false" outlineLevel="0" collapsed="false">
      <c r="A49" s="6" t="n">
        <v>39</v>
      </c>
      <c r="B49" s="10"/>
      <c r="C49" s="6" t="s">
        <v>44</v>
      </c>
      <c r="D49" s="10"/>
      <c r="E49" s="10" t="s">
        <v>45</v>
      </c>
      <c r="H49" s="12" t="n">
        <f aca="false">$B$4*SUM(H44:H47)</f>
        <v>2199.97</v>
      </c>
      <c r="I49" s="6" t="n">
        <v>1</v>
      </c>
      <c r="J49" s="6" t="s">
        <v>18</v>
      </c>
      <c r="K49" s="10"/>
    </row>
    <row r="50" customFormat="false" ht="15" hidden="false" customHeight="false" outlineLevel="0" collapsed="false">
      <c r="A50" s="10"/>
      <c r="B50" s="13" t="s">
        <v>68</v>
      </c>
      <c r="H50" s="14" t="n">
        <f aca="false">SUBTOTAL(9,H44:H49)</f>
        <v>47519.352</v>
      </c>
    </row>
    <row r="51" customFormat="false" ht="15" hidden="false" customHeight="false" outlineLevel="0" collapsed="false">
      <c r="A51" s="6" t="n">
        <v>40</v>
      </c>
      <c r="B51" s="7" t="s">
        <v>69</v>
      </c>
      <c r="C51" s="8"/>
      <c r="D51" s="8"/>
      <c r="E51" s="8" t="s">
        <v>70</v>
      </c>
      <c r="F51" s="8"/>
      <c r="G51" s="8"/>
      <c r="H51" s="8"/>
      <c r="I51" s="9" t="n">
        <v>1</v>
      </c>
      <c r="J51" s="9" t="s">
        <v>18</v>
      </c>
      <c r="K51" s="9" t="s">
        <v>19</v>
      </c>
    </row>
    <row r="52" customFormat="false" ht="15" hidden="false" customHeight="false" outlineLevel="0" collapsed="false">
      <c r="A52" s="6" t="n">
        <v>41</v>
      </c>
      <c r="B52" s="10"/>
      <c r="C52" s="6" t="s">
        <v>20</v>
      </c>
      <c r="D52" s="6" t="s">
        <v>71</v>
      </c>
      <c r="E52" s="11" t="s">
        <v>72</v>
      </c>
      <c r="F52" s="12" t="n">
        <v>7590</v>
      </c>
      <c r="G52" s="12" t="n">
        <f aca="false">F52*$B$5</f>
        <v>7590</v>
      </c>
      <c r="H52" s="12" t="n">
        <f aca="false">G52*I52</f>
        <v>7590</v>
      </c>
      <c r="I52" s="6" t="n">
        <v>1</v>
      </c>
      <c r="J52" s="6" t="s">
        <v>23</v>
      </c>
      <c r="K52" s="6" t="s">
        <v>24</v>
      </c>
    </row>
    <row r="53" customFormat="false" ht="15" hidden="false" customHeight="false" outlineLevel="0" collapsed="false">
      <c r="A53" s="6" t="n">
        <v>42</v>
      </c>
      <c r="B53" s="10"/>
      <c r="C53" s="6" t="s">
        <v>51</v>
      </c>
      <c r="D53" s="6" t="s">
        <v>52</v>
      </c>
      <c r="E53" s="11" t="s">
        <v>53</v>
      </c>
      <c r="F53" s="12" t="n">
        <v>7907</v>
      </c>
      <c r="G53" s="12" t="n">
        <f aca="false">F53*$B$2</f>
        <v>4744.2</v>
      </c>
      <c r="H53" s="12" t="n">
        <f aca="false">G53*I53</f>
        <v>4744.2</v>
      </c>
      <c r="I53" s="6" t="n">
        <v>1</v>
      </c>
      <c r="J53" s="6" t="s">
        <v>23</v>
      </c>
      <c r="K53" s="6" t="s">
        <v>28</v>
      </c>
    </row>
    <row r="54" customFormat="false" ht="15" hidden="false" customHeight="false" outlineLevel="0" collapsed="false">
      <c r="A54" s="6" t="n">
        <v>43</v>
      </c>
      <c r="B54" s="10"/>
      <c r="C54" s="6" t="s">
        <v>51</v>
      </c>
      <c r="D54" s="6" t="s">
        <v>54</v>
      </c>
      <c r="E54" s="11" t="s">
        <v>55</v>
      </c>
      <c r="F54" s="12" t="n">
        <v>2818</v>
      </c>
      <c r="G54" s="12" t="n">
        <f aca="false">F54*$B$2</f>
        <v>1690.8</v>
      </c>
      <c r="H54" s="12" t="n">
        <f aca="false">G54*I54</f>
        <v>6763.2</v>
      </c>
      <c r="I54" s="6" t="n">
        <v>4</v>
      </c>
      <c r="J54" s="6" t="s">
        <v>23</v>
      </c>
      <c r="K54" s="6" t="s">
        <v>28</v>
      </c>
    </row>
    <row r="55" customFormat="false" ht="15" hidden="false" customHeight="false" outlineLevel="0" collapsed="false">
      <c r="A55" s="6" t="n">
        <v>44</v>
      </c>
      <c r="B55" s="10"/>
      <c r="C55" s="6" t="s">
        <v>42</v>
      </c>
      <c r="D55" s="10"/>
      <c r="E55" s="10" t="s">
        <v>43</v>
      </c>
      <c r="H55" s="12" t="n">
        <f aca="false">$B$3*SUM(H52:H54)</f>
        <v>572.922</v>
      </c>
      <c r="I55" s="6" t="n">
        <v>1</v>
      </c>
      <c r="J55" s="6" t="s">
        <v>18</v>
      </c>
      <c r="K55" s="10"/>
    </row>
    <row r="56" customFormat="false" ht="15" hidden="false" customHeight="false" outlineLevel="0" collapsed="false">
      <c r="A56" s="6" t="n">
        <v>45</v>
      </c>
      <c r="B56" s="10"/>
      <c r="C56" s="6" t="s">
        <v>44</v>
      </c>
      <c r="D56" s="10"/>
      <c r="E56" s="10" t="s">
        <v>45</v>
      </c>
      <c r="H56" s="12" t="n">
        <f aca="false">$B$4*SUM(H52:H54)</f>
        <v>954.87</v>
      </c>
      <c r="I56" s="6" t="n">
        <v>1</v>
      </c>
      <c r="J56" s="6" t="s">
        <v>18</v>
      </c>
      <c r="K56" s="10"/>
    </row>
    <row r="57" customFormat="false" ht="15" hidden="false" customHeight="false" outlineLevel="0" collapsed="false">
      <c r="A57" s="10"/>
      <c r="B57" s="13" t="s">
        <v>73</v>
      </c>
      <c r="H57" s="14" t="n">
        <f aca="false">SUBTOTAL(9,H52:H56)</f>
        <v>20625.192</v>
      </c>
    </row>
    <row r="58" customFormat="false" ht="15" hidden="false" customHeight="false" outlineLevel="0" collapsed="false">
      <c r="A58" s="6" t="n">
        <v>46</v>
      </c>
      <c r="B58" s="7" t="s">
        <v>74</v>
      </c>
      <c r="C58" s="8"/>
      <c r="D58" s="8"/>
      <c r="E58" s="8" t="s">
        <v>75</v>
      </c>
      <c r="F58" s="8"/>
      <c r="G58" s="8"/>
      <c r="H58" s="8"/>
      <c r="I58" s="9" t="n">
        <v>1</v>
      </c>
      <c r="J58" s="9" t="s">
        <v>18</v>
      </c>
      <c r="K58" s="9" t="s">
        <v>19</v>
      </c>
    </row>
    <row r="59" customFormat="false" ht="15" hidden="false" customHeight="false" outlineLevel="0" collapsed="false">
      <c r="A59" s="6" t="n">
        <v>47</v>
      </c>
      <c r="B59" s="10"/>
      <c r="C59" s="6" t="s">
        <v>20</v>
      </c>
      <c r="D59" s="6" t="s">
        <v>71</v>
      </c>
      <c r="E59" s="11" t="s">
        <v>72</v>
      </c>
      <c r="F59" s="12" t="n">
        <v>7590</v>
      </c>
      <c r="G59" s="12" t="n">
        <f aca="false">F59*$B$5</f>
        <v>7590</v>
      </c>
      <c r="H59" s="12" t="n">
        <f aca="false">G59*I59</f>
        <v>7590</v>
      </c>
      <c r="I59" s="6" t="n">
        <v>1</v>
      </c>
      <c r="J59" s="6" t="s">
        <v>23</v>
      </c>
      <c r="K59" s="6" t="s">
        <v>24</v>
      </c>
    </row>
    <row r="60" customFormat="false" ht="15" hidden="false" customHeight="false" outlineLevel="0" collapsed="false">
      <c r="A60" s="6" t="n">
        <v>48</v>
      </c>
      <c r="B60" s="10"/>
      <c r="C60" s="6" t="s">
        <v>51</v>
      </c>
      <c r="D60" s="6" t="s">
        <v>52</v>
      </c>
      <c r="E60" s="11" t="s">
        <v>53</v>
      </c>
      <c r="F60" s="12" t="n">
        <v>7907</v>
      </c>
      <c r="G60" s="12" t="n">
        <f aca="false">F60*$B$2</f>
        <v>4744.2</v>
      </c>
      <c r="H60" s="12" t="n">
        <f aca="false">G60*I60</f>
        <v>4744.2</v>
      </c>
      <c r="I60" s="6" t="n">
        <v>1</v>
      </c>
      <c r="J60" s="6" t="s">
        <v>23</v>
      </c>
      <c r="K60" s="6" t="s">
        <v>28</v>
      </c>
    </row>
    <row r="61" customFormat="false" ht="15" hidden="false" customHeight="false" outlineLevel="0" collapsed="false">
      <c r="A61" s="6" t="n">
        <v>49</v>
      </c>
      <c r="B61" s="10"/>
      <c r="C61" s="6" t="s">
        <v>51</v>
      </c>
      <c r="D61" s="6" t="s">
        <v>54</v>
      </c>
      <c r="E61" s="11" t="s">
        <v>55</v>
      </c>
      <c r="F61" s="12" t="n">
        <v>2818</v>
      </c>
      <c r="G61" s="12" t="n">
        <f aca="false">F61*$B$2</f>
        <v>1690.8</v>
      </c>
      <c r="H61" s="12" t="n">
        <f aca="false">G61*I61</f>
        <v>5072.4</v>
      </c>
      <c r="I61" s="6" t="n">
        <v>3</v>
      </c>
      <c r="J61" s="6" t="s">
        <v>23</v>
      </c>
      <c r="K61" s="6" t="s">
        <v>28</v>
      </c>
    </row>
    <row r="62" customFormat="false" ht="15" hidden="false" customHeight="false" outlineLevel="0" collapsed="false">
      <c r="A62" s="6" t="n">
        <v>50</v>
      </c>
      <c r="B62" s="10"/>
      <c r="C62" s="6" t="s">
        <v>42</v>
      </c>
      <c r="D62" s="10"/>
      <c r="E62" s="10" t="s">
        <v>43</v>
      </c>
      <c r="H62" s="12" t="n">
        <f aca="false">$B$3*SUM(H59:H61)</f>
        <v>522.198</v>
      </c>
      <c r="I62" s="6" t="n">
        <v>1</v>
      </c>
      <c r="J62" s="6" t="s">
        <v>18</v>
      </c>
      <c r="K62" s="10"/>
    </row>
    <row r="63" customFormat="false" ht="15" hidden="false" customHeight="false" outlineLevel="0" collapsed="false">
      <c r="A63" s="6" t="n">
        <v>51</v>
      </c>
      <c r="B63" s="10"/>
      <c r="C63" s="6" t="s">
        <v>44</v>
      </c>
      <c r="D63" s="10"/>
      <c r="E63" s="10" t="s">
        <v>45</v>
      </c>
      <c r="H63" s="12" t="n">
        <f aca="false">$B$4*SUM(H59:H61)</f>
        <v>870.33</v>
      </c>
      <c r="I63" s="6" t="n">
        <v>1</v>
      </c>
      <c r="J63" s="6" t="s">
        <v>18</v>
      </c>
      <c r="K63" s="10"/>
    </row>
    <row r="64" customFormat="false" ht="15" hidden="false" customHeight="false" outlineLevel="0" collapsed="false">
      <c r="A64" s="10"/>
      <c r="B64" s="13" t="s">
        <v>76</v>
      </c>
      <c r="H64" s="14" t="n">
        <f aca="false">SUBTOTAL(9,H59:H63)</f>
        <v>18799.128</v>
      </c>
    </row>
    <row r="65" customFormat="false" ht="15" hidden="false" customHeight="false" outlineLevel="0" collapsed="false">
      <c r="A65" s="6" t="n">
        <v>52</v>
      </c>
      <c r="B65" s="7" t="s">
        <v>77</v>
      </c>
      <c r="C65" s="8"/>
      <c r="D65" s="8"/>
      <c r="E65" s="8" t="s">
        <v>78</v>
      </c>
      <c r="F65" s="8"/>
      <c r="G65" s="8"/>
      <c r="H65" s="8"/>
      <c r="I65" s="9" t="n">
        <v>1</v>
      </c>
      <c r="J65" s="9" t="s">
        <v>18</v>
      </c>
      <c r="K65" s="9" t="s">
        <v>19</v>
      </c>
    </row>
    <row r="66" customFormat="false" ht="15" hidden="false" customHeight="false" outlineLevel="0" collapsed="false">
      <c r="A66" s="6" t="n">
        <v>53</v>
      </c>
      <c r="B66" s="10"/>
      <c r="C66" s="6" t="s">
        <v>20</v>
      </c>
      <c r="D66" s="6" t="s">
        <v>79</v>
      </c>
      <c r="E66" s="11" t="s">
        <v>80</v>
      </c>
      <c r="F66" s="12" t="n">
        <v>10170</v>
      </c>
      <c r="G66" s="12" t="n">
        <f aca="false">F66*$B$5</f>
        <v>10170</v>
      </c>
      <c r="H66" s="12" t="n">
        <f aca="false">G66*I66</f>
        <v>10170</v>
      </c>
      <c r="I66" s="6" t="n">
        <v>1</v>
      </c>
      <c r="J66" s="6" t="s">
        <v>23</v>
      </c>
      <c r="K66" s="6" t="s">
        <v>24</v>
      </c>
    </row>
    <row r="67" customFormat="false" ht="15" hidden="false" customHeight="false" outlineLevel="0" collapsed="false">
      <c r="A67" s="6" t="n">
        <v>54</v>
      </c>
      <c r="B67" s="10"/>
      <c r="C67" s="6" t="s">
        <v>51</v>
      </c>
      <c r="D67" s="6" t="s">
        <v>52</v>
      </c>
      <c r="E67" s="11" t="s">
        <v>53</v>
      </c>
      <c r="F67" s="12" t="n">
        <v>7907</v>
      </c>
      <c r="G67" s="12" t="n">
        <f aca="false">F67*$B$2</f>
        <v>4744.2</v>
      </c>
      <c r="H67" s="12" t="n">
        <f aca="false">G67*I67</f>
        <v>4744.2</v>
      </c>
      <c r="I67" s="6" t="n">
        <v>1</v>
      </c>
      <c r="J67" s="6" t="s">
        <v>23</v>
      </c>
      <c r="K67" s="6" t="s">
        <v>28</v>
      </c>
    </row>
    <row r="68" customFormat="false" ht="15" hidden="false" customHeight="false" outlineLevel="0" collapsed="false">
      <c r="A68" s="6" t="n">
        <v>55</v>
      </c>
      <c r="B68" s="10"/>
      <c r="C68" s="6" t="s">
        <v>56</v>
      </c>
      <c r="D68" s="6" t="s">
        <v>57</v>
      </c>
      <c r="E68" s="11" t="s">
        <v>58</v>
      </c>
      <c r="F68" s="12" t="n">
        <v>5104</v>
      </c>
      <c r="G68" s="12" t="n">
        <f aca="false">F68*$B$2</f>
        <v>3062.4</v>
      </c>
      <c r="H68" s="12" t="n">
        <f aca="false">G68*I68</f>
        <v>27561.6</v>
      </c>
      <c r="I68" s="6" t="n">
        <v>9</v>
      </c>
      <c r="J68" s="6" t="s">
        <v>23</v>
      </c>
      <c r="K68" s="6" t="s">
        <v>28</v>
      </c>
    </row>
    <row r="69" customFormat="false" ht="15" hidden="false" customHeight="false" outlineLevel="0" collapsed="false">
      <c r="A69" s="6" t="n">
        <v>56</v>
      </c>
      <c r="B69" s="10"/>
      <c r="C69" s="6" t="s">
        <v>42</v>
      </c>
      <c r="D69" s="10"/>
      <c r="E69" s="10" t="s">
        <v>43</v>
      </c>
      <c r="H69" s="12" t="n">
        <f aca="false">$B$3*SUM(H66:H68)</f>
        <v>1274.274</v>
      </c>
      <c r="I69" s="6" t="n">
        <v>1</v>
      </c>
      <c r="J69" s="6" t="s">
        <v>18</v>
      </c>
      <c r="K69" s="10"/>
    </row>
    <row r="70" customFormat="false" ht="15" hidden="false" customHeight="false" outlineLevel="0" collapsed="false">
      <c r="A70" s="6" t="n">
        <v>57</v>
      </c>
      <c r="B70" s="10"/>
      <c r="C70" s="6" t="s">
        <v>44</v>
      </c>
      <c r="D70" s="10"/>
      <c r="E70" s="10" t="s">
        <v>45</v>
      </c>
      <c r="H70" s="12" t="n">
        <f aca="false">$B$4*SUM(H66:H68)</f>
        <v>2123.79</v>
      </c>
      <c r="I70" s="6" t="n">
        <v>1</v>
      </c>
      <c r="J70" s="6" t="s">
        <v>18</v>
      </c>
      <c r="K70" s="10"/>
    </row>
    <row r="71" customFormat="false" ht="15" hidden="false" customHeight="false" outlineLevel="0" collapsed="false">
      <c r="A71" s="10"/>
      <c r="B71" s="13" t="s">
        <v>81</v>
      </c>
      <c r="H71" s="14" t="n">
        <f aca="false">SUBTOTAL(9,H66:H70)</f>
        <v>45873.864</v>
      </c>
    </row>
    <row r="72" customFormat="false" ht="15" hidden="false" customHeight="false" outlineLevel="0" collapsed="false">
      <c r="A72" s="6" t="n">
        <v>58</v>
      </c>
      <c r="B72" s="7" t="s">
        <v>82</v>
      </c>
      <c r="C72" s="8"/>
      <c r="D72" s="8"/>
      <c r="E72" s="8" t="s">
        <v>83</v>
      </c>
      <c r="F72" s="8"/>
      <c r="G72" s="8"/>
      <c r="H72" s="8"/>
      <c r="I72" s="9" t="n">
        <v>1</v>
      </c>
      <c r="J72" s="9" t="s">
        <v>18</v>
      </c>
      <c r="K72" s="9" t="s">
        <v>19</v>
      </c>
    </row>
    <row r="73" customFormat="false" ht="15" hidden="false" customHeight="false" outlineLevel="0" collapsed="false">
      <c r="A73" s="6" t="n">
        <v>59</v>
      </c>
      <c r="B73" s="10"/>
      <c r="C73" s="6" t="s">
        <v>20</v>
      </c>
      <c r="D73" s="6" t="s">
        <v>84</v>
      </c>
      <c r="E73" s="11" t="s">
        <v>85</v>
      </c>
      <c r="F73" s="12" t="n">
        <v>16670</v>
      </c>
      <c r="G73" s="12" t="n">
        <f aca="false">F73*$B$5</f>
        <v>16670</v>
      </c>
      <c r="H73" s="12" t="n">
        <f aca="false">G73*I73</f>
        <v>16670</v>
      </c>
      <c r="I73" s="6" t="n">
        <v>1</v>
      </c>
      <c r="J73" s="6" t="s">
        <v>23</v>
      </c>
      <c r="K73" s="6" t="s">
        <v>24</v>
      </c>
    </row>
    <row r="74" customFormat="false" ht="15" hidden="false" customHeight="false" outlineLevel="0" collapsed="false">
      <c r="A74" s="6" t="n">
        <v>60</v>
      </c>
      <c r="B74" s="10"/>
      <c r="C74" s="6" t="s">
        <v>51</v>
      </c>
      <c r="D74" s="6" t="s">
        <v>52</v>
      </c>
      <c r="E74" s="11" t="s">
        <v>53</v>
      </c>
      <c r="F74" s="12" t="n">
        <v>7907</v>
      </c>
      <c r="G74" s="12" t="n">
        <f aca="false">F74*$B$2</f>
        <v>4744.2</v>
      </c>
      <c r="H74" s="12" t="n">
        <f aca="false">G74*I74</f>
        <v>4744.2</v>
      </c>
      <c r="I74" s="6" t="n">
        <v>1</v>
      </c>
      <c r="J74" s="6" t="s">
        <v>23</v>
      </c>
      <c r="K74" s="6" t="s">
        <v>28</v>
      </c>
    </row>
    <row r="75" customFormat="false" ht="15" hidden="false" customHeight="false" outlineLevel="0" collapsed="false">
      <c r="A75" s="6" t="n">
        <v>61</v>
      </c>
      <c r="B75" s="10"/>
      <c r="C75" s="6" t="s">
        <v>56</v>
      </c>
      <c r="D75" s="6" t="s">
        <v>86</v>
      </c>
      <c r="E75" s="11" t="s">
        <v>87</v>
      </c>
      <c r="F75" s="12" t="n">
        <v>5632</v>
      </c>
      <c r="G75" s="12" t="n">
        <f aca="false">F75*$B$2</f>
        <v>3379.2</v>
      </c>
      <c r="H75" s="12" t="n">
        <f aca="false">G75*I75</f>
        <v>3379.2</v>
      </c>
      <c r="I75" s="6" t="n">
        <v>1</v>
      </c>
      <c r="J75" s="6" t="s">
        <v>23</v>
      </c>
      <c r="K75" s="6" t="s">
        <v>28</v>
      </c>
    </row>
    <row r="76" customFormat="false" ht="15" hidden="false" customHeight="false" outlineLevel="0" collapsed="false">
      <c r="A76" s="6" t="n">
        <v>62</v>
      </c>
      <c r="B76" s="10"/>
      <c r="C76" s="6" t="s">
        <v>56</v>
      </c>
      <c r="D76" s="6" t="s">
        <v>57</v>
      </c>
      <c r="E76" s="11" t="s">
        <v>58</v>
      </c>
      <c r="F76" s="12" t="n">
        <v>5104</v>
      </c>
      <c r="G76" s="12" t="n">
        <f aca="false">F76*$B$2</f>
        <v>3062.4</v>
      </c>
      <c r="H76" s="12" t="n">
        <f aca="false">G76*I76</f>
        <v>33686.4</v>
      </c>
      <c r="I76" s="6" t="n">
        <v>11</v>
      </c>
      <c r="J76" s="6" t="s">
        <v>23</v>
      </c>
      <c r="K76" s="6" t="s">
        <v>28</v>
      </c>
    </row>
    <row r="77" customFormat="false" ht="15" hidden="false" customHeight="false" outlineLevel="0" collapsed="false">
      <c r="A77" s="6" t="n">
        <v>63</v>
      </c>
      <c r="B77" s="10"/>
      <c r="C77" s="6" t="s">
        <v>42</v>
      </c>
      <c r="D77" s="10"/>
      <c r="E77" s="10" t="s">
        <v>43</v>
      </c>
      <c r="H77" s="12" t="n">
        <f aca="false">$B$3*SUM(H73:H76)</f>
        <v>1754.394</v>
      </c>
      <c r="I77" s="6" t="n">
        <v>1</v>
      </c>
      <c r="J77" s="6" t="s">
        <v>18</v>
      </c>
      <c r="K77" s="10"/>
    </row>
    <row r="78" customFormat="false" ht="15" hidden="false" customHeight="false" outlineLevel="0" collapsed="false">
      <c r="A78" s="6" t="n">
        <v>64</v>
      </c>
      <c r="B78" s="10"/>
      <c r="C78" s="6" t="s">
        <v>44</v>
      </c>
      <c r="D78" s="10"/>
      <c r="E78" s="10" t="s">
        <v>45</v>
      </c>
      <c r="H78" s="12" t="n">
        <f aca="false">$B$4*SUM(H73:H76)</f>
        <v>2923.99</v>
      </c>
      <c r="I78" s="6" t="n">
        <v>1</v>
      </c>
      <c r="J78" s="6" t="s">
        <v>18</v>
      </c>
      <c r="K78" s="10"/>
    </row>
    <row r="79" customFormat="false" ht="15" hidden="false" customHeight="false" outlineLevel="0" collapsed="false">
      <c r="A79" s="10"/>
      <c r="B79" s="13" t="s">
        <v>88</v>
      </c>
      <c r="H79" s="14" t="n">
        <f aca="false">SUBTOTAL(9,H73:H78)</f>
        <v>63158.184</v>
      </c>
    </row>
    <row r="80" customFormat="false" ht="15" hidden="false" customHeight="false" outlineLevel="0" collapsed="false">
      <c r="A80" s="6" t="n">
        <v>65</v>
      </c>
      <c r="B80" s="7" t="s">
        <v>89</v>
      </c>
      <c r="C80" s="8"/>
      <c r="D80" s="8"/>
      <c r="E80" s="8" t="s">
        <v>90</v>
      </c>
      <c r="F80" s="8"/>
      <c r="G80" s="8"/>
      <c r="H80" s="8"/>
      <c r="I80" s="9" t="n">
        <v>1</v>
      </c>
      <c r="J80" s="9" t="s">
        <v>18</v>
      </c>
      <c r="K80" s="9" t="s">
        <v>19</v>
      </c>
    </row>
    <row r="81" customFormat="false" ht="15" hidden="false" customHeight="false" outlineLevel="0" collapsed="false">
      <c r="A81" s="6" t="n">
        <v>66</v>
      </c>
      <c r="B81" s="10"/>
      <c r="C81" s="6" t="s">
        <v>20</v>
      </c>
      <c r="D81" s="6" t="s">
        <v>91</v>
      </c>
      <c r="E81" s="11" t="s">
        <v>92</v>
      </c>
      <c r="F81" s="12" t="n">
        <v>23650</v>
      </c>
      <c r="G81" s="12" t="n">
        <f aca="false">F81*$B$5</f>
        <v>23650</v>
      </c>
      <c r="H81" s="12" t="n">
        <f aca="false">G81*I81</f>
        <v>23650</v>
      </c>
      <c r="I81" s="6" t="n">
        <v>1</v>
      </c>
      <c r="J81" s="6" t="s">
        <v>23</v>
      </c>
      <c r="K81" s="6" t="s">
        <v>24</v>
      </c>
    </row>
    <row r="82" customFormat="false" ht="15" hidden="false" customHeight="false" outlineLevel="0" collapsed="false">
      <c r="A82" s="6" t="n">
        <v>67</v>
      </c>
      <c r="B82" s="10"/>
      <c r="C82" s="6" t="s">
        <v>51</v>
      </c>
      <c r="D82" s="6" t="s">
        <v>52</v>
      </c>
      <c r="E82" s="11" t="s">
        <v>53</v>
      </c>
      <c r="F82" s="12" t="n">
        <v>7907</v>
      </c>
      <c r="G82" s="12" t="n">
        <f aca="false">F82*$B$2</f>
        <v>4744.2</v>
      </c>
      <c r="H82" s="12" t="n">
        <f aca="false">G82*I82</f>
        <v>4744.2</v>
      </c>
      <c r="I82" s="6" t="n">
        <v>1</v>
      </c>
      <c r="J82" s="6" t="s">
        <v>23</v>
      </c>
      <c r="K82" s="6" t="s">
        <v>28</v>
      </c>
    </row>
    <row r="83" customFormat="false" ht="15" hidden="false" customHeight="false" outlineLevel="0" collapsed="false">
      <c r="A83" s="6" t="n">
        <v>68</v>
      </c>
      <c r="B83" s="10"/>
      <c r="C83" s="6" t="s">
        <v>51</v>
      </c>
      <c r="D83" s="6" t="s">
        <v>93</v>
      </c>
      <c r="E83" s="11" t="s">
        <v>94</v>
      </c>
      <c r="F83" s="12" t="n">
        <v>7697</v>
      </c>
      <c r="G83" s="12" t="n">
        <f aca="false">F83*$B$2</f>
        <v>4618.2</v>
      </c>
      <c r="H83" s="12" t="n">
        <f aca="false">G83*I83</f>
        <v>9236.4</v>
      </c>
      <c r="I83" s="6" t="n">
        <v>2</v>
      </c>
      <c r="J83" s="6" t="s">
        <v>23</v>
      </c>
      <c r="K83" s="6" t="s">
        <v>28</v>
      </c>
    </row>
    <row r="84" customFormat="false" ht="15" hidden="false" customHeight="false" outlineLevel="0" collapsed="false">
      <c r="A84" s="6" t="n">
        <v>69</v>
      </c>
      <c r="B84" s="10"/>
      <c r="C84" s="6" t="s">
        <v>56</v>
      </c>
      <c r="D84" s="6" t="s">
        <v>86</v>
      </c>
      <c r="E84" s="11" t="s">
        <v>87</v>
      </c>
      <c r="F84" s="12" t="n">
        <v>5632</v>
      </c>
      <c r="G84" s="12" t="n">
        <f aca="false">F84*$B$2</f>
        <v>3379.2</v>
      </c>
      <c r="H84" s="12" t="n">
        <f aca="false">G84*I84</f>
        <v>3379.2</v>
      </c>
      <c r="I84" s="6" t="n">
        <v>1</v>
      </c>
      <c r="J84" s="6" t="s">
        <v>23</v>
      </c>
      <c r="K84" s="6" t="s">
        <v>28</v>
      </c>
    </row>
    <row r="85" customFormat="false" ht="15" hidden="false" customHeight="false" outlineLevel="0" collapsed="false">
      <c r="A85" s="6" t="n">
        <v>70</v>
      </c>
      <c r="B85" s="10"/>
      <c r="C85" s="6" t="s">
        <v>56</v>
      </c>
      <c r="D85" s="6" t="s">
        <v>57</v>
      </c>
      <c r="E85" s="11" t="s">
        <v>58</v>
      </c>
      <c r="F85" s="12" t="n">
        <v>5104</v>
      </c>
      <c r="G85" s="12" t="n">
        <f aca="false">F85*$B$2</f>
        <v>3062.4</v>
      </c>
      <c r="H85" s="12" t="n">
        <f aca="false">G85*I85</f>
        <v>33686.4</v>
      </c>
      <c r="I85" s="6" t="n">
        <v>11</v>
      </c>
      <c r="J85" s="6" t="s">
        <v>23</v>
      </c>
      <c r="K85" s="6" t="s">
        <v>28</v>
      </c>
    </row>
    <row r="86" customFormat="false" ht="15" hidden="false" customHeight="false" outlineLevel="0" collapsed="false">
      <c r="A86" s="6" t="n">
        <v>71</v>
      </c>
      <c r="B86" s="10"/>
      <c r="C86" s="6" t="s">
        <v>42</v>
      </c>
      <c r="D86" s="10"/>
      <c r="E86" s="10" t="s">
        <v>43</v>
      </c>
      <c r="H86" s="12" t="n">
        <f aca="false">$B$3*SUM(H81:H85)</f>
        <v>2240.886</v>
      </c>
      <c r="I86" s="6" t="n">
        <v>1</v>
      </c>
      <c r="J86" s="6" t="s">
        <v>18</v>
      </c>
      <c r="K86" s="10"/>
    </row>
    <row r="87" customFormat="false" ht="15" hidden="false" customHeight="false" outlineLevel="0" collapsed="false">
      <c r="A87" s="6" t="n">
        <v>72</v>
      </c>
      <c r="B87" s="10"/>
      <c r="C87" s="6" t="s">
        <v>44</v>
      </c>
      <c r="D87" s="10"/>
      <c r="E87" s="10" t="s">
        <v>45</v>
      </c>
      <c r="H87" s="12" t="n">
        <f aca="false">$B$4*SUM(H81:H85)</f>
        <v>3734.81</v>
      </c>
      <c r="I87" s="6" t="n">
        <v>1</v>
      </c>
      <c r="J87" s="6" t="s">
        <v>18</v>
      </c>
      <c r="K87" s="10"/>
    </row>
    <row r="88" customFormat="false" ht="15" hidden="false" customHeight="false" outlineLevel="0" collapsed="false">
      <c r="A88" s="10"/>
      <c r="B88" s="13" t="s">
        <v>95</v>
      </c>
      <c r="H88" s="14" t="n">
        <f aca="false">SUBTOTAL(9,H81:H87)</f>
        <v>80671.896</v>
      </c>
    </row>
    <row r="89" customFormat="false" ht="15" hidden="false" customHeight="false" outlineLevel="0" collapsed="false">
      <c r="A89" s="6" t="n">
        <v>73</v>
      </c>
      <c r="B89" s="7" t="s">
        <v>96</v>
      </c>
      <c r="C89" s="8"/>
      <c r="D89" s="8"/>
      <c r="E89" s="8" t="s">
        <v>97</v>
      </c>
      <c r="F89" s="8"/>
      <c r="G89" s="8"/>
      <c r="H89" s="8"/>
      <c r="I89" s="9" t="n">
        <v>1</v>
      </c>
      <c r="J89" s="9" t="s">
        <v>18</v>
      </c>
      <c r="K89" s="9" t="s">
        <v>19</v>
      </c>
    </row>
    <row r="90" customFormat="false" ht="15" hidden="false" customHeight="false" outlineLevel="0" collapsed="false">
      <c r="A90" s="6" t="n">
        <v>74</v>
      </c>
      <c r="B90" s="10"/>
      <c r="C90" s="6" t="s">
        <v>20</v>
      </c>
      <c r="D90" s="6" t="s">
        <v>79</v>
      </c>
      <c r="E90" s="11" t="s">
        <v>80</v>
      </c>
      <c r="F90" s="12" t="n">
        <v>10170</v>
      </c>
      <c r="G90" s="12" t="n">
        <f aca="false">F90*$B$5</f>
        <v>10170</v>
      </c>
      <c r="H90" s="12" t="n">
        <f aca="false">G90*I90</f>
        <v>10170</v>
      </c>
      <c r="I90" s="6" t="n">
        <v>1</v>
      </c>
      <c r="J90" s="6" t="s">
        <v>23</v>
      </c>
      <c r="K90" s="6" t="s">
        <v>24</v>
      </c>
    </row>
    <row r="91" customFormat="false" ht="15" hidden="false" customHeight="false" outlineLevel="0" collapsed="false">
      <c r="A91" s="6" t="n">
        <v>75</v>
      </c>
      <c r="B91" s="10"/>
      <c r="C91" s="6" t="s">
        <v>51</v>
      </c>
      <c r="D91" s="6" t="s">
        <v>52</v>
      </c>
      <c r="E91" s="11" t="s">
        <v>53</v>
      </c>
      <c r="F91" s="12" t="n">
        <v>7907</v>
      </c>
      <c r="G91" s="12" t="n">
        <f aca="false">F91*$B$2</f>
        <v>4744.2</v>
      </c>
      <c r="H91" s="12" t="n">
        <f aca="false">G91*I91</f>
        <v>4744.2</v>
      </c>
      <c r="I91" s="6" t="n">
        <v>1</v>
      </c>
      <c r="J91" s="6" t="s">
        <v>23</v>
      </c>
      <c r="K91" s="6" t="s">
        <v>28</v>
      </c>
    </row>
    <row r="92" customFormat="false" ht="15" hidden="false" customHeight="false" outlineLevel="0" collapsed="false">
      <c r="A92" s="6" t="n">
        <v>76</v>
      </c>
      <c r="B92" s="10"/>
      <c r="C92" s="6" t="s">
        <v>51</v>
      </c>
      <c r="D92" s="6" t="s">
        <v>93</v>
      </c>
      <c r="E92" s="11" t="s">
        <v>94</v>
      </c>
      <c r="F92" s="12" t="n">
        <v>7697</v>
      </c>
      <c r="G92" s="12" t="n">
        <f aca="false">F92*$B$2</f>
        <v>4618.2</v>
      </c>
      <c r="H92" s="12" t="n">
        <f aca="false">G92*I92</f>
        <v>9236.4</v>
      </c>
      <c r="I92" s="6" t="n">
        <v>2</v>
      </c>
      <c r="J92" s="6" t="s">
        <v>23</v>
      </c>
      <c r="K92" s="6" t="s">
        <v>28</v>
      </c>
    </row>
    <row r="93" customFormat="false" ht="15" hidden="false" customHeight="false" outlineLevel="0" collapsed="false">
      <c r="A93" s="6" t="n">
        <v>77</v>
      </c>
      <c r="B93" s="10"/>
      <c r="C93" s="6" t="s">
        <v>51</v>
      </c>
      <c r="D93" s="6" t="s">
        <v>98</v>
      </c>
      <c r="E93" s="11" t="s">
        <v>99</v>
      </c>
      <c r="F93" s="12" t="n">
        <v>2869</v>
      </c>
      <c r="G93" s="12" t="n">
        <f aca="false">F93*$B$2</f>
        <v>1721.4</v>
      </c>
      <c r="H93" s="12" t="n">
        <f aca="false">G93*I93</f>
        <v>1721.4</v>
      </c>
      <c r="I93" s="6" t="n">
        <v>1</v>
      </c>
      <c r="J93" s="6" t="s">
        <v>23</v>
      </c>
      <c r="K93" s="6" t="s">
        <v>28</v>
      </c>
    </row>
    <row r="94" customFormat="false" ht="15" hidden="false" customHeight="false" outlineLevel="0" collapsed="false">
      <c r="A94" s="6" t="n">
        <v>78</v>
      </c>
      <c r="B94" s="10"/>
      <c r="C94" s="6" t="s">
        <v>51</v>
      </c>
      <c r="D94" s="6" t="s">
        <v>54</v>
      </c>
      <c r="E94" s="11" t="s">
        <v>55</v>
      </c>
      <c r="F94" s="12" t="n">
        <v>2818</v>
      </c>
      <c r="G94" s="12" t="n">
        <f aca="false">F94*$B$2</f>
        <v>1690.8</v>
      </c>
      <c r="H94" s="12" t="n">
        <f aca="false">G94*I94</f>
        <v>6763.2</v>
      </c>
      <c r="I94" s="6" t="n">
        <v>4</v>
      </c>
      <c r="J94" s="6" t="s">
        <v>23</v>
      </c>
      <c r="K94" s="6" t="s">
        <v>28</v>
      </c>
    </row>
    <row r="95" customFormat="false" ht="15" hidden="false" customHeight="false" outlineLevel="0" collapsed="false">
      <c r="A95" s="6" t="n">
        <v>79</v>
      </c>
      <c r="B95" s="10"/>
      <c r="C95" s="6" t="s">
        <v>56</v>
      </c>
      <c r="D95" s="6" t="s">
        <v>57</v>
      </c>
      <c r="E95" s="11" t="s">
        <v>58</v>
      </c>
      <c r="F95" s="12" t="n">
        <v>5104</v>
      </c>
      <c r="G95" s="12" t="n">
        <f aca="false">F95*$B$2</f>
        <v>3062.4</v>
      </c>
      <c r="H95" s="12" t="n">
        <f aca="false">G95*I95</f>
        <v>15312</v>
      </c>
      <c r="I95" s="6" t="n">
        <v>5</v>
      </c>
      <c r="J95" s="6" t="s">
        <v>23</v>
      </c>
      <c r="K95" s="6" t="s">
        <v>28</v>
      </c>
    </row>
    <row r="96" customFormat="false" ht="15" hidden="false" customHeight="false" outlineLevel="0" collapsed="false">
      <c r="A96" s="6" t="n">
        <v>80</v>
      </c>
      <c r="B96" s="10"/>
      <c r="C96" s="6" t="s">
        <v>42</v>
      </c>
      <c r="D96" s="10"/>
      <c r="E96" s="10" t="s">
        <v>43</v>
      </c>
      <c r="H96" s="12" t="n">
        <f aca="false">$B$3*SUM(H90:H95)</f>
        <v>1438.416</v>
      </c>
      <c r="I96" s="6" t="n">
        <v>1</v>
      </c>
      <c r="J96" s="6" t="s">
        <v>18</v>
      </c>
      <c r="K96" s="10"/>
    </row>
    <row r="97" customFormat="false" ht="15" hidden="false" customHeight="false" outlineLevel="0" collapsed="false">
      <c r="A97" s="6" t="n">
        <v>81</v>
      </c>
      <c r="B97" s="10"/>
      <c r="C97" s="6" t="s">
        <v>44</v>
      </c>
      <c r="D97" s="10"/>
      <c r="E97" s="10" t="s">
        <v>45</v>
      </c>
      <c r="H97" s="12" t="n">
        <f aca="false">$B$4*SUM(H90:H95)</f>
        <v>2397.36</v>
      </c>
      <c r="I97" s="6" t="n">
        <v>1</v>
      </c>
      <c r="J97" s="6" t="s">
        <v>18</v>
      </c>
      <c r="K97" s="10"/>
    </row>
    <row r="98" customFormat="false" ht="15" hidden="false" customHeight="false" outlineLevel="0" collapsed="false">
      <c r="A98" s="10"/>
      <c r="B98" s="13" t="s">
        <v>100</v>
      </c>
      <c r="H98" s="14" t="n">
        <f aca="false">SUBTOTAL(9,H90:H97)</f>
        <v>51782.976</v>
      </c>
    </row>
    <row r="99" customFormat="false" ht="15" hidden="false" customHeight="false" outlineLevel="0" collapsed="false">
      <c r="A99" s="6" t="n">
        <v>82</v>
      </c>
      <c r="B99" s="7" t="s">
        <v>101</v>
      </c>
      <c r="C99" s="8"/>
      <c r="D99" s="8"/>
      <c r="E99" s="8" t="s">
        <v>102</v>
      </c>
      <c r="F99" s="8"/>
      <c r="G99" s="8"/>
      <c r="H99" s="8"/>
      <c r="I99" s="9" t="n">
        <v>1</v>
      </c>
      <c r="J99" s="9" t="s">
        <v>18</v>
      </c>
      <c r="K99" s="9" t="s">
        <v>19</v>
      </c>
    </row>
    <row r="100" customFormat="false" ht="15" hidden="false" customHeight="false" outlineLevel="0" collapsed="false">
      <c r="A100" s="6" t="n">
        <v>83</v>
      </c>
      <c r="B100" s="10"/>
      <c r="C100" s="6" t="s">
        <v>20</v>
      </c>
      <c r="D100" s="6" t="s">
        <v>79</v>
      </c>
      <c r="E100" s="11" t="s">
        <v>80</v>
      </c>
      <c r="F100" s="12" t="n">
        <v>10170</v>
      </c>
      <c r="G100" s="12" t="n">
        <f aca="false">F100*$B$5</f>
        <v>10170</v>
      </c>
      <c r="H100" s="12" t="n">
        <f aca="false">G100*I100</f>
        <v>10170</v>
      </c>
      <c r="I100" s="6" t="n">
        <v>1</v>
      </c>
      <c r="J100" s="6" t="s">
        <v>23</v>
      </c>
      <c r="K100" s="6" t="s">
        <v>24</v>
      </c>
    </row>
    <row r="101" customFormat="false" ht="15" hidden="false" customHeight="false" outlineLevel="0" collapsed="false">
      <c r="A101" s="6" t="n">
        <v>84</v>
      </c>
      <c r="B101" s="10"/>
      <c r="C101" s="6" t="s">
        <v>51</v>
      </c>
      <c r="D101" s="6" t="s">
        <v>52</v>
      </c>
      <c r="E101" s="11" t="s">
        <v>53</v>
      </c>
      <c r="F101" s="12" t="n">
        <v>7907</v>
      </c>
      <c r="G101" s="12" t="n">
        <f aca="false">F101*$B$2</f>
        <v>4744.2</v>
      </c>
      <c r="H101" s="12" t="n">
        <f aca="false">G101*I101</f>
        <v>4744.2</v>
      </c>
      <c r="I101" s="6" t="n">
        <v>1</v>
      </c>
      <c r="J101" s="6" t="s">
        <v>23</v>
      </c>
      <c r="K101" s="6" t="s">
        <v>28</v>
      </c>
    </row>
    <row r="102" customFormat="false" ht="15" hidden="false" customHeight="false" outlineLevel="0" collapsed="false">
      <c r="A102" s="6" t="n">
        <v>85</v>
      </c>
      <c r="B102" s="10"/>
      <c r="C102" s="6" t="s">
        <v>51</v>
      </c>
      <c r="D102" s="6" t="s">
        <v>93</v>
      </c>
      <c r="E102" s="11" t="s">
        <v>94</v>
      </c>
      <c r="F102" s="12" t="n">
        <v>7697</v>
      </c>
      <c r="G102" s="12" t="n">
        <f aca="false">F102*$B$2</f>
        <v>4618.2</v>
      </c>
      <c r="H102" s="12" t="n">
        <f aca="false">G102*I102</f>
        <v>23091</v>
      </c>
      <c r="I102" s="6" t="n">
        <v>5</v>
      </c>
      <c r="J102" s="6" t="s">
        <v>23</v>
      </c>
      <c r="K102" s="6" t="s">
        <v>28</v>
      </c>
    </row>
    <row r="103" customFormat="false" ht="15" hidden="false" customHeight="false" outlineLevel="0" collapsed="false">
      <c r="A103" s="6" t="n">
        <v>86</v>
      </c>
      <c r="B103" s="10"/>
      <c r="C103" s="6" t="s">
        <v>56</v>
      </c>
      <c r="D103" s="6" t="s">
        <v>57</v>
      </c>
      <c r="E103" s="11" t="s">
        <v>58</v>
      </c>
      <c r="F103" s="12" t="n">
        <v>5104</v>
      </c>
      <c r="G103" s="12" t="n">
        <f aca="false">F103*$B$2</f>
        <v>3062.4</v>
      </c>
      <c r="H103" s="12" t="n">
        <f aca="false">G103*I103</f>
        <v>6124.8</v>
      </c>
      <c r="I103" s="6" t="n">
        <v>2</v>
      </c>
      <c r="J103" s="6" t="s">
        <v>23</v>
      </c>
      <c r="K103" s="6" t="s">
        <v>28</v>
      </c>
    </row>
    <row r="104" customFormat="false" ht="15" hidden="false" customHeight="false" outlineLevel="0" collapsed="false">
      <c r="A104" s="6" t="n">
        <v>87</v>
      </c>
      <c r="B104" s="10"/>
      <c r="C104" s="6" t="s">
        <v>42</v>
      </c>
      <c r="D104" s="10"/>
      <c r="E104" s="10" t="s">
        <v>43</v>
      </c>
      <c r="H104" s="12" t="n">
        <f aca="false">$B$3*SUM(H100:H103)</f>
        <v>1323.9</v>
      </c>
      <c r="I104" s="6" t="n">
        <v>1</v>
      </c>
      <c r="J104" s="6" t="s">
        <v>18</v>
      </c>
      <c r="K104" s="10"/>
    </row>
    <row r="105" customFormat="false" ht="15" hidden="false" customHeight="false" outlineLevel="0" collapsed="false">
      <c r="A105" s="6" t="n">
        <v>88</v>
      </c>
      <c r="B105" s="10"/>
      <c r="C105" s="6" t="s">
        <v>44</v>
      </c>
      <c r="D105" s="10"/>
      <c r="E105" s="10" t="s">
        <v>45</v>
      </c>
      <c r="H105" s="12" t="n">
        <f aca="false">$B$4*SUM(H100:H103)</f>
        <v>2206.5</v>
      </c>
      <c r="I105" s="6" t="n">
        <v>1</v>
      </c>
      <c r="J105" s="6" t="s">
        <v>18</v>
      </c>
      <c r="K105" s="10"/>
    </row>
    <row r="106" customFormat="false" ht="15" hidden="false" customHeight="false" outlineLevel="0" collapsed="false">
      <c r="A106" s="10"/>
      <c r="B106" s="13" t="s">
        <v>103</v>
      </c>
      <c r="H106" s="14" t="n">
        <f aca="false">SUBTOTAL(9,H100:H105)</f>
        <v>47660.4</v>
      </c>
    </row>
    <row r="107" customFormat="false" ht="15" hidden="false" customHeight="false" outlineLevel="0" collapsed="false">
      <c r="A107" s="6" t="n">
        <v>89</v>
      </c>
      <c r="B107" s="7" t="s">
        <v>104</v>
      </c>
      <c r="C107" s="8"/>
      <c r="D107" s="8"/>
      <c r="E107" s="8" t="s">
        <v>105</v>
      </c>
      <c r="F107" s="8"/>
      <c r="G107" s="8"/>
      <c r="H107" s="8"/>
      <c r="I107" s="9" t="n">
        <v>1</v>
      </c>
      <c r="J107" s="9" t="s">
        <v>18</v>
      </c>
      <c r="K107" s="9" t="s">
        <v>19</v>
      </c>
    </row>
    <row r="108" customFormat="false" ht="15" hidden="false" customHeight="false" outlineLevel="0" collapsed="false">
      <c r="A108" s="6" t="n">
        <v>90</v>
      </c>
      <c r="B108" s="10"/>
      <c r="C108" s="6" t="s">
        <v>20</v>
      </c>
      <c r="D108" s="6" t="s">
        <v>106</v>
      </c>
      <c r="E108" s="11" t="s">
        <v>107</v>
      </c>
      <c r="F108" s="12" t="n">
        <v>14930</v>
      </c>
      <c r="G108" s="12" t="n">
        <f aca="false">F108*$B$5</f>
        <v>14930</v>
      </c>
      <c r="H108" s="12" t="n">
        <f aca="false">G108*I108</f>
        <v>14930</v>
      </c>
      <c r="I108" s="6" t="n">
        <v>1</v>
      </c>
      <c r="J108" s="6" t="s">
        <v>23</v>
      </c>
      <c r="K108" s="6" t="s">
        <v>24</v>
      </c>
    </row>
    <row r="109" customFormat="false" ht="15" hidden="false" customHeight="false" outlineLevel="0" collapsed="false">
      <c r="A109" s="6" t="n">
        <v>91</v>
      </c>
      <c r="B109" s="10"/>
      <c r="C109" s="6" t="s">
        <v>51</v>
      </c>
      <c r="D109" s="6" t="s">
        <v>52</v>
      </c>
      <c r="E109" s="11" t="s">
        <v>53</v>
      </c>
      <c r="F109" s="12" t="n">
        <v>7907</v>
      </c>
      <c r="G109" s="12" t="n">
        <f aca="false">F109*$B$2</f>
        <v>4744.2</v>
      </c>
      <c r="H109" s="12" t="n">
        <f aca="false">G109*I109</f>
        <v>4744.2</v>
      </c>
      <c r="I109" s="6" t="n">
        <v>1</v>
      </c>
      <c r="J109" s="6" t="s">
        <v>23</v>
      </c>
      <c r="K109" s="6" t="s">
        <v>28</v>
      </c>
    </row>
    <row r="110" customFormat="false" ht="15" hidden="false" customHeight="false" outlineLevel="0" collapsed="false">
      <c r="A110" s="6" t="n">
        <v>92</v>
      </c>
      <c r="B110" s="10"/>
      <c r="C110" s="6" t="s">
        <v>51</v>
      </c>
      <c r="D110" s="6" t="s">
        <v>93</v>
      </c>
      <c r="E110" s="11" t="s">
        <v>94</v>
      </c>
      <c r="F110" s="12" t="n">
        <v>7697</v>
      </c>
      <c r="G110" s="12" t="n">
        <f aca="false">F110*$B$2</f>
        <v>4618.2</v>
      </c>
      <c r="H110" s="12" t="n">
        <f aca="false">G110*I110</f>
        <v>18472.8</v>
      </c>
      <c r="I110" s="6" t="n">
        <v>4</v>
      </c>
      <c r="J110" s="6" t="s">
        <v>23</v>
      </c>
      <c r="K110" s="6" t="s">
        <v>28</v>
      </c>
    </row>
    <row r="111" customFormat="false" ht="15" hidden="false" customHeight="false" outlineLevel="0" collapsed="false">
      <c r="A111" s="6" t="n">
        <v>93</v>
      </c>
      <c r="B111" s="10"/>
      <c r="C111" s="6" t="s">
        <v>42</v>
      </c>
      <c r="D111" s="10"/>
      <c r="E111" s="10" t="s">
        <v>43</v>
      </c>
      <c r="H111" s="12" t="n">
        <f aca="false">$B$3*SUM(H108:H110)</f>
        <v>1144.41</v>
      </c>
      <c r="I111" s="6" t="n">
        <v>1</v>
      </c>
      <c r="J111" s="6" t="s">
        <v>18</v>
      </c>
      <c r="K111" s="10"/>
    </row>
    <row r="112" customFormat="false" ht="15" hidden="false" customHeight="false" outlineLevel="0" collapsed="false">
      <c r="A112" s="6" t="n">
        <v>94</v>
      </c>
      <c r="B112" s="10"/>
      <c r="C112" s="6" t="s">
        <v>44</v>
      </c>
      <c r="D112" s="10"/>
      <c r="E112" s="10" t="s">
        <v>45</v>
      </c>
      <c r="H112" s="12" t="n">
        <f aca="false">$B$4*SUM(H108:H110)</f>
        <v>1907.35</v>
      </c>
      <c r="I112" s="6" t="n">
        <v>1</v>
      </c>
      <c r="J112" s="6" t="s">
        <v>18</v>
      </c>
      <c r="K112" s="10"/>
    </row>
    <row r="113" customFormat="false" ht="15" hidden="false" customHeight="false" outlineLevel="0" collapsed="false">
      <c r="A113" s="10"/>
      <c r="B113" s="13" t="s">
        <v>108</v>
      </c>
      <c r="H113" s="14" t="n">
        <f aca="false">SUBTOTAL(9,H108:H112)</f>
        <v>41198.76</v>
      </c>
    </row>
    <row r="114" customFormat="false" ht="15" hidden="false" customHeight="false" outlineLevel="0" collapsed="false">
      <c r="A114" s="10"/>
      <c r="B114" s="15" t="s">
        <v>109</v>
      </c>
      <c r="C114" s="16"/>
      <c r="D114" s="16"/>
      <c r="E114" s="16"/>
      <c r="F114" s="16"/>
      <c r="G114" s="16"/>
      <c r="H114" s="17" t="n">
        <f aca="false">SUBTOTAL(9,H7:H113)</f>
        <v>993217.896</v>
      </c>
      <c r="I114" s="16"/>
      <c r="J114" s="16"/>
      <c r="K114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5" min="4" style="0" width="12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110</v>
      </c>
    </row>
    <row r="3" customFormat="false" ht="15" hidden="false" customHeight="false" outlineLevel="0" collapsed="false">
      <c r="A3" s="18" t="s">
        <v>5</v>
      </c>
      <c r="B3" s="18" t="s">
        <v>111</v>
      </c>
      <c r="C3" s="18" t="s">
        <v>112</v>
      </c>
      <c r="D3" s="18" t="s">
        <v>113</v>
      </c>
      <c r="E3" s="18" t="s">
        <v>114</v>
      </c>
    </row>
    <row r="4" customFormat="false" ht="15" hidden="false" customHeight="false" outlineLevel="0" collapsed="false">
      <c r="A4" s="6" t="n">
        <v>1</v>
      </c>
      <c r="B4" s="13" t="s">
        <v>16</v>
      </c>
      <c r="C4" s="6" t="s">
        <v>115</v>
      </c>
      <c r="D4" s="10" t="s">
        <v>116</v>
      </c>
      <c r="E4" s="12" t="n">
        <f aca="false">BOM!H18</f>
        <v>444326.472</v>
      </c>
    </row>
    <row r="5" customFormat="false" ht="15" hidden="false" customHeight="false" outlineLevel="0" collapsed="false">
      <c r="A5" s="6" t="n">
        <v>2</v>
      </c>
      <c r="B5" s="13" t="s">
        <v>47</v>
      </c>
      <c r="C5" s="6" t="s">
        <v>117</v>
      </c>
      <c r="D5" s="10" t="s">
        <v>118</v>
      </c>
      <c r="E5" s="12" t="n">
        <f aca="false">BOM!H26</f>
        <v>45693.288</v>
      </c>
    </row>
    <row r="6" customFormat="false" ht="15" hidden="false" customHeight="false" outlineLevel="0" collapsed="false">
      <c r="A6" s="6" t="n">
        <v>3</v>
      </c>
      <c r="B6" s="13" t="s">
        <v>60</v>
      </c>
      <c r="C6" s="6" t="s">
        <v>117</v>
      </c>
      <c r="D6" s="10" t="s">
        <v>119</v>
      </c>
      <c r="E6" s="12" t="n">
        <f aca="false">BOM!H34</f>
        <v>40215.096</v>
      </c>
    </row>
    <row r="7" customFormat="false" ht="15" hidden="false" customHeight="false" outlineLevel="0" collapsed="false">
      <c r="A7" s="6" t="n">
        <v>4</v>
      </c>
      <c r="B7" s="13" t="s">
        <v>63</v>
      </c>
      <c r="C7" s="6" t="s">
        <v>117</v>
      </c>
      <c r="D7" s="10" t="s">
        <v>118</v>
      </c>
      <c r="E7" s="12" t="n">
        <f aca="false">BOM!H42</f>
        <v>45693.288</v>
      </c>
    </row>
    <row r="8" customFormat="false" ht="15" hidden="false" customHeight="false" outlineLevel="0" collapsed="false">
      <c r="A8" s="6" t="n">
        <v>5</v>
      </c>
      <c r="B8" s="13" t="s">
        <v>66</v>
      </c>
      <c r="C8" s="6" t="s">
        <v>117</v>
      </c>
      <c r="D8" s="10" t="s">
        <v>120</v>
      </c>
      <c r="E8" s="12" t="n">
        <f aca="false">BOM!H50</f>
        <v>47519.352</v>
      </c>
    </row>
    <row r="9" customFormat="false" ht="15" hidden="false" customHeight="false" outlineLevel="0" collapsed="false">
      <c r="A9" s="6" t="n">
        <v>6</v>
      </c>
      <c r="B9" s="13" t="s">
        <v>69</v>
      </c>
      <c r="C9" s="6" t="s">
        <v>121</v>
      </c>
      <c r="D9" s="10" t="s">
        <v>122</v>
      </c>
      <c r="E9" s="12" t="n">
        <f aca="false">BOM!H57</f>
        <v>20625.192</v>
      </c>
    </row>
    <row r="10" customFormat="false" ht="15" hidden="false" customHeight="false" outlineLevel="0" collapsed="false">
      <c r="A10" s="6" t="n">
        <v>7</v>
      </c>
      <c r="B10" s="13" t="s">
        <v>74</v>
      </c>
      <c r="C10" s="6" t="s">
        <v>121</v>
      </c>
      <c r="D10" s="10" t="s">
        <v>123</v>
      </c>
      <c r="E10" s="12" t="n">
        <f aca="false">BOM!H64</f>
        <v>18799.128</v>
      </c>
    </row>
    <row r="11" customFormat="false" ht="15" hidden="false" customHeight="false" outlineLevel="0" collapsed="false">
      <c r="A11" s="6" t="n">
        <v>8</v>
      </c>
      <c r="B11" s="13" t="s">
        <v>77</v>
      </c>
      <c r="C11" s="6" t="s">
        <v>124</v>
      </c>
      <c r="D11" s="10" t="s">
        <v>125</v>
      </c>
      <c r="E11" s="12" t="n">
        <f aca="false">BOM!H71</f>
        <v>45873.864</v>
      </c>
    </row>
    <row r="12" customFormat="false" ht="15" hidden="false" customHeight="false" outlineLevel="0" collapsed="false">
      <c r="A12" s="6" t="n">
        <v>9</v>
      </c>
      <c r="B12" s="13" t="s">
        <v>82</v>
      </c>
      <c r="C12" s="6" t="s">
        <v>126</v>
      </c>
      <c r="D12" s="10" t="s">
        <v>127</v>
      </c>
      <c r="E12" s="12" t="n">
        <f aca="false">BOM!H79</f>
        <v>63158.184</v>
      </c>
    </row>
    <row r="13" customFormat="false" ht="15" hidden="false" customHeight="false" outlineLevel="0" collapsed="false">
      <c r="A13" s="6" t="n">
        <v>10</v>
      </c>
      <c r="B13" s="13" t="s">
        <v>89</v>
      </c>
      <c r="C13" s="6" t="s">
        <v>128</v>
      </c>
      <c r="D13" s="10" t="s">
        <v>129</v>
      </c>
      <c r="E13" s="12" t="n">
        <f aca="false">BOM!H88</f>
        <v>80671.896</v>
      </c>
    </row>
    <row r="14" customFormat="false" ht="15" hidden="false" customHeight="false" outlineLevel="0" collapsed="false">
      <c r="A14" s="6" t="n">
        <v>11</v>
      </c>
      <c r="B14" s="13" t="s">
        <v>96</v>
      </c>
      <c r="C14" s="6" t="s">
        <v>124</v>
      </c>
      <c r="D14" s="10" t="s">
        <v>130</v>
      </c>
      <c r="E14" s="12" t="n">
        <f aca="false">BOM!H98</f>
        <v>51782.976</v>
      </c>
    </row>
    <row r="15" customFormat="false" ht="15" hidden="false" customHeight="false" outlineLevel="0" collapsed="false">
      <c r="A15" s="6" t="n">
        <v>12</v>
      </c>
      <c r="B15" s="13" t="s">
        <v>101</v>
      </c>
      <c r="C15" s="6" t="s">
        <v>124</v>
      </c>
      <c r="D15" s="10" t="s">
        <v>131</v>
      </c>
      <c r="E15" s="12" t="n">
        <f aca="false">BOM!H106</f>
        <v>47660.4</v>
      </c>
    </row>
    <row r="16" customFormat="false" ht="15" hidden="false" customHeight="false" outlineLevel="0" collapsed="false">
      <c r="A16" s="6" t="n">
        <v>13</v>
      </c>
      <c r="B16" s="13" t="s">
        <v>104</v>
      </c>
      <c r="C16" s="6" t="s">
        <v>132</v>
      </c>
      <c r="D16" s="10" t="s">
        <v>133</v>
      </c>
      <c r="E16" s="12" t="n">
        <f aca="false">BOM!H113</f>
        <v>41198.76</v>
      </c>
    </row>
    <row r="17" customFormat="false" ht="15" hidden="false" customHeight="false" outlineLevel="0" collapsed="false">
      <c r="A17" s="16"/>
      <c r="B17" s="15" t="s">
        <v>134</v>
      </c>
      <c r="C17" s="16"/>
      <c r="D17" s="16"/>
      <c r="E17" s="17" t="n">
        <f aca="false">SUM(E4:E16)</f>
        <v>993217.896</v>
      </c>
    </row>
    <row r="19" customFormat="false" ht="15" hidden="false" customHeight="false" outlineLevel="0" collapsed="false">
      <c r="A19" s="19" t="s">
        <v>135</v>
      </c>
    </row>
    <row r="21" customFormat="false" ht="15" hidden="false" customHeight="false" outlineLevel="0" collapsed="false">
      <c r="A21" s="13" t="s">
        <v>136</v>
      </c>
    </row>
    <row r="22" customFormat="false" ht="15" hidden="false" customHeight="false" outlineLevel="0" collapsed="false">
      <c r="A22" s="18" t="s">
        <v>137</v>
      </c>
      <c r="B22" s="18" t="s">
        <v>8</v>
      </c>
      <c r="C22" s="18" t="s">
        <v>138</v>
      </c>
      <c r="D22" s="18" t="s">
        <v>139</v>
      </c>
      <c r="E22" s="18" t="s">
        <v>140</v>
      </c>
      <c r="F22" s="18" t="s">
        <v>141</v>
      </c>
    </row>
    <row r="23" customFormat="false" ht="15" hidden="false" customHeight="false" outlineLevel="0" collapsed="false">
      <c r="A23" s="10" t="s">
        <v>142</v>
      </c>
      <c r="B23" s="6" t="s">
        <v>52</v>
      </c>
      <c r="C23" s="6" t="n">
        <v>12</v>
      </c>
      <c r="D23" s="12" t="n">
        <v>7907</v>
      </c>
      <c r="E23" s="12" t="n">
        <f aca="false">D23*BOM!$B$2</f>
        <v>4744.2</v>
      </c>
      <c r="F23" s="12" t="n">
        <f aca="false">C23*E23</f>
        <v>56930.4</v>
      </c>
    </row>
    <row r="24" customFormat="false" ht="15" hidden="false" customHeight="false" outlineLevel="0" collapsed="false">
      <c r="A24" s="10" t="s">
        <v>143</v>
      </c>
      <c r="B24" s="6" t="s">
        <v>54</v>
      </c>
      <c r="C24" s="6" t="n">
        <v>57</v>
      </c>
      <c r="D24" s="12" t="n">
        <v>2818</v>
      </c>
      <c r="E24" s="12" t="n">
        <f aca="false">D24*BOM!$B$2</f>
        <v>1690.8</v>
      </c>
      <c r="F24" s="12" t="n">
        <f aca="false">C24*E24</f>
        <v>96375.6</v>
      </c>
    </row>
    <row r="25" customFormat="false" ht="15" hidden="false" customHeight="false" outlineLevel="0" collapsed="false">
      <c r="A25" s="10" t="s">
        <v>144</v>
      </c>
      <c r="B25" s="6" t="s">
        <v>98</v>
      </c>
      <c r="C25" s="6" t="n">
        <v>1</v>
      </c>
      <c r="D25" s="12" t="n">
        <v>2869</v>
      </c>
      <c r="E25" s="12" t="n">
        <f aca="false">D25*BOM!$B$2</f>
        <v>1721.4</v>
      </c>
      <c r="F25" s="12" t="n">
        <f aca="false">C25*E25</f>
        <v>1721.4</v>
      </c>
    </row>
    <row r="26" customFormat="false" ht="15" hidden="false" customHeight="false" outlineLevel="0" collapsed="false">
      <c r="A26" s="10" t="s">
        <v>145</v>
      </c>
      <c r="B26" s="6" t="s">
        <v>93</v>
      </c>
      <c r="C26" s="6" t="n">
        <v>13</v>
      </c>
      <c r="D26" s="12" t="n">
        <v>7697</v>
      </c>
      <c r="E26" s="12" t="n">
        <f aca="false">D26*BOM!$B$2</f>
        <v>4618.2</v>
      </c>
      <c r="F26" s="12" t="n">
        <f aca="false">C26*E26</f>
        <v>60036.6</v>
      </c>
    </row>
    <row r="27" customFormat="false" ht="15" hidden="false" customHeight="false" outlineLevel="0" collapsed="false">
      <c r="A27" s="10" t="s">
        <v>146</v>
      </c>
      <c r="B27" s="6" t="s">
        <v>57</v>
      </c>
      <c r="C27" s="6" t="n">
        <v>46</v>
      </c>
      <c r="D27" s="12" t="n">
        <v>5104</v>
      </c>
      <c r="E27" s="12" t="n">
        <f aca="false">D27*BOM!$B$2</f>
        <v>3062.4</v>
      </c>
      <c r="F27" s="12" t="n">
        <f aca="false">C27*E27</f>
        <v>140870.4</v>
      </c>
    </row>
    <row r="28" customFormat="false" ht="15" hidden="false" customHeight="false" outlineLevel="0" collapsed="false">
      <c r="A28" s="10" t="s">
        <v>147</v>
      </c>
      <c r="B28" s="6" t="s">
        <v>86</v>
      </c>
      <c r="C28" s="6" t="n">
        <v>2</v>
      </c>
      <c r="D28" s="12" t="n">
        <v>5632</v>
      </c>
      <c r="E28" s="12" t="n">
        <f aca="false">D28*BOM!$B$2</f>
        <v>3379.2</v>
      </c>
      <c r="F28" s="12" t="n">
        <f aca="false">C28*E28</f>
        <v>6758.4</v>
      </c>
    </row>
    <row r="29" customFormat="false" ht="15" hidden="false" customHeight="false" outlineLevel="0" collapsed="false">
      <c r="A29" s="13" t="s">
        <v>148</v>
      </c>
    </row>
    <row r="30" customFormat="false" ht="15" hidden="false" customHeight="false" outlineLevel="0" collapsed="false">
      <c r="A30" s="10" t="s">
        <v>149</v>
      </c>
      <c r="B30" s="6" t="s">
        <v>49</v>
      </c>
      <c r="C30" s="6" t="n">
        <v>4</v>
      </c>
      <c r="D30" s="12" t="n">
        <v>11150</v>
      </c>
      <c r="E30" s="12" t="n">
        <f aca="false">D30*BOM!$B$5</f>
        <v>11150</v>
      </c>
      <c r="F30" s="12" t="n">
        <f aca="false">C30*E30</f>
        <v>44600</v>
      </c>
    </row>
    <row r="31" customFormat="false" ht="15" hidden="false" customHeight="false" outlineLevel="0" collapsed="false">
      <c r="A31" s="10" t="s">
        <v>150</v>
      </c>
      <c r="B31" s="6" t="s">
        <v>71</v>
      </c>
      <c r="C31" s="6" t="n">
        <v>2</v>
      </c>
      <c r="D31" s="12" t="n">
        <v>7590</v>
      </c>
      <c r="E31" s="12" t="n">
        <f aca="false">D31*BOM!$B$5</f>
        <v>7590</v>
      </c>
      <c r="F31" s="12" t="n">
        <f aca="false">C31*E31</f>
        <v>15180</v>
      </c>
    </row>
    <row r="32" customFormat="false" ht="15" hidden="false" customHeight="false" outlineLevel="0" collapsed="false">
      <c r="A32" s="10" t="s">
        <v>151</v>
      </c>
      <c r="B32" s="6" t="s">
        <v>79</v>
      </c>
      <c r="C32" s="6" t="n">
        <v>3</v>
      </c>
      <c r="D32" s="12" t="n">
        <v>10170</v>
      </c>
      <c r="E32" s="12" t="n">
        <f aca="false">D32*BOM!$B$5</f>
        <v>10170</v>
      </c>
      <c r="F32" s="12" t="n">
        <f aca="false">C32*E32</f>
        <v>30510</v>
      </c>
    </row>
    <row r="33" customFormat="false" ht="15" hidden="false" customHeight="false" outlineLevel="0" collapsed="false">
      <c r="A33" s="10" t="s">
        <v>152</v>
      </c>
      <c r="B33" s="6" t="s">
        <v>84</v>
      </c>
      <c r="C33" s="6" t="n">
        <v>1</v>
      </c>
      <c r="D33" s="12" t="n">
        <v>16670</v>
      </c>
      <c r="E33" s="12" t="n">
        <f aca="false">D33*BOM!$B$5</f>
        <v>16670</v>
      </c>
      <c r="F33" s="12" t="n">
        <f aca="false">C33*E33</f>
        <v>16670</v>
      </c>
    </row>
    <row r="34" customFormat="false" ht="15" hidden="false" customHeight="false" outlineLevel="0" collapsed="false">
      <c r="A34" s="10" t="s">
        <v>153</v>
      </c>
      <c r="B34" s="6" t="s">
        <v>91</v>
      </c>
      <c r="C34" s="6" t="n">
        <v>1</v>
      </c>
      <c r="D34" s="12" t="n">
        <v>23650</v>
      </c>
      <c r="E34" s="12" t="n">
        <f aca="false">D34*BOM!$B$5</f>
        <v>23650</v>
      </c>
      <c r="F34" s="12" t="n">
        <f aca="false">C34*E34</f>
        <v>23650</v>
      </c>
    </row>
    <row r="35" customFormat="false" ht="15" hidden="false" customHeight="false" outlineLevel="0" collapsed="false">
      <c r="A35" s="10" t="s">
        <v>154</v>
      </c>
      <c r="B35" s="6" t="s">
        <v>106</v>
      </c>
      <c r="C35" s="6" t="n">
        <v>1</v>
      </c>
      <c r="D35" s="12" t="n">
        <v>14930</v>
      </c>
      <c r="E35" s="12" t="n">
        <f aca="false">D35*BOM!$B$5</f>
        <v>14930</v>
      </c>
      <c r="F35" s="12" t="n">
        <f aca="false">C35*E35</f>
        <v>14930</v>
      </c>
    </row>
    <row r="36" customFormat="false" ht="15" hidden="false" customHeight="false" outlineLevel="0" collapsed="false">
      <c r="A36" s="10" t="s">
        <v>155</v>
      </c>
      <c r="B36" s="6" t="s">
        <v>21</v>
      </c>
      <c r="C36" s="6" t="n">
        <v>1</v>
      </c>
      <c r="D36" s="12" t="n">
        <v>71190</v>
      </c>
      <c r="E36" s="12" t="n">
        <f aca="false">D36*BOM!$B$5</f>
        <v>71190</v>
      </c>
      <c r="F36" s="12" t="n">
        <f aca="false">C36*E36</f>
        <v>71190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2026-07-02T11:11:02Z</dcterms:created>
  <dc:creator>openpyxl</dc:creator>
  <dc:description/>
  <dc:language>en-US</dc:language>
  <cp:lastModifiedBy/>
  <dcterms:modified xsi:type="dcterms:W3CDTF">2026-07-02T11:11:02Z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