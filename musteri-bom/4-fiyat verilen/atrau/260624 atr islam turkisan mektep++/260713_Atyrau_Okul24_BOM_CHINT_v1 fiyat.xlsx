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624 atr islam turkisan mektep\"/>
    </mc:Choice>
  </mc:AlternateContent>
  <xr:revisionPtr revIDLastSave="0" documentId="13_ncr:1_{73FF5C06-F7B4-4A1B-9853-909863C3369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ayfa1" sheetId="4" r:id="rId1"/>
  </sheets>
  <definedNames>
    <definedName name="_xlnm._FilterDatabase" localSheetId="0">Sayfa1!$A$1:$G$20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" i="4"/>
  <c r="G21" i="4" l="1"/>
</calcChain>
</file>

<file path=xl/sharedStrings.xml><?xml version="1.0" encoding="utf-8"?>
<sst xmlns="http://schemas.openxmlformats.org/spreadsheetml/2006/main" count="64" uniqueCount="28">
  <si>
    <t>Артикул</t>
  </si>
  <si>
    <t>Номенклатура</t>
  </si>
  <si>
    <t>Цена liste (KZT)</t>
  </si>
  <si>
    <t>Сумма (KZT)</t>
  </si>
  <si>
    <t>Кол-во</t>
  </si>
  <si>
    <t>Ед.изм.</t>
  </si>
  <si>
    <t>Завод</t>
  </si>
  <si>
    <t>ЩО-1 (ЩРВ-24)</t>
  </si>
  <si>
    <t>комплект</t>
  </si>
  <si>
    <t>ЩО-2 (ЩРВ-24)</t>
  </si>
  <si>
    <t>ЩО-3 (ЩРВ-24)</t>
  </si>
  <si>
    <t>ЩО-4 (ЩРВ-24)</t>
  </si>
  <si>
    <t>ЩАО-1 (ЩРВ-9)</t>
  </si>
  <si>
    <t>ЩАО-2 (ЩРВ-9)</t>
  </si>
  <si>
    <t>ЩС-1 (ЩРВ-36)</t>
  </si>
  <si>
    <t>ЩС-2 (ЩРВ-48)</t>
  </si>
  <si>
    <t>ЩС-3 (ЩРВ-54)</t>
  </si>
  <si>
    <t>ЩС-4 (ЩРВ-48, büyütüldü)</t>
  </si>
  <si>
    <t>ЩС-5 (ЩСВ) (ЩРВ-36)</t>
  </si>
  <si>
    <t>ЩС-6 (ЩСВ) (ЩРВ-24, büyütüldü)</t>
  </si>
  <si>
    <t>ВРУ1-11-10</t>
  </si>
  <si>
    <t>ВРУ1-47-00 №1 (2x25А+1x40А+2x50А)</t>
  </si>
  <si>
    <t>ВРУ1-47-00 №2 (1x32А+2x40А+2x50А)</t>
  </si>
  <si>
    <t>ЯАВР (АВР, proje: ЯАВР-160А — KONTROL)</t>
  </si>
  <si>
    <t>Ящик управления (Я5411-1874, Iн=1А)</t>
  </si>
  <si>
    <t>Ящик управления (Я5111-2274, Iн=2А)</t>
  </si>
  <si>
    <t>Ящик управления (Я5111-2674, Iн=5А)</t>
  </si>
  <si>
    <t>TEKSAN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</si>
</sst>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204"/>
    </font>
    <font>
      <b/>
      <sz val="14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2CC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/>
    <xf numFmtId="3" fontId="1" fillId="3" borderId="1" xfId="0" applyNumberFormat="1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4" borderId="2" xfId="0" applyNumberFormat="1" applyFont="1" applyFill="1" applyBorder="1"/>
    <xf numFmtId="3" fontId="2" fillId="5" borderId="0" xfId="0" applyNumberFormat="1" applyFont="1" applyFill="1"/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8ECB-79AD-496E-9CD8-F8CF2D068F80}">
  <dimension ref="A1:G21"/>
  <sheetViews>
    <sheetView tabSelected="1" zoomScale="130" zoomScaleNormal="130" workbookViewId="0">
      <selection activeCell="J19" sqref="J19"/>
    </sheetView>
  </sheetViews>
  <sheetFormatPr defaultRowHeight="15" x14ac:dyDescent="0.25"/>
  <cols>
    <col min="2" max="2" width="53.140625" customWidth="1"/>
    <col min="3" max="3" width="9.140625" style="4"/>
    <col min="4" max="4" width="12.28515625" style="4" customWidth="1"/>
    <col min="5" max="5" width="9.140625" style="4"/>
    <col min="6" max="6" width="10.85546875" customWidth="1"/>
    <col min="7" max="7" width="12.7109375" customWidth="1"/>
  </cols>
  <sheetData>
    <row r="1" spans="1:7" ht="30.75" customHeight="1" x14ac:dyDescent="0.25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  <c r="F1" s="3" t="s">
        <v>2</v>
      </c>
      <c r="G1" s="3" t="s">
        <v>3</v>
      </c>
    </row>
    <row r="2" spans="1:7" x14ac:dyDescent="0.25">
      <c r="A2" s="1"/>
      <c r="B2" s="1" t="s">
        <v>7</v>
      </c>
      <c r="C2" s="7">
        <v>1</v>
      </c>
      <c r="D2" s="7" t="s">
        <v>8</v>
      </c>
      <c r="E2" s="7" t="s">
        <v>27</v>
      </c>
      <c r="F2" s="2">
        <v>89000</v>
      </c>
      <c r="G2" s="2">
        <f>F2*C2</f>
        <v>89000</v>
      </c>
    </row>
    <row r="3" spans="1:7" x14ac:dyDescent="0.25">
      <c r="A3" s="1"/>
      <c r="B3" s="1" t="s">
        <v>9</v>
      </c>
      <c r="C3" s="7">
        <v>1</v>
      </c>
      <c r="D3" s="7" t="s">
        <v>8</v>
      </c>
      <c r="E3" s="7" t="s">
        <v>27</v>
      </c>
      <c r="F3" s="2">
        <v>83000</v>
      </c>
      <c r="G3" s="2">
        <f>F3*C3</f>
        <v>83000</v>
      </c>
    </row>
    <row r="4" spans="1:7" x14ac:dyDescent="0.25">
      <c r="A4" s="1"/>
      <c r="B4" s="1" t="s">
        <v>10</v>
      </c>
      <c r="C4" s="7">
        <v>1</v>
      </c>
      <c r="D4" s="7" t="s">
        <v>8</v>
      </c>
      <c r="E4" s="7" t="s">
        <v>27</v>
      </c>
      <c r="F4" s="2">
        <v>89000</v>
      </c>
      <c r="G4" s="2">
        <f>F4*C4</f>
        <v>89000</v>
      </c>
    </row>
    <row r="5" spans="1:7" x14ac:dyDescent="0.25">
      <c r="A5" s="1"/>
      <c r="B5" s="1" t="s">
        <v>11</v>
      </c>
      <c r="C5" s="7">
        <v>1</v>
      </c>
      <c r="D5" s="7" t="s">
        <v>8</v>
      </c>
      <c r="E5" s="7" t="s">
        <v>27</v>
      </c>
      <c r="F5" s="2">
        <v>91000</v>
      </c>
      <c r="G5" s="2">
        <f>F5*C5</f>
        <v>91000</v>
      </c>
    </row>
    <row r="6" spans="1:7" x14ac:dyDescent="0.25">
      <c r="A6" s="1"/>
      <c r="B6" s="1" t="s">
        <v>12</v>
      </c>
      <c r="C6" s="7">
        <v>1</v>
      </c>
      <c r="D6" s="7" t="s">
        <v>8</v>
      </c>
      <c r="E6" s="7" t="s">
        <v>27</v>
      </c>
      <c r="F6" s="2">
        <v>50000</v>
      </c>
      <c r="G6" s="2">
        <f>F6*C6</f>
        <v>50000</v>
      </c>
    </row>
    <row r="7" spans="1:7" x14ac:dyDescent="0.25">
      <c r="A7" s="1"/>
      <c r="B7" s="1" t="s">
        <v>13</v>
      </c>
      <c r="C7" s="7">
        <v>1</v>
      </c>
      <c r="D7" s="7" t="s">
        <v>8</v>
      </c>
      <c r="E7" s="7" t="s">
        <v>27</v>
      </c>
      <c r="F7" s="2">
        <v>47000</v>
      </c>
      <c r="G7" s="2">
        <f>F7*C7</f>
        <v>47000</v>
      </c>
    </row>
    <row r="8" spans="1:7" x14ac:dyDescent="0.25">
      <c r="A8" s="1"/>
      <c r="B8" s="1" t="s">
        <v>14</v>
      </c>
      <c r="C8" s="7">
        <v>1</v>
      </c>
      <c r="D8" s="7" t="s">
        <v>8</v>
      </c>
      <c r="E8" s="7" t="s">
        <v>27</v>
      </c>
      <c r="F8" s="2">
        <v>129000</v>
      </c>
      <c r="G8" s="2">
        <f>F8*C8</f>
        <v>129000</v>
      </c>
    </row>
    <row r="9" spans="1:7" x14ac:dyDescent="0.25">
      <c r="A9" s="1"/>
      <c r="B9" s="1" t="s">
        <v>15</v>
      </c>
      <c r="C9" s="7">
        <v>1</v>
      </c>
      <c r="D9" s="7" t="s">
        <v>8</v>
      </c>
      <c r="E9" s="7" t="s">
        <v>27</v>
      </c>
      <c r="F9" s="2">
        <v>165000</v>
      </c>
      <c r="G9" s="2">
        <f>F9*C9</f>
        <v>165000</v>
      </c>
    </row>
    <row r="10" spans="1:7" x14ac:dyDescent="0.25">
      <c r="A10" s="1"/>
      <c r="B10" s="1" t="s">
        <v>16</v>
      </c>
      <c r="C10" s="7">
        <v>1</v>
      </c>
      <c r="D10" s="7" t="s">
        <v>8</v>
      </c>
      <c r="E10" s="7" t="s">
        <v>27</v>
      </c>
      <c r="F10" s="2">
        <v>186000</v>
      </c>
      <c r="G10" s="2">
        <f>F10*C10</f>
        <v>186000</v>
      </c>
    </row>
    <row r="11" spans="1:7" x14ac:dyDescent="0.25">
      <c r="A11" s="1"/>
      <c r="B11" s="1" t="s">
        <v>17</v>
      </c>
      <c r="C11" s="7">
        <v>1</v>
      </c>
      <c r="D11" s="7" t="s">
        <v>8</v>
      </c>
      <c r="E11" s="7" t="s">
        <v>27</v>
      </c>
      <c r="F11" s="2">
        <v>198000</v>
      </c>
      <c r="G11" s="2">
        <f>F11*C11</f>
        <v>198000</v>
      </c>
    </row>
    <row r="12" spans="1:7" x14ac:dyDescent="0.25">
      <c r="A12" s="1"/>
      <c r="B12" s="1" t="s">
        <v>18</v>
      </c>
      <c r="C12" s="7">
        <v>1</v>
      </c>
      <c r="D12" s="7" t="s">
        <v>8</v>
      </c>
      <c r="E12" s="7" t="s">
        <v>27</v>
      </c>
      <c r="F12" s="2">
        <v>132000</v>
      </c>
      <c r="G12" s="2">
        <f>F12*C12</f>
        <v>132000</v>
      </c>
    </row>
    <row r="13" spans="1:7" x14ac:dyDescent="0.25">
      <c r="A13" s="1"/>
      <c r="B13" s="1" t="s">
        <v>19</v>
      </c>
      <c r="C13" s="7">
        <v>1</v>
      </c>
      <c r="D13" s="7" t="s">
        <v>8</v>
      </c>
      <c r="E13" s="7" t="s">
        <v>27</v>
      </c>
      <c r="F13" s="2">
        <v>103000</v>
      </c>
      <c r="G13" s="2">
        <f>F13*C13</f>
        <v>103000</v>
      </c>
    </row>
    <row r="14" spans="1:7" x14ac:dyDescent="0.25">
      <c r="A14" s="1"/>
      <c r="B14" s="1" t="s">
        <v>20</v>
      </c>
      <c r="C14" s="7">
        <v>1</v>
      </c>
      <c r="D14" s="7" t="s">
        <v>8</v>
      </c>
      <c r="E14" s="7" t="s">
        <v>27</v>
      </c>
      <c r="F14" s="2">
        <v>1181000</v>
      </c>
      <c r="G14" s="2">
        <f>F14*C14</f>
        <v>1181000</v>
      </c>
    </row>
    <row r="15" spans="1:7" x14ac:dyDescent="0.25">
      <c r="A15" s="1"/>
      <c r="B15" s="1" t="s">
        <v>21</v>
      </c>
      <c r="C15" s="7">
        <v>1</v>
      </c>
      <c r="D15" s="7" t="s">
        <v>8</v>
      </c>
      <c r="E15" s="7" t="s">
        <v>27</v>
      </c>
      <c r="F15" s="2">
        <v>475000</v>
      </c>
      <c r="G15" s="2">
        <f>F15*C15</f>
        <v>475000</v>
      </c>
    </row>
    <row r="16" spans="1:7" x14ac:dyDescent="0.25">
      <c r="A16" s="1"/>
      <c r="B16" s="1" t="s">
        <v>22</v>
      </c>
      <c r="C16" s="7">
        <v>1</v>
      </c>
      <c r="D16" s="7" t="s">
        <v>8</v>
      </c>
      <c r="E16" s="7" t="s">
        <v>27</v>
      </c>
      <c r="F16" s="2">
        <v>475000</v>
      </c>
      <c r="G16" s="2">
        <f>F16*C16</f>
        <v>475000</v>
      </c>
    </row>
    <row r="17" spans="1:7" x14ac:dyDescent="0.25">
      <c r="A17" s="1"/>
      <c r="B17" s="1" t="s">
        <v>23</v>
      </c>
      <c r="C17" s="7">
        <v>1</v>
      </c>
      <c r="D17" s="7" t="s">
        <v>8</v>
      </c>
      <c r="E17" s="7" t="s">
        <v>27</v>
      </c>
      <c r="F17" s="2">
        <v>381000</v>
      </c>
      <c r="G17" s="2">
        <f>F17*C17</f>
        <v>381000</v>
      </c>
    </row>
    <row r="18" spans="1:7" x14ac:dyDescent="0.25">
      <c r="A18" s="1"/>
      <c r="B18" s="1" t="s">
        <v>24</v>
      </c>
      <c r="C18" s="7">
        <v>1</v>
      </c>
      <c r="D18" s="7" t="s">
        <v>8</v>
      </c>
      <c r="E18" s="7" t="s">
        <v>27</v>
      </c>
      <c r="F18" s="2">
        <v>67000</v>
      </c>
      <c r="G18" s="2">
        <f>F18*C18</f>
        <v>67000</v>
      </c>
    </row>
    <row r="19" spans="1:7" x14ac:dyDescent="0.25">
      <c r="A19" s="1"/>
      <c r="B19" s="1" t="s">
        <v>25</v>
      </c>
      <c r="C19" s="7">
        <v>1</v>
      </c>
      <c r="D19" s="7" t="s">
        <v>8</v>
      </c>
      <c r="E19" s="7" t="s">
        <v>27</v>
      </c>
      <c r="F19" s="2">
        <v>67000</v>
      </c>
      <c r="G19" s="2">
        <f>F19*C19</f>
        <v>67000</v>
      </c>
    </row>
    <row r="20" spans="1:7" x14ac:dyDescent="0.25">
      <c r="A20" s="1"/>
      <c r="B20" s="1" t="s">
        <v>26</v>
      </c>
      <c r="C20" s="7">
        <v>3</v>
      </c>
      <c r="D20" s="7" t="s">
        <v>8</v>
      </c>
      <c r="E20" s="7" t="s">
        <v>27</v>
      </c>
      <c r="F20" s="2">
        <v>67000</v>
      </c>
      <c r="G20" s="2">
        <f>F20*C20</f>
        <v>201000</v>
      </c>
    </row>
    <row r="21" spans="1:7" ht="18.75" x14ac:dyDescent="0.3">
      <c r="F21" s="5"/>
      <c r="G21" s="6">
        <f>SUM(G2:G20)</f>
        <v>4209000</v>
      </c>
    </row>
  </sheetData>
  <autoFilter ref="A1:G20" xr:uid="{4AA18ECB-79AD-496E-9CD8-F8CF2D068F8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2026-07-13T08:12:29Z</dcterms:created>
  <dcterms:modified xsi:type="dcterms:W3CDTF">2026-07-13T12:51:21Z</dcterms:modified>
  <dc:language>en-US</dc:language>
</cp:coreProperties>
</file>