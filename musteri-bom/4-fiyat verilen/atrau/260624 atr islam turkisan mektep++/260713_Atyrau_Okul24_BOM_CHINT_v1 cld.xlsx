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24 atr islam turkisan mektep\"/>
    </mc:Choice>
  </mc:AlternateContent>
  <xr:revisionPtr revIDLastSave="0" documentId="13_ncr:1_{A0A846FF-EE68-42AD-AAC9-22F631D8511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Sayfa1" sheetId="4" r:id="rId2"/>
    <sheet name="СВОД" sheetId="2" r:id="rId3"/>
    <sheet name="Kurallar" sheetId="3" r:id="rId4"/>
  </sheets>
  <definedNames>
    <definedName name="_xlnm._FilterDatabase" localSheetId="0" hidden="1">BOM!$A$1:$K$225</definedName>
    <definedName name="_xlnm._FilterDatabase" localSheetId="1" hidden="1">Sayfa1!$A$1:$H$20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4" l="1"/>
  <c r="K21" i="4"/>
  <c r="L21" i="4"/>
  <c r="C21" i="4" s="1"/>
  <c r="D21" i="4" s="1"/>
  <c r="E2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" i="4"/>
  <c r="G217" i="1"/>
  <c r="G207" i="1"/>
  <c r="G197" i="1"/>
  <c r="G191" i="1"/>
  <c r="G179" i="1"/>
  <c r="G167" i="1"/>
  <c r="G154" i="1"/>
  <c r="G142" i="1"/>
  <c r="G128" i="1"/>
  <c r="G109" i="1"/>
  <c r="G96" i="1"/>
  <c r="G84" i="1"/>
  <c r="G73" i="1"/>
  <c r="G62" i="1"/>
  <c r="G51" i="1"/>
  <c r="G39" i="1"/>
  <c r="G27" i="1"/>
  <c r="G15" i="1"/>
  <c r="G3" i="1"/>
  <c r="G192" i="1"/>
  <c r="H192" i="1" l="1"/>
  <c r="G222" i="1"/>
  <c r="H222" i="1" s="1"/>
  <c r="G221" i="1"/>
  <c r="H221" i="1" s="1"/>
  <c r="G220" i="1"/>
  <c r="H220" i="1" s="1"/>
  <c r="G219" i="1"/>
  <c r="H219" i="1" s="1"/>
  <c r="G218" i="1"/>
  <c r="H218" i="1" s="1"/>
  <c r="H217" i="1"/>
  <c r="B216" i="1"/>
  <c r="B217" i="1" s="1"/>
  <c r="B218" i="1" s="1"/>
  <c r="B219" i="1" s="1"/>
  <c r="B220" i="1" s="1"/>
  <c r="B221" i="1" s="1"/>
  <c r="B222" i="1" s="1"/>
  <c r="B223" i="1" s="1"/>
  <c r="B224" i="1" s="1"/>
  <c r="G212" i="1"/>
  <c r="H212" i="1" s="1"/>
  <c r="G211" i="1"/>
  <c r="H211" i="1" s="1"/>
  <c r="G210" i="1"/>
  <c r="H210" i="1" s="1"/>
  <c r="G209" i="1"/>
  <c r="H209" i="1" s="1"/>
  <c r="G208" i="1"/>
  <c r="H208" i="1" s="1"/>
  <c r="H207" i="1"/>
  <c r="B206" i="1"/>
  <c r="B207" i="1" s="1"/>
  <c r="B208" i="1" s="1"/>
  <c r="B209" i="1" s="1"/>
  <c r="B210" i="1" s="1"/>
  <c r="B211" i="1" s="1"/>
  <c r="B212" i="1" s="1"/>
  <c r="B213" i="1" s="1"/>
  <c r="B214" i="1" s="1"/>
  <c r="G202" i="1"/>
  <c r="H202" i="1" s="1"/>
  <c r="G201" i="1"/>
  <c r="H201" i="1" s="1"/>
  <c r="G200" i="1"/>
  <c r="H200" i="1" s="1"/>
  <c r="G199" i="1"/>
  <c r="H199" i="1" s="1"/>
  <c r="G198" i="1"/>
  <c r="H198" i="1" s="1"/>
  <c r="H197" i="1"/>
  <c r="B196" i="1"/>
  <c r="B197" i="1" s="1"/>
  <c r="B198" i="1" s="1"/>
  <c r="B199" i="1" s="1"/>
  <c r="B200" i="1" s="1"/>
  <c r="B201" i="1" s="1"/>
  <c r="B202" i="1" s="1"/>
  <c r="B203" i="1" s="1"/>
  <c r="B204" i="1" s="1"/>
  <c r="H191" i="1"/>
  <c r="B190" i="1"/>
  <c r="B191" i="1" s="1"/>
  <c r="B193" i="1" s="1"/>
  <c r="B194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H179" i="1"/>
  <c r="B178" i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H167" i="1"/>
  <c r="B166" i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H154" i="1"/>
  <c r="B153" i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H142" i="1"/>
  <c r="B141" i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H128" i="1"/>
  <c r="B127" i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H109" i="1"/>
  <c r="B108" i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H96" i="1"/>
  <c r="B95" i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H84" i="1"/>
  <c r="B83" i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H73" i="1"/>
  <c r="B72" i="1"/>
  <c r="B73" i="1" s="1"/>
  <c r="B74" i="1" s="1"/>
  <c r="B75" i="1" s="1"/>
  <c r="B76" i="1" s="1"/>
  <c r="B77" i="1" s="1"/>
  <c r="B78" i="1" s="1"/>
  <c r="B79" i="1" s="1"/>
  <c r="B80" i="1" s="1"/>
  <c r="B81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H62" i="1"/>
  <c r="B61" i="1"/>
  <c r="B62" i="1" s="1"/>
  <c r="B63" i="1" s="1"/>
  <c r="B64" i="1" s="1"/>
  <c r="B65" i="1" s="1"/>
  <c r="B66" i="1" s="1"/>
  <c r="B67" i="1" s="1"/>
  <c r="B68" i="1" s="1"/>
  <c r="B69" i="1" s="1"/>
  <c r="B70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H51" i="1"/>
  <c r="B50" i="1"/>
  <c r="B51" i="1" s="1"/>
  <c r="B52" i="1" s="1"/>
  <c r="B53" i="1" s="1"/>
  <c r="B54" i="1" s="1"/>
  <c r="B55" i="1" s="1"/>
  <c r="B56" i="1" s="1"/>
  <c r="B57" i="1" s="1"/>
  <c r="B58" i="1" s="1"/>
  <c r="B59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H39" i="1"/>
  <c r="B38" i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H27" i="1"/>
  <c r="B26" i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H15" i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H3" i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G12" i="1" l="1"/>
  <c r="H12" i="1" s="1"/>
  <c r="G81" i="1"/>
  <c r="H81" i="1" s="1"/>
  <c r="G59" i="1"/>
  <c r="G151" i="1"/>
  <c r="H151" i="1" s="1"/>
  <c r="G93" i="1"/>
  <c r="H93" i="1" s="1"/>
  <c r="G139" i="1"/>
  <c r="H139" i="1" s="1"/>
  <c r="G188" i="1"/>
  <c r="H188" i="1" s="1"/>
  <c r="G176" i="1"/>
  <c r="H176" i="1" s="1"/>
  <c r="G36" i="1"/>
  <c r="H36" i="1" s="1"/>
  <c r="H37" i="1" s="1"/>
  <c r="D4" i="2" s="1"/>
  <c r="E4" i="2" s="1"/>
  <c r="G125" i="1"/>
  <c r="H125" i="1" s="1"/>
  <c r="G164" i="1"/>
  <c r="H164" i="1" s="1"/>
  <c r="G70" i="1"/>
  <c r="H70" i="1" s="1"/>
  <c r="G24" i="1"/>
  <c r="H24" i="1" s="1"/>
  <c r="G106" i="1"/>
  <c r="H106" i="1" s="1"/>
  <c r="B192" i="1"/>
  <c r="G150" i="1"/>
  <c r="H150" i="1" s="1"/>
  <c r="G138" i="1"/>
  <c r="H138" i="1" s="1"/>
  <c r="H140" i="1" s="1"/>
  <c r="D12" i="2" s="1"/>
  <c r="E12" i="2" s="1"/>
  <c r="G11" i="1"/>
  <c r="H11" i="1" s="1"/>
  <c r="H59" i="1"/>
  <c r="G58" i="1"/>
  <c r="H58" i="1" s="1"/>
  <c r="H60" i="1" s="1"/>
  <c r="D6" i="2" s="1"/>
  <c r="E6" i="2" s="1"/>
  <c r="G204" i="1"/>
  <c r="H204" i="1" s="1"/>
  <c r="G203" i="1"/>
  <c r="H203" i="1" s="1"/>
  <c r="G47" i="1"/>
  <c r="H47" i="1" s="1"/>
  <c r="G48" i="1"/>
  <c r="H48" i="1" s="1"/>
  <c r="G175" i="1"/>
  <c r="H175" i="1" s="1"/>
  <c r="G194" i="1"/>
  <c r="H194" i="1" s="1"/>
  <c r="G193" i="1"/>
  <c r="H193" i="1" s="1"/>
  <c r="G80" i="1"/>
  <c r="H80" i="1" s="1"/>
  <c r="G35" i="1"/>
  <c r="H35" i="1" s="1"/>
  <c r="G23" i="1"/>
  <c r="H23" i="1" s="1"/>
  <c r="G105" i="1"/>
  <c r="H105" i="1" s="1"/>
  <c r="G92" i="1"/>
  <c r="H92" i="1" s="1"/>
  <c r="H94" i="1" s="1"/>
  <c r="D9" i="2" s="1"/>
  <c r="E9" i="2" s="1"/>
  <c r="G187" i="1"/>
  <c r="H187" i="1" s="1"/>
  <c r="H189" i="1" s="1"/>
  <c r="D16" i="2" s="1"/>
  <c r="E16" i="2" s="1"/>
  <c r="G224" i="1"/>
  <c r="H224" i="1" s="1"/>
  <c r="G223" i="1"/>
  <c r="H223" i="1" s="1"/>
  <c r="G124" i="1"/>
  <c r="H124" i="1" s="1"/>
  <c r="G163" i="1"/>
  <c r="H163" i="1" s="1"/>
  <c r="G69" i="1"/>
  <c r="H69" i="1" s="1"/>
  <c r="G214" i="1"/>
  <c r="H214" i="1" s="1"/>
  <c r="G213" i="1"/>
  <c r="H213" i="1" s="1"/>
  <c r="H215" i="1" s="1"/>
  <c r="D19" i="2" s="1"/>
  <c r="E19" i="2" s="1"/>
  <c r="H13" i="1" l="1"/>
  <c r="D2" i="2" s="1"/>
  <c r="E2" i="2" s="1"/>
  <c r="H165" i="1"/>
  <c r="D14" i="2" s="1"/>
  <c r="E14" i="2" s="1"/>
  <c r="H49" i="1"/>
  <c r="D5" i="2" s="1"/>
  <c r="E5" i="2" s="1"/>
  <c r="H177" i="1"/>
  <c r="D15" i="2" s="1"/>
  <c r="E15" i="2" s="1"/>
  <c r="H107" i="1"/>
  <c r="D10" i="2" s="1"/>
  <c r="E10" i="2" s="1"/>
  <c r="H152" i="1"/>
  <c r="D13" i="2" s="1"/>
  <c r="E13" i="2" s="1"/>
  <c r="H195" i="1"/>
  <c r="D17" i="2" s="1"/>
  <c r="E17" i="2" s="1"/>
  <c r="H205" i="1"/>
  <c r="D18" i="2" s="1"/>
  <c r="E18" i="2" s="1"/>
  <c r="H82" i="1"/>
  <c r="D8" i="2" s="1"/>
  <c r="E8" i="2" s="1"/>
  <c r="H71" i="1"/>
  <c r="D7" i="2" s="1"/>
  <c r="E7" i="2" s="1"/>
  <c r="H25" i="1"/>
  <c r="D3" i="2" s="1"/>
  <c r="E3" i="2" s="1"/>
  <c r="H126" i="1"/>
  <c r="D11" i="2" s="1"/>
  <c r="E11" i="2" s="1"/>
  <c r="H225" i="1"/>
  <c r="D20" i="2" s="1"/>
  <c r="E20" i="2" s="1"/>
  <c r="H226" i="1" l="1"/>
  <c r="E21" i="2"/>
</calcChain>
</file>

<file path=xl/sharedStrings.xml><?xml version="1.0" encoding="utf-8"?>
<sst xmlns="http://schemas.openxmlformats.org/spreadsheetml/2006/main" count="1202" uniqueCount="223">
  <si>
    <t>ROW</t>
  </si>
  <si>
    <t>Наименование1</t>
  </si>
  <si>
    <t>Tip</t>
  </si>
  <si>
    <t>Артикул</t>
  </si>
  <si>
    <t>Номенклатура</t>
  </si>
  <si>
    <t>Цена liste (KZT)</t>
  </si>
  <si>
    <t>Цена net (KZT)</t>
  </si>
  <si>
    <t>Сумма (KZT)</t>
  </si>
  <si>
    <t>Кол-во</t>
  </si>
  <si>
    <t>Ед.изм.</t>
  </si>
  <si>
    <t>Завод</t>
  </si>
  <si>
    <t>Kaynak (dosya/satır)</t>
  </si>
  <si>
    <t>ЩО-1 (ЩРВ-24)</t>
  </si>
  <si>
    <t>комплект</t>
  </si>
  <si>
    <t>korpus</t>
  </si>
  <si>
    <t>шт.</t>
  </si>
  <si>
    <t>EKT</t>
  </si>
  <si>
    <t>EKT (19.06.2025) / panolar s.9</t>
  </si>
  <si>
    <t>OTO</t>
  </si>
  <si>
    <t>814172</t>
  </si>
  <si>
    <t>Авт. выкл. NXB-63 3P 25A 6кА х-ка C</t>
  </si>
  <si>
    <t>CHINT</t>
  </si>
  <si>
    <t>CHINT (13.06.2026) / satır 326</t>
  </si>
  <si>
    <t>814014</t>
  </si>
  <si>
    <t>Авт. выкл. NXB-63 1P 16A 6кА х-ка C</t>
  </si>
  <si>
    <t>CHINT (13.06.2026) / satır 277</t>
  </si>
  <si>
    <t>DİF</t>
  </si>
  <si>
    <t>CHINT (13.06.2026) / satır 754</t>
  </si>
  <si>
    <t>LOOBAR</t>
  </si>
  <si>
    <t>130200355_</t>
  </si>
  <si>
    <t>Шина N (PEN) 6х9мм 14/1 на изоляторах</t>
  </si>
  <si>
    <t>EKT (19.06.2025) / bara s.5</t>
  </si>
  <si>
    <t>130200401_</t>
  </si>
  <si>
    <t>Шина PE ШНИ 6х9 12-К-З на DIN-рейку</t>
  </si>
  <si>
    <t>EKT (19.06.2025) / bara s.21</t>
  </si>
  <si>
    <t>DIN ray</t>
  </si>
  <si>
    <t>570003</t>
  </si>
  <si>
    <t>DIN-рейка оцинкованная TH35-7.5 100cm</t>
  </si>
  <si>
    <t>CHINT (13.06.2026) / satır 26</t>
  </si>
  <si>
    <t>kanal</t>
  </si>
  <si>
    <t>270300079_</t>
  </si>
  <si>
    <t>Кабель-канал перф. 25х40 ИМПАКТ IEK (2м)</t>
  </si>
  <si>
    <t>EKT (19.06.2025) / kablo kanali s.6</t>
  </si>
  <si>
    <t>montajный материал</t>
  </si>
  <si>
    <t>Montaj malzemesi (materyal toplamı × Kurallar!B5)</t>
  </si>
  <si>
    <t>montajная работа</t>
  </si>
  <si>
    <t>Montaj işçiliği (materyal toplamı × Kurallar!B6)</t>
  </si>
  <si>
    <t>Toplam ЩО-1 (ЩРВ-24) (1 компл.)</t>
  </si>
  <si>
    <t>ЩО-2 (ЩРВ-24)</t>
  </si>
  <si>
    <t>Toplam ЩО-2 (ЩРВ-24) (1 компл.)</t>
  </si>
  <si>
    <t>ЩО-3 (ЩРВ-24)</t>
  </si>
  <si>
    <t>Toplam ЩО-3 (ЩРВ-24) (1 компл.)</t>
  </si>
  <si>
    <t>ЩО-4 (ЩРВ-24)</t>
  </si>
  <si>
    <t>Toplam ЩО-4 (ЩРВ-24) (1 компл.)</t>
  </si>
  <si>
    <t>ЩАО-1 (ЩРВ-9)</t>
  </si>
  <si>
    <t>EKT (19.06.2025) / panolar s.5</t>
  </si>
  <si>
    <t>Toplam ЩАО-1 (ЩРВ-9) (1 компл.)</t>
  </si>
  <si>
    <t>ЩАО-2 (ЩРВ-9)</t>
  </si>
  <si>
    <t>Toplam ЩАО-2 (ЩРВ-9) (1 компл.)</t>
  </si>
  <si>
    <t>ЩС-1 (ЩРВ-36)</t>
  </si>
  <si>
    <t>EKT (19.06.2025) / panolar s.10</t>
  </si>
  <si>
    <t>Toplam ЩС-1 (ЩРВ-36) (1 компл.)</t>
  </si>
  <si>
    <t>ЩС-2 (ЩРВ-48)</t>
  </si>
  <si>
    <t>EKT (19.06.2025) / panolar s.12</t>
  </si>
  <si>
    <t>CHINT (13.06.2026) / satır 755</t>
  </si>
  <si>
    <t>Toplam ЩС-2 (ЩРВ-48) (1 компл.)</t>
  </si>
  <si>
    <t>ЩС-3 (ЩРВ-54)</t>
  </si>
  <si>
    <t>EKT (19.06.2025) / panolar s.13</t>
  </si>
  <si>
    <t>814170</t>
  </si>
  <si>
    <t>Авт. выкл. NXB-63 3P 16A 6кА х-ка C</t>
  </si>
  <si>
    <t>CHINT (13.06.2026) / satır 321</t>
  </si>
  <si>
    <t>Toplam ЩС-3 (ЩРВ-54) (1 компл.)</t>
  </si>
  <si>
    <t>ЩС-4 (ЩРВ-48, büyütüldü)</t>
  </si>
  <si>
    <t>814016</t>
  </si>
  <si>
    <t>Авт. выкл. NXB-63 1P 25A 6кА х-ка C</t>
  </si>
  <si>
    <t>CHINT (13.06.2026) / satır 283</t>
  </si>
  <si>
    <t>kontaktör</t>
  </si>
  <si>
    <t>836704</t>
  </si>
  <si>
    <t>Контактор NXC-09 9A 220В/АС3 1НО+1НЗ</t>
  </si>
  <si>
    <t>CHINT (13.06.2026) / satır 991</t>
  </si>
  <si>
    <t>Röle</t>
  </si>
  <si>
    <t>837112</t>
  </si>
  <si>
    <t>Тепловое реле NXR-25 1.6-2.5A</t>
  </si>
  <si>
    <t>CHINT (13.06.2026) / satır 1502</t>
  </si>
  <si>
    <t>837113</t>
  </si>
  <si>
    <t>Тепловое реле NXR-25 2.5-4A</t>
  </si>
  <si>
    <t>CHINT (13.06.2026) / satır 1505</t>
  </si>
  <si>
    <t>837114</t>
  </si>
  <si>
    <t>Тепловое реле NXR-25 4-6A</t>
  </si>
  <si>
    <t>CHINT (13.06.2026) / satır 1506</t>
  </si>
  <si>
    <t>837116</t>
  </si>
  <si>
    <t>Тепловое реле NXR-25 7-10A</t>
  </si>
  <si>
    <t>CHINT (13.06.2026) / satır 1508</t>
  </si>
  <si>
    <t>Toplam ЩС-4 (ЩРВ-48, büyütüldü) (1 компл.)</t>
  </si>
  <si>
    <t>ЩС-5 (ЩСВ) (ЩРВ-36)</t>
  </si>
  <si>
    <t>CHINT (13.06.2026) / satır 992</t>
  </si>
  <si>
    <t>Toplam ЩС-5 (ЩСВ) (ЩРВ-36) (1 компл.)</t>
  </si>
  <si>
    <t>ЩС-6 (ЩСВ) (ЩРВ-24, büyütüldü)</t>
  </si>
  <si>
    <t>CHINT (13.06.2026) / satır 1027</t>
  </si>
  <si>
    <t>Toplam ЩС-6 (ЩСВ) (ЩРВ-24, büyütüldü) (1 компл.)</t>
  </si>
  <si>
    <t>ВРУ1-11-10</t>
  </si>
  <si>
    <t>EKT (19.06.2025) / panolar s.311</t>
  </si>
  <si>
    <t>rubilnik</t>
  </si>
  <si>
    <t>270100160_</t>
  </si>
  <si>
    <t>Рубильник ВР-32-35 В71250-250А на 2 направления (1-0-2)</t>
  </si>
  <si>
    <t>EKT (19.06.2025) / rubilnik s.9</t>
  </si>
  <si>
    <t>fu</t>
  </si>
  <si>
    <t>270200150_</t>
  </si>
  <si>
    <t>Основание контактное ППН-35 UNIT (габарит 1)</t>
  </si>
  <si>
    <t>EKT (19.06.2025) / buson s.24</t>
  </si>
  <si>
    <t>270200161_</t>
  </si>
  <si>
    <t>Плавкая вставка ППН-35 (100А), габарит 1</t>
  </si>
  <si>
    <t>EKT (19.06.2025) / buson s.14</t>
  </si>
  <si>
    <t>sayac</t>
  </si>
  <si>
    <t>Saiman</t>
  </si>
  <si>
    <t>Saiman 2026 / satır 15</t>
  </si>
  <si>
    <t>tt</t>
  </si>
  <si>
    <t>TZ</t>
  </si>
  <si>
    <t>Трансформатор тока ТОП-0,66 У3 кл.0,5 100/5А</t>
  </si>
  <si>
    <t>Saiman 2026 / satır 56</t>
  </si>
  <si>
    <t>130200359_</t>
  </si>
  <si>
    <t>Шина N (PEN) 8х12мм 14/1</t>
  </si>
  <si>
    <t>EKT (19.06.2025) / bara s.7</t>
  </si>
  <si>
    <t>130200403_</t>
  </si>
  <si>
    <t>Шина PE ШНИ-8х12-8-КС-Ж</t>
  </si>
  <si>
    <t>EKT (19.06.2025) / bara s.22</t>
  </si>
  <si>
    <t>Toplam ВРУ1-11-10 (1 компл.)</t>
  </si>
  <si>
    <t>ВРУ1-47-00 №1 (2x25А+1x40А+2x50А)</t>
  </si>
  <si>
    <t>EKT (19.06.2025) / panolar s.313</t>
  </si>
  <si>
    <t>270200149_</t>
  </si>
  <si>
    <t>Основание контактное ППН-33 UNIT (габарит 0)</t>
  </si>
  <si>
    <t>EKT (19.06.2025) / buson s.23</t>
  </si>
  <si>
    <t>270200156_</t>
  </si>
  <si>
    <t>Плавкая вставка ППН-33 (50А)</t>
  </si>
  <si>
    <t>EKT (19.06.2025) / buson s.9</t>
  </si>
  <si>
    <t>270200155_</t>
  </si>
  <si>
    <t>Плавкая вставка ППН-33 (40А)</t>
  </si>
  <si>
    <t>EKT (19.06.2025) / buson s.8</t>
  </si>
  <si>
    <t>270200153_</t>
  </si>
  <si>
    <t>Плавкая вставка ППН-33 (25А)</t>
  </si>
  <si>
    <t>EKT (19.06.2025) / buson s.6</t>
  </si>
  <si>
    <t>Toplam ВРУ1-47-00 №1 (2x25А+1x40А+2x50А) (1 компл.)</t>
  </si>
  <si>
    <t>ВРУ1-47-00 №2 (1x32А+2x40А+2x50А)</t>
  </si>
  <si>
    <t>270200154_</t>
  </si>
  <si>
    <t>Плавкая вставка ППН-33 (32А)</t>
  </si>
  <si>
    <t>EKT (19.06.2025) / buson s.7</t>
  </si>
  <si>
    <t>Toplam ВРУ1-47-00 №2 (1x32А+2x40А+2x50А) (1 компл.)</t>
  </si>
  <si>
    <t>ЯАВР (АВР, proje: ЯАВР-160А — KONTROL)</t>
  </si>
  <si>
    <t>EKT (19.06.2025) / panolar s.327</t>
  </si>
  <si>
    <t>Toplam ЯАВР (АВР, proje: ЯАВР-160А — KONTROL) (1 компл.)</t>
  </si>
  <si>
    <t>Ящик управления (Я5411-1874, Iн=1А)</t>
  </si>
  <si>
    <t>EKT (19.06.2025) / panolar s.72</t>
  </si>
  <si>
    <t>837109</t>
  </si>
  <si>
    <t>Тепловое реле NXR-25 0.63-1A</t>
  </si>
  <si>
    <t>CHINT (13.06.2026) / satır 1499</t>
  </si>
  <si>
    <t>blok</t>
  </si>
  <si>
    <t>667178</t>
  </si>
  <si>
    <t>Двойная кнопка NP8-11S 1НО+1НЗ IP65 (пуск/стоп)</t>
  </si>
  <si>
    <t>CHINT (13.06.2026) / satır 700</t>
  </si>
  <si>
    <t>Sinyal Lambası</t>
  </si>
  <si>
    <t>593077</t>
  </si>
  <si>
    <t>Индикатор ND16-22D/2 зеленый AC/DC230В</t>
  </si>
  <si>
    <t>CHINT (13.06.2026) / satır 873</t>
  </si>
  <si>
    <t>Toplam Ящик управления (Я5411-1874, Iн=1А) (1 компл.)</t>
  </si>
  <si>
    <t>Ящик управления (Я5111-2274, Iн=2А)</t>
  </si>
  <si>
    <t>Toplam Ящик управления (Я5111-2274, Iн=2А) (1 компл.)</t>
  </si>
  <si>
    <t>Ящик управления (Я5111-2674, Iн=5А)</t>
  </si>
  <si>
    <t>Toplam Ящик управления (Я5111-2674, Iн=5А) (1 компл.)</t>
  </si>
  <si>
    <t>GENEL TOPLAM (СВОД sayfasında komplekt adediyle çarpılmış)</t>
  </si>
  <si>
    <t>№</t>
  </si>
  <si>
    <t>Наименование щита</t>
  </si>
  <si>
    <t>Кол-во, компл.</t>
  </si>
  <si>
    <t>Цена за компл. (KZT)</t>
  </si>
  <si>
    <t>GENEL TOPLAM</t>
  </si>
  <si>
    <t>KURALLAR — sarı hücreler düzenlenebilir</t>
  </si>
  <si>
    <t>CHINT katsayı (net = liste × katsayı)</t>
  </si>
  <si>
    <t>EKT katsayı</t>
  </si>
  <si>
    <t>Saiman katsayı</t>
  </si>
  <si>
    <t>Montaj malzemesi %</t>
  </si>
  <si>
    <t>Montaj işçilik %</t>
  </si>
  <si>
    <t>FİYAT KAYNAKLARI ve TAZELİK (BOM tarihi: 13.07.2026):</t>
  </si>
  <si>
    <t>CHINT — 260613 chint Остатки...xlsx, 13.06.2026 (güncel). Net = liste × B2.</t>
  </si>
  <si>
    <t>EKT — 19062025 EKT PRICE.xlsx, 17.06.2025 (~13 ay, UYARI bandı 12-18 ay). Net = liste × B3.</t>
  </si>
  <si>
    <t>Saiman — САЙМАН 2026 прайс, 2026 (güncel, onaylı tarife). Net = liste × B4.</t>
  </si>
  <si>
    <t>Kaynak sütununda dosya/sayfa/satır no verilmiştir; fiyat güncellemesinde aynı satıra bakınız.</t>
  </si>
  <si>
    <t>NOTLAR:</t>
  </si>
  <si>
    <t>ЩС-4: modül hesabı 34 mod + %20 &gt; 36 → korpus ЩРВ-48'e büyütüldü (projede ЩРВ-36).</t>
  </si>
  <si>
    <t>ЩС-6: 18 mod + %20 &gt; 18 → korpus ЩРВ-24'e büyütüldü (projede ЩРВ-18).</t>
  </si>
  <si>
    <t>ВРУ1-11-10: rubilnik 200А yerine ВР-32-35 250А (200А 2-yönlü EKT/CHINT'te yok).</t>
  </si>
  <si>
    <t>АВР: proje ЯАВР-160А; giriş akımı 58,44А → АВР 100А DEK önerildi (KONTROL).</t>
  </si>
  <si>
    <t>Sayaç СА4У-Э412 5А → Saiman Дала СА4У-Э720 5-7,5А (trafo bağlantılı) muadili.</t>
  </si>
  <si>
    <t>Ящик upravleniya Я5411/Я5111 → ЩМП-1-1 + NXC-09 + NXR-25 + buton/lamba olarak komple edildi (TECHNICAL).</t>
  </si>
  <si>
    <t>515381</t>
  </si>
  <si>
    <t>Диф. авт. выкл. NXBLE-63YH 1P+N C16 30mA тип A, 6kA (R)</t>
  </si>
  <si>
    <t>515388</t>
  </si>
  <si>
    <t>Диф. авт. выкл. NXBLE-63YH 1P+N C20 30mA тип A, 6kA (R)</t>
  </si>
  <si>
    <t>256054</t>
  </si>
  <si>
    <t>Контактор модульный NCH8-20/20 20A 2НО AC220/230В 50Гц (R)</t>
  </si>
  <si>
    <t>256085</t>
  </si>
  <si>
    <t>Контактор модульный NCH8-20/40 20A 4НО AC220/230В 50Гц (R)</t>
  </si>
  <si>
    <t>pys</t>
  </si>
  <si>
    <t>IA</t>
  </si>
  <si>
    <t>ДАЛА СА4У-Э720 R TX OP П RS1 Д W  (3x220/380V 5-7,5A)</t>
  </si>
  <si>
    <t>ats</t>
  </si>
  <si>
    <t>256790</t>
  </si>
  <si>
    <t>Устройство автоматического ввода резерва NXZM-160S/3B 160A (R)</t>
  </si>
  <si>
    <t>719-15440</t>
  </si>
  <si>
    <t>Мет.Корпус ЩМП-4 (800x650x250) IP31</t>
  </si>
  <si>
    <t>719-15043</t>
  </si>
  <si>
    <t>Мет. Щит ВРУ 1700х800х450+10CM База</t>
  </si>
  <si>
    <t>719-15410</t>
  </si>
  <si>
    <t>Мет.Корпус ЩМП-1 (395х310х150) УХЛ3 IP54</t>
  </si>
  <si>
    <t>713-15010</t>
  </si>
  <si>
    <t>Pano met.ShRv-24b/o(320х405х120)S/A36IP31(TS)</t>
  </si>
  <si>
    <t>713-15030</t>
  </si>
  <si>
    <t>Мет. ЩРВ-36 (550x320x120)</t>
  </si>
  <si>
    <t>713-15059</t>
  </si>
  <si>
    <t>Щит ЩРв-48-3 620x310x120мм</t>
  </si>
  <si>
    <t>713-15060</t>
  </si>
  <si>
    <t>Щит ЩРв-54-3 540x440x120мм</t>
  </si>
  <si>
    <t>713-15037</t>
  </si>
  <si>
    <t>Мет.Щит ЩРВ-9 (275x320x120) (TS)</t>
  </si>
  <si>
    <t>teksan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</si>
</sst>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3" fontId="2" fillId="3" borderId="1" xfId="0" applyNumberFormat="1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0" fontId="0" fillId="0" borderId="1" xfId="0" applyBorder="1"/>
    <xf numFmtId="0" fontId="2" fillId="0" borderId="1" xfId="0" applyFont="1" applyBorder="1"/>
    <xf numFmtId="3" fontId="0" fillId="0" borderId="1" xfId="0" applyNumberFormat="1" applyBorder="1"/>
    <xf numFmtId="3" fontId="2" fillId="0" borderId="1" xfId="0" applyNumberFormat="1" applyFont="1" applyBorder="1"/>
    <xf numFmtId="0" fontId="2" fillId="0" borderId="0" xfId="0" applyFont="1"/>
    <xf numFmtId="0" fontId="3" fillId="0" borderId="0" xfId="0" applyFont="1"/>
    <xf numFmtId="2" fontId="3" fillId="4" borderId="1" xfId="0" applyNumberFormat="1" applyFont="1" applyFill="1" applyBorder="1"/>
    <xf numFmtId="164" fontId="3" fillId="4" borderId="1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/>
    <xf numFmtId="3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B148" zoomScaleNormal="100" workbookViewId="0">
      <selection activeCell="D1" sqref="D1:N225"/>
    </sheetView>
  </sheetViews>
  <sheetFormatPr defaultColWidth="8.7109375" defaultRowHeight="15" x14ac:dyDescent="0.25"/>
  <cols>
    <col min="1" max="1" width="5" customWidth="1"/>
    <col min="2" max="2" width="30" customWidth="1"/>
    <col min="3" max="3" width="16" customWidth="1"/>
    <col min="4" max="4" width="14" customWidth="1"/>
    <col min="5" max="5" width="62" customWidth="1"/>
    <col min="6" max="8" width="14" customWidth="1"/>
    <col min="9" max="9" width="8" style="16" customWidth="1"/>
    <col min="10" max="10" width="10" style="16" customWidth="1"/>
    <col min="11" max="11" width="9" style="16" customWidth="1"/>
    <col min="12" max="12" width="3" customWidth="1"/>
    <col min="13" max="13" width="34" customWidth="1"/>
    <col min="14" max="14" width="13.140625" customWidth="1"/>
  </cols>
  <sheetData>
    <row r="1" spans="1:14" s="16" customFormat="1" ht="47.2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/>
      <c r="M1" s="15" t="s">
        <v>11</v>
      </c>
      <c r="N1" s="16" t="s">
        <v>7</v>
      </c>
    </row>
    <row r="2" spans="1:14" x14ac:dyDescent="0.25">
      <c r="A2" s="2">
        <v>1</v>
      </c>
      <c r="B2" s="3" t="str">
        <f>E2</f>
        <v>ЩО-1 (ЩРВ-24)</v>
      </c>
      <c r="C2" s="2"/>
      <c r="D2" s="2"/>
      <c r="E2" s="2" t="s">
        <v>12</v>
      </c>
      <c r="F2" s="4"/>
      <c r="G2" s="4"/>
      <c r="H2" s="4"/>
      <c r="I2" s="2">
        <v>1</v>
      </c>
      <c r="J2" s="2" t="s">
        <v>13</v>
      </c>
      <c r="K2" s="2"/>
      <c r="L2" s="2"/>
      <c r="M2" s="2"/>
    </row>
    <row r="3" spans="1:14" x14ac:dyDescent="0.25">
      <c r="A3" s="5">
        <v>2</v>
      </c>
      <c r="B3" s="5" t="str">
        <f t="shared" ref="B3:B12" si="0">B2</f>
        <v>ЩО-1 (ЩРВ-24)</v>
      </c>
      <c r="C3" s="5" t="s">
        <v>14</v>
      </c>
      <c r="D3" s="5" t="s">
        <v>212</v>
      </c>
      <c r="E3" s="5" t="s">
        <v>213</v>
      </c>
      <c r="F3" s="6">
        <v>15500</v>
      </c>
      <c r="G3" s="6">
        <f>0.6*F3</f>
        <v>9300</v>
      </c>
      <c r="H3" s="6">
        <f t="shared" ref="H3:H12" si="1">G3*I3</f>
        <v>9300</v>
      </c>
      <c r="I3" s="18">
        <v>1</v>
      </c>
      <c r="J3" s="18" t="s">
        <v>15</v>
      </c>
      <c r="K3" s="19" t="s">
        <v>222</v>
      </c>
      <c r="L3" s="5"/>
      <c r="M3" s="5" t="s">
        <v>17</v>
      </c>
      <c r="N3">
        <v>9300</v>
      </c>
    </row>
    <row r="4" spans="1:14" x14ac:dyDescent="0.25">
      <c r="A4" s="5">
        <v>3</v>
      </c>
      <c r="B4" s="5" t="str">
        <f t="shared" si="0"/>
        <v>ЩО-1 (ЩРВ-24)</v>
      </c>
      <c r="C4" s="5" t="s">
        <v>18</v>
      </c>
      <c r="D4" s="5" t="s">
        <v>19</v>
      </c>
      <c r="E4" s="5" t="s">
        <v>20</v>
      </c>
      <c r="F4" s="6">
        <v>5334</v>
      </c>
      <c r="G4" s="6">
        <f>F4*Kurallar!$B$2</f>
        <v>3200.4</v>
      </c>
      <c r="H4" s="6">
        <f t="shared" si="1"/>
        <v>3200.4</v>
      </c>
      <c r="I4" s="18">
        <v>1</v>
      </c>
      <c r="J4" s="18" t="s">
        <v>15</v>
      </c>
      <c r="K4" s="18" t="s">
        <v>21</v>
      </c>
      <c r="L4" s="5"/>
      <c r="M4" s="5" t="s">
        <v>22</v>
      </c>
      <c r="N4">
        <v>3200.4</v>
      </c>
    </row>
    <row r="5" spans="1:14" x14ac:dyDescent="0.25">
      <c r="A5" s="5">
        <v>4</v>
      </c>
      <c r="B5" s="5" t="str">
        <f t="shared" si="0"/>
        <v>ЩО-1 (ЩРВ-24)</v>
      </c>
      <c r="C5" s="5" t="s">
        <v>18</v>
      </c>
      <c r="D5" s="5" t="s">
        <v>23</v>
      </c>
      <c r="E5" s="5" t="s">
        <v>24</v>
      </c>
      <c r="F5" s="6">
        <v>1389</v>
      </c>
      <c r="G5" s="6">
        <f>F5*Kurallar!$B$2</f>
        <v>833.4</v>
      </c>
      <c r="H5" s="6">
        <f t="shared" si="1"/>
        <v>10000.799999999999</v>
      </c>
      <c r="I5" s="18">
        <v>12</v>
      </c>
      <c r="J5" s="18" t="s">
        <v>15</v>
      </c>
      <c r="K5" s="18" t="s">
        <v>21</v>
      </c>
      <c r="L5" s="5"/>
      <c r="M5" s="5" t="s">
        <v>25</v>
      </c>
      <c r="N5">
        <v>10000.799999999999</v>
      </c>
    </row>
    <row r="6" spans="1:14" x14ac:dyDescent="0.25">
      <c r="A6" s="5">
        <v>5</v>
      </c>
      <c r="B6" s="5" t="str">
        <f t="shared" si="0"/>
        <v>ЩО-1 (ЩРВ-24)</v>
      </c>
      <c r="C6" s="5" t="s">
        <v>26</v>
      </c>
      <c r="D6" s="5" t="s">
        <v>192</v>
      </c>
      <c r="E6" s="5" t="s">
        <v>193</v>
      </c>
      <c r="F6" s="6">
        <v>5104</v>
      </c>
      <c r="G6" s="6">
        <f>F6*Kurallar!$B$2</f>
        <v>3062.4</v>
      </c>
      <c r="H6" s="6">
        <f t="shared" si="1"/>
        <v>6124.8</v>
      </c>
      <c r="I6" s="18">
        <v>2</v>
      </c>
      <c r="J6" s="18" t="s">
        <v>15</v>
      </c>
      <c r="K6" s="18" t="s">
        <v>21</v>
      </c>
      <c r="L6" s="5"/>
      <c r="M6" s="5" t="s">
        <v>27</v>
      </c>
      <c r="N6">
        <v>6124.8</v>
      </c>
    </row>
    <row r="7" spans="1:14" x14ac:dyDescent="0.25">
      <c r="A7" s="5">
        <v>6</v>
      </c>
      <c r="B7" s="5" t="str">
        <f t="shared" si="0"/>
        <v>ЩО-1 (ЩРВ-24)</v>
      </c>
      <c r="C7" s="5" t="s">
        <v>28</v>
      </c>
      <c r="D7" s="5" t="s">
        <v>29</v>
      </c>
      <c r="E7" s="5" t="s">
        <v>30</v>
      </c>
      <c r="F7" s="6">
        <v>415</v>
      </c>
      <c r="G7" s="6">
        <f>F7*Kurallar!$B$3</f>
        <v>415</v>
      </c>
      <c r="H7" s="6">
        <f t="shared" si="1"/>
        <v>415</v>
      </c>
      <c r="I7" s="18">
        <v>1</v>
      </c>
      <c r="J7" s="18" t="s">
        <v>15</v>
      </c>
      <c r="K7" s="19" t="s">
        <v>200</v>
      </c>
      <c r="L7" s="5"/>
      <c r="M7" s="5" t="s">
        <v>31</v>
      </c>
      <c r="N7">
        <v>415</v>
      </c>
    </row>
    <row r="8" spans="1:14" x14ac:dyDescent="0.25">
      <c r="A8" s="5">
        <v>7</v>
      </c>
      <c r="B8" s="5" t="str">
        <f t="shared" si="0"/>
        <v>ЩО-1 (ЩРВ-24)</v>
      </c>
      <c r="C8" s="5" t="s">
        <v>28</v>
      </c>
      <c r="D8" s="5" t="s">
        <v>32</v>
      </c>
      <c r="E8" s="5" t="s">
        <v>33</v>
      </c>
      <c r="F8" s="6">
        <v>547</v>
      </c>
      <c r="G8" s="6">
        <f>F8*Kurallar!$B$3</f>
        <v>547</v>
      </c>
      <c r="H8" s="6">
        <f t="shared" si="1"/>
        <v>547</v>
      </c>
      <c r="I8" s="18">
        <v>1</v>
      </c>
      <c r="J8" s="18" t="s">
        <v>15</v>
      </c>
      <c r="K8" s="19" t="s">
        <v>200</v>
      </c>
      <c r="L8" s="5"/>
      <c r="M8" s="5" t="s">
        <v>34</v>
      </c>
      <c r="N8">
        <v>547</v>
      </c>
    </row>
    <row r="9" spans="1:14" x14ac:dyDescent="0.25">
      <c r="A9" s="5">
        <v>8</v>
      </c>
      <c r="B9" s="5" t="str">
        <f t="shared" si="0"/>
        <v>ЩО-1 (ЩРВ-24)</v>
      </c>
      <c r="C9" s="5" t="s">
        <v>35</v>
      </c>
      <c r="D9" s="5" t="s">
        <v>36</v>
      </c>
      <c r="E9" s="5" t="s">
        <v>37</v>
      </c>
      <c r="F9" s="6">
        <v>869</v>
      </c>
      <c r="G9" s="6">
        <f>F9*Kurallar!$B$2</f>
        <v>521.4</v>
      </c>
      <c r="H9" s="6">
        <f t="shared" si="1"/>
        <v>521.4</v>
      </c>
      <c r="I9" s="18">
        <v>1</v>
      </c>
      <c r="J9" s="18" t="s">
        <v>15</v>
      </c>
      <c r="K9" s="18" t="s">
        <v>21</v>
      </c>
      <c r="L9" s="5"/>
      <c r="M9" s="5" t="s">
        <v>38</v>
      </c>
      <c r="N9">
        <v>521.4</v>
      </c>
    </row>
    <row r="10" spans="1:14" x14ac:dyDescent="0.25">
      <c r="A10" s="5">
        <v>9</v>
      </c>
      <c r="B10" s="5" t="str">
        <f t="shared" si="0"/>
        <v>ЩО-1 (ЩРВ-24)</v>
      </c>
      <c r="C10" s="5" t="s">
        <v>39</v>
      </c>
      <c r="D10" s="5" t="s">
        <v>40</v>
      </c>
      <c r="E10" s="5" t="s">
        <v>41</v>
      </c>
      <c r="F10" s="6">
        <v>1094</v>
      </c>
      <c r="G10" s="6">
        <f>F10*Kurallar!$B$3</f>
        <v>1094</v>
      </c>
      <c r="H10" s="6">
        <f t="shared" si="1"/>
        <v>1094</v>
      </c>
      <c r="I10" s="18">
        <v>1</v>
      </c>
      <c r="J10" s="18" t="s">
        <v>15</v>
      </c>
      <c r="K10" s="18" t="s">
        <v>16</v>
      </c>
      <c r="L10" s="5"/>
      <c r="M10" s="5" t="s">
        <v>42</v>
      </c>
      <c r="N10">
        <v>1094</v>
      </c>
    </row>
    <row r="11" spans="1:14" x14ac:dyDescent="0.25">
      <c r="A11" s="5">
        <v>10</v>
      </c>
      <c r="B11" s="5" t="str">
        <f t="shared" si="0"/>
        <v>ЩО-1 (ЩРВ-24)</v>
      </c>
      <c r="C11" s="5" t="s">
        <v>43</v>
      </c>
      <c r="D11" s="5"/>
      <c r="E11" s="5" t="s">
        <v>44</v>
      </c>
      <c r="F11" s="6"/>
      <c r="G11" s="6">
        <f>SUM(H3:H10)*Kurallar!$B$5</f>
        <v>936.10199999999986</v>
      </c>
      <c r="H11" s="6">
        <f t="shared" si="1"/>
        <v>936.10199999999986</v>
      </c>
      <c r="I11" s="18">
        <v>1</v>
      </c>
      <c r="J11" s="18" t="s">
        <v>15</v>
      </c>
      <c r="K11" s="18" t="s">
        <v>43</v>
      </c>
      <c r="L11" s="5"/>
      <c r="M11" s="5"/>
      <c r="N11">
        <v>936.10199999999986</v>
      </c>
    </row>
    <row r="12" spans="1:14" x14ac:dyDescent="0.25">
      <c r="A12" s="5">
        <v>11</v>
      </c>
      <c r="B12" s="5" t="str">
        <f t="shared" si="0"/>
        <v>ЩО-1 (ЩРВ-24)</v>
      </c>
      <c r="C12" s="5" t="s">
        <v>45</v>
      </c>
      <c r="D12" s="5"/>
      <c r="E12" s="5" t="s">
        <v>46</v>
      </c>
      <c r="F12" s="6"/>
      <c r="G12" s="6">
        <f>SUM(H3:H10)*Kurallar!$B$6+200</f>
        <v>6440.68</v>
      </c>
      <c r="H12" s="6">
        <f t="shared" si="1"/>
        <v>6440.68</v>
      </c>
      <c r="I12" s="18">
        <v>1</v>
      </c>
      <c r="J12" s="18" t="s">
        <v>15</v>
      </c>
      <c r="K12" s="18" t="s">
        <v>45</v>
      </c>
      <c r="L12" s="5"/>
      <c r="M12" s="5"/>
      <c r="N12">
        <v>6440.68</v>
      </c>
    </row>
    <row r="13" spans="1:14" x14ac:dyDescent="0.25">
      <c r="A13" s="7">
        <v>12</v>
      </c>
      <c r="B13" s="8" t="s">
        <v>47</v>
      </c>
      <c r="C13" s="7"/>
      <c r="D13" s="7"/>
      <c r="E13" s="7"/>
      <c r="F13" s="9"/>
      <c r="G13" s="9"/>
      <c r="H13" s="10">
        <f>SUBTOTAL(9,H3:H12)</f>
        <v>38580.182000000001</v>
      </c>
      <c r="I13" s="7"/>
      <c r="J13" s="7"/>
      <c r="K13" s="7"/>
      <c r="L13" s="7"/>
      <c r="M13" s="7"/>
      <c r="N13">
        <v>38580.182000000001</v>
      </c>
    </row>
    <row r="14" spans="1:14" x14ac:dyDescent="0.25">
      <c r="A14" s="2">
        <v>13</v>
      </c>
      <c r="B14" s="3" t="str">
        <f>E14</f>
        <v>ЩО-2 (ЩРВ-24)</v>
      </c>
      <c r="C14" s="2"/>
      <c r="D14" s="2"/>
      <c r="E14" s="2" t="s">
        <v>48</v>
      </c>
      <c r="F14" s="4"/>
      <c r="G14" s="4"/>
      <c r="H14" s="4"/>
      <c r="I14" s="2">
        <v>1</v>
      </c>
      <c r="J14" s="2" t="s">
        <v>13</v>
      </c>
      <c r="K14" s="2"/>
      <c r="L14" s="2"/>
      <c r="M14" s="2"/>
    </row>
    <row r="15" spans="1:14" x14ac:dyDescent="0.25">
      <c r="A15" s="5">
        <v>14</v>
      </c>
      <c r="B15" s="5" t="str">
        <f t="shared" ref="B15:B24" si="2">B14</f>
        <v>ЩО-2 (ЩРВ-24)</v>
      </c>
      <c r="C15" s="5" t="s">
        <v>14</v>
      </c>
      <c r="D15" s="5" t="s">
        <v>212</v>
      </c>
      <c r="E15" s="5" t="s">
        <v>213</v>
      </c>
      <c r="F15" s="6">
        <v>15500</v>
      </c>
      <c r="G15" s="6">
        <f>0.6*F15</f>
        <v>9300</v>
      </c>
      <c r="H15" s="6">
        <f t="shared" ref="H15:H24" si="3">G15*I15</f>
        <v>9300</v>
      </c>
      <c r="I15" s="18">
        <v>1</v>
      </c>
      <c r="J15" s="18" t="s">
        <v>15</v>
      </c>
      <c r="K15" s="19" t="s">
        <v>222</v>
      </c>
      <c r="L15" s="5"/>
      <c r="M15" s="5" t="s">
        <v>17</v>
      </c>
      <c r="N15">
        <v>9300</v>
      </c>
    </row>
    <row r="16" spans="1:14" x14ac:dyDescent="0.25">
      <c r="A16" s="5">
        <v>15</v>
      </c>
      <c r="B16" s="5" t="str">
        <f t="shared" si="2"/>
        <v>ЩО-2 (ЩРВ-24)</v>
      </c>
      <c r="C16" s="5" t="s">
        <v>18</v>
      </c>
      <c r="D16" s="5" t="s">
        <v>19</v>
      </c>
      <c r="E16" s="5" t="s">
        <v>20</v>
      </c>
      <c r="F16" s="6">
        <v>5334</v>
      </c>
      <c r="G16" s="6">
        <f>F16*Kurallar!$B$2</f>
        <v>3200.4</v>
      </c>
      <c r="H16" s="6">
        <f t="shared" si="3"/>
        <v>3200.4</v>
      </c>
      <c r="I16" s="18">
        <v>1</v>
      </c>
      <c r="J16" s="18" t="s">
        <v>15</v>
      </c>
      <c r="K16" s="18" t="s">
        <v>21</v>
      </c>
      <c r="L16" s="5"/>
      <c r="M16" s="5" t="s">
        <v>22</v>
      </c>
      <c r="N16">
        <v>3200.4</v>
      </c>
    </row>
    <row r="17" spans="1:14" x14ac:dyDescent="0.25">
      <c r="A17" s="5">
        <v>16</v>
      </c>
      <c r="B17" s="5" t="str">
        <f t="shared" si="2"/>
        <v>ЩО-2 (ЩРВ-24)</v>
      </c>
      <c r="C17" s="5" t="s">
        <v>18</v>
      </c>
      <c r="D17" s="5" t="s">
        <v>23</v>
      </c>
      <c r="E17" s="5" t="s">
        <v>24</v>
      </c>
      <c r="F17" s="6">
        <v>1389</v>
      </c>
      <c r="G17" s="6">
        <f>F17*Kurallar!$B$2</f>
        <v>833.4</v>
      </c>
      <c r="H17" s="6">
        <f t="shared" si="3"/>
        <v>7500.5999999999995</v>
      </c>
      <c r="I17" s="18">
        <v>9</v>
      </c>
      <c r="J17" s="18" t="s">
        <v>15</v>
      </c>
      <c r="K17" s="18" t="s">
        <v>21</v>
      </c>
      <c r="L17" s="5"/>
      <c r="M17" s="5" t="s">
        <v>25</v>
      </c>
      <c r="N17">
        <v>7500.5999999999995</v>
      </c>
    </row>
    <row r="18" spans="1:14" x14ac:dyDescent="0.25">
      <c r="A18" s="5">
        <v>17</v>
      </c>
      <c r="B18" s="5" t="str">
        <f t="shared" si="2"/>
        <v>ЩО-2 (ЩРВ-24)</v>
      </c>
      <c r="C18" s="5" t="s">
        <v>26</v>
      </c>
      <c r="D18" s="5" t="s">
        <v>192</v>
      </c>
      <c r="E18" s="5" t="s">
        <v>193</v>
      </c>
      <c r="F18" s="6">
        <v>5104</v>
      </c>
      <c r="G18" s="6">
        <f>F18*Kurallar!$B$2</f>
        <v>3062.4</v>
      </c>
      <c r="H18" s="6">
        <f t="shared" si="3"/>
        <v>6124.8</v>
      </c>
      <c r="I18" s="18">
        <v>2</v>
      </c>
      <c r="J18" s="18" t="s">
        <v>15</v>
      </c>
      <c r="K18" s="18" t="s">
        <v>21</v>
      </c>
      <c r="L18" s="5"/>
      <c r="M18" s="5" t="s">
        <v>27</v>
      </c>
      <c r="N18">
        <v>6124.8</v>
      </c>
    </row>
    <row r="19" spans="1:14" x14ac:dyDescent="0.25">
      <c r="A19" s="5">
        <v>18</v>
      </c>
      <c r="B19" s="5" t="str">
        <f t="shared" si="2"/>
        <v>ЩО-2 (ЩРВ-24)</v>
      </c>
      <c r="C19" s="5" t="s">
        <v>28</v>
      </c>
      <c r="D19" s="5" t="s">
        <v>29</v>
      </c>
      <c r="E19" s="5" t="s">
        <v>30</v>
      </c>
      <c r="F19" s="6">
        <v>415</v>
      </c>
      <c r="G19" s="6">
        <f>F19*Kurallar!$B$3</f>
        <v>415</v>
      </c>
      <c r="H19" s="6">
        <f t="shared" si="3"/>
        <v>415</v>
      </c>
      <c r="I19" s="18">
        <v>1</v>
      </c>
      <c r="J19" s="18" t="s">
        <v>15</v>
      </c>
      <c r="K19" s="19" t="s">
        <v>200</v>
      </c>
      <c r="L19" s="5"/>
      <c r="M19" s="5" t="s">
        <v>31</v>
      </c>
      <c r="N19">
        <v>415</v>
      </c>
    </row>
    <row r="20" spans="1:14" x14ac:dyDescent="0.25">
      <c r="A20" s="5">
        <v>19</v>
      </c>
      <c r="B20" s="5" t="str">
        <f t="shared" si="2"/>
        <v>ЩО-2 (ЩРВ-24)</v>
      </c>
      <c r="C20" s="5" t="s">
        <v>28</v>
      </c>
      <c r="D20" s="5" t="s">
        <v>32</v>
      </c>
      <c r="E20" s="5" t="s">
        <v>33</v>
      </c>
      <c r="F20" s="6">
        <v>547</v>
      </c>
      <c r="G20" s="6">
        <f>F20*Kurallar!$B$3</f>
        <v>547</v>
      </c>
      <c r="H20" s="6">
        <f t="shared" si="3"/>
        <v>547</v>
      </c>
      <c r="I20" s="18">
        <v>1</v>
      </c>
      <c r="J20" s="18" t="s">
        <v>15</v>
      </c>
      <c r="K20" s="19" t="s">
        <v>200</v>
      </c>
      <c r="L20" s="5"/>
      <c r="M20" s="5" t="s">
        <v>34</v>
      </c>
      <c r="N20">
        <v>547</v>
      </c>
    </row>
    <row r="21" spans="1:14" x14ac:dyDescent="0.25">
      <c r="A21" s="5">
        <v>20</v>
      </c>
      <c r="B21" s="5" t="str">
        <f t="shared" si="2"/>
        <v>ЩО-2 (ЩРВ-24)</v>
      </c>
      <c r="C21" s="5" t="s">
        <v>35</v>
      </c>
      <c r="D21" s="5" t="s">
        <v>36</v>
      </c>
      <c r="E21" s="5" t="s">
        <v>37</v>
      </c>
      <c r="F21" s="6">
        <v>869</v>
      </c>
      <c r="G21" s="6">
        <f>F21*Kurallar!$B$2</f>
        <v>521.4</v>
      </c>
      <c r="H21" s="6">
        <f t="shared" si="3"/>
        <v>521.4</v>
      </c>
      <c r="I21" s="18">
        <v>1</v>
      </c>
      <c r="J21" s="18" t="s">
        <v>15</v>
      </c>
      <c r="K21" s="18" t="s">
        <v>21</v>
      </c>
      <c r="L21" s="5"/>
      <c r="M21" s="5" t="s">
        <v>38</v>
      </c>
      <c r="N21">
        <v>521.4</v>
      </c>
    </row>
    <row r="22" spans="1:14" x14ac:dyDescent="0.25">
      <c r="A22" s="5">
        <v>21</v>
      </c>
      <c r="B22" s="5" t="str">
        <f t="shared" si="2"/>
        <v>ЩО-2 (ЩРВ-24)</v>
      </c>
      <c r="C22" s="5" t="s">
        <v>39</v>
      </c>
      <c r="D22" s="5" t="s">
        <v>40</v>
      </c>
      <c r="E22" s="5" t="s">
        <v>41</v>
      </c>
      <c r="F22" s="6">
        <v>1094</v>
      </c>
      <c r="G22" s="6">
        <f>F22*Kurallar!$B$3</f>
        <v>1094</v>
      </c>
      <c r="H22" s="6">
        <f t="shared" si="3"/>
        <v>1094</v>
      </c>
      <c r="I22" s="18">
        <v>1</v>
      </c>
      <c r="J22" s="18" t="s">
        <v>15</v>
      </c>
      <c r="K22" s="18" t="s">
        <v>16</v>
      </c>
      <c r="L22" s="5"/>
      <c r="M22" s="5" t="s">
        <v>42</v>
      </c>
      <c r="N22">
        <v>1094</v>
      </c>
    </row>
    <row r="23" spans="1:14" x14ac:dyDescent="0.25">
      <c r="A23" s="5">
        <v>22</v>
      </c>
      <c r="B23" s="5" t="str">
        <f t="shared" si="2"/>
        <v>ЩО-2 (ЩРВ-24)</v>
      </c>
      <c r="C23" s="5" t="s">
        <v>43</v>
      </c>
      <c r="D23" s="5"/>
      <c r="E23" s="5" t="s">
        <v>44</v>
      </c>
      <c r="F23" s="6"/>
      <c r="G23" s="6">
        <f>SUM(H15:H22)*Kurallar!$B$5</f>
        <v>861.096</v>
      </c>
      <c r="H23" s="6">
        <f t="shared" si="3"/>
        <v>861.096</v>
      </c>
      <c r="I23" s="18">
        <v>1</v>
      </c>
      <c r="J23" s="18" t="s">
        <v>15</v>
      </c>
      <c r="K23" s="18" t="s">
        <v>43</v>
      </c>
      <c r="L23" s="5"/>
      <c r="M23" s="5"/>
      <c r="N23">
        <v>861.096</v>
      </c>
    </row>
    <row r="24" spans="1:14" x14ac:dyDescent="0.25">
      <c r="A24" s="5">
        <v>23</v>
      </c>
      <c r="B24" s="5" t="str">
        <f t="shared" si="2"/>
        <v>ЩО-2 (ЩРВ-24)</v>
      </c>
      <c r="C24" s="5" t="s">
        <v>45</v>
      </c>
      <c r="D24" s="5"/>
      <c r="E24" s="5" t="s">
        <v>46</v>
      </c>
      <c r="F24" s="6"/>
      <c r="G24" s="6">
        <f>SUM(H15:H22)*Kurallar!$B$6+600</f>
        <v>6340.64</v>
      </c>
      <c r="H24" s="6">
        <f t="shared" si="3"/>
        <v>6340.64</v>
      </c>
      <c r="I24" s="18">
        <v>1</v>
      </c>
      <c r="J24" s="18" t="s">
        <v>15</v>
      </c>
      <c r="K24" s="18" t="s">
        <v>45</v>
      </c>
      <c r="L24" s="5"/>
      <c r="M24" s="5"/>
      <c r="N24">
        <v>6340.64</v>
      </c>
    </row>
    <row r="25" spans="1:14" x14ac:dyDescent="0.25">
      <c r="A25" s="7">
        <v>24</v>
      </c>
      <c r="B25" s="8" t="s">
        <v>49</v>
      </c>
      <c r="C25" s="7"/>
      <c r="D25" s="7"/>
      <c r="E25" s="7"/>
      <c r="F25" s="9"/>
      <c r="G25" s="9"/>
      <c r="H25" s="10">
        <f>SUBTOTAL(9,H15:H24)</f>
        <v>35904.936000000002</v>
      </c>
      <c r="I25" s="7"/>
      <c r="J25" s="7"/>
      <c r="K25" s="7"/>
      <c r="L25" s="7"/>
      <c r="M25" s="7"/>
      <c r="N25">
        <v>35904.936000000002</v>
      </c>
    </row>
    <row r="26" spans="1:14" x14ac:dyDescent="0.25">
      <c r="A26" s="2">
        <v>25</v>
      </c>
      <c r="B26" s="3" t="str">
        <f>E26</f>
        <v>ЩО-3 (ЩРВ-24)</v>
      </c>
      <c r="C26" s="2"/>
      <c r="D26" s="2"/>
      <c r="E26" s="2" t="s">
        <v>50</v>
      </c>
      <c r="F26" s="4"/>
      <c r="G26" s="4"/>
      <c r="H26" s="4"/>
      <c r="I26" s="2">
        <v>1</v>
      </c>
      <c r="J26" s="2" t="s">
        <v>13</v>
      </c>
      <c r="K26" s="2"/>
      <c r="L26" s="2"/>
      <c r="M26" s="2"/>
    </row>
    <row r="27" spans="1:14" x14ac:dyDescent="0.25">
      <c r="A27" s="5">
        <v>26</v>
      </c>
      <c r="B27" s="5" t="str">
        <f t="shared" ref="B27:B36" si="4">B26</f>
        <v>ЩО-3 (ЩРВ-24)</v>
      </c>
      <c r="C27" s="5" t="s">
        <v>14</v>
      </c>
      <c r="D27" s="5" t="s">
        <v>212</v>
      </c>
      <c r="E27" s="5" t="s">
        <v>213</v>
      </c>
      <c r="F27" s="6">
        <v>15500</v>
      </c>
      <c r="G27" s="6">
        <f>0.6*F27</f>
        <v>9300</v>
      </c>
      <c r="H27" s="6">
        <f t="shared" ref="H27:H36" si="5">G27*I27</f>
        <v>9300</v>
      </c>
      <c r="I27" s="18">
        <v>1</v>
      </c>
      <c r="J27" s="18" t="s">
        <v>15</v>
      </c>
      <c r="K27" s="19" t="s">
        <v>222</v>
      </c>
      <c r="L27" s="5"/>
      <c r="M27" s="5" t="s">
        <v>17</v>
      </c>
      <c r="N27">
        <v>9300</v>
      </c>
    </row>
    <row r="28" spans="1:14" x14ac:dyDescent="0.25">
      <c r="A28" s="5">
        <v>27</v>
      </c>
      <c r="B28" s="5" t="str">
        <f t="shared" si="4"/>
        <v>ЩО-3 (ЩРВ-24)</v>
      </c>
      <c r="C28" s="5" t="s">
        <v>18</v>
      </c>
      <c r="D28" s="5" t="s">
        <v>19</v>
      </c>
      <c r="E28" s="5" t="s">
        <v>20</v>
      </c>
      <c r="F28" s="6">
        <v>5334</v>
      </c>
      <c r="G28" s="6">
        <f>F28*Kurallar!$B$2</f>
        <v>3200.4</v>
      </c>
      <c r="H28" s="6">
        <f t="shared" si="5"/>
        <v>3200.4</v>
      </c>
      <c r="I28" s="18">
        <v>1</v>
      </c>
      <c r="J28" s="18" t="s">
        <v>15</v>
      </c>
      <c r="K28" s="18" t="s">
        <v>21</v>
      </c>
      <c r="L28" s="5"/>
      <c r="M28" s="5" t="s">
        <v>22</v>
      </c>
      <c r="N28">
        <v>3200.4</v>
      </c>
    </row>
    <row r="29" spans="1:14" x14ac:dyDescent="0.25">
      <c r="A29" s="5">
        <v>28</v>
      </c>
      <c r="B29" s="5" t="str">
        <f t="shared" si="4"/>
        <v>ЩО-3 (ЩРВ-24)</v>
      </c>
      <c r="C29" s="5" t="s">
        <v>18</v>
      </c>
      <c r="D29" s="5" t="s">
        <v>23</v>
      </c>
      <c r="E29" s="5" t="s">
        <v>24</v>
      </c>
      <c r="F29" s="6">
        <v>1389</v>
      </c>
      <c r="G29" s="6">
        <f>F29*Kurallar!$B$2</f>
        <v>833.4</v>
      </c>
      <c r="H29" s="6">
        <f t="shared" si="5"/>
        <v>10000.799999999999</v>
      </c>
      <c r="I29" s="18">
        <v>12</v>
      </c>
      <c r="J29" s="18" t="s">
        <v>15</v>
      </c>
      <c r="K29" s="18" t="s">
        <v>21</v>
      </c>
      <c r="L29" s="5"/>
      <c r="M29" s="5" t="s">
        <v>25</v>
      </c>
      <c r="N29">
        <v>10000.799999999999</v>
      </c>
    </row>
    <row r="30" spans="1:14" x14ac:dyDescent="0.25">
      <c r="A30" s="5">
        <v>29</v>
      </c>
      <c r="B30" s="5" t="str">
        <f t="shared" si="4"/>
        <v>ЩО-3 (ЩРВ-24)</v>
      </c>
      <c r="C30" s="5" t="s">
        <v>26</v>
      </c>
      <c r="D30" s="5" t="s">
        <v>192</v>
      </c>
      <c r="E30" s="5" t="s">
        <v>193</v>
      </c>
      <c r="F30" s="6">
        <v>5104</v>
      </c>
      <c r="G30" s="6">
        <f>F30*Kurallar!$B$2</f>
        <v>3062.4</v>
      </c>
      <c r="H30" s="6">
        <f t="shared" si="5"/>
        <v>6124.8</v>
      </c>
      <c r="I30" s="18">
        <v>2</v>
      </c>
      <c r="J30" s="18" t="s">
        <v>15</v>
      </c>
      <c r="K30" s="18" t="s">
        <v>21</v>
      </c>
      <c r="L30" s="5"/>
      <c r="M30" s="5" t="s">
        <v>27</v>
      </c>
      <c r="N30">
        <v>6124.8</v>
      </c>
    </row>
    <row r="31" spans="1:14" x14ac:dyDescent="0.25">
      <c r="A31" s="5">
        <v>30</v>
      </c>
      <c r="B31" s="5" t="str">
        <f t="shared" si="4"/>
        <v>ЩО-3 (ЩРВ-24)</v>
      </c>
      <c r="C31" s="5" t="s">
        <v>28</v>
      </c>
      <c r="D31" s="5" t="s">
        <v>29</v>
      </c>
      <c r="E31" s="5" t="s">
        <v>30</v>
      </c>
      <c r="F31" s="6">
        <v>415</v>
      </c>
      <c r="G31" s="6">
        <f>F31*Kurallar!$B$3</f>
        <v>415</v>
      </c>
      <c r="H31" s="6">
        <f t="shared" si="5"/>
        <v>415</v>
      </c>
      <c r="I31" s="18">
        <v>1</v>
      </c>
      <c r="J31" s="18" t="s">
        <v>15</v>
      </c>
      <c r="K31" s="19" t="s">
        <v>200</v>
      </c>
      <c r="L31" s="5"/>
      <c r="M31" s="5" t="s">
        <v>31</v>
      </c>
      <c r="N31">
        <v>415</v>
      </c>
    </row>
    <row r="32" spans="1:14" x14ac:dyDescent="0.25">
      <c r="A32" s="5">
        <v>31</v>
      </c>
      <c r="B32" s="5" t="str">
        <f t="shared" si="4"/>
        <v>ЩО-3 (ЩРВ-24)</v>
      </c>
      <c r="C32" s="5" t="s">
        <v>28</v>
      </c>
      <c r="D32" s="5" t="s">
        <v>32</v>
      </c>
      <c r="E32" s="5" t="s">
        <v>33</v>
      </c>
      <c r="F32" s="6">
        <v>547</v>
      </c>
      <c r="G32" s="6">
        <f>F32*Kurallar!$B$3</f>
        <v>547</v>
      </c>
      <c r="H32" s="6">
        <f t="shared" si="5"/>
        <v>547</v>
      </c>
      <c r="I32" s="18">
        <v>1</v>
      </c>
      <c r="J32" s="18" t="s">
        <v>15</v>
      </c>
      <c r="K32" s="19" t="s">
        <v>200</v>
      </c>
      <c r="L32" s="5"/>
      <c r="M32" s="5" t="s">
        <v>34</v>
      </c>
      <c r="N32">
        <v>547</v>
      </c>
    </row>
    <row r="33" spans="1:14" x14ac:dyDescent="0.25">
      <c r="A33" s="5">
        <v>32</v>
      </c>
      <c r="B33" s="5" t="str">
        <f t="shared" si="4"/>
        <v>ЩО-3 (ЩРВ-24)</v>
      </c>
      <c r="C33" s="5" t="s">
        <v>35</v>
      </c>
      <c r="D33" s="5" t="s">
        <v>36</v>
      </c>
      <c r="E33" s="5" t="s">
        <v>37</v>
      </c>
      <c r="F33" s="6">
        <v>869</v>
      </c>
      <c r="G33" s="6">
        <f>F33*Kurallar!$B$2</f>
        <v>521.4</v>
      </c>
      <c r="H33" s="6">
        <f t="shared" si="5"/>
        <v>521.4</v>
      </c>
      <c r="I33" s="18">
        <v>1</v>
      </c>
      <c r="J33" s="18" t="s">
        <v>15</v>
      </c>
      <c r="K33" s="18" t="s">
        <v>21</v>
      </c>
      <c r="L33" s="5"/>
      <c r="M33" s="5" t="s">
        <v>38</v>
      </c>
      <c r="N33">
        <v>521.4</v>
      </c>
    </row>
    <row r="34" spans="1:14" x14ac:dyDescent="0.25">
      <c r="A34" s="5">
        <v>33</v>
      </c>
      <c r="B34" s="5" t="str">
        <f t="shared" si="4"/>
        <v>ЩО-3 (ЩРВ-24)</v>
      </c>
      <c r="C34" s="5" t="s">
        <v>39</v>
      </c>
      <c r="D34" s="5" t="s">
        <v>40</v>
      </c>
      <c r="E34" s="5" t="s">
        <v>41</v>
      </c>
      <c r="F34" s="6">
        <v>1094</v>
      </c>
      <c r="G34" s="6">
        <f>F34*Kurallar!$B$3</f>
        <v>1094</v>
      </c>
      <c r="H34" s="6">
        <f t="shared" si="5"/>
        <v>1094</v>
      </c>
      <c r="I34" s="18">
        <v>1</v>
      </c>
      <c r="J34" s="18" t="s">
        <v>15</v>
      </c>
      <c r="K34" s="18" t="s">
        <v>16</v>
      </c>
      <c r="L34" s="5"/>
      <c r="M34" s="5" t="s">
        <v>42</v>
      </c>
      <c r="N34">
        <v>1094</v>
      </c>
    </row>
    <row r="35" spans="1:14" x14ac:dyDescent="0.25">
      <c r="A35" s="5">
        <v>34</v>
      </c>
      <c r="B35" s="5" t="str">
        <f t="shared" si="4"/>
        <v>ЩО-3 (ЩРВ-24)</v>
      </c>
      <c r="C35" s="5" t="s">
        <v>43</v>
      </c>
      <c r="D35" s="5"/>
      <c r="E35" s="5" t="s">
        <v>44</v>
      </c>
      <c r="F35" s="6"/>
      <c r="G35" s="6">
        <f>SUM(H27:H34)*Kurallar!$B$5</f>
        <v>936.10199999999986</v>
      </c>
      <c r="H35" s="6">
        <f t="shared" si="5"/>
        <v>936.10199999999986</v>
      </c>
      <c r="I35" s="18">
        <v>1</v>
      </c>
      <c r="J35" s="18" t="s">
        <v>15</v>
      </c>
      <c r="K35" s="18" t="s">
        <v>43</v>
      </c>
      <c r="L35" s="5"/>
      <c r="M35" s="5"/>
      <c r="N35">
        <v>936.10199999999986</v>
      </c>
    </row>
    <row r="36" spans="1:14" x14ac:dyDescent="0.25">
      <c r="A36" s="5">
        <v>35</v>
      </c>
      <c r="B36" s="5" t="str">
        <f t="shared" si="4"/>
        <v>ЩО-3 (ЩРВ-24)</v>
      </c>
      <c r="C36" s="5" t="s">
        <v>45</v>
      </c>
      <c r="D36" s="5"/>
      <c r="E36" s="5" t="s">
        <v>46</v>
      </c>
      <c r="F36" s="6"/>
      <c r="G36" s="6">
        <f>SUM(H27:H34)*Kurallar!$B$6+100</f>
        <v>6340.68</v>
      </c>
      <c r="H36" s="6">
        <f t="shared" si="5"/>
        <v>6340.68</v>
      </c>
      <c r="I36" s="18">
        <v>1</v>
      </c>
      <c r="J36" s="18" t="s">
        <v>15</v>
      </c>
      <c r="K36" s="18" t="s">
        <v>45</v>
      </c>
      <c r="L36" s="5"/>
      <c r="M36" s="5"/>
      <c r="N36">
        <v>6340.68</v>
      </c>
    </row>
    <row r="37" spans="1:14" x14ac:dyDescent="0.25">
      <c r="A37" s="7">
        <v>36</v>
      </c>
      <c r="B37" s="8" t="s">
        <v>51</v>
      </c>
      <c r="C37" s="7"/>
      <c r="D37" s="7"/>
      <c r="E37" s="7"/>
      <c r="F37" s="9"/>
      <c r="G37" s="9"/>
      <c r="H37" s="10">
        <f>SUBTOTAL(9,H27:H36)</f>
        <v>38480.182000000001</v>
      </c>
      <c r="I37" s="7"/>
      <c r="J37" s="7"/>
      <c r="K37" s="7"/>
      <c r="L37" s="7"/>
      <c r="M37" s="7"/>
      <c r="N37">
        <v>38480.182000000001</v>
      </c>
    </row>
    <row r="38" spans="1:14" x14ac:dyDescent="0.25">
      <c r="A38" s="2">
        <v>37</v>
      </c>
      <c r="B38" s="3" t="str">
        <f>E38</f>
        <v>ЩО-4 (ЩРВ-24)</v>
      </c>
      <c r="C38" s="2"/>
      <c r="D38" s="2"/>
      <c r="E38" s="2" t="s">
        <v>52</v>
      </c>
      <c r="F38" s="4"/>
      <c r="G38" s="4"/>
      <c r="H38" s="4"/>
      <c r="I38" s="2">
        <v>1</v>
      </c>
      <c r="J38" s="2" t="s">
        <v>13</v>
      </c>
      <c r="K38" s="2"/>
      <c r="L38" s="2"/>
      <c r="M38" s="2"/>
    </row>
    <row r="39" spans="1:14" x14ac:dyDescent="0.25">
      <c r="A39" s="5">
        <v>38</v>
      </c>
      <c r="B39" s="5" t="str">
        <f t="shared" ref="B39:B48" si="6">B38</f>
        <v>ЩО-4 (ЩРВ-24)</v>
      </c>
      <c r="C39" s="5" t="s">
        <v>14</v>
      </c>
      <c r="D39" s="5" t="s">
        <v>212</v>
      </c>
      <c r="E39" s="5" t="s">
        <v>213</v>
      </c>
      <c r="F39" s="6">
        <v>15500</v>
      </c>
      <c r="G39" s="6">
        <f>0.6*F39</f>
        <v>9300</v>
      </c>
      <c r="H39" s="6">
        <f t="shared" ref="H39:H48" si="7">G39*I39</f>
        <v>9300</v>
      </c>
      <c r="I39" s="18">
        <v>1</v>
      </c>
      <c r="J39" s="18" t="s">
        <v>15</v>
      </c>
      <c r="K39" s="19" t="s">
        <v>222</v>
      </c>
      <c r="L39" s="5"/>
      <c r="M39" s="5" t="s">
        <v>17</v>
      </c>
      <c r="N39">
        <v>9300</v>
      </c>
    </row>
    <row r="40" spans="1:14" x14ac:dyDescent="0.25">
      <c r="A40" s="5">
        <v>39</v>
      </c>
      <c r="B40" s="5" t="str">
        <f t="shared" si="6"/>
        <v>ЩО-4 (ЩРВ-24)</v>
      </c>
      <c r="C40" s="5" t="s">
        <v>18</v>
      </c>
      <c r="D40" s="5" t="s">
        <v>19</v>
      </c>
      <c r="E40" s="5" t="s">
        <v>20</v>
      </c>
      <c r="F40" s="6">
        <v>5334</v>
      </c>
      <c r="G40" s="6">
        <f>F40*Kurallar!$B$2</f>
        <v>3200.4</v>
      </c>
      <c r="H40" s="6">
        <f t="shared" si="7"/>
        <v>3200.4</v>
      </c>
      <c r="I40" s="18">
        <v>1</v>
      </c>
      <c r="J40" s="18" t="s">
        <v>15</v>
      </c>
      <c r="K40" s="18" t="s">
        <v>21</v>
      </c>
      <c r="L40" s="5"/>
      <c r="M40" s="5" t="s">
        <v>22</v>
      </c>
      <c r="N40">
        <v>3200.4</v>
      </c>
    </row>
    <row r="41" spans="1:14" x14ac:dyDescent="0.25">
      <c r="A41" s="5">
        <v>40</v>
      </c>
      <c r="B41" s="5" t="str">
        <f t="shared" si="6"/>
        <v>ЩО-4 (ЩРВ-24)</v>
      </c>
      <c r="C41" s="5" t="s">
        <v>18</v>
      </c>
      <c r="D41" s="5" t="s">
        <v>23</v>
      </c>
      <c r="E41" s="5" t="s">
        <v>24</v>
      </c>
      <c r="F41" s="6">
        <v>1389</v>
      </c>
      <c r="G41" s="6">
        <f>F41*Kurallar!$B$2</f>
        <v>833.4</v>
      </c>
      <c r="H41" s="6">
        <f t="shared" si="7"/>
        <v>10834.199999999999</v>
      </c>
      <c r="I41" s="18">
        <v>13</v>
      </c>
      <c r="J41" s="18" t="s">
        <v>15</v>
      </c>
      <c r="K41" s="18" t="s">
        <v>21</v>
      </c>
      <c r="L41" s="5"/>
      <c r="M41" s="5" t="s">
        <v>25</v>
      </c>
      <c r="N41">
        <v>10834.199999999999</v>
      </c>
    </row>
    <row r="42" spans="1:14" x14ac:dyDescent="0.25">
      <c r="A42" s="5">
        <v>41</v>
      </c>
      <c r="B42" s="5" t="str">
        <f t="shared" si="6"/>
        <v>ЩО-4 (ЩРВ-24)</v>
      </c>
      <c r="C42" s="5" t="s">
        <v>26</v>
      </c>
      <c r="D42" s="5" t="s">
        <v>192</v>
      </c>
      <c r="E42" s="5" t="s">
        <v>193</v>
      </c>
      <c r="F42" s="6">
        <v>5104</v>
      </c>
      <c r="G42" s="6">
        <f>F42*Kurallar!$B$2</f>
        <v>3062.4</v>
      </c>
      <c r="H42" s="6">
        <f t="shared" si="7"/>
        <v>6124.8</v>
      </c>
      <c r="I42" s="18">
        <v>2</v>
      </c>
      <c r="J42" s="18" t="s">
        <v>15</v>
      </c>
      <c r="K42" s="18" t="s">
        <v>21</v>
      </c>
      <c r="L42" s="5"/>
      <c r="M42" s="5" t="s">
        <v>27</v>
      </c>
      <c r="N42">
        <v>6124.8</v>
      </c>
    </row>
    <row r="43" spans="1:14" x14ac:dyDescent="0.25">
      <c r="A43" s="5">
        <v>42</v>
      </c>
      <c r="B43" s="5" t="str">
        <f t="shared" si="6"/>
        <v>ЩО-4 (ЩРВ-24)</v>
      </c>
      <c r="C43" s="5" t="s">
        <v>28</v>
      </c>
      <c r="D43" s="5" t="s">
        <v>29</v>
      </c>
      <c r="E43" s="5" t="s">
        <v>30</v>
      </c>
      <c r="F43" s="6">
        <v>415</v>
      </c>
      <c r="G43" s="6">
        <f>F43*Kurallar!$B$3</f>
        <v>415</v>
      </c>
      <c r="H43" s="6">
        <f t="shared" si="7"/>
        <v>415</v>
      </c>
      <c r="I43" s="18">
        <v>1</v>
      </c>
      <c r="J43" s="18" t="s">
        <v>15</v>
      </c>
      <c r="K43" s="19" t="s">
        <v>200</v>
      </c>
      <c r="L43" s="5"/>
      <c r="M43" s="5" t="s">
        <v>31</v>
      </c>
      <c r="N43">
        <v>415</v>
      </c>
    </row>
    <row r="44" spans="1:14" x14ac:dyDescent="0.25">
      <c r="A44" s="5">
        <v>43</v>
      </c>
      <c r="B44" s="5" t="str">
        <f t="shared" si="6"/>
        <v>ЩО-4 (ЩРВ-24)</v>
      </c>
      <c r="C44" s="5" t="s">
        <v>28</v>
      </c>
      <c r="D44" s="5" t="s">
        <v>32</v>
      </c>
      <c r="E44" s="5" t="s">
        <v>33</v>
      </c>
      <c r="F44" s="6">
        <v>547</v>
      </c>
      <c r="G44" s="6">
        <f>F44*Kurallar!$B$3</f>
        <v>547</v>
      </c>
      <c r="H44" s="6">
        <f t="shared" si="7"/>
        <v>547</v>
      </c>
      <c r="I44" s="18">
        <v>1</v>
      </c>
      <c r="J44" s="18" t="s">
        <v>15</v>
      </c>
      <c r="K44" s="19" t="s">
        <v>200</v>
      </c>
      <c r="L44" s="5"/>
      <c r="M44" s="5" t="s">
        <v>34</v>
      </c>
      <c r="N44">
        <v>547</v>
      </c>
    </row>
    <row r="45" spans="1:14" x14ac:dyDescent="0.25">
      <c r="A45" s="5">
        <v>44</v>
      </c>
      <c r="B45" s="5" t="str">
        <f t="shared" si="6"/>
        <v>ЩО-4 (ЩРВ-24)</v>
      </c>
      <c r="C45" s="5" t="s">
        <v>35</v>
      </c>
      <c r="D45" s="5" t="s">
        <v>36</v>
      </c>
      <c r="E45" s="5" t="s">
        <v>37</v>
      </c>
      <c r="F45" s="6">
        <v>869</v>
      </c>
      <c r="G45" s="6">
        <f>F45*Kurallar!$B$2</f>
        <v>521.4</v>
      </c>
      <c r="H45" s="6">
        <f t="shared" si="7"/>
        <v>521.4</v>
      </c>
      <c r="I45" s="18">
        <v>1</v>
      </c>
      <c r="J45" s="18" t="s">
        <v>15</v>
      </c>
      <c r="K45" s="18" t="s">
        <v>21</v>
      </c>
      <c r="L45" s="5"/>
      <c r="M45" s="5" t="s">
        <v>38</v>
      </c>
      <c r="N45">
        <v>521.4</v>
      </c>
    </row>
    <row r="46" spans="1:14" x14ac:dyDescent="0.25">
      <c r="A46" s="5">
        <v>45</v>
      </c>
      <c r="B46" s="5" t="str">
        <f t="shared" si="6"/>
        <v>ЩО-4 (ЩРВ-24)</v>
      </c>
      <c r="C46" s="5" t="s">
        <v>39</v>
      </c>
      <c r="D46" s="5" t="s">
        <v>40</v>
      </c>
      <c r="E46" s="5" t="s">
        <v>41</v>
      </c>
      <c r="F46" s="6">
        <v>1094</v>
      </c>
      <c r="G46" s="6">
        <f>F46*Kurallar!$B$3</f>
        <v>1094</v>
      </c>
      <c r="H46" s="6">
        <f t="shared" si="7"/>
        <v>1094</v>
      </c>
      <c r="I46" s="18">
        <v>1</v>
      </c>
      <c r="J46" s="18" t="s">
        <v>15</v>
      </c>
      <c r="K46" s="18" t="s">
        <v>16</v>
      </c>
      <c r="L46" s="5"/>
      <c r="M46" s="5" t="s">
        <v>42</v>
      </c>
      <c r="N46">
        <v>1094</v>
      </c>
    </row>
    <row r="47" spans="1:14" x14ac:dyDescent="0.25">
      <c r="A47" s="5">
        <v>46</v>
      </c>
      <c r="B47" s="5" t="str">
        <f t="shared" si="6"/>
        <v>ЩО-4 (ЩРВ-24)</v>
      </c>
      <c r="C47" s="5" t="s">
        <v>43</v>
      </c>
      <c r="D47" s="5"/>
      <c r="E47" s="5" t="s">
        <v>44</v>
      </c>
      <c r="F47" s="6"/>
      <c r="G47" s="6">
        <f>SUM(H39:H46)*Kurallar!$B$5</f>
        <v>961.10399999999993</v>
      </c>
      <c r="H47" s="6">
        <f t="shared" si="7"/>
        <v>961.10399999999993</v>
      </c>
      <c r="I47" s="18">
        <v>1</v>
      </c>
      <c r="J47" s="18" t="s">
        <v>15</v>
      </c>
      <c r="K47" s="18" t="s">
        <v>43</v>
      </c>
      <c r="L47" s="5"/>
      <c r="M47" s="5"/>
      <c r="N47">
        <v>961.10399999999993</v>
      </c>
    </row>
    <row r="48" spans="1:14" x14ac:dyDescent="0.25">
      <c r="A48" s="5">
        <v>47</v>
      </c>
      <c r="B48" s="5" t="str">
        <f t="shared" si="6"/>
        <v>ЩО-4 (ЩРВ-24)</v>
      </c>
      <c r="C48" s="5" t="s">
        <v>45</v>
      </c>
      <c r="D48" s="5"/>
      <c r="E48" s="5" t="s">
        <v>46</v>
      </c>
      <c r="F48" s="6"/>
      <c r="G48" s="6">
        <f>SUM(H39:H46)*Kurallar!$B$6</f>
        <v>6407.3600000000006</v>
      </c>
      <c r="H48" s="6">
        <f t="shared" si="7"/>
        <v>6407.3600000000006</v>
      </c>
      <c r="I48" s="18">
        <v>1</v>
      </c>
      <c r="J48" s="18" t="s">
        <v>15</v>
      </c>
      <c r="K48" s="18" t="s">
        <v>45</v>
      </c>
      <c r="L48" s="5"/>
      <c r="M48" s="5"/>
      <c r="N48">
        <v>6407.3600000000006</v>
      </c>
    </row>
    <row r="49" spans="1:14" x14ac:dyDescent="0.25">
      <c r="A49" s="7">
        <v>48</v>
      </c>
      <c r="B49" s="8" t="s">
        <v>53</v>
      </c>
      <c r="C49" s="7"/>
      <c r="D49" s="7"/>
      <c r="E49" s="7"/>
      <c r="F49" s="9"/>
      <c r="G49" s="9"/>
      <c r="H49" s="10">
        <f>SUBTOTAL(9,H39:H48)</f>
        <v>39405.264000000003</v>
      </c>
      <c r="I49" s="7"/>
      <c r="J49" s="7"/>
      <c r="K49" s="7"/>
      <c r="L49" s="7"/>
      <c r="M49" s="7"/>
      <c r="N49">
        <v>39405.264000000003</v>
      </c>
    </row>
    <row r="50" spans="1:14" x14ac:dyDescent="0.25">
      <c r="A50" s="2">
        <v>49</v>
      </c>
      <c r="B50" s="3" t="str">
        <f>E50</f>
        <v>ЩАО-1 (ЩРВ-9)</v>
      </c>
      <c r="C50" s="2"/>
      <c r="D50" s="2"/>
      <c r="E50" s="2" t="s">
        <v>54</v>
      </c>
      <c r="F50" s="4"/>
      <c r="G50" s="4"/>
      <c r="H50" s="4"/>
      <c r="I50" s="2">
        <v>1</v>
      </c>
      <c r="J50" s="2" t="s">
        <v>13</v>
      </c>
      <c r="K50" s="2"/>
      <c r="L50" s="2"/>
      <c r="M50" s="2"/>
    </row>
    <row r="51" spans="1:14" x14ac:dyDescent="0.25">
      <c r="A51" s="5">
        <v>50</v>
      </c>
      <c r="B51" s="5" t="str">
        <f t="shared" ref="B51:B59" si="8">B50</f>
        <v>ЩАО-1 (ЩРВ-9)</v>
      </c>
      <c r="C51" s="5" t="s">
        <v>14</v>
      </c>
      <c r="D51" s="5" t="s">
        <v>220</v>
      </c>
      <c r="E51" s="5" t="s">
        <v>221</v>
      </c>
      <c r="F51" s="6">
        <v>10500</v>
      </c>
      <c r="G51" s="6">
        <f>0.6*F51</f>
        <v>6300</v>
      </c>
      <c r="H51" s="6">
        <f t="shared" ref="H51:H59" si="9">G51*I51</f>
        <v>6300</v>
      </c>
      <c r="I51" s="18">
        <v>1</v>
      </c>
      <c r="J51" s="18" t="s">
        <v>15</v>
      </c>
      <c r="K51" s="19" t="s">
        <v>222</v>
      </c>
      <c r="L51" s="5"/>
      <c r="M51" s="5" t="s">
        <v>55</v>
      </c>
      <c r="N51">
        <v>6300</v>
      </c>
    </row>
    <row r="52" spans="1:14" x14ac:dyDescent="0.25">
      <c r="A52" s="5">
        <v>51</v>
      </c>
      <c r="B52" s="5" t="str">
        <f t="shared" si="8"/>
        <v>ЩАО-1 (ЩРВ-9)</v>
      </c>
      <c r="C52" s="5" t="s">
        <v>18</v>
      </c>
      <c r="D52" s="5" t="s">
        <v>19</v>
      </c>
      <c r="E52" s="5" t="s">
        <v>20</v>
      </c>
      <c r="F52" s="6">
        <v>5334</v>
      </c>
      <c r="G52" s="6">
        <f>F52*Kurallar!$B$2</f>
        <v>3200.4</v>
      </c>
      <c r="H52" s="6">
        <f t="shared" si="9"/>
        <v>3200.4</v>
      </c>
      <c r="I52" s="18">
        <v>1</v>
      </c>
      <c r="J52" s="18" t="s">
        <v>15</v>
      </c>
      <c r="K52" s="18" t="s">
        <v>21</v>
      </c>
      <c r="L52" s="5"/>
      <c r="M52" s="5" t="s">
        <v>22</v>
      </c>
      <c r="N52">
        <v>3200.4</v>
      </c>
    </row>
    <row r="53" spans="1:14" x14ac:dyDescent="0.25">
      <c r="A53" s="5">
        <v>52</v>
      </c>
      <c r="B53" s="5" t="str">
        <f t="shared" si="8"/>
        <v>ЩАО-1 (ЩРВ-9)</v>
      </c>
      <c r="C53" s="5" t="s">
        <v>18</v>
      </c>
      <c r="D53" s="5" t="s">
        <v>23</v>
      </c>
      <c r="E53" s="5" t="s">
        <v>24</v>
      </c>
      <c r="F53" s="6">
        <v>1389</v>
      </c>
      <c r="G53" s="6">
        <f>F53*Kurallar!$B$2</f>
        <v>833.4</v>
      </c>
      <c r="H53" s="6">
        <f t="shared" si="9"/>
        <v>3333.6</v>
      </c>
      <c r="I53" s="18">
        <v>4</v>
      </c>
      <c r="J53" s="18" t="s">
        <v>15</v>
      </c>
      <c r="K53" s="18" t="s">
        <v>21</v>
      </c>
      <c r="L53" s="5"/>
      <c r="M53" s="5" t="s">
        <v>25</v>
      </c>
      <c r="N53">
        <v>3333.6</v>
      </c>
    </row>
    <row r="54" spans="1:14" x14ac:dyDescent="0.25">
      <c r="A54" s="5">
        <v>53</v>
      </c>
      <c r="B54" s="5" t="str">
        <f t="shared" si="8"/>
        <v>ЩАО-1 (ЩРВ-9)</v>
      </c>
      <c r="C54" s="5" t="s">
        <v>28</v>
      </c>
      <c r="D54" s="5" t="s">
        <v>29</v>
      </c>
      <c r="E54" s="5" t="s">
        <v>30</v>
      </c>
      <c r="F54" s="6">
        <v>415</v>
      </c>
      <c r="G54" s="6">
        <f>F54*Kurallar!$B$3</f>
        <v>415</v>
      </c>
      <c r="H54" s="6">
        <f t="shared" si="9"/>
        <v>415</v>
      </c>
      <c r="I54" s="18">
        <v>1</v>
      </c>
      <c r="J54" s="18" t="s">
        <v>15</v>
      </c>
      <c r="K54" s="19" t="s">
        <v>200</v>
      </c>
      <c r="L54" s="5"/>
      <c r="M54" s="5" t="s">
        <v>31</v>
      </c>
      <c r="N54">
        <v>415</v>
      </c>
    </row>
    <row r="55" spans="1:14" x14ac:dyDescent="0.25">
      <c r="A55" s="5">
        <v>54</v>
      </c>
      <c r="B55" s="5" t="str">
        <f t="shared" si="8"/>
        <v>ЩАО-1 (ЩРВ-9)</v>
      </c>
      <c r="C55" s="5" t="s">
        <v>28</v>
      </c>
      <c r="D55" s="5" t="s">
        <v>32</v>
      </c>
      <c r="E55" s="5" t="s">
        <v>33</v>
      </c>
      <c r="F55" s="6">
        <v>547</v>
      </c>
      <c r="G55" s="6">
        <f>F55*Kurallar!$B$3</f>
        <v>547</v>
      </c>
      <c r="H55" s="6">
        <f t="shared" si="9"/>
        <v>547</v>
      </c>
      <c r="I55" s="18">
        <v>1</v>
      </c>
      <c r="J55" s="18" t="s">
        <v>15</v>
      </c>
      <c r="K55" s="19" t="s">
        <v>200</v>
      </c>
      <c r="L55" s="5"/>
      <c r="M55" s="5" t="s">
        <v>34</v>
      </c>
      <c r="N55">
        <v>547</v>
      </c>
    </row>
    <row r="56" spans="1:14" x14ac:dyDescent="0.25">
      <c r="A56" s="5">
        <v>55</v>
      </c>
      <c r="B56" s="5" t="str">
        <f t="shared" si="8"/>
        <v>ЩАО-1 (ЩРВ-9)</v>
      </c>
      <c r="C56" s="5" t="s">
        <v>35</v>
      </c>
      <c r="D56" s="5" t="s">
        <v>36</v>
      </c>
      <c r="E56" s="5" t="s">
        <v>37</v>
      </c>
      <c r="F56" s="6">
        <v>869</v>
      </c>
      <c r="G56" s="6">
        <f>F56*Kurallar!$B$2</f>
        <v>521.4</v>
      </c>
      <c r="H56" s="6">
        <f t="shared" si="9"/>
        <v>521.4</v>
      </c>
      <c r="I56" s="18">
        <v>1</v>
      </c>
      <c r="J56" s="18" t="s">
        <v>15</v>
      </c>
      <c r="K56" s="18" t="s">
        <v>21</v>
      </c>
      <c r="L56" s="5"/>
      <c r="M56" s="5" t="s">
        <v>38</v>
      </c>
      <c r="N56">
        <v>521.4</v>
      </c>
    </row>
    <row r="57" spans="1:14" x14ac:dyDescent="0.25">
      <c r="A57" s="5">
        <v>56</v>
      </c>
      <c r="B57" s="5" t="str">
        <f t="shared" si="8"/>
        <v>ЩАО-1 (ЩРВ-9)</v>
      </c>
      <c r="C57" s="5" t="s">
        <v>39</v>
      </c>
      <c r="D57" s="5" t="s">
        <v>40</v>
      </c>
      <c r="E57" s="5" t="s">
        <v>41</v>
      </c>
      <c r="F57" s="6">
        <v>1094</v>
      </c>
      <c r="G57" s="6">
        <f>F57*Kurallar!$B$3</f>
        <v>1094</v>
      </c>
      <c r="H57" s="6">
        <f t="shared" si="9"/>
        <v>1094</v>
      </c>
      <c r="I57" s="18">
        <v>1</v>
      </c>
      <c r="J57" s="18" t="s">
        <v>15</v>
      </c>
      <c r="K57" s="18" t="s">
        <v>16</v>
      </c>
      <c r="L57" s="5"/>
      <c r="M57" s="5" t="s">
        <v>42</v>
      </c>
      <c r="N57">
        <v>1094</v>
      </c>
    </row>
    <row r="58" spans="1:14" x14ac:dyDescent="0.25">
      <c r="A58" s="5">
        <v>57</v>
      </c>
      <c r="B58" s="5" t="str">
        <f t="shared" si="8"/>
        <v>ЩАО-1 (ЩРВ-9)</v>
      </c>
      <c r="C58" s="5" t="s">
        <v>43</v>
      </c>
      <c r="D58" s="5"/>
      <c r="E58" s="5" t="s">
        <v>44</v>
      </c>
      <c r="F58" s="6"/>
      <c r="G58" s="6">
        <f>SUM(H51:H57)*Kurallar!$B$5</f>
        <v>462.34199999999998</v>
      </c>
      <c r="H58" s="6">
        <f t="shared" si="9"/>
        <v>462.34199999999998</v>
      </c>
      <c r="I58" s="18">
        <v>1</v>
      </c>
      <c r="J58" s="18" t="s">
        <v>15</v>
      </c>
      <c r="K58" s="18" t="s">
        <v>43</v>
      </c>
      <c r="L58" s="5"/>
      <c r="M58" s="5"/>
      <c r="N58">
        <v>462.34199999999998</v>
      </c>
    </row>
    <row r="59" spans="1:14" x14ac:dyDescent="0.25">
      <c r="A59" s="5">
        <v>58</v>
      </c>
      <c r="B59" s="5" t="str">
        <f t="shared" si="8"/>
        <v>ЩАО-1 (ЩРВ-9)</v>
      </c>
      <c r="C59" s="5" t="s">
        <v>45</v>
      </c>
      <c r="D59" s="5"/>
      <c r="E59" s="5" t="s">
        <v>46</v>
      </c>
      <c r="F59" s="6"/>
      <c r="G59" s="6">
        <f>SUM(H51:H57)*Kurallar!$B$6+2500</f>
        <v>5582.2800000000007</v>
      </c>
      <c r="H59" s="6">
        <f t="shared" si="9"/>
        <v>5582.2800000000007</v>
      </c>
      <c r="I59" s="18">
        <v>1</v>
      </c>
      <c r="J59" s="18" t="s">
        <v>15</v>
      </c>
      <c r="K59" s="18" t="s">
        <v>45</v>
      </c>
      <c r="L59" s="5"/>
      <c r="M59" s="5"/>
      <c r="N59">
        <v>5582.2800000000007</v>
      </c>
    </row>
    <row r="60" spans="1:14" x14ac:dyDescent="0.25">
      <c r="A60" s="7">
        <v>59</v>
      </c>
      <c r="B60" s="8" t="s">
        <v>56</v>
      </c>
      <c r="C60" s="7"/>
      <c r="D60" s="7"/>
      <c r="E60" s="7"/>
      <c r="F60" s="9"/>
      <c r="G60" s="9"/>
      <c r="H60" s="10">
        <f>SUBTOTAL(9,H51:H59)</f>
        <v>21456.022000000001</v>
      </c>
      <c r="I60" s="7"/>
      <c r="J60" s="7"/>
      <c r="K60" s="7"/>
      <c r="L60" s="7"/>
      <c r="M60" s="7"/>
      <c r="N60">
        <v>21456.022000000001</v>
      </c>
    </row>
    <row r="61" spans="1:14" x14ac:dyDescent="0.25">
      <c r="A61" s="2">
        <v>60</v>
      </c>
      <c r="B61" s="3" t="str">
        <f>E61</f>
        <v>ЩАО-2 (ЩРВ-9)</v>
      </c>
      <c r="C61" s="2"/>
      <c r="D61" s="2"/>
      <c r="E61" s="2" t="s">
        <v>57</v>
      </c>
      <c r="F61" s="4"/>
      <c r="G61" s="4"/>
      <c r="H61" s="4"/>
      <c r="I61" s="2">
        <v>1</v>
      </c>
      <c r="J61" s="2" t="s">
        <v>13</v>
      </c>
      <c r="K61" s="2"/>
      <c r="L61" s="2"/>
      <c r="M61" s="2"/>
    </row>
    <row r="62" spans="1:14" x14ac:dyDescent="0.25">
      <c r="A62" s="5">
        <v>61</v>
      </c>
      <c r="B62" s="5" t="str">
        <f t="shared" ref="B62:B70" si="10">B61</f>
        <v>ЩАО-2 (ЩРВ-9)</v>
      </c>
      <c r="C62" s="5" t="s">
        <v>14</v>
      </c>
      <c r="D62" s="5" t="s">
        <v>220</v>
      </c>
      <c r="E62" s="5" t="s">
        <v>221</v>
      </c>
      <c r="F62" s="6">
        <v>10500</v>
      </c>
      <c r="G62" s="6">
        <f>0.6*F62</f>
        <v>6300</v>
      </c>
      <c r="H62" s="6">
        <f t="shared" ref="H62:H70" si="11">G62*I62</f>
        <v>6300</v>
      </c>
      <c r="I62" s="18">
        <v>1</v>
      </c>
      <c r="J62" s="18" t="s">
        <v>15</v>
      </c>
      <c r="K62" s="19" t="s">
        <v>222</v>
      </c>
      <c r="L62" s="5"/>
      <c r="M62" s="5" t="s">
        <v>55</v>
      </c>
      <c r="N62">
        <v>6300</v>
      </c>
    </row>
    <row r="63" spans="1:14" x14ac:dyDescent="0.25">
      <c r="A63" s="5">
        <v>62</v>
      </c>
      <c r="B63" s="5" t="str">
        <f t="shared" si="10"/>
        <v>ЩАО-2 (ЩРВ-9)</v>
      </c>
      <c r="C63" s="5" t="s">
        <v>18</v>
      </c>
      <c r="D63" s="5" t="s">
        <v>19</v>
      </c>
      <c r="E63" s="5" t="s">
        <v>20</v>
      </c>
      <c r="F63" s="6">
        <v>5334</v>
      </c>
      <c r="G63" s="6">
        <f>F63*Kurallar!$B$2</f>
        <v>3200.4</v>
      </c>
      <c r="H63" s="6">
        <f t="shared" si="11"/>
        <v>3200.4</v>
      </c>
      <c r="I63" s="18">
        <v>1</v>
      </c>
      <c r="J63" s="18" t="s">
        <v>15</v>
      </c>
      <c r="K63" s="18" t="s">
        <v>21</v>
      </c>
      <c r="L63" s="5"/>
      <c r="M63" s="5" t="s">
        <v>22</v>
      </c>
      <c r="N63">
        <v>3200.4</v>
      </c>
    </row>
    <row r="64" spans="1:14" x14ac:dyDescent="0.25">
      <c r="A64" s="5">
        <v>63</v>
      </c>
      <c r="B64" s="5" t="str">
        <f t="shared" si="10"/>
        <v>ЩАО-2 (ЩРВ-9)</v>
      </c>
      <c r="C64" s="5" t="s">
        <v>18</v>
      </c>
      <c r="D64" s="5" t="s">
        <v>23</v>
      </c>
      <c r="E64" s="5" t="s">
        <v>24</v>
      </c>
      <c r="F64" s="6">
        <v>1389</v>
      </c>
      <c r="G64" s="6">
        <f>F64*Kurallar!$B$2</f>
        <v>833.4</v>
      </c>
      <c r="H64" s="6">
        <f t="shared" si="11"/>
        <v>2500.1999999999998</v>
      </c>
      <c r="I64" s="18">
        <v>3</v>
      </c>
      <c r="J64" s="18" t="s">
        <v>15</v>
      </c>
      <c r="K64" s="18" t="s">
        <v>21</v>
      </c>
      <c r="L64" s="5"/>
      <c r="M64" s="5" t="s">
        <v>25</v>
      </c>
      <c r="N64">
        <v>2500.1999999999998</v>
      </c>
    </row>
    <row r="65" spans="1:14" x14ac:dyDescent="0.25">
      <c r="A65" s="5">
        <v>64</v>
      </c>
      <c r="B65" s="5" t="str">
        <f t="shared" si="10"/>
        <v>ЩАО-2 (ЩРВ-9)</v>
      </c>
      <c r="C65" s="5" t="s">
        <v>28</v>
      </c>
      <c r="D65" s="5" t="s">
        <v>29</v>
      </c>
      <c r="E65" s="5" t="s">
        <v>30</v>
      </c>
      <c r="F65" s="6">
        <v>415</v>
      </c>
      <c r="G65" s="6">
        <f>F65*Kurallar!$B$3</f>
        <v>415</v>
      </c>
      <c r="H65" s="6">
        <f t="shared" si="11"/>
        <v>415</v>
      </c>
      <c r="I65" s="18">
        <v>1</v>
      </c>
      <c r="J65" s="18" t="s">
        <v>15</v>
      </c>
      <c r="K65" s="19" t="s">
        <v>200</v>
      </c>
      <c r="L65" s="5"/>
      <c r="M65" s="5" t="s">
        <v>31</v>
      </c>
      <c r="N65">
        <v>415</v>
      </c>
    </row>
    <row r="66" spans="1:14" x14ac:dyDescent="0.25">
      <c r="A66" s="5">
        <v>65</v>
      </c>
      <c r="B66" s="5" t="str">
        <f t="shared" si="10"/>
        <v>ЩАО-2 (ЩРВ-9)</v>
      </c>
      <c r="C66" s="5" t="s">
        <v>28</v>
      </c>
      <c r="D66" s="5" t="s">
        <v>32</v>
      </c>
      <c r="E66" s="5" t="s">
        <v>33</v>
      </c>
      <c r="F66" s="6">
        <v>547</v>
      </c>
      <c r="G66" s="6">
        <f>F66*Kurallar!$B$3</f>
        <v>547</v>
      </c>
      <c r="H66" s="6">
        <f t="shared" si="11"/>
        <v>547</v>
      </c>
      <c r="I66" s="18">
        <v>1</v>
      </c>
      <c r="J66" s="18" t="s">
        <v>15</v>
      </c>
      <c r="K66" s="19" t="s">
        <v>200</v>
      </c>
      <c r="L66" s="5"/>
      <c r="M66" s="5" t="s">
        <v>34</v>
      </c>
      <c r="N66">
        <v>547</v>
      </c>
    </row>
    <row r="67" spans="1:14" x14ac:dyDescent="0.25">
      <c r="A67" s="5">
        <v>66</v>
      </c>
      <c r="B67" s="5" t="str">
        <f t="shared" si="10"/>
        <v>ЩАО-2 (ЩРВ-9)</v>
      </c>
      <c r="C67" s="5" t="s">
        <v>35</v>
      </c>
      <c r="D67" s="5" t="s">
        <v>36</v>
      </c>
      <c r="E67" s="5" t="s">
        <v>37</v>
      </c>
      <c r="F67" s="6">
        <v>869</v>
      </c>
      <c r="G67" s="6">
        <f>F67*Kurallar!$B$2</f>
        <v>521.4</v>
      </c>
      <c r="H67" s="6">
        <f t="shared" si="11"/>
        <v>521.4</v>
      </c>
      <c r="I67" s="18">
        <v>1</v>
      </c>
      <c r="J67" s="18" t="s">
        <v>15</v>
      </c>
      <c r="K67" s="18" t="s">
        <v>21</v>
      </c>
      <c r="L67" s="5"/>
      <c r="M67" s="5" t="s">
        <v>38</v>
      </c>
      <c r="N67">
        <v>521.4</v>
      </c>
    </row>
    <row r="68" spans="1:14" x14ac:dyDescent="0.25">
      <c r="A68" s="5">
        <v>67</v>
      </c>
      <c r="B68" s="5" t="str">
        <f t="shared" si="10"/>
        <v>ЩАО-2 (ЩРВ-9)</v>
      </c>
      <c r="C68" s="5" t="s">
        <v>39</v>
      </c>
      <c r="D68" s="5" t="s">
        <v>40</v>
      </c>
      <c r="E68" s="5" t="s">
        <v>41</v>
      </c>
      <c r="F68" s="6">
        <v>1094</v>
      </c>
      <c r="G68" s="6">
        <f>F68*Kurallar!$B$3</f>
        <v>1094</v>
      </c>
      <c r="H68" s="6">
        <f t="shared" si="11"/>
        <v>1094</v>
      </c>
      <c r="I68" s="18">
        <v>1</v>
      </c>
      <c r="J68" s="18" t="s">
        <v>15</v>
      </c>
      <c r="K68" s="18" t="s">
        <v>16</v>
      </c>
      <c r="L68" s="5"/>
      <c r="M68" s="5" t="s">
        <v>42</v>
      </c>
      <c r="N68">
        <v>1094</v>
      </c>
    </row>
    <row r="69" spans="1:14" x14ac:dyDescent="0.25">
      <c r="A69" s="5">
        <v>68</v>
      </c>
      <c r="B69" s="5" t="str">
        <f t="shared" si="10"/>
        <v>ЩАО-2 (ЩРВ-9)</v>
      </c>
      <c r="C69" s="5" t="s">
        <v>43</v>
      </c>
      <c r="D69" s="5"/>
      <c r="E69" s="5" t="s">
        <v>44</v>
      </c>
      <c r="F69" s="6"/>
      <c r="G69" s="6">
        <f>SUM(H62:H68)*Kurallar!$B$5</f>
        <v>437.33999999999992</v>
      </c>
      <c r="H69" s="6">
        <f t="shared" si="11"/>
        <v>437.33999999999992</v>
      </c>
      <c r="I69" s="18">
        <v>1</v>
      </c>
      <c r="J69" s="18" t="s">
        <v>15</v>
      </c>
      <c r="K69" s="18" t="s">
        <v>43</v>
      </c>
      <c r="L69" s="5"/>
      <c r="M69" s="5"/>
      <c r="N69">
        <v>437.33999999999992</v>
      </c>
    </row>
    <row r="70" spans="1:14" x14ac:dyDescent="0.25">
      <c r="A70" s="5">
        <v>69</v>
      </c>
      <c r="B70" s="5" t="str">
        <f t="shared" si="10"/>
        <v>ЩАО-2 (ЩРВ-9)</v>
      </c>
      <c r="C70" s="5" t="s">
        <v>45</v>
      </c>
      <c r="D70" s="5"/>
      <c r="E70" s="5" t="s">
        <v>46</v>
      </c>
      <c r="F70" s="6"/>
      <c r="G70" s="6">
        <f>SUM(H62:H68)*Kurallar!$B$6+2500</f>
        <v>5415.6</v>
      </c>
      <c r="H70" s="6">
        <f t="shared" si="11"/>
        <v>5415.6</v>
      </c>
      <c r="I70" s="18">
        <v>1</v>
      </c>
      <c r="J70" s="18" t="s">
        <v>15</v>
      </c>
      <c r="K70" s="18" t="s">
        <v>45</v>
      </c>
      <c r="L70" s="5"/>
      <c r="M70" s="5"/>
      <c r="N70">
        <v>5415.6</v>
      </c>
    </row>
    <row r="71" spans="1:14" x14ac:dyDescent="0.25">
      <c r="A71" s="7">
        <v>70</v>
      </c>
      <c r="B71" s="8" t="s">
        <v>58</v>
      </c>
      <c r="C71" s="7"/>
      <c r="D71" s="7"/>
      <c r="E71" s="7"/>
      <c r="F71" s="9"/>
      <c r="G71" s="9"/>
      <c r="H71" s="10">
        <f>SUBTOTAL(9,H62:H70)</f>
        <v>20430.939999999999</v>
      </c>
      <c r="I71" s="7"/>
      <c r="J71" s="7"/>
      <c r="K71" s="7"/>
      <c r="L71" s="7"/>
      <c r="M71" s="7"/>
      <c r="N71">
        <v>20430.939999999999</v>
      </c>
    </row>
    <row r="72" spans="1:14" x14ac:dyDescent="0.25">
      <c r="A72" s="2">
        <v>71</v>
      </c>
      <c r="B72" s="3" t="str">
        <f>E72</f>
        <v>ЩС-1 (ЩРВ-36)</v>
      </c>
      <c r="C72" s="2"/>
      <c r="D72" s="2"/>
      <c r="E72" s="2" t="s">
        <v>59</v>
      </c>
      <c r="F72" s="4"/>
      <c r="G72" s="4"/>
      <c r="H72" s="4"/>
      <c r="I72" s="2">
        <v>1</v>
      </c>
      <c r="J72" s="2" t="s">
        <v>13</v>
      </c>
      <c r="K72" s="2"/>
      <c r="L72" s="2"/>
      <c r="M72" s="2"/>
    </row>
    <row r="73" spans="1:14" x14ac:dyDescent="0.25">
      <c r="A73" s="5">
        <v>72</v>
      </c>
      <c r="B73" s="5" t="str">
        <f t="shared" ref="B73:B81" si="12">B72</f>
        <v>ЩС-1 (ЩРВ-36)</v>
      </c>
      <c r="C73" s="5" t="s">
        <v>14</v>
      </c>
      <c r="D73" s="5" t="s">
        <v>214</v>
      </c>
      <c r="E73" s="5" t="s">
        <v>215</v>
      </c>
      <c r="F73" s="6">
        <v>18500</v>
      </c>
      <c r="G73" s="6">
        <f>0.6*F73</f>
        <v>11100</v>
      </c>
      <c r="H73" s="6">
        <f t="shared" ref="H73:H81" si="13">G73*I73</f>
        <v>11100</v>
      </c>
      <c r="I73" s="18">
        <v>1</v>
      </c>
      <c r="J73" s="18" t="s">
        <v>15</v>
      </c>
      <c r="K73" s="19" t="s">
        <v>222</v>
      </c>
      <c r="L73" s="5"/>
      <c r="M73" s="5" t="s">
        <v>60</v>
      </c>
      <c r="N73">
        <v>11100</v>
      </c>
    </row>
    <row r="74" spans="1:14" x14ac:dyDescent="0.25">
      <c r="A74" s="5">
        <v>73</v>
      </c>
      <c r="B74" s="5" t="str">
        <f t="shared" si="12"/>
        <v>ЩС-1 (ЩРВ-36)</v>
      </c>
      <c r="C74" s="5" t="s">
        <v>18</v>
      </c>
      <c r="D74" s="5" t="s">
        <v>19</v>
      </c>
      <c r="E74" s="5" t="s">
        <v>20</v>
      </c>
      <c r="F74" s="6">
        <v>5334</v>
      </c>
      <c r="G74" s="6">
        <f>F74*Kurallar!$B$2</f>
        <v>3200.4</v>
      </c>
      <c r="H74" s="6">
        <f t="shared" si="13"/>
        <v>3200.4</v>
      </c>
      <c r="I74" s="18">
        <v>1</v>
      </c>
      <c r="J74" s="18" t="s">
        <v>15</v>
      </c>
      <c r="K74" s="18" t="s">
        <v>21</v>
      </c>
      <c r="L74" s="5"/>
      <c r="M74" s="5" t="s">
        <v>22</v>
      </c>
      <c r="N74">
        <v>3200.4</v>
      </c>
    </row>
    <row r="75" spans="1:14" x14ac:dyDescent="0.25">
      <c r="A75" s="5">
        <v>74</v>
      </c>
      <c r="B75" s="5" t="str">
        <f t="shared" si="12"/>
        <v>ЩС-1 (ЩРВ-36)</v>
      </c>
      <c r="C75" s="5" t="s">
        <v>26</v>
      </c>
      <c r="D75" s="5" t="s">
        <v>192</v>
      </c>
      <c r="E75" s="5" t="s">
        <v>193</v>
      </c>
      <c r="F75" s="6">
        <v>5104</v>
      </c>
      <c r="G75" s="6">
        <f>F75*Kurallar!$B$2</f>
        <v>3062.4</v>
      </c>
      <c r="H75" s="6">
        <f t="shared" si="13"/>
        <v>27561.600000000002</v>
      </c>
      <c r="I75" s="18">
        <v>9</v>
      </c>
      <c r="J75" s="18" t="s">
        <v>15</v>
      </c>
      <c r="K75" s="18" t="s">
        <v>21</v>
      </c>
      <c r="L75" s="5"/>
      <c r="M75" s="5" t="s">
        <v>27</v>
      </c>
      <c r="N75">
        <v>27561.600000000002</v>
      </c>
    </row>
    <row r="76" spans="1:14" x14ac:dyDescent="0.25">
      <c r="A76" s="5">
        <v>75</v>
      </c>
      <c r="B76" s="5" t="str">
        <f t="shared" si="12"/>
        <v>ЩС-1 (ЩРВ-36)</v>
      </c>
      <c r="C76" s="5" t="s">
        <v>28</v>
      </c>
      <c r="D76" s="5" t="s">
        <v>29</v>
      </c>
      <c r="E76" s="5" t="s">
        <v>30</v>
      </c>
      <c r="F76" s="6">
        <v>415</v>
      </c>
      <c r="G76" s="6">
        <f>F76*Kurallar!$B$3</f>
        <v>415</v>
      </c>
      <c r="H76" s="6">
        <f t="shared" si="13"/>
        <v>415</v>
      </c>
      <c r="I76" s="18">
        <v>1</v>
      </c>
      <c r="J76" s="18" t="s">
        <v>15</v>
      </c>
      <c r="K76" s="19" t="s">
        <v>200</v>
      </c>
      <c r="L76" s="5"/>
      <c r="M76" s="5" t="s">
        <v>31</v>
      </c>
      <c r="N76">
        <v>415</v>
      </c>
    </row>
    <row r="77" spans="1:14" x14ac:dyDescent="0.25">
      <c r="A77" s="5">
        <v>76</v>
      </c>
      <c r="B77" s="5" t="str">
        <f t="shared" si="12"/>
        <v>ЩС-1 (ЩРВ-36)</v>
      </c>
      <c r="C77" s="5" t="s">
        <v>28</v>
      </c>
      <c r="D77" s="5" t="s">
        <v>32</v>
      </c>
      <c r="E77" s="5" t="s">
        <v>33</v>
      </c>
      <c r="F77" s="6">
        <v>547</v>
      </c>
      <c r="G77" s="6">
        <f>F77*Kurallar!$B$3</f>
        <v>547</v>
      </c>
      <c r="H77" s="6">
        <f t="shared" si="13"/>
        <v>547</v>
      </c>
      <c r="I77" s="18">
        <v>1</v>
      </c>
      <c r="J77" s="18" t="s">
        <v>15</v>
      </c>
      <c r="K77" s="19" t="s">
        <v>200</v>
      </c>
      <c r="L77" s="5"/>
      <c r="M77" s="5" t="s">
        <v>34</v>
      </c>
      <c r="N77">
        <v>547</v>
      </c>
    </row>
    <row r="78" spans="1:14" x14ac:dyDescent="0.25">
      <c r="A78" s="5">
        <v>77</v>
      </c>
      <c r="B78" s="5" t="str">
        <f t="shared" si="12"/>
        <v>ЩС-1 (ЩРВ-36)</v>
      </c>
      <c r="C78" s="5" t="s">
        <v>35</v>
      </c>
      <c r="D78" s="5" t="s">
        <v>36</v>
      </c>
      <c r="E78" s="5" t="s">
        <v>37</v>
      </c>
      <c r="F78" s="6">
        <v>869</v>
      </c>
      <c r="G78" s="6">
        <f>F78*Kurallar!$B$2</f>
        <v>521.4</v>
      </c>
      <c r="H78" s="6">
        <f t="shared" si="13"/>
        <v>1042.8</v>
      </c>
      <c r="I78" s="18">
        <v>2</v>
      </c>
      <c r="J78" s="18" t="s">
        <v>15</v>
      </c>
      <c r="K78" s="18" t="s">
        <v>21</v>
      </c>
      <c r="L78" s="5"/>
      <c r="M78" s="5" t="s">
        <v>38</v>
      </c>
      <c r="N78">
        <v>1042.8</v>
      </c>
    </row>
    <row r="79" spans="1:14" x14ac:dyDescent="0.25">
      <c r="A79" s="5">
        <v>78</v>
      </c>
      <c r="B79" s="5" t="str">
        <f t="shared" si="12"/>
        <v>ЩС-1 (ЩРВ-36)</v>
      </c>
      <c r="C79" s="5" t="s">
        <v>39</v>
      </c>
      <c r="D79" s="5" t="s">
        <v>40</v>
      </c>
      <c r="E79" s="5" t="s">
        <v>41</v>
      </c>
      <c r="F79" s="6">
        <v>1094</v>
      </c>
      <c r="G79" s="6">
        <f>F79*Kurallar!$B$3</f>
        <v>1094</v>
      </c>
      <c r="H79" s="6">
        <f t="shared" si="13"/>
        <v>1094</v>
      </c>
      <c r="I79" s="18">
        <v>1</v>
      </c>
      <c r="J79" s="18" t="s">
        <v>15</v>
      </c>
      <c r="K79" s="18" t="s">
        <v>16</v>
      </c>
      <c r="L79" s="5"/>
      <c r="M79" s="5" t="s">
        <v>42</v>
      </c>
      <c r="N79">
        <v>1094</v>
      </c>
    </row>
    <row r="80" spans="1:14" x14ac:dyDescent="0.25">
      <c r="A80" s="5">
        <v>79</v>
      </c>
      <c r="B80" s="5" t="str">
        <f t="shared" si="12"/>
        <v>ЩС-1 (ЩРВ-36)</v>
      </c>
      <c r="C80" s="5" t="s">
        <v>43</v>
      </c>
      <c r="D80" s="5"/>
      <c r="E80" s="5" t="s">
        <v>44</v>
      </c>
      <c r="F80" s="6"/>
      <c r="G80" s="6">
        <f>SUM(H73:H79)*Kurallar!$B$5</f>
        <v>1348.8240000000001</v>
      </c>
      <c r="H80" s="6">
        <f t="shared" si="13"/>
        <v>1348.8240000000001</v>
      </c>
      <c r="I80" s="18">
        <v>1</v>
      </c>
      <c r="J80" s="18" t="s">
        <v>15</v>
      </c>
      <c r="K80" s="18" t="s">
        <v>43</v>
      </c>
      <c r="L80" s="5"/>
      <c r="M80" s="5"/>
      <c r="N80">
        <v>1348.8240000000001</v>
      </c>
    </row>
    <row r="81" spans="1:14" x14ac:dyDescent="0.25">
      <c r="A81" s="5">
        <v>80</v>
      </c>
      <c r="B81" s="5" t="str">
        <f t="shared" si="12"/>
        <v>ЩС-1 (ЩРВ-36)</v>
      </c>
      <c r="C81" s="5" t="s">
        <v>45</v>
      </c>
      <c r="D81" s="5"/>
      <c r="E81" s="5" t="s">
        <v>46</v>
      </c>
      <c r="F81" s="6"/>
      <c r="G81" s="6">
        <f>SUM(H73:H79)*Kurallar!$B$6+400</f>
        <v>9392.1600000000017</v>
      </c>
      <c r="H81" s="6">
        <f t="shared" si="13"/>
        <v>9392.1600000000017</v>
      </c>
      <c r="I81" s="18">
        <v>1</v>
      </c>
      <c r="J81" s="18" t="s">
        <v>15</v>
      </c>
      <c r="K81" s="18" t="s">
        <v>45</v>
      </c>
      <c r="L81" s="5"/>
      <c r="M81" s="5"/>
      <c r="N81">
        <v>9392.1600000000017</v>
      </c>
    </row>
    <row r="82" spans="1:14" x14ac:dyDescent="0.25">
      <c r="A82" s="7">
        <v>81</v>
      </c>
      <c r="B82" s="8" t="s">
        <v>61</v>
      </c>
      <c r="C82" s="7"/>
      <c r="D82" s="7"/>
      <c r="E82" s="7"/>
      <c r="F82" s="9"/>
      <c r="G82" s="9"/>
      <c r="H82" s="10">
        <f>SUBTOTAL(9,H73:H81)</f>
        <v>55701.784000000007</v>
      </c>
      <c r="I82" s="7"/>
      <c r="J82" s="7"/>
      <c r="K82" s="7"/>
      <c r="L82" s="7"/>
      <c r="M82" s="7"/>
      <c r="N82">
        <v>55701.784000000007</v>
      </c>
    </row>
    <row r="83" spans="1:14" x14ac:dyDescent="0.25">
      <c r="A83" s="2">
        <v>82</v>
      </c>
      <c r="B83" s="3" t="str">
        <f>E83</f>
        <v>ЩС-2 (ЩРВ-48)</v>
      </c>
      <c r="C83" s="2"/>
      <c r="D83" s="2"/>
      <c r="E83" s="2" t="s">
        <v>62</v>
      </c>
      <c r="F83" s="4"/>
      <c r="G83" s="4"/>
      <c r="H83" s="4"/>
      <c r="I83" s="2">
        <v>1</v>
      </c>
      <c r="J83" s="2" t="s">
        <v>13</v>
      </c>
      <c r="K83" s="2"/>
      <c r="L83" s="2"/>
      <c r="M83" s="2"/>
    </row>
    <row r="84" spans="1:14" x14ac:dyDescent="0.25">
      <c r="A84" s="5">
        <v>83</v>
      </c>
      <c r="B84" s="5" t="str">
        <f t="shared" ref="B84:B93" si="14">B83</f>
        <v>ЩС-2 (ЩРВ-48)</v>
      </c>
      <c r="C84" s="5" t="s">
        <v>14</v>
      </c>
      <c r="D84" s="5" t="s">
        <v>216</v>
      </c>
      <c r="E84" s="5" t="s">
        <v>217</v>
      </c>
      <c r="F84" s="6">
        <v>19000</v>
      </c>
      <c r="G84" s="6">
        <f>0.6*F84</f>
        <v>11400</v>
      </c>
      <c r="H84" s="6">
        <f t="shared" ref="H84:H93" si="15">G84*I84</f>
        <v>11400</v>
      </c>
      <c r="I84" s="18">
        <v>1</v>
      </c>
      <c r="J84" s="18" t="s">
        <v>15</v>
      </c>
      <c r="K84" s="19" t="s">
        <v>222</v>
      </c>
      <c r="L84" s="5"/>
      <c r="M84" s="5" t="s">
        <v>63</v>
      </c>
      <c r="N84">
        <v>11400</v>
      </c>
    </row>
    <row r="85" spans="1:14" x14ac:dyDescent="0.25">
      <c r="A85" s="5">
        <v>84</v>
      </c>
      <c r="B85" s="5" t="str">
        <f t="shared" si="14"/>
        <v>ЩС-2 (ЩРВ-48)</v>
      </c>
      <c r="C85" s="5" t="s">
        <v>18</v>
      </c>
      <c r="D85" s="5" t="s">
        <v>19</v>
      </c>
      <c r="E85" s="5" t="s">
        <v>20</v>
      </c>
      <c r="F85" s="6">
        <v>5334</v>
      </c>
      <c r="G85" s="6">
        <f>F85*Kurallar!$B$2</f>
        <v>3200.4</v>
      </c>
      <c r="H85" s="6">
        <f t="shared" si="15"/>
        <v>3200.4</v>
      </c>
      <c r="I85" s="18">
        <v>1</v>
      </c>
      <c r="J85" s="18" t="s">
        <v>15</v>
      </c>
      <c r="K85" s="18" t="s">
        <v>21</v>
      </c>
      <c r="L85" s="5"/>
      <c r="M85" s="5" t="s">
        <v>22</v>
      </c>
      <c r="N85">
        <v>3200.4</v>
      </c>
    </row>
    <row r="86" spans="1:14" x14ac:dyDescent="0.25">
      <c r="A86" s="5">
        <v>85</v>
      </c>
      <c r="B86" s="5" t="str">
        <f t="shared" si="14"/>
        <v>ЩС-2 (ЩРВ-48)</v>
      </c>
      <c r="C86" s="5" t="s">
        <v>26</v>
      </c>
      <c r="D86" s="5" t="s">
        <v>192</v>
      </c>
      <c r="E86" s="5" t="s">
        <v>193</v>
      </c>
      <c r="F86" s="6">
        <v>5104</v>
      </c>
      <c r="G86" s="6">
        <f>F86*Kurallar!$B$2</f>
        <v>3062.4</v>
      </c>
      <c r="H86" s="6">
        <f t="shared" si="15"/>
        <v>33686.400000000001</v>
      </c>
      <c r="I86" s="18">
        <v>11</v>
      </c>
      <c r="J86" s="18" t="s">
        <v>15</v>
      </c>
      <c r="K86" s="18" t="s">
        <v>21</v>
      </c>
      <c r="L86" s="5"/>
      <c r="M86" s="5" t="s">
        <v>27</v>
      </c>
      <c r="N86">
        <v>33686.400000000001</v>
      </c>
    </row>
    <row r="87" spans="1:14" x14ac:dyDescent="0.25">
      <c r="A87" s="5">
        <v>86</v>
      </c>
      <c r="B87" s="5" t="str">
        <f t="shared" si="14"/>
        <v>ЩС-2 (ЩРВ-48)</v>
      </c>
      <c r="C87" s="5" t="s">
        <v>26</v>
      </c>
      <c r="D87" s="5" t="s">
        <v>194</v>
      </c>
      <c r="E87" s="5" t="s">
        <v>195</v>
      </c>
      <c r="F87" s="6">
        <v>5632</v>
      </c>
      <c r="G87" s="6">
        <f>F87*Kurallar!$B$2</f>
        <v>3379.2</v>
      </c>
      <c r="H87" s="6">
        <f t="shared" si="15"/>
        <v>3379.2</v>
      </c>
      <c r="I87" s="18">
        <v>1</v>
      </c>
      <c r="J87" s="18" t="s">
        <v>15</v>
      </c>
      <c r="K87" s="18" t="s">
        <v>21</v>
      </c>
      <c r="L87" s="5"/>
      <c r="M87" s="5" t="s">
        <v>64</v>
      </c>
      <c r="N87">
        <v>3379.2</v>
      </c>
    </row>
    <row r="88" spans="1:14" x14ac:dyDescent="0.25">
      <c r="A88" s="5">
        <v>87</v>
      </c>
      <c r="B88" s="5" t="str">
        <f t="shared" si="14"/>
        <v>ЩС-2 (ЩРВ-48)</v>
      </c>
      <c r="C88" s="5" t="s">
        <v>28</v>
      </c>
      <c r="D88" s="5" t="s">
        <v>29</v>
      </c>
      <c r="E88" s="5" t="s">
        <v>30</v>
      </c>
      <c r="F88" s="6">
        <v>415</v>
      </c>
      <c r="G88" s="6">
        <f>F88*Kurallar!$B$3</f>
        <v>415</v>
      </c>
      <c r="H88" s="6">
        <f t="shared" si="15"/>
        <v>415</v>
      </c>
      <c r="I88" s="18">
        <v>1</v>
      </c>
      <c r="J88" s="18" t="s">
        <v>15</v>
      </c>
      <c r="K88" s="19" t="s">
        <v>200</v>
      </c>
      <c r="L88" s="5"/>
      <c r="M88" s="5" t="s">
        <v>31</v>
      </c>
      <c r="N88">
        <v>415</v>
      </c>
    </row>
    <row r="89" spans="1:14" x14ac:dyDescent="0.25">
      <c r="A89" s="5">
        <v>88</v>
      </c>
      <c r="B89" s="5" t="str">
        <f t="shared" si="14"/>
        <v>ЩС-2 (ЩРВ-48)</v>
      </c>
      <c r="C89" s="5" t="s">
        <v>28</v>
      </c>
      <c r="D89" s="5" t="s">
        <v>32</v>
      </c>
      <c r="E89" s="5" t="s">
        <v>33</v>
      </c>
      <c r="F89" s="6">
        <v>547</v>
      </c>
      <c r="G89" s="6">
        <f>F89*Kurallar!$B$3</f>
        <v>547</v>
      </c>
      <c r="H89" s="6">
        <f t="shared" si="15"/>
        <v>547</v>
      </c>
      <c r="I89" s="18">
        <v>1</v>
      </c>
      <c r="J89" s="18" t="s">
        <v>15</v>
      </c>
      <c r="K89" s="19" t="s">
        <v>200</v>
      </c>
      <c r="L89" s="5"/>
      <c r="M89" s="5" t="s">
        <v>34</v>
      </c>
      <c r="N89">
        <v>547</v>
      </c>
    </row>
    <row r="90" spans="1:14" x14ac:dyDescent="0.25">
      <c r="A90" s="5">
        <v>89</v>
      </c>
      <c r="B90" s="5" t="str">
        <f t="shared" si="14"/>
        <v>ЩС-2 (ЩРВ-48)</v>
      </c>
      <c r="C90" s="5" t="s">
        <v>35</v>
      </c>
      <c r="D90" s="5" t="s">
        <v>36</v>
      </c>
      <c r="E90" s="5" t="s">
        <v>37</v>
      </c>
      <c r="F90" s="6">
        <v>869</v>
      </c>
      <c r="G90" s="6">
        <f>F90*Kurallar!$B$2</f>
        <v>521.4</v>
      </c>
      <c r="H90" s="6">
        <f t="shared" si="15"/>
        <v>1042.8</v>
      </c>
      <c r="I90" s="18">
        <v>2</v>
      </c>
      <c r="J90" s="18" t="s">
        <v>15</v>
      </c>
      <c r="K90" s="18" t="s">
        <v>21</v>
      </c>
      <c r="L90" s="5"/>
      <c r="M90" s="5" t="s">
        <v>38</v>
      </c>
      <c r="N90">
        <v>1042.8</v>
      </c>
    </row>
    <row r="91" spans="1:14" x14ac:dyDescent="0.25">
      <c r="A91" s="5">
        <v>90</v>
      </c>
      <c r="B91" s="5" t="str">
        <f t="shared" si="14"/>
        <v>ЩС-2 (ЩРВ-48)</v>
      </c>
      <c r="C91" s="5" t="s">
        <v>39</v>
      </c>
      <c r="D91" s="5" t="s">
        <v>40</v>
      </c>
      <c r="E91" s="5" t="s">
        <v>41</v>
      </c>
      <c r="F91" s="6">
        <v>1094</v>
      </c>
      <c r="G91" s="6">
        <f>F91*Kurallar!$B$3</f>
        <v>1094</v>
      </c>
      <c r="H91" s="6">
        <f t="shared" si="15"/>
        <v>2188</v>
      </c>
      <c r="I91" s="18">
        <v>2</v>
      </c>
      <c r="J91" s="18" t="s">
        <v>15</v>
      </c>
      <c r="K91" s="18" t="s">
        <v>16</v>
      </c>
      <c r="L91" s="5"/>
      <c r="M91" s="5" t="s">
        <v>42</v>
      </c>
      <c r="N91">
        <v>2188</v>
      </c>
    </row>
    <row r="92" spans="1:14" x14ac:dyDescent="0.25">
      <c r="A92" s="5">
        <v>91</v>
      </c>
      <c r="B92" s="5" t="str">
        <f t="shared" si="14"/>
        <v>ЩС-2 (ЩРВ-48)</v>
      </c>
      <c r="C92" s="5" t="s">
        <v>43</v>
      </c>
      <c r="D92" s="5"/>
      <c r="E92" s="5" t="s">
        <v>44</v>
      </c>
      <c r="F92" s="6"/>
      <c r="G92" s="6">
        <f>SUM(H84:H91)*Kurallar!$B$5</f>
        <v>1675.7640000000001</v>
      </c>
      <c r="H92" s="6">
        <f t="shared" si="15"/>
        <v>1675.7640000000001</v>
      </c>
      <c r="I92" s="18">
        <v>1</v>
      </c>
      <c r="J92" s="18" t="s">
        <v>15</v>
      </c>
      <c r="K92" s="18" t="s">
        <v>43</v>
      </c>
      <c r="L92" s="5"/>
      <c r="M92" s="5"/>
      <c r="N92">
        <v>1675.7640000000001</v>
      </c>
    </row>
    <row r="93" spans="1:14" x14ac:dyDescent="0.25">
      <c r="A93" s="5">
        <v>92</v>
      </c>
      <c r="B93" s="5" t="str">
        <f t="shared" si="14"/>
        <v>ЩС-2 (ЩРВ-48)</v>
      </c>
      <c r="C93" s="5" t="s">
        <v>45</v>
      </c>
      <c r="D93" s="5"/>
      <c r="E93" s="5" t="s">
        <v>46</v>
      </c>
      <c r="F93" s="6"/>
      <c r="G93" s="6">
        <f>SUM(H84:H91)*Kurallar!$B$6+3000</f>
        <v>14171.760000000002</v>
      </c>
      <c r="H93" s="6">
        <f t="shared" si="15"/>
        <v>14171.760000000002</v>
      </c>
      <c r="I93" s="18">
        <v>1</v>
      </c>
      <c r="J93" s="18" t="s">
        <v>15</v>
      </c>
      <c r="K93" s="18" t="s">
        <v>45</v>
      </c>
      <c r="L93" s="5"/>
      <c r="M93" s="5"/>
      <c r="N93">
        <v>14171.760000000002</v>
      </c>
    </row>
    <row r="94" spans="1:14" x14ac:dyDescent="0.25">
      <c r="A94" s="7">
        <v>93</v>
      </c>
      <c r="B94" s="8" t="s">
        <v>65</v>
      </c>
      <c r="C94" s="7"/>
      <c r="D94" s="7"/>
      <c r="E94" s="7"/>
      <c r="F94" s="9"/>
      <c r="G94" s="9"/>
      <c r="H94" s="10">
        <f>SUBTOTAL(9,H84:H93)</f>
        <v>71706.324000000008</v>
      </c>
      <c r="I94" s="7"/>
      <c r="J94" s="7"/>
      <c r="K94" s="7"/>
      <c r="L94" s="7"/>
      <c r="M94" s="7"/>
      <c r="N94">
        <v>71706.324000000008</v>
      </c>
    </row>
    <row r="95" spans="1:14" x14ac:dyDescent="0.25">
      <c r="A95" s="2">
        <v>94</v>
      </c>
      <c r="B95" s="3" t="str">
        <f>E95</f>
        <v>ЩС-3 (ЩРВ-54)</v>
      </c>
      <c r="C95" s="2"/>
      <c r="D95" s="2"/>
      <c r="E95" s="2" t="s">
        <v>66</v>
      </c>
      <c r="F95" s="4"/>
      <c r="G95" s="4"/>
      <c r="H95" s="4"/>
      <c r="I95" s="2">
        <v>1</v>
      </c>
      <c r="J95" s="2" t="s">
        <v>13</v>
      </c>
      <c r="K95" s="2"/>
      <c r="L95" s="2"/>
      <c r="M95" s="2"/>
    </row>
    <row r="96" spans="1:14" x14ac:dyDescent="0.25">
      <c r="A96" s="5">
        <v>95</v>
      </c>
      <c r="B96" s="5" t="str">
        <f t="shared" ref="B96:B106" si="16">B95</f>
        <v>ЩС-3 (ЩРВ-54)</v>
      </c>
      <c r="C96" s="5" t="s">
        <v>14</v>
      </c>
      <c r="D96" s="5" t="s">
        <v>218</v>
      </c>
      <c r="E96" s="5" t="s">
        <v>219</v>
      </c>
      <c r="F96" s="6">
        <v>20040</v>
      </c>
      <c r="G96" s="6">
        <f>0.6*F96</f>
        <v>12024</v>
      </c>
      <c r="H96" s="6">
        <f t="shared" ref="H96:H106" si="17">G96*I96</f>
        <v>12024</v>
      </c>
      <c r="I96" s="18">
        <v>1</v>
      </c>
      <c r="J96" s="18" t="s">
        <v>15</v>
      </c>
      <c r="K96" s="19" t="s">
        <v>222</v>
      </c>
      <c r="L96" s="5"/>
      <c r="M96" s="5" t="s">
        <v>67</v>
      </c>
      <c r="N96">
        <v>12024</v>
      </c>
    </row>
    <row r="97" spans="1:14" x14ac:dyDescent="0.25">
      <c r="A97" s="5">
        <v>96</v>
      </c>
      <c r="B97" s="5" t="str">
        <f t="shared" si="16"/>
        <v>ЩС-3 (ЩРВ-54)</v>
      </c>
      <c r="C97" s="5" t="s">
        <v>18</v>
      </c>
      <c r="D97" s="5" t="s">
        <v>19</v>
      </c>
      <c r="E97" s="5" t="s">
        <v>20</v>
      </c>
      <c r="F97" s="6">
        <v>5334</v>
      </c>
      <c r="G97" s="6">
        <f>F97*Kurallar!$B$2</f>
        <v>3200.4</v>
      </c>
      <c r="H97" s="6">
        <f t="shared" si="17"/>
        <v>3200.4</v>
      </c>
      <c r="I97" s="18">
        <v>1</v>
      </c>
      <c r="J97" s="18" t="s">
        <v>15</v>
      </c>
      <c r="K97" s="18" t="s">
        <v>21</v>
      </c>
      <c r="L97" s="5"/>
      <c r="M97" s="5" t="s">
        <v>22</v>
      </c>
      <c r="N97">
        <v>3200.4</v>
      </c>
    </row>
    <row r="98" spans="1:14" x14ac:dyDescent="0.25">
      <c r="A98" s="5">
        <v>97</v>
      </c>
      <c r="B98" s="5" t="str">
        <f t="shared" si="16"/>
        <v>ЩС-3 (ЩРВ-54)</v>
      </c>
      <c r="C98" s="5" t="s">
        <v>26</v>
      </c>
      <c r="D98" s="5" t="s">
        <v>192</v>
      </c>
      <c r="E98" s="5" t="s">
        <v>193</v>
      </c>
      <c r="F98" s="6">
        <v>5104</v>
      </c>
      <c r="G98" s="6">
        <f>F98*Kurallar!$B$2</f>
        <v>3062.4</v>
      </c>
      <c r="H98" s="6">
        <f t="shared" si="17"/>
        <v>33686.400000000001</v>
      </c>
      <c r="I98" s="18">
        <v>11</v>
      </c>
      <c r="J98" s="18" t="s">
        <v>15</v>
      </c>
      <c r="K98" s="18" t="s">
        <v>21</v>
      </c>
      <c r="L98" s="5"/>
      <c r="M98" s="5" t="s">
        <v>27</v>
      </c>
      <c r="N98">
        <v>33686.400000000001</v>
      </c>
    </row>
    <row r="99" spans="1:14" x14ac:dyDescent="0.25">
      <c r="A99" s="5">
        <v>98</v>
      </c>
      <c r="B99" s="5" t="str">
        <f t="shared" si="16"/>
        <v>ЩС-3 (ЩРВ-54)</v>
      </c>
      <c r="C99" s="5" t="s">
        <v>18</v>
      </c>
      <c r="D99" s="5" t="s">
        <v>68</v>
      </c>
      <c r="E99" s="5" t="s">
        <v>69</v>
      </c>
      <c r="F99" s="6">
        <v>5462</v>
      </c>
      <c r="G99" s="6">
        <f>F99*Kurallar!$B$2</f>
        <v>3277.2</v>
      </c>
      <c r="H99" s="6">
        <f t="shared" si="17"/>
        <v>6554.4</v>
      </c>
      <c r="I99" s="18">
        <v>2</v>
      </c>
      <c r="J99" s="18" t="s">
        <v>15</v>
      </c>
      <c r="K99" s="18" t="s">
        <v>21</v>
      </c>
      <c r="L99" s="5"/>
      <c r="M99" s="5" t="s">
        <v>70</v>
      </c>
      <c r="N99">
        <v>6554.4</v>
      </c>
    </row>
    <row r="100" spans="1:14" x14ac:dyDescent="0.25">
      <c r="A100" s="5">
        <v>99</v>
      </c>
      <c r="B100" s="5" t="str">
        <f t="shared" si="16"/>
        <v>ЩС-3 (ЩРВ-54)</v>
      </c>
      <c r="C100" s="5" t="s">
        <v>26</v>
      </c>
      <c r="D100" s="5" t="s">
        <v>194</v>
      </c>
      <c r="E100" s="5" t="s">
        <v>195</v>
      </c>
      <c r="F100" s="6">
        <v>5632</v>
      </c>
      <c r="G100" s="6">
        <f>F100*Kurallar!$B$2</f>
        <v>3379.2</v>
      </c>
      <c r="H100" s="6">
        <f t="shared" si="17"/>
        <v>3379.2</v>
      </c>
      <c r="I100" s="18">
        <v>1</v>
      </c>
      <c r="J100" s="18" t="s">
        <v>15</v>
      </c>
      <c r="K100" s="18" t="s">
        <v>21</v>
      </c>
      <c r="L100" s="5"/>
      <c r="M100" s="5" t="s">
        <v>64</v>
      </c>
      <c r="N100">
        <v>3379.2</v>
      </c>
    </row>
    <row r="101" spans="1:14" x14ac:dyDescent="0.25">
      <c r="A101" s="5">
        <v>100</v>
      </c>
      <c r="B101" s="5" t="str">
        <f t="shared" si="16"/>
        <v>ЩС-3 (ЩРВ-54)</v>
      </c>
      <c r="C101" s="5" t="s">
        <v>28</v>
      </c>
      <c r="D101" s="5" t="s">
        <v>29</v>
      </c>
      <c r="E101" s="5" t="s">
        <v>30</v>
      </c>
      <c r="F101" s="6">
        <v>415</v>
      </c>
      <c r="G101" s="6">
        <f>F101*Kurallar!$B$3</f>
        <v>415</v>
      </c>
      <c r="H101" s="6">
        <f t="shared" si="17"/>
        <v>415</v>
      </c>
      <c r="I101" s="18">
        <v>1</v>
      </c>
      <c r="J101" s="18" t="s">
        <v>15</v>
      </c>
      <c r="K101" s="19" t="s">
        <v>200</v>
      </c>
      <c r="L101" s="5"/>
      <c r="M101" s="5" t="s">
        <v>31</v>
      </c>
      <c r="N101">
        <v>415</v>
      </c>
    </row>
    <row r="102" spans="1:14" x14ac:dyDescent="0.25">
      <c r="A102" s="5">
        <v>101</v>
      </c>
      <c r="B102" s="5" t="str">
        <f t="shared" si="16"/>
        <v>ЩС-3 (ЩРВ-54)</v>
      </c>
      <c r="C102" s="5" t="s">
        <v>28</v>
      </c>
      <c r="D102" s="5" t="s">
        <v>32</v>
      </c>
      <c r="E102" s="5" t="s">
        <v>33</v>
      </c>
      <c r="F102" s="6">
        <v>547</v>
      </c>
      <c r="G102" s="6">
        <f>F102*Kurallar!$B$3</f>
        <v>547</v>
      </c>
      <c r="H102" s="6">
        <f t="shared" si="17"/>
        <v>547</v>
      </c>
      <c r="I102" s="18">
        <v>1</v>
      </c>
      <c r="J102" s="18" t="s">
        <v>15</v>
      </c>
      <c r="K102" s="19" t="s">
        <v>200</v>
      </c>
      <c r="L102" s="5"/>
      <c r="M102" s="5" t="s">
        <v>34</v>
      </c>
      <c r="N102">
        <v>547</v>
      </c>
    </row>
    <row r="103" spans="1:14" x14ac:dyDescent="0.25">
      <c r="A103" s="5">
        <v>102</v>
      </c>
      <c r="B103" s="5" t="str">
        <f t="shared" si="16"/>
        <v>ЩС-3 (ЩРВ-54)</v>
      </c>
      <c r="C103" s="5" t="s">
        <v>35</v>
      </c>
      <c r="D103" s="5" t="s">
        <v>36</v>
      </c>
      <c r="E103" s="5" t="s">
        <v>37</v>
      </c>
      <c r="F103" s="6">
        <v>869</v>
      </c>
      <c r="G103" s="6">
        <f>F103*Kurallar!$B$2</f>
        <v>521.4</v>
      </c>
      <c r="H103" s="6">
        <f t="shared" si="17"/>
        <v>1042.8</v>
      </c>
      <c r="I103" s="18">
        <v>2</v>
      </c>
      <c r="J103" s="18" t="s">
        <v>15</v>
      </c>
      <c r="K103" s="18" t="s">
        <v>21</v>
      </c>
      <c r="L103" s="5"/>
      <c r="M103" s="5" t="s">
        <v>38</v>
      </c>
      <c r="N103">
        <v>1042.8</v>
      </c>
    </row>
    <row r="104" spans="1:14" x14ac:dyDescent="0.25">
      <c r="A104" s="5">
        <v>103</v>
      </c>
      <c r="B104" s="5" t="str">
        <f t="shared" si="16"/>
        <v>ЩС-3 (ЩРВ-54)</v>
      </c>
      <c r="C104" s="5" t="s">
        <v>39</v>
      </c>
      <c r="D104" s="5" t="s">
        <v>40</v>
      </c>
      <c r="E104" s="5" t="s">
        <v>41</v>
      </c>
      <c r="F104" s="6">
        <v>1094</v>
      </c>
      <c r="G104" s="6">
        <f>F104*Kurallar!$B$3</f>
        <v>1094</v>
      </c>
      <c r="H104" s="6">
        <f t="shared" si="17"/>
        <v>2188</v>
      </c>
      <c r="I104" s="18">
        <v>2</v>
      </c>
      <c r="J104" s="18" t="s">
        <v>15</v>
      </c>
      <c r="K104" s="18" t="s">
        <v>16</v>
      </c>
      <c r="L104" s="5"/>
      <c r="M104" s="5" t="s">
        <v>42</v>
      </c>
      <c r="N104">
        <v>2188</v>
      </c>
    </row>
    <row r="105" spans="1:14" x14ac:dyDescent="0.25">
      <c r="A105" s="5">
        <v>104</v>
      </c>
      <c r="B105" s="5" t="str">
        <f t="shared" si="16"/>
        <v>ЩС-3 (ЩРВ-54)</v>
      </c>
      <c r="C105" s="5" t="s">
        <v>43</v>
      </c>
      <c r="D105" s="5"/>
      <c r="E105" s="5" t="s">
        <v>44</v>
      </c>
      <c r="F105" s="6"/>
      <c r="G105" s="6">
        <f>SUM(H96:H104)*Kurallar!$B$5</f>
        <v>1891.116</v>
      </c>
      <c r="H105" s="6">
        <f t="shared" si="17"/>
        <v>1891.116</v>
      </c>
      <c r="I105" s="18">
        <v>1</v>
      </c>
      <c r="J105" s="18" t="s">
        <v>15</v>
      </c>
      <c r="K105" s="18" t="s">
        <v>43</v>
      </c>
      <c r="L105" s="5"/>
      <c r="M105" s="5"/>
      <c r="N105">
        <v>1891.116</v>
      </c>
    </row>
    <row r="106" spans="1:14" x14ac:dyDescent="0.25">
      <c r="A106" s="5">
        <v>105</v>
      </c>
      <c r="B106" s="5" t="str">
        <f t="shared" si="16"/>
        <v>ЩС-3 (ЩРВ-54)</v>
      </c>
      <c r="C106" s="5" t="s">
        <v>45</v>
      </c>
      <c r="D106" s="5"/>
      <c r="E106" s="5" t="s">
        <v>46</v>
      </c>
      <c r="F106" s="6"/>
      <c r="G106" s="6">
        <f>SUM(H96:H104)*Kurallar!$B$6+3000</f>
        <v>15607.440000000002</v>
      </c>
      <c r="H106" s="6">
        <f t="shared" si="17"/>
        <v>15607.440000000002</v>
      </c>
      <c r="I106" s="18">
        <v>1</v>
      </c>
      <c r="J106" s="18" t="s">
        <v>15</v>
      </c>
      <c r="K106" s="18" t="s">
        <v>45</v>
      </c>
      <c r="L106" s="5"/>
      <c r="M106" s="5"/>
      <c r="N106">
        <v>15607.440000000002</v>
      </c>
    </row>
    <row r="107" spans="1:14" x14ac:dyDescent="0.25">
      <c r="A107" s="7">
        <v>106</v>
      </c>
      <c r="B107" s="8" t="s">
        <v>71</v>
      </c>
      <c r="C107" s="7"/>
      <c r="D107" s="7"/>
      <c r="E107" s="7"/>
      <c r="F107" s="9"/>
      <c r="G107" s="9"/>
      <c r="H107" s="10">
        <f>SUBTOTAL(9,H96:H106)</f>
        <v>80535.756000000008</v>
      </c>
      <c r="I107" s="7"/>
      <c r="J107" s="7"/>
      <c r="K107" s="7"/>
      <c r="L107" s="7"/>
      <c r="M107" s="7"/>
      <c r="N107">
        <v>80535.756000000008</v>
      </c>
    </row>
    <row r="108" spans="1:14" x14ac:dyDescent="0.25">
      <c r="A108" s="2">
        <v>107</v>
      </c>
      <c r="B108" s="3" t="str">
        <f>E108</f>
        <v>ЩС-4 (ЩРВ-48, büyütüldü)</v>
      </c>
      <c r="C108" s="2"/>
      <c r="D108" s="2"/>
      <c r="E108" s="2" t="s">
        <v>72</v>
      </c>
      <c r="F108" s="4"/>
      <c r="G108" s="4"/>
      <c r="H108" s="4"/>
      <c r="I108" s="2">
        <v>1</v>
      </c>
      <c r="J108" s="2" t="s">
        <v>13</v>
      </c>
      <c r="K108" s="2"/>
      <c r="L108" s="2"/>
      <c r="M108" s="2"/>
    </row>
    <row r="109" spans="1:14" x14ac:dyDescent="0.25">
      <c r="A109" s="5">
        <v>108</v>
      </c>
      <c r="B109" s="5" t="str">
        <f t="shared" ref="B109:B125" si="18">B108</f>
        <v>ЩС-4 (ЩРВ-48, büyütüldü)</v>
      </c>
      <c r="C109" s="5" t="s">
        <v>14</v>
      </c>
      <c r="D109" s="5" t="s">
        <v>216</v>
      </c>
      <c r="E109" s="5" t="s">
        <v>217</v>
      </c>
      <c r="F109" s="6">
        <v>19000</v>
      </c>
      <c r="G109" s="6">
        <f>0.6*F109</f>
        <v>11400</v>
      </c>
      <c r="H109" s="6">
        <f t="shared" ref="H109:H125" si="19">G109*I109</f>
        <v>11400</v>
      </c>
      <c r="I109" s="18">
        <v>1</v>
      </c>
      <c r="J109" s="18" t="s">
        <v>15</v>
      </c>
      <c r="K109" s="19" t="s">
        <v>222</v>
      </c>
      <c r="L109" s="5"/>
      <c r="M109" s="5" t="s">
        <v>63</v>
      </c>
      <c r="N109">
        <v>11400</v>
      </c>
    </row>
    <row r="110" spans="1:14" x14ac:dyDescent="0.25">
      <c r="A110" s="5">
        <v>109</v>
      </c>
      <c r="B110" s="5" t="str">
        <f t="shared" si="18"/>
        <v>ЩС-4 (ЩРВ-48, büyütüldü)</v>
      </c>
      <c r="C110" s="5" t="s">
        <v>18</v>
      </c>
      <c r="D110" s="5" t="s">
        <v>19</v>
      </c>
      <c r="E110" s="5" t="s">
        <v>20</v>
      </c>
      <c r="F110" s="6">
        <v>5334</v>
      </c>
      <c r="G110" s="6">
        <f>F110*Kurallar!$B$2</f>
        <v>3200.4</v>
      </c>
      <c r="H110" s="6">
        <f t="shared" si="19"/>
        <v>3200.4</v>
      </c>
      <c r="I110" s="18">
        <v>1</v>
      </c>
      <c r="J110" s="18" t="s">
        <v>15</v>
      </c>
      <c r="K110" s="18" t="s">
        <v>21</v>
      </c>
      <c r="L110" s="5"/>
      <c r="M110" s="5" t="s">
        <v>22</v>
      </c>
      <c r="N110">
        <v>3200.4</v>
      </c>
    </row>
    <row r="111" spans="1:14" x14ac:dyDescent="0.25">
      <c r="A111" s="5">
        <v>110</v>
      </c>
      <c r="B111" s="5" t="str">
        <f t="shared" si="18"/>
        <v>ЩС-4 (ЩРВ-48, büyütüldü)</v>
      </c>
      <c r="C111" s="5" t="s">
        <v>26</v>
      </c>
      <c r="D111" s="5" t="s">
        <v>192</v>
      </c>
      <c r="E111" s="5" t="s">
        <v>193</v>
      </c>
      <c r="F111" s="6">
        <v>5104</v>
      </c>
      <c r="G111" s="6">
        <f>F111*Kurallar!$B$2</f>
        <v>3062.4</v>
      </c>
      <c r="H111" s="6">
        <f t="shared" si="19"/>
        <v>15312</v>
      </c>
      <c r="I111" s="18">
        <v>5</v>
      </c>
      <c r="J111" s="18" t="s">
        <v>15</v>
      </c>
      <c r="K111" s="18" t="s">
        <v>21</v>
      </c>
      <c r="L111" s="5"/>
      <c r="M111" s="5" t="s">
        <v>27</v>
      </c>
      <c r="N111">
        <v>15312</v>
      </c>
    </row>
    <row r="112" spans="1:14" x14ac:dyDescent="0.25">
      <c r="A112" s="5">
        <v>111</v>
      </c>
      <c r="B112" s="5" t="str">
        <f t="shared" si="18"/>
        <v>ЩС-4 (ЩРВ-48, büyütüldü)</v>
      </c>
      <c r="C112" s="5" t="s">
        <v>18</v>
      </c>
      <c r="D112" s="5" t="s">
        <v>68</v>
      </c>
      <c r="E112" s="5" t="s">
        <v>69</v>
      </c>
      <c r="F112" s="6">
        <v>5462</v>
      </c>
      <c r="G112" s="6">
        <f>F112*Kurallar!$B$2</f>
        <v>3277.2</v>
      </c>
      <c r="H112" s="6">
        <f t="shared" si="19"/>
        <v>6554.4</v>
      </c>
      <c r="I112" s="18">
        <v>2</v>
      </c>
      <c r="J112" s="18" t="s">
        <v>15</v>
      </c>
      <c r="K112" s="18" t="s">
        <v>21</v>
      </c>
      <c r="L112" s="5"/>
      <c r="M112" s="5" t="s">
        <v>70</v>
      </c>
      <c r="N112">
        <v>6554.4</v>
      </c>
    </row>
    <row r="113" spans="1:14" x14ac:dyDescent="0.25">
      <c r="A113" s="5">
        <v>112</v>
      </c>
      <c r="B113" s="5" t="str">
        <f t="shared" si="18"/>
        <v>ЩС-4 (ЩРВ-48, büyütüldü)</v>
      </c>
      <c r="C113" s="5" t="s">
        <v>18</v>
      </c>
      <c r="D113" s="5" t="s">
        <v>73</v>
      </c>
      <c r="E113" s="5" t="s">
        <v>74</v>
      </c>
      <c r="F113" s="6">
        <v>1330</v>
      </c>
      <c r="G113" s="6">
        <f>F113*Kurallar!$B$2</f>
        <v>798</v>
      </c>
      <c r="H113" s="6">
        <f t="shared" si="19"/>
        <v>798</v>
      </c>
      <c r="I113" s="18">
        <v>1</v>
      </c>
      <c r="J113" s="18" t="s">
        <v>15</v>
      </c>
      <c r="K113" s="18" t="s">
        <v>21</v>
      </c>
      <c r="L113" s="5"/>
      <c r="M113" s="5" t="s">
        <v>75</v>
      </c>
      <c r="N113">
        <v>798</v>
      </c>
    </row>
    <row r="114" spans="1:14" x14ac:dyDescent="0.25">
      <c r="A114" s="5">
        <v>113</v>
      </c>
      <c r="B114" s="5" t="str">
        <f t="shared" si="18"/>
        <v>ЩС-4 (ЩРВ-48, büyütüldü)</v>
      </c>
      <c r="C114" s="5" t="s">
        <v>18</v>
      </c>
      <c r="D114" s="5" t="s">
        <v>23</v>
      </c>
      <c r="E114" s="5" t="s">
        <v>24</v>
      </c>
      <c r="F114" s="6">
        <v>1389</v>
      </c>
      <c r="G114" s="6">
        <f>F114*Kurallar!$B$2</f>
        <v>833.4</v>
      </c>
      <c r="H114" s="6">
        <f t="shared" si="19"/>
        <v>3333.6</v>
      </c>
      <c r="I114" s="18">
        <v>4</v>
      </c>
      <c r="J114" s="18" t="s">
        <v>15</v>
      </c>
      <c r="K114" s="18" t="s">
        <v>21</v>
      </c>
      <c r="L114" s="5"/>
      <c r="M114" s="5" t="s">
        <v>25</v>
      </c>
      <c r="N114">
        <v>3333.6</v>
      </c>
    </row>
    <row r="115" spans="1:14" x14ac:dyDescent="0.25">
      <c r="A115" s="5">
        <v>114</v>
      </c>
      <c r="B115" s="5" t="str">
        <f t="shared" si="18"/>
        <v>ЩС-4 (ЩРВ-48, büyütüldü)</v>
      </c>
      <c r="C115" s="5" t="s">
        <v>76</v>
      </c>
      <c r="D115" s="5" t="s">
        <v>196</v>
      </c>
      <c r="E115" s="5" t="s">
        <v>197</v>
      </c>
      <c r="F115" s="6">
        <v>6145</v>
      </c>
      <c r="G115" s="6">
        <f>F115*Kurallar!$B$2</f>
        <v>3687</v>
      </c>
      <c r="H115" s="6">
        <f t="shared" si="19"/>
        <v>14748</v>
      </c>
      <c r="I115" s="18">
        <v>4</v>
      </c>
      <c r="J115" s="18" t="s">
        <v>15</v>
      </c>
      <c r="K115" s="18" t="s">
        <v>21</v>
      </c>
      <c r="L115" s="5"/>
      <c r="M115" s="5" t="s">
        <v>79</v>
      </c>
      <c r="N115">
        <v>14748</v>
      </c>
    </row>
    <row r="116" spans="1:14" x14ac:dyDescent="0.25">
      <c r="A116" s="5">
        <v>115</v>
      </c>
      <c r="B116" s="5" t="str">
        <f t="shared" si="18"/>
        <v>ЩС-4 (ЩРВ-48, büyütüldü)</v>
      </c>
      <c r="C116" s="5" t="s">
        <v>80</v>
      </c>
      <c r="D116" s="5" t="s">
        <v>81</v>
      </c>
      <c r="E116" s="5" t="s">
        <v>82</v>
      </c>
      <c r="F116" s="6">
        <v>4315</v>
      </c>
      <c r="G116" s="6">
        <f>F116*Kurallar!$B$2</f>
        <v>2589</v>
      </c>
      <c r="H116" s="6">
        <f t="shared" si="19"/>
        <v>2589</v>
      </c>
      <c r="I116" s="18">
        <v>1</v>
      </c>
      <c r="J116" s="18" t="s">
        <v>15</v>
      </c>
      <c r="K116" s="18" t="s">
        <v>21</v>
      </c>
      <c r="L116" s="5"/>
      <c r="M116" s="5" t="s">
        <v>83</v>
      </c>
      <c r="N116">
        <v>2589</v>
      </c>
    </row>
    <row r="117" spans="1:14" x14ac:dyDescent="0.25">
      <c r="A117" s="5">
        <v>116</v>
      </c>
      <c r="B117" s="5" t="str">
        <f t="shared" si="18"/>
        <v>ЩС-4 (ЩРВ-48, büyütüldü)</v>
      </c>
      <c r="C117" s="5" t="s">
        <v>80</v>
      </c>
      <c r="D117" s="5" t="s">
        <v>84</v>
      </c>
      <c r="E117" s="5" t="s">
        <v>85</v>
      </c>
      <c r="F117" s="6">
        <v>4315</v>
      </c>
      <c r="G117" s="6">
        <f>F117*Kurallar!$B$2</f>
        <v>2589</v>
      </c>
      <c r="H117" s="6">
        <f t="shared" si="19"/>
        <v>2589</v>
      </c>
      <c r="I117" s="18">
        <v>1</v>
      </c>
      <c r="J117" s="18" t="s">
        <v>15</v>
      </c>
      <c r="K117" s="18" t="s">
        <v>21</v>
      </c>
      <c r="L117" s="5"/>
      <c r="M117" s="5" t="s">
        <v>86</v>
      </c>
      <c r="N117">
        <v>2589</v>
      </c>
    </row>
    <row r="118" spans="1:14" x14ac:dyDescent="0.25">
      <c r="A118" s="5">
        <v>117</v>
      </c>
      <c r="B118" s="5" t="str">
        <f t="shared" si="18"/>
        <v>ЩС-4 (ЩРВ-48, büyütüldü)</v>
      </c>
      <c r="C118" s="5" t="s">
        <v>80</v>
      </c>
      <c r="D118" s="5" t="s">
        <v>87</v>
      </c>
      <c r="E118" s="5" t="s">
        <v>88</v>
      </c>
      <c r="F118" s="6">
        <v>4315</v>
      </c>
      <c r="G118" s="6">
        <f>F118*Kurallar!$B$2</f>
        <v>2589</v>
      </c>
      <c r="H118" s="6">
        <f t="shared" si="19"/>
        <v>2589</v>
      </c>
      <c r="I118" s="18">
        <v>1</v>
      </c>
      <c r="J118" s="18" t="s">
        <v>15</v>
      </c>
      <c r="K118" s="18" t="s">
        <v>21</v>
      </c>
      <c r="L118" s="5"/>
      <c r="M118" s="5" t="s">
        <v>89</v>
      </c>
      <c r="N118">
        <v>2589</v>
      </c>
    </row>
    <row r="119" spans="1:14" x14ac:dyDescent="0.25">
      <c r="A119" s="5">
        <v>118</v>
      </c>
      <c r="B119" s="5" t="str">
        <f t="shared" si="18"/>
        <v>ЩС-4 (ЩРВ-48, büyütüldü)</v>
      </c>
      <c r="C119" s="5" t="s">
        <v>80</v>
      </c>
      <c r="D119" s="5" t="s">
        <v>90</v>
      </c>
      <c r="E119" s="5" t="s">
        <v>91</v>
      </c>
      <c r="F119" s="6">
        <v>4315</v>
      </c>
      <c r="G119" s="6">
        <f>F119*Kurallar!$B$2</f>
        <v>2589</v>
      </c>
      <c r="H119" s="6">
        <f t="shared" si="19"/>
        <v>2589</v>
      </c>
      <c r="I119" s="18">
        <v>1</v>
      </c>
      <c r="J119" s="18" t="s">
        <v>15</v>
      </c>
      <c r="K119" s="18" t="s">
        <v>21</v>
      </c>
      <c r="L119" s="5"/>
      <c r="M119" s="5" t="s">
        <v>92</v>
      </c>
      <c r="N119">
        <v>2589</v>
      </c>
    </row>
    <row r="120" spans="1:14" x14ac:dyDescent="0.25">
      <c r="A120" s="5">
        <v>119</v>
      </c>
      <c r="B120" s="5" t="str">
        <f t="shared" si="18"/>
        <v>ЩС-4 (ЩРВ-48, büyütüldü)</v>
      </c>
      <c r="C120" s="5" t="s">
        <v>28</v>
      </c>
      <c r="D120" s="5" t="s">
        <v>29</v>
      </c>
      <c r="E120" s="5" t="s">
        <v>30</v>
      </c>
      <c r="F120" s="6">
        <v>415</v>
      </c>
      <c r="G120" s="6">
        <f>F120*Kurallar!$B$3</f>
        <v>415</v>
      </c>
      <c r="H120" s="6">
        <f t="shared" si="19"/>
        <v>415</v>
      </c>
      <c r="I120" s="18">
        <v>1</v>
      </c>
      <c r="J120" s="18" t="s">
        <v>15</v>
      </c>
      <c r="K120" s="19" t="s">
        <v>200</v>
      </c>
      <c r="L120" s="5"/>
      <c r="M120" s="5" t="s">
        <v>31</v>
      </c>
      <c r="N120">
        <v>415</v>
      </c>
    </row>
    <row r="121" spans="1:14" x14ac:dyDescent="0.25">
      <c r="A121" s="5">
        <v>120</v>
      </c>
      <c r="B121" s="5" t="str">
        <f t="shared" si="18"/>
        <v>ЩС-4 (ЩРВ-48, büyütüldü)</v>
      </c>
      <c r="C121" s="5" t="s">
        <v>28</v>
      </c>
      <c r="D121" s="5" t="s">
        <v>32</v>
      </c>
      <c r="E121" s="5" t="s">
        <v>33</v>
      </c>
      <c r="F121" s="6">
        <v>547</v>
      </c>
      <c r="G121" s="6">
        <f>F121*Kurallar!$B$3</f>
        <v>547</v>
      </c>
      <c r="H121" s="6">
        <f t="shared" si="19"/>
        <v>547</v>
      </c>
      <c r="I121" s="18">
        <v>1</v>
      </c>
      <c r="J121" s="18" t="s">
        <v>15</v>
      </c>
      <c r="K121" s="19" t="s">
        <v>200</v>
      </c>
      <c r="L121" s="5"/>
      <c r="M121" s="5" t="s">
        <v>34</v>
      </c>
      <c r="N121">
        <v>547</v>
      </c>
    </row>
    <row r="122" spans="1:14" x14ac:dyDescent="0.25">
      <c r="A122" s="5">
        <v>121</v>
      </c>
      <c r="B122" s="5" t="str">
        <f t="shared" si="18"/>
        <v>ЩС-4 (ЩРВ-48, büyütüldü)</v>
      </c>
      <c r="C122" s="5" t="s">
        <v>35</v>
      </c>
      <c r="D122" s="5" t="s">
        <v>36</v>
      </c>
      <c r="E122" s="5" t="s">
        <v>37</v>
      </c>
      <c r="F122" s="6">
        <v>869</v>
      </c>
      <c r="G122" s="6">
        <f>F122*Kurallar!$B$2</f>
        <v>521.4</v>
      </c>
      <c r="H122" s="6">
        <f t="shared" si="19"/>
        <v>1042.8</v>
      </c>
      <c r="I122" s="18">
        <v>2</v>
      </c>
      <c r="J122" s="18" t="s">
        <v>15</v>
      </c>
      <c r="K122" s="18" t="s">
        <v>21</v>
      </c>
      <c r="L122" s="5"/>
      <c r="M122" s="5" t="s">
        <v>38</v>
      </c>
      <c r="N122">
        <v>1042.8</v>
      </c>
    </row>
    <row r="123" spans="1:14" x14ac:dyDescent="0.25">
      <c r="A123" s="5">
        <v>122</v>
      </c>
      <c r="B123" s="5" t="str">
        <f t="shared" si="18"/>
        <v>ЩС-4 (ЩРВ-48, büyütüldü)</v>
      </c>
      <c r="C123" s="5" t="s">
        <v>39</v>
      </c>
      <c r="D123" s="5" t="s">
        <v>40</v>
      </c>
      <c r="E123" s="5" t="s">
        <v>41</v>
      </c>
      <c r="F123" s="6">
        <v>1094</v>
      </c>
      <c r="G123" s="6">
        <f>F123*Kurallar!$B$3</f>
        <v>1094</v>
      </c>
      <c r="H123" s="6">
        <f t="shared" si="19"/>
        <v>2188</v>
      </c>
      <c r="I123" s="18">
        <v>2</v>
      </c>
      <c r="J123" s="18" t="s">
        <v>15</v>
      </c>
      <c r="K123" s="18" t="s">
        <v>16</v>
      </c>
      <c r="L123" s="5"/>
      <c r="M123" s="5" t="s">
        <v>42</v>
      </c>
      <c r="N123">
        <v>2188</v>
      </c>
    </row>
    <row r="124" spans="1:14" x14ac:dyDescent="0.25">
      <c r="A124" s="5">
        <v>123</v>
      </c>
      <c r="B124" s="5" t="str">
        <f t="shared" si="18"/>
        <v>ЩС-4 (ЩРВ-48, büyütüldü)</v>
      </c>
      <c r="C124" s="5" t="s">
        <v>43</v>
      </c>
      <c r="D124" s="5"/>
      <c r="E124" s="5" t="s">
        <v>44</v>
      </c>
      <c r="F124" s="6"/>
      <c r="G124" s="6">
        <f>SUM(H109:H123)*Kurallar!$B$5</f>
        <v>2096.8559999999998</v>
      </c>
      <c r="H124" s="6">
        <f t="shared" si="19"/>
        <v>2096.8559999999998</v>
      </c>
      <c r="I124" s="18">
        <v>1</v>
      </c>
      <c r="J124" s="18" t="s">
        <v>15</v>
      </c>
      <c r="K124" s="18" t="s">
        <v>43</v>
      </c>
      <c r="L124" s="5"/>
      <c r="M124" s="5"/>
      <c r="N124">
        <v>2096.8559999999998</v>
      </c>
    </row>
    <row r="125" spans="1:14" x14ac:dyDescent="0.25">
      <c r="A125" s="5">
        <v>124</v>
      </c>
      <c r="B125" s="5" t="str">
        <f t="shared" si="18"/>
        <v>ЩС-4 (ЩРВ-48, büyütüldü)</v>
      </c>
      <c r="C125" s="5" t="s">
        <v>45</v>
      </c>
      <c r="D125" s="5"/>
      <c r="E125" s="5" t="s">
        <v>46</v>
      </c>
      <c r="F125" s="6"/>
      <c r="G125" s="6">
        <f>SUM(H109:H123)*Kurallar!$B$6</f>
        <v>13979.04</v>
      </c>
      <c r="H125" s="6">
        <f t="shared" si="19"/>
        <v>13979.04</v>
      </c>
      <c r="I125" s="18">
        <v>1</v>
      </c>
      <c r="J125" s="18" t="s">
        <v>15</v>
      </c>
      <c r="K125" s="18" t="s">
        <v>45</v>
      </c>
      <c r="L125" s="5"/>
      <c r="M125" s="5"/>
      <c r="N125">
        <v>13979.04</v>
      </c>
    </row>
    <row r="126" spans="1:14" x14ac:dyDescent="0.25">
      <c r="A126" s="7">
        <v>125</v>
      </c>
      <c r="B126" s="8" t="s">
        <v>93</v>
      </c>
      <c r="C126" s="7"/>
      <c r="D126" s="7"/>
      <c r="E126" s="7"/>
      <c r="F126" s="9"/>
      <c r="G126" s="9"/>
      <c r="H126" s="10">
        <f>SUBTOTAL(9,H109:H125)</f>
        <v>85971.09599999999</v>
      </c>
      <c r="I126" s="7"/>
      <c r="J126" s="7"/>
      <c r="K126" s="7"/>
      <c r="L126" s="7"/>
      <c r="M126" s="7"/>
      <c r="N126">
        <v>85971.09599999999</v>
      </c>
    </row>
    <row r="127" spans="1:14" x14ac:dyDescent="0.25">
      <c r="A127" s="2">
        <v>126</v>
      </c>
      <c r="B127" s="3" t="str">
        <f>E127</f>
        <v>ЩС-5 (ЩСВ) (ЩРВ-36)</v>
      </c>
      <c r="C127" s="2"/>
      <c r="D127" s="2"/>
      <c r="E127" s="2" t="s">
        <v>94</v>
      </c>
      <c r="F127" s="4"/>
      <c r="G127" s="4"/>
      <c r="H127" s="4"/>
      <c r="I127" s="2">
        <v>1</v>
      </c>
      <c r="J127" s="2" t="s">
        <v>13</v>
      </c>
      <c r="K127" s="2"/>
      <c r="L127" s="2"/>
      <c r="M127" s="2"/>
    </row>
    <row r="128" spans="1:14" x14ac:dyDescent="0.25">
      <c r="A128" s="5">
        <v>127</v>
      </c>
      <c r="B128" s="5" t="str">
        <f t="shared" ref="B128:B139" si="20">B127</f>
        <v>ЩС-5 (ЩСВ) (ЩРВ-36)</v>
      </c>
      <c r="C128" s="5" t="s">
        <v>14</v>
      </c>
      <c r="D128" s="5" t="s">
        <v>214</v>
      </c>
      <c r="E128" s="5" t="s">
        <v>215</v>
      </c>
      <c r="F128" s="6">
        <v>18500</v>
      </c>
      <c r="G128" s="6">
        <f>0.6*F128</f>
        <v>11100</v>
      </c>
      <c r="H128" s="6">
        <f t="shared" ref="H128:H139" si="21">G128*I128</f>
        <v>11100</v>
      </c>
      <c r="I128" s="18">
        <v>1</v>
      </c>
      <c r="J128" s="18" t="s">
        <v>15</v>
      </c>
      <c r="K128" s="19" t="s">
        <v>222</v>
      </c>
      <c r="L128" s="5"/>
      <c r="M128" s="5" t="s">
        <v>60</v>
      </c>
      <c r="N128">
        <v>11100</v>
      </c>
    </row>
    <row r="129" spans="1:14" x14ac:dyDescent="0.25">
      <c r="A129" s="5">
        <v>128</v>
      </c>
      <c r="B129" s="5" t="str">
        <f t="shared" si="20"/>
        <v>ЩС-5 (ЩСВ) (ЩРВ-36)</v>
      </c>
      <c r="C129" s="5" t="s">
        <v>18</v>
      </c>
      <c r="D129" s="5" t="s">
        <v>19</v>
      </c>
      <c r="E129" s="5" t="s">
        <v>20</v>
      </c>
      <c r="F129" s="6">
        <v>5334</v>
      </c>
      <c r="G129" s="6">
        <f>F129*Kurallar!$B$2</f>
        <v>3200.4</v>
      </c>
      <c r="H129" s="6">
        <f t="shared" si="21"/>
        <v>3200.4</v>
      </c>
      <c r="I129" s="18">
        <v>1</v>
      </c>
      <c r="J129" s="18" t="s">
        <v>15</v>
      </c>
      <c r="K129" s="18" t="s">
        <v>21</v>
      </c>
      <c r="L129" s="5"/>
      <c r="M129" s="5" t="s">
        <v>22</v>
      </c>
      <c r="N129">
        <v>3200.4</v>
      </c>
    </row>
    <row r="130" spans="1:14" x14ac:dyDescent="0.25">
      <c r="A130" s="5">
        <v>129</v>
      </c>
      <c r="B130" s="5" t="str">
        <f t="shared" si="20"/>
        <v>ЩС-5 (ЩСВ) (ЩРВ-36)</v>
      </c>
      <c r="C130" s="5" t="s">
        <v>18</v>
      </c>
      <c r="D130" s="5" t="s">
        <v>68</v>
      </c>
      <c r="E130" s="5" t="s">
        <v>69</v>
      </c>
      <c r="F130" s="6">
        <v>5462</v>
      </c>
      <c r="G130" s="6">
        <f>F130*Kurallar!$B$2</f>
        <v>3277.2</v>
      </c>
      <c r="H130" s="6">
        <f t="shared" si="21"/>
        <v>16386</v>
      </c>
      <c r="I130" s="18">
        <v>5</v>
      </c>
      <c r="J130" s="18" t="s">
        <v>15</v>
      </c>
      <c r="K130" s="18" t="s">
        <v>21</v>
      </c>
      <c r="L130" s="5"/>
      <c r="M130" s="5" t="s">
        <v>70</v>
      </c>
      <c r="N130">
        <v>16386</v>
      </c>
    </row>
    <row r="131" spans="1:14" x14ac:dyDescent="0.25">
      <c r="A131" s="5">
        <v>130</v>
      </c>
      <c r="B131" s="5" t="str">
        <f t="shared" si="20"/>
        <v>ЩС-5 (ЩСВ) (ЩРВ-36)</v>
      </c>
      <c r="C131" s="5" t="s">
        <v>26</v>
      </c>
      <c r="D131" s="5" t="s">
        <v>192</v>
      </c>
      <c r="E131" s="5" t="s">
        <v>193</v>
      </c>
      <c r="F131" s="6">
        <v>5104</v>
      </c>
      <c r="G131" s="6">
        <f>F131*Kurallar!$B$2</f>
        <v>3062.4</v>
      </c>
      <c r="H131" s="6">
        <f t="shared" si="21"/>
        <v>6124.8</v>
      </c>
      <c r="I131" s="18">
        <v>2</v>
      </c>
      <c r="J131" s="18" t="s">
        <v>15</v>
      </c>
      <c r="K131" s="18" t="s">
        <v>21</v>
      </c>
      <c r="L131" s="5"/>
      <c r="M131" s="5" t="s">
        <v>27</v>
      </c>
      <c r="N131">
        <v>6124.8</v>
      </c>
    </row>
    <row r="132" spans="1:14" x14ac:dyDescent="0.25">
      <c r="A132" s="5">
        <v>131</v>
      </c>
      <c r="B132" s="5" t="str">
        <f t="shared" si="20"/>
        <v>ЩС-5 (ЩСВ) (ЩРВ-36)</v>
      </c>
      <c r="C132" s="5" t="s">
        <v>76</v>
      </c>
      <c r="D132" s="5" t="s">
        <v>196</v>
      </c>
      <c r="E132" s="5" t="s">
        <v>197</v>
      </c>
      <c r="F132" s="6">
        <v>6145</v>
      </c>
      <c r="G132" s="6">
        <f>F132*Kurallar!$B$2</f>
        <v>3687</v>
      </c>
      <c r="H132" s="6">
        <f t="shared" si="21"/>
        <v>3687</v>
      </c>
      <c r="I132" s="18">
        <v>1</v>
      </c>
      <c r="J132" s="18" t="s">
        <v>15</v>
      </c>
      <c r="K132" s="18" t="s">
        <v>21</v>
      </c>
      <c r="L132" s="5"/>
      <c r="M132" s="5" t="s">
        <v>95</v>
      </c>
      <c r="N132">
        <v>3687</v>
      </c>
    </row>
    <row r="133" spans="1:14" x14ac:dyDescent="0.25">
      <c r="A133" s="5">
        <v>132</v>
      </c>
      <c r="B133" s="5" t="str">
        <f t="shared" si="20"/>
        <v>ЩС-5 (ЩСВ) (ЩРВ-36)</v>
      </c>
      <c r="C133" s="5" t="s">
        <v>80</v>
      </c>
      <c r="D133" s="5" t="s">
        <v>90</v>
      </c>
      <c r="E133" s="5" t="s">
        <v>91</v>
      </c>
      <c r="F133" s="6">
        <v>4315</v>
      </c>
      <c r="G133" s="6">
        <f>F133*Kurallar!$B$2</f>
        <v>2589</v>
      </c>
      <c r="H133" s="6">
        <f t="shared" si="21"/>
        <v>2589</v>
      </c>
      <c r="I133" s="18">
        <v>1</v>
      </c>
      <c r="J133" s="18" t="s">
        <v>15</v>
      </c>
      <c r="K133" s="18" t="s">
        <v>21</v>
      </c>
      <c r="L133" s="5"/>
      <c r="M133" s="5" t="s">
        <v>92</v>
      </c>
      <c r="N133">
        <v>2589</v>
      </c>
    </row>
    <row r="134" spans="1:14" x14ac:dyDescent="0.25">
      <c r="A134" s="5">
        <v>133</v>
      </c>
      <c r="B134" s="5" t="str">
        <f t="shared" si="20"/>
        <v>ЩС-5 (ЩСВ) (ЩРВ-36)</v>
      </c>
      <c r="C134" s="5" t="s">
        <v>28</v>
      </c>
      <c r="D134" s="5" t="s">
        <v>29</v>
      </c>
      <c r="E134" s="5" t="s">
        <v>30</v>
      </c>
      <c r="F134" s="6">
        <v>415</v>
      </c>
      <c r="G134" s="6">
        <f>F134*Kurallar!$B$3</f>
        <v>415</v>
      </c>
      <c r="H134" s="6">
        <f t="shared" si="21"/>
        <v>415</v>
      </c>
      <c r="I134" s="18">
        <v>1</v>
      </c>
      <c r="J134" s="18" t="s">
        <v>15</v>
      </c>
      <c r="K134" s="19" t="s">
        <v>200</v>
      </c>
      <c r="L134" s="5"/>
      <c r="M134" s="5" t="s">
        <v>31</v>
      </c>
      <c r="N134">
        <v>415</v>
      </c>
    </row>
    <row r="135" spans="1:14" x14ac:dyDescent="0.25">
      <c r="A135" s="5">
        <v>134</v>
      </c>
      <c r="B135" s="5" t="str">
        <f t="shared" si="20"/>
        <v>ЩС-5 (ЩСВ) (ЩРВ-36)</v>
      </c>
      <c r="C135" s="5" t="s">
        <v>28</v>
      </c>
      <c r="D135" s="5" t="s">
        <v>32</v>
      </c>
      <c r="E135" s="5" t="s">
        <v>33</v>
      </c>
      <c r="F135" s="6">
        <v>547</v>
      </c>
      <c r="G135" s="6">
        <f>F135*Kurallar!$B$3</f>
        <v>547</v>
      </c>
      <c r="H135" s="6">
        <f t="shared" si="21"/>
        <v>547</v>
      </c>
      <c r="I135" s="18">
        <v>1</v>
      </c>
      <c r="J135" s="18" t="s">
        <v>15</v>
      </c>
      <c r="K135" s="19" t="s">
        <v>200</v>
      </c>
      <c r="L135" s="5"/>
      <c r="M135" s="5" t="s">
        <v>34</v>
      </c>
      <c r="N135">
        <v>547</v>
      </c>
    </row>
    <row r="136" spans="1:14" x14ac:dyDescent="0.25">
      <c r="A136" s="5">
        <v>135</v>
      </c>
      <c r="B136" s="5" t="str">
        <f t="shared" si="20"/>
        <v>ЩС-5 (ЩСВ) (ЩРВ-36)</v>
      </c>
      <c r="C136" s="5" t="s">
        <v>35</v>
      </c>
      <c r="D136" s="5" t="s">
        <v>36</v>
      </c>
      <c r="E136" s="5" t="s">
        <v>37</v>
      </c>
      <c r="F136" s="6">
        <v>869</v>
      </c>
      <c r="G136" s="6">
        <f>F136*Kurallar!$B$2</f>
        <v>521.4</v>
      </c>
      <c r="H136" s="6">
        <f t="shared" si="21"/>
        <v>1042.8</v>
      </c>
      <c r="I136" s="18">
        <v>2</v>
      </c>
      <c r="J136" s="18" t="s">
        <v>15</v>
      </c>
      <c r="K136" s="18" t="s">
        <v>21</v>
      </c>
      <c r="L136" s="5"/>
      <c r="M136" s="5" t="s">
        <v>38</v>
      </c>
      <c r="N136">
        <v>1042.8</v>
      </c>
    </row>
    <row r="137" spans="1:14" x14ac:dyDescent="0.25">
      <c r="A137" s="5">
        <v>136</v>
      </c>
      <c r="B137" s="5" t="str">
        <f t="shared" si="20"/>
        <v>ЩС-5 (ЩСВ) (ЩРВ-36)</v>
      </c>
      <c r="C137" s="5" t="s">
        <v>39</v>
      </c>
      <c r="D137" s="5" t="s">
        <v>40</v>
      </c>
      <c r="E137" s="5" t="s">
        <v>41</v>
      </c>
      <c r="F137" s="6">
        <v>1094</v>
      </c>
      <c r="G137" s="6">
        <f>F137*Kurallar!$B$3</f>
        <v>1094</v>
      </c>
      <c r="H137" s="6">
        <f t="shared" si="21"/>
        <v>1094</v>
      </c>
      <c r="I137" s="18">
        <v>1</v>
      </c>
      <c r="J137" s="18" t="s">
        <v>15</v>
      </c>
      <c r="K137" s="18" t="s">
        <v>16</v>
      </c>
      <c r="L137" s="5"/>
      <c r="M137" s="5" t="s">
        <v>42</v>
      </c>
      <c r="N137">
        <v>1094</v>
      </c>
    </row>
    <row r="138" spans="1:14" x14ac:dyDescent="0.25">
      <c r="A138" s="5">
        <v>137</v>
      </c>
      <c r="B138" s="5" t="str">
        <f t="shared" si="20"/>
        <v>ЩС-5 (ЩСВ) (ЩРВ-36)</v>
      </c>
      <c r="C138" s="5" t="s">
        <v>43</v>
      </c>
      <c r="D138" s="5"/>
      <c r="E138" s="5" t="s">
        <v>44</v>
      </c>
      <c r="F138" s="6"/>
      <c r="G138" s="6">
        <f>SUM(H128:H137)*Kurallar!$B$5</f>
        <v>1385.5800000000002</v>
      </c>
      <c r="H138" s="6">
        <f t="shared" si="21"/>
        <v>1385.5800000000002</v>
      </c>
      <c r="I138" s="18">
        <v>1</v>
      </c>
      <c r="J138" s="18" t="s">
        <v>15</v>
      </c>
      <c r="K138" s="18" t="s">
        <v>43</v>
      </c>
      <c r="L138" s="5"/>
      <c r="M138" s="5"/>
      <c r="N138">
        <v>1385.5800000000002</v>
      </c>
    </row>
    <row r="139" spans="1:14" x14ac:dyDescent="0.25">
      <c r="A139" s="5">
        <v>138</v>
      </c>
      <c r="B139" s="5" t="str">
        <f t="shared" si="20"/>
        <v>ЩС-5 (ЩСВ) (ЩРВ-36)</v>
      </c>
      <c r="C139" s="5" t="s">
        <v>45</v>
      </c>
      <c r="D139" s="5"/>
      <c r="E139" s="5" t="s">
        <v>46</v>
      </c>
      <c r="F139" s="6"/>
      <c r="G139" s="6">
        <f>SUM(H128:H137)*Kurallar!$B$6+200</f>
        <v>9437.2000000000025</v>
      </c>
      <c r="H139" s="6">
        <f t="shared" si="21"/>
        <v>9437.2000000000025</v>
      </c>
      <c r="I139" s="18">
        <v>1</v>
      </c>
      <c r="J139" s="18" t="s">
        <v>15</v>
      </c>
      <c r="K139" s="18" t="s">
        <v>45</v>
      </c>
      <c r="L139" s="5"/>
      <c r="M139" s="5"/>
      <c r="N139">
        <v>9437.2000000000025</v>
      </c>
    </row>
    <row r="140" spans="1:14" x14ac:dyDescent="0.25">
      <c r="A140" s="7">
        <v>139</v>
      </c>
      <c r="B140" s="8" t="s">
        <v>96</v>
      </c>
      <c r="C140" s="7"/>
      <c r="D140" s="7"/>
      <c r="E140" s="7"/>
      <c r="F140" s="9"/>
      <c r="G140" s="9"/>
      <c r="H140" s="10">
        <f>SUBTOTAL(9,H128:H139)</f>
        <v>57008.780000000013</v>
      </c>
      <c r="I140" s="7"/>
      <c r="J140" s="7"/>
      <c r="K140" s="7"/>
      <c r="L140" s="7"/>
      <c r="M140" s="7"/>
      <c r="N140">
        <v>57008.780000000013</v>
      </c>
    </row>
    <row r="141" spans="1:14" x14ac:dyDescent="0.25">
      <c r="A141" s="2">
        <v>140</v>
      </c>
      <c r="B141" s="3" t="str">
        <f>E141</f>
        <v>ЩС-6 (ЩСВ) (ЩРВ-24, büyütüldü)</v>
      </c>
      <c r="C141" s="2"/>
      <c r="D141" s="2"/>
      <c r="E141" s="2" t="s">
        <v>97</v>
      </c>
      <c r="F141" s="4"/>
      <c r="G141" s="4"/>
      <c r="H141" s="4"/>
      <c r="I141" s="2">
        <v>1</v>
      </c>
      <c r="J141" s="2" t="s">
        <v>13</v>
      </c>
      <c r="K141" s="2"/>
      <c r="L141" s="2"/>
      <c r="M141" s="2"/>
    </row>
    <row r="142" spans="1:14" x14ac:dyDescent="0.25">
      <c r="A142" s="5">
        <v>141</v>
      </c>
      <c r="B142" s="5" t="str">
        <f t="shared" ref="B142:B151" si="22">B141</f>
        <v>ЩС-6 (ЩСВ) (ЩРВ-24, büyütüldü)</v>
      </c>
      <c r="C142" s="5" t="s">
        <v>14</v>
      </c>
      <c r="D142" s="5" t="s">
        <v>212</v>
      </c>
      <c r="E142" s="5" t="s">
        <v>213</v>
      </c>
      <c r="F142" s="6">
        <v>15500</v>
      </c>
      <c r="G142" s="6">
        <f>0.6*F142</f>
        <v>9300</v>
      </c>
      <c r="H142" s="6">
        <f t="shared" ref="H142:H151" si="23">G142*I142</f>
        <v>9300</v>
      </c>
      <c r="I142" s="18">
        <v>1</v>
      </c>
      <c r="J142" s="18" t="s">
        <v>15</v>
      </c>
      <c r="K142" s="19" t="s">
        <v>222</v>
      </c>
      <c r="L142" s="5"/>
      <c r="M142" s="5" t="s">
        <v>17</v>
      </c>
      <c r="N142">
        <v>9300</v>
      </c>
    </row>
    <row r="143" spans="1:14" x14ac:dyDescent="0.25">
      <c r="A143" s="5">
        <v>142</v>
      </c>
      <c r="B143" s="5" t="str">
        <f t="shared" si="22"/>
        <v>ЩС-6 (ЩСВ) (ЩРВ-24, büyütüldü)</v>
      </c>
      <c r="C143" s="5" t="s">
        <v>18</v>
      </c>
      <c r="D143" s="5" t="s">
        <v>19</v>
      </c>
      <c r="E143" s="5" t="s">
        <v>20</v>
      </c>
      <c r="F143" s="6">
        <v>5334</v>
      </c>
      <c r="G143" s="6">
        <f>F143*Kurallar!$B$2</f>
        <v>3200.4</v>
      </c>
      <c r="H143" s="6">
        <f t="shared" si="23"/>
        <v>3200.4</v>
      </c>
      <c r="I143" s="18">
        <v>1</v>
      </c>
      <c r="J143" s="18" t="s">
        <v>15</v>
      </c>
      <c r="K143" s="18" t="s">
        <v>21</v>
      </c>
      <c r="L143" s="5"/>
      <c r="M143" s="5" t="s">
        <v>22</v>
      </c>
      <c r="N143">
        <v>3200.4</v>
      </c>
    </row>
    <row r="144" spans="1:14" x14ac:dyDescent="0.25">
      <c r="A144" s="5">
        <v>143</v>
      </c>
      <c r="B144" s="5" t="str">
        <f t="shared" si="22"/>
        <v>ЩС-6 (ЩСВ) (ЩРВ-24, büyütüldü)</v>
      </c>
      <c r="C144" s="5" t="s">
        <v>18</v>
      </c>
      <c r="D144" s="5" t="s">
        <v>68</v>
      </c>
      <c r="E144" s="5" t="s">
        <v>69</v>
      </c>
      <c r="F144" s="6">
        <v>5462</v>
      </c>
      <c r="G144" s="6">
        <f>F144*Kurallar!$B$2</f>
        <v>3277.2</v>
      </c>
      <c r="H144" s="6">
        <f t="shared" si="23"/>
        <v>13108.8</v>
      </c>
      <c r="I144" s="18">
        <v>4</v>
      </c>
      <c r="J144" s="18" t="s">
        <v>15</v>
      </c>
      <c r="K144" s="18" t="s">
        <v>21</v>
      </c>
      <c r="L144" s="5"/>
      <c r="M144" s="5" t="s">
        <v>70</v>
      </c>
      <c r="N144">
        <v>13108.8</v>
      </c>
    </row>
    <row r="145" spans="1:14" x14ac:dyDescent="0.25">
      <c r="A145" s="5">
        <v>144</v>
      </c>
      <c r="B145" s="5" t="str">
        <f t="shared" si="22"/>
        <v>ЩС-6 (ЩСВ) (ЩРВ-24, büyütüldü)</v>
      </c>
      <c r="C145" s="5" t="s">
        <v>76</v>
      </c>
      <c r="D145" s="5" t="s">
        <v>198</v>
      </c>
      <c r="E145" s="5" t="s">
        <v>199</v>
      </c>
      <c r="F145" s="6">
        <v>13575</v>
      </c>
      <c r="G145" s="6">
        <f>F145*Kurallar!$B$2</f>
        <v>8145</v>
      </c>
      <c r="H145" s="6">
        <f t="shared" si="23"/>
        <v>8145</v>
      </c>
      <c r="I145" s="18">
        <v>1</v>
      </c>
      <c r="J145" s="18" t="s">
        <v>15</v>
      </c>
      <c r="K145" s="18" t="s">
        <v>21</v>
      </c>
      <c r="L145" s="5"/>
      <c r="M145" s="5" t="s">
        <v>98</v>
      </c>
      <c r="N145">
        <v>8145</v>
      </c>
    </row>
    <row r="146" spans="1:14" x14ac:dyDescent="0.25">
      <c r="A146" s="5">
        <v>145</v>
      </c>
      <c r="B146" s="5" t="str">
        <f t="shared" si="22"/>
        <v>ЩС-6 (ЩСВ) (ЩРВ-24, büyütüldü)</v>
      </c>
      <c r="C146" s="5" t="s">
        <v>28</v>
      </c>
      <c r="D146" s="5" t="s">
        <v>29</v>
      </c>
      <c r="E146" s="5" t="s">
        <v>30</v>
      </c>
      <c r="F146" s="6">
        <v>415</v>
      </c>
      <c r="G146" s="6">
        <f>F146*Kurallar!$B$3</f>
        <v>415</v>
      </c>
      <c r="H146" s="6">
        <f t="shared" si="23"/>
        <v>415</v>
      </c>
      <c r="I146" s="18">
        <v>1</v>
      </c>
      <c r="J146" s="18" t="s">
        <v>15</v>
      </c>
      <c r="K146" s="19" t="s">
        <v>200</v>
      </c>
      <c r="L146" s="5"/>
      <c r="M146" s="5" t="s">
        <v>31</v>
      </c>
      <c r="N146">
        <v>415</v>
      </c>
    </row>
    <row r="147" spans="1:14" x14ac:dyDescent="0.25">
      <c r="A147" s="5">
        <v>146</v>
      </c>
      <c r="B147" s="5" t="str">
        <f t="shared" si="22"/>
        <v>ЩС-6 (ЩСВ) (ЩРВ-24, büyütüldü)</v>
      </c>
      <c r="C147" s="5" t="s">
        <v>28</v>
      </c>
      <c r="D147" s="5" t="s">
        <v>32</v>
      </c>
      <c r="E147" s="5" t="s">
        <v>33</v>
      </c>
      <c r="F147" s="6">
        <v>547</v>
      </c>
      <c r="G147" s="6">
        <f>F147*Kurallar!$B$3</f>
        <v>547</v>
      </c>
      <c r="H147" s="6">
        <f t="shared" si="23"/>
        <v>547</v>
      </c>
      <c r="I147" s="18">
        <v>1</v>
      </c>
      <c r="J147" s="18" t="s">
        <v>15</v>
      </c>
      <c r="K147" s="19" t="s">
        <v>200</v>
      </c>
      <c r="L147" s="5"/>
      <c r="M147" s="5" t="s">
        <v>34</v>
      </c>
      <c r="N147">
        <v>547</v>
      </c>
    </row>
    <row r="148" spans="1:14" x14ac:dyDescent="0.25">
      <c r="A148" s="5">
        <v>147</v>
      </c>
      <c r="B148" s="5" t="str">
        <f t="shared" si="22"/>
        <v>ЩС-6 (ЩСВ) (ЩРВ-24, büyütüldü)</v>
      </c>
      <c r="C148" s="5" t="s">
        <v>35</v>
      </c>
      <c r="D148" s="5" t="s">
        <v>36</v>
      </c>
      <c r="E148" s="5" t="s">
        <v>37</v>
      </c>
      <c r="F148" s="6">
        <v>869</v>
      </c>
      <c r="G148" s="6">
        <f>F148*Kurallar!$B$2</f>
        <v>521.4</v>
      </c>
      <c r="H148" s="6">
        <f t="shared" si="23"/>
        <v>521.4</v>
      </c>
      <c r="I148" s="18">
        <v>1</v>
      </c>
      <c r="J148" s="18" t="s">
        <v>15</v>
      </c>
      <c r="K148" s="18" t="s">
        <v>21</v>
      </c>
      <c r="L148" s="5"/>
      <c r="M148" s="5" t="s">
        <v>38</v>
      </c>
      <c r="N148">
        <v>521.4</v>
      </c>
    </row>
    <row r="149" spans="1:14" x14ac:dyDescent="0.25">
      <c r="A149" s="5">
        <v>148</v>
      </c>
      <c r="B149" s="5" t="str">
        <f t="shared" si="22"/>
        <v>ЩС-6 (ЩСВ) (ЩРВ-24, büyütüldü)</v>
      </c>
      <c r="C149" s="5" t="s">
        <v>39</v>
      </c>
      <c r="D149" s="5" t="s">
        <v>40</v>
      </c>
      <c r="E149" s="5" t="s">
        <v>41</v>
      </c>
      <c r="F149" s="6">
        <v>1094</v>
      </c>
      <c r="G149" s="6">
        <f>F149*Kurallar!$B$3</f>
        <v>1094</v>
      </c>
      <c r="H149" s="6">
        <f t="shared" si="23"/>
        <v>1094</v>
      </c>
      <c r="I149" s="18">
        <v>1</v>
      </c>
      <c r="J149" s="18" t="s">
        <v>15</v>
      </c>
      <c r="K149" s="18" t="s">
        <v>16</v>
      </c>
      <c r="L149" s="5"/>
      <c r="M149" s="5" t="s">
        <v>42</v>
      </c>
      <c r="N149">
        <v>1094</v>
      </c>
    </row>
    <row r="150" spans="1:14" x14ac:dyDescent="0.25">
      <c r="A150" s="5">
        <v>149</v>
      </c>
      <c r="B150" s="5" t="str">
        <f t="shared" si="22"/>
        <v>ЩС-6 (ЩСВ) (ЩРВ-24, büyütüldü)</v>
      </c>
      <c r="C150" s="5" t="s">
        <v>43</v>
      </c>
      <c r="D150" s="5"/>
      <c r="E150" s="5" t="s">
        <v>44</v>
      </c>
      <c r="F150" s="6"/>
      <c r="G150" s="6">
        <f>SUM(H142:H149)*Kurallar!$B$5</f>
        <v>1089.9479999999999</v>
      </c>
      <c r="H150" s="6">
        <f t="shared" si="23"/>
        <v>1089.9479999999999</v>
      </c>
      <c r="I150" s="18">
        <v>1</v>
      </c>
      <c r="J150" s="18" t="s">
        <v>15</v>
      </c>
      <c r="K150" s="18" t="s">
        <v>43</v>
      </c>
      <c r="L150" s="5"/>
      <c r="M150" s="5"/>
      <c r="N150">
        <v>1089.9479999999999</v>
      </c>
    </row>
    <row r="151" spans="1:14" x14ac:dyDescent="0.25">
      <c r="A151" s="5">
        <v>150</v>
      </c>
      <c r="B151" s="5" t="str">
        <f t="shared" si="22"/>
        <v>ЩС-6 (ЩСВ) (ЩРВ-24, büyütüldü)</v>
      </c>
      <c r="C151" s="5" t="s">
        <v>45</v>
      </c>
      <c r="D151" s="5"/>
      <c r="E151" s="5" t="s">
        <v>46</v>
      </c>
      <c r="F151" s="6"/>
      <c r="G151" s="6">
        <f>SUM(H142:H149)*Kurallar!$B$6</f>
        <v>7266.32</v>
      </c>
      <c r="H151" s="6">
        <f t="shared" si="23"/>
        <v>7266.32</v>
      </c>
      <c r="I151" s="18">
        <v>1</v>
      </c>
      <c r="J151" s="18" t="s">
        <v>15</v>
      </c>
      <c r="K151" s="18" t="s">
        <v>45</v>
      </c>
      <c r="L151" s="5"/>
      <c r="M151" s="5"/>
      <c r="N151">
        <v>7266.32</v>
      </c>
    </row>
    <row r="152" spans="1:14" x14ac:dyDescent="0.25">
      <c r="A152" s="7">
        <v>151</v>
      </c>
      <c r="B152" s="8" t="s">
        <v>99</v>
      </c>
      <c r="C152" s="7"/>
      <c r="D152" s="7"/>
      <c r="E152" s="7"/>
      <c r="F152" s="9"/>
      <c r="G152" s="9"/>
      <c r="H152" s="10">
        <f>SUBTOTAL(9,H142:H151)</f>
        <v>44687.867999999995</v>
      </c>
      <c r="I152" s="7"/>
      <c r="J152" s="7"/>
      <c r="K152" s="7"/>
      <c r="L152" s="7"/>
      <c r="M152" s="7"/>
      <c r="N152">
        <v>44687.867999999995</v>
      </c>
    </row>
    <row r="153" spans="1:14" x14ac:dyDescent="0.25">
      <c r="A153" s="2">
        <v>152</v>
      </c>
      <c r="B153" s="3" t="str">
        <f>E153</f>
        <v>ВРУ1-11-10</v>
      </c>
      <c r="C153" s="2"/>
      <c r="D153" s="2"/>
      <c r="E153" s="2" t="s">
        <v>100</v>
      </c>
      <c r="F153" s="4"/>
      <c r="G153" s="4"/>
      <c r="H153" s="4"/>
      <c r="I153" s="2">
        <v>1</v>
      </c>
      <c r="J153" s="2" t="s">
        <v>13</v>
      </c>
      <c r="K153" s="2"/>
      <c r="L153" s="2"/>
      <c r="M153" s="2"/>
    </row>
    <row r="154" spans="1:14" x14ac:dyDescent="0.25">
      <c r="A154" s="5">
        <v>153</v>
      </c>
      <c r="B154" s="5" t="str">
        <f t="shared" ref="B154:B164" si="24">B153</f>
        <v>ВРУ1-11-10</v>
      </c>
      <c r="C154" s="5" t="s">
        <v>14</v>
      </c>
      <c r="D154" s="5" t="s">
        <v>208</v>
      </c>
      <c r="E154" s="5" t="s">
        <v>209</v>
      </c>
      <c r="F154" s="6">
        <v>155000</v>
      </c>
      <c r="G154" s="6">
        <f>0.6*F154</f>
        <v>93000</v>
      </c>
      <c r="H154" s="6">
        <f t="shared" ref="H154:H164" si="25">G154*I154</f>
        <v>93000</v>
      </c>
      <c r="I154" s="18">
        <v>1</v>
      </c>
      <c r="J154" s="18" t="s">
        <v>15</v>
      </c>
      <c r="K154" s="19" t="s">
        <v>222</v>
      </c>
      <c r="L154" s="5"/>
      <c r="M154" s="5" t="s">
        <v>101</v>
      </c>
      <c r="N154">
        <v>93000</v>
      </c>
    </row>
    <row r="155" spans="1:14" x14ac:dyDescent="0.25">
      <c r="A155" s="5">
        <v>154</v>
      </c>
      <c r="B155" s="5" t="str">
        <f t="shared" si="24"/>
        <v>ВРУ1-11-10</v>
      </c>
      <c r="C155" s="5" t="s">
        <v>102</v>
      </c>
      <c r="D155" s="5" t="s">
        <v>103</v>
      </c>
      <c r="E155" s="5" t="s">
        <v>104</v>
      </c>
      <c r="F155" s="6">
        <v>16357</v>
      </c>
      <c r="G155" s="6">
        <f>F155*Kurallar!$B$3</f>
        <v>16357</v>
      </c>
      <c r="H155" s="6">
        <f t="shared" si="25"/>
        <v>32714</v>
      </c>
      <c r="I155" s="18">
        <v>2</v>
      </c>
      <c r="J155" s="18" t="s">
        <v>15</v>
      </c>
      <c r="K155" s="18" t="s">
        <v>16</v>
      </c>
      <c r="L155" s="5"/>
      <c r="M155" s="5" t="s">
        <v>105</v>
      </c>
      <c r="N155">
        <v>32714</v>
      </c>
    </row>
    <row r="156" spans="1:14" x14ac:dyDescent="0.25">
      <c r="A156" s="5">
        <v>155</v>
      </c>
      <c r="B156" s="5" t="str">
        <f t="shared" si="24"/>
        <v>ВРУ1-11-10</v>
      </c>
      <c r="C156" s="5" t="s">
        <v>106</v>
      </c>
      <c r="D156" s="5" t="s">
        <v>107</v>
      </c>
      <c r="E156" s="5" t="s">
        <v>108</v>
      </c>
      <c r="F156" s="6">
        <v>3650</v>
      </c>
      <c r="G156" s="6">
        <f>F156*Kurallar!$B$3</f>
        <v>3650</v>
      </c>
      <c r="H156" s="6">
        <f t="shared" si="25"/>
        <v>21900</v>
      </c>
      <c r="I156" s="18">
        <v>6</v>
      </c>
      <c r="J156" s="18" t="s">
        <v>15</v>
      </c>
      <c r="K156" s="18" t="s">
        <v>16</v>
      </c>
      <c r="L156" s="5"/>
      <c r="M156" s="5" t="s">
        <v>109</v>
      </c>
      <c r="N156">
        <v>21900</v>
      </c>
    </row>
    <row r="157" spans="1:14" x14ac:dyDescent="0.25">
      <c r="A157" s="5">
        <v>156</v>
      </c>
      <c r="B157" s="5" t="str">
        <f t="shared" si="24"/>
        <v>ВРУ1-11-10</v>
      </c>
      <c r="C157" s="5" t="s">
        <v>106</v>
      </c>
      <c r="D157" s="5" t="s">
        <v>110</v>
      </c>
      <c r="E157" s="5" t="s">
        <v>111</v>
      </c>
      <c r="F157" s="6">
        <v>2007</v>
      </c>
      <c r="G157" s="6">
        <f>F157*Kurallar!$B$3</f>
        <v>2007</v>
      </c>
      <c r="H157" s="6">
        <f t="shared" si="25"/>
        <v>12042</v>
      </c>
      <c r="I157" s="18">
        <v>6</v>
      </c>
      <c r="J157" s="18" t="s">
        <v>15</v>
      </c>
      <c r="K157" s="18" t="s">
        <v>16</v>
      </c>
      <c r="L157" s="5"/>
      <c r="M157" s="5" t="s">
        <v>112</v>
      </c>
      <c r="N157">
        <v>12042</v>
      </c>
    </row>
    <row r="158" spans="1:14" x14ac:dyDescent="0.25">
      <c r="A158" s="5">
        <v>157</v>
      </c>
      <c r="B158" s="5" t="str">
        <f t="shared" si="24"/>
        <v>ВРУ1-11-10</v>
      </c>
      <c r="C158" s="5" t="s">
        <v>113</v>
      </c>
      <c r="D158" s="5" t="s">
        <v>201</v>
      </c>
      <c r="E158" s="5" t="s">
        <v>202</v>
      </c>
      <c r="F158" s="6">
        <v>89000</v>
      </c>
      <c r="G158" s="6">
        <f>F158*Kurallar!$B$4</f>
        <v>89000</v>
      </c>
      <c r="H158" s="6">
        <f t="shared" si="25"/>
        <v>178000</v>
      </c>
      <c r="I158" s="18">
        <v>2</v>
      </c>
      <c r="J158" s="18" t="s">
        <v>15</v>
      </c>
      <c r="K158" s="18" t="s">
        <v>114</v>
      </c>
      <c r="L158" s="5"/>
      <c r="M158" s="5" t="s">
        <v>115</v>
      </c>
      <c r="N158">
        <v>178000</v>
      </c>
    </row>
    <row r="159" spans="1:14" x14ac:dyDescent="0.25">
      <c r="A159" s="5">
        <v>158</v>
      </c>
      <c r="B159" s="5" t="str">
        <f t="shared" si="24"/>
        <v>ВРУ1-11-10</v>
      </c>
      <c r="C159" s="5" t="s">
        <v>116</v>
      </c>
      <c r="D159" s="5" t="s">
        <v>117</v>
      </c>
      <c r="E159" s="5" t="s">
        <v>118</v>
      </c>
      <c r="F159" s="6">
        <v>6500</v>
      </c>
      <c r="G159" s="6">
        <f>F159*Kurallar!$B$4</f>
        <v>6500</v>
      </c>
      <c r="H159" s="6">
        <f t="shared" si="25"/>
        <v>39000</v>
      </c>
      <c r="I159" s="18">
        <v>6</v>
      </c>
      <c r="J159" s="18" t="s">
        <v>15</v>
      </c>
      <c r="K159" s="18" t="s">
        <v>114</v>
      </c>
      <c r="L159" s="5"/>
      <c r="M159" s="5" t="s">
        <v>119</v>
      </c>
      <c r="N159">
        <v>39000</v>
      </c>
    </row>
    <row r="160" spans="1:14" x14ac:dyDescent="0.25">
      <c r="A160" s="5">
        <v>159</v>
      </c>
      <c r="B160" s="5" t="str">
        <f t="shared" si="24"/>
        <v>ВРУ1-11-10</v>
      </c>
      <c r="C160" s="5" t="s">
        <v>28</v>
      </c>
      <c r="D160" s="5" t="s">
        <v>120</v>
      </c>
      <c r="E160" s="5" t="s">
        <v>121</v>
      </c>
      <c r="F160" s="6">
        <v>1147</v>
      </c>
      <c r="G160" s="6">
        <f>F160*Kurallar!$B$3</f>
        <v>1147</v>
      </c>
      <c r="H160" s="6">
        <f t="shared" si="25"/>
        <v>1147</v>
      </c>
      <c r="I160" s="18">
        <v>1</v>
      </c>
      <c r="J160" s="18" t="s">
        <v>15</v>
      </c>
      <c r="K160" s="19" t="s">
        <v>200</v>
      </c>
      <c r="L160" s="5"/>
      <c r="M160" s="5" t="s">
        <v>122</v>
      </c>
      <c r="N160">
        <v>1147</v>
      </c>
    </row>
    <row r="161" spans="1:14" x14ac:dyDescent="0.25">
      <c r="A161" s="5">
        <v>160</v>
      </c>
      <c r="B161" s="5" t="str">
        <f t="shared" si="24"/>
        <v>ВРУ1-11-10</v>
      </c>
      <c r="C161" s="5" t="s">
        <v>28</v>
      </c>
      <c r="D161" s="5" t="s">
        <v>123</v>
      </c>
      <c r="E161" s="5" t="s">
        <v>124</v>
      </c>
      <c r="F161" s="6">
        <v>650</v>
      </c>
      <c r="G161" s="6">
        <f>F161*Kurallar!$B$3</f>
        <v>650</v>
      </c>
      <c r="H161" s="6">
        <f t="shared" si="25"/>
        <v>650</v>
      </c>
      <c r="I161" s="18">
        <v>1</v>
      </c>
      <c r="J161" s="18" t="s">
        <v>15</v>
      </c>
      <c r="K161" s="19" t="s">
        <v>200</v>
      </c>
      <c r="L161" s="5"/>
      <c r="M161" s="5" t="s">
        <v>125</v>
      </c>
      <c r="N161">
        <v>650</v>
      </c>
    </row>
    <row r="162" spans="1:14" x14ac:dyDescent="0.25">
      <c r="A162" s="5">
        <v>161</v>
      </c>
      <c r="B162" s="5" t="str">
        <f t="shared" si="24"/>
        <v>ВРУ1-11-10</v>
      </c>
      <c r="C162" s="5" t="s">
        <v>39</v>
      </c>
      <c r="D162" s="5" t="s">
        <v>40</v>
      </c>
      <c r="E162" s="5" t="s">
        <v>41</v>
      </c>
      <c r="F162" s="6">
        <v>1094</v>
      </c>
      <c r="G162" s="6">
        <f>F162*Kurallar!$B$3</f>
        <v>1094</v>
      </c>
      <c r="H162" s="6">
        <f t="shared" si="25"/>
        <v>2188</v>
      </c>
      <c r="I162" s="18">
        <v>2</v>
      </c>
      <c r="J162" s="18" t="s">
        <v>15</v>
      </c>
      <c r="K162" s="18" t="s">
        <v>16</v>
      </c>
      <c r="L162" s="5"/>
      <c r="M162" s="5" t="s">
        <v>42</v>
      </c>
      <c r="N162">
        <v>2188</v>
      </c>
    </row>
    <row r="163" spans="1:14" x14ac:dyDescent="0.25">
      <c r="A163" s="5">
        <v>162</v>
      </c>
      <c r="B163" s="5" t="str">
        <f t="shared" si="24"/>
        <v>ВРУ1-11-10</v>
      </c>
      <c r="C163" s="5" t="s">
        <v>43</v>
      </c>
      <c r="D163" s="5"/>
      <c r="E163" s="5" t="s">
        <v>44</v>
      </c>
      <c r="F163" s="6"/>
      <c r="G163" s="6">
        <f>SUM(H154:H162)*Kurallar!$B$5</f>
        <v>11419.23</v>
      </c>
      <c r="H163" s="6">
        <f t="shared" si="25"/>
        <v>11419.23</v>
      </c>
      <c r="I163" s="18">
        <v>1</v>
      </c>
      <c r="J163" s="18" t="s">
        <v>15</v>
      </c>
      <c r="K163" s="18" t="s">
        <v>43</v>
      </c>
      <c r="L163" s="5"/>
      <c r="M163" s="5"/>
      <c r="N163">
        <v>11419.23</v>
      </c>
    </row>
    <row r="164" spans="1:14" x14ac:dyDescent="0.25">
      <c r="A164" s="5">
        <v>163</v>
      </c>
      <c r="B164" s="5" t="str">
        <f t="shared" si="24"/>
        <v>ВРУ1-11-10</v>
      </c>
      <c r="C164" s="5" t="s">
        <v>45</v>
      </c>
      <c r="D164" s="5"/>
      <c r="E164" s="5" t="s">
        <v>46</v>
      </c>
      <c r="F164" s="6"/>
      <c r="G164" s="6">
        <f>SUM(H154:H162)*Kurallar!$B$6+45000</f>
        <v>121128.2</v>
      </c>
      <c r="H164" s="6">
        <f t="shared" si="25"/>
        <v>121128.2</v>
      </c>
      <c r="I164" s="18">
        <v>1</v>
      </c>
      <c r="J164" s="18" t="s">
        <v>15</v>
      </c>
      <c r="K164" s="18" t="s">
        <v>45</v>
      </c>
      <c r="L164" s="5"/>
      <c r="M164" s="5"/>
      <c r="N164">
        <v>121128.2</v>
      </c>
    </row>
    <row r="165" spans="1:14" x14ac:dyDescent="0.25">
      <c r="A165" s="7">
        <v>164</v>
      </c>
      <c r="B165" s="8" t="s">
        <v>126</v>
      </c>
      <c r="C165" s="7"/>
      <c r="D165" s="7"/>
      <c r="E165" s="7"/>
      <c r="F165" s="9"/>
      <c r="G165" s="9"/>
      <c r="H165" s="10">
        <f>SUBTOTAL(9,H154:H164)</f>
        <v>513188.43</v>
      </c>
      <c r="I165" s="7"/>
      <c r="J165" s="7"/>
      <c r="K165" s="7"/>
      <c r="L165" s="7"/>
      <c r="M165" s="7"/>
      <c r="N165">
        <v>513188.43</v>
      </c>
    </row>
    <row r="166" spans="1:14" x14ac:dyDescent="0.25">
      <c r="A166" s="2">
        <v>165</v>
      </c>
      <c r="B166" s="3" t="str">
        <f>E166</f>
        <v>ВРУ1-47-00 №1 (2x25А+1x40А+2x50А)</v>
      </c>
      <c r="C166" s="2"/>
      <c r="D166" s="2"/>
      <c r="E166" s="2" t="s">
        <v>127</v>
      </c>
      <c r="F166" s="4"/>
      <c r="G166" s="4"/>
      <c r="H166" s="4"/>
      <c r="I166" s="2">
        <v>1</v>
      </c>
      <c r="J166" s="2" t="s">
        <v>13</v>
      </c>
      <c r="K166" s="2"/>
      <c r="L166" s="2"/>
      <c r="M166" s="2"/>
    </row>
    <row r="167" spans="1:14" x14ac:dyDescent="0.25">
      <c r="A167" s="5">
        <v>166</v>
      </c>
      <c r="B167" s="5" t="str">
        <f t="shared" ref="B167:B176" si="26">B166</f>
        <v>ВРУ1-47-00 №1 (2x25А+1x40А+2x50А)</v>
      </c>
      <c r="C167" s="5" t="s">
        <v>14</v>
      </c>
      <c r="D167" s="5" t="s">
        <v>208</v>
      </c>
      <c r="E167" s="5" t="s">
        <v>209</v>
      </c>
      <c r="F167" s="6">
        <v>155000</v>
      </c>
      <c r="G167" s="6">
        <f>0.6*F167</f>
        <v>93000</v>
      </c>
      <c r="H167" s="6">
        <f t="shared" ref="H167:H176" si="27">G167*I167</f>
        <v>93000</v>
      </c>
      <c r="I167" s="18">
        <v>1</v>
      </c>
      <c r="J167" s="18" t="s">
        <v>15</v>
      </c>
      <c r="K167" s="19" t="s">
        <v>222</v>
      </c>
      <c r="L167" s="5"/>
      <c r="M167" s="5" t="s">
        <v>128</v>
      </c>
      <c r="N167">
        <v>93000</v>
      </c>
    </row>
    <row r="168" spans="1:14" x14ac:dyDescent="0.25">
      <c r="A168" s="5">
        <v>167</v>
      </c>
      <c r="B168" s="5" t="str">
        <f t="shared" si="26"/>
        <v>ВРУ1-47-00 №1 (2x25А+1x40А+2x50А)</v>
      </c>
      <c r="C168" s="5" t="s">
        <v>106</v>
      </c>
      <c r="D168" s="5" t="s">
        <v>129</v>
      </c>
      <c r="E168" s="5" t="s">
        <v>130</v>
      </c>
      <c r="F168" s="6">
        <v>1990</v>
      </c>
      <c r="G168" s="6">
        <f>F168*Kurallar!$B$3</f>
        <v>1990</v>
      </c>
      <c r="H168" s="6">
        <f t="shared" si="27"/>
        <v>29850</v>
      </c>
      <c r="I168" s="18">
        <v>15</v>
      </c>
      <c r="J168" s="18" t="s">
        <v>15</v>
      </c>
      <c r="K168" s="18" t="s">
        <v>16</v>
      </c>
      <c r="L168" s="5"/>
      <c r="M168" s="5" t="s">
        <v>131</v>
      </c>
      <c r="N168">
        <v>29850</v>
      </c>
    </row>
    <row r="169" spans="1:14" x14ac:dyDescent="0.25">
      <c r="A169" s="5">
        <v>168</v>
      </c>
      <c r="B169" s="5" t="str">
        <f t="shared" si="26"/>
        <v>ВРУ1-47-00 №1 (2x25А+1x40А+2x50А)</v>
      </c>
      <c r="C169" s="5" t="s">
        <v>106</v>
      </c>
      <c r="D169" s="5" t="s">
        <v>132</v>
      </c>
      <c r="E169" s="5" t="s">
        <v>133</v>
      </c>
      <c r="F169" s="6">
        <v>916</v>
      </c>
      <c r="G169" s="6">
        <f>F169*Kurallar!$B$3</f>
        <v>916</v>
      </c>
      <c r="H169" s="6">
        <f t="shared" si="27"/>
        <v>5496</v>
      </c>
      <c r="I169" s="18">
        <v>6</v>
      </c>
      <c r="J169" s="18" t="s">
        <v>15</v>
      </c>
      <c r="K169" s="18" t="s">
        <v>16</v>
      </c>
      <c r="L169" s="5"/>
      <c r="M169" s="5" t="s">
        <v>134</v>
      </c>
      <c r="N169">
        <v>5496</v>
      </c>
    </row>
    <row r="170" spans="1:14" x14ac:dyDescent="0.25">
      <c r="A170" s="5">
        <v>169</v>
      </c>
      <c r="B170" s="5" t="str">
        <f t="shared" si="26"/>
        <v>ВРУ1-47-00 №1 (2x25А+1x40А+2x50А)</v>
      </c>
      <c r="C170" s="5" t="s">
        <v>106</v>
      </c>
      <c r="D170" s="5" t="s">
        <v>135</v>
      </c>
      <c r="E170" s="5" t="s">
        <v>136</v>
      </c>
      <c r="F170" s="6">
        <v>775</v>
      </c>
      <c r="G170" s="6">
        <f>F170*Kurallar!$B$3</f>
        <v>775</v>
      </c>
      <c r="H170" s="6">
        <f t="shared" si="27"/>
        <v>2325</v>
      </c>
      <c r="I170" s="18">
        <v>3</v>
      </c>
      <c r="J170" s="18" t="s">
        <v>15</v>
      </c>
      <c r="K170" s="18" t="s">
        <v>16</v>
      </c>
      <c r="L170" s="5"/>
      <c r="M170" s="5" t="s">
        <v>137</v>
      </c>
      <c r="N170">
        <v>2325</v>
      </c>
    </row>
    <row r="171" spans="1:14" x14ac:dyDescent="0.25">
      <c r="A171" s="5">
        <v>170</v>
      </c>
      <c r="B171" s="5" t="str">
        <f t="shared" si="26"/>
        <v>ВРУ1-47-00 №1 (2x25А+1x40А+2x50А)</v>
      </c>
      <c r="C171" s="5" t="s">
        <v>106</v>
      </c>
      <c r="D171" s="5" t="s">
        <v>138</v>
      </c>
      <c r="E171" s="5" t="s">
        <v>139</v>
      </c>
      <c r="F171" s="6">
        <v>775</v>
      </c>
      <c r="G171" s="6">
        <f>F171*Kurallar!$B$3</f>
        <v>775</v>
      </c>
      <c r="H171" s="6">
        <f t="shared" si="27"/>
        <v>4650</v>
      </c>
      <c r="I171" s="18">
        <v>6</v>
      </c>
      <c r="J171" s="18" t="s">
        <v>15</v>
      </c>
      <c r="K171" s="18" t="s">
        <v>16</v>
      </c>
      <c r="L171" s="5"/>
      <c r="M171" s="5" t="s">
        <v>140</v>
      </c>
      <c r="N171">
        <v>4650</v>
      </c>
    </row>
    <row r="172" spans="1:14" x14ac:dyDescent="0.25">
      <c r="A172" s="5">
        <v>171</v>
      </c>
      <c r="B172" s="5" t="str">
        <f t="shared" si="26"/>
        <v>ВРУ1-47-00 №1 (2x25А+1x40А+2x50А)</v>
      </c>
      <c r="C172" s="5" t="s">
        <v>28</v>
      </c>
      <c r="D172" s="5" t="s">
        <v>120</v>
      </c>
      <c r="E172" s="5" t="s">
        <v>121</v>
      </c>
      <c r="F172" s="6">
        <v>1147</v>
      </c>
      <c r="G172" s="6">
        <f>F172*Kurallar!$B$3</f>
        <v>1147</v>
      </c>
      <c r="H172" s="6">
        <f t="shared" si="27"/>
        <v>1147</v>
      </c>
      <c r="I172" s="18">
        <v>1</v>
      </c>
      <c r="J172" s="18" t="s">
        <v>15</v>
      </c>
      <c r="K172" s="19" t="s">
        <v>200</v>
      </c>
      <c r="L172" s="5"/>
      <c r="M172" s="5" t="s">
        <v>122</v>
      </c>
      <c r="N172">
        <v>1147</v>
      </c>
    </row>
    <row r="173" spans="1:14" x14ac:dyDescent="0.25">
      <c r="A173" s="5">
        <v>172</v>
      </c>
      <c r="B173" s="5" t="str">
        <f t="shared" si="26"/>
        <v>ВРУ1-47-00 №1 (2x25А+1x40А+2x50А)</v>
      </c>
      <c r="C173" s="5" t="s">
        <v>28</v>
      </c>
      <c r="D173" s="5" t="s">
        <v>123</v>
      </c>
      <c r="E173" s="5" t="s">
        <v>124</v>
      </c>
      <c r="F173" s="6">
        <v>650</v>
      </c>
      <c r="G173" s="6">
        <f>F173*Kurallar!$B$3</f>
        <v>650</v>
      </c>
      <c r="H173" s="6">
        <f t="shared" si="27"/>
        <v>650</v>
      </c>
      <c r="I173" s="18">
        <v>1</v>
      </c>
      <c r="J173" s="18" t="s">
        <v>15</v>
      </c>
      <c r="K173" s="19" t="s">
        <v>200</v>
      </c>
      <c r="L173" s="5"/>
      <c r="M173" s="5" t="s">
        <v>125</v>
      </c>
      <c r="N173">
        <v>650</v>
      </c>
    </row>
    <row r="174" spans="1:14" x14ac:dyDescent="0.25">
      <c r="A174" s="5">
        <v>173</v>
      </c>
      <c r="B174" s="5" t="str">
        <f t="shared" si="26"/>
        <v>ВРУ1-47-00 №1 (2x25А+1x40А+2x50А)</v>
      </c>
      <c r="C174" s="5" t="s">
        <v>39</v>
      </c>
      <c r="D174" s="5" t="s">
        <v>40</v>
      </c>
      <c r="E174" s="5" t="s">
        <v>41</v>
      </c>
      <c r="F174" s="6">
        <v>1094</v>
      </c>
      <c r="G174" s="6">
        <f>F174*Kurallar!$B$3</f>
        <v>1094</v>
      </c>
      <c r="H174" s="6">
        <f t="shared" si="27"/>
        <v>2188</v>
      </c>
      <c r="I174" s="18">
        <v>2</v>
      </c>
      <c r="J174" s="18" t="s">
        <v>15</v>
      </c>
      <c r="K174" s="18" t="s">
        <v>16</v>
      </c>
      <c r="L174" s="5"/>
      <c r="M174" s="5" t="s">
        <v>42</v>
      </c>
      <c r="N174">
        <v>2188</v>
      </c>
    </row>
    <row r="175" spans="1:14" x14ac:dyDescent="0.25">
      <c r="A175" s="5">
        <v>174</v>
      </c>
      <c r="B175" s="5" t="str">
        <f t="shared" si="26"/>
        <v>ВРУ1-47-00 №1 (2x25А+1x40А+2x50А)</v>
      </c>
      <c r="C175" s="5" t="s">
        <v>43</v>
      </c>
      <c r="D175" s="5"/>
      <c r="E175" s="5" t="s">
        <v>44</v>
      </c>
      <c r="F175" s="6"/>
      <c r="G175" s="6">
        <f>SUM(H167:H174)*Kurallar!$B$5</f>
        <v>4179.18</v>
      </c>
      <c r="H175" s="6">
        <f t="shared" si="27"/>
        <v>4179.18</v>
      </c>
      <c r="I175" s="18">
        <v>1</v>
      </c>
      <c r="J175" s="18" t="s">
        <v>15</v>
      </c>
      <c r="K175" s="18" t="s">
        <v>43</v>
      </c>
      <c r="L175" s="5"/>
      <c r="M175" s="5"/>
      <c r="N175">
        <v>4179.18</v>
      </c>
    </row>
    <row r="176" spans="1:14" x14ac:dyDescent="0.25">
      <c r="A176" s="5">
        <v>175</v>
      </c>
      <c r="B176" s="5" t="str">
        <f t="shared" si="26"/>
        <v>ВРУ1-47-00 №1 (2x25А+1x40А+2x50А)</v>
      </c>
      <c r="C176" s="5" t="s">
        <v>45</v>
      </c>
      <c r="D176" s="5"/>
      <c r="E176" s="5" t="s">
        <v>46</v>
      </c>
      <c r="F176" s="6"/>
      <c r="G176" s="6">
        <f>SUM(H167:H174)*Kurallar!$B$6+35000</f>
        <v>62861.2</v>
      </c>
      <c r="H176" s="6">
        <f t="shared" si="27"/>
        <v>62861.2</v>
      </c>
      <c r="I176" s="18">
        <v>1</v>
      </c>
      <c r="J176" s="18" t="s">
        <v>15</v>
      </c>
      <c r="K176" s="18" t="s">
        <v>45</v>
      </c>
      <c r="L176" s="5"/>
      <c r="M176" s="5"/>
      <c r="N176">
        <v>62861.2</v>
      </c>
    </row>
    <row r="177" spans="1:14" x14ac:dyDescent="0.25">
      <c r="A177" s="7">
        <v>176</v>
      </c>
      <c r="B177" s="8" t="s">
        <v>141</v>
      </c>
      <c r="C177" s="7"/>
      <c r="D177" s="7"/>
      <c r="E177" s="7"/>
      <c r="F177" s="9"/>
      <c r="G177" s="9"/>
      <c r="H177" s="10">
        <f>SUBTOTAL(9,H167:H176)</f>
        <v>206346.38</v>
      </c>
      <c r="I177" s="7"/>
      <c r="J177" s="7"/>
      <c r="K177" s="7"/>
      <c r="L177" s="7"/>
      <c r="M177" s="7"/>
      <c r="N177">
        <v>206346.38</v>
      </c>
    </row>
    <row r="178" spans="1:14" x14ac:dyDescent="0.25">
      <c r="A178" s="2">
        <v>177</v>
      </c>
      <c r="B178" s="3" t="str">
        <f>E178</f>
        <v>ВРУ1-47-00 №2 (1x32А+2x40А+2x50А)</v>
      </c>
      <c r="C178" s="2"/>
      <c r="D178" s="2"/>
      <c r="E178" s="2" t="s">
        <v>142</v>
      </c>
      <c r="F178" s="4"/>
      <c r="G178" s="4"/>
      <c r="H178" s="4"/>
      <c r="I178" s="2">
        <v>1</v>
      </c>
      <c r="J178" s="2" t="s">
        <v>13</v>
      </c>
      <c r="K178" s="2"/>
      <c r="L178" s="2"/>
      <c r="M178" s="2"/>
    </row>
    <row r="179" spans="1:14" x14ac:dyDescent="0.25">
      <c r="A179" s="5">
        <v>178</v>
      </c>
      <c r="B179" s="5" t="str">
        <f t="shared" ref="B179:B188" si="28">B178</f>
        <v>ВРУ1-47-00 №2 (1x32А+2x40А+2x50А)</v>
      </c>
      <c r="C179" s="5" t="s">
        <v>14</v>
      </c>
      <c r="D179" s="5" t="s">
        <v>208</v>
      </c>
      <c r="E179" s="5" t="s">
        <v>209</v>
      </c>
      <c r="F179" s="6">
        <v>155000</v>
      </c>
      <c r="G179" s="6">
        <f>0.6*F179</f>
        <v>93000</v>
      </c>
      <c r="H179" s="6">
        <f t="shared" ref="H179:H188" si="29">G179*I179</f>
        <v>93000</v>
      </c>
      <c r="I179" s="18">
        <v>1</v>
      </c>
      <c r="J179" s="18" t="s">
        <v>15</v>
      </c>
      <c r="K179" s="19" t="s">
        <v>222</v>
      </c>
      <c r="L179" s="5"/>
      <c r="M179" s="5" t="s">
        <v>128</v>
      </c>
      <c r="N179">
        <v>93000</v>
      </c>
    </row>
    <row r="180" spans="1:14" x14ac:dyDescent="0.25">
      <c r="A180" s="5">
        <v>179</v>
      </c>
      <c r="B180" s="5" t="str">
        <f t="shared" si="28"/>
        <v>ВРУ1-47-00 №2 (1x32А+2x40А+2x50А)</v>
      </c>
      <c r="C180" s="5" t="s">
        <v>106</v>
      </c>
      <c r="D180" s="5" t="s">
        <v>129</v>
      </c>
      <c r="E180" s="5" t="s">
        <v>130</v>
      </c>
      <c r="F180" s="6">
        <v>1990</v>
      </c>
      <c r="G180" s="6">
        <f>F180*Kurallar!$B$3</f>
        <v>1990</v>
      </c>
      <c r="H180" s="6">
        <f t="shared" si="29"/>
        <v>29850</v>
      </c>
      <c r="I180" s="18">
        <v>15</v>
      </c>
      <c r="J180" s="18" t="s">
        <v>15</v>
      </c>
      <c r="K180" s="18" t="s">
        <v>16</v>
      </c>
      <c r="L180" s="5"/>
      <c r="M180" s="5" t="s">
        <v>131</v>
      </c>
      <c r="N180">
        <v>29850</v>
      </c>
    </row>
    <row r="181" spans="1:14" x14ac:dyDescent="0.25">
      <c r="A181" s="5">
        <v>180</v>
      </c>
      <c r="B181" s="5" t="str">
        <f t="shared" si="28"/>
        <v>ВРУ1-47-00 №2 (1x32А+2x40А+2x50А)</v>
      </c>
      <c r="C181" s="5" t="s">
        <v>106</v>
      </c>
      <c r="D181" s="5" t="s">
        <v>132</v>
      </c>
      <c r="E181" s="5" t="s">
        <v>133</v>
      </c>
      <c r="F181" s="6">
        <v>916</v>
      </c>
      <c r="G181" s="6">
        <f>F181*Kurallar!$B$3</f>
        <v>916</v>
      </c>
      <c r="H181" s="6">
        <f t="shared" si="29"/>
        <v>5496</v>
      </c>
      <c r="I181" s="18">
        <v>6</v>
      </c>
      <c r="J181" s="18" t="s">
        <v>15</v>
      </c>
      <c r="K181" s="18" t="s">
        <v>16</v>
      </c>
      <c r="L181" s="5"/>
      <c r="M181" s="5" t="s">
        <v>134</v>
      </c>
      <c r="N181">
        <v>5496</v>
      </c>
    </row>
    <row r="182" spans="1:14" x14ac:dyDescent="0.25">
      <c r="A182" s="5">
        <v>181</v>
      </c>
      <c r="B182" s="5" t="str">
        <f t="shared" si="28"/>
        <v>ВРУ1-47-00 №2 (1x32А+2x40А+2x50А)</v>
      </c>
      <c r="C182" s="5" t="s">
        <v>106</v>
      </c>
      <c r="D182" s="5" t="s">
        <v>143</v>
      </c>
      <c r="E182" s="5" t="s">
        <v>144</v>
      </c>
      <c r="F182" s="6">
        <v>775</v>
      </c>
      <c r="G182" s="6">
        <f>F182*Kurallar!$B$3</f>
        <v>775</v>
      </c>
      <c r="H182" s="6">
        <f t="shared" si="29"/>
        <v>2325</v>
      </c>
      <c r="I182" s="18">
        <v>3</v>
      </c>
      <c r="J182" s="18" t="s">
        <v>15</v>
      </c>
      <c r="K182" s="18" t="s">
        <v>16</v>
      </c>
      <c r="L182" s="5"/>
      <c r="M182" s="5" t="s">
        <v>145</v>
      </c>
      <c r="N182">
        <v>2325</v>
      </c>
    </row>
    <row r="183" spans="1:14" x14ac:dyDescent="0.25">
      <c r="A183" s="5">
        <v>182</v>
      </c>
      <c r="B183" s="5" t="str">
        <f t="shared" si="28"/>
        <v>ВРУ1-47-00 №2 (1x32А+2x40А+2x50А)</v>
      </c>
      <c r="C183" s="5" t="s">
        <v>106</v>
      </c>
      <c r="D183" s="5" t="s">
        <v>135</v>
      </c>
      <c r="E183" s="5" t="s">
        <v>136</v>
      </c>
      <c r="F183" s="6">
        <v>775</v>
      </c>
      <c r="G183" s="6">
        <f>F183*Kurallar!$B$3</f>
        <v>775</v>
      </c>
      <c r="H183" s="6">
        <f t="shared" si="29"/>
        <v>4650</v>
      </c>
      <c r="I183" s="18">
        <v>6</v>
      </c>
      <c r="J183" s="18" t="s">
        <v>15</v>
      </c>
      <c r="K183" s="18" t="s">
        <v>16</v>
      </c>
      <c r="L183" s="5"/>
      <c r="M183" s="5" t="s">
        <v>137</v>
      </c>
      <c r="N183">
        <v>4650</v>
      </c>
    </row>
    <row r="184" spans="1:14" x14ac:dyDescent="0.25">
      <c r="A184" s="5">
        <v>183</v>
      </c>
      <c r="B184" s="5" t="str">
        <f t="shared" si="28"/>
        <v>ВРУ1-47-00 №2 (1x32А+2x40А+2x50А)</v>
      </c>
      <c r="C184" s="5" t="s">
        <v>28</v>
      </c>
      <c r="D184" s="5" t="s">
        <v>120</v>
      </c>
      <c r="E184" s="5" t="s">
        <v>121</v>
      </c>
      <c r="F184" s="6">
        <v>1147</v>
      </c>
      <c r="G184" s="6">
        <f>F184*Kurallar!$B$3</f>
        <v>1147</v>
      </c>
      <c r="H184" s="6">
        <f t="shared" si="29"/>
        <v>1147</v>
      </c>
      <c r="I184" s="18">
        <v>1</v>
      </c>
      <c r="J184" s="18" t="s">
        <v>15</v>
      </c>
      <c r="K184" s="19" t="s">
        <v>200</v>
      </c>
      <c r="L184" s="5"/>
      <c r="M184" s="5" t="s">
        <v>122</v>
      </c>
      <c r="N184">
        <v>1147</v>
      </c>
    </row>
    <row r="185" spans="1:14" x14ac:dyDescent="0.25">
      <c r="A185" s="5">
        <v>184</v>
      </c>
      <c r="B185" s="5" t="str">
        <f t="shared" si="28"/>
        <v>ВРУ1-47-00 №2 (1x32А+2x40А+2x50А)</v>
      </c>
      <c r="C185" s="5" t="s">
        <v>28</v>
      </c>
      <c r="D185" s="5" t="s">
        <v>123</v>
      </c>
      <c r="E185" s="5" t="s">
        <v>124</v>
      </c>
      <c r="F185" s="6">
        <v>650</v>
      </c>
      <c r="G185" s="6">
        <f>F185*Kurallar!$B$3</f>
        <v>650</v>
      </c>
      <c r="H185" s="6">
        <f t="shared" si="29"/>
        <v>650</v>
      </c>
      <c r="I185" s="18">
        <v>1</v>
      </c>
      <c r="J185" s="18" t="s">
        <v>15</v>
      </c>
      <c r="K185" s="19" t="s">
        <v>200</v>
      </c>
      <c r="L185" s="5"/>
      <c r="M185" s="5" t="s">
        <v>125</v>
      </c>
      <c r="N185">
        <v>650</v>
      </c>
    </row>
    <row r="186" spans="1:14" x14ac:dyDescent="0.25">
      <c r="A186" s="5">
        <v>185</v>
      </c>
      <c r="B186" s="5" t="str">
        <f t="shared" si="28"/>
        <v>ВРУ1-47-00 №2 (1x32А+2x40А+2x50А)</v>
      </c>
      <c r="C186" s="5" t="s">
        <v>39</v>
      </c>
      <c r="D186" s="5" t="s">
        <v>40</v>
      </c>
      <c r="E186" s="5" t="s">
        <v>41</v>
      </c>
      <c r="F186" s="6">
        <v>1094</v>
      </c>
      <c r="G186" s="6">
        <f>F186*Kurallar!$B$3</f>
        <v>1094</v>
      </c>
      <c r="H186" s="6">
        <f t="shared" si="29"/>
        <v>2188</v>
      </c>
      <c r="I186" s="18">
        <v>2</v>
      </c>
      <c r="J186" s="18" t="s">
        <v>15</v>
      </c>
      <c r="K186" s="18" t="s">
        <v>16</v>
      </c>
      <c r="L186" s="5"/>
      <c r="M186" s="5" t="s">
        <v>42</v>
      </c>
      <c r="N186">
        <v>2188</v>
      </c>
    </row>
    <row r="187" spans="1:14" x14ac:dyDescent="0.25">
      <c r="A187" s="5">
        <v>186</v>
      </c>
      <c r="B187" s="5" t="str">
        <f t="shared" si="28"/>
        <v>ВРУ1-47-00 №2 (1x32А+2x40А+2x50А)</v>
      </c>
      <c r="C187" s="5" t="s">
        <v>43</v>
      </c>
      <c r="D187" s="5"/>
      <c r="E187" s="5" t="s">
        <v>44</v>
      </c>
      <c r="F187" s="6"/>
      <c r="G187" s="6">
        <f>SUM(H179:H186)*Kurallar!$B$5</f>
        <v>4179.18</v>
      </c>
      <c r="H187" s="6">
        <f t="shared" si="29"/>
        <v>4179.18</v>
      </c>
      <c r="I187" s="18">
        <v>1</v>
      </c>
      <c r="J187" s="18" t="s">
        <v>15</v>
      </c>
      <c r="K187" s="18" t="s">
        <v>43</v>
      </c>
      <c r="L187" s="5"/>
      <c r="M187" s="5"/>
      <c r="N187">
        <v>4179.18</v>
      </c>
    </row>
    <row r="188" spans="1:14" x14ac:dyDescent="0.25">
      <c r="A188" s="5">
        <v>187</v>
      </c>
      <c r="B188" s="5" t="str">
        <f t="shared" si="28"/>
        <v>ВРУ1-47-00 №2 (1x32А+2x40А+2x50А)</v>
      </c>
      <c r="C188" s="5" t="s">
        <v>45</v>
      </c>
      <c r="D188" s="5"/>
      <c r="E188" s="5" t="s">
        <v>46</v>
      </c>
      <c r="F188" s="6"/>
      <c r="G188" s="6">
        <f>SUM(H179:H186)*Kurallar!$B$6+35000</f>
        <v>62861.2</v>
      </c>
      <c r="H188" s="6">
        <f t="shared" si="29"/>
        <v>62861.2</v>
      </c>
      <c r="I188" s="18">
        <v>1</v>
      </c>
      <c r="J188" s="18" t="s">
        <v>15</v>
      </c>
      <c r="K188" s="18" t="s">
        <v>45</v>
      </c>
      <c r="L188" s="5"/>
      <c r="M188" s="5"/>
      <c r="N188">
        <v>62861.2</v>
      </c>
    </row>
    <row r="189" spans="1:14" x14ac:dyDescent="0.25">
      <c r="A189" s="7">
        <v>188</v>
      </c>
      <c r="B189" s="8" t="s">
        <v>146</v>
      </c>
      <c r="C189" s="7"/>
      <c r="D189" s="7"/>
      <c r="E189" s="7"/>
      <c r="F189" s="9"/>
      <c r="G189" s="9"/>
      <c r="H189" s="10">
        <f>SUBTOTAL(9,H179:H188)</f>
        <v>206346.38</v>
      </c>
      <c r="I189" s="7"/>
      <c r="J189" s="7"/>
      <c r="K189" s="7"/>
      <c r="L189" s="7"/>
      <c r="M189" s="7"/>
      <c r="N189">
        <v>206346.38</v>
      </c>
    </row>
    <row r="190" spans="1:14" x14ac:dyDescent="0.25">
      <c r="A190" s="2">
        <v>189</v>
      </c>
      <c r="B190" s="3" t="str">
        <f>E190</f>
        <v>ЯАВР (АВР, proje: ЯАВР-160А — KONTROL)</v>
      </c>
      <c r="C190" s="2"/>
      <c r="D190" s="2"/>
      <c r="E190" s="2" t="s">
        <v>147</v>
      </c>
      <c r="F190" s="4"/>
      <c r="G190" s="4"/>
      <c r="H190" s="4"/>
      <c r="I190" s="2">
        <v>1</v>
      </c>
      <c r="J190" s="2" t="s">
        <v>13</v>
      </c>
      <c r="K190" s="2"/>
      <c r="L190" s="2"/>
      <c r="M190" s="2"/>
    </row>
    <row r="191" spans="1:14" x14ac:dyDescent="0.25">
      <c r="A191" s="5">
        <v>190</v>
      </c>
      <c r="B191" s="5" t="str">
        <f t="shared" ref="B191:B194" si="30">B190</f>
        <v>ЯАВР (АВР, proje: ЯАВР-160А — KONTROL)</v>
      </c>
      <c r="C191" s="5" t="s">
        <v>14</v>
      </c>
      <c r="D191" s="5" t="s">
        <v>206</v>
      </c>
      <c r="E191" s="17" t="s">
        <v>207</v>
      </c>
      <c r="F191" s="6">
        <v>30540</v>
      </c>
      <c r="G191" s="6">
        <f>0.6*F191</f>
        <v>18324</v>
      </c>
      <c r="H191" s="6">
        <f>G191*I191</f>
        <v>18324</v>
      </c>
      <c r="I191" s="18">
        <v>1</v>
      </c>
      <c r="J191" s="18" t="s">
        <v>15</v>
      </c>
      <c r="K191" s="19" t="s">
        <v>222</v>
      </c>
      <c r="L191" s="5"/>
      <c r="M191" s="5" t="s">
        <v>148</v>
      </c>
      <c r="N191">
        <v>18324</v>
      </c>
    </row>
    <row r="192" spans="1:14" x14ac:dyDescent="0.25">
      <c r="A192" s="5">
        <v>190</v>
      </c>
      <c r="B192" s="5" t="str">
        <f t="shared" ref="B192" si="31">B191</f>
        <v>ЯАВР (АВР, proje: ЯАВР-160А — KONTROL)</v>
      </c>
      <c r="C192" s="17" t="s">
        <v>203</v>
      </c>
      <c r="D192" s="5" t="s">
        <v>204</v>
      </c>
      <c r="E192" s="17" t="s">
        <v>205</v>
      </c>
      <c r="F192" s="6">
        <v>238152</v>
      </c>
      <c r="G192" s="6">
        <f>0.6*F192</f>
        <v>142891.19999999998</v>
      </c>
      <c r="H192" s="6">
        <f>G192*I192</f>
        <v>142891.19999999998</v>
      </c>
      <c r="I192" s="18">
        <v>1</v>
      </c>
      <c r="J192" s="18" t="s">
        <v>15</v>
      </c>
      <c r="K192" s="19" t="s">
        <v>21</v>
      </c>
      <c r="L192" s="5"/>
      <c r="M192" s="5" t="s">
        <v>148</v>
      </c>
      <c r="N192">
        <v>142891.19999999998</v>
      </c>
    </row>
    <row r="193" spans="1:14" x14ac:dyDescent="0.25">
      <c r="A193" s="5">
        <v>191</v>
      </c>
      <c r="B193" s="5" t="str">
        <f>B191</f>
        <v>ЯАВР (АВР, proje: ЯАВР-160А — KONTROL)</v>
      </c>
      <c r="C193" s="5" t="s">
        <v>43</v>
      </c>
      <c r="D193" s="5"/>
      <c r="E193" s="5" t="s">
        <v>44</v>
      </c>
      <c r="F193" s="6"/>
      <c r="G193" s="6">
        <f>SUM(H191:H191)*Kurallar!$B$5</f>
        <v>549.72</v>
      </c>
      <c r="H193" s="6">
        <f>G193*I193</f>
        <v>549.72</v>
      </c>
      <c r="I193" s="18">
        <v>1</v>
      </c>
      <c r="J193" s="18" t="s">
        <v>15</v>
      </c>
      <c r="K193" s="18" t="s">
        <v>43</v>
      </c>
      <c r="L193" s="5"/>
      <c r="M193" s="5"/>
      <c r="N193">
        <v>549.72</v>
      </c>
    </row>
    <row r="194" spans="1:14" x14ac:dyDescent="0.25">
      <c r="A194" s="5">
        <v>192</v>
      </c>
      <c r="B194" s="5" t="str">
        <f t="shared" si="30"/>
        <v>ЯАВР (АВР, proje: ЯАВР-160А — KONTROL)</v>
      </c>
      <c r="C194" s="5" t="s">
        <v>45</v>
      </c>
      <c r="D194" s="5"/>
      <c r="E194" s="5" t="s">
        <v>46</v>
      </c>
      <c r="F194" s="6"/>
      <c r="G194" s="6">
        <f>SUM(H191:H191)*Kurallar!$B$6</f>
        <v>3664.8</v>
      </c>
      <c r="H194" s="6">
        <f>G194*I194</f>
        <v>3664.8</v>
      </c>
      <c r="I194" s="18">
        <v>1</v>
      </c>
      <c r="J194" s="18" t="s">
        <v>15</v>
      </c>
      <c r="K194" s="18" t="s">
        <v>45</v>
      </c>
      <c r="L194" s="5"/>
      <c r="M194" s="5"/>
      <c r="N194">
        <v>3664.8</v>
      </c>
    </row>
    <row r="195" spans="1:14" x14ac:dyDescent="0.25">
      <c r="A195" s="7">
        <v>193</v>
      </c>
      <c r="B195" s="8" t="s">
        <v>149</v>
      </c>
      <c r="C195" s="7"/>
      <c r="D195" s="7"/>
      <c r="E195" s="7"/>
      <c r="F195" s="9"/>
      <c r="G195" s="9"/>
      <c r="H195" s="10">
        <f>SUBTOTAL(9,H191:H194)</f>
        <v>165429.71999999997</v>
      </c>
      <c r="I195" s="7"/>
      <c r="J195" s="7"/>
      <c r="K195" s="7"/>
      <c r="L195" s="7"/>
      <c r="M195" s="7"/>
      <c r="N195">
        <v>165429.71999999997</v>
      </c>
    </row>
    <row r="196" spans="1:14" x14ac:dyDescent="0.25">
      <c r="A196" s="2">
        <v>194</v>
      </c>
      <c r="B196" s="3" t="str">
        <f>E196</f>
        <v>Ящик управления (Я5411-1874, Iн=1А)</v>
      </c>
      <c r="C196" s="2"/>
      <c r="D196" s="2"/>
      <c r="E196" s="2" t="s">
        <v>150</v>
      </c>
      <c r="F196" s="4"/>
      <c r="G196" s="4"/>
      <c r="H196" s="4"/>
      <c r="I196" s="2">
        <v>1</v>
      </c>
      <c r="J196" s="2" t="s">
        <v>13</v>
      </c>
      <c r="K196" s="2"/>
      <c r="L196" s="2"/>
      <c r="M196" s="2"/>
    </row>
    <row r="197" spans="1:14" x14ac:dyDescent="0.25">
      <c r="A197" s="5">
        <v>195</v>
      </c>
      <c r="B197" s="5" t="str">
        <f t="shared" ref="B197:B204" si="32">B196</f>
        <v>Ящик управления (Я5411-1874, Iн=1А)</v>
      </c>
      <c r="C197" s="5" t="s">
        <v>14</v>
      </c>
      <c r="D197" s="5" t="s">
        <v>210</v>
      </c>
      <c r="E197" s="5" t="s">
        <v>211</v>
      </c>
      <c r="F197" s="6">
        <v>10995</v>
      </c>
      <c r="G197" s="6">
        <f>0.6*F197</f>
        <v>6597</v>
      </c>
      <c r="H197" s="6">
        <f t="shared" ref="H197:H204" si="33">G197*I197</f>
        <v>6597</v>
      </c>
      <c r="I197" s="18">
        <v>1</v>
      </c>
      <c r="J197" s="18" t="s">
        <v>15</v>
      </c>
      <c r="K197" s="19" t="s">
        <v>222</v>
      </c>
      <c r="L197" s="5"/>
      <c r="M197" s="5" t="s">
        <v>151</v>
      </c>
      <c r="N197">
        <v>6597</v>
      </c>
    </row>
    <row r="198" spans="1:14" x14ac:dyDescent="0.25">
      <c r="A198" s="5">
        <v>196</v>
      </c>
      <c r="B198" s="5" t="str">
        <f t="shared" si="32"/>
        <v>Ящик управления (Я5411-1874, Iн=1А)</v>
      </c>
      <c r="C198" s="5" t="s">
        <v>18</v>
      </c>
      <c r="D198" s="5" t="s">
        <v>68</v>
      </c>
      <c r="E198" s="5" t="s">
        <v>69</v>
      </c>
      <c r="F198" s="6">
        <v>5462</v>
      </c>
      <c r="G198" s="6">
        <f>F198*Kurallar!$B$2</f>
        <v>3277.2</v>
      </c>
      <c r="H198" s="6">
        <f t="shared" si="33"/>
        <v>3277.2</v>
      </c>
      <c r="I198" s="18">
        <v>1</v>
      </c>
      <c r="J198" s="18" t="s">
        <v>15</v>
      </c>
      <c r="K198" s="18" t="s">
        <v>21</v>
      </c>
      <c r="L198" s="5"/>
      <c r="M198" s="5" t="s">
        <v>70</v>
      </c>
      <c r="N198">
        <v>3277.2</v>
      </c>
    </row>
    <row r="199" spans="1:14" x14ac:dyDescent="0.25">
      <c r="A199" s="5">
        <v>197</v>
      </c>
      <c r="B199" s="5" t="str">
        <f t="shared" si="32"/>
        <v>Ящик управления (Я5411-1874, Iн=1А)</v>
      </c>
      <c r="C199" s="5" t="s">
        <v>76</v>
      </c>
      <c r="D199" s="5" t="s">
        <v>77</v>
      </c>
      <c r="E199" s="5" t="s">
        <v>78</v>
      </c>
      <c r="F199" s="6">
        <v>5214</v>
      </c>
      <c r="G199" s="6">
        <f>F199*Kurallar!$B$2</f>
        <v>3128.4</v>
      </c>
      <c r="H199" s="6">
        <f t="shared" si="33"/>
        <v>3128.4</v>
      </c>
      <c r="I199" s="18">
        <v>1</v>
      </c>
      <c r="J199" s="18" t="s">
        <v>15</v>
      </c>
      <c r="K199" s="18" t="s">
        <v>21</v>
      </c>
      <c r="L199" s="5"/>
      <c r="M199" s="5" t="s">
        <v>79</v>
      </c>
      <c r="N199">
        <v>3128.4</v>
      </c>
    </row>
    <row r="200" spans="1:14" x14ac:dyDescent="0.25">
      <c r="A200" s="5">
        <v>198</v>
      </c>
      <c r="B200" s="5" t="str">
        <f t="shared" si="32"/>
        <v>Ящик управления (Я5411-1874, Iн=1А)</v>
      </c>
      <c r="C200" s="5" t="s">
        <v>80</v>
      </c>
      <c r="D200" s="5" t="s">
        <v>152</v>
      </c>
      <c r="E200" s="5" t="s">
        <v>153</v>
      </c>
      <c r="F200" s="6">
        <v>4315</v>
      </c>
      <c r="G200" s="6">
        <f>F200*Kurallar!$B$2</f>
        <v>2589</v>
      </c>
      <c r="H200" s="6">
        <f t="shared" si="33"/>
        <v>2589</v>
      </c>
      <c r="I200" s="18">
        <v>1</v>
      </c>
      <c r="J200" s="18" t="s">
        <v>15</v>
      </c>
      <c r="K200" s="18" t="s">
        <v>21</v>
      </c>
      <c r="L200" s="5"/>
      <c r="M200" s="5" t="s">
        <v>154</v>
      </c>
      <c r="N200">
        <v>2589</v>
      </c>
    </row>
    <row r="201" spans="1:14" x14ac:dyDescent="0.25">
      <c r="A201" s="5">
        <v>199</v>
      </c>
      <c r="B201" s="5" t="str">
        <f t="shared" si="32"/>
        <v>Ящик управления (Я5411-1874, Iн=1А)</v>
      </c>
      <c r="C201" s="5" t="s">
        <v>155</v>
      </c>
      <c r="D201" s="5" t="s">
        <v>156</v>
      </c>
      <c r="E201" s="5" t="s">
        <v>157</v>
      </c>
      <c r="F201" s="6">
        <v>3382</v>
      </c>
      <c r="G201" s="6">
        <f>F201*Kurallar!$B$2</f>
        <v>2029.1999999999998</v>
      </c>
      <c r="H201" s="6">
        <f t="shared" si="33"/>
        <v>2029.1999999999998</v>
      </c>
      <c r="I201" s="18">
        <v>1</v>
      </c>
      <c r="J201" s="18" t="s">
        <v>15</v>
      </c>
      <c r="K201" s="18" t="s">
        <v>21</v>
      </c>
      <c r="L201" s="5"/>
      <c r="M201" s="5" t="s">
        <v>158</v>
      </c>
      <c r="N201">
        <v>2029.1999999999998</v>
      </c>
    </row>
    <row r="202" spans="1:14" x14ac:dyDescent="0.25">
      <c r="A202" s="5">
        <v>200</v>
      </c>
      <c r="B202" s="5" t="str">
        <f t="shared" si="32"/>
        <v>Ящик управления (Я5411-1874, Iн=1А)</v>
      </c>
      <c r="C202" s="5" t="s">
        <v>159</v>
      </c>
      <c r="D202" s="5" t="s">
        <v>160</v>
      </c>
      <c r="E202" s="5" t="s">
        <v>161</v>
      </c>
      <c r="F202" s="6">
        <v>589</v>
      </c>
      <c r="G202" s="6">
        <f>F202*Kurallar!$B$2</f>
        <v>353.4</v>
      </c>
      <c r="H202" s="6">
        <f t="shared" si="33"/>
        <v>353.4</v>
      </c>
      <c r="I202" s="18">
        <v>1</v>
      </c>
      <c r="J202" s="18" t="s">
        <v>15</v>
      </c>
      <c r="K202" s="18" t="s">
        <v>21</v>
      </c>
      <c r="L202" s="5"/>
      <c r="M202" s="5" t="s">
        <v>162</v>
      </c>
      <c r="N202">
        <v>353.4</v>
      </c>
    </row>
    <row r="203" spans="1:14" x14ac:dyDescent="0.25">
      <c r="A203" s="5">
        <v>201</v>
      </c>
      <c r="B203" s="5" t="str">
        <f t="shared" si="32"/>
        <v>Ящик управления (Я5411-1874, Iн=1А)</v>
      </c>
      <c r="C203" s="5" t="s">
        <v>43</v>
      </c>
      <c r="D203" s="5"/>
      <c r="E203" s="5" t="s">
        <v>44</v>
      </c>
      <c r="F203" s="6"/>
      <c r="G203" s="6">
        <f>SUM(H197:H202)*Kurallar!$B$5</f>
        <v>539.226</v>
      </c>
      <c r="H203" s="6">
        <f t="shared" si="33"/>
        <v>539.226</v>
      </c>
      <c r="I203" s="18">
        <v>1</v>
      </c>
      <c r="J203" s="18" t="s">
        <v>15</v>
      </c>
      <c r="K203" s="18" t="s">
        <v>43</v>
      </c>
      <c r="L203" s="5"/>
      <c r="M203" s="5"/>
      <c r="N203">
        <v>539.226</v>
      </c>
    </row>
    <row r="204" spans="1:14" x14ac:dyDescent="0.25">
      <c r="A204" s="5">
        <v>202</v>
      </c>
      <c r="B204" s="5" t="str">
        <f t="shared" si="32"/>
        <v>Ящик управления (Я5411-1874, Iн=1А)</v>
      </c>
      <c r="C204" s="5" t="s">
        <v>45</v>
      </c>
      <c r="D204" s="5"/>
      <c r="E204" s="5" t="s">
        <v>46</v>
      </c>
      <c r="F204" s="6"/>
      <c r="G204" s="6">
        <f>SUM(H197:H202)*Kurallar!$B$6</f>
        <v>3594.84</v>
      </c>
      <c r="H204" s="6">
        <f t="shared" si="33"/>
        <v>3594.84</v>
      </c>
      <c r="I204" s="18">
        <v>1</v>
      </c>
      <c r="J204" s="18" t="s">
        <v>15</v>
      </c>
      <c r="K204" s="18" t="s">
        <v>45</v>
      </c>
      <c r="L204" s="5"/>
      <c r="M204" s="5"/>
      <c r="N204">
        <v>3594.84</v>
      </c>
    </row>
    <row r="205" spans="1:14" x14ac:dyDescent="0.25">
      <c r="A205" s="7">
        <v>203</v>
      </c>
      <c r="B205" s="8" t="s">
        <v>163</v>
      </c>
      <c r="C205" s="7"/>
      <c r="D205" s="7"/>
      <c r="E205" s="7"/>
      <c r="F205" s="9"/>
      <c r="G205" s="9"/>
      <c r="H205" s="10">
        <f>SUBTOTAL(9,H197:H204)</f>
        <v>22108.266</v>
      </c>
      <c r="I205" s="7"/>
      <c r="J205" s="7"/>
      <c r="K205" s="7"/>
      <c r="L205" s="7"/>
      <c r="M205" s="7"/>
      <c r="N205">
        <v>22108.266</v>
      </c>
    </row>
    <row r="206" spans="1:14" x14ac:dyDescent="0.25">
      <c r="A206" s="2">
        <v>204</v>
      </c>
      <c r="B206" s="3" t="str">
        <f>E206</f>
        <v>Ящик управления (Я5111-2274, Iн=2А)</v>
      </c>
      <c r="C206" s="2"/>
      <c r="D206" s="2"/>
      <c r="E206" s="2" t="s">
        <v>164</v>
      </c>
      <c r="F206" s="4"/>
      <c r="G206" s="4"/>
      <c r="H206" s="4"/>
      <c r="I206" s="2">
        <v>1</v>
      </c>
      <c r="J206" s="2" t="s">
        <v>13</v>
      </c>
      <c r="K206" s="2"/>
      <c r="L206" s="2"/>
      <c r="M206" s="2"/>
    </row>
    <row r="207" spans="1:14" x14ac:dyDescent="0.25">
      <c r="A207" s="5">
        <v>205</v>
      </c>
      <c r="B207" s="5" t="str">
        <f t="shared" ref="B207:B214" si="34">B206</f>
        <v>Ящик управления (Я5111-2274, Iн=2А)</v>
      </c>
      <c r="C207" s="5" t="s">
        <v>14</v>
      </c>
      <c r="D207" s="5" t="s">
        <v>210</v>
      </c>
      <c r="E207" s="5" t="s">
        <v>211</v>
      </c>
      <c r="F207" s="6">
        <v>10995</v>
      </c>
      <c r="G207" s="6">
        <f>0.6*F207</f>
        <v>6597</v>
      </c>
      <c r="H207" s="6">
        <f t="shared" ref="H207:H214" si="35">G207*I207</f>
        <v>6597</v>
      </c>
      <c r="I207" s="18">
        <v>1</v>
      </c>
      <c r="J207" s="18" t="s">
        <v>15</v>
      </c>
      <c r="K207" s="19" t="s">
        <v>222</v>
      </c>
      <c r="L207" s="5"/>
      <c r="M207" s="5" t="s">
        <v>151</v>
      </c>
      <c r="N207">
        <v>6597</v>
      </c>
    </row>
    <row r="208" spans="1:14" x14ac:dyDescent="0.25">
      <c r="A208" s="5">
        <v>206</v>
      </c>
      <c r="B208" s="5" t="str">
        <f t="shared" si="34"/>
        <v>Ящик управления (Я5111-2274, Iн=2А)</v>
      </c>
      <c r="C208" s="5" t="s">
        <v>18</v>
      </c>
      <c r="D208" s="5" t="s">
        <v>68</v>
      </c>
      <c r="E208" s="5" t="s">
        <v>69</v>
      </c>
      <c r="F208" s="6">
        <v>5462</v>
      </c>
      <c r="G208" s="6">
        <f>F208*Kurallar!$B$2</f>
        <v>3277.2</v>
      </c>
      <c r="H208" s="6">
        <f t="shared" si="35"/>
        <v>3277.2</v>
      </c>
      <c r="I208" s="18">
        <v>1</v>
      </c>
      <c r="J208" s="18" t="s">
        <v>15</v>
      </c>
      <c r="K208" s="18" t="s">
        <v>21</v>
      </c>
      <c r="L208" s="5"/>
      <c r="M208" s="5" t="s">
        <v>70</v>
      </c>
      <c r="N208">
        <v>3277.2</v>
      </c>
    </row>
    <row r="209" spans="1:14" x14ac:dyDescent="0.25">
      <c r="A209" s="5">
        <v>207</v>
      </c>
      <c r="B209" s="5" t="str">
        <f t="shared" si="34"/>
        <v>Ящик управления (Я5111-2274, Iн=2А)</v>
      </c>
      <c r="C209" s="5" t="s">
        <v>76</v>
      </c>
      <c r="D209" s="5" t="s">
        <v>77</v>
      </c>
      <c r="E209" s="5" t="s">
        <v>78</v>
      </c>
      <c r="F209" s="6">
        <v>5214</v>
      </c>
      <c r="G209" s="6">
        <f>F209*Kurallar!$B$2</f>
        <v>3128.4</v>
      </c>
      <c r="H209" s="6">
        <f t="shared" si="35"/>
        <v>3128.4</v>
      </c>
      <c r="I209" s="18">
        <v>1</v>
      </c>
      <c r="J209" s="18" t="s">
        <v>15</v>
      </c>
      <c r="K209" s="18" t="s">
        <v>21</v>
      </c>
      <c r="L209" s="5"/>
      <c r="M209" s="5" t="s">
        <v>79</v>
      </c>
      <c r="N209">
        <v>3128.4</v>
      </c>
    </row>
    <row r="210" spans="1:14" x14ac:dyDescent="0.25">
      <c r="A210" s="5">
        <v>208</v>
      </c>
      <c r="B210" s="5" t="str">
        <f t="shared" si="34"/>
        <v>Ящик управления (Я5111-2274, Iн=2А)</v>
      </c>
      <c r="C210" s="5" t="s">
        <v>80</v>
      </c>
      <c r="D210" s="5" t="s">
        <v>81</v>
      </c>
      <c r="E210" s="5" t="s">
        <v>82</v>
      </c>
      <c r="F210" s="6">
        <v>4315</v>
      </c>
      <c r="G210" s="6">
        <f>F210*Kurallar!$B$2</f>
        <v>2589</v>
      </c>
      <c r="H210" s="6">
        <f t="shared" si="35"/>
        <v>2589</v>
      </c>
      <c r="I210" s="18">
        <v>1</v>
      </c>
      <c r="J210" s="18" t="s">
        <v>15</v>
      </c>
      <c r="K210" s="18" t="s">
        <v>21</v>
      </c>
      <c r="L210" s="5"/>
      <c r="M210" s="5" t="s">
        <v>83</v>
      </c>
      <c r="N210">
        <v>2589</v>
      </c>
    </row>
    <row r="211" spans="1:14" x14ac:dyDescent="0.25">
      <c r="A211" s="5">
        <v>209</v>
      </c>
      <c r="B211" s="5" t="str">
        <f t="shared" si="34"/>
        <v>Ящик управления (Я5111-2274, Iн=2А)</v>
      </c>
      <c r="C211" s="5" t="s">
        <v>155</v>
      </c>
      <c r="D211" s="5" t="s">
        <v>156</v>
      </c>
      <c r="E211" s="5" t="s">
        <v>157</v>
      </c>
      <c r="F211" s="6">
        <v>3382</v>
      </c>
      <c r="G211" s="6">
        <f>F211*Kurallar!$B$2</f>
        <v>2029.1999999999998</v>
      </c>
      <c r="H211" s="6">
        <f t="shared" si="35"/>
        <v>2029.1999999999998</v>
      </c>
      <c r="I211" s="18">
        <v>1</v>
      </c>
      <c r="J211" s="18" t="s">
        <v>15</v>
      </c>
      <c r="K211" s="18" t="s">
        <v>21</v>
      </c>
      <c r="L211" s="5"/>
      <c r="M211" s="5" t="s">
        <v>158</v>
      </c>
      <c r="N211">
        <v>2029.1999999999998</v>
      </c>
    </row>
    <row r="212" spans="1:14" x14ac:dyDescent="0.25">
      <c r="A212" s="5">
        <v>210</v>
      </c>
      <c r="B212" s="5" t="str">
        <f t="shared" si="34"/>
        <v>Ящик управления (Я5111-2274, Iн=2А)</v>
      </c>
      <c r="C212" s="5" t="s">
        <v>159</v>
      </c>
      <c r="D212" s="5" t="s">
        <v>160</v>
      </c>
      <c r="E212" s="5" t="s">
        <v>161</v>
      </c>
      <c r="F212" s="6">
        <v>589</v>
      </c>
      <c r="G212" s="6">
        <f>F212*Kurallar!$B$2</f>
        <v>353.4</v>
      </c>
      <c r="H212" s="6">
        <f t="shared" si="35"/>
        <v>353.4</v>
      </c>
      <c r="I212" s="18">
        <v>1</v>
      </c>
      <c r="J212" s="18" t="s">
        <v>15</v>
      </c>
      <c r="K212" s="18" t="s">
        <v>21</v>
      </c>
      <c r="L212" s="5"/>
      <c r="M212" s="5" t="s">
        <v>162</v>
      </c>
      <c r="N212">
        <v>353.4</v>
      </c>
    </row>
    <row r="213" spans="1:14" x14ac:dyDescent="0.25">
      <c r="A213" s="5">
        <v>211</v>
      </c>
      <c r="B213" s="5" t="str">
        <f t="shared" si="34"/>
        <v>Ящик управления (Я5111-2274, Iн=2А)</v>
      </c>
      <c r="C213" s="5" t="s">
        <v>43</v>
      </c>
      <c r="D213" s="5"/>
      <c r="E213" s="5" t="s">
        <v>44</v>
      </c>
      <c r="F213" s="6"/>
      <c r="G213" s="6">
        <f>SUM(H207:H212)*Kurallar!$B$5</f>
        <v>539.226</v>
      </c>
      <c r="H213" s="6">
        <f t="shared" si="35"/>
        <v>539.226</v>
      </c>
      <c r="I213" s="18">
        <v>1</v>
      </c>
      <c r="J213" s="18" t="s">
        <v>15</v>
      </c>
      <c r="K213" s="18" t="s">
        <v>43</v>
      </c>
      <c r="L213" s="5"/>
      <c r="M213" s="5"/>
      <c r="N213">
        <v>539.226</v>
      </c>
    </row>
    <row r="214" spans="1:14" x14ac:dyDescent="0.25">
      <c r="A214" s="5">
        <v>212</v>
      </c>
      <c r="B214" s="5" t="str">
        <f t="shared" si="34"/>
        <v>Ящик управления (Я5111-2274, Iн=2А)</v>
      </c>
      <c r="C214" s="5" t="s">
        <v>45</v>
      </c>
      <c r="D214" s="5"/>
      <c r="E214" s="5" t="s">
        <v>46</v>
      </c>
      <c r="F214" s="6"/>
      <c r="G214" s="6">
        <f>SUM(H207:H212)*Kurallar!$B$6</f>
        <v>3594.84</v>
      </c>
      <c r="H214" s="6">
        <f t="shared" si="35"/>
        <v>3594.84</v>
      </c>
      <c r="I214" s="18">
        <v>1</v>
      </c>
      <c r="J214" s="18" t="s">
        <v>15</v>
      </c>
      <c r="K214" s="18" t="s">
        <v>45</v>
      </c>
      <c r="L214" s="5"/>
      <c r="M214" s="5"/>
      <c r="N214">
        <v>3594.84</v>
      </c>
    </row>
    <row r="215" spans="1:14" x14ac:dyDescent="0.25">
      <c r="A215" s="7">
        <v>213</v>
      </c>
      <c r="B215" s="8" t="s">
        <v>165</v>
      </c>
      <c r="C215" s="7"/>
      <c r="D215" s="7"/>
      <c r="E215" s="7"/>
      <c r="F215" s="9"/>
      <c r="G215" s="9"/>
      <c r="H215" s="10">
        <f>SUBTOTAL(9,H207:H214)</f>
        <v>22108.266</v>
      </c>
      <c r="I215" s="7"/>
      <c r="J215" s="7"/>
      <c r="K215" s="7"/>
      <c r="L215" s="7"/>
      <c r="M215" s="7"/>
      <c r="N215">
        <v>22108.266</v>
      </c>
    </row>
    <row r="216" spans="1:14" x14ac:dyDescent="0.25">
      <c r="A216" s="2">
        <v>214</v>
      </c>
      <c r="B216" s="3" t="str">
        <f>E216</f>
        <v>Ящик управления (Я5111-2674, Iн=5А)</v>
      </c>
      <c r="C216" s="2"/>
      <c r="D216" s="2"/>
      <c r="E216" s="2" t="s">
        <v>166</v>
      </c>
      <c r="F216" s="4"/>
      <c r="G216" s="4"/>
      <c r="H216" s="4"/>
      <c r="I216" s="2">
        <v>3</v>
      </c>
      <c r="J216" s="2" t="s">
        <v>13</v>
      </c>
      <c r="K216" s="2"/>
      <c r="L216" s="2"/>
      <c r="M216" s="2"/>
    </row>
    <row r="217" spans="1:14" x14ac:dyDescent="0.25">
      <c r="A217" s="5">
        <v>215</v>
      </c>
      <c r="B217" s="5" t="str">
        <f t="shared" ref="B217:B224" si="36">B216</f>
        <v>Ящик управления (Я5111-2674, Iн=5А)</v>
      </c>
      <c r="C217" s="5" t="s">
        <v>14</v>
      </c>
      <c r="D217" s="5" t="s">
        <v>210</v>
      </c>
      <c r="E217" s="5" t="s">
        <v>211</v>
      </c>
      <c r="F217" s="6">
        <v>10995</v>
      </c>
      <c r="G217" s="6">
        <f>0.6*F217</f>
        <v>6597</v>
      </c>
      <c r="H217" s="6">
        <f t="shared" ref="H217:H224" si="37">G217*I217</f>
        <v>6597</v>
      </c>
      <c r="I217" s="18">
        <v>1</v>
      </c>
      <c r="J217" s="18" t="s">
        <v>15</v>
      </c>
      <c r="K217" s="19" t="s">
        <v>222</v>
      </c>
      <c r="L217" s="5"/>
      <c r="M217" s="5" t="s">
        <v>151</v>
      </c>
      <c r="N217">
        <v>6597</v>
      </c>
    </row>
    <row r="218" spans="1:14" x14ac:dyDescent="0.25">
      <c r="A218" s="5">
        <v>216</v>
      </c>
      <c r="B218" s="5" t="str">
        <f t="shared" si="36"/>
        <v>Ящик управления (Я5111-2674, Iн=5А)</v>
      </c>
      <c r="C218" s="5" t="s">
        <v>18</v>
      </c>
      <c r="D218" s="5" t="s">
        <v>68</v>
      </c>
      <c r="E218" s="5" t="s">
        <v>69</v>
      </c>
      <c r="F218" s="6">
        <v>5462</v>
      </c>
      <c r="G218" s="6">
        <f>F218*Kurallar!$B$2</f>
        <v>3277.2</v>
      </c>
      <c r="H218" s="6">
        <f t="shared" si="37"/>
        <v>3277.2</v>
      </c>
      <c r="I218" s="18">
        <v>1</v>
      </c>
      <c r="J218" s="18" t="s">
        <v>15</v>
      </c>
      <c r="K218" s="18" t="s">
        <v>21</v>
      </c>
      <c r="L218" s="5"/>
      <c r="M218" s="5" t="s">
        <v>70</v>
      </c>
      <c r="N218">
        <v>3277.2</v>
      </c>
    </row>
    <row r="219" spans="1:14" x14ac:dyDescent="0.25">
      <c r="A219" s="5">
        <v>217</v>
      </c>
      <c r="B219" s="5" t="str">
        <f t="shared" si="36"/>
        <v>Ящик управления (Я5111-2674, Iн=5А)</v>
      </c>
      <c r="C219" s="5" t="s">
        <v>76</v>
      </c>
      <c r="D219" s="5" t="s">
        <v>77</v>
      </c>
      <c r="E219" s="5" t="s">
        <v>78</v>
      </c>
      <c r="F219" s="6">
        <v>5214</v>
      </c>
      <c r="G219" s="6">
        <f>F219*Kurallar!$B$2</f>
        <v>3128.4</v>
      </c>
      <c r="H219" s="6">
        <f t="shared" si="37"/>
        <v>3128.4</v>
      </c>
      <c r="I219" s="18">
        <v>1</v>
      </c>
      <c r="J219" s="18" t="s">
        <v>15</v>
      </c>
      <c r="K219" s="18" t="s">
        <v>21</v>
      </c>
      <c r="L219" s="5"/>
      <c r="M219" s="5" t="s">
        <v>79</v>
      </c>
      <c r="N219">
        <v>3128.4</v>
      </c>
    </row>
    <row r="220" spans="1:14" x14ac:dyDescent="0.25">
      <c r="A220" s="5">
        <v>218</v>
      </c>
      <c r="B220" s="5" t="str">
        <f t="shared" si="36"/>
        <v>Ящик управления (Я5111-2674, Iн=5А)</v>
      </c>
      <c r="C220" s="5" t="s">
        <v>80</v>
      </c>
      <c r="D220" s="5" t="s">
        <v>87</v>
      </c>
      <c r="E220" s="5" t="s">
        <v>88</v>
      </c>
      <c r="F220" s="6">
        <v>4315</v>
      </c>
      <c r="G220" s="6">
        <f>F220*Kurallar!$B$2</f>
        <v>2589</v>
      </c>
      <c r="H220" s="6">
        <f t="shared" si="37"/>
        <v>2589</v>
      </c>
      <c r="I220" s="18">
        <v>1</v>
      </c>
      <c r="J220" s="18" t="s">
        <v>15</v>
      </c>
      <c r="K220" s="18" t="s">
        <v>21</v>
      </c>
      <c r="L220" s="5"/>
      <c r="M220" s="5" t="s">
        <v>89</v>
      </c>
      <c r="N220">
        <v>2589</v>
      </c>
    </row>
    <row r="221" spans="1:14" x14ac:dyDescent="0.25">
      <c r="A221" s="5">
        <v>219</v>
      </c>
      <c r="B221" s="5" t="str">
        <f t="shared" si="36"/>
        <v>Ящик управления (Я5111-2674, Iн=5А)</v>
      </c>
      <c r="C221" s="5" t="s">
        <v>155</v>
      </c>
      <c r="D221" s="5" t="s">
        <v>156</v>
      </c>
      <c r="E221" s="5" t="s">
        <v>157</v>
      </c>
      <c r="F221" s="6">
        <v>3382</v>
      </c>
      <c r="G221" s="6">
        <f>F221*Kurallar!$B$2</f>
        <v>2029.1999999999998</v>
      </c>
      <c r="H221" s="6">
        <f t="shared" si="37"/>
        <v>2029.1999999999998</v>
      </c>
      <c r="I221" s="18">
        <v>1</v>
      </c>
      <c r="J221" s="18" t="s">
        <v>15</v>
      </c>
      <c r="K221" s="18" t="s">
        <v>21</v>
      </c>
      <c r="L221" s="5"/>
      <c r="M221" s="5" t="s">
        <v>158</v>
      </c>
      <c r="N221">
        <v>2029.1999999999998</v>
      </c>
    </row>
    <row r="222" spans="1:14" x14ac:dyDescent="0.25">
      <c r="A222" s="5">
        <v>220</v>
      </c>
      <c r="B222" s="5" t="str">
        <f t="shared" si="36"/>
        <v>Ящик управления (Я5111-2674, Iн=5А)</v>
      </c>
      <c r="C222" s="5" t="s">
        <v>159</v>
      </c>
      <c r="D222" s="5" t="s">
        <v>160</v>
      </c>
      <c r="E222" s="5" t="s">
        <v>161</v>
      </c>
      <c r="F222" s="6">
        <v>589</v>
      </c>
      <c r="G222" s="6">
        <f>F222*Kurallar!$B$2</f>
        <v>353.4</v>
      </c>
      <c r="H222" s="6">
        <f t="shared" si="37"/>
        <v>353.4</v>
      </c>
      <c r="I222" s="18">
        <v>1</v>
      </c>
      <c r="J222" s="18" t="s">
        <v>15</v>
      </c>
      <c r="K222" s="18" t="s">
        <v>21</v>
      </c>
      <c r="L222" s="5"/>
      <c r="M222" s="5" t="s">
        <v>162</v>
      </c>
      <c r="N222">
        <v>353.4</v>
      </c>
    </row>
    <row r="223" spans="1:14" x14ac:dyDescent="0.25">
      <c r="A223" s="5">
        <v>221</v>
      </c>
      <c r="B223" s="5" t="str">
        <f t="shared" si="36"/>
        <v>Ящик управления (Я5111-2674, Iн=5А)</v>
      </c>
      <c r="C223" s="5" t="s">
        <v>43</v>
      </c>
      <c r="D223" s="5"/>
      <c r="E223" s="5" t="s">
        <v>44</v>
      </c>
      <c r="F223" s="6"/>
      <c r="G223" s="6">
        <f>SUM(H217:H222)*Kurallar!$B$5</f>
        <v>539.226</v>
      </c>
      <c r="H223" s="6">
        <f t="shared" si="37"/>
        <v>539.226</v>
      </c>
      <c r="I223" s="18">
        <v>1</v>
      </c>
      <c r="J223" s="18" t="s">
        <v>15</v>
      </c>
      <c r="K223" s="18" t="s">
        <v>43</v>
      </c>
      <c r="L223" s="5"/>
      <c r="M223" s="5"/>
      <c r="N223">
        <v>539.226</v>
      </c>
    </row>
    <row r="224" spans="1:14" x14ac:dyDescent="0.25">
      <c r="A224" s="5">
        <v>222</v>
      </c>
      <c r="B224" s="5" t="str">
        <f t="shared" si="36"/>
        <v>Ящик управления (Я5111-2674, Iн=5А)</v>
      </c>
      <c r="C224" s="5" t="s">
        <v>45</v>
      </c>
      <c r="D224" s="5"/>
      <c r="E224" s="5" t="s">
        <v>46</v>
      </c>
      <c r="F224" s="6"/>
      <c r="G224" s="6">
        <f>SUM(H217:H222)*Kurallar!$B$6</f>
        <v>3594.84</v>
      </c>
      <c r="H224" s="6">
        <f t="shared" si="37"/>
        <v>3594.84</v>
      </c>
      <c r="I224" s="18">
        <v>1</v>
      </c>
      <c r="J224" s="18" t="s">
        <v>15</v>
      </c>
      <c r="K224" s="18" t="s">
        <v>45</v>
      </c>
      <c r="L224" s="5"/>
      <c r="M224" s="5"/>
      <c r="N224">
        <v>3594.84</v>
      </c>
    </row>
    <row r="225" spans="1:14" x14ac:dyDescent="0.25">
      <c r="A225" s="7">
        <v>223</v>
      </c>
      <c r="B225" s="8" t="s">
        <v>167</v>
      </c>
      <c r="C225" s="7"/>
      <c r="D225" s="7"/>
      <c r="E225" s="7"/>
      <c r="F225" s="9"/>
      <c r="G225" s="9"/>
      <c r="H225" s="10">
        <f>SUBTOTAL(9,H217:H224)</f>
        <v>22108.266</v>
      </c>
      <c r="I225" s="7"/>
      <c r="J225" s="7"/>
      <c r="K225" s="7"/>
      <c r="L225" s="7"/>
      <c r="M225" s="7"/>
      <c r="N225">
        <v>22108.266</v>
      </c>
    </row>
    <row r="226" spans="1:14" x14ac:dyDescent="0.25">
      <c r="A226" s="7"/>
      <c r="B226" s="8" t="s">
        <v>168</v>
      </c>
      <c r="C226" s="7"/>
      <c r="D226" s="7"/>
      <c r="E226" s="7"/>
      <c r="F226" s="9"/>
      <c r="G226" s="9"/>
      <c r="H226" s="10">
        <f>SUBTOTAL(9,H2:H225)</f>
        <v>1747504.8419999992</v>
      </c>
      <c r="I226" s="20"/>
      <c r="J226" s="20"/>
      <c r="K226" s="20"/>
      <c r="L226" s="7"/>
      <c r="M226" s="7"/>
      <c r="N226">
        <v>1747504.8419999992</v>
      </c>
    </row>
  </sheetData>
  <autoFilter ref="A1:K225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8ECB-79AD-496E-9CD8-F8CF2D068F80}">
  <dimension ref="A1:L26"/>
  <sheetViews>
    <sheetView workbookViewId="0">
      <selection activeCell="D27" sqref="D27"/>
    </sheetView>
  </sheetViews>
  <sheetFormatPr defaultRowHeight="15" x14ac:dyDescent="0.25"/>
  <cols>
    <col min="2" max="2" width="53.140625" customWidth="1"/>
    <col min="3" max="3" width="14.7109375" customWidth="1"/>
    <col min="4" max="4" width="10.85546875" customWidth="1"/>
  </cols>
  <sheetData>
    <row r="1" spans="1:12" ht="30.75" customHeight="1" x14ac:dyDescent="0.25">
      <c r="A1" s="15" t="s">
        <v>3</v>
      </c>
      <c r="B1" s="15" t="s">
        <v>4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9</v>
      </c>
      <c r="H1" s="15" t="s">
        <v>10</v>
      </c>
      <c r="I1" s="15"/>
      <c r="J1" s="15" t="s">
        <v>11</v>
      </c>
      <c r="K1" s="16" t="s">
        <v>7</v>
      </c>
      <c r="L1">
        <v>2.2999999999999998</v>
      </c>
    </row>
    <row r="2" spans="1:12" x14ac:dyDescent="0.25">
      <c r="A2" s="2"/>
      <c r="B2" s="2" t="s">
        <v>12</v>
      </c>
      <c r="C2" s="4">
        <f>ROUNDUP(L2,-3)</f>
        <v>89000</v>
      </c>
      <c r="D2" s="4">
        <f>C2*0.7</f>
        <v>62299.999999999993</v>
      </c>
      <c r="E2" s="4">
        <f>D2*F2</f>
        <v>62299.999999999993</v>
      </c>
      <c r="F2" s="2">
        <v>1</v>
      </c>
      <c r="G2" s="2" t="s">
        <v>13</v>
      </c>
      <c r="H2" s="2"/>
      <c r="I2" s="2"/>
      <c r="J2" s="2"/>
      <c r="K2">
        <v>38580.182000000001</v>
      </c>
      <c r="L2">
        <f>2.3*K2</f>
        <v>88734.41859999999</v>
      </c>
    </row>
    <row r="3" spans="1:12" x14ac:dyDescent="0.25">
      <c r="A3" s="2"/>
      <c r="B3" s="2" t="s">
        <v>48</v>
      </c>
      <c r="C3" s="4">
        <f t="shared" ref="C3:C21" si="0">ROUNDUP(L3,-3)</f>
        <v>83000</v>
      </c>
      <c r="D3" s="4">
        <f t="shared" ref="D3:D21" si="1">C3*0.7</f>
        <v>58099.999999999993</v>
      </c>
      <c r="E3" s="4">
        <f t="shared" ref="E3:E20" si="2">D3*F3</f>
        <v>58099.999999999993</v>
      </c>
      <c r="F3" s="2">
        <v>1</v>
      </c>
      <c r="G3" s="2" t="s">
        <v>13</v>
      </c>
      <c r="H3" s="2"/>
      <c r="I3" s="2"/>
      <c r="J3" s="2"/>
      <c r="K3">
        <v>35904.936000000002</v>
      </c>
      <c r="L3">
        <f t="shared" ref="L3:L20" si="3">2.3*K3</f>
        <v>82581.352799999993</v>
      </c>
    </row>
    <row r="4" spans="1:12" x14ac:dyDescent="0.25">
      <c r="A4" s="2"/>
      <c r="B4" s="2" t="s">
        <v>50</v>
      </c>
      <c r="C4" s="4">
        <f t="shared" si="0"/>
        <v>89000</v>
      </c>
      <c r="D4" s="4">
        <f t="shared" si="1"/>
        <v>62299.999999999993</v>
      </c>
      <c r="E4" s="4">
        <f t="shared" si="2"/>
        <v>62299.999999999993</v>
      </c>
      <c r="F4" s="2">
        <v>1</v>
      </c>
      <c r="G4" s="2" t="s">
        <v>13</v>
      </c>
      <c r="H4" s="2"/>
      <c r="I4" s="2"/>
      <c r="J4" s="2"/>
      <c r="K4">
        <v>38480.182000000001</v>
      </c>
      <c r="L4">
        <f t="shared" si="3"/>
        <v>88504.41859999999</v>
      </c>
    </row>
    <row r="5" spans="1:12" x14ac:dyDescent="0.25">
      <c r="A5" s="2"/>
      <c r="B5" s="2" t="s">
        <v>52</v>
      </c>
      <c r="C5" s="4">
        <f t="shared" si="0"/>
        <v>91000</v>
      </c>
      <c r="D5" s="4">
        <f t="shared" si="1"/>
        <v>63699.999999999993</v>
      </c>
      <c r="E5" s="4">
        <f t="shared" si="2"/>
        <v>63699.999999999993</v>
      </c>
      <c r="F5" s="2">
        <v>1</v>
      </c>
      <c r="G5" s="2" t="s">
        <v>13</v>
      </c>
      <c r="H5" s="2"/>
      <c r="I5" s="2"/>
      <c r="J5" s="2"/>
      <c r="K5">
        <v>39405.264000000003</v>
      </c>
      <c r="L5">
        <f t="shared" si="3"/>
        <v>90632.107199999999</v>
      </c>
    </row>
    <row r="6" spans="1:12" x14ac:dyDescent="0.25">
      <c r="A6" s="2"/>
      <c r="B6" s="2" t="s">
        <v>54</v>
      </c>
      <c r="C6" s="4">
        <f t="shared" si="0"/>
        <v>50000</v>
      </c>
      <c r="D6" s="4">
        <f t="shared" si="1"/>
        <v>35000</v>
      </c>
      <c r="E6" s="4">
        <f t="shared" si="2"/>
        <v>35000</v>
      </c>
      <c r="F6" s="2">
        <v>1</v>
      </c>
      <c r="G6" s="2" t="s">
        <v>13</v>
      </c>
      <c r="H6" s="2"/>
      <c r="I6" s="2"/>
      <c r="J6" s="2"/>
      <c r="K6">
        <v>21456.022000000001</v>
      </c>
      <c r="L6">
        <f t="shared" si="3"/>
        <v>49348.850599999998</v>
      </c>
    </row>
    <row r="7" spans="1:12" x14ac:dyDescent="0.25">
      <c r="A7" s="2"/>
      <c r="B7" s="2" t="s">
        <v>57</v>
      </c>
      <c r="C7" s="4">
        <f t="shared" si="0"/>
        <v>47000</v>
      </c>
      <c r="D7" s="4">
        <f t="shared" si="1"/>
        <v>32900</v>
      </c>
      <c r="E7" s="4">
        <f t="shared" si="2"/>
        <v>32900</v>
      </c>
      <c r="F7" s="2">
        <v>1</v>
      </c>
      <c r="G7" s="2" t="s">
        <v>13</v>
      </c>
      <c r="H7" s="2"/>
      <c r="I7" s="2"/>
      <c r="J7" s="2"/>
      <c r="K7">
        <v>20430.939999999999</v>
      </c>
      <c r="L7">
        <f t="shared" si="3"/>
        <v>46991.161999999997</v>
      </c>
    </row>
    <row r="8" spans="1:12" x14ac:dyDescent="0.25">
      <c r="A8" s="2"/>
      <c r="B8" s="2" t="s">
        <v>59</v>
      </c>
      <c r="C8" s="4">
        <f t="shared" si="0"/>
        <v>129000</v>
      </c>
      <c r="D8" s="4">
        <f t="shared" si="1"/>
        <v>90300</v>
      </c>
      <c r="E8" s="4">
        <f t="shared" si="2"/>
        <v>90300</v>
      </c>
      <c r="F8" s="2">
        <v>1</v>
      </c>
      <c r="G8" s="2" t="s">
        <v>13</v>
      </c>
      <c r="H8" s="2"/>
      <c r="I8" s="2"/>
      <c r="J8" s="2"/>
      <c r="K8">
        <v>55701.784000000007</v>
      </c>
      <c r="L8">
        <f t="shared" si="3"/>
        <v>128114.10320000001</v>
      </c>
    </row>
    <row r="9" spans="1:12" x14ac:dyDescent="0.25">
      <c r="A9" s="2"/>
      <c r="B9" s="2" t="s">
        <v>62</v>
      </c>
      <c r="C9" s="4">
        <f t="shared" si="0"/>
        <v>165000</v>
      </c>
      <c r="D9" s="4">
        <f t="shared" si="1"/>
        <v>115499.99999999999</v>
      </c>
      <c r="E9" s="4">
        <f t="shared" si="2"/>
        <v>115499.99999999999</v>
      </c>
      <c r="F9" s="2">
        <v>1</v>
      </c>
      <c r="G9" s="2" t="s">
        <v>13</v>
      </c>
      <c r="H9" s="2"/>
      <c r="I9" s="2"/>
      <c r="J9" s="2"/>
      <c r="K9">
        <v>71706.324000000008</v>
      </c>
      <c r="L9">
        <f t="shared" si="3"/>
        <v>164924.54519999999</v>
      </c>
    </row>
    <row r="10" spans="1:12" x14ac:dyDescent="0.25">
      <c r="A10" s="2"/>
      <c r="B10" s="2" t="s">
        <v>66</v>
      </c>
      <c r="C10" s="4">
        <f t="shared" si="0"/>
        <v>186000</v>
      </c>
      <c r="D10" s="4">
        <f t="shared" si="1"/>
        <v>130199.99999999999</v>
      </c>
      <c r="E10" s="4">
        <f t="shared" si="2"/>
        <v>130199.99999999999</v>
      </c>
      <c r="F10" s="2">
        <v>1</v>
      </c>
      <c r="G10" s="2" t="s">
        <v>13</v>
      </c>
      <c r="H10" s="2"/>
      <c r="I10" s="2"/>
      <c r="J10" s="2"/>
      <c r="K10">
        <v>80535.756000000008</v>
      </c>
      <c r="L10">
        <f t="shared" si="3"/>
        <v>185232.23879999999</v>
      </c>
    </row>
    <row r="11" spans="1:12" x14ac:dyDescent="0.25">
      <c r="A11" s="2"/>
      <c r="B11" s="2" t="s">
        <v>72</v>
      </c>
      <c r="C11" s="4">
        <f t="shared" si="0"/>
        <v>198000</v>
      </c>
      <c r="D11" s="4">
        <f t="shared" si="1"/>
        <v>138600</v>
      </c>
      <c r="E11" s="4">
        <f t="shared" si="2"/>
        <v>138600</v>
      </c>
      <c r="F11" s="2">
        <v>1</v>
      </c>
      <c r="G11" s="2" t="s">
        <v>13</v>
      </c>
      <c r="H11" s="2"/>
      <c r="I11" s="2"/>
      <c r="J11" s="2"/>
      <c r="K11">
        <v>85971.09599999999</v>
      </c>
      <c r="L11">
        <f t="shared" si="3"/>
        <v>197733.52079999997</v>
      </c>
    </row>
    <row r="12" spans="1:12" x14ac:dyDescent="0.25">
      <c r="A12" s="2"/>
      <c r="B12" s="2" t="s">
        <v>94</v>
      </c>
      <c r="C12" s="4">
        <f t="shared" si="0"/>
        <v>132000</v>
      </c>
      <c r="D12" s="4">
        <f t="shared" si="1"/>
        <v>92400</v>
      </c>
      <c r="E12" s="4">
        <f t="shared" si="2"/>
        <v>92400</v>
      </c>
      <c r="F12" s="2">
        <v>1</v>
      </c>
      <c r="G12" s="2" t="s">
        <v>13</v>
      </c>
      <c r="H12" s="2"/>
      <c r="I12" s="2"/>
      <c r="J12" s="2"/>
      <c r="K12">
        <v>57008.780000000013</v>
      </c>
      <c r="L12">
        <f t="shared" si="3"/>
        <v>131120.19400000002</v>
      </c>
    </row>
    <row r="13" spans="1:12" x14ac:dyDescent="0.25">
      <c r="A13" s="2"/>
      <c r="B13" s="2" t="s">
        <v>97</v>
      </c>
      <c r="C13" s="4">
        <f t="shared" si="0"/>
        <v>103000</v>
      </c>
      <c r="D13" s="4">
        <f t="shared" si="1"/>
        <v>72100</v>
      </c>
      <c r="E13" s="4">
        <f t="shared" si="2"/>
        <v>72100</v>
      </c>
      <c r="F13" s="2">
        <v>1</v>
      </c>
      <c r="G13" s="2" t="s">
        <v>13</v>
      </c>
      <c r="H13" s="2"/>
      <c r="I13" s="2"/>
      <c r="J13" s="2"/>
      <c r="K13">
        <v>44687.867999999995</v>
      </c>
      <c r="L13">
        <f t="shared" si="3"/>
        <v>102782.09639999998</v>
      </c>
    </row>
    <row r="14" spans="1:12" x14ac:dyDescent="0.25">
      <c r="A14" s="2"/>
      <c r="B14" s="2" t="s">
        <v>100</v>
      </c>
      <c r="C14" s="4">
        <f t="shared" si="0"/>
        <v>1181000</v>
      </c>
      <c r="D14" s="4">
        <f t="shared" si="1"/>
        <v>826700</v>
      </c>
      <c r="E14" s="4">
        <f t="shared" si="2"/>
        <v>826700</v>
      </c>
      <c r="F14" s="2">
        <v>1</v>
      </c>
      <c r="G14" s="2" t="s">
        <v>13</v>
      </c>
      <c r="H14" s="2"/>
      <c r="I14" s="2"/>
      <c r="J14" s="2"/>
      <c r="K14">
        <v>513188.43</v>
      </c>
      <c r="L14">
        <f t="shared" si="3"/>
        <v>1180333.389</v>
      </c>
    </row>
    <row r="15" spans="1:12" x14ac:dyDescent="0.25">
      <c r="A15" s="2"/>
      <c r="B15" s="2" t="s">
        <v>127</v>
      </c>
      <c r="C15" s="4">
        <f t="shared" si="0"/>
        <v>475000</v>
      </c>
      <c r="D15" s="4">
        <f t="shared" si="1"/>
        <v>332500</v>
      </c>
      <c r="E15" s="4">
        <f t="shared" si="2"/>
        <v>332500</v>
      </c>
      <c r="F15" s="2">
        <v>1</v>
      </c>
      <c r="G15" s="2" t="s">
        <v>13</v>
      </c>
      <c r="H15" s="2"/>
      <c r="I15" s="2"/>
      <c r="J15" s="2"/>
      <c r="K15">
        <v>206346.38</v>
      </c>
      <c r="L15">
        <f t="shared" si="3"/>
        <v>474596.674</v>
      </c>
    </row>
    <row r="16" spans="1:12" x14ac:dyDescent="0.25">
      <c r="A16" s="2"/>
      <c r="B16" s="2" t="s">
        <v>142</v>
      </c>
      <c r="C16" s="4">
        <f t="shared" si="0"/>
        <v>475000</v>
      </c>
      <c r="D16" s="4">
        <f t="shared" si="1"/>
        <v>332500</v>
      </c>
      <c r="E16" s="4">
        <f t="shared" si="2"/>
        <v>332500</v>
      </c>
      <c r="F16" s="2">
        <v>1</v>
      </c>
      <c r="G16" s="2" t="s">
        <v>13</v>
      </c>
      <c r="H16" s="2"/>
      <c r="I16" s="2"/>
      <c r="J16" s="2"/>
      <c r="K16">
        <v>206346.38</v>
      </c>
      <c r="L16">
        <f t="shared" si="3"/>
        <v>474596.674</v>
      </c>
    </row>
    <row r="17" spans="1:12" x14ac:dyDescent="0.25">
      <c r="A17" s="2"/>
      <c r="B17" s="2" t="s">
        <v>147</v>
      </c>
      <c r="C17" s="4">
        <f t="shared" si="0"/>
        <v>381000</v>
      </c>
      <c r="D17" s="4">
        <f t="shared" si="1"/>
        <v>266700</v>
      </c>
      <c r="E17" s="4">
        <f t="shared" si="2"/>
        <v>266700</v>
      </c>
      <c r="F17" s="2">
        <v>1</v>
      </c>
      <c r="G17" s="2" t="s">
        <v>13</v>
      </c>
      <c r="H17" s="2"/>
      <c r="I17" s="2"/>
      <c r="J17" s="2"/>
      <c r="K17">
        <v>165429.71999999997</v>
      </c>
      <c r="L17">
        <f t="shared" si="3"/>
        <v>380488.35599999991</v>
      </c>
    </row>
    <row r="18" spans="1:12" x14ac:dyDescent="0.25">
      <c r="A18" s="2"/>
      <c r="B18" s="2" t="s">
        <v>150</v>
      </c>
      <c r="C18" s="4">
        <f t="shared" si="0"/>
        <v>51000</v>
      </c>
      <c r="D18" s="4">
        <f t="shared" si="1"/>
        <v>35700</v>
      </c>
      <c r="E18" s="4">
        <f t="shared" si="2"/>
        <v>35700</v>
      </c>
      <c r="F18" s="2">
        <v>1</v>
      </c>
      <c r="G18" s="2" t="s">
        <v>13</v>
      </c>
      <c r="H18" s="2"/>
      <c r="I18" s="2"/>
      <c r="J18" s="2"/>
      <c r="K18">
        <v>22108.266</v>
      </c>
      <c r="L18">
        <f t="shared" si="3"/>
        <v>50849.011799999993</v>
      </c>
    </row>
    <row r="19" spans="1:12" x14ac:dyDescent="0.25">
      <c r="A19" s="2"/>
      <c r="B19" s="2" t="s">
        <v>164</v>
      </c>
      <c r="C19" s="4">
        <f t="shared" si="0"/>
        <v>51000</v>
      </c>
      <c r="D19" s="4">
        <f t="shared" si="1"/>
        <v>35700</v>
      </c>
      <c r="E19" s="4">
        <f t="shared" si="2"/>
        <v>35700</v>
      </c>
      <c r="F19" s="2">
        <v>1</v>
      </c>
      <c r="G19" s="2" t="s">
        <v>13</v>
      </c>
      <c r="H19" s="2"/>
      <c r="I19" s="2"/>
      <c r="J19" s="2"/>
      <c r="K19">
        <v>22108.266</v>
      </c>
      <c r="L19">
        <f t="shared" si="3"/>
        <v>50849.011799999993</v>
      </c>
    </row>
    <row r="20" spans="1:12" x14ac:dyDescent="0.25">
      <c r="A20" s="2"/>
      <c r="B20" s="2" t="s">
        <v>166</v>
      </c>
      <c r="C20" s="4">
        <f t="shared" si="0"/>
        <v>51000</v>
      </c>
      <c r="D20" s="4">
        <f t="shared" si="1"/>
        <v>35700</v>
      </c>
      <c r="E20" s="4">
        <f t="shared" si="2"/>
        <v>107100</v>
      </c>
      <c r="F20" s="2">
        <v>3</v>
      </c>
      <c r="G20" s="2" t="s">
        <v>13</v>
      </c>
      <c r="H20" s="2"/>
      <c r="I20" s="2"/>
      <c r="J20" s="2"/>
      <c r="K20">
        <v>22108.266</v>
      </c>
      <c r="L20">
        <f t="shared" si="3"/>
        <v>50849.011799999993</v>
      </c>
    </row>
    <row r="21" spans="1:12" x14ac:dyDescent="0.25">
      <c r="C21" s="22">
        <f t="shared" si="0"/>
        <v>4020000</v>
      </c>
      <c r="D21" s="22">
        <f t="shared" si="1"/>
        <v>2814000</v>
      </c>
      <c r="E21" s="21">
        <f>SUM(E2:E20)</f>
        <v>2890300</v>
      </c>
      <c r="K21">
        <f>SUM(K2:K20)</f>
        <v>1747504.8420000002</v>
      </c>
      <c r="L21">
        <f>SUM(L2:L20)</f>
        <v>4019261.1365999994</v>
      </c>
    </row>
    <row r="26" spans="1:12" x14ac:dyDescent="0.25">
      <c r="D26">
        <f>15*K21</f>
        <v>26212572.630000003</v>
      </c>
    </row>
  </sheetData>
  <autoFilter ref="A1:H20" xr:uid="{4AA18ECB-79AD-496E-9CD8-F8CF2D068F8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/>
  </sheetViews>
  <sheetFormatPr defaultColWidth="8.7109375" defaultRowHeight="15" x14ac:dyDescent="0.25"/>
  <cols>
    <col min="1" max="1" width="5" customWidth="1"/>
    <col min="2" max="2" width="44" customWidth="1"/>
    <col min="3" max="3" width="14" customWidth="1"/>
    <col min="4" max="5" width="20" customWidth="1"/>
  </cols>
  <sheetData>
    <row r="1" spans="1:5" x14ac:dyDescent="0.25">
      <c r="A1" s="1" t="s">
        <v>169</v>
      </c>
      <c r="B1" s="1" t="s">
        <v>170</v>
      </c>
      <c r="C1" s="1" t="s">
        <v>171</v>
      </c>
      <c r="D1" s="1" t="s">
        <v>172</v>
      </c>
      <c r="E1" s="1" t="s">
        <v>7</v>
      </c>
    </row>
    <row r="2" spans="1:5" x14ac:dyDescent="0.25">
      <c r="A2" s="5">
        <v>1</v>
      </c>
      <c r="B2" s="5" t="s">
        <v>12</v>
      </c>
      <c r="C2" s="5">
        <v>1</v>
      </c>
      <c r="D2" s="6">
        <f>BOM!H13</f>
        <v>38580.182000000001</v>
      </c>
      <c r="E2" s="6">
        <f t="shared" ref="E2:E20" si="0">C2*D2</f>
        <v>38580.182000000001</v>
      </c>
    </row>
    <row r="3" spans="1:5" x14ac:dyDescent="0.25">
      <c r="A3" s="5">
        <v>2</v>
      </c>
      <c r="B3" s="5" t="s">
        <v>48</v>
      </c>
      <c r="C3" s="5">
        <v>1</v>
      </c>
      <c r="D3" s="6">
        <f>BOM!H25</f>
        <v>35904.936000000002</v>
      </c>
      <c r="E3" s="6">
        <f t="shared" si="0"/>
        <v>35904.936000000002</v>
      </c>
    </row>
    <row r="4" spans="1:5" x14ac:dyDescent="0.25">
      <c r="A4" s="5">
        <v>3</v>
      </c>
      <c r="B4" s="5" t="s">
        <v>50</v>
      </c>
      <c r="C4" s="5">
        <v>1</v>
      </c>
      <c r="D4" s="6">
        <f>BOM!H37</f>
        <v>38480.182000000001</v>
      </c>
      <c r="E4" s="6">
        <f t="shared" si="0"/>
        <v>38480.182000000001</v>
      </c>
    </row>
    <row r="5" spans="1:5" x14ac:dyDescent="0.25">
      <c r="A5" s="5">
        <v>4</v>
      </c>
      <c r="B5" s="5" t="s">
        <v>52</v>
      </c>
      <c r="C5" s="5">
        <v>1</v>
      </c>
      <c r="D5" s="6">
        <f>BOM!H49</f>
        <v>39405.264000000003</v>
      </c>
      <c r="E5" s="6">
        <f t="shared" si="0"/>
        <v>39405.264000000003</v>
      </c>
    </row>
    <row r="6" spans="1:5" x14ac:dyDescent="0.25">
      <c r="A6" s="5">
        <v>5</v>
      </c>
      <c r="B6" s="5" t="s">
        <v>54</v>
      </c>
      <c r="C6" s="5">
        <v>1</v>
      </c>
      <c r="D6" s="6">
        <f>BOM!H60</f>
        <v>21456.022000000001</v>
      </c>
      <c r="E6" s="6">
        <f t="shared" si="0"/>
        <v>21456.022000000001</v>
      </c>
    </row>
    <row r="7" spans="1:5" x14ac:dyDescent="0.25">
      <c r="A7" s="5">
        <v>6</v>
      </c>
      <c r="B7" s="5" t="s">
        <v>57</v>
      </c>
      <c r="C7" s="5">
        <v>1</v>
      </c>
      <c r="D7" s="6">
        <f>BOM!H71</f>
        <v>20430.939999999999</v>
      </c>
      <c r="E7" s="6">
        <f t="shared" si="0"/>
        <v>20430.939999999999</v>
      </c>
    </row>
    <row r="8" spans="1:5" x14ac:dyDescent="0.25">
      <c r="A8" s="5">
        <v>7</v>
      </c>
      <c r="B8" s="5" t="s">
        <v>59</v>
      </c>
      <c r="C8" s="5">
        <v>1</v>
      </c>
      <c r="D8" s="6">
        <f>BOM!H82</f>
        <v>55701.784000000007</v>
      </c>
      <c r="E8" s="6">
        <f t="shared" si="0"/>
        <v>55701.784000000007</v>
      </c>
    </row>
    <row r="9" spans="1:5" x14ac:dyDescent="0.25">
      <c r="A9" s="5">
        <v>8</v>
      </c>
      <c r="B9" s="5" t="s">
        <v>62</v>
      </c>
      <c r="C9" s="5">
        <v>1</v>
      </c>
      <c r="D9" s="6">
        <f>BOM!H94</f>
        <v>71706.324000000008</v>
      </c>
      <c r="E9" s="6">
        <f t="shared" si="0"/>
        <v>71706.324000000008</v>
      </c>
    </row>
    <row r="10" spans="1:5" x14ac:dyDescent="0.25">
      <c r="A10" s="5">
        <v>9</v>
      </c>
      <c r="B10" s="5" t="s">
        <v>66</v>
      </c>
      <c r="C10" s="5">
        <v>1</v>
      </c>
      <c r="D10" s="6">
        <f>BOM!H107</f>
        <v>80535.756000000008</v>
      </c>
      <c r="E10" s="6">
        <f t="shared" si="0"/>
        <v>80535.756000000008</v>
      </c>
    </row>
    <row r="11" spans="1:5" x14ac:dyDescent="0.25">
      <c r="A11" s="5">
        <v>10</v>
      </c>
      <c r="B11" s="5" t="s">
        <v>72</v>
      </c>
      <c r="C11" s="5">
        <v>1</v>
      </c>
      <c r="D11" s="6">
        <f>BOM!H126</f>
        <v>85971.09599999999</v>
      </c>
      <c r="E11" s="6">
        <f t="shared" si="0"/>
        <v>85971.09599999999</v>
      </c>
    </row>
    <row r="12" spans="1:5" x14ac:dyDescent="0.25">
      <c r="A12" s="5">
        <v>11</v>
      </c>
      <c r="B12" s="5" t="s">
        <v>94</v>
      </c>
      <c r="C12" s="5">
        <v>1</v>
      </c>
      <c r="D12" s="6">
        <f>BOM!H140</f>
        <v>57008.780000000013</v>
      </c>
      <c r="E12" s="6">
        <f t="shared" si="0"/>
        <v>57008.780000000013</v>
      </c>
    </row>
    <row r="13" spans="1:5" x14ac:dyDescent="0.25">
      <c r="A13" s="5">
        <v>12</v>
      </c>
      <c r="B13" s="5" t="s">
        <v>97</v>
      </c>
      <c r="C13" s="5">
        <v>1</v>
      </c>
      <c r="D13" s="6">
        <f>BOM!H152</f>
        <v>44687.867999999995</v>
      </c>
      <c r="E13" s="6">
        <f t="shared" si="0"/>
        <v>44687.867999999995</v>
      </c>
    </row>
    <row r="14" spans="1:5" x14ac:dyDescent="0.25">
      <c r="A14" s="5">
        <v>13</v>
      </c>
      <c r="B14" s="5" t="s">
        <v>100</v>
      </c>
      <c r="C14" s="5">
        <v>1</v>
      </c>
      <c r="D14" s="6">
        <f>BOM!H165</f>
        <v>513188.43</v>
      </c>
      <c r="E14" s="6">
        <f t="shared" si="0"/>
        <v>513188.43</v>
      </c>
    </row>
    <row r="15" spans="1:5" x14ac:dyDescent="0.25">
      <c r="A15" s="5">
        <v>14</v>
      </c>
      <c r="B15" s="5" t="s">
        <v>127</v>
      </c>
      <c r="C15" s="5">
        <v>1</v>
      </c>
      <c r="D15" s="6">
        <f>BOM!H177</f>
        <v>206346.38</v>
      </c>
      <c r="E15" s="6">
        <f t="shared" si="0"/>
        <v>206346.38</v>
      </c>
    </row>
    <row r="16" spans="1:5" x14ac:dyDescent="0.25">
      <c r="A16" s="5">
        <v>15</v>
      </c>
      <c r="B16" s="5" t="s">
        <v>142</v>
      </c>
      <c r="C16" s="5">
        <v>1</v>
      </c>
      <c r="D16" s="6">
        <f>BOM!H189</f>
        <v>206346.38</v>
      </c>
      <c r="E16" s="6">
        <f t="shared" si="0"/>
        <v>206346.38</v>
      </c>
    </row>
    <row r="17" spans="1:5" x14ac:dyDescent="0.25">
      <c r="A17" s="5">
        <v>16</v>
      </c>
      <c r="B17" s="5" t="s">
        <v>147</v>
      </c>
      <c r="C17" s="5">
        <v>1</v>
      </c>
      <c r="D17" s="6">
        <f>BOM!H195</f>
        <v>165429.71999999997</v>
      </c>
      <c r="E17" s="6">
        <f t="shared" si="0"/>
        <v>165429.71999999997</v>
      </c>
    </row>
    <row r="18" spans="1:5" x14ac:dyDescent="0.25">
      <c r="A18" s="5">
        <v>17</v>
      </c>
      <c r="B18" s="5" t="s">
        <v>150</v>
      </c>
      <c r="C18" s="5">
        <v>1</v>
      </c>
      <c r="D18" s="6">
        <f>BOM!H205</f>
        <v>22108.266</v>
      </c>
      <c r="E18" s="6">
        <f t="shared" si="0"/>
        <v>22108.266</v>
      </c>
    </row>
    <row r="19" spans="1:5" x14ac:dyDescent="0.25">
      <c r="A19" s="5">
        <v>18</v>
      </c>
      <c r="B19" s="5" t="s">
        <v>164</v>
      </c>
      <c r="C19" s="5">
        <v>1</v>
      </c>
      <c r="D19" s="6">
        <f>BOM!H215</f>
        <v>22108.266</v>
      </c>
      <c r="E19" s="6">
        <f t="shared" si="0"/>
        <v>22108.266</v>
      </c>
    </row>
    <row r="20" spans="1:5" x14ac:dyDescent="0.25">
      <c r="A20" s="5">
        <v>19</v>
      </c>
      <c r="B20" s="5" t="s">
        <v>166</v>
      </c>
      <c r="C20" s="5">
        <v>3</v>
      </c>
      <c r="D20" s="6">
        <f>BOM!H225</f>
        <v>22108.266</v>
      </c>
      <c r="E20" s="6">
        <f t="shared" si="0"/>
        <v>66324.797999999995</v>
      </c>
    </row>
    <row r="21" spans="1:5" x14ac:dyDescent="0.25">
      <c r="A21" s="7"/>
      <c r="B21" s="8" t="s">
        <v>173</v>
      </c>
      <c r="C21" s="7"/>
      <c r="D21" s="9"/>
      <c r="E21" s="10">
        <f>SUM(E2:E20)</f>
        <v>1791721.3740000001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zoomScaleNormal="100" workbookViewId="0">
      <selection activeCell="B7" sqref="B7"/>
    </sheetView>
  </sheetViews>
  <sheetFormatPr defaultColWidth="8.7109375" defaultRowHeight="15" x14ac:dyDescent="0.25"/>
  <cols>
    <col min="1" max="1" width="95" customWidth="1"/>
    <col min="2" max="2" width="12" customWidth="1"/>
  </cols>
  <sheetData>
    <row r="1" spans="1:2" x14ac:dyDescent="0.25">
      <c r="A1" s="11" t="s">
        <v>174</v>
      </c>
    </row>
    <row r="2" spans="1:2" x14ac:dyDescent="0.25">
      <c r="A2" s="12" t="s">
        <v>175</v>
      </c>
      <c r="B2" s="13">
        <v>0.6</v>
      </c>
    </row>
    <row r="3" spans="1:2" x14ac:dyDescent="0.25">
      <c r="A3" s="12" t="s">
        <v>176</v>
      </c>
      <c r="B3" s="13">
        <v>1</v>
      </c>
    </row>
    <row r="4" spans="1:2" x14ac:dyDescent="0.25">
      <c r="A4" s="12" t="s">
        <v>177</v>
      </c>
      <c r="B4" s="13">
        <v>1</v>
      </c>
    </row>
    <row r="5" spans="1:2" x14ac:dyDescent="0.25">
      <c r="A5" s="12" t="s">
        <v>178</v>
      </c>
      <c r="B5" s="14">
        <v>0.03</v>
      </c>
    </row>
    <row r="6" spans="1:2" x14ac:dyDescent="0.25">
      <c r="A6" s="12" t="s">
        <v>179</v>
      </c>
      <c r="B6" s="14">
        <v>0.2</v>
      </c>
    </row>
    <row r="8" spans="1:2" x14ac:dyDescent="0.25">
      <c r="A8" s="12"/>
    </row>
    <row r="9" spans="1:2" x14ac:dyDescent="0.25">
      <c r="A9" s="12" t="s">
        <v>180</v>
      </c>
    </row>
    <row r="10" spans="1:2" x14ac:dyDescent="0.25">
      <c r="A10" s="12" t="s">
        <v>181</v>
      </c>
    </row>
    <row r="11" spans="1:2" x14ac:dyDescent="0.25">
      <c r="A11" s="12" t="s">
        <v>182</v>
      </c>
    </row>
    <row r="12" spans="1:2" x14ac:dyDescent="0.25">
      <c r="A12" s="12" t="s">
        <v>183</v>
      </c>
    </row>
    <row r="13" spans="1:2" x14ac:dyDescent="0.25">
      <c r="A13" s="12" t="s">
        <v>184</v>
      </c>
    </row>
    <row r="14" spans="1:2" x14ac:dyDescent="0.25">
      <c r="A14" s="12"/>
    </row>
    <row r="15" spans="1:2" x14ac:dyDescent="0.25">
      <c r="A15" s="12" t="s">
        <v>185</v>
      </c>
    </row>
    <row r="16" spans="1:2" x14ac:dyDescent="0.25">
      <c r="A16" s="12" t="s">
        <v>186</v>
      </c>
    </row>
    <row r="17" spans="1:1" x14ac:dyDescent="0.25">
      <c r="A17" s="12" t="s">
        <v>187</v>
      </c>
    </row>
    <row r="18" spans="1:1" x14ac:dyDescent="0.25">
      <c r="A18" s="12" t="s">
        <v>188</v>
      </c>
    </row>
    <row r="19" spans="1:1" x14ac:dyDescent="0.25">
      <c r="A19" s="12" t="s">
        <v>189</v>
      </c>
    </row>
    <row r="20" spans="1:1" x14ac:dyDescent="0.25">
      <c r="A20" s="12" t="s">
        <v>190</v>
      </c>
    </row>
    <row r="21" spans="1:1" x14ac:dyDescent="0.25">
      <c r="A21" s="12" t="s">
        <v>191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Sayfa1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2026-07-13T08:12:29Z</dcterms:created>
  <dcterms:modified xsi:type="dcterms:W3CDTF">2026-07-13T12:51:16Z</dcterms:modified>
  <dc:language>en-US</dc:language>
</cp:coreProperties>
</file>