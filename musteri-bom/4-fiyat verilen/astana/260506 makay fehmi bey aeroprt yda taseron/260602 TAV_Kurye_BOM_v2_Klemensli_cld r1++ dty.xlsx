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6 makay fehmi bey aeroprt yda taseron\"/>
    </mc:Choice>
  </mc:AlternateContent>
  <xr:revisionPtr revIDLastSave="0" documentId="13_ncr:1_{76AF4AEA-8FA7-411C-AD8F-B0FFC6A505F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iyat burda" sheetId="1" r:id="rId1"/>
    <sheet name="Sayfa2" sheetId="4" r:id="rId2"/>
    <sheet name="Pano Boyut Analizi" sheetId="2" r:id="rId3"/>
  </sheets>
  <definedNames>
    <definedName name="_xlnm._FilterDatabase" localSheetId="0" hidden="1">'fiyat burda'!$A$1:$L$74</definedName>
    <definedName name="_xlnm._FilterDatabase" localSheetId="1" hidden="1">Sayfa2!$A$1:$J$6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K7" i="4"/>
  <c r="C7" i="4" s="1"/>
  <c r="D7" i="4" s="1"/>
  <c r="D4" i="4"/>
  <c r="E4" i="4" s="1"/>
  <c r="D5" i="4"/>
  <c r="E5" i="4" s="1"/>
  <c r="D6" i="4"/>
  <c r="E6" i="4" s="1"/>
  <c r="D2" i="4"/>
  <c r="E2" i="4" s="1"/>
  <c r="C3" i="4"/>
  <c r="D3" i="4" s="1"/>
  <c r="E3" i="4" s="1"/>
  <c r="C4" i="4"/>
  <c r="C5" i="4"/>
  <c r="C6" i="4"/>
  <c r="C2" i="4"/>
  <c r="K3" i="4"/>
  <c r="K4" i="4"/>
  <c r="K5" i="4"/>
  <c r="K6" i="4"/>
  <c r="K2" i="4"/>
  <c r="G64" i="1"/>
  <c r="H64" i="1" s="1"/>
  <c r="G54" i="1"/>
  <c r="H54" i="1" s="1"/>
  <c r="G40" i="1"/>
  <c r="H40" i="1" s="1"/>
  <c r="H35" i="1"/>
  <c r="H68" i="1"/>
  <c r="H67" i="1"/>
  <c r="H66" i="1"/>
  <c r="H58" i="1"/>
  <c r="H57" i="1"/>
  <c r="H56" i="1"/>
  <c r="H48" i="1"/>
  <c r="H47" i="1"/>
  <c r="H46" i="1"/>
  <c r="H45" i="1"/>
  <c r="H44" i="1"/>
  <c r="H34" i="1"/>
  <c r="H33" i="1"/>
  <c r="H17" i="1"/>
  <c r="H16" i="1"/>
  <c r="G63" i="1"/>
  <c r="H63" i="1" s="1"/>
  <c r="G53" i="1"/>
  <c r="H53" i="1" s="1"/>
  <c r="G39" i="1"/>
  <c r="H39" i="1" s="1"/>
  <c r="G27" i="1"/>
  <c r="H27" i="1" s="1"/>
  <c r="G3" i="1"/>
  <c r="H3" i="1" s="1"/>
  <c r="G11" i="1"/>
  <c r="H11" i="1" s="1"/>
  <c r="G65" i="1"/>
  <c r="H65" i="1" s="1"/>
  <c r="G55" i="1"/>
  <c r="H55" i="1" s="1"/>
  <c r="G43" i="1"/>
  <c r="H43" i="1" s="1"/>
  <c r="G42" i="1"/>
  <c r="H42" i="1" s="1"/>
  <c r="G41" i="1"/>
  <c r="H41" i="1" s="1"/>
  <c r="G32" i="1"/>
  <c r="H32" i="1" s="1"/>
  <c r="G31" i="1"/>
  <c r="H31" i="1" s="1"/>
  <c r="G30" i="1"/>
  <c r="H30" i="1" s="1"/>
  <c r="G29" i="1"/>
  <c r="H29" i="1" s="1"/>
  <c r="G28" i="1"/>
  <c r="H28" i="1" s="1"/>
  <c r="G22" i="1"/>
  <c r="H22" i="1" s="1"/>
  <c r="G21" i="1"/>
  <c r="H21" i="1" s="1"/>
  <c r="G20" i="1"/>
  <c r="H20" i="1" s="1"/>
  <c r="G18" i="1"/>
  <c r="H18" i="1" s="1"/>
  <c r="G15" i="1"/>
  <c r="H15" i="1" s="1"/>
  <c r="G14" i="1"/>
  <c r="H14" i="1" s="1"/>
  <c r="G13" i="1"/>
  <c r="H13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19" i="1"/>
  <c r="H19" i="1" s="1"/>
  <c r="I70" i="1"/>
  <c r="H70" i="1" s="1"/>
  <c r="I60" i="1"/>
  <c r="H60" i="1" s="1"/>
  <c r="I50" i="1"/>
  <c r="H50" i="1" s="1"/>
  <c r="I36" i="1"/>
  <c r="H36" i="1" s="1"/>
  <c r="I24" i="1"/>
  <c r="H24" i="1" s="1"/>
  <c r="H37" i="1" l="1"/>
  <c r="H51" i="1"/>
  <c r="H25" i="1"/>
  <c r="H71" i="1"/>
  <c r="H61" i="1"/>
  <c r="L72" i="1" l="1"/>
  <c r="L73" i="1" s="1"/>
  <c r="L74" i="1" s="1"/>
</calcChain>
</file>

<file path=xl/sharedStrings.xml><?xml version="1.0" encoding="utf-8"?>
<sst xmlns="http://schemas.openxmlformats.org/spreadsheetml/2006/main" count="506" uniqueCount="196">
  <si>
    <t>#</t>
  </si>
  <si>
    <t>Наименование</t>
  </si>
  <si>
    <t>Тип</t>
  </si>
  <si>
    <t>Артикул</t>
  </si>
  <si>
    <t>Номенклатура</t>
  </si>
  <si>
    <t>Цена KZT
(net)</t>
  </si>
  <si>
    <t>Сумма KZT</t>
  </si>
  <si>
    <t>Кол.</t>
  </si>
  <si>
    <t>Ед.</t>
  </si>
  <si>
    <t>Завод</t>
  </si>
  <si>
    <t>Проект/Стажер (orijinal)</t>
  </si>
  <si>
    <t>ВРУ Карго (Нормальный режим)</t>
  </si>
  <si>
    <t>комплект</t>
  </si>
  <si>
    <t>TEKSAN</t>
  </si>
  <si>
    <t>korpus</t>
  </si>
  <si>
    <t>—</t>
  </si>
  <si>
    <t>шт.</t>
  </si>
  <si>
    <t>Stajerde: belirtilmemiş</t>
  </si>
  <si>
    <t>TMŞ</t>
  </si>
  <si>
    <t>ABB</t>
  </si>
  <si>
    <t>Stajerde: '270100161_' — IEK kodu, ABB değil! 3 farklı ürüne aynı yanlış kod yazılmış</t>
  </si>
  <si>
    <t>2CDS273001R0504</t>
  </si>
  <si>
    <t>Авт. выкл. S203M-C50 3P 10кА — защита цепи ИБП (Iр=43А → C50)</t>
  </si>
  <si>
    <t>Stajerde: yoktu — EKLENDİ (UPS giriş MCB)</t>
  </si>
  <si>
    <t>kontaktör</t>
  </si>
  <si>
    <t>Stajerde: '270100161_' — YANLIŞ KOD (IEK), 'kontaktor 400a' açıklaması yetersiz</t>
  </si>
  <si>
    <t>Stajerde: '270100161_' — YANLIŞ KOD; açıklama 'dob kontak 400a' (yanlış)</t>
  </si>
  <si>
    <t>blok</t>
  </si>
  <si>
    <t>Stajerde: yoktu — EKLENDİ</t>
  </si>
  <si>
    <t>Stajerde: '270100161_' — YANLIŞ KOD, açıklama 'dob kontak'</t>
  </si>
  <si>
    <t>opn</t>
  </si>
  <si>
    <t>Stajerde: 2CTB815101R4300 × 2 — artikel doğru, qty doğru ✓</t>
  </si>
  <si>
    <t>tt</t>
  </si>
  <si>
    <t>Stajerde: Т-66 100/5А × 6 — YANLIŞ! 400A sistemde 400/5A olmalı</t>
  </si>
  <si>
    <t>sayac</t>
  </si>
  <si>
    <t>НАРТИС-И300</t>
  </si>
  <si>
    <t>⚠ KONTROL: Счётчик электроэнергии НАРТИС-И300 RS-485 трансформаторного включения</t>
  </si>
  <si>
    <t>НАРТИС</t>
  </si>
  <si>
    <t>Stajerde: НАРТИС-И300 × 1 — doğru ✓</t>
  </si>
  <si>
    <t>анализатор</t>
  </si>
  <si>
    <t>Stajerde: 'Мультиметр' yazılmış — YANLIŞ etiket! M4M 20 = Güç Analizörü</t>
  </si>
  <si>
    <t>Stajerde: 2CSM296532R1801 × 2 — artikel teyit gerekiyor ⚠</t>
  </si>
  <si>
    <t>lamb</t>
  </si>
  <si>
    <t>YENİ — Stajerde yoktu, EKLENDİ</t>
  </si>
  <si>
    <t>LOOBAR</t>
  </si>
  <si>
    <t>1SNA115334R0700</t>
  </si>
  <si>
    <t>Шина нулевая N/PE 100A на DIN-рейку 8 гнёзд</t>
  </si>
  <si>
    <t>montajный материал</t>
  </si>
  <si>
    <t>Монтажный материал (DIN рейка 35мм, кабельный канал 25×25, крепёж, маркировка)</t>
  </si>
  <si>
    <t>компл.</t>
  </si>
  <si>
    <t>montajная работа</t>
  </si>
  <si>
    <t>Монтаж, подключение, наладка</t>
  </si>
  <si>
    <t>час</t>
  </si>
  <si>
    <t>ИТОГО ВРУ Карго (Нормальный режим) (без НДС)</t>
  </si>
  <si>
    <t>ВРУ (Распределительная часть)</t>
  </si>
  <si>
    <t>Stajerde: S203M-C40 × 2 — YANLIŞ! In=43.27A için C40 yetersiz, C50 olmalı</t>
  </si>
  <si>
    <t>Stajerde: XT1N 160 TMD In=50A (1SDA067413R1) ✓ doğru</t>
  </si>
  <si>
    <t>2CDS273001R0164</t>
  </si>
  <si>
    <t>Stajerde: XT1N 160 TMD In=63A — YANLIŞ! Iр=9.4A için 63A fazla büyük</t>
  </si>
  <si>
    <t>Шина N/PE 100A на DIN-рейку 8 гнёзд × 2</t>
  </si>
  <si>
    <t>klemens</t>
  </si>
  <si>
    <t>1SNA115204R2700</t>
  </si>
  <si>
    <t>Зажим наборный UK 6N 6мм² (входные клеммы для кабелей от ВРУ к щитам)</t>
  </si>
  <si>
    <t>ИТОГО ВРУ (Распределительная часть) (без НДС)</t>
  </si>
  <si>
    <t>ЩР (металл. навесной 1000×600×200)</t>
  </si>
  <si>
    <t>Stajerde: 1200×600×200 (YANLIŞ seri!) | Projede: ЩРн-60 835×310×140 IP54</t>
  </si>
  <si>
    <t>DİF</t>
  </si>
  <si>
    <t>2CSR255080R1164</t>
  </si>
  <si>
    <t>Диф. авт. DS201 C16 30мА 6кА 1P+N (гр.1,3,4-8,10-32 = 30 шт.)</t>
  </si>
  <si>
    <t>Stajerde: DS201 C16 × 30 — adet DOĞRU, artikel DOĞRU ✓</t>
  </si>
  <si>
    <t>2CSR255080R1204</t>
  </si>
  <si>
    <t>Диф. авт. DS201 C20 30мА 6кА 1P+N (гр.9: Кондиционер 2.25кВт, Iр=12.78А)</t>
  </si>
  <si>
    <t>Stajerde: DS201 C20 × 1 — DOĞRU ✓</t>
  </si>
  <si>
    <t>2CSR256040R1164</t>
  </si>
  <si>
    <t>Диф. авт. DS203NC C16 30мА 10кА 3P (гр.2: Лифт 380В 3P, Iр=2.09А)</t>
  </si>
  <si>
    <t>Stajerde: DS203NC C16 × 1 — DOĞRU ✓</t>
  </si>
  <si>
    <t>1SNA115204R1700</t>
  </si>
  <si>
    <t>Зажим наборный UK 2.5N 2.5мм² 24А — выходные клеммы ЩР (по 1 шт. на каждый выход = 32 цепи)</t>
  </si>
  <si>
    <t>YENİ — çıkışlar klemense bağlanacak, Stajerde yoktu</t>
  </si>
  <si>
    <t>1SNA115316R0700</t>
  </si>
  <si>
    <t>Зажим наборный UK 10N 10мм² 57А — входные клеммы (ввод кабеля 5×10мм²: L1/L2/L3/N/PE)</t>
  </si>
  <si>
    <t>YENİ — Stajerde yoktu</t>
  </si>
  <si>
    <t>1SNA115906R0000</t>
  </si>
  <si>
    <t>Заглушка торцевая UK 2.5 (торцевые крышки для клеммного ряда)</t>
  </si>
  <si>
    <t>1SNA168600R2200</t>
  </si>
  <si>
    <t>Разделительные пластины UK (разделители между группами клемм)</t>
  </si>
  <si>
    <t>Шина N/PE 100A на DIN-рейку 15 гнёзд (нулевая и защитная шины)</t>
  </si>
  <si>
    <t>Stajerde: 0 (hesaplanmamış)</t>
  </si>
  <si>
    <t>ИТОГО ЩР (металл. навесной 1000×600×200) (без НДС)</t>
  </si>
  <si>
    <t>ЩБП (металл. навесной 800×500×200)</t>
  </si>
  <si>
    <t>Stajerde: 1000×600×200 (YANLIŞ seri!) | Projede: ЩРн-36 585×310×140 IP54</t>
  </si>
  <si>
    <t>Диф. авт. DS201 C16 30мА 6кА 1P+N (гр.1-22 = 22 цепи)</t>
  </si>
  <si>
    <t>Stajerde: DS201 C16 × 22 — adet DOĞRU, artikel DOĞRU ✓</t>
  </si>
  <si>
    <t>Зажим наборный UK 2.5N 2.5мм² — выходные клеммы ЩБП (22 цепи)</t>
  </si>
  <si>
    <t>Заглушка торцевая UK 2.5 (для клеммного ряда выходов)</t>
  </si>
  <si>
    <t>Шина N/PE 100A на DIN-рейку 15 гнёзд</t>
  </si>
  <si>
    <t>Stajerde: 0</t>
  </si>
  <si>
    <t>ИТОГО ЩБП (металл. навесной 800×500×200) (без НДС)</t>
  </si>
  <si>
    <t>ЩО (ЩРн-54з-0 У2 IP54)</t>
  </si>
  <si>
    <t>Stajerde: 'shrn' (belirsiz) | Projede: ЩРн-24 460×310×140 IP54 — klemens için küçük!</t>
  </si>
  <si>
    <t>Stajerde: DS201 C16 (RCBO) artikel '2CSR255063R1164' — ÇİFT HATA: (1) tip yanlış=RCBO yerine MCB; (2) artikel ABB katalogunda yok!</t>
  </si>
  <si>
    <t>Зажим наборный UK 2.5N 2.5мм² — выходные клеммы ЩО (14 цепей освещения)</t>
  </si>
  <si>
    <t>1SNA115212R2300</t>
  </si>
  <si>
    <t>Зажим наборный UK 6N 6мм² — входные клеммы (ввод 5×4мм² кабель ЩО: L1/L2/L3/N/PE)</t>
  </si>
  <si>
    <t>Шина N/PE 100A на DIN-рейку 8 гнёзд</t>
  </si>
  <si>
    <t>ИТОГО ЩО (ЩРн-54з-0 У2 IP54) (без НДС)</t>
  </si>
  <si>
    <t>ИТОГО ПО ПРОЕКТУ TAV KURYE (без НДС) — EUR/KZT = 557</t>
  </si>
  <si>
    <t>НДС 12%</t>
  </si>
  <si>
    <t>ИТОГО С НДС 12%</t>
  </si>
  <si>
    <t>Pano</t>
  </si>
  <si>
    <t>Projede (ЩРн)</t>
  </si>
  <si>
    <t>Stajerde (yanlış)</t>
  </si>
  <si>
    <t>Klemensli hesap</t>
  </si>
  <si>
    <t>Önerilen (DOĞRU)</t>
  </si>
  <si>
    <t>Açıklama</t>
  </si>
  <si>
    <t>ЩР</t>
  </si>
  <si>
    <t>ЩРн-60 835×310×140мм IP54</t>
  </si>
  <si>
    <t>1200×600×200мм (yanlış seri!)</t>
  </si>
  <si>
    <t>30×DS201(594mm)+32 klemens(222mm)+giriş+N/PE = ~1052mm DIN</t>
  </si>
  <si>
    <t>Özel metallik 1000×600×200мм IP54</t>
  </si>
  <si>
    <t>ЩРн serisi kapasitesi yetmiyor; özel pano</t>
  </si>
  <si>
    <t>ЩБП</t>
  </si>
  <si>
    <t>ЩРн-36 585×310×140мм IP54</t>
  </si>
  <si>
    <t>1000×600×200мм (yanlış seri!)</t>
  </si>
  <si>
    <t>22×DS201(396mm)+22 klemens(162mm)+giriş+N/PE = ~782mm DIN</t>
  </si>
  <si>
    <t>Özel metallik 800×500×200мм IP54</t>
  </si>
  <si>
    <t>ЩРн-72з(648mm) dahi küçük kalır</t>
  </si>
  <si>
    <t>ЩО</t>
  </si>
  <si>
    <t>ЩРн-24 460×310×140мм IP54</t>
  </si>
  <si>
    <t>'shrn' (belirsiz yazılmış)</t>
  </si>
  <si>
    <t>14×S201M(126mm)+14 klemens(114mm)+giriş+N/PE = ~464mm DIN</t>
  </si>
  <si>
    <t>ЩРн-54з-0 У2 IP54 (АГСК 247-201-0122)</t>
  </si>
  <si>
    <t>486mm &gt; 464mm → ЩРн-54з yeterli ✓</t>
  </si>
  <si>
    <t>AF400-30-11</t>
  </si>
  <si>
    <t>1800*800*450</t>
  </si>
  <si>
    <t>1800*600*450</t>
  </si>
  <si>
    <t>mcb</t>
  </si>
  <si>
    <t xml:space="preserve"> 1SFN035700R1000 </t>
  </si>
  <si>
    <t xml:space="preserve">VM750H </t>
  </si>
  <si>
    <t xml:space="preserve"> 1SFN010720R1011 </t>
  </si>
  <si>
    <t>CAL18-11</t>
  </si>
  <si>
    <t xml:space="preserve"> 2CTB815710R1900 </t>
  </si>
  <si>
    <t>OVR T1-T2 3N 12.5-275s P QS</t>
  </si>
  <si>
    <t>pys</t>
  </si>
  <si>
    <t>1SYG207581R4051</t>
  </si>
  <si>
    <t xml:space="preserve">   M1M 12 modbus (modbus rtu  haberleșmeli, RS485 Seri port)</t>
  </si>
  <si>
    <t>faz kontrol</t>
  </si>
  <si>
    <t>zaman saati</t>
  </si>
  <si>
    <t>finder</t>
  </si>
  <si>
    <t>finder yuva</t>
  </si>
  <si>
    <t>bara</t>
  </si>
  <si>
    <t>M</t>
  </si>
  <si>
    <t>130300812_</t>
  </si>
  <si>
    <t xml:space="preserve">                Шина медн.5х30х4000</t>
  </si>
  <si>
    <t xml:space="preserve">1SVR730824R9300 </t>
  </si>
  <si>
    <t>CM-PFS.S</t>
  </si>
  <si>
    <t xml:space="preserve"> 1SVR405601R3000</t>
  </si>
  <si>
    <t xml:space="preserve"> CR-P230AC2 </t>
  </si>
  <si>
    <t xml:space="preserve">1SVR405650R0310 </t>
  </si>
  <si>
    <t>CR-PLP</t>
  </si>
  <si>
    <t xml:space="preserve"> 1SFL577001R7011</t>
  </si>
  <si>
    <t>714-15116</t>
  </si>
  <si>
    <t>Щит мет. ЩРн-5-2 PR (1000x650x300) IP54 (TS)</t>
  </si>
  <si>
    <t>714-15118</t>
  </si>
  <si>
    <t>Щит мет. ЩРн-4-2 PR (800x650x250) IP54 (TS)</t>
  </si>
  <si>
    <t>714-15124</t>
  </si>
  <si>
    <t>Щит мет. ЩРн-2-1 PR (540x400x150) IP54 (TS)</t>
  </si>
  <si>
    <t>TEKSAN f</t>
  </si>
  <si>
    <t xml:space="preserve"> 1SFA619403R5232 </t>
  </si>
  <si>
    <t>CL2-523G</t>
  </si>
  <si>
    <t xml:space="preserve"> 2CDS253001R0024 </t>
  </si>
  <si>
    <t xml:space="preserve"> S 203-C 2</t>
  </si>
  <si>
    <t xml:space="preserve"> 2CDS211001R0064 </t>
  </si>
  <si>
    <t xml:space="preserve"> SH 201-C 6 </t>
  </si>
  <si>
    <t xml:space="preserve"> 2CDS211001R0164 </t>
  </si>
  <si>
    <t xml:space="preserve"> SH 201-C 16 </t>
  </si>
  <si>
    <t xml:space="preserve"> 1SDA100415R1 </t>
  </si>
  <si>
    <t>XT5S 400, TMA, In=400A</t>
  </si>
  <si>
    <t xml:space="preserve"> 1SDA100414R1</t>
  </si>
  <si>
    <t>XT5S 400, TMA, In= 320A</t>
  </si>
  <si>
    <t xml:space="preserve"> 1SDA067414R1</t>
  </si>
  <si>
    <t>XT1N 160, TMD, In=63A</t>
  </si>
  <si>
    <t xml:space="preserve"> 1SDA067413R1</t>
  </si>
  <si>
    <t xml:space="preserve">XT1N 160, TMD, In=50A </t>
  </si>
  <si>
    <t xml:space="preserve">XT1N 160, TMD, In=40A </t>
  </si>
  <si>
    <t xml:space="preserve"> 1SDA067412R1 </t>
  </si>
  <si>
    <t xml:space="preserve">S 203 M-C 16 </t>
  </si>
  <si>
    <t>270300025_</t>
  </si>
  <si>
    <t xml:space="preserve">             Трансформатор тока ТТИ-40  400/5А  5ВА  класс 0,5  IEK</t>
  </si>
  <si>
    <t xml:space="preserve">1SVR500020R1100 </t>
  </si>
  <si>
    <t xml:space="preserve"> CT-MFD.21 </t>
  </si>
  <si>
    <t xml:space="preserve"> 2CDS213001R0254 </t>
  </si>
  <si>
    <t>SH 203-C 25</t>
  </si>
  <si>
    <t>2CDS213001R0324</t>
  </si>
  <si>
    <t>SH 203-C 32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</si>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</sst>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  <charset val="204"/>
    </font>
    <font>
      <b/>
      <sz val="10"/>
      <name val="Calibri"/>
      <family val="2"/>
      <charset val="204"/>
    </font>
    <font>
      <sz val="9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FFCCCC"/>
      </patternFill>
    </fill>
    <fill>
      <patternFill patternType="solid">
        <fgColor rgb="FFE8F5E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FF6600"/>
      </patternFill>
    </fill>
    <fill>
      <patternFill patternType="solid">
        <fgColor rgb="FF1F3864"/>
      </patternFill>
    </fill>
    <fill>
      <patternFill patternType="solid">
        <fgColor rgb="FFFFCE3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7" borderId="1" xfId="0" applyFill="1" applyBorder="1"/>
    <xf numFmtId="0" fontId="2" fillId="7" borderId="1" xfId="0" applyFont="1" applyFill="1" applyBorder="1"/>
    <xf numFmtId="0" fontId="4" fillId="8" borderId="1" xfId="0" applyFont="1" applyFill="1" applyBorder="1"/>
    <xf numFmtId="0" fontId="2" fillId="2" borderId="1" xfId="0" applyFont="1" applyFill="1" applyBorder="1"/>
    <xf numFmtId="0" fontId="5" fillId="9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/>
    <xf numFmtId="0" fontId="0" fillId="0" borderId="1" xfId="0" applyBorder="1" applyAlignment="1"/>
    <xf numFmtId="0" fontId="2" fillId="0" borderId="1" xfId="0" applyFont="1" applyBorder="1" applyAlignment="1"/>
    <xf numFmtId="0" fontId="4" fillId="8" borderId="1" xfId="0" applyFont="1" applyFill="1" applyBorder="1" applyAlignment="1"/>
    <xf numFmtId="3" fontId="1" fillId="2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/>
    </xf>
    <xf numFmtId="3" fontId="3" fillId="0" borderId="1" xfId="0" applyNumberFormat="1" applyFont="1" applyBorder="1" applyAlignment="1">
      <alignment vertical="top" wrapText="1"/>
    </xf>
    <xf numFmtId="3" fontId="0" fillId="7" borderId="1" xfId="0" applyNumberFormat="1" applyFill="1" applyBorder="1"/>
    <xf numFmtId="3" fontId="2" fillId="7" borderId="1" xfId="0" applyNumberFormat="1" applyFont="1" applyFill="1" applyBorder="1"/>
    <xf numFmtId="3" fontId="0" fillId="0" borderId="1" xfId="0" applyNumberFormat="1" applyBorder="1" applyAlignment="1"/>
    <xf numFmtId="3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4"/>
  <sheetViews>
    <sheetView workbookViewId="0">
      <selection activeCell="D1" sqref="D1:M71"/>
    </sheetView>
  </sheetViews>
  <sheetFormatPr defaultRowHeight="15" x14ac:dyDescent="0.25"/>
  <cols>
    <col min="1" max="1" width="4" customWidth="1"/>
    <col min="2" max="2" width="26" customWidth="1"/>
    <col min="3" max="3" width="14" customWidth="1"/>
    <col min="4" max="4" width="22" customWidth="1"/>
    <col min="5" max="5" width="48" customWidth="1"/>
    <col min="6" max="6" width="12" style="29" customWidth="1"/>
    <col min="7" max="7" width="13" style="29" customWidth="1"/>
    <col min="8" max="8" width="15" style="29" customWidth="1"/>
    <col min="9" max="9" width="11.5703125" style="17" customWidth="1"/>
    <col min="10" max="10" width="14.5703125" style="17" customWidth="1"/>
    <col min="11" max="11" width="9" style="17" customWidth="1"/>
    <col min="12" max="12" width="30" customWidth="1"/>
    <col min="13" max="13" width="15" style="29" customWidth="1"/>
  </cols>
  <sheetData>
    <row r="1" spans="1:13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3">
        <v>152.19999999999999</v>
      </c>
      <c r="G1" s="23" t="s">
        <v>5</v>
      </c>
      <c r="H1" s="2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3" t="s">
        <v>195</v>
      </c>
    </row>
    <row r="2" spans="1:13" ht="51.75" customHeight="1" x14ac:dyDescent="0.25">
      <c r="A2" s="16">
        <v>2</v>
      </c>
      <c r="B2" s="18" t="s">
        <v>11</v>
      </c>
      <c r="C2" s="16"/>
      <c r="D2" s="16"/>
      <c r="E2" s="18" t="s">
        <v>11</v>
      </c>
      <c r="F2" s="24"/>
      <c r="G2" s="24"/>
      <c r="H2" s="24"/>
      <c r="I2" s="16">
        <v>1</v>
      </c>
      <c r="J2" s="16" t="s">
        <v>12</v>
      </c>
      <c r="K2" s="16" t="s">
        <v>13</v>
      </c>
      <c r="L2" s="16"/>
      <c r="M2" s="24"/>
    </row>
    <row r="3" spans="1:13" ht="27.95" hidden="1" customHeight="1" x14ac:dyDescent="0.25">
      <c r="A3" s="2">
        <v>3</v>
      </c>
      <c r="B3" s="2" t="s">
        <v>11</v>
      </c>
      <c r="C3" s="2" t="s">
        <v>14</v>
      </c>
      <c r="D3" s="2" t="s">
        <v>15</v>
      </c>
      <c r="E3" s="3" t="s">
        <v>134</v>
      </c>
      <c r="F3" s="25">
        <v>205000</v>
      </c>
      <c r="G3" s="25">
        <f>0.6*F3</f>
        <v>123000</v>
      </c>
      <c r="H3" s="25">
        <f>G3*I3</f>
        <v>123000</v>
      </c>
      <c r="I3" s="30">
        <v>1</v>
      </c>
      <c r="J3" s="30" t="s">
        <v>16</v>
      </c>
      <c r="K3" s="30" t="s">
        <v>167</v>
      </c>
      <c r="L3" s="3" t="s">
        <v>17</v>
      </c>
      <c r="M3" s="25">
        <v>123000</v>
      </c>
    </row>
    <row r="4" spans="1:13" ht="27.95" hidden="1" customHeight="1" x14ac:dyDescent="0.25">
      <c r="A4" s="2">
        <v>4</v>
      </c>
      <c r="B4" s="2" t="s">
        <v>11</v>
      </c>
      <c r="C4" s="2" t="s">
        <v>18</v>
      </c>
      <c r="D4" s="2" t="s">
        <v>176</v>
      </c>
      <c r="E4" s="3" t="s">
        <v>177</v>
      </c>
      <c r="F4" s="25">
        <v>1388</v>
      </c>
      <c r="G4" s="25">
        <f>F4*1.16*0.3*1.33*580</f>
        <v>372604.71360000002</v>
      </c>
      <c r="H4" s="25">
        <f t="shared" ref="H4:H11" si="0">G4*I4</f>
        <v>745209.42720000003</v>
      </c>
      <c r="I4" s="30">
        <v>2</v>
      </c>
      <c r="J4" s="30" t="s">
        <v>16</v>
      </c>
      <c r="K4" s="30" t="s">
        <v>19</v>
      </c>
      <c r="L4" s="4" t="s">
        <v>20</v>
      </c>
      <c r="M4" s="25">
        <v>745209.42720000003</v>
      </c>
    </row>
    <row r="5" spans="1:13" ht="27.95" hidden="1" customHeight="1" x14ac:dyDescent="0.25">
      <c r="A5" s="2">
        <v>5</v>
      </c>
      <c r="B5" s="2" t="s">
        <v>11</v>
      </c>
      <c r="C5" s="2" t="s">
        <v>136</v>
      </c>
      <c r="D5" s="2" t="s">
        <v>21</v>
      </c>
      <c r="E5" s="3" t="s">
        <v>22</v>
      </c>
      <c r="F5" s="25">
        <v>94.51</v>
      </c>
      <c r="G5" s="25">
        <f t="shared" ref="G5:G10" si="1">F5*1.16*0.3*1.33*580</f>
        <v>25370.944872</v>
      </c>
      <c r="H5" s="25">
        <f t="shared" si="0"/>
        <v>50741.889744</v>
      </c>
      <c r="I5" s="30">
        <v>2</v>
      </c>
      <c r="J5" s="30" t="s">
        <v>16</v>
      </c>
      <c r="K5" s="30" t="s">
        <v>19</v>
      </c>
      <c r="L5" s="4" t="s">
        <v>23</v>
      </c>
      <c r="M5" s="25">
        <v>50741.889744</v>
      </c>
    </row>
    <row r="6" spans="1:13" ht="27.95" hidden="1" customHeight="1" x14ac:dyDescent="0.25">
      <c r="A6" s="2">
        <v>6</v>
      </c>
      <c r="B6" s="2" t="s">
        <v>11</v>
      </c>
      <c r="C6" s="2" t="s">
        <v>24</v>
      </c>
      <c r="D6" s="2" t="s">
        <v>160</v>
      </c>
      <c r="E6" s="3" t="s">
        <v>133</v>
      </c>
      <c r="F6" s="25">
        <v>2307</v>
      </c>
      <c r="G6" s="25">
        <f t="shared" si="1"/>
        <v>619307.69039999996</v>
      </c>
      <c r="H6" s="25">
        <f t="shared" si="0"/>
        <v>619307.69039999996</v>
      </c>
      <c r="I6" s="30">
        <v>1</v>
      </c>
      <c r="J6" s="30" t="s">
        <v>16</v>
      </c>
      <c r="K6" s="30" t="s">
        <v>19</v>
      </c>
      <c r="L6" s="4" t="s">
        <v>25</v>
      </c>
      <c r="M6" s="25">
        <v>619307.69039999996</v>
      </c>
    </row>
    <row r="7" spans="1:13" ht="27.95" hidden="1" customHeight="1" x14ac:dyDescent="0.25">
      <c r="A7" s="2">
        <v>7</v>
      </c>
      <c r="B7" s="2" t="s">
        <v>11</v>
      </c>
      <c r="C7" s="2" t="s">
        <v>24</v>
      </c>
      <c r="D7" s="2" t="s">
        <v>160</v>
      </c>
      <c r="E7" s="3" t="s">
        <v>133</v>
      </c>
      <c r="F7" s="25">
        <v>2307</v>
      </c>
      <c r="G7" s="25">
        <f t="shared" si="1"/>
        <v>619307.69039999996</v>
      </c>
      <c r="H7" s="25">
        <f t="shared" si="0"/>
        <v>619307.69039999996</v>
      </c>
      <c r="I7" s="30">
        <v>1</v>
      </c>
      <c r="J7" s="30" t="s">
        <v>16</v>
      </c>
      <c r="K7" s="30" t="s">
        <v>19</v>
      </c>
      <c r="L7" s="4" t="s">
        <v>26</v>
      </c>
      <c r="M7" s="25">
        <v>619307.69039999996</v>
      </c>
    </row>
    <row r="8" spans="1:13" ht="27.95" hidden="1" customHeight="1" x14ac:dyDescent="0.25">
      <c r="A8" s="2">
        <v>8</v>
      </c>
      <c r="B8" s="2" t="s">
        <v>11</v>
      </c>
      <c r="C8" s="2" t="s">
        <v>27</v>
      </c>
      <c r="D8" s="2" t="s">
        <v>137</v>
      </c>
      <c r="E8" s="3" t="s">
        <v>138</v>
      </c>
      <c r="F8" s="25">
        <v>125.3</v>
      </c>
      <c r="G8" s="25">
        <f t="shared" si="1"/>
        <v>33636.434159999997</v>
      </c>
      <c r="H8" s="25">
        <f t="shared" si="0"/>
        <v>33636.434159999997</v>
      </c>
      <c r="I8" s="30">
        <v>1</v>
      </c>
      <c r="J8" s="30" t="s">
        <v>16</v>
      </c>
      <c r="K8" s="30" t="s">
        <v>19</v>
      </c>
      <c r="L8" s="3" t="s">
        <v>28</v>
      </c>
      <c r="M8" s="25">
        <v>33636.434159999997</v>
      </c>
    </row>
    <row r="9" spans="1:13" ht="27.95" hidden="1" customHeight="1" x14ac:dyDescent="0.25">
      <c r="A9" s="2">
        <v>9</v>
      </c>
      <c r="B9" s="2" t="s">
        <v>11</v>
      </c>
      <c r="C9" s="2" t="s">
        <v>27</v>
      </c>
      <c r="D9" s="2" t="s">
        <v>139</v>
      </c>
      <c r="E9" s="2" t="s">
        <v>140</v>
      </c>
      <c r="F9" s="25">
        <v>13.92</v>
      </c>
      <c r="G9" s="25">
        <f t="shared" si="1"/>
        <v>3736.7850239999998</v>
      </c>
      <c r="H9" s="25">
        <f t="shared" si="0"/>
        <v>7473.5700479999996</v>
      </c>
      <c r="I9" s="30">
        <v>2</v>
      </c>
      <c r="J9" s="30" t="s">
        <v>16</v>
      </c>
      <c r="K9" s="30" t="s">
        <v>19</v>
      </c>
      <c r="L9" s="3" t="s">
        <v>29</v>
      </c>
      <c r="M9" s="25">
        <v>7473.5700479999996</v>
      </c>
    </row>
    <row r="10" spans="1:13" ht="27.95" hidden="1" customHeight="1" x14ac:dyDescent="0.25">
      <c r="A10" s="2">
        <v>10</v>
      </c>
      <c r="B10" s="2" t="s">
        <v>11</v>
      </c>
      <c r="C10" s="2" t="s">
        <v>30</v>
      </c>
      <c r="D10" s="2" t="s">
        <v>141</v>
      </c>
      <c r="E10" s="2" t="s">
        <v>142</v>
      </c>
      <c r="F10" s="25">
        <v>673.3</v>
      </c>
      <c r="G10" s="25">
        <f t="shared" si="1"/>
        <v>180745.49975999998</v>
      </c>
      <c r="H10" s="25">
        <f t="shared" si="0"/>
        <v>361490.99951999995</v>
      </c>
      <c r="I10" s="30">
        <v>2</v>
      </c>
      <c r="J10" s="30" t="s">
        <v>16</v>
      </c>
      <c r="K10" s="30" t="s">
        <v>19</v>
      </c>
      <c r="L10" s="3" t="s">
        <v>31</v>
      </c>
      <c r="M10" s="25">
        <v>361490.99951999995</v>
      </c>
    </row>
    <row r="11" spans="1:13" ht="27.95" hidden="1" customHeight="1" x14ac:dyDescent="0.25">
      <c r="A11" s="2">
        <v>11</v>
      </c>
      <c r="B11" s="2" t="s">
        <v>11</v>
      </c>
      <c r="C11" s="2" t="s">
        <v>32</v>
      </c>
      <c r="D11" s="2" t="s">
        <v>187</v>
      </c>
      <c r="E11" s="3" t="s">
        <v>188</v>
      </c>
      <c r="F11" s="25">
        <v>12000</v>
      </c>
      <c r="G11" s="25">
        <f>F11</f>
        <v>12000</v>
      </c>
      <c r="H11" s="25">
        <f t="shared" si="0"/>
        <v>72000</v>
      </c>
      <c r="I11" s="30">
        <v>6</v>
      </c>
      <c r="J11" s="30" t="s">
        <v>16</v>
      </c>
      <c r="K11" s="30" t="s">
        <v>143</v>
      </c>
      <c r="L11" s="3" t="s">
        <v>33</v>
      </c>
      <c r="M11" s="25">
        <v>72000</v>
      </c>
    </row>
    <row r="12" spans="1:13" ht="27.95" hidden="1" customHeight="1" x14ac:dyDescent="0.25">
      <c r="A12" s="2">
        <v>12</v>
      </c>
      <c r="B12" s="2" t="s">
        <v>11</v>
      </c>
      <c r="C12" s="2" t="s">
        <v>34</v>
      </c>
      <c r="D12" s="2" t="s">
        <v>35</v>
      </c>
      <c r="E12" s="3" t="s">
        <v>36</v>
      </c>
      <c r="F12" s="25"/>
      <c r="G12" s="25"/>
      <c r="H12" s="25"/>
      <c r="I12" s="30">
        <v>1</v>
      </c>
      <c r="J12" s="30" t="s">
        <v>16</v>
      </c>
      <c r="K12" s="30" t="s">
        <v>37</v>
      </c>
      <c r="L12" s="3" t="s">
        <v>38</v>
      </c>
      <c r="M12" s="25"/>
    </row>
    <row r="13" spans="1:13" ht="27.95" hidden="1" customHeight="1" x14ac:dyDescent="0.25">
      <c r="A13" s="2">
        <v>13</v>
      </c>
      <c r="B13" s="2" t="s">
        <v>11</v>
      </c>
      <c r="C13" s="2" t="s">
        <v>39</v>
      </c>
      <c r="D13" s="2" t="s">
        <v>144</v>
      </c>
      <c r="E13" s="3" t="s">
        <v>145</v>
      </c>
      <c r="F13" s="25">
        <v>322.60000000000002</v>
      </c>
      <c r="G13" s="25">
        <f t="shared" ref="G13:G15" si="2">F13*1.16*0.3*1.33*580</f>
        <v>86601.066720000003</v>
      </c>
      <c r="H13" s="25">
        <f t="shared" ref="H13:H22" si="3">G13*I13</f>
        <v>86601.066720000003</v>
      </c>
      <c r="I13" s="30">
        <v>1</v>
      </c>
      <c r="J13" s="30" t="s">
        <v>16</v>
      </c>
      <c r="K13" s="30" t="s">
        <v>19</v>
      </c>
      <c r="L13" s="4" t="s">
        <v>40</v>
      </c>
      <c r="M13" s="25">
        <v>86601.066720000003</v>
      </c>
    </row>
    <row r="14" spans="1:13" ht="27.95" hidden="1" customHeight="1" x14ac:dyDescent="0.25">
      <c r="A14" s="2">
        <v>14</v>
      </c>
      <c r="B14" s="2" t="s">
        <v>11</v>
      </c>
      <c r="C14" s="2" t="s">
        <v>136</v>
      </c>
      <c r="D14" s="2" t="s">
        <v>170</v>
      </c>
      <c r="E14" s="2" t="s">
        <v>171</v>
      </c>
      <c r="F14" s="25">
        <v>65.41</v>
      </c>
      <c r="G14" s="25">
        <f t="shared" si="2"/>
        <v>17559.131351999997</v>
      </c>
      <c r="H14" s="25">
        <f t="shared" si="3"/>
        <v>17559.131351999997</v>
      </c>
      <c r="I14" s="30">
        <v>1</v>
      </c>
      <c r="J14" s="30" t="s">
        <v>16</v>
      </c>
      <c r="K14" s="30" t="s">
        <v>19</v>
      </c>
      <c r="L14" s="3" t="s">
        <v>41</v>
      </c>
      <c r="M14" s="25">
        <v>17559.131351999997</v>
      </c>
    </row>
    <row r="15" spans="1:13" ht="27.95" hidden="1" customHeight="1" x14ac:dyDescent="0.25">
      <c r="A15" s="2">
        <v>14</v>
      </c>
      <c r="B15" s="2" t="s">
        <v>11</v>
      </c>
      <c r="C15" s="2" t="s">
        <v>136</v>
      </c>
      <c r="D15" s="2" t="s">
        <v>172</v>
      </c>
      <c r="E15" s="2" t="s">
        <v>173</v>
      </c>
      <c r="F15" s="25">
        <v>9.7100000000000009</v>
      </c>
      <c r="G15" s="25">
        <f t="shared" si="2"/>
        <v>2606.6223120000004</v>
      </c>
      <c r="H15" s="25">
        <f t="shared" si="3"/>
        <v>7819.8669360000013</v>
      </c>
      <c r="I15" s="30">
        <v>3</v>
      </c>
      <c r="J15" s="30" t="s">
        <v>16</v>
      </c>
      <c r="K15" s="30" t="s">
        <v>19</v>
      </c>
      <c r="L15" s="3" t="s">
        <v>41</v>
      </c>
      <c r="M15" s="25">
        <v>7819.8669360000013</v>
      </c>
    </row>
    <row r="16" spans="1:13" ht="27.95" hidden="1" customHeight="1" x14ac:dyDescent="0.25">
      <c r="A16" s="2">
        <v>16</v>
      </c>
      <c r="B16" s="2" t="s">
        <v>11</v>
      </c>
      <c r="C16" s="2" t="s">
        <v>42</v>
      </c>
      <c r="D16" s="2" t="s">
        <v>168</v>
      </c>
      <c r="E16" s="2" t="s">
        <v>169</v>
      </c>
      <c r="F16" s="25">
        <v>9.6199999999999992</v>
      </c>
      <c r="G16" s="25">
        <v>1917</v>
      </c>
      <c r="H16" s="25">
        <f t="shared" si="3"/>
        <v>5751</v>
      </c>
      <c r="I16" s="30">
        <v>3</v>
      </c>
      <c r="J16" s="30" t="s">
        <v>16</v>
      </c>
      <c r="K16" s="30" t="s">
        <v>19</v>
      </c>
      <c r="L16" s="5" t="s">
        <v>43</v>
      </c>
      <c r="M16" s="25">
        <v>5751</v>
      </c>
    </row>
    <row r="17" spans="1:13" ht="27.95" hidden="1" customHeight="1" x14ac:dyDescent="0.25">
      <c r="A17" s="2">
        <v>17</v>
      </c>
      <c r="B17" s="2" t="s">
        <v>11</v>
      </c>
      <c r="C17" s="2" t="s">
        <v>44</v>
      </c>
      <c r="D17" s="2" t="s">
        <v>45</v>
      </c>
      <c r="E17" s="2" t="s">
        <v>46</v>
      </c>
      <c r="F17" s="25">
        <v>16.2</v>
      </c>
      <c r="G17" s="25">
        <v>2707</v>
      </c>
      <c r="H17" s="25">
        <f t="shared" si="3"/>
        <v>5414</v>
      </c>
      <c r="I17" s="30">
        <v>2</v>
      </c>
      <c r="J17" s="30" t="s">
        <v>16</v>
      </c>
      <c r="K17" s="30" t="s">
        <v>19</v>
      </c>
      <c r="L17" s="5" t="s">
        <v>43</v>
      </c>
      <c r="M17" s="25">
        <v>5414</v>
      </c>
    </row>
    <row r="18" spans="1:13" ht="27.95" hidden="1" customHeight="1" x14ac:dyDescent="0.25">
      <c r="A18" s="2">
        <v>10</v>
      </c>
      <c r="B18" s="2" t="s">
        <v>11</v>
      </c>
      <c r="C18" s="2" t="s">
        <v>146</v>
      </c>
      <c r="D18" s="2" t="s">
        <v>154</v>
      </c>
      <c r="E18" s="2" t="s">
        <v>155</v>
      </c>
      <c r="F18" s="25">
        <v>152.19999999999999</v>
      </c>
      <c r="G18" s="25">
        <f>F18*1.16*0.3*1.33*580</f>
        <v>40857.663839999994</v>
      </c>
      <c r="H18" s="25">
        <f t="shared" si="3"/>
        <v>81715.327679999988</v>
      </c>
      <c r="I18" s="30">
        <v>2</v>
      </c>
      <c r="J18" s="30" t="s">
        <v>16</v>
      </c>
      <c r="K18" s="30" t="s">
        <v>19</v>
      </c>
      <c r="L18" s="3" t="s">
        <v>31</v>
      </c>
      <c r="M18" s="25">
        <v>81715.327679999988</v>
      </c>
    </row>
    <row r="19" spans="1:13" ht="27.95" hidden="1" customHeight="1" x14ac:dyDescent="0.25">
      <c r="A19" s="2">
        <v>10</v>
      </c>
      <c r="B19" s="2" t="s">
        <v>11</v>
      </c>
      <c r="C19" s="2" t="s">
        <v>150</v>
      </c>
      <c r="D19" s="2" t="s">
        <v>152</v>
      </c>
      <c r="E19" s="2" t="s">
        <v>153</v>
      </c>
      <c r="F19" s="25">
        <v>18045</v>
      </c>
      <c r="G19" s="25">
        <f>F19</f>
        <v>18045</v>
      </c>
      <c r="H19" s="25">
        <f t="shared" si="3"/>
        <v>433080</v>
      </c>
      <c r="I19" s="30">
        <v>24</v>
      </c>
      <c r="J19" s="30" t="s">
        <v>151</v>
      </c>
      <c r="K19" s="30" t="s">
        <v>143</v>
      </c>
      <c r="L19" s="3" t="s">
        <v>31</v>
      </c>
      <c r="M19" s="25">
        <v>433080</v>
      </c>
    </row>
    <row r="20" spans="1:13" ht="27.95" hidden="1" customHeight="1" x14ac:dyDescent="0.25">
      <c r="A20" s="2">
        <v>10</v>
      </c>
      <c r="B20" s="2" t="s">
        <v>11</v>
      </c>
      <c r="C20" s="2" t="s">
        <v>147</v>
      </c>
      <c r="D20" s="2" t="s">
        <v>189</v>
      </c>
      <c r="E20" s="2" t="s">
        <v>190</v>
      </c>
      <c r="F20" s="25">
        <v>130.4</v>
      </c>
      <c r="G20" s="25">
        <f t="shared" ref="G20:G22" si="4">F20*1.16*0.3*1.33*580</f>
        <v>35005.51488000001</v>
      </c>
      <c r="H20" s="25">
        <f t="shared" si="3"/>
        <v>70011.029760000019</v>
      </c>
      <c r="I20" s="30">
        <v>2</v>
      </c>
      <c r="J20" s="30" t="s">
        <v>16</v>
      </c>
      <c r="K20" s="30" t="s">
        <v>19</v>
      </c>
      <c r="L20" s="3" t="s">
        <v>31</v>
      </c>
      <c r="M20" s="25">
        <v>70011.029760000019</v>
      </c>
    </row>
    <row r="21" spans="1:13" ht="27.95" hidden="1" customHeight="1" x14ac:dyDescent="0.25">
      <c r="A21" s="2">
        <v>10</v>
      </c>
      <c r="B21" s="2" t="s">
        <v>11</v>
      </c>
      <c r="C21" s="2" t="s">
        <v>148</v>
      </c>
      <c r="D21" s="2" t="s">
        <v>156</v>
      </c>
      <c r="E21" s="2" t="s">
        <v>157</v>
      </c>
      <c r="F21" s="25">
        <v>11.34</v>
      </c>
      <c r="G21" s="25">
        <f t="shared" si="4"/>
        <v>3044.1912479999996</v>
      </c>
      <c r="H21" s="25">
        <f t="shared" si="3"/>
        <v>6088.3824959999993</v>
      </c>
      <c r="I21" s="30">
        <v>2</v>
      </c>
      <c r="J21" s="30" t="s">
        <v>16</v>
      </c>
      <c r="K21" s="30" t="s">
        <v>19</v>
      </c>
      <c r="L21" s="3" t="s">
        <v>31</v>
      </c>
      <c r="M21" s="25">
        <v>6088.3824959999993</v>
      </c>
    </row>
    <row r="22" spans="1:13" ht="27.95" hidden="1" customHeight="1" x14ac:dyDescent="0.25">
      <c r="A22" s="2">
        <v>10</v>
      </c>
      <c r="B22" s="2" t="s">
        <v>11</v>
      </c>
      <c r="C22" s="2" t="s">
        <v>149</v>
      </c>
      <c r="D22" s="2" t="s">
        <v>158</v>
      </c>
      <c r="E22" s="2" t="s">
        <v>159</v>
      </c>
      <c r="F22" s="25">
        <v>10.93</v>
      </c>
      <c r="G22" s="25">
        <f t="shared" si="4"/>
        <v>2934.127896</v>
      </c>
      <c r="H22" s="25">
        <f t="shared" si="3"/>
        <v>5868.2557919999999</v>
      </c>
      <c r="I22" s="30">
        <v>2</v>
      </c>
      <c r="J22" s="30" t="s">
        <v>16</v>
      </c>
      <c r="K22" s="30" t="s">
        <v>19</v>
      </c>
      <c r="L22" s="3" t="s">
        <v>31</v>
      </c>
      <c r="M22" s="25">
        <v>5868.2557919999999</v>
      </c>
    </row>
    <row r="23" spans="1:13" ht="24" hidden="1" customHeight="1" x14ac:dyDescent="0.25">
      <c r="A23" s="2">
        <v>19</v>
      </c>
      <c r="B23" s="2" t="s">
        <v>11</v>
      </c>
      <c r="C23" s="2" t="s">
        <v>47</v>
      </c>
      <c r="D23" s="2" t="s">
        <v>47</v>
      </c>
      <c r="E23" s="6" t="s">
        <v>48</v>
      </c>
      <c r="F23" s="25"/>
      <c r="G23" s="25"/>
      <c r="H23" s="25">
        <v>50000</v>
      </c>
      <c r="I23" s="30">
        <v>1</v>
      </c>
      <c r="J23" s="30" t="s">
        <v>49</v>
      </c>
      <c r="K23" s="30" t="s">
        <v>47</v>
      </c>
      <c r="L23" s="2"/>
      <c r="M23" s="25">
        <v>50000</v>
      </c>
    </row>
    <row r="24" spans="1:13" ht="20.100000000000001" hidden="1" customHeight="1" x14ac:dyDescent="0.25">
      <c r="A24" s="2">
        <v>20</v>
      </c>
      <c r="B24" s="2" t="s">
        <v>11</v>
      </c>
      <c r="C24" s="2" t="s">
        <v>50</v>
      </c>
      <c r="D24" s="2" t="s">
        <v>50</v>
      </c>
      <c r="E24" s="6" t="s">
        <v>51</v>
      </c>
      <c r="F24" s="25">
        <v>32</v>
      </c>
      <c r="G24" s="25">
        <v>100</v>
      </c>
      <c r="H24" s="25">
        <f>I24*G24</f>
        <v>192000</v>
      </c>
      <c r="I24" s="30">
        <f>60*F24</f>
        <v>1920</v>
      </c>
      <c r="J24" s="30" t="s">
        <v>52</v>
      </c>
      <c r="K24" s="30" t="s">
        <v>50</v>
      </c>
      <c r="L24" s="2"/>
      <c r="M24" s="25">
        <v>192000</v>
      </c>
    </row>
    <row r="25" spans="1:13" ht="18" customHeight="1" x14ac:dyDescent="0.25">
      <c r="A25" s="7"/>
      <c r="B25" s="8" t="s">
        <v>53</v>
      </c>
      <c r="C25" s="7"/>
      <c r="D25" s="7"/>
      <c r="E25" s="7"/>
      <c r="F25" s="26"/>
      <c r="G25" s="26"/>
      <c r="H25" s="27">
        <f>SUBTOTAL(9,H3:H24)</f>
        <v>0</v>
      </c>
      <c r="I25" s="31"/>
      <c r="J25" s="31"/>
      <c r="K25" s="31"/>
      <c r="L25" s="7"/>
      <c r="M25" s="27">
        <v>3594075.7622079998</v>
      </c>
    </row>
    <row r="26" spans="1:13" ht="51.75" customHeight="1" x14ac:dyDescent="0.25">
      <c r="A26" s="16">
        <v>21</v>
      </c>
      <c r="B26" s="18" t="s">
        <v>54</v>
      </c>
      <c r="C26" s="16"/>
      <c r="D26" s="16"/>
      <c r="E26" s="18" t="s">
        <v>54</v>
      </c>
      <c r="F26" s="24"/>
      <c r="G26" s="24"/>
      <c r="H26" s="24"/>
      <c r="I26" s="16">
        <v>1</v>
      </c>
      <c r="J26" s="16" t="s">
        <v>12</v>
      </c>
      <c r="K26" s="16" t="s">
        <v>13</v>
      </c>
      <c r="L26" s="16"/>
      <c r="M26" s="24"/>
    </row>
    <row r="27" spans="1:13" ht="27.95" hidden="1" customHeight="1" x14ac:dyDescent="0.25">
      <c r="A27" s="2">
        <v>22</v>
      </c>
      <c r="B27" s="2" t="s">
        <v>54</v>
      </c>
      <c r="C27" s="2" t="s">
        <v>14</v>
      </c>
      <c r="D27" s="2" t="s">
        <v>15</v>
      </c>
      <c r="E27" s="3" t="s">
        <v>135</v>
      </c>
      <c r="F27" s="25">
        <v>175000</v>
      </c>
      <c r="G27" s="25">
        <f>0.6*F27</f>
        <v>105000</v>
      </c>
      <c r="H27" s="25">
        <f t="shared" ref="H27:H34" si="5">G27*I27</f>
        <v>105000</v>
      </c>
      <c r="I27" s="30">
        <v>1</v>
      </c>
      <c r="J27" s="30" t="s">
        <v>16</v>
      </c>
      <c r="K27" s="30" t="s">
        <v>167</v>
      </c>
      <c r="L27" s="3" t="s">
        <v>17</v>
      </c>
      <c r="M27" s="25">
        <v>105000</v>
      </c>
    </row>
    <row r="28" spans="1:13" ht="27.95" hidden="1" customHeight="1" x14ac:dyDescent="0.25">
      <c r="A28" s="2">
        <v>23</v>
      </c>
      <c r="B28" s="2" t="s">
        <v>54</v>
      </c>
      <c r="C28" s="2" t="s">
        <v>18</v>
      </c>
      <c r="D28" s="2" t="s">
        <v>178</v>
      </c>
      <c r="E28" s="3" t="s">
        <v>179</v>
      </c>
      <c r="F28" s="25">
        <v>1132</v>
      </c>
      <c r="G28" s="25">
        <f t="shared" ref="G28:G32" si="6">F28*1.16*0.3*1.33*580</f>
        <v>303882.2304</v>
      </c>
      <c r="H28" s="25">
        <f t="shared" si="5"/>
        <v>303882.2304</v>
      </c>
      <c r="I28" s="30">
        <v>1</v>
      </c>
      <c r="J28" s="30" t="s">
        <v>16</v>
      </c>
      <c r="K28" s="30" t="s">
        <v>19</v>
      </c>
      <c r="L28" s="4" t="s">
        <v>55</v>
      </c>
      <c r="M28" s="25">
        <v>303882.2304</v>
      </c>
    </row>
    <row r="29" spans="1:13" ht="27.95" hidden="1" customHeight="1" x14ac:dyDescent="0.25">
      <c r="A29" s="2">
        <v>24</v>
      </c>
      <c r="B29" s="2" t="s">
        <v>54</v>
      </c>
      <c r="C29" s="2" t="s">
        <v>18</v>
      </c>
      <c r="D29" s="2" t="s">
        <v>180</v>
      </c>
      <c r="E29" s="2" t="s">
        <v>181</v>
      </c>
      <c r="F29" s="25">
        <v>246.1</v>
      </c>
      <c r="G29" s="25">
        <f t="shared" si="6"/>
        <v>66064.855920000002</v>
      </c>
      <c r="H29" s="25">
        <f t="shared" si="5"/>
        <v>66064.855920000002</v>
      </c>
      <c r="I29" s="30">
        <v>1</v>
      </c>
      <c r="J29" s="30" t="s">
        <v>16</v>
      </c>
      <c r="K29" s="30" t="s">
        <v>19</v>
      </c>
      <c r="L29" s="3" t="s">
        <v>56</v>
      </c>
      <c r="M29" s="25">
        <v>66064.855920000002</v>
      </c>
    </row>
    <row r="30" spans="1:13" ht="27.95" hidden="1" customHeight="1" x14ac:dyDescent="0.25">
      <c r="A30" s="2">
        <v>24</v>
      </c>
      <c r="B30" s="2" t="s">
        <v>54</v>
      </c>
      <c r="C30" s="2" t="s">
        <v>18</v>
      </c>
      <c r="D30" s="2" t="s">
        <v>182</v>
      </c>
      <c r="E30" s="2" t="s">
        <v>183</v>
      </c>
      <c r="F30" s="25">
        <v>246.1</v>
      </c>
      <c r="G30" s="25">
        <f t="shared" si="6"/>
        <v>66064.855920000002</v>
      </c>
      <c r="H30" s="25">
        <f t="shared" si="5"/>
        <v>66064.855920000002</v>
      </c>
      <c r="I30" s="30">
        <v>1</v>
      </c>
      <c r="J30" s="30" t="s">
        <v>16</v>
      </c>
      <c r="K30" s="30" t="s">
        <v>19</v>
      </c>
      <c r="L30" s="3" t="s">
        <v>56</v>
      </c>
      <c r="M30" s="25">
        <v>66064.855920000002</v>
      </c>
    </row>
    <row r="31" spans="1:13" ht="27.95" hidden="1" customHeight="1" x14ac:dyDescent="0.25">
      <c r="A31" s="2">
        <v>23</v>
      </c>
      <c r="B31" s="2" t="s">
        <v>54</v>
      </c>
      <c r="C31" s="2" t="s">
        <v>18</v>
      </c>
      <c r="D31" s="2" t="s">
        <v>185</v>
      </c>
      <c r="E31" s="3" t="s">
        <v>184</v>
      </c>
      <c r="F31" s="25">
        <v>246.1</v>
      </c>
      <c r="G31" s="25">
        <f t="shared" si="6"/>
        <v>66064.855920000002</v>
      </c>
      <c r="H31" s="25">
        <f t="shared" si="5"/>
        <v>132129.71184</v>
      </c>
      <c r="I31" s="30">
        <v>2</v>
      </c>
      <c r="J31" s="30" t="s">
        <v>16</v>
      </c>
      <c r="K31" s="30" t="s">
        <v>19</v>
      </c>
      <c r="L31" s="4" t="s">
        <v>55</v>
      </c>
      <c r="M31" s="25">
        <v>132129.71184</v>
      </c>
    </row>
    <row r="32" spans="1:13" ht="27.95" hidden="1" customHeight="1" x14ac:dyDescent="0.25">
      <c r="A32" s="2">
        <v>25</v>
      </c>
      <c r="B32" s="2" t="s">
        <v>54</v>
      </c>
      <c r="C32" s="2" t="s">
        <v>136</v>
      </c>
      <c r="D32" s="2" t="s">
        <v>57</v>
      </c>
      <c r="E32" s="3" t="s">
        <v>186</v>
      </c>
      <c r="F32" s="25">
        <v>63.02</v>
      </c>
      <c r="G32" s="25">
        <f t="shared" si="6"/>
        <v>16917.542544</v>
      </c>
      <c r="H32" s="25">
        <f t="shared" si="5"/>
        <v>16917.542544</v>
      </c>
      <c r="I32" s="30">
        <v>1</v>
      </c>
      <c r="J32" s="30" t="s">
        <v>16</v>
      </c>
      <c r="K32" s="30" t="s">
        <v>19</v>
      </c>
      <c r="L32" s="4" t="s">
        <v>58</v>
      </c>
      <c r="M32" s="25">
        <v>16917.542544</v>
      </c>
    </row>
    <row r="33" spans="1:13" ht="27.95" hidden="1" customHeight="1" x14ac:dyDescent="0.25">
      <c r="A33" s="2">
        <v>26</v>
      </c>
      <c r="B33" s="2" t="s">
        <v>54</v>
      </c>
      <c r="C33" s="2" t="s">
        <v>44</v>
      </c>
      <c r="D33" s="2" t="s">
        <v>45</v>
      </c>
      <c r="E33" s="2" t="s">
        <v>59</v>
      </c>
      <c r="F33" s="25">
        <v>16.2</v>
      </c>
      <c r="G33" s="25">
        <v>2707</v>
      </c>
      <c r="H33" s="25">
        <f t="shared" si="5"/>
        <v>5414</v>
      </c>
      <c r="I33" s="30">
        <v>2</v>
      </c>
      <c r="J33" s="30" t="s">
        <v>16</v>
      </c>
      <c r="K33" s="30" t="s">
        <v>19</v>
      </c>
      <c r="L33" s="5" t="s">
        <v>43</v>
      </c>
      <c r="M33" s="25">
        <v>5414</v>
      </c>
    </row>
    <row r="34" spans="1:13" ht="27.95" hidden="1" customHeight="1" x14ac:dyDescent="0.25">
      <c r="A34" s="2">
        <v>27</v>
      </c>
      <c r="B34" s="2" t="s">
        <v>54</v>
      </c>
      <c r="C34" s="2" t="s">
        <v>60</v>
      </c>
      <c r="D34" s="2" t="s">
        <v>61</v>
      </c>
      <c r="E34" s="2" t="s">
        <v>62</v>
      </c>
      <c r="F34" s="25">
        <v>4.7300000000000004</v>
      </c>
      <c r="G34" s="25">
        <v>790</v>
      </c>
      <c r="H34" s="25">
        <f t="shared" si="5"/>
        <v>9480</v>
      </c>
      <c r="I34" s="30">
        <v>12</v>
      </c>
      <c r="J34" s="30" t="s">
        <v>16</v>
      </c>
      <c r="K34" s="30" t="s">
        <v>19</v>
      </c>
      <c r="L34" s="5" t="s">
        <v>43</v>
      </c>
      <c r="M34" s="25">
        <v>9480</v>
      </c>
    </row>
    <row r="35" spans="1:13" ht="24" hidden="1" customHeight="1" x14ac:dyDescent="0.25">
      <c r="A35" s="2">
        <v>29</v>
      </c>
      <c r="B35" s="2" t="s">
        <v>54</v>
      </c>
      <c r="C35" s="2" t="s">
        <v>47</v>
      </c>
      <c r="D35" s="2" t="s">
        <v>47</v>
      </c>
      <c r="E35" s="6" t="s">
        <v>48</v>
      </c>
      <c r="F35" s="25"/>
      <c r="G35" s="25">
        <v>90000</v>
      </c>
      <c r="H35" s="25">
        <f>G35*I35</f>
        <v>90000</v>
      </c>
      <c r="I35" s="30">
        <v>1</v>
      </c>
      <c r="J35" s="30" t="s">
        <v>49</v>
      </c>
      <c r="K35" s="30" t="s">
        <v>47</v>
      </c>
      <c r="L35" s="2"/>
      <c r="M35" s="25">
        <v>90000</v>
      </c>
    </row>
    <row r="36" spans="1:13" ht="20.100000000000001" hidden="1" customHeight="1" x14ac:dyDescent="0.25">
      <c r="A36" s="2">
        <v>30</v>
      </c>
      <c r="B36" s="2" t="s">
        <v>54</v>
      </c>
      <c r="C36" s="2" t="s">
        <v>50</v>
      </c>
      <c r="D36" s="2" t="s">
        <v>50</v>
      </c>
      <c r="E36" s="6" t="s">
        <v>51</v>
      </c>
      <c r="F36" s="25">
        <v>10</v>
      </c>
      <c r="G36" s="25">
        <v>100</v>
      </c>
      <c r="H36" s="25">
        <f>I36*G36</f>
        <v>60000</v>
      </c>
      <c r="I36" s="30">
        <f>60*F36</f>
        <v>600</v>
      </c>
      <c r="J36" s="30" t="s">
        <v>52</v>
      </c>
      <c r="K36" s="30" t="s">
        <v>50</v>
      </c>
      <c r="L36" s="2"/>
      <c r="M36" s="25">
        <v>60000</v>
      </c>
    </row>
    <row r="37" spans="1:13" ht="18" customHeight="1" x14ac:dyDescent="0.25">
      <c r="A37" s="7"/>
      <c r="B37" s="8" t="s">
        <v>63</v>
      </c>
      <c r="C37" s="7"/>
      <c r="D37" s="7"/>
      <c r="E37" s="7"/>
      <c r="F37" s="26"/>
      <c r="G37" s="26"/>
      <c r="H37" s="27">
        <f>SUBTOTAL(9,H27:H36)</f>
        <v>0</v>
      </c>
      <c r="I37" s="31"/>
      <c r="J37" s="31"/>
      <c r="K37" s="31"/>
      <c r="L37" s="7"/>
      <c r="M37" s="27">
        <v>854953.19662399997</v>
      </c>
    </row>
    <row r="38" spans="1:13" ht="51.75" customHeight="1" x14ac:dyDescent="0.25">
      <c r="A38" s="16">
        <v>31</v>
      </c>
      <c r="B38" s="18" t="s">
        <v>64</v>
      </c>
      <c r="C38" s="16"/>
      <c r="D38" s="16"/>
      <c r="E38" s="18" t="s">
        <v>64</v>
      </c>
      <c r="F38" s="24"/>
      <c r="G38" s="24"/>
      <c r="H38" s="24"/>
      <c r="I38" s="16">
        <v>1</v>
      </c>
      <c r="J38" s="16" t="s">
        <v>12</v>
      </c>
      <c r="K38" s="16" t="s">
        <v>13</v>
      </c>
      <c r="L38" s="16"/>
      <c r="M38" s="24"/>
    </row>
    <row r="39" spans="1:13" ht="27.95" hidden="1" customHeight="1" x14ac:dyDescent="0.25">
      <c r="A39" s="2">
        <v>32</v>
      </c>
      <c r="B39" s="2" t="s">
        <v>64</v>
      </c>
      <c r="C39" s="2" t="s">
        <v>14</v>
      </c>
      <c r="D39" s="2" t="s">
        <v>161</v>
      </c>
      <c r="E39" s="3" t="s">
        <v>162</v>
      </c>
      <c r="F39" s="25">
        <v>55500</v>
      </c>
      <c r="G39" s="25">
        <f>0.6*F39</f>
        <v>33300</v>
      </c>
      <c r="H39" s="25">
        <f t="shared" ref="H39:H48" si="7">G39*I39</f>
        <v>33300</v>
      </c>
      <c r="I39" s="30">
        <v>1</v>
      </c>
      <c r="J39" s="30" t="s">
        <v>16</v>
      </c>
      <c r="K39" s="30" t="s">
        <v>167</v>
      </c>
      <c r="L39" s="4" t="s">
        <v>65</v>
      </c>
      <c r="M39" s="25">
        <v>33300</v>
      </c>
    </row>
    <row r="40" spans="1:13" ht="27.95" hidden="1" customHeight="1" x14ac:dyDescent="0.25">
      <c r="A40" s="2">
        <v>33</v>
      </c>
      <c r="B40" s="2" t="s">
        <v>64</v>
      </c>
      <c r="C40" s="2" t="s">
        <v>136</v>
      </c>
      <c r="D40" s="2" t="s">
        <v>193</v>
      </c>
      <c r="E40" s="2" t="s">
        <v>194</v>
      </c>
      <c r="F40" s="25">
        <v>45.54</v>
      </c>
      <c r="G40" s="25">
        <f t="shared" ref="G40:G43" si="8">F40*1.16*0.3*1.33*580</f>
        <v>12225.085487999999</v>
      </c>
      <c r="H40" s="25">
        <f t="shared" si="7"/>
        <v>12225.085487999999</v>
      </c>
      <c r="I40" s="30">
        <v>1</v>
      </c>
      <c r="J40" s="30" t="s">
        <v>16</v>
      </c>
      <c r="K40" s="30" t="s">
        <v>19</v>
      </c>
      <c r="L40" s="3" t="s">
        <v>69</v>
      </c>
      <c r="M40" s="25">
        <v>12225.085487999999</v>
      </c>
    </row>
    <row r="41" spans="1:13" ht="27.95" hidden="1" customHeight="1" x14ac:dyDescent="0.25">
      <c r="A41" s="2">
        <v>33</v>
      </c>
      <c r="B41" s="2" t="s">
        <v>64</v>
      </c>
      <c r="C41" s="2" t="s">
        <v>66</v>
      </c>
      <c r="D41" s="2" t="s">
        <v>67</v>
      </c>
      <c r="E41" s="2" t="s">
        <v>68</v>
      </c>
      <c r="F41" s="25">
        <v>87.63</v>
      </c>
      <c r="G41" s="25">
        <f t="shared" si="8"/>
        <v>23524.028135999997</v>
      </c>
      <c r="H41" s="25">
        <f t="shared" si="7"/>
        <v>705720.84407999995</v>
      </c>
      <c r="I41" s="30">
        <v>30</v>
      </c>
      <c r="J41" s="30" t="s">
        <v>16</v>
      </c>
      <c r="K41" s="30" t="s">
        <v>19</v>
      </c>
      <c r="L41" s="3" t="s">
        <v>69</v>
      </c>
      <c r="M41" s="25">
        <v>705720.84407999995</v>
      </c>
    </row>
    <row r="42" spans="1:13" ht="27.95" hidden="1" customHeight="1" x14ac:dyDescent="0.25">
      <c r="A42" s="2">
        <v>34</v>
      </c>
      <c r="B42" s="2" t="s">
        <v>64</v>
      </c>
      <c r="C42" s="2" t="s">
        <v>66</v>
      </c>
      <c r="D42" s="2" t="s">
        <v>70</v>
      </c>
      <c r="E42" s="2" t="s">
        <v>71</v>
      </c>
      <c r="F42" s="25">
        <v>87.63</v>
      </c>
      <c r="G42" s="25">
        <f t="shared" si="8"/>
        <v>23524.028135999997</v>
      </c>
      <c r="H42" s="25">
        <f t="shared" si="7"/>
        <v>23524.028135999997</v>
      </c>
      <c r="I42" s="30">
        <v>1</v>
      </c>
      <c r="J42" s="30" t="s">
        <v>16</v>
      </c>
      <c r="K42" s="30" t="s">
        <v>19</v>
      </c>
      <c r="L42" s="3" t="s">
        <v>72</v>
      </c>
      <c r="M42" s="25">
        <v>23524.028135999997</v>
      </c>
    </row>
    <row r="43" spans="1:13" ht="27.95" hidden="1" customHeight="1" x14ac:dyDescent="0.25">
      <c r="A43" s="2">
        <v>35</v>
      </c>
      <c r="B43" s="2" t="s">
        <v>64</v>
      </c>
      <c r="C43" s="2" t="s">
        <v>66</v>
      </c>
      <c r="D43" s="2" t="s">
        <v>73</v>
      </c>
      <c r="E43" s="2" t="s">
        <v>74</v>
      </c>
      <c r="F43" s="25">
        <v>292</v>
      </c>
      <c r="G43" s="25">
        <f t="shared" si="8"/>
        <v>78386.582399999985</v>
      </c>
      <c r="H43" s="25">
        <f t="shared" si="7"/>
        <v>78386.582399999985</v>
      </c>
      <c r="I43" s="30">
        <v>1</v>
      </c>
      <c r="J43" s="30" t="s">
        <v>16</v>
      </c>
      <c r="K43" s="30" t="s">
        <v>19</v>
      </c>
      <c r="L43" s="3" t="s">
        <v>75</v>
      </c>
      <c r="M43" s="25">
        <v>78386.582399999985</v>
      </c>
    </row>
    <row r="44" spans="1:13" ht="27.95" hidden="1" customHeight="1" x14ac:dyDescent="0.25">
      <c r="A44" s="2">
        <v>36</v>
      </c>
      <c r="B44" s="2" t="s">
        <v>64</v>
      </c>
      <c r="C44" s="2" t="s">
        <v>60</v>
      </c>
      <c r="D44" s="2" t="s">
        <v>76</v>
      </c>
      <c r="E44" s="2" t="s">
        <v>77</v>
      </c>
      <c r="F44" s="25">
        <v>1.62</v>
      </c>
      <c r="G44" s="25">
        <v>271</v>
      </c>
      <c r="H44" s="25">
        <f t="shared" si="7"/>
        <v>8672</v>
      </c>
      <c r="I44" s="30">
        <v>32</v>
      </c>
      <c r="J44" s="30" t="s">
        <v>16</v>
      </c>
      <c r="K44" s="30" t="s">
        <v>19</v>
      </c>
      <c r="L44" s="5" t="s">
        <v>78</v>
      </c>
      <c r="M44" s="25">
        <v>8672</v>
      </c>
    </row>
    <row r="45" spans="1:13" ht="27.95" hidden="1" customHeight="1" x14ac:dyDescent="0.25">
      <c r="A45" s="2">
        <v>37</v>
      </c>
      <c r="B45" s="2" t="s">
        <v>64</v>
      </c>
      <c r="C45" s="2" t="s">
        <v>60</v>
      </c>
      <c r="D45" s="2" t="s">
        <v>79</v>
      </c>
      <c r="E45" s="2" t="s">
        <v>80</v>
      </c>
      <c r="F45" s="25">
        <v>3.78</v>
      </c>
      <c r="G45" s="25">
        <v>632</v>
      </c>
      <c r="H45" s="25">
        <f t="shared" si="7"/>
        <v>3160</v>
      </c>
      <c r="I45" s="30">
        <v>5</v>
      </c>
      <c r="J45" s="30" t="s">
        <v>16</v>
      </c>
      <c r="K45" s="30" t="s">
        <v>19</v>
      </c>
      <c r="L45" s="5" t="s">
        <v>81</v>
      </c>
      <c r="M45" s="25">
        <v>3160</v>
      </c>
    </row>
    <row r="46" spans="1:13" ht="27.95" hidden="1" customHeight="1" x14ac:dyDescent="0.25">
      <c r="A46" s="2">
        <v>38</v>
      </c>
      <c r="B46" s="2" t="s">
        <v>64</v>
      </c>
      <c r="C46" s="2" t="s">
        <v>60</v>
      </c>
      <c r="D46" s="2" t="s">
        <v>82</v>
      </c>
      <c r="E46" s="2" t="s">
        <v>83</v>
      </c>
      <c r="F46" s="25">
        <v>0.68</v>
      </c>
      <c r="G46" s="25">
        <v>113</v>
      </c>
      <c r="H46" s="25">
        <f t="shared" si="7"/>
        <v>1130</v>
      </c>
      <c r="I46" s="30">
        <v>10</v>
      </c>
      <c r="J46" s="30" t="s">
        <v>16</v>
      </c>
      <c r="K46" s="30" t="s">
        <v>19</v>
      </c>
      <c r="L46" s="5" t="s">
        <v>81</v>
      </c>
      <c r="M46" s="25">
        <v>1130</v>
      </c>
    </row>
    <row r="47" spans="1:13" ht="27.95" hidden="1" customHeight="1" x14ac:dyDescent="0.25">
      <c r="A47" s="2">
        <v>39</v>
      </c>
      <c r="B47" s="2" t="s">
        <v>64</v>
      </c>
      <c r="C47" s="2" t="s">
        <v>60</v>
      </c>
      <c r="D47" s="2" t="s">
        <v>84</v>
      </c>
      <c r="E47" s="2" t="s">
        <v>85</v>
      </c>
      <c r="F47" s="25">
        <v>1.62</v>
      </c>
      <c r="G47" s="25">
        <v>271</v>
      </c>
      <c r="H47" s="25">
        <f t="shared" si="7"/>
        <v>1626</v>
      </c>
      <c r="I47" s="30">
        <v>6</v>
      </c>
      <c r="J47" s="30" t="s">
        <v>16</v>
      </c>
      <c r="K47" s="30" t="s">
        <v>19</v>
      </c>
      <c r="L47" s="5" t="s">
        <v>81</v>
      </c>
      <c r="M47" s="25">
        <v>1626</v>
      </c>
    </row>
    <row r="48" spans="1:13" ht="27.95" hidden="1" customHeight="1" x14ac:dyDescent="0.25">
      <c r="A48" s="2">
        <v>40</v>
      </c>
      <c r="B48" s="2" t="s">
        <v>64</v>
      </c>
      <c r="C48" s="2" t="s">
        <v>44</v>
      </c>
      <c r="D48" s="2" t="s">
        <v>45</v>
      </c>
      <c r="E48" s="2" t="s">
        <v>86</v>
      </c>
      <c r="F48" s="25">
        <v>20.25</v>
      </c>
      <c r="G48" s="25">
        <v>3384</v>
      </c>
      <c r="H48" s="25">
        <f t="shared" si="7"/>
        <v>3384</v>
      </c>
      <c r="I48" s="30">
        <v>1</v>
      </c>
      <c r="J48" s="30" t="s">
        <v>16</v>
      </c>
      <c r="K48" s="30" t="s">
        <v>19</v>
      </c>
      <c r="L48" s="5" t="s">
        <v>43</v>
      </c>
      <c r="M48" s="25">
        <v>3384</v>
      </c>
    </row>
    <row r="49" spans="1:13" ht="24" hidden="1" customHeight="1" x14ac:dyDescent="0.25">
      <c r="A49" s="2">
        <v>43</v>
      </c>
      <c r="B49" s="2" t="s">
        <v>64</v>
      </c>
      <c r="C49" s="2" t="s">
        <v>47</v>
      </c>
      <c r="D49" s="2" t="s">
        <v>47</v>
      </c>
      <c r="E49" s="6" t="s">
        <v>48</v>
      </c>
      <c r="F49" s="25"/>
      <c r="G49" s="25"/>
      <c r="H49" s="25">
        <v>5000</v>
      </c>
      <c r="I49" s="30">
        <v>1</v>
      </c>
      <c r="J49" s="30" t="s">
        <v>49</v>
      </c>
      <c r="K49" s="30" t="s">
        <v>47</v>
      </c>
      <c r="L49" s="2" t="s">
        <v>87</v>
      </c>
      <c r="M49" s="25">
        <v>5000</v>
      </c>
    </row>
    <row r="50" spans="1:13" ht="20.100000000000001" hidden="1" customHeight="1" x14ac:dyDescent="0.25">
      <c r="A50" s="2">
        <v>44</v>
      </c>
      <c r="B50" s="2" t="s">
        <v>64</v>
      </c>
      <c r="C50" s="2" t="s">
        <v>50</v>
      </c>
      <c r="D50" s="2" t="s">
        <v>50</v>
      </c>
      <c r="E50" s="6" t="s">
        <v>51</v>
      </c>
      <c r="F50" s="25">
        <v>4</v>
      </c>
      <c r="G50" s="25">
        <v>100</v>
      </c>
      <c r="H50" s="25">
        <f>I50*G50</f>
        <v>24000</v>
      </c>
      <c r="I50" s="30">
        <f>60*F50</f>
        <v>240</v>
      </c>
      <c r="J50" s="30" t="s">
        <v>52</v>
      </c>
      <c r="K50" s="30" t="s">
        <v>50</v>
      </c>
      <c r="L50" s="2" t="s">
        <v>87</v>
      </c>
      <c r="M50" s="25">
        <v>24000</v>
      </c>
    </row>
    <row r="51" spans="1:13" ht="18" customHeight="1" x14ac:dyDescent="0.25">
      <c r="A51" s="7"/>
      <c r="B51" s="8" t="s">
        <v>88</v>
      </c>
      <c r="C51" s="7"/>
      <c r="D51" s="7"/>
      <c r="E51" s="7"/>
      <c r="F51" s="26"/>
      <c r="G51" s="26"/>
      <c r="H51" s="27">
        <f>SUBTOTAL(9,H39:H50)</f>
        <v>0</v>
      </c>
      <c r="I51" s="31"/>
      <c r="J51" s="31"/>
      <c r="K51" s="31"/>
      <c r="L51" s="7"/>
      <c r="M51" s="27">
        <v>900128.5401039999</v>
      </c>
    </row>
    <row r="52" spans="1:13" ht="51.75" customHeight="1" x14ac:dyDescent="0.25">
      <c r="A52" s="16">
        <v>45</v>
      </c>
      <c r="B52" s="18" t="s">
        <v>89</v>
      </c>
      <c r="C52" s="16"/>
      <c r="D52" s="16"/>
      <c r="E52" s="18" t="s">
        <v>89</v>
      </c>
      <c r="F52" s="24"/>
      <c r="G52" s="24"/>
      <c r="H52" s="24"/>
      <c r="I52" s="16">
        <v>1</v>
      </c>
      <c r="J52" s="16" t="s">
        <v>12</v>
      </c>
      <c r="K52" s="16" t="s">
        <v>13</v>
      </c>
      <c r="L52" s="16"/>
      <c r="M52" s="24"/>
    </row>
    <row r="53" spans="1:13" ht="27.95" hidden="1" customHeight="1" x14ac:dyDescent="0.25">
      <c r="A53" s="2">
        <v>46</v>
      </c>
      <c r="B53" s="2" t="s">
        <v>89</v>
      </c>
      <c r="C53" s="2" t="s">
        <v>14</v>
      </c>
      <c r="D53" s="2" t="s">
        <v>163</v>
      </c>
      <c r="E53" s="3" t="s">
        <v>164</v>
      </c>
      <c r="F53" s="25">
        <v>45500</v>
      </c>
      <c r="G53" s="25">
        <f>0.6*F53</f>
        <v>27300</v>
      </c>
      <c r="H53" s="25">
        <f t="shared" ref="H53:H58" si="9">G53*I53</f>
        <v>27300</v>
      </c>
      <c r="I53" s="30">
        <v>1</v>
      </c>
      <c r="J53" s="30" t="s">
        <v>16</v>
      </c>
      <c r="K53" s="30" t="s">
        <v>167</v>
      </c>
      <c r="L53" s="4" t="s">
        <v>90</v>
      </c>
      <c r="M53" s="25">
        <v>27300</v>
      </c>
    </row>
    <row r="54" spans="1:13" ht="27.95" hidden="1" customHeight="1" x14ac:dyDescent="0.25">
      <c r="A54" s="2">
        <v>33</v>
      </c>
      <c r="B54" s="2" t="s">
        <v>89</v>
      </c>
      <c r="C54" s="2" t="s">
        <v>136</v>
      </c>
      <c r="D54" s="2" t="s">
        <v>191</v>
      </c>
      <c r="E54" s="2" t="s">
        <v>192</v>
      </c>
      <c r="F54" s="25">
        <v>36.42</v>
      </c>
      <c r="G54" s="25">
        <f t="shared" ref="G54" si="10">F54*1.16*0.3*1.33*580</f>
        <v>9776.8470240000006</v>
      </c>
      <c r="H54" s="25">
        <f t="shared" si="9"/>
        <v>9776.8470240000006</v>
      </c>
      <c r="I54" s="30">
        <v>1</v>
      </c>
      <c r="J54" s="30" t="s">
        <v>16</v>
      </c>
      <c r="K54" s="30" t="s">
        <v>19</v>
      </c>
      <c r="L54" s="3" t="s">
        <v>69</v>
      </c>
      <c r="M54" s="25">
        <v>9776.8470240000006</v>
      </c>
    </row>
    <row r="55" spans="1:13" ht="27.95" hidden="1" customHeight="1" x14ac:dyDescent="0.25">
      <c r="A55" s="2">
        <v>47</v>
      </c>
      <c r="B55" s="2" t="s">
        <v>89</v>
      </c>
      <c r="C55" s="2" t="s">
        <v>66</v>
      </c>
      <c r="D55" s="2" t="s">
        <v>67</v>
      </c>
      <c r="E55" s="2" t="s">
        <v>91</v>
      </c>
      <c r="F55" s="25">
        <v>87.63</v>
      </c>
      <c r="G55" s="25">
        <f>F55*1.16*0.3*1.33*580</f>
        <v>23524.028135999997</v>
      </c>
      <c r="H55" s="25">
        <f t="shared" si="9"/>
        <v>517528.61899199995</v>
      </c>
      <c r="I55" s="30">
        <v>22</v>
      </c>
      <c r="J55" s="30" t="s">
        <v>16</v>
      </c>
      <c r="K55" s="30" t="s">
        <v>19</v>
      </c>
      <c r="L55" s="3" t="s">
        <v>92</v>
      </c>
      <c r="M55" s="25">
        <v>517528.61899199995</v>
      </c>
    </row>
    <row r="56" spans="1:13" ht="27.95" hidden="1" customHeight="1" x14ac:dyDescent="0.25">
      <c r="A56" s="2">
        <v>48</v>
      </c>
      <c r="B56" s="2" t="s">
        <v>89</v>
      </c>
      <c r="C56" s="2" t="s">
        <v>60</v>
      </c>
      <c r="D56" s="2" t="s">
        <v>76</v>
      </c>
      <c r="E56" s="2" t="s">
        <v>93</v>
      </c>
      <c r="F56" s="25">
        <v>1.62</v>
      </c>
      <c r="G56" s="25">
        <v>271</v>
      </c>
      <c r="H56" s="25">
        <f t="shared" si="9"/>
        <v>5962</v>
      </c>
      <c r="I56" s="30">
        <v>22</v>
      </c>
      <c r="J56" s="30" t="s">
        <v>16</v>
      </c>
      <c r="K56" s="30" t="s">
        <v>19</v>
      </c>
      <c r="L56" s="5" t="s">
        <v>78</v>
      </c>
      <c r="M56" s="25">
        <v>5962</v>
      </c>
    </row>
    <row r="57" spans="1:13" ht="27.95" hidden="1" customHeight="1" x14ac:dyDescent="0.25">
      <c r="A57" s="2">
        <v>50</v>
      </c>
      <c r="B57" s="2" t="s">
        <v>89</v>
      </c>
      <c r="C57" s="2" t="s">
        <v>60</v>
      </c>
      <c r="D57" s="2" t="s">
        <v>82</v>
      </c>
      <c r="E57" s="2" t="s">
        <v>94</v>
      </c>
      <c r="F57" s="25">
        <v>0.68</v>
      </c>
      <c r="G57" s="25">
        <v>113</v>
      </c>
      <c r="H57" s="25">
        <f t="shared" si="9"/>
        <v>904</v>
      </c>
      <c r="I57" s="30">
        <v>8</v>
      </c>
      <c r="J57" s="30" t="s">
        <v>16</v>
      </c>
      <c r="K57" s="30" t="s">
        <v>19</v>
      </c>
      <c r="L57" s="5" t="s">
        <v>81</v>
      </c>
      <c r="M57" s="25">
        <v>904</v>
      </c>
    </row>
    <row r="58" spans="1:13" ht="27.95" hidden="1" customHeight="1" x14ac:dyDescent="0.25">
      <c r="A58" s="2">
        <v>51</v>
      </c>
      <c r="B58" s="2" t="s">
        <v>89</v>
      </c>
      <c r="C58" s="2" t="s">
        <v>44</v>
      </c>
      <c r="D58" s="2" t="s">
        <v>45</v>
      </c>
      <c r="E58" s="2" t="s">
        <v>95</v>
      </c>
      <c r="F58" s="25">
        <v>20.25</v>
      </c>
      <c r="G58" s="25">
        <v>3384</v>
      </c>
      <c r="H58" s="25">
        <f t="shared" si="9"/>
        <v>3384</v>
      </c>
      <c r="I58" s="30">
        <v>1</v>
      </c>
      <c r="J58" s="30" t="s">
        <v>16</v>
      </c>
      <c r="K58" s="30" t="s">
        <v>19</v>
      </c>
      <c r="L58" s="5" t="s">
        <v>81</v>
      </c>
      <c r="M58" s="25">
        <v>3384</v>
      </c>
    </row>
    <row r="59" spans="1:13" ht="24" hidden="1" customHeight="1" x14ac:dyDescent="0.25">
      <c r="A59" s="2">
        <v>54</v>
      </c>
      <c r="B59" s="2" t="s">
        <v>89</v>
      </c>
      <c r="C59" s="2" t="s">
        <v>47</v>
      </c>
      <c r="D59" s="2" t="s">
        <v>47</v>
      </c>
      <c r="E59" s="6" t="s">
        <v>48</v>
      </c>
      <c r="F59" s="25"/>
      <c r="G59" s="25"/>
      <c r="H59" s="25">
        <v>500</v>
      </c>
      <c r="I59" s="30">
        <v>1</v>
      </c>
      <c r="J59" s="30" t="s">
        <v>49</v>
      </c>
      <c r="K59" s="30" t="s">
        <v>47</v>
      </c>
      <c r="L59" s="2" t="s">
        <v>96</v>
      </c>
      <c r="M59" s="25">
        <v>500</v>
      </c>
    </row>
    <row r="60" spans="1:13" ht="20.100000000000001" hidden="1" customHeight="1" x14ac:dyDescent="0.25">
      <c r="A60" s="2">
        <v>55</v>
      </c>
      <c r="B60" s="2" t="s">
        <v>89</v>
      </c>
      <c r="C60" s="2" t="s">
        <v>50</v>
      </c>
      <c r="D60" s="2" t="s">
        <v>50</v>
      </c>
      <c r="E60" s="6" t="s">
        <v>51</v>
      </c>
      <c r="F60" s="25">
        <v>0.5</v>
      </c>
      <c r="G60" s="25">
        <v>100</v>
      </c>
      <c r="H60" s="25">
        <f>I60*G60</f>
        <v>3000</v>
      </c>
      <c r="I60" s="30">
        <f>60*F60</f>
        <v>30</v>
      </c>
      <c r="J60" s="30" t="s">
        <v>52</v>
      </c>
      <c r="K60" s="30" t="s">
        <v>50</v>
      </c>
      <c r="L60" s="2" t="s">
        <v>96</v>
      </c>
      <c r="M60" s="25">
        <v>3000</v>
      </c>
    </row>
    <row r="61" spans="1:13" ht="18" customHeight="1" x14ac:dyDescent="0.25">
      <c r="A61" s="7"/>
      <c r="B61" s="8" t="s">
        <v>97</v>
      </c>
      <c r="C61" s="7"/>
      <c r="D61" s="7"/>
      <c r="E61" s="7"/>
      <c r="F61" s="26"/>
      <c r="G61" s="26"/>
      <c r="H61" s="27">
        <f>SUBTOTAL(9,H53:H60)</f>
        <v>0</v>
      </c>
      <c r="I61" s="31"/>
      <c r="J61" s="31"/>
      <c r="K61" s="31"/>
      <c r="L61" s="7"/>
      <c r="M61" s="27">
        <v>568355.4660159999</v>
      </c>
    </row>
    <row r="62" spans="1:13" ht="51.75" customHeight="1" x14ac:dyDescent="0.25">
      <c r="A62" s="16">
        <v>56</v>
      </c>
      <c r="B62" s="18" t="s">
        <v>98</v>
      </c>
      <c r="C62" s="16"/>
      <c r="D62" s="16"/>
      <c r="E62" s="18" t="s">
        <v>98</v>
      </c>
      <c r="F62" s="24"/>
      <c r="G62" s="24"/>
      <c r="H62" s="24"/>
      <c r="I62" s="16">
        <v>1</v>
      </c>
      <c r="J62" s="16" t="s">
        <v>12</v>
      </c>
      <c r="K62" s="16" t="s">
        <v>13</v>
      </c>
      <c r="L62" s="16"/>
      <c r="M62" s="24"/>
    </row>
    <row r="63" spans="1:13" ht="27.95" hidden="1" customHeight="1" x14ac:dyDescent="0.25">
      <c r="A63" s="2">
        <v>57</v>
      </c>
      <c r="B63" s="2" t="s">
        <v>98</v>
      </c>
      <c r="C63" s="2" t="s">
        <v>14</v>
      </c>
      <c r="D63" s="2" t="s">
        <v>165</v>
      </c>
      <c r="E63" s="3" t="s">
        <v>166</v>
      </c>
      <c r="F63" s="25">
        <v>20000</v>
      </c>
      <c r="G63" s="25">
        <f>0.6*F63</f>
        <v>12000</v>
      </c>
      <c r="H63" s="25">
        <f t="shared" ref="H63:H68" si="11">G63*I63</f>
        <v>12000</v>
      </c>
      <c r="I63" s="30">
        <v>1</v>
      </c>
      <c r="J63" s="30" t="s">
        <v>16</v>
      </c>
      <c r="K63" s="30" t="s">
        <v>167</v>
      </c>
      <c r="L63" s="4" t="s">
        <v>99</v>
      </c>
      <c r="M63" s="25">
        <v>12000</v>
      </c>
    </row>
    <row r="64" spans="1:13" ht="27.95" hidden="1" customHeight="1" x14ac:dyDescent="0.25">
      <c r="A64" s="2">
        <v>33</v>
      </c>
      <c r="B64" s="2" t="s">
        <v>98</v>
      </c>
      <c r="C64" s="2" t="s">
        <v>136</v>
      </c>
      <c r="D64" s="2" t="s">
        <v>191</v>
      </c>
      <c r="E64" s="2" t="s">
        <v>192</v>
      </c>
      <c r="F64" s="25">
        <v>36.42</v>
      </c>
      <c r="G64" s="25">
        <f t="shared" ref="G64" si="12">F64*1.16*0.3*1.33*580</f>
        <v>9776.8470240000006</v>
      </c>
      <c r="H64" s="25">
        <f t="shared" si="11"/>
        <v>9776.8470240000006</v>
      </c>
      <c r="I64" s="30">
        <v>1</v>
      </c>
      <c r="J64" s="30" t="s">
        <v>16</v>
      </c>
      <c r="K64" s="30" t="s">
        <v>19</v>
      </c>
      <c r="L64" s="3" t="s">
        <v>69</v>
      </c>
      <c r="M64" s="25">
        <v>9776.8470240000006</v>
      </c>
    </row>
    <row r="65" spans="1:13" ht="27.95" hidden="1" customHeight="1" x14ac:dyDescent="0.25">
      <c r="A65" s="2">
        <v>58</v>
      </c>
      <c r="B65" s="2" t="s">
        <v>98</v>
      </c>
      <c r="C65" s="2" t="s">
        <v>136</v>
      </c>
      <c r="D65" s="2" t="s">
        <v>174</v>
      </c>
      <c r="E65" s="3" t="s">
        <v>175</v>
      </c>
      <c r="F65" s="25">
        <v>8.09</v>
      </c>
      <c r="G65" s="25">
        <f>F65*1.16*0.3*1.33*580</f>
        <v>2171.7378480000002</v>
      </c>
      <c r="H65" s="25">
        <f t="shared" si="11"/>
        <v>30404.329872000002</v>
      </c>
      <c r="I65" s="30">
        <v>14</v>
      </c>
      <c r="J65" s="30" t="s">
        <v>16</v>
      </c>
      <c r="K65" s="30" t="s">
        <v>19</v>
      </c>
      <c r="L65" s="4" t="s">
        <v>100</v>
      </c>
      <c r="M65" s="25">
        <v>30404.329872000002</v>
      </c>
    </row>
    <row r="66" spans="1:13" ht="27.95" hidden="1" customHeight="1" x14ac:dyDescent="0.25">
      <c r="A66" s="2">
        <v>59</v>
      </c>
      <c r="B66" s="2" t="s">
        <v>98</v>
      </c>
      <c r="C66" s="2" t="s">
        <v>60</v>
      </c>
      <c r="D66" s="2" t="s">
        <v>76</v>
      </c>
      <c r="E66" s="2" t="s">
        <v>101</v>
      </c>
      <c r="F66" s="25">
        <v>1.62</v>
      </c>
      <c r="G66" s="25">
        <v>271</v>
      </c>
      <c r="H66" s="25">
        <f t="shared" si="11"/>
        <v>3794</v>
      </c>
      <c r="I66" s="30">
        <v>14</v>
      </c>
      <c r="J66" s="30" t="s">
        <v>16</v>
      </c>
      <c r="K66" s="30" t="s">
        <v>19</v>
      </c>
      <c r="L66" s="5" t="s">
        <v>78</v>
      </c>
      <c r="M66" s="25">
        <v>3794</v>
      </c>
    </row>
    <row r="67" spans="1:13" ht="29.25" hidden="1" customHeight="1" x14ac:dyDescent="0.25">
      <c r="A67" s="2">
        <v>60</v>
      </c>
      <c r="B67" s="2" t="s">
        <v>98</v>
      </c>
      <c r="C67" s="2" t="s">
        <v>60</v>
      </c>
      <c r="D67" s="2" t="s">
        <v>102</v>
      </c>
      <c r="E67" s="2" t="s">
        <v>103</v>
      </c>
      <c r="F67" s="25">
        <v>2.4300000000000002</v>
      </c>
      <c r="G67" s="25">
        <v>406</v>
      </c>
      <c r="H67" s="25">
        <f t="shared" si="11"/>
        <v>2030</v>
      </c>
      <c r="I67" s="30">
        <v>5</v>
      </c>
      <c r="J67" s="30" t="s">
        <v>16</v>
      </c>
      <c r="K67" s="30" t="s">
        <v>19</v>
      </c>
      <c r="L67" s="5" t="s">
        <v>81</v>
      </c>
      <c r="M67" s="25">
        <v>2030</v>
      </c>
    </row>
    <row r="68" spans="1:13" ht="27.95" hidden="1" customHeight="1" x14ac:dyDescent="0.25">
      <c r="A68" s="2">
        <v>62</v>
      </c>
      <c r="B68" s="2" t="s">
        <v>98</v>
      </c>
      <c r="C68" s="2" t="s">
        <v>44</v>
      </c>
      <c r="D68" s="2" t="s">
        <v>45</v>
      </c>
      <c r="E68" s="2" t="s">
        <v>104</v>
      </c>
      <c r="F68" s="25">
        <v>16.2</v>
      </c>
      <c r="G68" s="25">
        <v>2707</v>
      </c>
      <c r="H68" s="25">
        <f t="shared" si="11"/>
        <v>2707</v>
      </c>
      <c r="I68" s="30">
        <v>1</v>
      </c>
      <c r="J68" s="30" t="s">
        <v>16</v>
      </c>
      <c r="K68" s="30" t="s">
        <v>19</v>
      </c>
      <c r="L68" s="5" t="s">
        <v>81</v>
      </c>
      <c r="M68" s="25">
        <v>2707</v>
      </c>
    </row>
    <row r="69" spans="1:13" ht="24" hidden="1" customHeight="1" x14ac:dyDescent="0.25">
      <c r="A69" s="2">
        <v>65</v>
      </c>
      <c r="B69" s="2" t="s">
        <v>98</v>
      </c>
      <c r="C69" s="2" t="s">
        <v>47</v>
      </c>
      <c r="D69" s="2" t="s">
        <v>47</v>
      </c>
      <c r="E69" s="6" t="s">
        <v>48</v>
      </c>
      <c r="F69" s="25"/>
      <c r="G69" s="25"/>
      <c r="H69" s="25">
        <v>500</v>
      </c>
      <c r="I69" s="30">
        <v>1</v>
      </c>
      <c r="J69" s="30" t="s">
        <v>49</v>
      </c>
      <c r="K69" s="30" t="s">
        <v>47</v>
      </c>
      <c r="L69" s="2" t="s">
        <v>96</v>
      </c>
      <c r="M69" s="25">
        <v>500</v>
      </c>
    </row>
    <row r="70" spans="1:13" ht="20.100000000000001" hidden="1" customHeight="1" x14ac:dyDescent="0.25">
      <c r="A70" s="2">
        <v>66</v>
      </c>
      <c r="B70" s="2" t="s">
        <v>98</v>
      </c>
      <c r="C70" s="2" t="s">
        <v>50</v>
      </c>
      <c r="D70" s="2" t="s">
        <v>50</v>
      </c>
      <c r="E70" s="6" t="s">
        <v>51</v>
      </c>
      <c r="F70" s="25">
        <v>0.5</v>
      </c>
      <c r="G70" s="25">
        <v>100</v>
      </c>
      <c r="H70" s="25">
        <f>I70*G70</f>
        <v>3000</v>
      </c>
      <c r="I70" s="30">
        <f>60*F70</f>
        <v>30</v>
      </c>
      <c r="J70" s="30" t="s">
        <v>52</v>
      </c>
      <c r="K70" s="30" t="s">
        <v>50</v>
      </c>
      <c r="L70" s="2" t="s">
        <v>96</v>
      </c>
      <c r="M70" s="25">
        <v>3000</v>
      </c>
    </row>
    <row r="71" spans="1:13" ht="18" customHeight="1" x14ac:dyDescent="0.25">
      <c r="A71" s="7"/>
      <c r="B71" s="8" t="s">
        <v>105</v>
      </c>
      <c r="C71" s="7"/>
      <c r="D71" s="7"/>
      <c r="E71" s="7"/>
      <c r="F71" s="26"/>
      <c r="G71" s="26"/>
      <c r="H71" s="27">
        <f>SUBTOTAL(9,H63:H70)</f>
        <v>0</v>
      </c>
      <c r="I71" s="31"/>
      <c r="J71" s="31"/>
      <c r="K71" s="31"/>
      <c r="L71" s="7"/>
      <c r="M71" s="27">
        <v>64212.176896000004</v>
      </c>
    </row>
    <row r="72" spans="1:13" ht="21.95" customHeight="1" x14ac:dyDescent="0.25">
      <c r="A72" s="22" t="s">
        <v>106</v>
      </c>
      <c r="B72" s="20"/>
      <c r="C72" s="20"/>
      <c r="D72" s="20"/>
      <c r="E72" s="20"/>
      <c r="F72" s="28"/>
      <c r="G72" s="28"/>
      <c r="H72" s="28"/>
      <c r="I72" s="32"/>
      <c r="J72" s="32"/>
      <c r="K72" s="32"/>
      <c r="L72" s="9">
        <f>SUBTOTAL(9,H2:H71)</f>
        <v>0</v>
      </c>
      <c r="M72" s="28"/>
    </row>
    <row r="73" spans="1:13" x14ac:dyDescent="0.25">
      <c r="A73" s="21" t="s">
        <v>107</v>
      </c>
      <c r="B73" s="20"/>
      <c r="C73" s="20"/>
      <c r="D73" s="20"/>
      <c r="E73" s="20"/>
      <c r="F73" s="28"/>
      <c r="G73" s="28"/>
      <c r="H73" s="28"/>
      <c r="I73" s="32"/>
      <c r="J73" s="32"/>
      <c r="K73" s="32"/>
      <c r="L73" s="10">
        <f>L72*0.12</f>
        <v>0</v>
      </c>
      <c r="M73" s="28"/>
    </row>
    <row r="74" spans="1:13" ht="21.95" customHeight="1" x14ac:dyDescent="0.25">
      <c r="A74" s="19" t="s">
        <v>108</v>
      </c>
      <c r="B74" s="20"/>
      <c r="C74" s="20"/>
      <c r="D74" s="20"/>
      <c r="E74" s="20"/>
      <c r="F74" s="28"/>
      <c r="G74" s="28"/>
      <c r="H74" s="28"/>
      <c r="I74" s="32"/>
      <c r="J74" s="32"/>
      <c r="K74" s="32"/>
      <c r="L74" s="11">
        <f>L73+L72</f>
        <v>0</v>
      </c>
      <c r="M74" s="28"/>
    </row>
  </sheetData>
  <autoFilter ref="A1:L74" xr:uid="{00000000-0001-0000-0000-000000000000}">
    <filterColumn colId="9">
      <filters blank="1">
        <filter val="комплект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029C-5C10-43D1-8A11-DC6FCC088E87}">
  <dimension ref="A1:K7"/>
  <sheetViews>
    <sheetView tabSelected="1" workbookViewId="0">
      <selection activeCell="J8" sqref="J8"/>
    </sheetView>
  </sheetViews>
  <sheetFormatPr defaultRowHeight="15" x14ac:dyDescent="0.25"/>
  <cols>
    <col min="1" max="1" width="19" customWidth="1"/>
    <col min="2" max="2" width="53.5703125" customWidth="1"/>
    <col min="3" max="3" width="13.85546875" customWidth="1"/>
    <col min="11" max="11" width="20.5703125" customWidth="1"/>
  </cols>
  <sheetData>
    <row r="1" spans="1:11" ht="36" x14ac:dyDescent="0.25">
      <c r="A1" s="1" t="s">
        <v>3</v>
      </c>
      <c r="B1" s="1" t="s">
        <v>4</v>
      </c>
      <c r="C1" s="23" t="s">
        <v>5</v>
      </c>
      <c r="D1" s="23" t="s">
        <v>5</v>
      </c>
      <c r="E1" s="23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23" t="s">
        <v>195</v>
      </c>
      <c r="K1" s="23">
        <v>2.2000000000000002</v>
      </c>
    </row>
    <row r="2" spans="1:11" x14ac:dyDescent="0.25">
      <c r="A2" s="16"/>
      <c r="B2" s="18" t="s">
        <v>11</v>
      </c>
      <c r="C2" s="24">
        <f>ROUNDUP(K2,-3)</f>
        <v>7907000</v>
      </c>
      <c r="D2" s="24">
        <f>0.7*C2</f>
        <v>5534900</v>
      </c>
      <c r="E2" s="24">
        <f>F2*D2</f>
        <v>5534900</v>
      </c>
      <c r="F2" s="16">
        <v>1</v>
      </c>
      <c r="G2" s="16" t="s">
        <v>12</v>
      </c>
      <c r="H2" s="16" t="s">
        <v>13</v>
      </c>
      <c r="I2" s="16"/>
      <c r="J2" s="27">
        <v>3594075.7622079998</v>
      </c>
      <c r="K2" s="27">
        <f>2.2*J2</f>
        <v>7906966.6768576</v>
      </c>
    </row>
    <row r="3" spans="1:11" x14ac:dyDescent="0.25">
      <c r="A3" s="16"/>
      <c r="B3" s="18" t="s">
        <v>54</v>
      </c>
      <c r="C3" s="24">
        <f t="shared" ref="C3:C7" si="0">ROUNDUP(K3,-3)</f>
        <v>1881000</v>
      </c>
      <c r="D3" s="24">
        <f t="shared" ref="D3:D7" si="1">0.7*C3</f>
        <v>1316700</v>
      </c>
      <c r="E3" s="24">
        <f t="shared" ref="E3:E6" si="2">F3*D3</f>
        <v>1316700</v>
      </c>
      <c r="F3" s="16">
        <v>1</v>
      </c>
      <c r="G3" s="16" t="s">
        <v>12</v>
      </c>
      <c r="H3" s="16" t="s">
        <v>13</v>
      </c>
      <c r="I3" s="16"/>
      <c r="J3" s="27">
        <v>854953.19662399997</v>
      </c>
      <c r="K3" s="27">
        <f t="shared" ref="K3:K6" si="3">2.2*J3</f>
        <v>1880897.0325728001</v>
      </c>
    </row>
    <row r="4" spans="1:11" x14ac:dyDescent="0.25">
      <c r="A4" s="16"/>
      <c r="B4" s="18" t="s">
        <v>64</v>
      </c>
      <c r="C4" s="24">
        <f t="shared" si="0"/>
        <v>1981000</v>
      </c>
      <c r="D4" s="24">
        <f t="shared" si="1"/>
        <v>1386700</v>
      </c>
      <c r="E4" s="24">
        <f t="shared" si="2"/>
        <v>1386700</v>
      </c>
      <c r="F4" s="16">
        <v>1</v>
      </c>
      <c r="G4" s="16" t="s">
        <v>12</v>
      </c>
      <c r="H4" s="16" t="s">
        <v>13</v>
      </c>
      <c r="I4" s="16"/>
      <c r="J4" s="27">
        <v>900128.5401039999</v>
      </c>
      <c r="K4" s="27">
        <f t="shared" si="3"/>
        <v>1980282.7882287998</v>
      </c>
    </row>
    <row r="5" spans="1:11" x14ac:dyDescent="0.25">
      <c r="A5" s="16"/>
      <c r="B5" s="18" t="s">
        <v>89</v>
      </c>
      <c r="C5" s="24">
        <f t="shared" si="0"/>
        <v>1251000</v>
      </c>
      <c r="D5" s="24">
        <f t="shared" si="1"/>
        <v>875700</v>
      </c>
      <c r="E5" s="24">
        <f t="shared" si="2"/>
        <v>875700</v>
      </c>
      <c r="F5" s="16">
        <v>1</v>
      </c>
      <c r="G5" s="16" t="s">
        <v>12</v>
      </c>
      <c r="H5" s="16" t="s">
        <v>13</v>
      </c>
      <c r="I5" s="16"/>
      <c r="J5" s="27">
        <v>568355.4660159999</v>
      </c>
      <c r="K5" s="27">
        <f t="shared" si="3"/>
        <v>1250382.0252351998</v>
      </c>
    </row>
    <row r="6" spans="1:11" x14ac:dyDescent="0.25">
      <c r="A6" s="16"/>
      <c r="B6" s="18" t="s">
        <v>98</v>
      </c>
      <c r="C6" s="24">
        <f t="shared" si="0"/>
        <v>142000</v>
      </c>
      <c r="D6" s="24">
        <f t="shared" si="1"/>
        <v>99400</v>
      </c>
      <c r="E6" s="24">
        <f t="shared" si="2"/>
        <v>99400</v>
      </c>
      <c r="F6" s="16">
        <v>1</v>
      </c>
      <c r="G6" s="16" t="s">
        <v>12</v>
      </c>
      <c r="H6" s="16" t="s">
        <v>13</v>
      </c>
      <c r="I6" s="16"/>
      <c r="J6" s="27">
        <v>64212.176896000004</v>
      </c>
      <c r="K6" s="27">
        <f t="shared" si="3"/>
        <v>141266.78917120001</v>
      </c>
    </row>
    <row r="7" spans="1:11" x14ac:dyDescent="0.25">
      <c r="C7" s="33">
        <f t="shared" si="0"/>
        <v>13160000</v>
      </c>
      <c r="D7" s="33">
        <f t="shared" si="1"/>
        <v>9212000</v>
      </c>
      <c r="J7" s="29">
        <f>SUM(J2:J6)</f>
        <v>5981725.1418479998</v>
      </c>
      <c r="K7" s="29">
        <f>SUM(K2:K6)</f>
        <v>13159795.312065601</v>
      </c>
    </row>
  </sheetData>
  <autoFilter ref="A1:J6" xr:uid="{BFCA029C-5C10-43D1-8A11-DC6FCC088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5" x14ac:dyDescent="0.25"/>
  <cols>
    <col min="1" max="1" width="6" customWidth="1"/>
    <col min="2" max="2" width="20" customWidth="1"/>
    <col min="3" max="3" width="30" customWidth="1"/>
    <col min="4" max="5" width="25" customWidth="1"/>
    <col min="6" max="6" width="20" customWidth="1"/>
    <col min="7" max="7" width="30" customWidth="1"/>
  </cols>
  <sheetData>
    <row r="1" spans="1:7" ht="24" customHeight="1" x14ac:dyDescent="0.25">
      <c r="A1" s="12" t="s">
        <v>0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</row>
    <row r="2" spans="1:7" ht="60" customHeight="1" x14ac:dyDescent="0.25">
      <c r="A2" s="13">
        <v>1</v>
      </c>
      <c r="B2" s="13" t="s">
        <v>115</v>
      </c>
      <c r="C2" s="14" t="s">
        <v>116</v>
      </c>
      <c r="D2" s="14" t="s">
        <v>117</v>
      </c>
      <c r="E2" s="13" t="s">
        <v>118</v>
      </c>
      <c r="F2" s="15" t="s">
        <v>119</v>
      </c>
      <c r="G2" s="13" t="s">
        <v>120</v>
      </c>
    </row>
    <row r="3" spans="1:7" ht="60" customHeight="1" x14ac:dyDescent="0.25">
      <c r="A3" s="13">
        <v>2</v>
      </c>
      <c r="B3" s="13" t="s">
        <v>121</v>
      </c>
      <c r="C3" s="14" t="s">
        <v>122</v>
      </c>
      <c r="D3" s="14" t="s">
        <v>123</v>
      </c>
      <c r="E3" s="13" t="s">
        <v>124</v>
      </c>
      <c r="F3" s="15" t="s">
        <v>125</v>
      </c>
      <c r="G3" s="13" t="s">
        <v>126</v>
      </c>
    </row>
    <row r="4" spans="1:7" ht="60" customHeight="1" x14ac:dyDescent="0.25">
      <c r="A4" s="13">
        <v>3</v>
      </c>
      <c r="B4" s="13" t="s">
        <v>127</v>
      </c>
      <c r="C4" s="14" t="s">
        <v>128</v>
      </c>
      <c r="D4" s="14" t="s">
        <v>129</v>
      </c>
      <c r="E4" s="13" t="s">
        <v>130</v>
      </c>
      <c r="F4" s="15" t="s">
        <v>131</v>
      </c>
      <c r="G4" s="13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fiyat burda</vt:lpstr>
      <vt:lpstr>Sayfa2</vt:lpstr>
      <vt:lpstr>Pano Boyut Analizi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2026-06-02T04:47:09Z</dcterms:created>
  <dcterms:modified xsi:type="dcterms:W3CDTF">2026-06-05T13:36:24Z</dcterms:modified>
</cp:coreProperties>
</file>