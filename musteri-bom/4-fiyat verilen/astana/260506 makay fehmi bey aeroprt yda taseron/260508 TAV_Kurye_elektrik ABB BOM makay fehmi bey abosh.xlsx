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506 makay fehmi bey aeroprt yda taseron\"/>
    </mc:Choice>
  </mc:AlternateContent>
  <xr:revisionPtr revIDLastSave="0" documentId="13_ncr:1_{F19C24E0-FECC-422E-BEDC-6BF424768B1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ayfa1" sheetId="2" r:id="rId1"/>
  </sheets>
  <definedNames>
    <definedName name="_xlnm._FilterDatabase" localSheetId="0" hidden="1">Sayfa1!$A$1:$K$47</definedName>
    <definedName name="sayac">Sayfa1!#REF!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" l="1"/>
  <c r="H7" i="2" s="1"/>
  <c r="G6" i="2"/>
  <c r="H6" i="2" s="1"/>
  <c r="G47" i="2" l="1"/>
  <c r="F46" i="2"/>
  <c r="G46" i="2" s="1"/>
  <c r="H46" i="2" s="1"/>
  <c r="G45" i="2"/>
  <c r="H45" i="2" s="1"/>
  <c r="H47" i="2" s="1"/>
  <c r="G44" i="2"/>
  <c r="H44" i="2" s="1"/>
  <c r="G43" i="2"/>
  <c r="H43" i="2" s="1"/>
  <c r="H42" i="2"/>
  <c r="A42" i="2"/>
  <c r="A43" i="2" s="1"/>
  <c r="A44" i="2" s="1"/>
  <c r="A45" i="2" s="1"/>
  <c r="A46" i="2" s="1"/>
  <c r="A47" i="2" s="1"/>
  <c r="A38" i="2"/>
  <c r="A39" i="2" s="1"/>
  <c r="A40" i="2" s="1"/>
  <c r="A41" i="2" s="1"/>
  <c r="G41" i="2"/>
  <c r="F40" i="2"/>
  <c r="G40" i="2" s="1"/>
  <c r="H40" i="2" s="1"/>
  <c r="G39" i="2"/>
  <c r="H39" i="2" s="1"/>
  <c r="G38" i="2"/>
  <c r="H38" i="2" s="1"/>
  <c r="G37" i="2"/>
  <c r="H37" i="2" s="1"/>
  <c r="H36" i="2"/>
  <c r="A36" i="2"/>
  <c r="A37" i="2" s="1"/>
  <c r="G32" i="2"/>
  <c r="H32" i="2" s="1"/>
  <c r="H41" i="2" l="1"/>
  <c r="G31" i="2" l="1"/>
  <c r="H31" i="2" s="1"/>
  <c r="G30" i="2"/>
  <c r="H30" i="2" s="1"/>
  <c r="G29" i="2"/>
  <c r="H29" i="2" s="1"/>
  <c r="A28" i="2"/>
  <c r="A29" i="2" s="1"/>
  <c r="A30" i="2" s="1"/>
  <c r="A31" i="2" s="1"/>
  <c r="A32" i="2" s="1"/>
  <c r="A33" i="2" s="1"/>
  <c r="A34" i="2" s="1"/>
  <c r="A35" i="2" s="1"/>
  <c r="G24" i="2"/>
  <c r="H24" i="2" s="1"/>
  <c r="G23" i="2"/>
  <c r="H23" i="2" s="1"/>
  <c r="G12" i="2"/>
  <c r="H12" i="2" s="1"/>
  <c r="G10" i="2"/>
  <c r="H10" i="2" s="1"/>
  <c r="G9" i="2"/>
  <c r="H9" i="2" s="1"/>
  <c r="G13" i="2"/>
  <c r="H13" i="2" s="1"/>
  <c r="G5" i="2"/>
  <c r="G8" i="2"/>
  <c r="G11" i="2"/>
  <c r="G14" i="2"/>
  <c r="G15" i="2"/>
  <c r="G17" i="2"/>
  <c r="G19" i="2"/>
  <c r="G20" i="2"/>
  <c r="G21" i="2"/>
  <c r="G22" i="2"/>
  <c r="G25" i="2"/>
  <c r="G27" i="2"/>
  <c r="G33" i="2"/>
  <c r="G35" i="2"/>
  <c r="G4" i="2"/>
  <c r="H28" i="2" l="1"/>
  <c r="F34" i="2" l="1"/>
  <c r="G34" i="2" s="1"/>
  <c r="H33" i="2"/>
  <c r="A18" i="2"/>
  <c r="A19" i="2" s="1"/>
  <c r="A20" i="2" s="1"/>
  <c r="F26" i="2"/>
  <c r="G26" i="2" s="1"/>
  <c r="H25" i="2"/>
  <c r="H22" i="2"/>
  <c r="H21" i="2"/>
  <c r="H20" i="2"/>
  <c r="H19" i="2"/>
  <c r="H5" i="2"/>
  <c r="H8" i="2"/>
  <c r="A21" i="2" l="1"/>
  <c r="A23" i="2"/>
  <c r="H34" i="2"/>
  <c r="H35" i="2" s="1"/>
  <c r="H26" i="2"/>
  <c r="H27" i="2" s="1"/>
  <c r="H18" i="2" s="1"/>
  <c r="A22" i="2" l="1"/>
  <c r="A25" i="2" s="1"/>
  <c r="A26" i="2" s="1"/>
  <c r="A27" i="2" s="1"/>
  <c r="A24" i="2"/>
  <c r="H14" i="2"/>
  <c r="H11" i="2"/>
  <c r="H15" i="2"/>
  <c r="A2" i="2" l="1"/>
  <c r="A3" i="2" s="1"/>
  <c r="A4" i="2" s="1"/>
  <c r="A5" i="2" s="1"/>
  <c r="G3" i="2"/>
  <c r="H3" i="2" s="1"/>
  <c r="H4" i="2"/>
  <c r="A8" i="2" l="1"/>
  <c r="A9" i="2" s="1"/>
  <c r="A10" i="2" s="1"/>
  <c r="A11" i="2" s="1"/>
  <c r="A12" i="2" s="1"/>
  <c r="A13" i="2" s="1"/>
  <c r="A14" i="2" s="1"/>
  <c r="A15" i="2" s="1"/>
  <c r="A16" i="2" s="1"/>
  <c r="A17" i="2" s="1"/>
  <c r="A6" i="2"/>
  <c r="A7" i="2" s="1"/>
  <c r="F16" i="2"/>
  <c r="G16" i="2" s="1"/>
  <c r="H16" i="2" l="1"/>
  <c r="H17" i="2" s="1"/>
  <c r="H2" i="2" s="1"/>
</calcChain>
</file>

<file path=xl/sharedStrings.xml><?xml version="1.0" encoding="utf-8"?>
<sst xmlns="http://schemas.openxmlformats.org/spreadsheetml/2006/main" count="213" uniqueCount="85">
  <si>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</si>
  <si>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</si>
  <si>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</si>
  <si>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</si>
  <si>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</si>
  <si>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</si>
  <si>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</si>
  <si>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</si>
  <si>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</si>
  <si>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</si>
  <si>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</si>
  <si>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</si>
  <si>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</si>
  <si>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</si>
  <si>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</si>
  <si>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Кол- во</t>
  </si>
  <si>
    <t>teksan f</t>
  </si>
  <si>
    <t>sayac</t>
  </si>
  <si>
    <t>dif</t>
  </si>
  <si>
    <t>D kodu</t>
  </si>
  <si>
    <t>pys</t>
  </si>
  <si>
    <t>tt</t>
  </si>
  <si>
    <t>РУ-1</t>
  </si>
  <si>
    <t>tts</t>
  </si>
  <si>
    <t>contactor</t>
  </si>
  <si>
    <t>ЩР</t>
  </si>
  <si>
    <t>НАРТИС-И300-W132-A5SR1 TN-RS485-RF2400-1P1-EHKLMOQ1V-D 5(10)A 3*230-400B 0,5s/1</t>
  </si>
  <si>
    <t>Авт. выкл. S 203 M-C 16 10kA</t>
  </si>
  <si>
    <t>59,45 EUR</t>
  </si>
  <si>
    <t>2CDS273001R0164</t>
  </si>
  <si>
    <t>Мультиметр M4M 20</t>
  </si>
  <si>
    <t>709,90 EUR</t>
  </si>
  <si>
    <t>2CSG251151R4051</t>
  </si>
  <si>
    <t>270100161_</t>
  </si>
  <si>
    <t>op</t>
  </si>
  <si>
    <t>2CSM296532R1801</t>
  </si>
  <si>
    <t xml:space="preserve">Держатель предохранителя 3 x 125A gG </t>
  </si>
  <si>
    <t>2CTB815101R4300</t>
  </si>
  <si>
    <t xml:space="preserve">Держатель предохранителя 1 x 125A gG </t>
  </si>
  <si>
    <t>2CSM277352R1801</t>
  </si>
  <si>
    <t>1SFL577001R7011</t>
  </si>
  <si>
    <t>2176 EUR</t>
  </si>
  <si>
    <t>Контактор AF400-30-11</t>
  </si>
  <si>
    <t>ВРУ (Распределительная часть)</t>
  </si>
  <si>
    <t>1167 EUR</t>
  </si>
  <si>
    <t>XT5N 400, TMA, In=400A, 3p</t>
  </si>
  <si>
    <t>1SDA100345R1</t>
  </si>
  <si>
    <t>XT1N 160, TMD, In=63A, 3p</t>
  </si>
  <si>
    <t>1SDA067414R1</t>
  </si>
  <si>
    <t>232 EUR</t>
  </si>
  <si>
    <t>XT1N 160, TMD, In=50A</t>
  </si>
  <si>
    <t>1SDA067413R1</t>
  </si>
  <si>
    <t>233 EUR</t>
  </si>
  <si>
    <t>Авт. выкл.  S 203 M-C 40 10kA</t>
  </si>
  <si>
    <t>2CDS273001R0404</t>
  </si>
  <si>
    <t>77,25 EUR</t>
  </si>
  <si>
    <t>Диф. Авт. DS201 C16 AC30</t>
  </si>
  <si>
    <t>2CSR255080R1164</t>
  </si>
  <si>
    <t>82,67 EUR</t>
  </si>
  <si>
    <t>Диф. Авт. DS201 C20 AC30</t>
  </si>
  <si>
    <t>2CSR255080R1204</t>
  </si>
  <si>
    <t>ЩО</t>
  </si>
  <si>
    <t>2CSR256040R1164</t>
  </si>
  <si>
    <t>275,5 EUR</t>
  </si>
  <si>
    <t>ЩБП</t>
  </si>
  <si>
    <t xml:space="preserve"> 2CSR255063R1164</t>
  </si>
  <si>
    <t>170,20 EUR</t>
  </si>
  <si>
    <t>Диф. Авт. DS203NC C16 AC30</t>
  </si>
  <si>
    <t>abb</t>
  </si>
  <si>
    <t>ВРУ Карго (Нормальный режим)</t>
  </si>
  <si>
    <t>multimetr</t>
  </si>
  <si>
    <t>МТ-96 -96 51509DEK</t>
  </si>
  <si>
    <t>projede</t>
  </si>
  <si>
    <t>mccb</t>
  </si>
  <si>
    <t>3*400</t>
  </si>
  <si>
    <t>400a</t>
  </si>
  <si>
    <t>УЗИП 3P+N klass1</t>
  </si>
  <si>
    <t>fu</t>
  </si>
  <si>
    <t>1000*600*200</t>
  </si>
  <si>
    <t>1200*600*200</t>
  </si>
  <si>
    <t>1*16</t>
  </si>
  <si>
    <t>shrn</t>
  </si>
  <si>
    <t>kontaktor</t>
  </si>
  <si>
    <t>dob kontak</t>
  </si>
  <si>
    <t>Трансформатор тока Т-66 400/5А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</si>
</sst>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14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6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165" fontId="7" fillId="2" borderId="1" xfId="1" applyNumberFormat="1" applyFont="1" applyFill="1" applyBorder="1" applyAlignment="1" applyProtection="1">
      <alignment horizontal="center" vertical="center" wrapText="1"/>
    </xf>
    <xf numFmtId="0" fontId="7" fillId="2" borderId="1" xfId="1" applyNumberFormat="1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3" fontId="7" fillId="6" borderId="1" xfId="1" applyNumberFormat="1" applyFont="1" applyFill="1" applyBorder="1" applyAlignment="1" applyProtection="1">
      <alignment horizontal="center" vertical="center" wrapText="1"/>
    </xf>
    <xf numFmtId="165" fontId="7" fillId="6" borderId="1" xfId="1" applyNumberFormat="1" applyFont="1" applyFill="1" applyBorder="1" applyAlignment="1" applyProtection="1">
      <alignment horizontal="center" vertical="center"/>
    </xf>
    <xf numFmtId="166" fontId="7" fillId="6" borderId="1" xfId="1" applyNumberFormat="1" applyFont="1" applyFill="1" applyBorder="1" applyAlignment="1" applyProtection="1">
      <alignment horizontal="center" vertical="center" wrapText="1"/>
    </xf>
    <xf numFmtId="0" fontId="7" fillId="6" borderId="1" xfId="1" applyNumberFormat="1" applyFont="1" applyFill="1" applyBorder="1" applyAlignment="1" applyProtection="1">
      <alignment horizontal="center" vertical="center"/>
    </xf>
    <xf numFmtId="165" fontId="7" fillId="6" borderId="1" xfId="1" applyNumberFormat="1" applyFont="1" applyFill="1" applyBorder="1" applyAlignment="1" applyProtection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3" fontId="7" fillId="4" borderId="1" xfId="1" applyNumberFormat="1" applyFont="1" applyFill="1" applyBorder="1" applyAlignment="1" applyProtection="1">
      <alignment horizontal="center" vertical="center" wrapText="1"/>
    </xf>
    <xf numFmtId="165" fontId="7" fillId="4" borderId="1" xfId="1" applyNumberFormat="1" applyFont="1" applyFill="1" applyBorder="1" applyAlignment="1" applyProtection="1">
      <alignment horizontal="center" vertical="center"/>
    </xf>
    <xf numFmtId="0" fontId="7" fillId="4" borderId="1" xfId="1" applyNumberFormat="1" applyFont="1" applyFill="1" applyBorder="1" applyAlignment="1" applyProtection="1">
      <alignment horizontal="center" vertical="center"/>
    </xf>
    <xf numFmtId="165" fontId="7" fillId="4" borderId="1" xfId="1" applyNumberFormat="1" applyFont="1" applyFill="1" applyBorder="1" applyAlignment="1" applyProtection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1" fontId="11" fillId="0" borderId="1" xfId="0" quotePrefix="1" applyNumberFormat="1" applyFont="1" applyBorder="1" applyAlignment="1">
      <alignment horizontal="center" vertical="center"/>
    </xf>
    <xf numFmtId="165" fontId="13" fillId="4" borderId="1" xfId="1" applyNumberFormat="1" applyFont="1" applyFill="1" applyBorder="1" applyAlignment="1" applyProtection="1">
      <alignment horizontal="center" vertical="center" wrapText="1"/>
    </xf>
    <xf numFmtId="3" fontId="12" fillId="0" borderId="2" xfId="0" applyNumberFormat="1" applyFont="1" applyBorder="1" applyAlignment="1">
      <alignment horizontal="center" vertical="center" wrapText="1"/>
    </xf>
    <xf numFmtId="3" fontId="12" fillId="0" borderId="3" xfId="0" applyNumberFormat="1" applyFont="1" applyBorder="1" applyAlignment="1">
      <alignment horizontal="center" vertical="center" wrapText="1"/>
    </xf>
    <xf numFmtId="0" fontId="7" fillId="2" borderId="4" xfId="1" applyNumberFormat="1" applyFont="1" applyFill="1" applyBorder="1" applyAlignment="1" applyProtection="1">
      <alignment horizontal="center" vertical="center" wrapText="1"/>
    </xf>
  </cellXfs>
  <cellStyles count="7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dimension ref="A1:L47"/>
  <sheetViews>
    <sheetView tabSelected="1" zoomScaleNormal="100" workbookViewId="0">
      <pane ySplit="1" topLeftCell="A12" activePane="bottomLeft" state="frozen"/>
      <selection pane="bottomLeft" activeCell="E20" sqref="E20"/>
    </sheetView>
  </sheetViews>
  <sheetFormatPr defaultRowHeight="21" customHeight="1" x14ac:dyDescent="0.25"/>
  <cols>
    <col min="1" max="1" width="36.42578125" customWidth="1"/>
    <col min="4" max="4" width="9.28515625" bestFit="1" customWidth="1"/>
    <col min="5" max="5" width="72.42578125" customWidth="1"/>
    <col min="6" max="7" width="10" bestFit="1" customWidth="1"/>
    <col min="8" max="8" width="15.7109375" bestFit="1" customWidth="1"/>
    <col min="9" max="9" width="9.28515625" bestFit="1" customWidth="1"/>
    <col min="12" max="12" width="47" customWidth="1"/>
  </cols>
  <sheetData>
    <row r="1" spans="1:12" ht="39.75" customHeight="1" x14ac:dyDescent="0.25">
      <c r="A1" s="1" t="s">
        <v>2</v>
      </c>
      <c r="B1" s="1" t="s">
        <v>0</v>
      </c>
      <c r="C1" s="1" t="s">
        <v>19</v>
      </c>
      <c r="D1" s="2" t="s">
        <v>1</v>
      </c>
      <c r="E1" s="1" t="s">
        <v>14</v>
      </c>
      <c r="F1" s="1" t="s">
        <v>3</v>
      </c>
      <c r="G1" s="1" t="s">
        <v>3</v>
      </c>
      <c r="H1" s="3" t="s">
        <v>6</v>
      </c>
      <c r="I1" s="4" t="s">
        <v>15</v>
      </c>
      <c r="J1" s="4" t="s">
        <v>4</v>
      </c>
      <c r="K1" s="4" t="s">
        <v>5</v>
      </c>
      <c r="L1" s="25" t="s">
        <v>72</v>
      </c>
    </row>
    <row r="2" spans="1:12" ht="39.75" customHeight="1" x14ac:dyDescent="0.25">
      <c r="A2" s="5" t="str">
        <f>E2</f>
        <v>ВРУ Карго (Нормальный режим)</v>
      </c>
      <c r="B2" s="6"/>
      <c r="C2" s="5"/>
      <c r="D2" s="7"/>
      <c r="E2" s="6" t="s">
        <v>69</v>
      </c>
      <c r="F2" s="8"/>
      <c r="G2" s="8"/>
      <c r="H2" s="9" t="e">
        <f>I2*H17</f>
        <v>#VALUE!</v>
      </c>
      <c r="I2" s="10">
        <v>1</v>
      </c>
      <c r="J2" s="11" t="s">
        <v>7</v>
      </c>
      <c r="K2" s="6" t="s">
        <v>9</v>
      </c>
    </row>
    <row r="3" spans="1:12" ht="21" customHeight="1" x14ac:dyDescent="0.25">
      <c r="A3" s="12" t="str">
        <f>A2</f>
        <v>ВРУ Карго (Нормальный режим)</v>
      </c>
      <c r="B3" s="13" t="s">
        <v>8</v>
      </c>
      <c r="C3" s="12"/>
      <c r="D3" s="14"/>
      <c r="E3" s="12"/>
      <c r="F3" s="13"/>
      <c r="G3" s="15">
        <f>F3</f>
        <v>0</v>
      </c>
      <c r="H3" s="15">
        <f>I3*G3</f>
        <v>0</v>
      </c>
      <c r="I3" s="16">
        <v>1</v>
      </c>
      <c r="J3" s="17" t="s">
        <v>13</v>
      </c>
      <c r="K3" s="13" t="s">
        <v>16</v>
      </c>
    </row>
    <row r="4" spans="1:12" ht="21" customHeight="1" x14ac:dyDescent="0.25">
      <c r="A4" s="12" t="str">
        <f t="shared" ref="A4:A17" si="0">A3</f>
        <v>ВРУ Карго (Нормальный режим)</v>
      </c>
      <c r="B4" s="13" t="s">
        <v>21</v>
      </c>
      <c r="C4" s="12"/>
      <c r="D4" s="14"/>
      <c r="E4" s="12" t="s">
        <v>84</v>
      </c>
      <c r="F4" s="13"/>
      <c r="G4" s="15">
        <f>F4*0.55</f>
        <v>0</v>
      </c>
      <c r="H4" s="15">
        <f t="shared" ref="H4:H16" si="1">G4*I4</f>
        <v>0</v>
      </c>
      <c r="I4" s="16">
        <v>6</v>
      </c>
      <c r="J4" s="17" t="s">
        <v>13</v>
      </c>
      <c r="K4" s="13" t="s">
        <v>20</v>
      </c>
    </row>
    <row r="5" spans="1:12" ht="37.5" customHeight="1" x14ac:dyDescent="0.25">
      <c r="A5" s="12" t="str">
        <f t="shared" si="0"/>
        <v>ВРУ Карго (Нормальный режим)</v>
      </c>
      <c r="B5" s="13" t="s">
        <v>73</v>
      </c>
      <c r="C5" s="12"/>
      <c r="D5" s="14" t="s">
        <v>33</v>
      </c>
      <c r="E5" s="12" t="s">
        <v>74</v>
      </c>
      <c r="F5" s="13">
        <v>17175</v>
      </c>
      <c r="G5" s="15">
        <f t="shared" ref="G5:G35" si="2">F5*0.55</f>
        <v>9446.25</v>
      </c>
      <c r="H5" s="15">
        <f t="shared" ref="H5:H11" si="3">G5*I5</f>
        <v>18892.5</v>
      </c>
      <c r="I5" s="16">
        <v>2</v>
      </c>
      <c r="J5" s="17" t="s">
        <v>13</v>
      </c>
      <c r="K5" s="13" t="s">
        <v>20</v>
      </c>
    </row>
    <row r="6" spans="1:12" ht="37.5" customHeight="1" x14ac:dyDescent="0.25">
      <c r="A6" s="12" t="str">
        <f t="shared" si="0"/>
        <v>ВРУ Карго (Нормальный режим)</v>
      </c>
      <c r="B6" s="13" t="s">
        <v>82</v>
      </c>
      <c r="C6" s="12"/>
      <c r="D6" s="14" t="s">
        <v>33</v>
      </c>
      <c r="E6" s="12" t="s">
        <v>75</v>
      </c>
      <c r="F6" s="13">
        <v>17175</v>
      </c>
      <c r="G6" s="15">
        <f t="shared" ref="G6" si="4">F6*0.55</f>
        <v>9446.25</v>
      </c>
      <c r="H6" s="15">
        <f t="shared" si="3"/>
        <v>18892.5</v>
      </c>
      <c r="I6" s="16">
        <v>2</v>
      </c>
      <c r="J6" s="17" t="s">
        <v>13</v>
      </c>
      <c r="K6" s="13" t="s">
        <v>20</v>
      </c>
    </row>
    <row r="7" spans="1:12" ht="37.5" customHeight="1" x14ac:dyDescent="0.25">
      <c r="A7" s="12" t="str">
        <f t="shared" si="0"/>
        <v>ВРУ Карго (Нормальный режим)</v>
      </c>
      <c r="B7" s="13" t="s">
        <v>83</v>
      </c>
      <c r="C7" s="12"/>
      <c r="D7" s="14" t="s">
        <v>33</v>
      </c>
      <c r="E7" s="12" t="s">
        <v>75</v>
      </c>
      <c r="F7" s="13">
        <v>17175</v>
      </c>
      <c r="G7" s="15">
        <f t="shared" ref="G7" si="5">F7*0.55</f>
        <v>9446.25</v>
      </c>
      <c r="H7" s="15">
        <f t="shared" ref="H7" si="6">G7*I7</f>
        <v>18892.5</v>
      </c>
      <c r="I7" s="16">
        <v>2</v>
      </c>
      <c r="J7" s="17" t="s">
        <v>13</v>
      </c>
      <c r="K7" s="13" t="s">
        <v>20</v>
      </c>
    </row>
    <row r="8" spans="1:12" ht="28.5" customHeight="1" x14ac:dyDescent="0.25">
      <c r="A8" s="12" t="str">
        <f>A5</f>
        <v>ВРУ Карго (Нормальный режим)</v>
      </c>
      <c r="B8" s="13" t="s">
        <v>34</v>
      </c>
      <c r="C8" s="12"/>
      <c r="D8" s="14" t="s">
        <v>37</v>
      </c>
      <c r="E8" s="12" t="s">
        <v>76</v>
      </c>
      <c r="F8" s="13"/>
      <c r="G8" s="15">
        <f t="shared" si="2"/>
        <v>0</v>
      </c>
      <c r="H8" s="15">
        <f t="shared" si="3"/>
        <v>0</v>
      </c>
      <c r="I8" s="16">
        <v>2</v>
      </c>
      <c r="J8" s="17" t="s">
        <v>13</v>
      </c>
      <c r="K8" s="13" t="s">
        <v>68</v>
      </c>
    </row>
    <row r="9" spans="1:12" ht="28.5" customHeight="1" x14ac:dyDescent="0.25">
      <c r="A9" s="12" t="str">
        <f t="shared" si="0"/>
        <v>ВРУ Карго (Нормальный режим)</v>
      </c>
      <c r="B9" s="13" t="s">
        <v>77</v>
      </c>
      <c r="C9" s="12"/>
      <c r="D9" s="14" t="s">
        <v>35</v>
      </c>
      <c r="E9" s="12" t="s">
        <v>36</v>
      </c>
      <c r="F9" s="13"/>
      <c r="G9" s="15">
        <f t="shared" ref="G9" si="7">F9*0.55</f>
        <v>0</v>
      </c>
      <c r="H9" s="15">
        <f t="shared" si="3"/>
        <v>0</v>
      </c>
      <c r="I9" s="16">
        <v>2</v>
      </c>
      <c r="J9" s="17" t="s">
        <v>13</v>
      </c>
      <c r="K9" s="13" t="s">
        <v>68</v>
      </c>
    </row>
    <row r="10" spans="1:12" ht="28.5" customHeight="1" x14ac:dyDescent="0.25">
      <c r="A10" s="12" t="str">
        <f t="shared" si="0"/>
        <v>ВРУ Карго (Нормальный режим)</v>
      </c>
      <c r="B10" s="13" t="s">
        <v>77</v>
      </c>
      <c r="C10" s="12"/>
      <c r="D10" s="14" t="s">
        <v>39</v>
      </c>
      <c r="E10" s="12" t="s">
        <v>38</v>
      </c>
      <c r="F10" s="13"/>
      <c r="G10" s="15">
        <f t="shared" ref="G10" si="8">F10*0.55</f>
        <v>0</v>
      </c>
      <c r="H10" s="15">
        <f t="shared" si="3"/>
        <v>0</v>
      </c>
      <c r="I10" s="16">
        <v>2</v>
      </c>
      <c r="J10" s="17" t="s">
        <v>13</v>
      </c>
      <c r="K10" s="13" t="s">
        <v>68</v>
      </c>
    </row>
    <row r="11" spans="1:12" ht="35.25" customHeight="1" x14ac:dyDescent="0.25">
      <c r="A11" s="12" t="str">
        <f t="shared" si="0"/>
        <v>ВРУ Карго (Нормальный режим)</v>
      </c>
      <c r="B11" s="13" t="s">
        <v>12</v>
      </c>
      <c r="C11" s="12"/>
      <c r="D11" s="14" t="s">
        <v>29</v>
      </c>
      <c r="E11" s="12" t="s">
        <v>27</v>
      </c>
      <c r="F11" s="13" t="s">
        <v>28</v>
      </c>
      <c r="G11" s="15" t="e">
        <f t="shared" si="2"/>
        <v>#VALUE!</v>
      </c>
      <c r="H11" s="15" t="e">
        <f t="shared" si="3"/>
        <v>#VALUE!</v>
      </c>
      <c r="I11" s="16">
        <v>2</v>
      </c>
      <c r="J11" s="17" t="s">
        <v>13</v>
      </c>
      <c r="K11" s="13" t="s">
        <v>68</v>
      </c>
    </row>
    <row r="12" spans="1:12" ht="33.75" customHeight="1" x14ac:dyDescent="0.25">
      <c r="A12" s="12" t="str">
        <f t="shared" si="0"/>
        <v>ВРУ Карго (Нормальный режим)</v>
      </c>
      <c r="B12" s="13" t="s">
        <v>24</v>
      </c>
      <c r="C12" s="12"/>
      <c r="D12" s="14" t="s">
        <v>40</v>
      </c>
      <c r="E12" s="12" t="s">
        <v>42</v>
      </c>
      <c r="F12" s="13" t="s">
        <v>41</v>
      </c>
      <c r="G12" s="15" t="e">
        <f t="shared" si="2"/>
        <v>#VALUE!</v>
      </c>
      <c r="H12" s="15" t="e">
        <f t="shared" ref="H12" si="9">G12*I12</f>
        <v>#VALUE!</v>
      </c>
      <c r="I12" s="16">
        <v>2</v>
      </c>
      <c r="J12" s="17" t="s">
        <v>13</v>
      </c>
      <c r="K12" s="13" t="s">
        <v>68</v>
      </c>
    </row>
    <row r="13" spans="1:12" ht="33.75" customHeight="1" x14ac:dyDescent="0.25">
      <c r="A13" s="12" t="str">
        <f t="shared" si="0"/>
        <v>ВРУ Карго (Нормальный режим)</v>
      </c>
      <c r="B13" s="13" t="s">
        <v>70</v>
      </c>
      <c r="C13" s="12"/>
      <c r="D13" s="14" t="s">
        <v>32</v>
      </c>
      <c r="E13" s="12" t="s">
        <v>30</v>
      </c>
      <c r="F13" s="13" t="s">
        <v>31</v>
      </c>
      <c r="G13" s="15" t="e">
        <f t="shared" ref="G13" si="10">F13*0.55</f>
        <v>#VALUE!</v>
      </c>
      <c r="H13" s="15" t="e">
        <f t="shared" ref="H13" si="11">G13*I13</f>
        <v>#VALUE!</v>
      </c>
      <c r="I13" s="16">
        <v>1</v>
      </c>
      <c r="J13" s="17" t="s">
        <v>13</v>
      </c>
      <c r="K13" s="13" t="s">
        <v>68</v>
      </c>
      <c r="L13" t="s">
        <v>71</v>
      </c>
    </row>
    <row r="14" spans="1:12" ht="33.75" customHeight="1" x14ac:dyDescent="0.25">
      <c r="A14" s="12" t="str">
        <f t="shared" si="0"/>
        <v>ВРУ Карго (Нормальный режим)</v>
      </c>
      <c r="B14" s="13" t="s">
        <v>17</v>
      </c>
      <c r="C14" s="12"/>
      <c r="D14" s="14"/>
      <c r="E14" s="12" t="s">
        <v>26</v>
      </c>
      <c r="F14" s="13"/>
      <c r="G14" s="15">
        <f t="shared" si="2"/>
        <v>0</v>
      </c>
      <c r="H14" s="15">
        <f t="shared" ref="H14" si="12">G14*I14</f>
        <v>0</v>
      </c>
      <c r="I14" s="16">
        <v>1</v>
      </c>
      <c r="J14" s="17" t="s">
        <v>13</v>
      </c>
      <c r="K14" s="13" t="s">
        <v>17</v>
      </c>
    </row>
    <row r="15" spans="1:12" ht="24" customHeight="1" x14ac:dyDescent="0.25">
      <c r="A15" s="12" t="str">
        <f t="shared" si="0"/>
        <v>ВРУ Карго (Нормальный режим)</v>
      </c>
      <c r="B15" s="12" t="s">
        <v>10</v>
      </c>
      <c r="C15" s="12"/>
      <c r="D15" s="18" t="s">
        <v>10</v>
      </c>
      <c r="E15" s="12" t="s">
        <v>10</v>
      </c>
      <c r="F15" s="12"/>
      <c r="G15" s="15">
        <f t="shared" si="2"/>
        <v>0</v>
      </c>
      <c r="H15" s="15">
        <f t="shared" si="1"/>
        <v>0</v>
      </c>
      <c r="I15" s="12"/>
      <c r="J15" s="12" t="s">
        <v>13</v>
      </c>
      <c r="K15" s="12" t="s">
        <v>10</v>
      </c>
    </row>
    <row r="16" spans="1:12" ht="21" customHeight="1" x14ac:dyDescent="0.25">
      <c r="A16" s="12" t="str">
        <f t="shared" si="0"/>
        <v>ВРУ Карго (Нормальный режим)</v>
      </c>
      <c r="B16" s="12" t="s">
        <v>11</v>
      </c>
      <c r="C16" s="12"/>
      <c r="D16" s="18" t="s">
        <v>11</v>
      </c>
      <c r="E16" s="12" t="s">
        <v>11</v>
      </c>
      <c r="F16" s="12">
        <f>I16/60</f>
        <v>0</v>
      </c>
      <c r="G16" s="15">
        <f t="shared" si="2"/>
        <v>0</v>
      </c>
      <c r="H16" s="15">
        <f t="shared" si="1"/>
        <v>0</v>
      </c>
      <c r="I16" s="12"/>
      <c r="J16" s="12" t="s">
        <v>13</v>
      </c>
      <c r="K16" s="12" t="s">
        <v>11</v>
      </c>
    </row>
    <row r="17" spans="1:11" ht="30" customHeight="1" x14ac:dyDescent="0.25">
      <c r="A17" s="12" t="str">
        <f t="shared" si="0"/>
        <v>ВРУ Карго (Нормальный режим)</v>
      </c>
      <c r="B17" s="19"/>
      <c r="C17" s="20"/>
      <c r="D17" s="20"/>
      <c r="E17" s="21"/>
      <c r="F17" s="23"/>
      <c r="G17" s="15">
        <f t="shared" si="2"/>
        <v>0</v>
      </c>
      <c r="H17" s="24" t="e">
        <f>SUM(H3:H16)</f>
        <v>#VALUE!</v>
      </c>
      <c r="I17" s="20"/>
      <c r="J17" s="22"/>
      <c r="K17" s="20"/>
    </row>
    <row r="18" spans="1:11" ht="39.75" customHeight="1" x14ac:dyDescent="0.25">
      <c r="A18" s="5" t="str">
        <f>E18</f>
        <v>ВРУ (Распределительная часть)</v>
      </c>
      <c r="B18" s="6"/>
      <c r="C18" s="5"/>
      <c r="D18" s="7"/>
      <c r="E18" s="6" t="s">
        <v>43</v>
      </c>
      <c r="F18" s="8"/>
      <c r="G18" s="8"/>
      <c r="H18" s="9" t="e">
        <f>I18*H27</f>
        <v>#VALUE!</v>
      </c>
      <c r="I18" s="10">
        <v>1</v>
      </c>
      <c r="J18" s="11" t="s">
        <v>7</v>
      </c>
      <c r="K18" s="6" t="s">
        <v>9</v>
      </c>
    </row>
    <row r="19" spans="1:11" ht="21" customHeight="1" x14ac:dyDescent="0.25">
      <c r="A19" s="12" t="str">
        <f>A18</f>
        <v>ВРУ (Распределительная часть)</v>
      </c>
      <c r="B19" s="13" t="s">
        <v>8</v>
      </c>
      <c r="C19" s="12"/>
      <c r="D19" s="14"/>
      <c r="E19" s="12" t="s">
        <v>22</v>
      </c>
      <c r="F19" s="13"/>
      <c r="G19" s="15">
        <f t="shared" si="2"/>
        <v>0</v>
      </c>
      <c r="H19" s="15">
        <f>I19*G19</f>
        <v>0</v>
      </c>
      <c r="I19" s="16">
        <v>1</v>
      </c>
      <c r="J19" s="17" t="s">
        <v>13</v>
      </c>
      <c r="K19" s="13" t="s">
        <v>16</v>
      </c>
    </row>
    <row r="20" spans="1:11" ht="34.5" customHeight="1" x14ac:dyDescent="0.25">
      <c r="A20" s="12" t="str">
        <f t="shared" ref="A20:A27" si="13">A19</f>
        <v>ВРУ (Распределительная часть)</v>
      </c>
      <c r="B20" s="13" t="s">
        <v>73</v>
      </c>
      <c r="C20" s="12"/>
      <c r="D20" s="14" t="s">
        <v>46</v>
      </c>
      <c r="E20" s="12" t="s">
        <v>45</v>
      </c>
      <c r="F20" s="13" t="s">
        <v>44</v>
      </c>
      <c r="G20" s="15" t="e">
        <f t="shared" si="2"/>
        <v>#VALUE!</v>
      </c>
      <c r="H20" s="15" t="e">
        <f>G20*I20</f>
        <v>#VALUE!</v>
      </c>
      <c r="I20" s="16">
        <v>1</v>
      </c>
      <c r="J20" s="17" t="s">
        <v>13</v>
      </c>
      <c r="K20" s="13" t="s">
        <v>68</v>
      </c>
    </row>
    <row r="21" spans="1:11" ht="32.25" customHeight="1" x14ac:dyDescent="0.25">
      <c r="A21" s="12" t="str">
        <f t="shared" si="13"/>
        <v>ВРУ (Распределительная часть)</v>
      </c>
      <c r="B21" s="13" t="s">
        <v>23</v>
      </c>
      <c r="C21" s="12"/>
      <c r="D21" s="14" t="s">
        <v>48</v>
      </c>
      <c r="E21" s="12" t="s">
        <v>47</v>
      </c>
      <c r="F21" s="13" t="s">
        <v>49</v>
      </c>
      <c r="G21" s="15" t="e">
        <f t="shared" si="2"/>
        <v>#VALUE!</v>
      </c>
      <c r="H21" s="15" t="e">
        <f t="shared" ref="H21" si="14">G21*I21</f>
        <v>#VALUE!</v>
      </c>
      <c r="I21" s="16">
        <v>1</v>
      </c>
      <c r="J21" s="17" t="s">
        <v>13</v>
      </c>
      <c r="K21" s="13" t="s">
        <v>68</v>
      </c>
    </row>
    <row r="22" spans="1:11" ht="21" customHeight="1" x14ac:dyDescent="0.25">
      <c r="A22" s="12" t="str">
        <f t="shared" si="13"/>
        <v>ВРУ (Распределительная часть)</v>
      </c>
      <c r="B22" s="13" t="s">
        <v>23</v>
      </c>
      <c r="C22" s="12"/>
      <c r="D22" s="14" t="s">
        <v>51</v>
      </c>
      <c r="E22" s="12" t="s">
        <v>50</v>
      </c>
      <c r="F22" s="13" t="s">
        <v>52</v>
      </c>
      <c r="G22" s="15" t="e">
        <f t="shared" si="2"/>
        <v>#VALUE!</v>
      </c>
      <c r="H22" s="15" t="e">
        <f>G22*I22</f>
        <v>#VALUE!</v>
      </c>
      <c r="I22" s="16">
        <v>1</v>
      </c>
      <c r="J22" s="17" t="s">
        <v>13</v>
      </c>
      <c r="K22" s="13" t="s">
        <v>68</v>
      </c>
    </row>
    <row r="23" spans="1:11" ht="35.25" customHeight="1" x14ac:dyDescent="0.25">
      <c r="A23" s="12" t="str">
        <f>A20</f>
        <v>ВРУ (Распределительная часть)</v>
      </c>
      <c r="B23" s="13" t="s">
        <v>12</v>
      </c>
      <c r="C23" s="12"/>
      <c r="D23" s="14" t="s">
        <v>29</v>
      </c>
      <c r="E23" s="12" t="s">
        <v>27</v>
      </c>
      <c r="F23" s="13" t="s">
        <v>28</v>
      </c>
      <c r="G23" s="15" t="e">
        <f t="shared" ref="G23" si="15">F23*0.55</f>
        <v>#VALUE!</v>
      </c>
      <c r="H23" s="15" t="e">
        <f>G23*I23</f>
        <v>#VALUE!</v>
      </c>
      <c r="I23" s="16">
        <v>1</v>
      </c>
      <c r="J23" s="17" t="s">
        <v>13</v>
      </c>
      <c r="K23" s="13" t="s">
        <v>68</v>
      </c>
    </row>
    <row r="24" spans="1:11" ht="35.25" customHeight="1" x14ac:dyDescent="0.25">
      <c r="A24" s="12" t="str">
        <f>A21</f>
        <v>ВРУ (Распределительная часть)</v>
      </c>
      <c r="B24" s="13" t="s">
        <v>12</v>
      </c>
      <c r="C24" s="12"/>
      <c r="D24" s="14" t="s">
        <v>54</v>
      </c>
      <c r="E24" s="12" t="s">
        <v>53</v>
      </c>
      <c r="F24" s="13" t="s">
        <v>55</v>
      </c>
      <c r="G24" s="15" t="e">
        <f t="shared" ref="G24" si="16">F24*0.55</f>
        <v>#VALUE!</v>
      </c>
      <c r="H24" s="15" t="e">
        <f>G24*I24</f>
        <v>#VALUE!</v>
      </c>
      <c r="I24" s="16">
        <v>2</v>
      </c>
      <c r="J24" s="17" t="s">
        <v>13</v>
      </c>
      <c r="K24" s="13" t="s">
        <v>68</v>
      </c>
    </row>
    <row r="25" spans="1:11" ht="24" customHeight="1" x14ac:dyDescent="0.25">
      <c r="A25" s="12" t="str">
        <f>A22</f>
        <v>ВРУ (Распределительная часть)</v>
      </c>
      <c r="B25" s="12" t="s">
        <v>10</v>
      </c>
      <c r="C25" s="12"/>
      <c r="D25" s="18" t="s">
        <v>10</v>
      </c>
      <c r="E25" s="12" t="s">
        <v>10</v>
      </c>
      <c r="F25" s="12"/>
      <c r="G25" s="15">
        <f t="shared" si="2"/>
        <v>0</v>
      </c>
      <c r="H25" s="15">
        <f t="shared" ref="H25:H26" si="17">G25*I25</f>
        <v>0</v>
      </c>
      <c r="I25" s="12"/>
      <c r="J25" s="12" t="s">
        <v>13</v>
      </c>
      <c r="K25" s="12" t="s">
        <v>10</v>
      </c>
    </row>
    <row r="26" spans="1:11" ht="21" customHeight="1" x14ac:dyDescent="0.25">
      <c r="A26" s="12" t="str">
        <f t="shared" si="13"/>
        <v>ВРУ (Распределительная часть)</v>
      </c>
      <c r="B26" s="12" t="s">
        <v>11</v>
      </c>
      <c r="C26" s="12"/>
      <c r="D26" s="18" t="s">
        <v>11</v>
      </c>
      <c r="E26" s="12" t="s">
        <v>11</v>
      </c>
      <c r="F26" s="12">
        <f>I26/60</f>
        <v>0</v>
      </c>
      <c r="G26" s="15">
        <f t="shared" si="2"/>
        <v>0</v>
      </c>
      <c r="H26" s="15">
        <f t="shared" si="17"/>
        <v>0</v>
      </c>
      <c r="I26" s="12"/>
      <c r="J26" s="12" t="s">
        <v>13</v>
      </c>
      <c r="K26" s="12" t="s">
        <v>11</v>
      </c>
    </row>
    <row r="27" spans="1:11" ht="30" customHeight="1" x14ac:dyDescent="0.25">
      <c r="A27" s="12" t="str">
        <f t="shared" si="13"/>
        <v>ВРУ (Распределительная часть)</v>
      </c>
      <c r="B27" s="19"/>
      <c r="C27" s="20"/>
      <c r="D27" s="20"/>
      <c r="E27" s="21"/>
      <c r="F27" s="23"/>
      <c r="G27" s="15">
        <f t="shared" si="2"/>
        <v>0</v>
      </c>
      <c r="H27" s="24" t="e">
        <f>SUM(H19:H26)</f>
        <v>#VALUE!</v>
      </c>
      <c r="I27" s="20"/>
      <c r="J27" s="22"/>
      <c r="K27" s="20"/>
    </row>
    <row r="28" spans="1:11" ht="39.75" customHeight="1" x14ac:dyDescent="0.25">
      <c r="A28" s="5" t="str">
        <f>E28</f>
        <v>ЩР</v>
      </c>
      <c r="B28" s="6"/>
      <c r="C28" s="5"/>
      <c r="D28" s="7"/>
      <c r="E28" s="6" t="s">
        <v>25</v>
      </c>
      <c r="F28" s="8"/>
      <c r="G28" s="8"/>
      <c r="H28" s="9" t="e">
        <f>I28*#REF!</f>
        <v>#REF!</v>
      </c>
      <c r="I28" s="10">
        <v>1</v>
      </c>
      <c r="J28" s="11" t="s">
        <v>7</v>
      </c>
      <c r="K28" s="6" t="s">
        <v>9</v>
      </c>
    </row>
    <row r="29" spans="1:11" ht="21" customHeight="1" x14ac:dyDescent="0.25">
      <c r="A29" s="12" t="str">
        <f>A28</f>
        <v>ЩР</v>
      </c>
      <c r="B29" s="13" t="s">
        <v>8</v>
      </c>
      <c r="C29" s="12"/>
      <c r="D29" s="14"/>
      <c r="E29" s="12" t="s">
        <v>79</v>
      </c>
      <c r="F29" s="13"/>
      <c r="G29" s="15">
        <f t="shared" ref="G29:G31" si="18">F29*0.55</f>
        <v>0</v>
      </c>
      <c r="H29" s="15">
        <f>I29*G29</f>
        <v>0</v>
      </c>
      <c r="I29" s="16">
        <v>1</v>
      </c>
      <c r="J29" s="17" t="s">
        <v>13</v>
      </c>
      <c r="K29" s="13" t="s">
        <v>16</v>
      </c>
    </row>
    <row r="30" spans="1:11" ht="34.5" customHeight="1" x14ac:dyDescent="0.25">
      <c r="A30" s="12" t="str">
        <f t="shared" ref="A30:A35" si="19">A29</f>
        <v>ЩР</v>
      </c>
      <c r="B30" s="13" t="s">
        <v>18</v>
      </c>
      <c r="C30" s="12"/>
      <c r="D30" s="14" t="s">
        <v>57</v>
      </c>
      <c r="E30" s="12" t="s">
        <v>56</v>
      </c>
      <c r="F30" s="13" t="s">
        <v>58</v>
      </c>
      <c r="G30" s="15" t="e">
        <f t="shared" si="18"/>
        <v>#VALUE!</v>
      </c>
      <c r="H30" s="15" t="e">
        <f>G30*I30</f>
        <v>#VALUE!</v>
      </c>
      <c r="I30" s="16">
        <v>30</v>
      </c>
      <c r="J30" s="17" t="s">
        <v>13</v>
      </c>
      <c r="K30" s="13" t="s">
        <v>68</v>
      </c>
    </row>
    <row r="31" spans="1:11" ht="32.25" customHeight="1" x14ac:dyDescent="0.25">
      <c r="A31" s="12" t="str">
        <f t="shared" si="19"/>
        <v>ЩР</v>
      </c>
      <c r="B31" s="13" t="s">
        <v>18</v>
      </c>
      <c r="C31" s="12"/>
      <c r="D31" s="14" t="s">
        <v>60</v>
      </c>
      <c r="E31" s="12" t="s">
        <v>59</v>
      </c>
      <c r="F31" s="13" t="s">
        <v>58</v>
      </c>
      <c r="G31" s="15" t="e">
        <f t="shared" si="18"/>
        <v>#VALUE!</v>
      </c>
      <c r="H31" s="15" t="e">
        <f t="shared" ref="H31" si="20">G31*I31</f>
        <v>#VALUE!</v>
      </c>
      <c r="I31" s="16">
        <v>1</v>
      </c>
      <c r="J31" s="17" t="s">
        <v>13</v>
      </c>
      <c r="K31" s="13" t="s">
        <v>68</v>
      </c>
    </row>
    <row r="32" spans="1:11" ht="32.25" customHeight="1" x14ac:dyDescent="0.25">
      <c r="A32" s="12" t="str">
        <f t="shared" si="19"/>
        <v>ЩР</v>
      </c>
      <c r="B32" s="13" t="s">
        <v>18</v>
      </c>
      <c r="C32" s="12"/>
      <c r="D32" s="14" t="s">
        <v>62</v>
      </c>
      <c r="E32" s="12" t="s">
        <v>67</v>
      </c>
      <c r="F32" s="13" t="s">
        <v>63</v>
      </c>
      <c r="G32" s="15" t="e">
        <f t="shared" ref="G32" si="21">F32*0.55</f>
        <v>#VALUE!</v>
      </c>
      <c r="H32" s="15" t="e">
        <f t="shared" ref="H32" si="22">G32*I32</f>
        <v>#VALUE!</v>
      </c>
      <c r="I32" s="16">
        <v>1</v>
      </c>
      <c r="J32" s="17" t="s">
        <v>13</v>
      </c>
      <c r="K32" s="13" t="s">
        <v>68</v>
      </c>
    </row>
    <row r="33" spans="1:11" ht="24" customHeight="1" x14ac:dyDescent="0.25">
      <c r="A33" s="12" t="str">
        <f t="shared" si="19"/>
        <v>ЩР</v>
      </c>
      <c r="B33" s="12" t="s">
        <v>10</v>
      </c>
      <c r="C33" s="12"/>
      <c r="D33" s="18" t="s">
        <v>10</v>
      </c>
      <c r="E33" s="12" t="s">
        <v>10</v>
      </c>
      <c r="F33" s="12"/>
      <c r="G33" s="15">
        <f t="shared" si="2"/>
        <v>0</v>
      </c>
      <c r="H33" s="15">
        <f t="shared" ref="H33:H34" si="23">G33*I33</f>
        <v>0</v>
      </c>
      <c r="I33" s="12"/>
      <c r="J33" s="12" t="s">
        <v>13</v>
      </c>
      <c r="K33" s="12" t="s">
        <v>10</v>
      </c>
    </row>
    <row r="34" spans="1:11" ht="21" customHeight="1" x14ac:dyDescent="0.25">
      <c r="A34" s="12" t="str">
        <f t="shared" si="19"/>
        <v>ЩР</v>
      </c>
      <c r="B34" s="12" t="s">
        <v>11</v>
      </c>
      <c r="C34" s="12"/>
      <c r="D34" s="18" t="s">
        <v>11</v>
      </c>
      <c r="E34" s="12" t="s">
        <v>11</v>
      </c>
      <c r="F34" s="12">
        <f>I34/60</f>
        <v>0</v>
      </c>
      <c r="G34" s="15">
        <f t="shared" si="2"/>
        <v>0</v>
      </c>
      <c r="H34" s="15">
        <f t="shared" si="23"/>
        <v>0</v>
      </c>
      <c r="I34" s="12"/>
      <c r="J34" s="12" t="s">
        <v>13</v>
      </c>
      <c r="K34" s="12" t="s">
        <v>11</v>
      </c>
    </row>
    <row r="35" spans="1:11" ht="30" customHeight="1" x14ac:dyDescent="0.25">
      <c r="A35" s="12" t="str">
        <f t="shared" si="19"/>
        <v>ЩР</v>
      </c>
      <c r="B35" s="19"/>
      <c r="C35" s="20"/>
      <c r="D35" s="20"/>
      <c r="E35" s="21"/>
      <c r="F35" s="23"/>
      <c r="G35" s="15">
        <f t="shared" si="2"/>
        <v>0</v>
      </c>
      <c r="H35" s="24">
        <f>SUM(H33:H34)</f>
        <v>0</v>
      </c>
      <c r="I35" s="20"/>
      <c r="J35" s="22"/>
      <c r="K35" s="20"/>
    </row>
    <row r="36" spans="1:11" ht="39.75" customHeight="1" x14ac:dyDescent="0.25">
      <c r="A36" s="5" t="str">
        <f>E36</f>
        <v>ЩБП</v>
      </c>
      <c r="B36" s="6"/>
      <c r="C36" s="5"/>
      <c r="D36" s="7"/>
      <c r="E36" s="6" t="s">
        <v>64</v>
      </c>
      <c r="F36" s="8"/>
      <c r="G36" s="8"/>
      <c r="H36" s="9" t="e">
        <f>I36*#REF!</f>
        <v>#REF!</v>
      </c>
      <c r="I36" s="10">
        <v>1</v>
      </c>
      <c r="J36" s="11" t="s">
        <v>7</v>
      </c>
      <c r="K36" s="6" t="s">
        <v>9</v>
      </c>
    </row>
    <row r="37" spans="1:11" ht="21" customHeight="1" x14ac:dyDescent="0.25">
      <c r="A37" s="12" t="str">
        <f>A36</f>
        <v>ЩБП</v>
      </c>
      <c r="B37" s="13" t="s">
        <v>8</v>
      </c>
      <c r="C37" s="12"/>
      <c r="D37" s="14"/>
      <c r="E37" s="12" t="s">
        <v>78</v>
      </c>
      <c r="F37" s="13"/>
      <c r="G37" s="15">
        <f t="shared" ref="G37:G41" si="24">F37*0.55</f>
        <v>0</v>
      </c>
      <c r="H37" s="15">
        <f>I37*G37</f>
        <v>0</v>
      </c>
      <c r="I37" s="16">
        <v>1</v>
      </c>
      <c r="J37" s="17" t="s">
        <v>13</v>
      </c>
      <c r="K37" s="13" t="s">
        <v>16</v>
      </c>
    </row>
    <row r="38" spans="1:11" ht="34.5" customHeight="1" x14ac:dyDescent="0.25">
      <c r="A38" s="12" t="str">
        <f t="shared" ref="A38:A41" si="25">A37</f>
        <v>ЩБП</v>
      </c>
      <c r="B38" s="13" t="s">
        <v>18</v>
      </c>
      <c r="C38" s="12"/>
      <c r="D38" s="14" t="s">
        <v>57</v>
      </c>
      <c r="E38" s="12" t="s">
        <v>56</v>
      </c>
      <c r="F38" s="13" t="s">
        <v>58</v>
      </c>
      <c r="G38" s="15" t="e">
        <f t="shared" si="24"/>
        <v>#VALUE!</v>
      </c>
      <c r="H38" s="15" t="e">
        <f>G38*I38</f>
        <v>#VALUE!</v>
      </c>
      <c r="I38" s="16">
        <v>22</v>
      </c>
      <c r="J38" s="17" t="s">
        <v>13</v>
      </c>
      <c r="K38" s="13" t="s">
        <v>68</v>
      </c>
    </row>
    <row r="39" spans="1:11" ht="24" customHeight="1" x14ac:dyDescent="0.25">
      <c r="A39" s="12" t="str">
        <f t="shared" si="25"/>
        <v>ЩБП</v>
      </c>
      <c r="B39" s="12" t="s">
        <v>10</v>
      </c>
      <c r="C39" s="12"/>
      <c r="D39" s="18" t="s">
        <v>10</v>
      </c>
      <c r="E39" s="12" t="s">
        <v>10</v>
      </c>
      <c r="F39" s="12"/>
      <c r="G39" s="15">
        <f t="shared" si="24"/>
        <v>0</v>
      </c>
      <c r="H39" s="15">
        <f t="shared" ref="H39:H40" si="26">G39*I39</f>
        <v>0</v>
      </c>
      <c r="I39" s="12"/>
      <c r="J39" s="12" t="s">
        <v>13</v>
      </c>
      <c r="K39" s="12" t="s">
        <v>10</v>
      </c>
    </row>
    <row r="40" spans="1:11" ht="21" customHeight="1" x14ac:dyDescent="0.25">
      <c r="A40" s="12" t="str">
        <f t="shared" si="25"/>
        <v>ЩБП</v>
      </c>
      <c r="B40" s="12" t="s">
        <v>11</v>
      </c>
      <c r="C40" s="12"/>
      <c r="D40" s="18" t="s">
        <v>11</v>
      </c>
      <c r="E40" s="12" t="s">
        <v>11</v>
      </c>
      <c r="F40" s="12">
        <f>I40/60</f>
        <v>0</v>
      </c>
      <c r="G40" s="15">
        <f t="shared" si="24"/>
        <v>0</v>
      </c>
      <c r="H40" s="15">
        <f t="shared" si="26"/>
        <v>0</v>
      </c>
      <c r="I40" s="12"/>
      <c r="J40" s="12" t="s">
        <v>13</v>
      </c>
      <c r="K40" s="12" t="s">
        <v>11</v>
      </c>
    </row>
    <row r="41" spans="1:11" ht="30" customHeight="1" x14ac:dyDescent="0.25">
      <c r="A41" s="12" t="str">
        <f t="shared" si="25"/>
        <v>ЩБП</v>
      </c>
      <c r="B41" s="19"/>
      <c r="C41" s="20"/>
      <c r="D41" s="20"/>
      <c r="E41" s="21"/>
      <c r="F41" s="23"/>
      <c r="G41" s="15">
        <f t="shared" si="24"/>
        <v>0</v>
      </c>
      <c r="H41" s="24">
        <f>SUM(H39:H40)</f>
        <v>0</v>
      </c>
      <c r="I41" s="20"/>
      <c r="J41" s="22"/>
      <c r="K41" s="20"/>
    </row>
    <row r="42" spans="1:11" ht="39.75" customHeight="1" x14ac:dyDescent="0.25">
      <c r="A42" s="5" t="str">
        <f>E42</f>
        <v>ЩО</v>
      </c>
      <c r="B42" s="6"/>
      <c r="C42" s="5"/>
      <c r="D42" s="7"/>
      <c r="E42" s="6" t="s">
        <v>61</v>
      </c>
      <c r="F42" s="8"/>
      <c r="G42" s="8"/>
      <c r="H42" s="9" t="e">
        <f>I42*#REF!</f>
        <v>#REF!</v>
      </c>
      <c r="I42" s="10">
        <v>1</v>
      </c>
      <c r="J42" s="11" t="s">
        <v>7</v>
      </c>
      <c r="K42" s="6" t="s">
        <v>9</v>
      </c>
    </row>
    <row r="43" spans="1:11" ht="21" customHeight="1" x14ac:dyDescent="0.25">
      <c r="A43" s="12" t="str">
        <f>A42</f>
        <v>ЩО</v>
      </c>
      <c r="B43" s="13" t="s">
        <v>8</v>
      </c>
      <c r="C43" s="12"/>
      <c r="D43" s="14"/>
      <c r="E43" s="12" t="s">
        <v>81</v>
      </c>
      <c r="F43" s="13"/>
      <c r="G43" s="15">
        <f t="shared" ref="G43:G47" si="27">F43*0.55</f>
        <v>0</v>
      </c>
      <c r="H43" s="15">
        <f>I43*G43</f>
        <v>0</v>
      </c>
      <c r="I43" s="16">
        <v>1</v>
      </c>
      <c r="J43" s="17" t="s">
        <v>13</v>
      </c>
      <c r="K43" s="13" t="s">
        <v>16</v>
      </c>
    </row>
    <row r="44" spans="1:11" ht="41.25" customHeight="1" x14ac:dyDescent="0.25">
      <c r="A44" s="12" t="str">
        <f t="shared" ref="A44:A47" si="28">A43</f>
        <v>ЩО</v>
      </c>
      <c r="B44" s="13" t="s">
        <v>12</v>
      </c>
      <c r="C44" s="12"/>
      <c r="D44" s="14" t="s">
        <v>65</v>
      </c>
      <c r="E44" s="12" t="s">
        <v>80</v>
      </c>
      <c r="F44" s="13" t="s">
        <v>66</v>
      </c>
      <c r="G44" s="15" t="e">
        <f t="shared" si="27"/>
        <v>#VALUE!</v>
      </c>
      <c r="H44" s="15" t="e">
        <f>G44*I44</f>
        <v>#VALUE!</v>
      </c>
      <c r="I44" s="16">
        <v>14</v>
      </c>
      <c r="J44" s="17" t="s">
        <v>13</v>
      </c>
      <c r="K44" s="13" t="s">
        <v>68</v>
      </c>
    </row>
    <row r="45" spans="1:11" ht="24" customHeight="1" x14ac:dyDescent="0.25">
      <c r="A45" s="12" t="str">
        <f t="shared" si="28"/>
        <v>ЩО</v>
      </c>
      <c r="B45" s="12" t="s">
        <v>10</v>
      </c>
      <c r="C45" s="12"/>
      <c r="D45" s="18" t="s">
        <v>10</v>
      </c>
      <c r="E45" s="12" t="s">
        <v>10</v>
      </c>
      <c r="F45" s="12"/>
      <c r="G45" s="15">
        <f t="shared" si="27"/>
        <v>0</v>
      </c>
      <c r="H45" s="15">
        <f t="shared" ref="H45:H46" si="29">G45*I45</f>
        <v>0</v>
      </c>
      <c r="I45" s="12"/>
      <c r="J45" s="12" t="s">
        <v>13</v>
      </c>
      <c r="K45" s="12" t="s">
        <v>10</v>
      </c>
    </row>
    <row r="46" spans="1:11" ht="21" customHeight="1" x14ac:dyDescent="0.25">
      <c r="A46" s="12" t="str">
        <f t="shared" si="28"/>
        <v>ЩО</v>
      </c>
      <c r="B46" s="12" t="s">
        <v>11</v>
      </c>
      <c r="C46" s="12"/>
      <c r="D46" s="18" t="s">
        <v>11</v>
      </c>
      <c r="E46" s="12" t="s">
        <v>11</v>
      </c>
      <c r="F46" s="12">
        <f>I46/60</f>
        <v>0</v>
      </c>
      <c r="G46" s="15">
        <f t="shared" si="27"/>
        <v>0</v>
      </c>
      <c r="H46" s="15">
        <f t="shared" si="29"/>
        <v>0</v>
      </c>
      <c r="I46" s="12"/>
      <c r="J46" s="12" t="s">
        <v>13</v>
      </c>
      <c r="K46" s="12" t="s">
        <v>11</v>
      </c>
    </row>
    <row r="47" spans="1:11" ht="30" customHeight="1" x14ac:dyDescent="0.25">
      <c r="A47" s="12" t="str">
        <f t="shared" si="28"/>
        <v>ЩО</v>
      </c>
      <c r="B47" s="19"/>
      <c r="C47" s="20"/>
      <c r="D47" s="20"/>
      <c r="E47" s="21"/>
      <c r="F47" s="23"/>
      <c r="G47" s="15">
        <f t="shared" si="27"/>
        <v>0</v>
      </c>
      <c r="H47" s="24">
        <f>SUM(H45:H46)</f>
        <v>0</v>
      </c>
      <c r="I47" s="20"/>
      <c r="J47" s="22"/>
      <c r="K47" s="20"/>
    </row>
  </sheetData>
  <autoFilter ref="A1:K47" xr:uid="{0E2C231C-0991-4FBE-BD8E-9CD4D9BF51D9}"/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2026-06-02T12:48:59Z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