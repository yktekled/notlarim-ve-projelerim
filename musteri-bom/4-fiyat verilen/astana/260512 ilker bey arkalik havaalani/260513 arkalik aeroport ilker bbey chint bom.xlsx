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512 ilker bey arkalik havaalani\"/>
    </mc:Choice>
  </mc:AlternateContent>
  <xr:revisionPtr revIDLastSave="0" documentId="13_ncr:1_{2EA3FCEC-25B1-4902-9AE2-C9CC194568C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yat calismasi burda" sheetId="2" r:id="rId1"/>
    <sheet name="fiyat" sheetId="5" r:id="rId2"/>
    <sheet name="Sayfa3" sheetId="4" r:id="rId3"/>
    <sheet name="tum panolar" sheetId="3" r:id="rId4"/>
  </sheets>
  <definedNames>
    <definedName name="_xlnm._FilterDatabase" localSheetId="1" hidden="1">fiyat!$A$1:$I$18</definedName>
    <definedName name="_xlnm._FilterDatabase" localSheetId="0" hidden="1">'fiyat calismasi burda'!$A$1:$K$190</definedName>
    <definedName name="sayac">'fiyat calismasi burda'!#REF!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5" l="1"/>
  <c r="C3" i="5" s="1"/>
  <c r="D3" i="5" s="1"/>
  <c r="J4" i="5"/>
  <c r="C4" i="5" s="1"/>
  <c r="D4" i="5" s="1"/>
  <c r="J5" i="5"/>
  <c r="C5" i="5" s="1"/>
  <c r="D5" i="5" s="1"/>
  <c r="J6" i="5"/>
  <c r="C6" i="5" s="1"/>
  <c r="D6" i="5" s="1"/>
  <c r="J7" i="5"/>
  <c r="C7" i="5" s="1"/>
  <c r="D7" i="5" s="1"/>
  <c r="J8" i="5"/>
  <c r="C8" i="5" s="1"/>
  <c r="D8" i="5" s="1"/>
  <c r="J9" i="5"/>
  <c r="C9" i="5" s="1"/>
  <c r="D9" i="5" s="1"/>
  <c r="J10" i="5"/>
  <c r="C10" i="5" s="1"/>
  <c r="D10" i="5" s="1"/>
  <c r="J11" i="5"/>
  <c r="C11" i="5" s="1"/>
  <c r="D11" i="5" s="1"/>
  <c r="J12" i="5"/>
  <c r="C12" i="5" s="1"/>
  <c r="D12" i="5" s="1"/>
  <c r="J13" i="5"/>
  <c r="C13" i="5" s="1"/>
  <c r="D13" i="5" s="1"/>
  <c r="J14" i="5"/>
  <c r="C14" i="5" s="1"/>
  <c r="D14" i="5" s="1"/>
  <c r="J15" i="5"/>
  <c r="C15" i="5" s="1"/>
  <c r="D15" i="5" s="1"/>
  <c r="J16" i="5"/>
  <c r="C16" i="5" s="1"/>
  <c r="D16" i="5" s="1"/>
  <c r="J17" i="5"/>
  <c r="C17" i="5" s="1"/>
  <c r="D17" i="5" s="1"/>
  <c r="J18" i="5"/>
  <c r="C18" i="5" s="1"/>
  <c r="D18" i="5" s="1"/>
  <c r="J2" i="5"/>
  <c r="C2" i="5" s="1"/>
  <c r="D2" i="5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2" i="2"/>
  <c r="G139" i="2"/>
  <c r="H139" i="2" s="1"/>
  <c r="G91" i="2"/>
  <c r="H91" i="2" s="1"/>
  <c r="G90" i="2"/>
  <c r="H90" i="2" s="1"/>
  <c r="G89" i="2"/>
  <c r="H89" i="2" s="1"/>
  <c r="G55" i="2"/>
  <c r="H55" i="2" s="1"/>
  <c r="G40" i="2"/>
  <c r="H40" i="2" s="1"/>
  <c r="G39" i="2"/>
  <c r="H39" i="2" s="1"/>
  <c r="G38" i="2"/>
  <c r="H38" i="2" s="1"/>
  <c r="G187" i="2"/>
  <c r="H187" i="2" s="1"/>
  <c r="G186" i="2"/>
  <c r="H186" i="2" s="1"/>
  <c r="G185" i="2"/>
  <c r="H185" i="2" s="1"/>
  <c r="G179" i="2"/>
  <c r="H179" i="2" s="1"/>
  <c r="G178" i="2"/>
  <c r="H178" i="2" s="1"/>
  <c r="G177" i="2"/>
  <c r="H177" i="2" s="1"/>
  <c r="G171" i="2"/>
  <c r="H171" i="2" s="1"/>
  <c r="G170" i="2"/>
  <c r="H170" i="2" s="1"/>
  <c r="G169" i="2"/>
  <c r="H169" i="2" s="1"/>
  <c r="G163" i="2"/>
  <c r="H163" i="2" s="1"/>
  <c r="G162" i="2"/>
  <c r="H162" i="2" s="1"/>
  <c r="G161" i="2"/>
  <c r="H161" i="2" s="1"/>
  <c r="G155" i="2"/>
  <c r="H155" i="2" s="1"/>
  <c r="G154" i="2"/>
  <c r="H154" i="2" s="1"/>
  <c r="G148" i="2"/>
  <c r="H148" i="2" s="1"/>
  <c r="G147" i="2"/>
  <c r="H147" i="2" s="1"/>
  <c r="G146" i="2"/>
  <c r="H146" i="2" s="1"/>
  <c r="G145" i="2"/>
  <c r="H145" i="2" s="1"/>
  <c r="G138" i="2"/>
  <c r="H138" i="2" s="1"/>
  <c r="G137" i="2"/>
  <c r="H137" i="2" s="1"/>
  <c r="G136" i="2"/>
  <c r="H136" i="2" s="1"/>
  <c r="G134" i="2"/>
  <c r="H134" i="2" s="1"/>
  <c r="G133" i="2"/>
  <c r="H133" i="2" s="1"/>
  <c r="G132" i="2"/>
  <c r="H132" i="2" s="1"/>
  <c r="G131" i="2"/>
  <c r="H131" i="2" s="1"/>
  <c r="G125" i="2"/>
  <c r="H125" i="2" s="1"/>
  <c r="G124" i="2"/>
  <c r="H124" i="2" s="1"/>
  <c r="G123" i="2"/>
  <c r="H123" i="2" s="1"/>
  <c r="G122" i="2"/>
  <c r="H122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0" i="2"/>
  <c r="H100" i="2" s="1"/>
  <c r="G99" i="2"/>
  <c r="H99" i="2" s="1"/>
  <c r="G98" i="2"/>
  <c r="H98" i="2" s="1"/>
  <c r="G97" i="2"/>
  <c r="H97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58" i="2"/>
  <c r="H58" i="2" s="1"/>
  <c r="G57" i="2"/>
  <c r="H57" i="2" s="1"/>
  <c r="G56" i="2"/>
  <c r="H56" i="2" s="1"/>
  <c r="G49" i="2"/>
  <c r="H49" i="2" s="1"/>
  <c r="G48" i="2"/>
  <c r="H48" i="2" s="1"/>
  <c r="G47" i="2"/>
  <c r="H47" i="2" s="1"/>
  <c r="G46" i="2"/>
  <c r="H46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7" i="2"/>
  <c r="H7" i="2" s="1"/>
  <c r="G6" i="2"/>
  <c r="H6" i="2" s="1"/>
  <c r="B3" i="2"/>
  <c r="B4" i="2" s="1"/>
  <c r="B5" i="2" s="1"/>
  <c r="B6" i="2" s="1"/>
  <c r="B7" i="2" s="1"/>
  <c r="B8" i="2" s="1"/>
  <c r="B9" i="2" s="1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8" i="2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5" i="2"/>
  <c r="B46" i="2" s="1"/>
  <c r="B47" i="2" s="1"/>
  <c r="B48" i="2" s="1"/>
  <c r="B49" i="2" s="1"/>
  <c r="B50" i="2" s="1"/>
  <c r="B51" i="2" s="1"/>
  <c r="B54" i="2"/>
  <c r="B55" i="2" s="1"/>
  <c r="B56" i="2" s="1"/>
  <c r="B57" i="2" s="1"/>
  <c r="B58" i="2" s="1"/>
  <c r="B59" i="2" s="1"/>
  <c r="B60" i="2" s="1"/>
  <c r="B63" i="2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9" i="2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6" i="2"/>
  <c r="B97" i="2" s="1"/>
  <c r="B98" i="2" s="1"/>
  <c r="B99" i="2" s="1"/>
  <c r="B100" i="2" s="1"/>
  <c r="B101" i="2" s="1"/>
  <c r="B102" i="2" s="1"/>
  <c r="B105" i="2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21" i="2"/>
  <c r="B122" i="2" s="1"/>
  <c r="B123" i="2" s="1"/>
  <c r="B124" i="2" s="1"/>
  <c r="B125" i="2" s="1"/>
  <c r="B126" i="2" s="1"/>
  <c r="B127" i="2" s="1"/>
  <c r="B130" i="2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4" i="2"/>
  <c r="B145" i="2" s="1"/>
  <c r="B146" i="2" s="1"/>
  <c r="B147" i="2" s="1"/>
  <c r="B148" i="2" s="1"/>
  <c r="B149" i="2" s="1"/>
  <c r="B150" i="2" s="1"/>
  <c r="B153" i="2"/>
  <c r="B154" i="2" s="1"/>
  <c r="B155" i="2" s="1"/>
  <c r="B156" i="2" s="1"/>
  <c r="B157" i="2" s="1"/>
  <c r="B160" i="2"/>
  <c r="B161" i="2" s="1"/>
  <c r="B162" i="2" s="1"/>
  <c r="B163" i="2" s="1"/>
  <c r="B164" i="2" s="1"/>
  <c r="B165" i="2" s="1"/>
  <c r="B168" i="2"/>
  <c r="B169" i="2" s="1"/>
  <c r="B170" i="2" s="1"/>
  <c r="B171" i="2" s="1"/>
  <c r="B172" i="2" s="1"/>
  <c r="B173" i="2" s="1"/>
  <c r="B176" i="2"/>
  <c r="B177" i="2" s="1"/>
  <c r="B178" i="2" s="1"/>
  <c r="B179" i="2" s="1"/>
  <c r="B180" i="2" s="1"/>
  <c r="B181" i="2" s="1"/>
  <c r="B184" i="2"/>
  <c r="B185" i="2" s="1"/>
  <c r="B186" i="2" s="1"/>
  <c r="B187" i="2" s="1"/>
  <c r="B188" i="2" s="1"/>
  <c r="B189" i="2" s="1"/>
  <c r="I189" i="2"/>
  <c r="H189" i="2" s="1"/>
  <c r="I181" i="2"/>
  <c r="H181" i="2" s="1"/>
  <c r="I173" i="2"/>
  <c r="H173" i="2" s="1"/>
  <c r="I165" i="2"/>
  <c r="H165" i="2" s="1"/>
  <c r="I157" i="2"/>
  <c r="H157" i="2" s="1"/>
  <c r="I150" i="2"/>
  <c r="H150" i="2" s="1"/>
  <c r="I141" i="2"/>
  <c r="H141" i="2" s="1"/>
  <c r="I127" i="2"/>
  <c r="H127" i="2" s="1"/>
  <c r="I118" i="2"/>
  <c r="H118" i="2" s="1"/>
  <c r="I102" i="2"/>
  <c r="H102" i="2" s="1"/>
  <c r="I93" i="2"/>
  <c r="H93" i="2" s="1"/>
  <c r="I76" i="2"/>
  <c r="H76" i="2" s="1"/>
  <c r="I60" i="2"/>
  <c r="H60" i="2" s="1"/>
  <c r="I51" i="2"/>
  <c r="H51" i="2" s="1"/>
  <c r="I42" i="2"/>
  <c r="H42" i="2" s="1"/>
  <c r="I25" i="2"/>
  <c r="H25" i="2" s="1"/>
  <c r="G184" i="2"/>
  <c r="H184" i="2" s="1"/>
  <c r="G176" i="2"/>
  <c r="H176" i="2" s="1"/>
  <c r="G168" i="2"/>
  <c r="H168" i="2" s="1"/>
  <c r="G160" i="2"/>
  <c r="H160" i="2" s="1"/>
  <c r="G153" i="2"/>
  <c r="H153" i="2" s="1"/>
  <c r="G144" i="2"/>
  <c r="H144" i="2" s="1"/>
  <c r="G130" i="2"/>
  <c r="H130" i="2" s="1"/>
  <c r="G121" i="2"/>
  <c r="H121" i="2" s="1"/>
  <c r="G105" i="2"/>
  <c r="H105" i="2" s="1"/>
  <c r="G96" i="2"/>
  <c r="H96" i="2" s="1"/>
  <c r="G79" i="2"/>
  <c r="H79" i="2" s="1"/>
  <c r="G63" i="2"/>
  <c r="H63" i="2" s="1"/>
  <c r="G54" i="2"/>
  <c r="H54" i="2" s="1"/>
  <c r="G45" i="2"/>
  <c r="H45" i="2" s="1"/>
  <c r="G28" i="2"/>
  <c r="H28" i="2" s="1"/>
  <c r="G12" i="2"/>
  <c r="H12" i="2" s="1"/>
  <c r="G3" i="2"/>
  <c r="G135" i="2"/>
  <c r="H135" i="2" s="1"/>
  <c r="F140" i="2" l="1"/>
  <c r="G140" i="2" s="1"/>
  <c r="H140" i="2" s="1"/>
  <c r="H142" i="2" s="1"/>
  <c r="F41" i="2"/>
  <c r="G41" i="2" s="1"/>
  <c r="H41" i="2" s="1"/>
  <c r="H43" i="2" s="1"/>
  <c r="F92" i="2"/>
  <c r="G92" i="2" s="1"/>
  <c r="H92" i="2" s="1"/>
  <c r="H94" i="2" s="1"/>
  <c r="F149" i="2"/>
  <c r="G149" i="2" s="1"/>
  <c r="H149" i="2" s="1"/>
  <c r="H151" i="2" s="1"/>
  <c r="F117" i="2" l="1"/>
  <c r="F75" i="2"/>
  <c r="F59" i="2"/>
  <c r="F24" i="2"/>
  <c r="G59" i="2" l="1"/>
  <c r="H59" i="2" s="1"/>
  <c r="H61" i="2" s="1"/>
  <c r="G75" i="2"/>
  <c r="H75" i="2" s="1"/>
  <c r="H77" i="2" s="1"/>
  <c r="G24" i="2"/>
  <c r="H24" i="2" s="1"/>
  <c r="H26" i="2" s="1"/>
  <c r="G117" i="2"/>
  <c r="H117" i="2" s="1"/>
  <c r="H119" i="2" s="1"/>
  <c r="G4" i="2"/>
  <c r="H4" i="2" s="1"/>
  <c r="F101" i="2"/>
  <c r="G101" i="2" s="1"/>
  <c r="H101" i="2" s="1"/>
  <c r="H103" i="2" s="1"/>
  <c r="F156" i="2"/>
  <c r="G156" i="2" s="1"/>
  <c r="H156" i="2" s="1"/>
  <c r="H158" i="2" s="1"/>
  <c r="F120" i="3"/>
  <c r="G120" i="3" s="1"/>
  <c r="H120" i="3" s="1"/>
  <c r="G119" i="3"/>
  <c r="H119" i="3" s="1"/>
  <c r="G118" i="3"/>
  <c r="H118" i="3" s="1"/>
  <c r="A118" i="3"/>
  <c r="A119" i="3" s="1"/>
  <c r="A120" i="3" s="1"/>
  <c r="A121" i="3" s="1"/>
  <c r="A117" i="3"/>
  <c r="G115" i="3"/>
  <c r="H115" i="3" s="1"/>
  <c r="H107" i="3" s="1"/>
  <c r="F115" i="3"/>
  <c r="G114" i="3"/>
  <c r="H114" i="3" s="1"/>
  <c r="H106" i="3" s="1"/>
  <c r="H113" i="3"/>
  <c r="G113" i="3"/>
  <c r="G112" i="3"/>
  <c r="H112" i="3" s="1"/>
  <c r="H111" i="3"/>
  <c r="G111" i="3"/>
  <c r="G110" i="3"/>
  <c r="H110" i="3" s="1"/>
  <c r="H109" i="3"/>
  <c r="G109" i="3"/>
  <c r="A108" i="3"/>
  <c r="A109" i="3" s="1"/>
  <c r="A110" i="3" s="1"/>
  <c r="A111" i="3" s="1"/>
  <c r="A112" i="3" s="1"/>
  <c r="A107" i="3"/>
  <c r="A106" i="3"/>
  <c r="G104" i="3"/>
  <c r="H104" i="3" s="1"/>
  <c r="F104" i="3"/>
  <c r="G103" i="3"/>
  <c r="H103" i="3" s="1"/>
  <c r="H102" i="3"/>
  <c r="G102" i="3"/>
  <c r="G101" i="3"/>
  <c r="H101" i="3" s="1"/>
  <c r="H100" i="3"/>
  <c r="G100" i="3"/>
  <c r="G99" i="3"/>
  <c r="H99" i="3" s="1"/>
  <c r="A99" i="3"/>
  <c r="A100" i="3" s="1"/>
  <c r="A101" i="3" s="1"/>
  <c r="A102" i="3" s="1"/>
  <c r="A103" i="3" s="1"/>
  <c r="A104" i="3" s="1"/>
  <c r="A105" i="3" s="1"/>
  <c r="A98" i="3"/>
  <c r="F96" i="3"/>
  <c r="G96" i="3" s="1"/>
  <c r="H96" i="3" s="1"/>
  <c r="H95" i="3"/>
  <c r="G95" i="3"/>
  <c r="G94" i="3"/>
  <c r="H94" i="3" s="1"/>
  <c r="G93" i="3"/>
  <c r="H93" i="3" s="1"/>
  <c r="G92" i="3"/>
  <c r="H92" i="3" s="1"/>
  <c r="H97" i="3" s="1"/>
  <c r="H90" i="3" s="1"/>
  <c r="H91" i="3"/>
  <c r="G91" i="3"/>
  <c r="A90" i="3"/>
  <c r="A91" i="3" s="1"/>
  <c r="A92" i="3" s="1"/>
  <c r="A93" i="3" s="1"/>
  <c r="A94" i="3" s="1"/>
  <c r="A95" i="3" s="1"/>
  <c r="A96" i="3" s="1"/>
  <c r="A97" i="3" s="1"/>
  <c r="F88" i="3"/>
  <c r="G88" i="3" s="1"/>
  <c r="H88" i="3" s="1"/>
  <c r="G87" i="3"/>
  <c r="H87" i="3" s="1"/>
  <c r="G86" i="3"/>
  <c r="H86" i="3" s="1"/>
  <c r="G85" i="3"/>
  <c r="H85" i="3" s="1"/>
  <c r="G84" i="3"/>
  <c r="H84" i="3" s="1"/>
  <c r="G83" i="3"/>
  <c r="H83" i="3" s="1"/>
  <c r="H89" i="3" s="1"/>
  <c r="H82" i="3" s="1"/>
  <c r="A82" i="3"/>
  <c r="A83" i="3" s="1"/>
  <c r="A84" i="3" s="1"/>
  <c r="A85" i="3" s="1"/>
  <c r="A86" i="3" s="1"/>
  <c r="A87" i="3" s="1"/>
  <c r="A88" i="3" s="1"/>
  <c r="A89" i="3" s="1"/>
  <c r="F80" i="3"/>
  <c r="G80" i="3" s="1"/>
  <c r="H80" i="3" s="1"/>
  <c r="H79" i="3"/>
  <c r="G79" i="3"/>
  <c r="G78" i="3"/>
  <c r="H78" i="3" s="1"/>
  <c r="H77" i="3"/>
  <c r="G77" i="3"/>
  <c r="G76" i="3"/>
  <c r="H76" i="3" s="1"/>
  <c r="H75" i="3"/>
  <c r="G75" i="3"/>
  <c r="A74" i="3"/>
  <c r="A75" i="3" s="1"/>
  <c r="A76" i="3" s="1"/>
  <c r="A77" i="3" s="1"/>
  <c r="A78" i="3" s="1"/>
  <c r="A79" i="3" s="1"/>
  <c r="A80" i="3" s="1"/>
  <c r="A81" i="3" s="1"/>
  <c r="F72" i="3"/>
  <c r="G72" i="3" s="1"/>
  <c r="H72" i="3" s="1"/>
  <c r="G71" i="3"/>
  <c r="H71" i="3" s="1"/>
  <c r="H70" i="3"/>
  <c r="G70" i="3"/>
  <c r="G69" i="3"/>
  <c r="H69" i="3" s="1"/>
  <c r="G68" i="3"/>
  <c r="H68" i="3" s="1"/>
  <c r="G67" i="3"/>
  <c r="H67" i="3" s="1"/>
  <c r="A66" i="3"/>
  <c r="A67" i="3" s="1"/>
  <c r="A68" i="3" s="1"/>
  <c r="A69" i="3" s="1"/>
  <c r="A70" i="3" s="1"/>
  <c r="A71" i="3" s="1"/>
  <c r="A72" i="3" s="1"/>
  <c r="A73" i="3" s="1"/>
  <c r="G65" i="3"/>
  <c r="F64" i="3"/>
  <c r="G64" i="3" s="1"/>
  <c r="H64" i="3" s="1"/>
  <c r="G63" i="3"/>
  <c r="H63" i="3" s="1"/>
  <c r="H62" i="3"/>
  <c r="G62" i="3"/>
  <c r="G61" i="3"/>
  <c r="H61" i="3" s="1"/>
  <c r="G60" i="3"/>
  <c r="H60" i="3" s="1"/>
  <c r="A60" i="3"/>
  <c r="A61" i="3" s="1"/>
  <c r="A62" i="3" s="1"/>
  <c r="A63" i="3" s="1"/>
  <c r="A64" i="3" s="1"/>
  <c r="A65" i="3" s="1"/>
  <c r="G59" i="3"/>
  <c r="H59" i="3" s="1"/>
  <c r="H58" i="3"/>
  <c r="G58" i="3"/>
  <c r="A57" i="3"/>
  <c r="A58" i="3" s="1"/>
  <c r="A59" i="3" s="1"/>
  <c r="G56" i="3"/>
  <c r="F55" i="3"/>
  <c r="G55" i="3" s="1"/>
  <c r="H55" i="3" s="1"/>
  <c r="H54" i="3"/>
  <c r="G54" i="3"/>
  <c r="G53" i="3"/>
  <c r="H53" i="3" s="1"/>
  <c r="G52" i="3"/>
  <c r="H52" i="3" s="1"/>
  <c r="G51" i="3"/>
  <c r="H51" i="3" s="1"/>
  <c r="H50" i="3"/>
  <c r="G50" i="3"/>
  <c r="G49" i="3"/>
  <c r="H49" i="3" s="1"/>
  <c r="A48" i="3"/>
  <c r="A49" i="3" s="1"/>
  <c r="A50" i="3" s="1"/>
  <c r="A51" i="3" s="1"/>
  <c r="A52" i="3" s="1"/>
  <c r="A53" i="3" s="1"/>
  <c r="A54" i="3" s="1"/>
  <c r="A55" i="3" s="1"/>
  <c r="A56" i="3" s="1"/>
  <c r="G47" i="3"/>
  <c r="G46" i="3"/>
  <c r="H46" i="3" s="1"/>
  <c r="F46" i="3"/>
  <c r="G45" i="3"/>
  <c r="H45" i="3" s="1"/>
  <c r="G44" i="3"/>
  <c r="H44" i="3" s="1"/>
  <c r="G43" i="3"/>
  <c r="H43" i="3" s="1"/>
  <c r="H42" i="3"/>
  <c r="G42" i="3"/>
  <c r="G41" i="3"/>
  <c r="H41" i="3" s="1"/>
  <c r="G40" i="3"/>
  <c r="H40" i="3" s="1"/>
  <c r="A39" i="3"/>
  <c r="A40" i="3" s="1"/>
  <c r="A41" i="3" s="1"/>
  <c r="G38" i="3"/>
  <c r="F37" i="3"/>
  <c r="G37" i="3" s="1"/>
  <c r="H37" i="3" s="1"/>
  <c r="G36" i="3"/>
  <c r="H36" i="3" s="1"/>
  <c r="G35" i="3"/>
  <c r="H35" i="3" s="1"/>
  <c r="H34" i="3"/>
  <c r="G34" i="3"/>
  <c r="G33" i="3"/>
  <c r="H33" i="3" s="1"/>
  <c r="H38" i="3" s="1"/>
  <c r="H32" i="3" s="1"/>
  <c r="A32" i="3"/>
  <c r="A33" i="3" s="1"/>
  <c r="A34" i="3" s="1"/>
  <c r="A35" i="3" s="1"/>
  <c r="A36" i="3" s="1"/>
  <c r="A37" i="3" s="1"/>
  <c r="A38" i="3" s="1"/>
  <c r="G31" i="3"/>
  <c r="G30" i="3"/>
  <c r="H30" i="3" s="1"/>
  <c r="F30" i="3"/>
  <c r="G29" i="3"/>
  <c r="H29" i="3" s="1"/>
  <c r="G28" i="3"/>
  <c r="H28" i="3" s="1"/>
  <c r="G27" i="3"/>
  <c r="H27" i="3" s="1"/>
  <c r="H26" i="3"/>
  <c r="G26" i="3"/>
  <c r="G25" i="3"/>
  <c r="H25" i="3" s="1"/>
  <c r="A24" i="3"/>
  <c r="A25" i="3" s="1"/>
  <c r="A26" i="3" s="1"/>
  <c r="A27" i="3" s="1"/>
  <c r="A28" i="3" s="1"/>
  <c r="A29" i="3" s="1"/>
  <c r="A30" i="3" s="1"/>
  <c r="A31" i="3" s="1"/>
  <c r="G23" i="3"/>
  <c r="G22" i="3"/>
  <c r="H22" i="3" s="1"/>
  <c r="F22" i="3"/>
  <c r="G21" i="3"/>
  <c r="H21" i="3" s="1"/>
  <c r="G20" i="3"/>
  <c r="H20" i="3" s="1"/>
  <c r="G19" i="3"/>
  <c r="H19" i="3" s="1"/>
  <c r="H18" i="3"/>
  <c r="G18" i="3"/>
  <c r="G17" i="3"/>
  <c r="H17" i="3" s="1"/>
  <c r="A16" i="3"/>
  <c r="A17" i="3" s="1"/>
  <c r="A18" i="3" s="1"/>
  <c r="A19" i="3" s="1"/>
  <c r="A20" i="3" s="1"/>
  <c r="A21" i="3" s="1"/>
  <c r="A22" i="3" s="1"/>
  <c r="A23" i="3" s="1"/>
  <c r="G15" i="3"/>
  <c r="I14" i="3"/>
  <c r="H14" i="3"/>
  <c r="F13" i="3"/>
  <c r="G13" i="3" s="1"/>
  <c r="H13" i="3" s="1"/>
  <c r="G12" i="3"/>
  <c r="H12" i="3" s="1"/>
  <c r="G11" i="3"/>
  <c r="H11" i="3" s="1"/>
  <c r="H10" i="3"/>
  <c r="G10" i="3"/>
  <c r="G9" i="3"/>
  <c r="H9" i="3" s="1"/>
  <c r="G8" i="3"/>
  <c r="H8" i="3" s="1"/>
  <c r="G7" i="3"/>
  <c r="H7" i="3" s="1"/>
  <c r="H6" i="3"/>
  <c r="G6" i="3"/>
  <c r="G5" i="3"/>
  <c r="H5" i="3" s="1"/>
  <c r="G4" i="3"/>
  <c r="H4" i="3" s="1"/>
  <c r="A4" i="3"/>
  <c r="A6" i="3" s="1"/>
  <c r="G3" i="3"/>
  <c r="H3" i="3" s="1"/>
  <c r="A2" i="3"/>
  <c r="A3" i="3" s="1"/>
  <c r="A5" i="3" s="1"/>
  <c r="A7" i="3" s="1"/>
  <c r="A8" i="3" s="1"/>
  <c r="A9" i="3" s="1"/>
  <c r="A10" i="3" s="1"/>
  <c r="A11" i="3" s="1"/>
  <c r="A12" i="3" l="1"/>
  <c r="A13" i="3"/>
  <c r="A14" i="3" s="1"/>
  <c r="A15" i="3" s="1"/>
  <c r="H15" i="3"/>
  <c r="H2" i="3" s="1"/>
  <c r="H105" i="3"/>
  <c r="H98" i="3" s="1"/>
  <c r="H81" i="3"/>
  <c r="H74" i="3" s="1"/>
  <c r="H73" i="3"/>
  <c r="H66" i="3" s="1"/>
  <c r="H116" i="3"/>
  <c r="H108" i="3" s="1"/>
  <c r="H121" i="3"/>
  <c r="H117" i="3" s="1"/>
  <c r="H31" i="3"/>
  <c r="H24" i="3" s="1"/>
  <c r="A113" i="3"/>
  <c r="A114" i="3"/>
  <c r="A115" i="3" s="1"/>
  <c r="A116" i="3" s="1"/>
  <c r="H23" i="3"/>
  <c r="H16" i="3" s="1"/>
  <c r="A43" i="3"/>
  <c r="A42" i="3"/>
  <c r="H56" i="3"/>
  <c r="H48" i="3" s="1"/>
  <c r="H47" i="3"/>
  <c r="H39" i="3" s="1"/>
  <c r="H65" i="3"/>
  <c r="H57" i="3" s="1"/>
  <c r="G5" i="2"/>
  <c r="H5" i="2" s="1"/>
  <c r="H3" i="2"/>
  <c r="A45" i="3" l="1"/>
  <c r="A46" i="3" s="1"/>
  <c r="A47" i="3" s="1"/>
  <c r="A44" i="3"/>
  <c r="F188" i="2" l="1"/>
  <c r="F180" i="2"/>
  <c r="F172" i="2"/>
  <c r="G180" i="2" l="1"/>
  <c r="H180" i="2" s="1"/>
  <c r="H182" i="2" s="1"/>
  <c r="G172" i="2"/>
  <c r="H172" i="2" s="1"/>
  <c r="H174" i="2" s="1"/>
  <c r="G188" i="2"/>
  <c r="H188" i="2" s="1"/>
  <c r="H190" i="2" s="1"/>
  <c r="F164" i="2" l="1"/>
  <c r="G164" i="2" l="1"/>
  <c r="H164" i="2" s="1"/>
  <c r="H166" i="2" s="1"/>
  <c r="F126" i="2"/>
  <c r="G126" i="2" s="1"/>
  <c r="H126" i="2" s="1"/>
  <c r="H128" i="2" s="1"/>
  <c r="F50" i="2"/>
  <c r="G50" i="2" s="1"/>
  <c r="H50" i="2" s="1"/>
  <c r="H52" i="2" s="1"/>
  <c r="I9" i="2"/>
  <c r="H9" i="2" l="1"/>
  <c r="F8" i="2" s="1"/>
  <c r="G8" i="2" s="1"/>
  <c r="H8" i="2" s="1"/>
  <c r="H10" i="2" l="1"/>
  <c r="H191" i="2" s="1"/>
</calcChain>
</file>

<file path=xl/sharedStrings.xml><?xml version="1.0" encoding="utf-8"?>
<sst xmlns="http://schemas.openxmlformats.org/spreadsheetml/2006/main" count="1625" uniqueCount="283">
  <si>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</si>
  <si>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</si>
  <si>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</si>
  <si>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</si>
  <si>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</si>
  <si>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</si>
  <si>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</si>
  <si>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</si>
  <si>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</si>
  <si>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</si>
  <si>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</si>
  <si>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</si>
  <si>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</si>
  <si>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</si>
  <si>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</si>
  <si>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</si>
  <si>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</si>
  <si>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</si>
  <si>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sinyal lamb</t>
  </si>
  <si>
    <t>sayac</t>
  </si>
  <si>
    <t>perekluchatel</t>
  </si>
  <si>
    <t>296709</t>
  </si>
  <si>
    <t>Авт. выкл. NXB-63S 1P 10А 4.5kA х-ка C (R)</t>
  </si>
  <si>
    <t>296708</t>
  </si>
  <si>
    <t>dif</t>
  </si>
  <si>
    <t>Индикатор ND16-22D/2 зеленый AC/DC230В (R)</t>
  </si>
  <si>
    <t>Переключатель NP2-BD33, 3 положения с фиксацией, 2НО IP40</t>
  </si>
  <si>
    <t>D kodu</t>
  </si>
  <si>
    <t>pys</t>
  </si>
  <si>
    <t>tt</t>
  </si>
  <si>
    <t>Авт. выкл. NXB-63S 1P 6А 4.5kA х-ка C ®</t>
  </si>
  <si>
    <t>rubilnik</t>
  </si>
  <si>
    <t>Авт. выкл. NXB-63 3P 25A 6кА х-ка C (R)</t>
  </si>
  <si>
    <t>814172</t>
  </si>
  <si>
    <t>mcb</t>
  </si>
  <si>
    <t>105543</t>
  </si>
  <si>
    <t>Диф. авт. выкл. NXBLE-63Y 1P+N 20А 30mA электронный тип AС, х-ка С, 4.5kA (R)</t>
  </si>
  <si>
    <t>ШРМ01</t>
  </si>
  <si>
    <t>ШРМ02</t>
  </si>
  <si>
    <t>ШРМ03</t>
  </si>
  <si>
    <t>ШРМ04</t>
  </si>
  <si>
    <t>Трансформатор тока Т-66 200/5А</t>
  </si>
  <si>
    <t>270100160_</t>
  </si>
  <si>
    <t>fu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</si>
  <si>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</si>
  <si>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</si>
  <si>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</si>
  <si>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</si>
  <si>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Трансформатор тока Т-66 250/5А</t>
  </si>
  <si>
    <t>Меркурий 234 ARTMX2X03 PBR L2</t>
  </si>
  <si>
    <t>521189</t>
  </si>
  <si>
    <t>Плавкая вставка предохранителя RT36-1-250, габарит 1, 250А</t>
  </si>
  <si>
    <t>condencator</t>
  </si>
  <si>
    <t>ВРУ(I секция)</t>
  </si>
  <si>
    <t>521257</t>
  </si>
  <si>
    <t>Плавкая вставка предохранителя RT36-00-160, габарит 00, 125А</t>
  </si>
  <si>
    <t>521349</t>
  </si>
  <si>
    <t>Плавкая вставка предохранителя RT36-00-160, габарит 00, 100А</t>
  </si>
  <si>
    <t>521260</t>
  </si>
  <si>
    <t>Держатель плавкой вставки RT36-00-160, габарит 00, 160А</t>
  </si>
  <si>
    <t>ВРУ(II секция)</t>
  </si>
  <si>
    <t>521345</t>
  </si>
  <si>
    <t>Плавкая вставка предохранителя RT36-00-160, габарит 00, 50А</t>
  </si>
  <si>
    <t>521348</t>
  </si>
  <si>
    <t>Плавкая вставка предохранителя RT36-00-160, габарит 00, 80А</t>
  </si>
  <si>
    <t>ВРУ(III секция)</t>
  </si>
  <si>
    <t>521344</t>
  </si>
  <si>
    <t>Плавкая вставка предохранителя RT36-00-160, габарит 00, 40А</t>
  </si>
  <si>
    <t>521338</t>
  </si>
  <si>
    <t>Плавкая вставка предохранителя RT36-00-160, габарит 00, 16А</t>
  </si>
  <si>
    <t>ВРУ(IV секция)</t>
  </si>
  <si>
    <t>ЦРП</t>
  </si>
  <si>
    <t>Устройство автоматического ввода резерва NXZM-63S/3B 40A (R)</t>
  </si>
  <si>
    <t>ats</t>
  </si>
  <si>
    <t>814171</t>
  </si>
  <si>
    <t>Авт. выкл. NXB-63 3P 20A 6кА х-ка C (R)</t>
  </si>
  <si>
    <t>131367</t>
  </si>
  <si>
    <t>contactor</t>
  </si>
  <si>
    <t>rele</t>
  </si>
  <si>
    <t>593077</t>
  </si>
  <si>
    <t>593075</t>
  </si>
  <si>
    <t>Индикатор ND16-22D/2 красный AC/DC230В (R)</t>
  </si>
  <si>
    <t>indicator</t>
  </si>
  <si>
    <t>ЩАВР1 (50A)</t>
  </si>
  <si>
    <t>844302</t>
  </si>
  <si>
    <t>ШУОК-2-220П</t>
  </si>
  <si>
    <t>ЯУО9601-3474</t>
  </si>
  <si>
    <t>ЩУ1</t>
  </si>
  <si>
    <t>836704</t>
  </si>
  <si>
    <t>Контактор NXC-09 9A 220В/АС3 1НО+1НЗ 50Гц (R)</t>
  </si>
  <si>
    <t>837110</t>
  </si>
  <si>
    <t>Тепловое реле NXR-25 1-1.6A (R)</t>
  </si>
  <si>
    <t>termo</t>
  </si>
  <si>
    <t>Терморегулятор ТР 520</t>
  </si>
  <si>
    <t>ЩУ31</t>
  </si>
  <si>
    <t>РУСМ5411-2274</t>
  </si>
  <si>
    <t>1700*800*450</t>
  </si>
  <si>
    <t>400a</t>
  </si>
  <si>
    <t>ВРУ1-13-20ухл4</t>
  </si>
  <si>
    <t>ЩАВР1-(АВР-Б-200-2-1)</t>
  </si>
  <si>
    <t>200a</t>
  </si>
  <si>
    <t>1000*750*300</t>
  </si>
  <si>
    <t>shmp 650*500</t>
  </si>
  <si>
    <t>50a</t>
  </si>
  <si>
    <t>171632</t>
  </si>
  <si>
    <t>Устройство автоматического ввода резерва NXZB-63H/4C 50A D50 (R)</t>
  </si>
  <si>
    <t>ЩУ1 (32397-2013) IP54 (ACC)</t>
  </si>
  <si>
    <t>ЩУ1 (32397-2013) IP54 (termnl)</t>
  </si>
  <si>
    <t>ЩУ31 (РУСМ5411-2274УХЛ2)-1 fdr IP54 (termnl)</t>
  </si>
  <si>
    <t>ШУОК-2-220П (termnl)</t>
  </si>
  <si>
    <t>ЩАВР1-(АВР-Б-200-2-1) (termnl)</t>
  </si>
  <si>
    <t>ЩУ31 (РУСМ5411-2274УХЛ2)-1 fdr IP54 (ACC)</t>
  </si>
  <si>
    <t>ШУОК-1-220П  (ACC)</t>
  </si>
  <si>
    <t>ЩУ31 (РУСМ5411-2274УХЛ2)-1 fdr IP54 (garaj)</t>
  </si>
  <si>
    <t>ЩАВР1 (АВР-Б-50-2-1) (KPP)</t>
  </si>
  <si>
    <t>dop kontaktor</t>
  </si>
  <si>
    <t>938251</t>
  </si>
  <si>
    <t>Приставка доп.контакты AX-3X/22 к контактору NXC-06~630 (R)</t>
  </si>
  <si>
    <t>574114</t>
  </si>
  <si>
    <t>Кнопка управления Двойная кнопка "Пуск-Стоп" NP2-EL8325 1НО+1НЗ AC230В IP40 (R)</t>
  </si>
  <si>
    <t>837121</t>
  </si>
  <si>
    <t>Тепловое реле NXR-38 30A-38A (R)</t>
  </si>
  <si>
    <t>574849</t>
  </si>
  <si>
    <t>termik</t>
  </si>
  <si>
    <t>Авт. выкл. NXB-63S 3P 16А 4.5kA х-ка D (R)</t>
  </si>
  <si>
    <t>ШУОК-02-220П</t>
  </si>
  <si>
    <t>Шкаф управления огнезадерживающими клапанами ШУОК-02-220П, 2 клапана, 220В, IP54</t>
  </si>
  <si>
    <t>компл.</t>
  </si>
  <si>
    <t>CHINT/TEKSAN</t>
  </si>
  <si>
    <t>контроль</t>
  </si>
  <si>
    <t>Корпус металлический навесной IP54 с монтажной панелью, ориентировочно 600x500x200мм</t>
  </si>
  <si>
    <t>шт</t>
  </si>
  <si>
    <t>NB1-63 2P C6</t>
  </si>
  <si>
    <t>Автоматический выключатель вводной 2P C6A, 6кА, 230/400В</t>
  </si>
  <si>
    <t>CHINT</t>
  </si>
  <si>
    <t>NB1-63 1P C2</t>
  </si>
  <si>
    <t>Автоматический выключатель цепей управления 1P C2A, 6кА</t>
  </si>
  <si>
    <t>rele napryajeniya</t>
  </si>
  <si>
    <t>NJB1-Y / NJYB3</t>
  </si>
  <si>
    <t>Реле контроля напряжения 220В, контроль min/max напряжения, контакт НОРМА/АВАРИЯ</t>
  </si>
  <si>
    <t>JZX-22F(D)/4Z AC220V</t>
  </si>
  <si>
    <t>Промежуточное реле 4CO, катушка AC220В, для центральной логики ППУ/УДП/Пожар/Ручн.</t>
  </si>
  <si>
    <t>Промежуточное реле 4CO, катушка AC220В, управление клапанами ОТКР/ЗАКР</t>
  </si>
  <si>
    <t>rele soket</t>
  </si>
  <si>
    <t>CZY14A / CZY14A-E</t>
  </si>
  <si>
    <t>Колодка/сокет для реле JZX-22F 4Z, 14 pin, DIN</t>
  </si>
  <si>
    <t>rele aksesuar</t>
  </si>
  <si>
    <t>Фиксатор/скоба для промежуточного реле</t>
  </si>
  <si>
    <t>LW42-16</t>
  </si>
  <si>
    <t>Кулачковый переключатель режимов управления, 16А, схема контактов по ШУОК: Авт/Дист/Ручн/Закрыт</t>
  </si>
  <si>
    <t>NP2 key selector</t>
  </si>
  <si>
    <t>Переключатель с ключом 2 положения, защита от несанкционированного включения</t>
  </si>
  <si>
    <t>buton</t>
  </si>
  <si>
    <t>NP2-BA31</t>
  </si>
  <si>
    <t>Кнопка ТЕСТ d=22мм, 1NO, без фиксации</t>
  </si>
  <si>
    <t>lampa</t>
  </si>
  <si>
    <t>ND16-22 AC220V RED</t>
  </si>
  <si>
    <t>Индикатор Питание авария, красный, 220В</t>
  </si>
  <si>
    <t>ND16-22 AC220V GREEN</t>
  </si>
  <si>
    <t>Индикатор Питание в норме, зеленый, 220В</t>
  </si>
  <si>
    <t>ND16-22 AC220V YELLOW</t>
  </si>
  <si>
    <t>Индикатор Ручное управление, желтый, 220В</t>
  </si>
  <si>
    <t>Индикатор Пожар, красный, 220В</t>
  </si>
  <si>
    <t>voltmetr</t>
  </si>
  <si>
    <t>ND3 / AD16</t>
  </si>
  <si>
    <t>Вольтметр цифровой 220В, зеленая индикация питания в норме</t>
  </si>
  <si>
    <t>buzzer</t>
  </si>
  <si>
    <t>ND16-22FS AC220V RED</t>
  </si>
  <si>
    <t>Светозвуковой индикатор / зуммер аварии, красный, 220В</t>
  </si>
  <si>
    <t>Индикатор Клапан №1 открыт, зеленый, 220В</t>
  </si>
  <si>
    <t>Индикатор Клапан №1 закрыт, красный, 220В</t>
  </si>
  <si>
    <t>Индикатор Клапан №2 открыт, зеленый, 220В</t>
  </si>
  <si>
    <t>Индикатор Клапан №2 закрыт, красный, 220В</t>
  </si>
  <si>
    <t>klem</t>
  </si>
  <si>
    <t>Клемма серая 2,5мм2 для цепей управления и сигнализации</t>
  </si>
  <si>
    <t>CHINT/IEK/Klemsan</t>
  </si>
  <si>
    <t>Клемма синяя 2,5мм2 N</t>
  </si>
  <si>
    <t>Клемма PE желто-зеленая 2,5/4мм2</t>
  </si>
  <si>
    <t>klem aksesuar</t>
  </si>
  <si>
    <t>Заглушка торцевая для клемм 2,5/4мм2</t>
  </si>
  <si>
    <t>Перемычка 2PIN для клемм 2,5мм2</t>
  </si>
  <si>
    <t>Перемычка 3PIN для клемм 2,5мм2</t>
  </si>
  <si>
    <t>din</t>
  </si>
  <si>
    <t>DIN-рейка 35мм, оцинкованная, 1м</t>
  </si>
  <si>
    <t>м</t>
  </si>
  <si>
    <t>PYS</t>
  </si>
  <si>
    <t>kabel kanal</t>
  </si>
  <si>
    <t>Кабель-канал перфорированный 40x60</t>
  </si>
  <si>
    <t>shina n</t>
  </si>
  <si>
    <t>Шина N на DIN-изоляторе</t>
  </si>
  <si>
    <t>shina pe</t>
  </si>
  <si>
    <t>Шина PE на DIN-изоляторе</t>
  </si>
  <si>
    <t>salnik</t>
  </si>
  <si>
    <t>PG/M</t>
  </si>
  <si>
    <t>Кабельный ввод IP54/IP65 для питания и клапанов</t>
  </si>
  <si>
    <t>markirovka</t>
  </si>
  <si>
    <t>Маркировка проводов, клемм и аппаратов</t>
  </si>
  <si>
    <t>mont. matryal.</t>
  </si>
  <si>
    <t>Провод ПВ-3, наконечники, стяжки, крепеж, изоляция, расходные материалы</t>
  </si>
  <si>
    <t>mont. rab.</t>
  </si>
  <si>
    <t>Монтажные работы по сборке шкафа ШУОК-02-220П</t>
  </si>
  <si>
    <t>TEKLED</t>
  </si>
  <si>
    <t>ЩАВР1-(АВР-Б-25-2-1) (ACC)</t>
  </si>
  <si>
    <t>Teksan f</t>
  </si>
  <si>
    <t>836852</t>
  </si>
  <si>
    <t>Контактор NXC-32 32A 220В/АС3 1НО+1НЗ 50Гц (R)</t>
  </si>
  <si>
    <t>837120</t>
  </si>
  <si>
    <t>Тепловое реле NXR-38 23A-32A (R)</t>
  </si>
  <si>
    <t>taimer</t>
  </si>
  <si>
    <t>A011057</t>
  </si>
  <si>
    <t>YCKG7  AC110-240</t>
  </si>
  <si>
    <t>cnc</t>
  </si>
  <si>
    <t>foto sensor</t>
  </si>
  <si>
    <t>fr-din-1-25</t>
  </si>
  <si>
    <t>Фотореле на DIN-рейку с выносным датчиком (ФР) 2-100Лк 25А 3000Вт EKF PROxima</t>
  </si>
  <si>
    <t>ЩГП-3(ЦРП)</t>
  </si>
  <si>
    <t>ЯАВР3-40(АВР-Б-40-2-1)</t>
  </si>
  <si>
    <t>171629</t>
  </si>
  <si>
    <t>Устройство автоматического ввода резерва NXZB-63H/4C 25A D25 (R)</t>
  </si>
  <si>
    <t>256798</t>
  </si>
  <si>
    <t>Устройство автоматического ввода резерва NXZM-250S/3B 200A (R)</t>
  </si>
  <si>
    <t>515387</t>
  </si>
  <si>
    <t>Диф. авт. выкл. NXBLE-63YH 1P+N C20 30mA тип AC, 6kA (R)</t>
  </si>
  <si>
    <t>270300200_</t>
  </si>
  <si>
    <t xml:space="preserve">                Кабель-канал перф.  60х40 ИМПАКТ IEK (24)</t>
  </si>
  <si>
    <t>130301152_</t>
  </si>
  <si>
    <t xml:space="preserve">                ЗНИ  2.5мм ² (24А) серый  UNIT (100)</t>
  </si>
  <si>
    <t>714-15120</t>
  </si>
  <si>
    <t>Щит мет. ЩРн-3-2 PR (650x500x220) IP54 (TS)</t>
  </si>
  <si>
    <t>714-15122</t>
  </si>
  <si>
    <t>Щит мет. ЩРн-2-2 PR (540x400x220) IP54 (TS)</t>
  </si>
  <si>
    <t>714-15114</t>
  </si>
  <si>
    <t>Щит мет. ЩРн-6-2 PR (1200x750x300) IP54 (TS)</t>
  </si>
  <si>
    <t>714-15005</t>
  </si>
  <si>
    <t>Щит мет.ЩРн-12 б/o (313х268х120)S/U 36 IP31 (TS)</t>
  </si>
  <si>
    <t>714-15007</t>
  </si>
  <si>
    <t>Щит мет.ЩРн-18 б/o (448х268х120)S/U 36 IP31 (TS)</t>
  </si>
  <si>
    <t>296696</t>
  </si>
  <si>
    <t>Авт. выкл. NXB-63S 1P 10А 4.5kA х-ка B (R)</t>
  </si>
  <si>
    <t>296705</t>
  </si>
  <si>
    <t>Авт. выкл. NXB-63S 1P 2А 4.5kA х-ка C (R)</t>
  </si>
  <si>
    <t>296829</t>
  </si>
  <si>
    <t>Авт. выкл. NXB-63S 3P 25А 4.5kA х-ка C (R)</t>
  </si>
  <si>
    <t>296828</t>
  </si>
  <si>
    <t>Авт. выкл. NXB-63S 3P 20А 4.5kA х-ка C (R)</t>
  </si>
  <si>
    <t>296840</t>
  </si>
  <si>
    <t>Авт. выкл. NXB-63S 1P 6А 4.5kA х-ка C (R)</t>
  </si>
  <si>
    <t>425137</t>
  </si>
  <si>
    <t>Кулачковый переключатель LW32-10/2, 10А, 2Р, "1-0-2"</t>
  </si>
  <si>
    <t>574847</t>
  </si>
  <si>
    <t>Переключатель NP2-BD21, 2 положения с фиксацией, 1НО IP40</t>
  </si>
  <si>
    <t>finder</t>
  </si>
  <si>
    <t>285448</t>
  </si>
  <si>
    <t>Промежуточное реле JZX-22F(D) 4 конт. с инд. LED 3А 220В AC (R)</t>
  </si>
  <si>
    <t>697034</t>
  </si>
  <si>
    <t>Реле контроля фаз NJYB3-15 AC220V (R)</t>
  </si>
  <si>
    <t>285976</t>
  </si>
  <si>
    <t>Розетка CZY14A для JZX-22F(D) 4 контакта</t>
  </si>
  <si>
    <t xml:space="preserve">find yuva </t>
  </si>
  <si>
    <t>tp520</t>
  </si>
  <si>
    <t>Номенклатура1</t>
  </si>
  <si>
    <t>714-15126</t>
  </si>
  <si>
    <t>Щит мет. ЩРн-1-2 PR (395x310x220) IP54 (TS)</t>
  </si>
  <si>
    <t>Toplam ЩУ1 (32397-2013) IP54 (termnl)</t>
  </si>
  <si>
    <t>Toplam ЩУ31 (РУСМ5411-2274УХЛ2)-1 fdr IP54 (termnl)</t>
  </si>
  <si>
    <t>Toplam ШУОК-2-220П (termnl)</t>
  </si>
  <si>
    <t>Toplam ЩАВР1-(АВР-Б-200-2-1) (termnl)</t>
  </si>
  <si>
    <t>Toplam ЩУ1 (32397-2013) IP54 (ACC)</t>
  </si>
  <si>
    <t>Toplam ЩУ31 (РУСМ5411-2274УХЛ2)-1 fdr IP54 (ACC)</t>
  </si>
  <si>
    <t>Toplam ШУОК-1-220П  (ACC)</t>
  </si>
  <si>
    <t>Toplam ЩАВР1-(АВР-Б-25-2-1) (ACC)</t>
  </si>
  <si>
    <t>Toplam ЩУ31 (РУСМ5411-2274УХЛ2)-1 fdr IP54 (garaj)</t>
  </si>
  <si>
    <t>Toplam ЩАВР1 (АВР-Б-50-2-1) (KPP)</t>
  </si>
  <si>
    <t>Toplam ЯУО9601-3474</t>
  </si>
  <si>
    <t>Toplam ЯАВР3-40(АВР-Б-40-2-1)</t>
  </si>
  <si>
    <t>Toplam ЩГП-3(ЦРП)</t>
  </si>
  <si>
    <t>Toplam ШРМ01</t>
  </si>
  <si>
    <t>Toplam ШРМ02</t>
  </si>
  <si>
    <t>Toplam ШРМ03</t>
  </si>
  <si>
    <t>Toplam ШРМ04</t>
  </si>
  <si>
    <t>Genel Toplam</t>
  </si>
  <si>
    <t>sira no</t>
  </si>
  <si>
    <t>malz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</si>
</sst>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3" fontId="6" fillId="4" borderId="0" xfId="0" applyNumberFormat="1" applyFont="1" applyFill="1" applyAlignment="1">
      <alignment horizontal="center" vertical="center" wrapText="1"/>
    </xf>
    <xf numFmtId="165" fontId="6" fillId="4" borderId="0" xfId="1" applyNumberFormat="1" applyFont="1" applyFill="1" applyBorder="1" applyAlignment="1" applyProtection="1">
      <alignment horizontal="center" vertical="center"/>
    </xf>
    <xf numFmtId="165" fontId="6" fillId="4" borderId="0" xfId="1" applyNumberFormat="1" applyFont="1" applyFill="1" applyBorder="1" applyAlignment="1" applyProtection="1">
      <alignment horizontal="center" vertical="center" wrapText="1"/>
    </xf>
    <xf numFmtId="165" fontId="0" fillId="0" borderId="0" xfId="0" applyNumberFormat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L191"/>
  <sheetViews>
    <sheetView zoomScaleNormal="100" workbookViewId="0">
      <pane ySplit="1" topLeftCell="A2" activePane="bottomLeft" state="frozen"/>
      <selection pane="bottomLeft" activeCell="E58" sqref="E58"/>
    </sheetView>
  </sheetViews>
  <sheetFormatPr defaultRowHeight="21" customHeight="1" outlineLevelRow="2" x14ac:dyDescent="0.25"/>
  <cols>
    <col min="1" max="1" width="9.28515625" bestFit="1" customWidth="1"/>
    <col min="2" max="2" width="37.7109375" customWidth="1"/>
    <col min="4" max="4" width="9.28515625" bestFit="1" customWidth="1"/>
    <col min="5" max="5" width="72.42578125" customWidth="1"/>
    <col min="6" max="7" width="10" bestFit="1" customWidth="1"/>
    <col min="8" max="8" width="12.42578125" customWidth="1"/>
    <col min="9" max="9" width="9.28515625" bestFit="1" customWidth="1"/>
    <col min="12" max="12" width="12.42578125" customWidth="1"/>
  </cols>
  <sheetData>
    <row r="1" spans="1:12" ht="39.75" customHeight="1" x14ac:dyDescent="0.25">
      <c r="A1" s="4" t="s">
        <v>281</v>
      </c>
      <c r="B1" s="1" t="s">
        <v>260</v>
      </c>
      <c r="C1" s="1" t="s">
        <v>0</v>
      </c>
      <c r="D1" s="2" t="s">
        <v>1</v>
      </c>
      <c r="E1" s="1" t="s">
        <v>14</v>
      </c>
      <c r="F1" s="1" t="s">
        <v>3</v>
      </c>
      <c r="G1" s="1" t="s">
        <v>3</v>
      </c>
      <c r="H1" s="3" t="s">
        <v>6</v>
      </c>
      <c r="I1" s="4" t="s">
        <v>15</v>
      </c>
      <c r="J1" s="4" t="s">
        <v>4</v>
      </c>
      <c r="K1" s="4" t="s">
        <v>5</v>
      </c>
      <c r="L1" s="3" t="s">
        <v>282</v>
      </c>
    </row>
    <row r="2" spans="1:12" ht="39.75" customHeight="1" outlineLevel="2" x14ac:dyDescent="0.25">
      <c r="A2" s="10">
        <f>ROW(A1)</f>
        <v>1</v>
      </c>
      <c r="B2" s="10" t="s">
        <v>107</v>
      </c>
      <c r="C2" s="6"/>
      <c r="D2" s="7"/>
      <c r="E2" s="6" t="s">
        <v>107</v>
      </c>
      <c r="F2" s="8"/>
      <c r="G2" s="8"/>
      <c r="H2" s="9"/>
      <c r="I2" s="10">
        <v>1</v>
      </c>
      <c r="J2" s="11" t="s">
        <v>7</v>
      </c>
      <c r="K2" s="6" t="s">
        <v>9</v>
      </c>
      <c r="L2" s="9"/>
    </row>
    <row r="3" spans="1:12" ht="21" customHeight="1" outlineLevel="2" x14ac:dyDescent="0.25">
      <c r="A3" s="16">
        <f t="shared" ref="A3:A66" si="0">ROW(A2)</f>
        <v>2</v>
      </c>
      <c r="B3" s="16" t="str">
        <f t="shared" ref="B3:B9" si="1">B2</f>
        <v>ЩУ1 (32397-2013) IP54 (termnl)</v>
      </c>
      <c r="C3" s="13" t="s">
        <v>8</v>
      </c>
      <c r="D3" s="14" t="s">
        <v>261</v>
      </c>
      <c r="E3" s="12" t="s">
        <v>262</v>
      </c>
      <c r="F3" s="13">
        <v>14750</v>
      </c>
      <c r="G3" s="15">
        <f>0.6*F3</f>
        <v>8850</v>
      </c>
      <c r="H3" s="15">
        <f>I3*G3</f>
        <v>8850</v>
      </c>
      <c r="I3" s="16">
        <v>1</v>
      </c>
      <c r="J3" s="17" t="s">
        <v>13</v>
      </c>
      <c r="K3" s="13" t="s">
        <v>16</v>
      </c>
      <c r="L3" s="15">
        <v>8850</v>
      </c>
    </row>
    <row r="4" spans="1:12" ht="21" customHeight="1" outlineLevel="2" x14ac:dyDescent="0.25">
      <c r="A4" s="16">
        <f t="shared" si="0"/>
        <v>3</v>
      </c>
      <c r="B4" s="16" t="str">
        <f t="shared" si="1"/>
        <v>ЩУ1 (32397-2013) IP54 (termnl)</v>
      </c>
      <c r="C4" s="13" t="s">
        <v>92</v>
      </c>
      <c r="D4" s="14" t="s">
        <v>259</v>
      </c>
      <c r="E4" s="12" t="s">
        <v>93</v>
      </c>
      <c r="F4" s="13">
        <v>28000</v>
      </c>
      <c r="G4" s="15">
        <f>F4</f>
        <v>28000</v>
      </c>
      <c r="H4" s="15">
        <f t="shared" ref="H4:H9" si="2">I4*G4</f>
        <v>28000</v>
      </c>
      <c r="I4" s="16">
        <v>1</v>
      </c>
      <c r="J4" s="17" t="s">
        <v>13</v>
      </c>
      <c r="K4" s="13" t="s">
        <v>28</v>
      </c>
      <c r="L4" s="15">
        <v>28000</v>
      </c>
    </row>
    <row r="5" spans="1:12" ht="21" customHeight="1" outlineLevel="2" x14ac:dyDescent="0.25">
      <c r="A5" s="16">
        <f t="shared" si="0"/>
        <v>4</v>
      </c>
      <c r="B5" s="16" t="str">
        <f t="shared" si="1"/>
        <v>ЩУ1 (32397-2013) IP54 (termnl)</v>
      </c>
      <c r="C5" s="13" t="s">
        <v>77</v>
      </c>
      <c r="D5" s="14" t="s">
        <v>88</v>
      </c>
      <c r="E5" s="12" t="s">
        <v>89</v>
      </c>
      <c r="F5" s="13">
        <v>5214</v>
      </c>
      <c r="G5" s="15">
        <f t="shared" ref="G5" si="3">F5*0.6</f>
        <v>3128.4</v>
      </c>
      <c r="H5" s="15">
        <f t="shared" si="2"/>
        <v>3128.4</v>
      </c>
      <c r="I5" s="16">
        <v>1</v>
      </c>
      <c r="J5" s="17" t="s">
        <v>13</v>
      </c>
      <c r="K5" s="13" t="s">
        <v>17</v>
      </c>
      <c r="L5" s="15">
        <v>3128.4</v>
      </c>
    </row>
    <row r="6" spans="1:12" ht="21" customHeight="1" outlineLevel="2" x14ac:dyDescent="0.25">
      <c r="A6" s="16">
        <f t="shared" si="0"/>
        <v>5</v>
      </c>
      <c r="B6" s="16" t="str">
        <f t="shared" si="1"/>
        <v>ЩУ1 (32397-2013) IP54 (termnl)</v>
      </c>
      <c r="C6" s="13" t="s">
        <v>34</v>
      </c>
      <c r="D6" s="14" t="s">
        <v>237</v>
      </c>
      <c r="E6" s="12" t="s">
        <v>238</v>
      </c>
      <c r="F6" s="13">
        <v>897</v>
      </c>
      <c r="G6" s="15">
        <f t="shared" ref="G6:G7" si="4">F6*0.6</f>
        <v>538.19999999999993</v>
      </c>
      <c r="H6" s="15">
        <f t="shared" si="2"/>
        <v>538.19999999999993</v>
      </c>
      <c r="I6" s="16">
        <v>1</v>
      </c>
      <c r="J6" s="17" t="s">
        <v>13</v>
      </c>
      <c r="K6" s="13" t="s">
        <v>17</v>
      </c>
      <c r="L6" s="15">
        <v>538.19999999999993</v>
      </c>
    </row>
    <row r="7" spans="1:12" ht="21" customHeight="1" outlineLevel="2" x14ac:dyDescent="0.25">
      <c r="A7" s="16">
        <f t="shared" si="0"/>
        <v>6</v>
      </c>
      <c r="B7" s="16" t="str">
        <f t="shared" si="1"/>
        <v>ЩУ1 (32397-2013) IP54 (termnl)</v>
      </c>
      <c r="C7" s="13" t="s">
        <v>123</v>
      </c>
      <c r="D7" s="14" t="s">
        <v>90</v>
      </c>
      <c r="E7" s="12" t="s">
        <v>91</v>
      </c>
      <c r="F7" s="13">
        <v>4315</v>
      </c>
      <c r="G7" s="15">
        <f t="shared" si="4"/>
        <v>2589</v>
      </c>
      <c r="H7" s="15">
        <f t="shared" si="2"/>
        <v>2589</v>
      </c>
      <c r="I7" s="16">
        <v>1</v>
      </c>
      <c r="J7" s="17" t="s">
        <v>13</v>
      </c>
      <c r="K7" s="13" t="s">
        <v>17</v>
      </c>
      <c r="L7" s="15">
        <v>2589</v>
      </c>
    </row>
    <row r="8" spans="1:12" ht="24" customHeight="1" outlineLevel="2" x14ac:dyDescent="0.25">
      <c r="A8" s="12">
        <f t="shared" si="0"/>
        <v>7</v>
      </c>
      <c r="B8" s="12" t="str">
        <f t="shared" si="1"/>
        <v>ЩУ1 (32397-2013) IP54 (termnl)</v>
      </c>
      <c r="C8" s="12" t="s">
        <v>10</v>
      </c>
      <c r="D8" s="18" t="s">
        <v>10</v>
      </c>
      <c r="E8" s="12" t="s">
        <v>10</v>
      </c>
      <c r="F8" s="26">
        <f>H9</f>
        <v>12000</v>
      </c>
      <c r="G8" s="15">
        <f>F8</f>
        <v>12000</v>
      </c>
      <c r="H8" s="15">
        <f t="shared" si="2"/>
        <v>12000</v>
      </c>
      <c r="I8" s="12">
        <v>1</v>
      </c>
      <c r="J8" s="17" t="s">
        <v>13</v>
      </c>
      <c r="K8" s="12" t="s">
        <v>10</v>
      </c>
      <c r="L8" s="15">
        <v>12000</v>
      </c>
    </row>
    <row r="9" spans="1:12" ht="21" customHeight="1" outlineLevel="2" x14ac:dyDescent="0.25">
      <c r="A9" s="12">
        <f t="shared" si="0"/>
        <v>8</v>
      </c>
      <c r="B9" s="12" t="str">
        <f t="shared" si="1"/>
        <v>ЩУ1 (32397-2013) IP54 (termnl)</v>
      </c>
      <c r="C9" s="12" t="s">
        <v>11</v>
      </c>
      <c r="D9" s="18" t="s">
        <v>11</v>
      </c>
      <c r="E9" s="12" t="s">
        <v>11</v>
      </c>
      <c r="F9" s="12">
        <v>2</v>
      </c>
      <c r="G9" s="15">
        <v>100</v>
      </c>
      <c r="H9" s="15">
        <f t="shared" si="2"/>
        <v>12000</v>
      </c>
      <c r="I9" s="12">
        <f>60*F9</f>
        <v>120</v>
      </c>
      <c r="J9" s="17" t="s">
        <v>13</v>
      </c>
      <c r="K9" s="12" t="s">
        <v>11</v>
      </c>
      <c r="L9" s="15">
        <v>12000</v>
      </c>
    </row>
    <row r="10" spans="1:12" ht="21" customHeight="1" outlineLevel="1" x14ac:dyDescent="0.25">
      <c r="A10" s="12">
        <f t="shared" si="0"/>
        <v>9</v>
      </c>
      <c r="B10" s="12" t="s">
        <v>263</v>
      </c>
      <c r="C10" s="12"/>
      <c r="D10" s="18"/>
      <c r="E10" s="12"/>
      <c r="F10" s="12"/>
      <c r="G10" s="15"/>
      <c r="H10" s="15">
        <f>SUBTOTAL(9,H2:H9)</f>
        <v>67105.600000000006</v>
      </c>
      <c r="I10" s="12"/>
      <c r="J10" s="17"/>
      <c r="K10" s="12"/>
      <c r="L10" s="15">
        <v>67105.600000000006</v>
      </c>
    </row>
    <row r="11" spans="1:12" ht="39.75" customHeight="1" outlineLevel="2" x14ac:dyDescent="0.25">
      <c r="A11" s="10">
        <f t="shared" si="0"/>
        <v>10</v>
      </c>
      <c r="B11" s="10" t="s">
        <v>108</v>
      </c>
      <c r="C11" s="6"/>
      <c r="D11" s="7"/>
      <c r="E11" s="6" t="s">
        <v>108</v>
      </c>
      <c r="F11" s="8"/>
      <c r="G11" s="8"/>
      <c r="H11" s="9"/>
      <c r="I11" s="10">
        <v>1</v>
      </c>
      <c r="J11" s="11" t="s">
        <v>7</v>
      </c>
      <c r="K11" s="6" t="s">
        <v>9</v>
      </c>
      <c r="L11" s="9"/>
    </row>
    <row r="12" spans="1:12" ht="21" customHeight="1" outlineLevel="2" x14ac:dyDescent="0.25">
      <c r="A12" s="12">
        <f t="shared" si="0"/>
        <v>11</v>
      </c>
      <c r="B12" s="12" t="str">
        <f t="shared" ref="B12:B25" si="5">B11</f>
        <v>ЩУ31 (РУСМ5411-2274УХЛ2)-1 fdr IP54 (termnl)</v>
      </c>
      <c r="C12" s="12" t="s">
        <v>8</v>
      </c>
      <c r="D12" s="18" t="s">
        <v>229</v>
      </c>
      <c r="E12" s="12" t="s">
        <v>230</v>
      </c>
      <c r="F12" s="12">
        <v>21500</v>
      </c>
      <c r="G12" s="15">
        <f>0.6*F12</f>
        <v>12900</v>
      </c>
      <c r="H12" s="15">
        <f t="shared" ref="H12:H25" si="6">I12*G12</f>
        <v>12900</v>
      </c>
      <c r="I12" s="12">
        <v>1</v>
      </c>
      <c r="J12" s="17" t="s">
        <v>13</v>
      </c>
      <c r="K12" s="12" t="s">
        <v>16</v>
      </c>
      <c r="L12" s="15">
        <v>12900</v>
      </c>
    </row>
    <row r="13" spans="1:12" ht="21" customHeight="1" outlineLevel="2" x14ac:dyDescent="0.25">
      <c r="A13" s="12">
        <f t="shared" si="0"/>
        <v>12</v>
      </c>
      <c r="B13" s="12" t="str">
        <f t="shared" si="5"/>
        <v>ЩУ31 (РУСМ5411-2274УХЛ2)-1 fdr IP54 (termnl)</v>
      </c>
      <c r="C13" s="13" t="s">
        <v>34</v>
      </c>
      <c r="D13" s="18" t="s">
        <v>239</v>
      </c>
      <c r="E13" s="12" t="s">
        <v>240</v>
      </c>
      <c r="F13" s="12">
        <v>1086</v>
      </c>
      <c r="G13" s="15">
        <f t="shared" ref="G13:G23" si="7">F13*0.6</f>
        <v>651.6</v>
      </c>
      <c r="H13" s="15">
        <f t="shared" si="6"/>
        <v>651.6</v>
      </c>
      <c r="I13" s="12">
        <v>1</v>
      </c>
      <c r="J13" s="17" t="s">
        <v>13</v>
      </c>
      <c r="K13" s="13" t="s">
        <v>17</v>
      </c>
      <c r="L13" s="15">
        <v>651.6</v>
      </c>
    </row>
    <row r="14" spans="1:12" ht="21" customHeight="1" outlineLevel="2" x14ac:dyDescent="0.25">
      <c r="A14" s="12">
        <f t="shared" si="0"/>
        <v>13</v>
      </c>
      <c r="B14" s="12" t="str">
        <f t="shared" si="5"/>
        <v>ЩУ31 (РУСМ5411-2274УХЛ2)-1 fdr IP54 (termnl)</v>
      </c>
      <c r="C14" s="13" t="s">
        <v>34</v>
      </c>
      <c r="D14" s="18" t="s">
        <v>239</v>
      </c>
      <c r="E14" s="12" t="s">
        <v>240</v>
      </c>
      <c r="F14" s="12">
        <v>1086</v>
      </c>
      <c r="G14" s="15">
        <f t="shared" si="7"/>
        <v>651.6</v>
      </c>
      <c r="H14" s="15">
        <f t="shared" si="6"/>
        <v>651.6</v>
      </c>
      <c r="I14" s="12">
        <v>1</v>
      </c>
      <c r="J14" s="17" t="s">
        <v>13</v>
      </c>
      <c r="K14" s="13" t="s">
        <v>17</v>
      </c>
      <c r="L14" s="15">
        <v>651.6</v>
      </c>
    </row>
    <row r="15" spans="1:12" ht="21" customHeight="1" outlineLevel="2" x14ac:dyDescent="0.25">
      <c r="A15" s="12">
        <f t="shared" si="0"/>
        <v>14</v>
      </c>
      <c r="B15" s="12" t="str">
        <f t="shared" si="5"/>
        <v>ЩУ31 (РУСМ5411-2274УХЛ2)-1 fdr IP54 (termnl)</v>
      </c>
      <c r="C15" s="13" t="s">
        <v>34</v>
      </c>
      <c r="D15" s="18" t="s">
        <v>245</v>
      </c>
      <c r="E15" s="12" t="s">
        <v>124</v>
      </c>
      <c r="F15" s="12">
        <v>3604</v>
      </c>
      <c r="G15" s="15">
        <f t="shared" si="7"/>
        <v>2162.4</v>
      </c>
      <c r="H15" s="15">
        <f t="shared" si="6"/>
        <v>2162.4</v>
      </c>
      <c r="I15" s="12">
        <v>1</v>
      </c>
      <c r="J15" s="17" t="s">
        <v>13</v>
      </c>
      <c r="K15" s="13" t="s">
        <v>17</v>
      </c>
      <c r="L15" s="15">
        <v>2162.4</v>
      </c>
    </row>
    <row r="16" spans="1:12" ht="21" customHeight="1" outlineLevel="2" x14ac:dyDescent="0.25">
      <c r="A16" s="12">
        <f t="shared" si="0"/>
        <v>15</v>
      </c>
      <c r="B16" s="12" t="str">
        <f t="shared" si="5"/>
        <v>ЩУ31 (РУСМ5411-2274УХЛ2)-1 fdr IP54 (termnl)</v>
      </c>
      <c r="C16" s="12" t="s">
        <v>115</v>
      </c>
      <c r="D16" s="18" t="s">
        <v>116</v>
      </c>
      <c r="E16" s="12" t="s">
        <v>117</v>
      </c>
      <c r="F16" s="12">
        <v>2177</v>
      </c>
      <c r="G16" s="15">
        <f t="shared" si="7"/>
        <v>1306.2</v>
      </c>
      <c r="H16" s="15">
        <f t="shared" si="6"/>
        <v>1306.2</v>
      </c>
      <c r="I16" s="12">
        <v>1</v>
      </c>
      <c r="J16" s="17" t="s">
        <v>13</v>
      </c>
      <c r="K16" s="13" t="s">
        <v>17</v>
      </c>
      <c r="L16" s="15">
        <v>1306.2</v>
      </c>
    </row>
    <row r="17" spans="1:12" ht="21" customHeight="1" outlineLevel="2" x14ac:dyDescent="0.25">
      <c r="A17" s="12">
        <f t="shared" si="0"/>
        <v>16</v>
      </c>
      <c r="B17" s="12" t="str">
        <f t="shared" si="5"/>
        <v>ЩУ31 (РУСМ5411-2274УХЛ2)-1 fdr IP54 (termnl)</v>
      </c>
      <c r="C17" s="13" t="s">
        <v>77</v>
      </c>
      <c r="D17" s="18" t="s">
        <v>88</v>
      </c>
      <c r="E17" s="12" t="s">
        <v>89</v>
      </c>
      <c r="F17" s="12">
        <v>5214</v>
      </c>
      <c r="G17" s="15">
        <f t="shared" si="7"/>
        <v>3128.4</v>
      </c>
      <c r="H17" s="15">
        <f t="shared" si="6"/>
        <v>3128.4</v>
      </c>
      <c r="I17" s="12">
        <v>1</v>
      </c>
      <c r="J17" s="17" t="s">
        <v>13</v>
      </c>
      <c r="K17" s="13" t="s">
        <v>17</v>
      </c>
      <c r="L17" s="15">
        <v>3128.4</v>
      </c>
    </row>
    <row r="18" spans="1:12" ht="21" customHeight="1" outlineLevel="2" x14ac:dyDescent="0.25">
      <c r="A18" s="12">
        <f t="shared" si="0"/>
        <v>17</v>
      </c>
      <c r="B18" s="12" t="str">
        <f t="shared" si="5"/>
        <v>ЩУ31 (РУСМ5411-2274УХЛ2)-1 fdr IP54 (termnl)</v>
      </c>
      <c r="C18" s="12" t="s">
        <v>123</v>
      </c>
      <c r="D18" s="14" t="s">
        <v>90</v>
      </c>
      <c r="E18" s="12" t="s">
        <v>91</v>
      </c>
      <c r="F18" s="13">
        <v>4315</v>
      </c>
      <c r="G18" s="15">
        <f t="shared" si="7"/>
        <v>2589</v>
      </c>
      <c r="H18" s="15">
        <f t="shared" si="6"/>
        <v>2589</v>
      </c>
      <c r="I18" s="12">
        <v>1</v>
      </c>
      <c r="J18" s="17" t="s">
        <v>13</v>
      </c>
      <c r="K18" s="13" t="s">
        <v>17</v>
      </c>
      <c r="L18" s="15">
        <v>2589</v>
      </c>
    </row>
    <row r="19" spans="1:12" ht="21" customHeight="1" outlineLevel="2" x14ac:dyDescent="0.25">
      <c r="A19" s="12">
        <f t="shared" si="0"/>
        <v>18</v>
      </c>
      <c r="B19" s="12" t="str">
        <f t="shared" si="5"/>
        <v>ЩУ31 (РУСМ5411-2274УХЛ2)-1 fdr IP54 (termnl)</v>
      </c>
      <c r="C19" s="12" t="s">
        <v>115</v>
      </c>
      <c r="D19" s="18" t="s">
        <v>116</v>
      </c>
      <c r="E19" s="12" t="s">
        <v>117</v>
      </c>
      <c r="F19" s="12">
        <v>2177</v>
      </c>
      <c r="G19" s="15">
        <f t="shared" si="7"/>
        <v>1306.2</v>
      </c>
      <c r="H19" s="15">
        <f t="shared" si="6"/>
        <v>1306.2</v>
      </c>
      <c r="I19" s="12">
        <v>1</v>
      </c>
      <c r="J19" s="17" t="s">
        <v>13</v>
      </c>
      <c r="K19" s="13" t="s">
        <v>17</v>
      </c>
      <c r="L19" s="15">
        <v>1306.2</v>
      </c>
    </row>
    <row r="20" spans="1:12" ht="21" customHeight="1" outlineLevel="2" x14ac:dyDescent="0.25">
      <c r="A20" s="12">
        <f t="shared" si="0"/>
        <v>19</v>
      </c>
      <c r="B20" s="12" t="str">
        <f t="shared" si="5"/>
        <v>ЩУ31 (РУСМ5411-2274УХЛ2)-1 fdr IP54 (termnl)</v>
      </c>
      <c r="C20" s="12" t="s">
        <v>152</v>
      </c>
      <c r="D20" s="18" t="s">
        <v>118</v>
      </c>
      <c r="E20" s="12" t="s">
        <v>119</v>
      </c>
      <c r="F20" s="12">
        <v>1610</v>
      </c>
      <c r="G20" s="15">
        <f t="shared" si="7"/>
        <v>966</v>
      </c>
      <c r="H20" s="15">
        <f t="shared" si="6"/>
        <v>966</v>
      </c>
      <c r="I20" s="12">
        <v>1</v>
      </c>
      <c r="J20" s="17" t="s">
        <v>13</v>
      </c>
      <c r="K20" s="13" t="s">
        <v>17</v>
      </c>
      <c r="L20" s="15">
        <v>966</v>
      </c>
    </row>
    <row r="21" spans="1:12" ht="21" customHeight="1" outlineLevel="2" x14ac:dyDescent="0.25">
      <c r="A21" s="12">
        <f t="shared" si="0"/>
        <v>20</v>
      </c>
      <c r="B21" s="12" t="str">
        <f t="shared" si="5"/>
        <v>ЩУ31 (РУСМ5411-2274УХЛ2)-1 fdr IP54 (termnl)</v>
      </c>
      <c r="C21" s="12" t="s">
        <v>123</v>
      </c>
      <c r="D21" s="18" t="s">
        <v>120</v>
      </c>
      <c r="E21" s="12" t="s">
        <v>121</v>
      </c>
      <c r="F21" s="12">
        <v>6326</v>
      </c>
      <c r="G21" s="15">
        <f t="shared" si="7"/>
        <v>3795.6</v>
      </c>
      <c r="H21" s="15">
        <f t="shared" si="6"/>
        <v>3795.6</v>
      </c>
      <c r="I21" s="12">
        <v>1</v>
      </c>
      <c r="J21" s="17" t="s">
        <v>13</v>
      </c>
      <c r="K21" s="13" t="s">
        <v>17</v>
      </c>
      <c r="L21" s="15">
        <v>3795.6</v>
      </c>
    </row>
    <row r="22" spans="1:12" ht="21" customHeight="1" outlineLevel="2" x14ac:dyDescent="0.25">
      <c r="A22" s="12">
        <f t="shared" si="0"/>
        <v>21</v>
      </c>
      <c r="B22" s="12" t="str">
        <f t="shared" si="5"/>
        <v>ЩУ31 (РУСМ5411-2274УХЛ2)-1 fdr IP54 (termnl)</v>
      </c>
      <c r="C22" s="12" t="s">
        <v>20</v>
      </c>
      <c r="D22" s="18" t="s">
        <v>122</v>
      </c>
      <c r="E22" s="12" t="s">
        <v>26</v>
      </c>
      <c r="F22" s="12">
        <v>1836</v>
      </c>
      <c r="G22" s="15">
        <f t="shared" si="7"/>
        <v>1101.5999999999999</v>
      </c>
      <c r="H22" s="15">
        <f t="shared" si="6"/>
        <v>1101.5999999999999</v>
      </c>
      <c r="I22" s="12">
        <v>1</v>
      </c>
      <c r="J22" s="17" t="s">
        <v>13</v>
      </c>
      <c r="K22" s="13" t="s">
        <v>17</v>
      </c>
      <c r="L22" s="15">
        <v>1101.5999999999999</v>
      </c>
    </row>
    <row r="23" spans="1:12" ht="21" customHeight="1" outlineLevel="2" x14ac:dyDescent="0.25">
      <c r="A23" s="12">
        <f t="shared" si="0"/>
        <v>22</v>
      </c>
      <c r="B23" s="12" t="str">
        <f t="shared" si="5"/>
        <v>ЩУ31 (РУСМ5411-2274УХЛ2)-1 fdr IP54 (termnl)</v>
      </c>
      <c r="C23" s="12" t="s">
        <v>18</v>
      </c>
      <c r="D23" s="14" t="s">
        <v>80</v>
      </c>
      <c r="E23" s="12" t="s">
        <v>81</v>
      </c>
      <c r="F23" s="13">
        <v>571</v>
      </c>
      <c r="G23" s="15">
        <f t="shared" si="7"/>
        <v>342.59999999999997</v>
      </c>
      <c r="H23" s="15">
        <f t="shared" si="6"/>
        <v>342.59999999999997</v>
      </c>
      <c r="I23" s="12">
        <v>1</v>
      </c>
      <c r="J23" s="17" t="s">
        <v>13</v>
      </c>
      <c r="K23" s="13" t="s">
        <v>17</v>
      </c>
      <c r="L23" s="15">
        <v>342.59999999999997</v>
      </c>
    </row>
    <row r="24" spans="1:12" ht="21" customHeight="1" outlineLevel="2" x14ac:dyDescent="0.25">
      <c r="A24" s="12">
        <f t="shared" si="0"/>
        <v>23</v>
      </c>
      <c r="B24" s="12" t="str">
        <f t="shared" si="5"/>
        <v>ЩУ31 (РУСМ5411-2274УХЛ2)-1 fdr IP54 (termnl)</v>
      </c>
      <c r="C24" s="12" t="s">
        <v>10</v>
      </c>
      <c r="D24" s="18" t="s">
        <v>10</v>
      </c>
      <c r="E24" s="12" t="s">
        <v>10</v>
      </c>
      <c r="F24" s="12">
        <f ca="1">OFFSET(F24,1,2)</f>
        <v>24000</v>
      </c>
      <c r="G24" s="15">
        <f ca="1">F24</f>
        <v>24000</v>
      </c>
      <c r="H24" s="15">
        <f t="shared" ca="1" si="6"/>
        <v>24000</v>
      </c>
      <c r="I24" s="12">
        <v>1</v>
      </c>
      <c r="J24" s="17" t="s">
        <v>13</v>
      </c>
      <c r="K24" s="12" t="s">
        <v>10</v>
      </c>
      <c r="L24" s="15">
        <v>24000</v>
      </c>
    </row>
    <row r="25" spans="1:12" ht="21" customHeight="1" outlineLevel="2" x14ac:dyDescent="0.25">
      <c r="A25" s="12">
        <f t="shared" si="0"/>
        <v>24</v>
      </c>
      <c r="B25" s="12" t="str">
        <f t="shared" si="5"/>
        <v>ЩУ31 (РУСМ5411-2274УХЛ2)-1 fdr IP54 (termnl)</v>
      </c>
      <c r="C25" s="12" t="s">
        <v>11</v>
      </c>
      <c r="D25" s="18" t="s">
        <v>11</v>
      </c>
      <c r="E25" s="12" t="s">
        <v>11</v>
      </c>
      <c r="F25" s="12">
        <v>4</v>
      </c>
      <c r="G25" s="15">
        <v>100</v>
      </c>
      <c r="H25" s="15">
        <f t="shared" si="6"/>
        <v>24000</v>
      </c>
      <c r="I25" s="12">
        <f>60*F25</f>
        <v>240</v>
      </c>
      <c r="J25" s="17" t="s">
        <v>13</v>
      </c>
      <c r="K25" s="12" t="s">
        <v>11</v>
      </c>
      <c r="L25" s="15">
        <v>24000</v>
      </c>
    </row>
    <row r="26" spans="1:12" ht="21" customHeight="1" outlineLevel="1" x14ac:dyDescent="0.25">
      <c r="A26" s="12">
        <f t="shared" si="0"/>
        <v>25</v>
      </c>
      <c r="B26" s="12" t="s">
        <v>264</v>
      </c>
      <c r="C26" s="12"/>
      <c r="D26" s="18"/>
      <c r="E26" s="12"/>
      <c r="F26" s="12"/>
      <c r="G26" s="15"/>
      <c r="H26" s="15">
        <f ca="1">SUBTOTAL(9,H11:H25)</f>
        <v>78901.2</v>
      </c>
      <c r="I26" s="12"/>
      <c r="J26" s="17"/>
      <c r="K26" s="12"/>
      <c r="L26" s="15">
        <v>78901.2</v>
      </c>
    </row>
    <row r="27" spans="1:12" ht="39.75" customHeight="1" outlineLevel="2" x14ac:dyDescent="0.25">
      <c r="A27" s="10">
        <f t="shared" si="0"/>
        <v>26</v>
      </c>
      <c r="B27" s="10" t="s">
        <v>109</v>
      </c>
      <c r="C27" s="6"/>
      <c r="D27" s="7"/>
      <c r="E27" s="6" t="s">
        <v>109</v>
      </c>
      <c r="F27" s="8"/>
      <c r="G27" s="8"/>
      <c r="H27" s="9"/>
      <c r="I27" s="10">
        <v>1</v>
      </c>
      <c r="J27" s="11" t="s">
        <v>7</v>
      </c>
      <c r="K27" s="6" t="s">
        <v>9</v>
      </c>
      <c r="L27" s="9"/>
    </row>
    <row r="28" spans="1:12" ht="24" customHeight="1" outlineLevel="2" x14ac:dyDescent="0.25">
      <c r="A28" s="12">
        <f t="shared" si="0"/>
        <v>27</v>
      </c>
      <c r="B28" s="12" t="str">
        <f t="shared" ref="B28:B42" si="8">B27</f>
        <v>ШУОК-2-220П (termnl)</v>
      </c>
      <c r="C28" s="12" t="s">
        <v>8</v>
      </c>
      <c r="D28" s="18" t="s">
        <v>227</v>
      </c>
      <c r="E28" s="12" t="s">
        <v>228</v>
      </c>
      <c r="F28" s="12">
        <v>29800</v>
      </c>
      <c r="G28" s="15">
        <f>0.6*F28</f>
        <v>17880</v>
      </c>
      <c r="H28" s="15">
        <f t="shared" ref="H28:H42" si="9">I28*G28</f>
        <v>17880</v>
      </c>
      <c r="I28" s="12">
        <v>1</v>
      </c>
      <c r="J28" s="17" t="s">
        <v>13</v>
      </c>
      <c r="K28" s="12" t="s">
        <v>16</v>
      </c>
      <c r="L28" s="15">
        <v>17880</v>
      </c>
    </row>
    <row r="29" spans="1:12" ht="24" customHeight="1" outlineLevel="2" x14ac:dyDescent="0.25">
      <c r="A29" s="12">
        <f t="shared" si="0"/>
        <v>28</v>
      </c>
      <c r="B29" s="12" t="str">
        <f t="shared" si="8"/>
        <v>ШУОК-2-220П (termnl)</v>
      </c>
      <c r="C29" s="13" t="s">
        <v>34</v>
      </c>
      <c r="D29" s="18" t="s">
        <v>239</v>
      </c>
      <c r="E29" s="12" t="s">
        <v>240</v>
      </c>
      <c r="F29" s="12">
        <v>1086</v>
      </c>
      <c r="G29" s="15">
        <f t="shared" ref="G29:G37" si="10">F29*0.6</f>
        <v>651.6</v>
      </c>
      <c r="H29" s="15">
        <f t="shared" si="9"/>
        <v>1303.2</v>
      </c>
      <c r="I29" s="12">
        <v>2</v>
      </c>
      <c r="J29" s="17" t="s">
        <v>13</v>
      </c>
      <c r="K29" s="13" t="s">
        <v>17</v>
      </c>
      <c r="L29" s="15">
        <v>1303.2</v>
      </c>
    </row>
    <row r="30" spans="1:12" ht="24" customHeight="1" outlineLevel="2" x14ac:dyDescent="0.25">
      <c r="A30" s="12">
        <f t="shared" si="0"/>
        <v>29</v>
      </c>
      <c r="B30" s="12" t="str">
        <f t="shared" si="8"/>
        <v>ШУОК-2-220П (termnl)</v>
      </c>
      <c r="C30" s="12" t="s">
        <v>137</v>
      </c>
      <c r="D30" s="18" t="s">
        <v>254</v>
      </c>
      <c r="E30" s="12" t="s">
        <v>255</v>
      </c>
      <c r="F30" s="12">
        <v>14767</v>
      </c>
      <c r="G30" s="15">
        <f t="shared" si="10"/>
        <v>8860.1999999999989</v>
      </c>
      <c r="H30" s="15">
        <f t="shared" si="9"/>
        <v>8860.1999999999989</v>
      </c>
      <c r="I30" s="12">
        <v>1</v>
      </c>
      <c r="J30" s="17" t="s">
        <v>13</v>
      </c>
      <c r="K30" s="13" t="s">
        <v>17</v>
      </c>
      <c r="L30" s="15">
        <v>8860.1999999999989</v>
      </c>
    </row>
    <row r="31" spans="1:12" ht="24" customHeight="1" outlineLevel="2" x14ac:dyDescent="0.25">
      <c r="A31" s="12">
        <f t="shared" si="0"/>
        <v>30</v>
      </c>
      <c r="B31" s="12" t="str">
        <f t="shared" si="8"/>
        <v>ШУОК-2-220П (termnl)</v>
      </c>
      <c r="C31" s="12" t="s">
        <v>251</v>
      </c>
      <c r="D31" s="18" t="s">
        <v>252</v>
      </c>
      <c r="E31" s="12" t="s">
        <v>253</v>
      </c>
      <c r="F31" s="12">
        <v>2500</v>
      </c>
      <c r="G31" s="15">
        <f t="shared" si="10"/>
        <v>1500</v>
      </c>
      <c r="H31" s="15">
        <f t="shared" si="9"/>
        <v>12000</v>
      </c>
      <c r="I31" s="12">
        <v>8</v>
      </c>
      <c r="J31" s="17" t="s">
        <v>13</v>
      </c>
      <c r="K31" s="13" t="s">
        <v>17</v>
      </c>
      <c r="L31" s="15">
        <v>12000</v>
      </c>
    </row>
    <row r="32" spans="1:12" ht="24" customHeight="1" outlineLevel="2" x14ac:dyDescent="0.25">
      <c r="A32" s="12">
        <f t="shared" si="0"/>
        <v>31</v>
      </c>
      <c r="B32" s="12" t="str">
        <f t="shared" si="8"/>
        <v>ШУОК-2-220П (termnl)</v>
      </c>
      <c r="C32" s="12" t="s">
        <v>258</v>
      </c>
      <c r="D32" s="18" t="s">
        <v>256</v>
      </c>
      <c r="E32" s="12" t="s">
        <v>257</v>
      </c>
      <c r="F32" s="12">
        <v>682</v>
      </c>
      <c r="G32" s="15">
        <f t="shared" si="10"/>
        <v>409.2</v>
      </c>
      <c r="H32" s="15">
        <f t="shared" si="9"/>
        <v>3273.6</v>
      </c>
      <c r="I32" s="12">
        <v>8</v>
      </c>
      <c r="J32" s="17" t="s">
        <v>13</v>
      </c>
      <c r="K32" s="13" t="s">
        <v>17</v>
      </c>
      <c r="L32" s="15">
        <v>3273.6</v>
      </c>
    </row>
    <row r="33" spans="1:12" ht="24" customHeight="1" outlineLevel="2" x14ac:dyDescent="0.25">
      <c r="A33" s="12">
        <f t="shared" si="0"/>
        <v>32</v>
      </c>
      <c r="B33" s="12" t="str">
        <f t="shared" si="8"/>
        <v>ШУОК-2-220П (termnl)</v>
      </c>
      <c r="C33" s="12" t="s">
        <v>20</v>
      </c>
      <c r="D33" s="18" t="s">
        <v>247</v>
      </c>
      <c r="E33" s="12" t="s">
        <v>248</v>
      </c>
      <c r="F33" s="12">
        <v>4365</v>
      </c>
      <c r="G33" s="15">
        <f t="shared" si="10"/>
        <v>2619</v>
      </c>
      <c r="H33" s="15">
        <f t="shared" si="9"/>
        <v>2619</v>
      </c>
      <c r="I33" s="12">
        <v>1</v>
      </c>
      <c r="J33" s="17" t="s">
        <v>13</v>
      </c>
      <c r="K33" s="13" t="s">
        <v>17</v>
      </c>
      <c r="L33" s="15">
        <v>2619</v>
      </c>
    </row>
    <row r="34" spans="1:12" ht="24" customHeight="1" outlineLevel="2" x14ac:dyDescent="0.25">
      <c r="A34" s="12">
        <f t="shared" si="0"/>
        <v>33</v>
      </c>
      <c r="B34" s="12" t="str">
        <f t="shared" si="8"/>
        <v>ШУОК-2-220П (termnl)</v>
      </c>
      <c r="C34" s="12" t="s">
        <v>20</v>
      </c>
      <c r="D34" s="18" t="s">
        <v>249</v>
      </c>
      <c r="E34" s="12" t="s">
        <v>250</v>
      </c>
      <c r="F34" s="12">
        <v>1602</v>
      </c>
      <c r="G34" s="15">
        <f t="shared" si="10"/>
        <v>961.19999999999993</v>
      </c>
      <c r="H34" s="15">
        <f t="shared" si="9"/>
        <v>4806</v>
      </c>
      <c r="I34" s="12">
        <v>5</v>
      </c>
      <c r="J34" s="17" t="s">
        <v>13</v>
      </c>
      <c r="K34" s="13" t="s">
        <v>17</v>
      </c>
      <c r="L34" s="15">
        <v>4806</v>
      </c>
    </row>
    <row r="35" spans="1:12" ht="24" customHeight="1" outlineLevel="2" x14ac:dyDescent="0.25">
      <c r="A35" s="12">
        <f t="shared" si="0"/>
        <v>34</v>
      </c>
      <c r="B35" s="12" t="str">
        <f t="shared" si="8"/>
        <v>ШУОК-2-220П (termnl)</v>
      </c>
      <c r="C35" s="12" t="s">
        <v>152</v>
      </c>
      <c r="D35" s="18" t="s">
        <v>118</v>
      </c>
      <c r="E35" s="12" t="s">
        <v>119</v>
      </c>
      <c r="F35" s="12">
        <v>1610</v>
      </c>
      <c r="G35" s="15">
        <f t="shared" si="10"/>
        <v>966</v>
      </c>
      <c r="H35" s="15">
        <f t="shared" si="9"/>
        <v>966</v>
      </c>
      <c r="I35" s="12">
        <v>1</v>
      </c>
      <c r="J35" s="17" t="s">
        <v>13</v>
      </c>
      <c r="K35" s="13" t="s">
        <v>17</v>
      </c>
      <c r="L35" s="15">
        <v>966</v>
      </c>
    </row>
    <row r="36" spans="1:12" ht="24" customHeight="1" outlineLevel="2" x14ac:dyDescent="0.25">
      <c r="A36" s="12">
        <f t="shared" si="0"/>
        <v>35</v>
      </c>
      <c r="B36" s="12" t="str">
        <f t="shared" si="8"/>
        <v>ШУОК-2-220П (termnl)</v>
      </c>
      <c r="C36" s="12" t="s">
        <v>18</v>
      </c>
      <c r="D36" s="14" t="s">
        <v>80</v>
      </c>
      <c r="E36" s="12" t="s">
        <v>81</v>
      </c>
      <c r="F36" s="13">
        <v>571</v>
      </c>
      <c r="G36" s="15">
        <f t="shared" si="10"/>
        <v>342.59999999999997</v>
      </c>
      <c r="H36" s="15">
        <f t="shared" si="9"/>
        <v>1712.9999999999998</v>
      </c>
      <c r="I36" s="12">
        <v>5</v>
      </c>
      <c r="J36" s="17" t="s">
        <v>13</v>
      </c>
      <c r="K36" s="13" t="s">
        <v>17</v>
      </c>
      <c r="L36" s="15">
        <v>1712.9999999999998</v>
      </c>
    </row>
    <row r="37" spans="1:12" ht="24" customHeight="1" outlineLevel="2" x14ac:dyDescent="0.25">
      <c r="A37" s="12">
        <f t="shared" si="0"/>
        <v>36</v>
      </c>
      <c r="B37" s="12" t="str">
        <f t="shared" si="8"/>
        <v>ШУОК-2-220П (termnl)</v>
      </c>
      <c r="C37" s="12" t="s">
        <v>18</v>
      </c>
      <c r="D37" s="14" t="s">
        <v>79</v>
      </c>
      <c r="E37" s="12" t="s">
        <v>25</v>
      </c>
      <c r="F37" s="13">
        <v>589</v>
      </c>
      <c r="G37" s="15">
        <f t="shared" si="10"/>
        <v>353.4</v>
      </c>
      <c r="H37" s="15">
        <f t="shared" si="9"/>
        <v>1767</v>
      </c>
      <c r="I37" s="12">
        <v>5</v>
      </c>
      <c r="J37" s="17" t="s">
        <v>13</v>
      </c>
      <c r="K37" s="13" t="s">
        <v>17</v>
      </c>
      <c r="L37" s="15">
        <v>1767</v>
      </c>
    </row>
    <row r="38" spans="1:12" ht="24" customHeight="1" outlineLevel="2" x14ac:dyDescent="0.25">
      <c r="A38" s="12">
        <f t="shared" si="0"/>
        <v>37</v>
      </c>
      <c r="B38" s="12" t="str">
        <f t="shared" si="8"/>
        <v>ШУОК-2-220П (termnl)</v>
      </c>
      <c r="C38" s="12" t="s">
        <v>173</v>
      </c>
      <c r="D38" s="18" t="s">
        <v>225</v>
      </c>
      <c r="E38" s="12" t="s">
        <v>226</v>
      </c>
      <c r="F38" s="12">
        <v>110</v>
      </c>
      <c r="G38" s="15">
        <f t="shared" ref="G38:G40" si="11">F38</f>
        <v>110</v>
      </c>
      <c r="H38" s="15">
        <f t="shared" si="9"/>
        <v>5280</v>
      </c>
      <c r="I38" s="12">
        <v>48</v>
      </c>
      <c r="J38" s="17" t="s">
        <v>13</v>
      </c>
      <c r="K38" s="13" t="s">
        <v>28</v>
      </c>
      <c r="L38" s="15">
        <v>5280</v>
      </c>
    </row>
    <row r="39" spans="1:12" ht="24" customHeight="1" outlineLevel="2" x14ac:dyDescent="0.25">
      <c r="A39" s="12">
        <f t="shared" si="0"/>
        <v>38</v>
      </c>
      <c r="B39" s="12" t="str">
        <f t="shared" si="8"/>
        <v>ШУОК-2-220П (termnl)</v>
      </c>
      <c r="C39" s="12" t="s">
        <v>186</v>
      </c>
      <c r="D39" s="18" t="s">
        <v>223</v>
      </c>
      <c r="E39" s="12" t="s">
        <v>224</v>
      </c>
      <c r="F39" s="12">
        <v>2200</v>
      </c>
      <c r="G39" s="15">
        <f t="shared" si="11"/>
        <v>2200</v>
      </c>
      <c r="H39" s="15">
        <f t="shared" si="9"/>
        <v>4400</v>
      </c>
      <c r="I39" s="12">
        <v>2</v>
      </c>
      <c r="J39" s="12" t="s">
        <v>184</v>
      </c>
      <c r="K39" s="13" t="s">
        <v>28</v>
      </c>
      <c r="L39" s="15">
        <v>4400</v>
      </c>
    </row>
    <row r="40" spans="1:12" ht="24" customHeight="1" outlineLevel="2" x14ac:dyDescent="0.25">
      <c r="A40" s="12">
        <f t="shared" si="0"/>
        <v>39</v>
      </c>
      <c r="B40" s="12" t="str">
        <f t="shared" si="8"/>
        <v>ШУОК-2-220П (termnl)</v>
      </c>
      <c r="C40" s="12" t="s">
        <v>192</v>
      </c>
      <c r="D40" s="18" t="s">
        <v>193</v>
      </c>
      <c r="E40" s="12" t="s">
        <v>194</v>
      </c>
      <c r="F40" s="12">
        <v>500</v>
      </c>
      <c r="G40" s="15">
        <f t="shared" si="11"/>
        <v>500</v>
      </c>
      <c r="H40" s="15">
        <f t="shared" si="9"/>
        <v>3000</v>
      </c>
      <c r="I40" s="12">
        <v>6</v>
      </c>
      <c r="J40" s="17" t="s">
        <v>13</v>
      </c>
      <c r="K40" s="13" t="s">
        <v>28</v>
      </c>
      <c r="L40" s="15">
        <v>3000</v>
      </c>
    </row>
    <row r="41" spans="1:12" ht="24" customHeight="1" outlineLevel="2" x14ac:dyDescent="0.25">
      <c r="A41" s="12">
        <f t="shared" si="0"/>
        <v>40</v>
      </c>
      <c r="B41" s="12" t="str">
        <f t="shared" si="8"/>
        <v>ШУОК-2-220П (termnl)</v>
      </c>
      <c r="C41" s="12" t="s">
        <v>10</v>
      </c>
      <c r="D41" s="18" t="s">
        <v>10</v>
      </c>
      <c r="E41" s="12" t="s">
        <v>10</v>
      </c>
      <c r="F41" s="12">
        <f ca="1">OFFSET(F41,1,2)</f>
        <v>24000</v>
      </c>
      <c r="G41" s="15">
        <f ca="1">F41</f>
        <v>24000</v>
      </c>
      <c r="H41" s="15">
        <f t="shared" ca="1" si="9"/>
        <v>24000</v>
      </c>
      <c r="I41" s="12">
        <v>1</v>
      </c>
      <c r="J41" s="17" t="s">
        <v>13</v>
      </c>
      <c r="K41" s="12" t="s">
        <v>10</v>
      </c>
      <c r="L41" s="15">
        <v>24000</v>
      </c>
    </row>
    <row r="42" spans="1:12" ht="24" customHeight="1" outlineLevel="2" x14ac:dyDescent="0.25">
      <c r="A42" s="12">
        <f t="shared" si="0"/>
        <v>41</v>
      </c>
      <c r="B42" s="12" t="str">
        <f t="shared" si="8"/>
        <v>ШУОК-2-220П (termnl)</v>
      </c>
      <c r="C42" s="12" t="s">
        <v>11</v>
      </c>
      <c r="D42" s="18" t="s">
        <v>11</v>
      </c>
      <c r="E42" s="12" t="s">
        <v>11</v>
      </c>
      <c r="F42" s="12">
        <v>4</v>
      </c>
      <c r="G42" s="15">
        <v>100</v>
      </c>
      <c r="H42" s="15">
        <f t="shared" si="9"/>
        <v>24000</v>
      </c>
      <c r="I42" s="12">
        <f>60*F42</f>
        <v>240</v>
      </c>
      <c r="J42" s="17" t="s">
        <v>13</v>
      </c>
      <c r="K42" s="12" t="s">
        <v>11</v>
      </c>
      <c r="L42" s="15">
        <v>24000</v>
      </c>
    </row>
    <row r="43" spans="1:12" ht="24" customHeight="1" outlineLevel="1" x14ac:dyDescent="0.25">
      <c r="A43" s="12">
        <f t="shared" si="0"/>
        <v>42</v>
      </c>
      <c r="B43" s="12" t="s">
        <v>265</v>
      </c>
      <c r="C43" s="12"/>
      <c r="D43" s="18"/>
      <c r="E43" s="12"/>
      <c r="F43" s="12"/>
      <c r="G43" s="15"/>
      <c r="H43" s="15">
        <f ca="1">SUBTOTAL(9,H27:H42)</f>
        <v>115868</v>
      </c>
      <c r="I43" s="12"/>
      <c r="J43" s="17"/>
      <c r="K43" s="12"/>
      <c r="L43" s="15">
        <v>115868</v>
      </c>
    </row>
    <row r="44" spans="1:12" ht="39.75" customHeight="1" outlineLevel="2" x14ac:dyDescent="0.25">
      <c r="A44" s="10">
        <f t="shared" si="0"/>
        <v>43</v>
      </c>
      <c r="B44" s="10" t="s">
        <v>110</v>
      </c>
      <c r="C44" s="6"/>
      <c r="D44" s="7"/>
      <c r="E44" s="6" t="s">
        <v>110</v>
      </c>
      <c r="F44" s="8"/>
      <c r="G44" s="8"/>
      <c r="H44" s="9"/>
      <c r="I44" s="10">
        <v>1</v>
      </c>
      <c r="J44" s="11" t="s">
        <v>7</v>
      </c>
      <c r="K44" s="6" t="s">
        <v>9</v>
      </c>
      <c r="L44" s="9"/>
    </row>
    <row r="45" spans="1:12" ht="21" customHeight="1" outlineLevel="2" x14ac:dyDescent="0.25">
      <c r="A45" s="16">
        <f t="shared" si="0"/>
        <v>44</v>
      </c>
      <c r="B45" s="16" t="str">
        <f t="shared" ref="B45:B51" si="12">B44</f>
        <v>ЩАВР1-(АВР-Б-200-2-1) (termnl)</v>
      </c>
      <c r="C45" s="13" t="s">
        <v>8</v>
      </c>
      <c r="D45" s="14" t="s">
        <v>231</v>
      </c>
      <c r="E45" s="12" t="s">
        <v>232</v>
      </c>
      <c r="F45" s="13">
        <v>72500</v>
      </c>
      <c r="G45" s="15">
        <f>0.6*F45</f>
        <v>43500</v>
      </c>
      <c r="H45" s="15">
        <f t="shared" ref="H45:H51" si="13">I45*G45</f>
        <v>43500</v>
      </c>
      <c r="I45" s="16">
        <v>1</v>
      </c>
      <c r="J45" s="17" t="s">
        <v>13</v>
      </c>
      <c r="K45" s="13" t="s">
        <v>16</v>
      </c>
      <c r="L45" s="15">
        <v>43500</v>
      </c>
    </row>
    <row r="46" spans="1:12" ht="21" customHeight="1" outlineLevel="2" x14ac:dyDescent="0.25">
      <c r="A46" s="16">
        <f t="shared" si="0"/>
        <v>45</v>
      </c>
      <c r="B46" s="16" t="str">
        <f t="shared" si="12"/>
        <v>ЩАВР1-(АВР-Б-200-2-1) (termnl)</v>
      </c>
      <c r="C46" s="13" t="s">
        <v>73</v>
      </c>
      <c r="D46" s="14" t="s">
        <v>219</v>
      </c>
      <c r="E46" s="12" t="s">
        <v>220</v>
      </c>
      <c r="F46" s="13">
        <v>246215</v>
      </c>
      <c r="G46" s="15">
        <f t="shared" ref="G46:G49" si="14">F46*0.6</f>
        <v>147729</v>
      </c>
      <c r="H46" s="15">
        <f t="shared" si="13"/>
        <v>147729</v>
      </c>
      <c r="I46" s="16">
        <v>1</v>
      </c>
      <c r="J46" s="17" t="s">
        <v>13</v>
      </c>
      <c r="K46" s="13" t="s">
        <v>17</v>
      </c>
      <c r="L46" s="15">
        <v>147729</v>
      </c>
    </row>
    <row r="47" spans="1:12" ht="21" customHeight="1" outlineLevel="2" x14ac:dyDescent="0.25">
      <c r="A47" s="16">
        <f t="shared" si="0"/>
        <v>46</v>
      </c>
      <c r="B47" s="16" t="str">
        <f t="shared" si="12"/>
        <v>ЩАВР1-(АВР-Б-200-2-1) (termnl)</v>
      </c>
      <c r="C47" s="12" t="s">
        <v>18</v>
      </c>
      <c r="D47" s="14" t="s">
        <v>79</v>
      </c>
      <c r="E47" s="12" t="s">
        <v>25</v>
      </c>
      <c r="F47" s="13">
        <v>589</v>
      </c>
      <c r="G47" s="15">
        <f t="shared" si="14"/>
        <v>353.4</v>
      </c>
      <c r="H47" s="15">
        <f t="shared" si="13"/>
        <v>706.8</v>
      </c>
      <c r="I47" s="16">
        <v>2</v>
      </c>
      <c r="J47" s="17" t="s">
        <v>13</v>
      </c>
      <c r="K47" s="13" t="s">
        <v>17</v>
      </c>
      <c r="L47" s="15">
        <v>706.8</v>
      </c>
    </row>
    <row r="48" spans="1:12" ht="21" customHeight="1" outlineLevel="2" x14ac:dyDescent="0.25">
      <c r="A48" s="16">
        <f t="shared" si="0"/>
        <v>47</v>
      </c>
      <c r="B48" s="16" t="str">
        <f t="shared" si="12"/>
        <v>ЩАВР1-(АВР-Б-200-2-1) (termnl)</v>
      </c>
      <c r="C48" s="12" t="s">
        <v>18</v>
      </c>
      <c r="D48" s="14" t="s">
        <v>80</v>
      </c>
      <c r="E48" s="12" t="s">
        <v>81</v>
      </c>
      <c r="F48" s="13">
        <v>571</v>
      </c>
      <c r="G48" s="15">
        <f t="shared" si="14"/>
        <v>342.59999999999997</v>
      </c>
      <c r="H48" s="15">
        <f t="shared" si="13"/>
        <v>685.19999999999993</v>
      </c>
      <c r="I48" s="16">
        <v>2</v>
      </c>
      <c r="J48" s="17" t="s">
        <v>13</v>
      </c>
      <c r="K48" s="13" t="s">
        <v>17</v>
      </c>
      <c r="L48" s="15">
        <v>685.19999999999993</v>
      </c>
    </row>
    <row r="49" spans="1:12" ht="21" customHeight="1" outlineLevel="2" x14ac:dyDescent="0.25">
      <c r="A49" s="16">
        <f t="shared" si="0"/>
        <v>48</v>
      </c>
      <c r="B49" s="16" t="str">
        <f t="shared" si="12"/>
        <v>ЩАВР1-(АВР-Б-200-2-1) (termnl)</v>
      </c>
      <c r="C49" s="13" t="s">
        <v>34</v>
      </c>
      <c r="D49" s="14" t="s">
        <v>23</v>
      </c>
      <c r="E49" s="12" t="s">
        <v>246</v>
      </c>
      <c r="F49" s="13">
        <v>975</v>
      </c>
      <c r="G49" s="15">
        <f t="shared" si="14"/>
        <v>585</v>
      </c>
      <c r="H49" s="15">
        <f t="shared" si="13"/>
        <v>1170</v>
      </c>
      <c r="I49" s="16">
        <v>2</v>
      </c>
      <c r="J49" s="17" t="s">
        <v>13</v>
      </c>
      <c r="K49" s="13" t="s">
        <v>17</v>
      </c>
      <c r="L49" s="15">
        <v>1170</v>
      </c>
    </row>
    <row r="50" spans="1:12" ht="24" customHeight="1" outlineLevel="2" x14ac:dyDescent="0.25">
      <c r="A50" s="12">
        <f t="shared" si="0"/>
        <v>49</v>
      </c>
      <c r="B50" s="12" t="str">
        <f t="shared" si="12"/>
        <v>ЩАВР1-(АВР-Б-200-2-1) (termnl)</v>
      </c>
      <c r="C50" s="12" t="s">
        <v>10</v>
      </c>
      <c r="D50" s="18" t="s">
        <v>10</v>
      </c>
      <c r="E50" s="12" t="s">
        <v>10</v>
      </c>
      <c r="F50" s="26">
        <f>H51</f>
        <v>48000</v>
      </c>
      <c r="G50" s="15">
        <f>F50</f>
        <v>48000</v>
      </c>
      <c r="H50" s="15">
        <f t="shared" si="13"/>
        <v>48000</v>
      </c>
      <c r="I50" s="12">
        <v>1</v>
      </c>
      <c r="J50" s="17" t="s">
        <v>13</v>
      </c>
      <c r="K50" s="12" t="s">
        <v>10</v>
      </c>
      <c r="L50" s="15">
        <v>48000</v>
      </c>
    </row>
    <row r="51" spans="1:12" ht="21" customHeight="1" outlineLevel="2" x14ac:dyDescent="0.25">
      <c r="A51" s="12">
        <f t="shared" si="0"/>
        <v>50</v>
      </c>
      <c r="B51" s="12" t="str">
        <f t="shared" si="12"/>
        <v>ЩАВР1-(АВР-Б-200-2-1) (termnl)</v>
      </c>
      <c r="C51" s="12" t="s">
        <v>11</v>
      </c>
      <c r="D51" s="18" t="s">
        <v>11</v>
      </c>
      <c r="E51" s="12" t="s">
        <v>11</v>
      </c>
      <c r="F51" s="12">
        <v>8</v>
      </c>
      <c r="G51" s="15">
        <v>100</v>
      </c>
      <c r="H51" s="15">
        <f t="shared" si="13"/>
        <v>48000</v>
      </c>
      <c r="I51" s="12">
        <f>60*F51</f>
        <v>480</v>
      </c>
      <c r="J51" s="17" t="s">
        <v>13</v>
      </c>
      <c r="K51" s="12" t="s">
        <v>11</v>
      </c>
      <c r="L51" s="15">
        <v>48000</v>
      </c>
    </row>
    <row r="52" spans="1:12" ht="21" customHeight="1" outlineLevel="1" x14ac:dyDescent="0.25">
      <c r="A52" s="12">
        <f t="shared" si="0"/>
        <v>51</v>
      </c>
      <c r="B52" s="12" t="s">
        <v>266</v>
      </c>
      <c r="C52" s="12"/>
      <c r="D52" s="18"/>
      <c r="E52" s="12"/>
      <c r="F52" s="12"/>
      <c r="G52" s="15"/>
      <c r="H52" s="15">
        <f>SUBTOTAL(9,H44:H51)</f>
        <v>289791</v>
      </c>
      <c r="I52" s="12"/>
      <c r="J52" s="17"/>
      <c r="K52" s="12"/>
      <c r="L52" s="15">
        <v>289791</v>
      </c>
    </row>
    <row r="53" spans="1:12" ht="39.75" customHeight="1" outlineLevel="2" x14ac:dyDescent="0.25">
      <c r="A53" s="10">
        <f t="shared" si="0"/>
        <v>52</v>
      </c>
      <c r="B53" s="10" t="s">
        <v>106</v>
      </c>
      <c r="C53" s="6"/>
      <c r="D53" s="7"/>
      <c r="E53" s="6" t="s">
        <v>106</v>
      </c>
      <c r="F53" s="8"/>
      <c r="G53" s="8"/>
      <c r="H53" s="9"/>
      <c r="I53" s="10">
        <v>1</v>
      </c>
      <c r="J53" s="11" t="s">
        <v>7</v>
      </c>
      <c r="K53" s="6" t="s">
        <v>9</v>
      </c>
      <c r="L53" s="9"/>
    </row>
    <row r="54" spans="1:12" ht="21" customHeight="1" outlineLevel="2" x14ac:dyDescent="0.25">
      <c r="A54" s="16">
        <f t="shared" si="0"/>
        <v>53</v>
      </c>
      <c r="B54" s="16" t="str">
        <f t="shared" ref="B54:B60" si="15">B53</f>
        <v>ЩУ1 (32397-2013) IP54 (ACC)</v>
      </c>
      <c r="C54" s="13" t="s">
        <v>8</v>
      </c>
      <c r="D54" s="14" t="s">
        <v>261</v>
      </c>
      <c r="E54" s="12" t="s">
        <v>262</v>
      </c>
      <c r="F54" s="13">
        <v>14750</v>
      </c>
      <c r="G54" s="15">
        <f>0.6*F54</f>
        <v>8850</v>
      </c>
      <c r="H54" s="15">
        <f t="shared" ref="H54:H60" si="16">I54*G54</f>
        <v>8850</v>
      </c>
      <c r="I54" s="16">
        <v>1</v>
      </c>
      <c r="J54" s="17" t="s">
        <v>13</v>
      </c>
      <c r="K54" s="13" t="s">
        <v>16</v>
      </c>
      <c r="L54" s="15">
        <v>8850</v>
      </c>
    </row>
    <row r="55" spans="1:12" ht="21" customHeight="1" outlineLevel="2" x14ac:dyDescent="0.25">
      <c r="A55" s="16">
        <f t="shared" si="0"/>
        <v>54</v>
      </c>
      <c r="B55" s="16" t="str">
        <f t="shared" si="15"/>
        <v>ЩУ1 (32397-2013) IP54 (ACC)</v>
      </c>
      <c r="C55" s="13" t="s">
        <v>92</v>
      </c>
      <c r="D55" s="14" t="s">
        <v>259</v>
      </c>
      <c r="E55" s="12" t="s">
        <v>93</v>
      </c>
      <c r="F55" s="13">
        <v>28000</v>
      </c>
      <c r="G55" s="15">
        <f>F55</f>
        <v>28000</v>
      </c>
      <c r="H55" s="15">
        <f t="shared" si="16"/>
        <v>28000</v>
      </c>
      <c r="I55" s="16">
        <v>1</v>
      </c>
      <c r="J55" s="17" t="s">
        <v>13</v>
      </c>
      <c r="K55" s="13" t="s">
        <v>28</v>
      </c>
      <c r="L55" s="15">
        <v>28000</v>
      </c>
    </row>
    <row r="56" spans="1:12" ht="21" customHeight="1" outlineLevel="2" x14ac:dyDescent="0.25">
      <c r="A56" s="16">
        <f t="shared" si="0"/>
        <v>55</v>
      </c>
      <c r="B56" s="16" t="str">
        <f t="shared" si="15"/>
        <v>ЩУ1 (32397-2013) IP54 (ACC)</v>
      </c>
      <c r="C56" s="13" t="s">
        <v>77</v>
      </c>
      <c r="D56" s="14" t="s">
        <v>88</v>
      </c>
      <c r="E56" s="12" t="s">
        <v>89</v>
      </c>
      <c r="F56" s="13">
        <v>5214</v>
      </c>
      <c r="G56" s="15">
        <f t="shared" ref="G56:G58" si="17">F56*0.6</f>
        <v>3128.4</v>
      </c>
      <c r="H56" s="15">
        <f t="shared" si="16"/>
        <v>3128.4</v>
      </c>
      <c r="I56" s="16">
        <v>1</v>
      </c>
      <c r="J56" s="17" t="s">
        <v>13</v>
      </c>
      <c r="K56" s="13" t="s">
        <v>17</v>
      </c>
      <c r="L56" s="15">
        <v>3128.4</v>
      </c>
    </row>
    <row r="57" spans="1:12" ht="21" customHeight="1" outlineLevel="2" x14ac:dyDescent="0.25">
      <c r="A57" s="16">
        <f t="shared" si="0"/>
        <v>56</v>
      </c>
      <c r="B57" s="16" t="str">
        <f t="shared" si="15"/>
        <v>ЩУ1 (32397-2013) IP54 (ACC)</v>
      </c>
      <c r="C57" s="13" t="s">
        <v>34</v>
      </c>
      <c r="D57" s="14" t="s">
        <v>237</v>
      </c>
      <c r="E57" s="12" t="s">
        <v>238</v>
      </c>
      <c r="F57" s="13">
        <v>897</v>
      </c>
      <c r="G57" s="15">
        <f t="shared" si="17"/>
        <v>538.19999999999993</v>
      </c>
      <c r="H57" s="15">
        <f t="shared" si="16"/>
        <v>538.19999999999993</v>
      </c>
      <c r="I57" s="16">
        <v>1</v>
      </c>
      <c r="J57" s="17" t="s">
        <v>13</v>
      </c>
      <c r="K57" s="13" t="s">
        <v>17</v>
      </c>
      <c r="L57" s="15">
        <v>538.19999999999993</v>
      </c>
    </row>
    <row r="58" spans="1:12" ht="21" customHeight="1" outlineLevel="2" x14ac:dyDescent="0.25">
      <c r="A58" s="16">
        <f t="shared" si="0"/>
        <v>57</v>
      </c>
      <c r="B58" s="16" t="str">
        <f t="shared" si="15"/>
        <v>ЩУ1 (32397-2013) IP54 (ACC)</v>
      </c>
      <c r="C58" s="13" t="s">
        <v>123</v>
      </c>
      <c r="D58" s="14" t="s">
        <v>90</v>
      </c>
      <c r="E58" s="12" t="s">
        <v>91</v>
      </c>
      <c r="F58" s="13">
        <v>4315</v>
      </c>
      <c r="G58" s="15">
        <f t="shared" si="17"/>
        <v>2589</v>
      </c>
      <c r="H58" s="15">
        <f t="shared" si="16"/>
        <v>2589</v>
      </c>
      <c r="I58" s="16">
        <v>1</v>
      </c>
      <c r="J58" s="17" t="s">
        <v>13</v>
      </c>
      <c r="K58" s="13" t="s">
        <v>17</v>
      </c>
      <c r="L58" s="15">
        <v>2589</v>
      </c>
    </row>
    <row r="59" spans="1:12" ht="24" customHeight="1" outlineLevel="2" x14ac:dyDescent="0.25">
      <c r="A59" s="12">
        <f t="shared" si="0"/>
        <v>58</v>
      </c>
      <c r="B59" s="12" t="str">
        <f t="shared" si="15"/>
        <v>ЩУ1 (32397-2013) IP54 (ACC)</v>
      </c>
      <c r="C59" s="12" t="s">
        <v>10</v>
      </c>
      <c r="D59" s="18" t="s">
        <v>10</v>
      </c>
      <c r="E59" s="12" t="s">
        <v>10</v>
      </c>
      <c r="F59" s="12">
        <f>H60</f>
        <v>12000</v>
      </c>
      <c r="G59" s="15">
        <f>F59</f>
        <v>12000</v>
      </c>
      <c r="H59" s="15">
        <f t="shared" si="16"/>
        <v>12000</v>
      </c>
      <c r="I59" s="12">
        <v>1</v>
      </c>
      <c r="J59" s="17" t="s">
        <v>13</v>
      </c>
      <c r="K59" s="12" t="s">
        <v>10</v>
      </c>
      <c r="L59" s="15">
        <v>12000</v>
      </c>
    </row>
    <row r="60" spans="1:12" ht="21" customHeight="1" outlineLevel="2" x14ac:dyDescent="0.25">
      <c r="A60" s="12">
        <f t="shared" si="0"/>
        <v>59</v>
      </c>
      <c r="B60" s="12" t="str">
        <f t="shared" si="15"/>
        <v>ЩУ1 (32397-2013) IP54 (ACC)</v>
      </c>
      <c r="C60" s="12" t="s">
        <v>11</v>
      </c>
      <c r="D60" s="18" t="s">
        <v>11</v>
      </c>
      <c r="E60" s="12" t="s">
        <v>11</v>
      </c>
      <c r="F60" s="12">
        <v>2</v>
      </c>
      <c r="G60" s="15">
        <v>100</v>
      </c>
      <c r="H60" s="15">
        <f t="shared" si="16"/>
        <v>12000</v>
      </c>
      <c r="I60" s="12">
        <f>60*F60</f>
        <v>120</v>
      </c>
      <c r="J60" s="17" t="s">
        <v>13</v>
      </c>
      <c r="K60" s="12" t="s">
        <v>11</v>
      </c>
      <c r="L60" s="15">
        <v>12000</v>
      </c>
    </row>
    <row r="61" spans="1:12" ht="21" customHeight="1" outlineLevel="1" x14ac:dyDescent="0.25">
      <c r="A61" s="12">
        <f t="shared" si="0"/>
        <v>60</v>
      </c>
      <c r="B61" s="12" t="s">
        <v>267</v>
      </c>
      <c r="C61" s="12"/>
      <c r="D61" s="18"/>
      <c r="E61" s="12"/>
      <c r="F61" s="12"/>
      <c r="G61" s="15"/>
      <c r="H61" s="15">
        <f>SUBTOTAL(9,H53:H60)</f>
        <v>67105.600000000006</v>
      </c>
      <c r="I61" s="12"/>
      <c r="J61" s="17"/>
      <c r="K61" s="12"/>
      <c r="L61" s="15">
        <v>67105.600000000006</v>
      </c>
    </row>
    <row r="62" spans="1:12" ht="39.75" customHeight="1" outlineLevel="2" x14ac:dyDescent="0.25">
      <c r="A62" s="10">
        <f t="shared" si="0"/>
        <v>61</v>
      </c>
      <c r="B62" s="10" t="s">
        <v>111</v>
      </c>
      <c r="C62" s="6"/>
      <c r="D62" s="7"/>
      <c r="E62" s="6" t="s">
        <v>111</v>
      </c>
      <c r="F62" s="8"/>
      <c r="G62" s="8"/>
      <c r="H62" s="9"/>
      <c r="I62" s="10">
        <v>1</v>
      </c>
      <c r="J62" s="11" t="s">
        <v>7</v>
      </c>
      <c r="K62" s="6" t="s">
        <v>9</v>
      </c>
      <c r="L62" s="9"/>
    </row>
    <row r="63" spans="1:12" ht="21" customHeight="1" outlineLevel="2" x14ac:dyDescent="0.25">
      <c r="A63" s="12">
        <f t="shared" si="0"/>
        <v>62</v>
      </c>
      <c r="B63" s="12" t="str">
        <f t="shared" ref="B63:B76" si="18">B62</f>
        <v>ЩУ31 (РУСМ5411-2274УХЛ2)-1 fdr IP54 (ACC)</v>
      </c>
      <c r="C63" s="12" t="s">
        <v>8</v>
      </c>
      <c r="D63" s="18" t="s">
        <v>229</v>
      </c>
      <c r="E63" s="12" t="s">
        <v>230</v>
      </c>
      <c r="F63" s="12">
        <v>21500</v>
      </c>
      <c r="G63" s="15">
        <f>0.6*F63</f>
        <v>12900</v>
      </c>
      <c r="H63" s="15">
        <f t="shared" ref="H63:H76" si="19">I63*G63</f>
        <v>12900</v>
      </c>
      <c r="I63" s="12">
        <v>1</v>
      </c>
      <c r="J63" s="17" t="s">
        <v>13</v>
      </c>
      <c r="K63" s="12" t="s">
        <v>16</v>
      </c>
      <c r="L63" s="15">
        <v>12900</v>
      </c>
    </row>
    <row r="64" spans="1:12" ht="21" customHeight="1" outlineLevel="2" x14ac:dyDescent="0.25">
      <c r="A64" s="12">
        <f t="shared" si="0"/>
        <v>63</v>
      </c>
      <c r="B64" s="12" t="str">
        <f t="shared" si="18"/>
        <v>ЩУ31 (РУСМ5411-2274УХЛ2)-1 fdr IP54 (ACC)</v>
      </c>
      <c r="C64" s="13" t="s">
        <v>34</v>
      </c>
      <c r="D64" s="18" t="s">
        <v>239</v>
      </c>
      <c r="E64" s="12" t="s">
        <v>240</v>
      </c>
      <c r="F64" s="12">
        <v>1086</v>
      </c>
      <c r="G64" s="15">
        <f t="shared" ref="G64:G74" si="20">F64*0.6</f>
        <v>651.6</v>
      </c>
      <c r="H64" s="15">
        <f t="shared" si="19"/>
        <v>651.6</v>
      </c>
      <c r="I64" s="12">
        <v>1</v>
      </c>
      <c r="J64" s="17" t="s">
        <v>13</v>
      </c>
      <c r="K64" s="13" t="s">
        <v>17</v>
      </c>
      <c r="L64" s="15">
        <v>651.6</v>
      </c>
    </row>
    <row r="65" spans="1:12" ht="21" customHeight="1" outlineLevel="2" x14ac:dyDescent="0.25">
      <c r="A65" s="12">
        <f t="shared" si="0"/>
        <v>64</v>
      </c>
      <c r="B65" s="12" t="str">
        <f t="shared" si="18"/>
        <v>ЩУ31 (РУСМ5411-2274УХЛ2)-1 fdr IP54 (ACC)</v>
      </c>
      <c r="C65" s="13" t="s">
        <v>34</v>
      </c>
      <c r="D65" s="18" t="s">
        <v>239</v>
      </c>
      <c r="E65" s="12" t="s">
        <v>240</v>
      </c>
      <c r="F65" s="12">
        <v>1086</v>
      </c>
      <c r="G65" s="15">
        <f t="shared" si="20"/>
        <v>651.6</v>
      </c>
      <c r="H65" s="15">
        <f t="shared" si="19"/>
        <v>651.6</v>
      </c>
      <c r="I65" s="12">
        <v>1</v>
      </c>
      <c r="J65" s="17" t="s">
        <v>13</v>
      </c>
      <c r="K65" s="13" t="s">
        <v>17</v>
      </c>
      <c r="L65" s="15">
        <v>651.6</v>
      </c>
    </row>
    <row r="66" spans="1:12" ht="21" customHeight="1" outlineLevel="2" x14ac:dyDescent="0.25">
      <c r="A66" s="12">
        <f t="shared" si="0"/>
        <v>65</v>
      </c>
      <c r="B66" s="12" t="str">
        <f t="shared" si="18"/>
        <v>ЩУ31 (РУСМ5411-2274УХЛ2)-1 fdr IP54 (ACC)</v>
      </c>
      <c r="C66" s="13" t="s">
        <v>34</v>
      </c>
      <c r="D66" s="18" t="s">
        <v>245</v>
      </c>
      <c r="E66" s="12" t="s">
        <v>124</v>
      </c>
      <c r="F66" s="12">
        <v>3604</v>
      </c>
      <c r="G66" s="15">
        <f t="shared" si="20"/>
        <v>2162.4</v>
      </c>
      <c r="H66" s="15">
        <f t="shared" si="19"/>
        <v>2162.4</v>
      </c>
      <c r="I66" s="12">
        <v>1</v>
      </c>
      <c r="J66" s="17" t="s">
        <v>13</v>
      </c>
      <c r="K66" s="13" t="s">
        <v>17</v>
      </c>
      <c r="L66" s="15">
        <v>2162.4</v>
      </c>
    </row>
    <row r="67" spans="1:12" ht="21" customHeight="1" outlineLevel="2" x14ac:dyDescent="0.25">
      <c r="A67" s="12">
        <f t="shared" ref="A67:A129" si="21">ROW(A66)</f>
        <v>66</v>
      </c>
      <c r="B67" s="12" t="str">
        <f t="shared" si="18"/>
        <v>ЩУ31 (РУСМ5411-2274УХЛ2)-1 fdr IP54 (ACC)</v>
      </c>
      <c r="C67" s="12" t="s">
        <v>115</v>
      </c>
      <c r="D67" s="18" t="s">
        <v>116</v>
      </c>
      <c r="E67" s="12" t="s">
        <v>117</v>
      </c>
      <c r="F67" s="12">
        <v>2177</v>
      </c>
      <c r="G67" s="15">
        <f t="shared" si="20"/>
        <v>1306.2</v>
      </c>
      <c r="H67" s="15">
        <f t="shared" si="19"/>
        <v>1306.2</v>
      </c>
      <c r="I67" s="12">
        <v>1</v>
      </c>
      <c r="J67" s="17" t="s">
        <v>13</v>
      </c>
      <c r="K67" s="13" t="s">
        <v>17</v>
      </c>
      <c r="L67" s="15">
        <v>1306.2</v>
      </c>
    </row>
    <row r="68" spans="1:12" ht="21" customHeight="1" outlineLevel="2" x14ac:dyDescent="0.25">
      <c r="A68" s="12">
        <f t="shared" si="21"/>
        <v>67</v>
      </c>
      <c r="B68" s="12" t="str">
        <f t="shared" si="18"/>
        <v>ЩУ31 (РУСМ5411-2274УХЛ2)-1 fdr IP54 (ACC)</v>
      </c>
      <c r="C68" s="13" t="s">
        <v>77</v>
      </c>
      <c r="D68" s="18" t="s">
        <v>88</v>
      </c>
      <c r="E68" s="12" t="s">
        <v>89</v>
      </c>
      <c r="F68" s="12">
        <v>5214</v>
      </c>
      <c r="G68" s="15">
        <f t="shared" si="20"/>
        <v>3128.4</v>
      </c>
      <c r="H68" s="15">
        <f t="shared" si="19"/>
        <v>3128.4</v>
      </c>
      <c r="I68" s="12">
        <v>1</v>
      </c>
      <c r="J68" s="17" t="s">
        <v>13</v>
      </c>
      <c r="K68" s="13" t="s">
        <v>17</v>
      </c>
      <c r="L68" s="15">
        <v>3128.4</v>
      </c>
    </row>
    <row r="69" spans="1:12" ht="21" customHeight="1" outlineLevel="2" x14ac:dyDescent="0.25">
      <c r="A69" s="12">
        <f t="shared" si="21"/>
        <v>68</v>
      </c>
      <c r="B69" s="12" t="str">
        <f t="shared" si="18"/>
        <v>ЩУ31 (РУСМ5411-2274УХЛ2)-1 fdr IP54 (ACC)</v>
      </c>
      <c r="C69" s="12" t="s">
        <v>123</v>
      </c>
      <c r="D69" s="14" t="s">
        <v>90</v>
      </c>
      <c r="E69" s="12" t="s">
        <v>91</v>
      </c>
      <c r="F69" s="13">
        <v>4315</v>
      </c>
      <c r="G69" s="15">
        <f t="shared" si="20"/>
        <v>2589</v>
      </c>
      <c r="H69" s="15">
        <f t="shared" si="19"/>
        <v>2589</v>
      </c>
      <c r="I69" s="12">
        <v>1</v>
      </c>
      <c r="J69" s="17" t="s">
        <v>13</v>
      </c>
      <c r="K69" s="13" t="s">
        <v>17</v>
      </c>
      <c r="L69" s="15">
        <v>2589</v>
      </c>
    </row>
    <row r="70" spans="1:12" ht="21" customHeight="1" outlineLevel="2" x14ac:dyDescent="0.25">
      <c r="A70" s="12">
        <f t="shared" si="21"/>
        <v>69</v>
      </c>
      <c r="B70" s="12" t="str">
        <f t="shared" si="18"/>
        <v>ЩУ31 (РУСМ5411-2274УХЛ2)-1 fdr IP54 (ACC)</v>
      </c>
      <c r="C70" s="12" t="s">
        <v>115</v>
      </c>
      <c r="D70" s="18" t="s">
        <v>116</v>
      </c>
      <c r="E70" s="12" t="s">
        <v>117</v>
      </c>
      <c r="F70" s="12">
        <v>2177</v>
      </c>
      <c r="G70" s="15">
        <f t="shared" si="20"/>
        <v>1306.2</v>
      </c>
      <c r="H70" s="15">
        <f t="shared" si="19"/>
        <v>1306.2</v>
      </c>
      <c r="I70" s="12">
        <v>1</v>
      </c>
      <c r="J70" s="17" t="s">
        <v>13</v>
      </c>
      <c r="K70" s="13" t="s">
        <v>17</v>
      </c>
      <c r="L70" s="15">
        <v>1306.2</v>
      </c>
    </row>
    <row r="71" spans="1:12" ht="21" customHeight="1" outlineLevel="2" x14ac:dyDescent="0.25">
      <c r="A71" s="12">
        <f t="shared" si="21"/>
        <v>70</v>
      </c>
      <c r="B71" s="12" t="str">
        <f t="shared" si="18"/>
        <v>ЩУ31 (РУСМ5411-2274УХЛ2)-1 fdr IP54 (ACC)</v>
      </c>
      <c r="C71" s="12" t="s">
        <v>152</v>
      </c>
      <c r="D71" s="18" t="s">
        <v>118</v>
      </c>
      <c r="E71" s="12" t="s">
        <v>119</v>
      </c>
      <c r="F71" s="12">
        <v>1610</v>
      </c>
      <c r="G71" s="15">
        <f t="shared" si="20"/>
        <v>966</v>
      </c>
      <c r="H71" s="15">
        <f t="shared" si="19"/>
        <v>966</v>
      </c>
      <c r="I71" s="12">
        <v>1</v>
      </c>
      <c r="J71" s="17" t="s">
        <v>13</v>
      </c>
      <c r="K71" s="13" t="s">
        <v>17</v>
      </c>
      <c r="L71" s="15">
        <v>966</v>
      </c>
    </row>
    <row r="72" spans="1:12" ht="21" customHeight="1" outlineLevel="2" x14ac:dyDescent="0.25">
      <c r="A72" s="12">
        <f t="shared" si="21"/>
        <v>71</v>
      </c>
      <c r="B72" s="12" t="str">
        <f t="shared" si="18"/>
        <v>ЩУ31 (РУСМ5411-2274УХЛ2)-1 fdr IP54 (ACC)</v>
      </c>
      <c r="C72" s="12" t="s">
        <v>123</v>
      </c>
      <c r="D72" s="18" t="s">
        <v>120</v>
      </c>
      <c r="E72" s="12" t="s">
        <v>121</v>
      </c>
      <c r="F72" s="12">
        <v>6326</v>
      </c>
      <c r="G72" s="15">
        <f t="shared" si="20"/>
        <v>3795.6</v>
      </c>
      <c r="H72" s="15">
        <f t="shared" si="19"/>
        <v>3795.6</v>
      </c>
      <c r="I72" s="12">
        <v>1</v>
      </c>
      <c r="J72" s="17" t="s">
        <v>13</v>
      </c>
      <c r="K72" s="13" t="s">
        <v>17</v>
      </c>
      <c r="L72" s="15">
        <v>3795.6</v>
      </c>
    </row>
    <row r="73" spans="1:12" ht="21" customHeight="1" outlineLevel="2" x14ac:dyDescent="0.25">
      <c r="A73" s="12">
        <f t="shared" si="21"/>
        <v>72</v>
      </c>
      <c r="B73" s="12" t="str">
        <f t="shared" si="18"/>
        <v>ЩУ31 (РУСМ5411-2274УХЛ2)-1 fdr IP54 (ACC)</v>
      </c>
      <c r="C73" s="12" t="s">
        <v>20</v>
      </c>
      <c r="D73" s="18" t="s">
        <v>122</v>
      </c>
      <c r="E73" s="12" t="s">
        <v>26</v>
      </c>
      <c r="F73" s="12">
        <v>1836</v>
      </c>
      <c r="G73" s="15">
        <f t="shared" si="20"/>
        <v>1101.5999999999999</v>
      </c>
      <c r="H73" s="15">
        <f t="shared" si="19"/>
        <v>1101.5999999999999</v>
      </c>
      <c r="I73" s="12">
        <v>1</v>
      </c>
      <c r="J73" s="17" t="s">
        <v>13</v>
      </c>
      <c r="K73" s="13" t="s">
        <v>17</v>
      </c>
      <c r="L73" s="15">
        <v>1101.5999999999999</v>
      </c>
    </row>
    <row r="74" spans="1:12" ht="21" customHeight="1" outlineLevel="2" x14ac:dyDescent="0.25">
      <c r="A74" s="12">
        <f t="shared" si="21"/>
        <v>73</v>
      </c>
      <c r="B74" s="12" t="str">
        <f t="shared" si="18"/>
        <v>ЩУ31 (РУСМ5411-2274УХЛ2)-1 fdr IP54 (ACC)</v>
      </c>
      <c r="C74" s="12" t="s">
        <v>18</v>
      </c>
      <c r="D74" s="14" t="s">
        <v>80</v>
      </c>
      <c r="E74" s="12" t="s">
        <v>81</v>
      </c>
      <c r="F74" s="13">
        <v>571</v>
      </c>
      <c r="G74" s="15">
        <f t="shared" si="20"/>
        <v>342.59999999999997</v>
      </c>
      <c r="H74" s="15">
        <f t="shared" si="19"/>
        <v>342.59999999999997</v>
      </c>
      <c r="I74" s="12">
        <v>1</v>
      </c>
      <c r="J74" s="17" t="s">
        <v>13</v>
      </c>
      <c r="K74" s="13" t="s">
        <v>17</v>
      </c>
      <c r="L74" s="15">
        <v>342.59999999999997</v>
      </c>
    </row>
    <row r="75" spans="1:12" ht="21" customHeight="1" outlineLevel="2" x14ac:dyDescent="0.25">
      <c r="A75" s="12">
        <f t="shared" si="21"/>
        <v>74</v>
      </c>
      <c r="B75" s="12" t="str">
        <f t="shared" si="18"/>
        <v>ЩУ31 (РУСМ5411-2274УХЛ2)-1 fdr IP54 (ACC)</v>
      </c>
      <c r="C75" s="12" t="s">
        <v>10</v>
      </c>
      <c r="D75" s="18" t="s">
        <v>10</v>
      </c>
      <c r="E75" s="12" t="s">
        <v>10</v>
      </c>
      <c r="F75" s="12">
        <f ca="1">OFFSET(F75,1,2)</f>
        <v>24000</v>
      </c>
      <c r="G75" s="15">
        <f ca="1">F75</f>
        <v>24000</v>
      </c>
      <c r="H75" s="15">
        <f t="shared" ca="1" si="19"/>
        <v>24000</v>
      </c>
      <c r="I75" s="12">
        <v>1</v>
      </c>
      <c r="J75" s="17" t="s">
        <v>13</v>
      </c>
      <c r="K75" s="12" t="s">
        <v>10</v>
      </c>
      <c r="L75" s="15">
        <v>24000</v>
      </c>
    </row>
    <row r="76" spans="1:12" ht="21" customHeight="1" outlineLevel="2" x14ac:dyDescent="0.25">
      <c r="A76" s="12">
        <f t="shared" si="21"/>
        <v>75</v>
      </c>
      <c r="B76" s="12" t="str">
        <f t="shared" si="18"/>
        <v>ЩУ31 (РУСМ5411-2274УХЛ2)-1 fdr IP54 (ACC)</v>
      </c>
      <c r="C76" s="12" t="s">
        <v>11</v>
      </c>
      <c r="D76" s="18" t="s">
        <v>11</v>
      </c>
      <c r="E76" s="12" t="s">
        <v>11</v>
      </c>
      <c r="F76" s="12">
        <v>4</v>
      </c>
      <c r="G76" s="15">
        <v>100</v>
      </c>
      <c r="H76" s="15">
        <f t="shared" si="19"/>
        <v>24000</v>
      </c>
      <c r="I76" s="12">
        <f>60*F76</f>
        <v>240</v>
      </c>
      <c r="J76" s="17" t="s">
        <v>13</v>
      </c>
      <c r="K76" s="12" t="s">
        <v>11</v>
      </c>
      <c r="L76" s="15">
        <v>24000</v>
      </c>
    </row>
    <row r="77" spans="1:12" ht="21" customHeight="1" outlineLevel="1" x14ac:dyDescent="0.25">
      <c r="A77" s="12">
        <f t="shared" si="21"/>
        <v>76</v>
      </c>
      <c r="B77" s="12" t="s">
        <v>268</v>
      </c>
      <c r="C77" s="12"/>
      <c r="D77" s="18"/>
      <c r="E77" s="12"/>
      <c r="F77" s="12"/>
      <c r="G77" s="15"/>
      <c r="H77" s="15">
        <f ca="1">SUBTOTAL(9,H62:H76)</f>
        <v>78901.2</v>
      </c>
      <c r="I77" s="12"/>
      <c r="J77" s="17"/>
      <c r="K77" s="12"/>
      <c r="L77" s="15">
        <v>78901.2</v>
      </c>
    </row>
    <row r="78" spans="1:12" ht="39.75" customHeight="1" outlineLevel="2" x14ac:dyDescent="0.25">
      <c r="A78" s="10">
        <f t="shared" si="21"/>
        <v>77</v>
      </c>
      <c r="B78" s="10" t="s">
        <v>112</v>
      </c>
      <c r="C78" s="6"/>
      <c r="D78" s="7"/>
      <c r="E78" s="6" t="s">
        <v>112</v>
      </c>
      <c r="F78" s="8"/>
      <c r="G78" s="8"/>
      <c r="H78" s="9"/>
      <c r="I78" s="10">
        <v>1</v>
      </c>
      <c r="J78" s="11" t="s">
        <v>7</v>
      </c>
      <c r="K78" s="6" t="s">
        <v>9</v>
      </c>
      <c r="L78" s="9"/>
    </row>
    <row r="79" spans="1:12" ht="24" customHeight="1" outlineLevel="2" x14ac:dyDescent="0.25">
      <c r="A79" s="12">
        <f t="shared" si="21"/>
        <v>78</v>
      </c>
      <c r="B79" s="12" t="str">
        <f t="shared" ref="B79:B93" si="22">B78</f>
        <v>ШУОК-1-220П  (ACC)</v>
      </c>
      <c r="C79" s="12" t="s">
        <v>8</v>
      </c>
      <c r="D79" s="18" t="s">
        <v>227</v>
      </c>
      <c r="E79" s="12" t="s">
        <v>228</v>
      </c>
      <c r="F79" s="12">
        <v>29800</v>
      </c>
      <c r="G79" s="15">
        <f>0.6*F79</f>
        <v>17880</v>
      </c>
      <c r="H79" s="15">
        <f t="shared" ref="H79:H93" si="23">I79*G79</f>
        <v>17880</v>
      </c>
      <c r="I79" s="12">
        <v>1</v>
      </c>
      <c r="J79" s="17" t="s">
        <v>13</v>
      </c>
      <c r="K79" s="12" t="s">
        <v>16</v>
      </c>
      <c r="L79" s="15">
        <v>17880</v>
      </c>
    </row>
    <row r="80" spans="1:12" ht="24" customHeight="1" outlineLevel="2" x14ac:dyDescent="0.25">
      <c r="A80" s="12">
        <f t="shared" si="21"/>
        <v>79</v>
      </c>
      <c r="B80" s="12" t="str">
        <f t="shared" si="22"/>
        <v>ШУОК-1-220П  (ACC)</v>
      </c>
      <c r="C80" s="13" t="s">
        <v>34</v>
      </c>
      <c r="D80" s="18" t="s">
        <v>239</v>
      </c>
      <c r="E80" s="12" t="s">
        <v>240</v>
      </c>
      <c r="F80" s="12">
        <v>1086</v>
      </c>
      <c r="G80" s="15">
        <f t="shared" ref="G80:G88" si="24">F80*0.6</f>
        <v>651.6</v>
      </c>
      <c r="H80" s="15">
        <f t="shared" si="23"/>
        <v>1303.2</v>
      </c>
      <c r="I80" s="12">
        <v>2</v>
      </c>
      <c r="J80" s="17" t="s">
        <v>13</v>
      </c>
      <c r="K80" s="13" t="s">
        <v>17</v>
      </c>
      <c r="L80" s="15">
        <v>1303.2</v>
      </c>
    </row>
    <row r="81" spans="1:12" ht="24" customHeight="1" outlineLevel="2" x14ac:dyDescent="0.25">
      <c r="A81" s="12">
        <f t="shared" si="21"/>
        <v>80</v>
      </c>
      <c r="B81" s="12" t="str">
        <f t="shared" si="22"/>
        <v>ШУОК-1-220П  (ACC)</v>
      </c>
      <c r="C81" s="12" t="s">
        <v>137</v>
      </c>
      <c r="D81" s="18" t="s">
        <v>254</v>
      </c>
      <c r="E81" s="12" t="s">
        <v>255</v>
      </c>
      <c r="F81" s="12">
        <v>14767</v>
      </c>
      <c r="G81" s="15">
        <f t="shared" si="24"/>
        <v>8860.1999999999989</v>
      </c>
      <c r="H81" s="15">
        <f t="shared" si="23"/>
        <v>8860.1999999999989</v>
      </c>
      <c r="I81" s="12">
        <v>1</v>
      </c>
      <c r="J81" s="17" t="s">
        <v>13</v>
      </c>
      <c r="K81" s="13" t="s">
        <v>17</v>
      </c>
      <c r="L81" s="15">
        <v>8860.1999999999989</v>
      </c>
    </row>
    <row r="82" spans="1:12" ht="24" customHeight="1" outlineLevel="2" x14ac:dyDescent="0.25">
      <c r="A82" s="12">
        <f t="shared" si="21"/>
        <v>81</v>
      </c>
      <c r="B82" s="12" t="str">
        <f t="shared" si="22"/>
        <v>ШУОК-1-220П  (ACC)</v>
      </c>
      <c r="C82" s="12" t="s">
        <v>251</v>
      </c>
      <c r="D82" s="18" t="s">
        <v>252</v>
      </c>
      <c r="E82" s="12" t="s">
        <v>253</v>
      </c>
      <c r="F82" s="12">
        <v>2500</v>
      </c>
      <c r="G82" s="15">
        <f t="shared" si="24"/>
        <v>1500</v>
      </c>
      <c r="H82" s="15">
        <f t="shared" si="23"/>
        <v>12000</v>
      </c>
      <c r="I82" s="12">
        <v>8</v>
      </c>
      <c r="J82" s="17" t="s">
        <v>13</v>
      </c>
      <c r="K82" s="13" t="s">
        <v>17</v>
      </c>
      <c r="L82" s="15">
        <v>12000</v>
      </c>
    </row>
    <row r="83" spans="1:12" ht="24" customHeight="1" outlineLevel="2" x14ac:dyDescent="0.25">
      <c r="A83" s="12">
        <f t="shared" si="21"/>
        <v>82</v>
      </c>
      <c r="B83" s="12" t="str">
        <f t="shared" si="22"/>
        <v>ШУОК-1-220П  (ACC)</v>
      </c>
      <c r="C83" s="12" t="s">
        <v>258</v>
      </c>
      <c r="D83" s="18" t="s">
        <v>256</v>
      </c>
      <c r="E83" s="12" t="s">
        <v>257</v>
      </c>
      <c r="F83" s="12">
        <v>682</v>
      </c>
      <c r="G83" s="15">
        <f t="shared" si="24"/>
        <v>409.2</v>
      </c>
      <c r="H83" s="15">
        <f t="shared" si="23"/>
        <v>3273.6</v>
      </c>
      <c r="I83" s="12">
        <v>8</v>
      </c>
      <c r="J83" s="17" t="s">
        <v>13</v>
      </c>
      <c r="K83" s="13" t="s">
        <v>17</v>
      </c>
      <c r="L83" s="15">
        <v>3273.6</v>
      </c>
    </row>
    <row r="84" spans="1:12" ht="24" customHeight="1" outlineLevel="2" x14ac:dyDescent="0.25">
      <c r="A84" s="12">
        <f t="shared" si="21"/>
        <v>83</v>
      </c>
      <c r="B84" s="12" t="str">
        <f t="shared" si="22"/>
        <v>ШУОК-1-220П  (ACC)</v>
      </c>
      <c r="C84" s="12" t="s">
        <v>20</v>
      </c>
      <c r="D84" s="18" t="s">
        <v>247</v>
      </c>
      <c r="E84" s="12" t="s">
        <v>248</v>
      </c>
      <c r="F84" s="12">
        <v>4365</v>
      </c>
      <c r="G84" s="15">
        <f t="shared" si="24"/>
        <v>2619</v>
      </c>
      <c r="H84" s="15">
        <f t="shared" si="23"/>
        <v>2619</v>
      </c>
      <c r="I84" s="12">
        <v>1</v>
      </c>
      <c r="J84" s="17" t="s">
        <v>13</v>
      </c>
      <c r="K84" s="13" t="s">
        <v>17</v>
      </c>
      <c r="L84" s="15">
        <v>2619</v>
      </c>
    </row>
    <row r="85" spans="1:12" ht="24" customHeight="1" outlineLevel="2" x14ac:dyDescent="0.25">
      <c r="A85" s="12">
        <f t="shared" si="21"/>
        <v>84</v>
      </c>
      <c r="B85" s="12" t="str">
        <f t="shared" si="22"/>
        <v>ШУОК-1-220П  (ACC)</v>
      </c>
      <c r="C85" s="12" t="s">
        <v>20</v>
      </c>
      <c r="D85" s="18" t="s">
        <v>249</v>
      </c>
      <c r="E85" s="12" t="s">
        <v>250</v>
      </c>
      <c r="F85" s="12">
        <v>1602</v>
      </c>
      <c r="G85" s="15">
        <f t="shared" si="24"/>
        <v>961.19999999999993</v>
      </c>
      <c r="H85" s="15">
        <f t="shared" si="23"/>
        <v>4806</v>
      </c>
      <c r="I85" s="12">
        <v>5</v>
      </c>
      <c r="J85" s="17" t="s">
        <v>13</v>
      </c>
      <c r="K85" s="13" t="s">
        <v>17</v>
      </c>
      <c r="L85" s="15">
        <v>4806</v>
      </c>
    </row>
    <row r="86" spans="1:12" ht="24" customHeight="1" outlineLevel="2" x14ac:dyDescent="0.25">
      <c r="A86" s="12">
        <f t="shared" si="21"/>
        <v>85</v>
      </c>
      <c r="B86" s="12" t="str">
        <f t="shared" si="22"/>
        <v>ШУОК-1-220П  (ACC)</v>
      </c>
      <c r="C86" s="12" t="s">
        <v>152</v>
      </c>
      <c r="D86" s="18" t="s">
        <v>118</v>
      </c>
      <c r="E86" s="12" t="s">
        <v>119</v>
      </c>
      <c r="F86" s="12">
        <v>1610</v>
      </c>
      <c r="G86" s="15">
        <f t="shared" si="24"/>
        <v>966</v>
      </c>
      <c r="H86" s="15">
        <f t="shared" si="23"/>
        <v>966</v>
      </c>
      <c r="I86" s="12">
        <v>1</v>
      </c>
      <c r="J86" s="17" t="s">
        <v>13</v>
      </c>
      <c r="K86" s="13" t="s">
        <v>17</v>
      </c>
      <c r="L86" s="15">
        <v>966</v>
      </c>
    </row>
    <row r="87" spans="1:12" ht="24" customHeight="1" outlineLevel="2" x14ac:dyDescent="0.25">
      <c r="A87" s="12">
        <f t="shared" si="21"/>
        <v>86</v>
      </c>
      <c r="B87" s="12" t="str">
        <f t="shared" si="22"/>
        <v>ШУОК-1-220П  (ACC)</v>
      </c>
      <c r="C87" s="12" t="s">
        <v>155</v>
      </c>
      <c r="D87" s="14" t="s">
        <v>80</v>
      </c>
      <c r="E87" s="12" t="s">
        <v>81</v>
      </c>
      <c r="F87" s="13">
        <v>571</v>
      </c>
      <c r="G87" s="15">
        <f t="shared" si="24"/>
        <v>342.59999999999997</v>
      </c>
      <c r="H87" s="15">
        <f t="shared" si="23"/>
        <v>1712.9999999999998</v>
      </c>
      <c r="I87" s="12">
        <v>5</v>
      </c>
      <c r="J87" s="17" t="s">
        <v>13</v>
      </c>
      <c r="K87" s="13" t="s">
        <v>17</v>
      </c>
      <c r="L87" s="15">
        <v>1712.9999999999998</v>
      </c>
    </row>
    <row r="88" spans="1:12" ht="24" customHeight="1" outlineLevel="2" x14ac:dyDescent="0.25">
      <c r="A88" s="12">
        <f t="shared" si="21"/>
        <v>87</v>
      </c>
      <c r="B88" s="12" t="str">
        <f t="shared" si="22"/>
        <v>ШУОК-1-220П  (ACC)</v>
      </c>
      <c r="C88" s="12" t="s">
        <v>155</v>
      </c>
      <c r="D88" s="14" t="s">
        <v>79</v>
      </c>
      <c r="E88" s="12" t="s">
        <v>25</v>
      </c>
      <c r="F88" s="13">
        <v>589</v>
      </c>
      <c r="G88" s="15">
        <f t="shared" si="24"/>
        <v>353.4</v>
      </c>
      <c r="H88" s="15">
        <f t="shared" si="23"/>
        <v>1767</v>
      </c>
      <c r="I88" s="12">
        <v>5</v>
      </c>
      <c r="J88" s="17" t="s">
        <v>13</v>
      </c>
      <c r="K88" s="13" t="s">
        <v>17</v>
      </c>
      <c r="L88" s="15">
        <v>1767</v>
      </c>
    </row>
    <row r="89" spans="1:12" ht="24" customHeight="1" outlineLevel="2" x14ac:dyDescent="0.25">
      <c r="A89" s="12">
        <f t="shared" si="21"/>
        <v>88</v>
      </c>
      <c r="B89" s="12" t="str">
        <f t="shared" si="22"/>
        <v>ШУОК-1-220П  (ACC)</v>
      </c>
      <c r="C89" s="12" t="s">
        <v>173</v>
      </c>
      <c r="D89" s="18" t="s">
        <v>225</v>
      </c>
      <c r="E89" s="12" t="s">
        <v>226</v>
      </c>
      <c r="F89" s="12">
        <v>110</v>
      </c>
      <c r="G89" s="15">
        <f t="shared" ref="G89:G91" si="25">F89</f>
        <v>110</v>
      </c>
      <c r="H89" s="15">
        <f t="shared" si="23"/>
        <v>5280</v>
      </c>
      <c r="I89" s="12">
        <v>48</v>
      </c>
      <c r="J89" s="17" t="s">
        <v>13</v>
      </c>
      <c r="K89" s="13" t="s">
        <v>28</v>
      </c>
      <c r="L89" s="15">
        <v>5280</v>
      </c>
    </row>
    <row r="90" spans="1:12" ht="24" customHeight="1" outlineLevel="2" x14ac:dyDescent="0.25">
      <c r="A90" s="12">
        <f t="shared" si="21"/>
        <v>89</v>
      </c>
      <c r="B90" s="12" t="str">
        <f t="shared" si="22"/>
        <v>ШУОК-1-220П  (ACC)</v>
      </c>
      <c r="C90" s="12" t="s">
        <v>186</v>
      </c>
      <c r="D90" s="18" t="s">
        <v>223</v>
      </c>
      <c r="E90" s="12" t="s">
        <v>224</v>
      </c>
      <c r="F90" s="12">
        <v>2200</v>
      </c>
      <c r="G90" s="15">
        <f t="shared" si="25"/>
        <v>2200</v>
      </c>
      <c r="H90" s="15">
        <f t="shared" si="23"/>
        <v>4400</v>
      </c>
      <c r="I90" s="12">
        <v>2</v>
      </c>
      <c r="J90" s="12" t="s">
        <v>184</v>
      </c>
      <c r="K90" s="13" t="s">
        <v>28</v>
      </c>
      <c r="L90" s="15">
        <v>4400</v>
      </c>
    </row>
    <row r="91" spans="1:12" ht="24" customHeight="1" outlineLevel="2" x14ac:dyDescent="0.25">
      <c r="A91" s="12">
        <f t="shared" si="21"/>
        <v>90</v>
      </c>
      <c r="B91" s="12" t="str">
        <f t="shared" si="22"/>
        <v>ШУОК-1-220П  (ACC)</v>
      </c>
      <c r="C91" s="12" t="s">
        <v>192</v>
      </c>
      <c r="D91" s="18" t="s">
        <v>193</v>
      </c>
      <c r="E91" s="12" t="s">
        <v>194</v>
      </c>
      <c r="F91" s="12">
        <v>500</v>
      </c>
      <c r="G91" s="15">
        <f t="shared" si="25"/>
        <v>500</v>
      </c>
      <c r="H91" s="15">
        <f t="shared" si="23"/>
        <v>3000</v>
      </c>
      <c r="I91" s="12">
        <v>6</v>
      </c>
      <c r="J91" s="17" t="s">
        <v>13</v>
      </c>
      <c r="K91" s="13" t="s">
        <v>28</v>
      </c>
      <c r="L91" s="15">
        <v>3000</v>
      </c>
    </row>
    <row r="92" spans="1:12" ht="24" customHeight="1" outlineLevel="2" x14ac:dyDescent="0.25">
      <c r="A92" s="12">
        <f t="shared" si="21"/>
        <v>91</v>
      </c>
      <c r="B92" s="12" t="str">
        <f t="shared" si="22"/>
        <v>ШУОК-1-220П  (ACC)</v>
      </c>
      <c r="C92" s="12" t="s">
        <v>10</v>
      </c>
      <c r="D92" s="18" t="s">
        <v>10</v>
      </c>
      <c r="E92" s="12" t="s">
        <v>10</v>
      </c>
      <c r="F92" s="12">
        <f ca="1">OFFSET(F92,1,2)</f>
        <v>24000</v>
      </c>
      <c r="G92" s="15">
        <f ca="1">F92</f>
        <v>24000</v>
      </c>
      <c r="H92" s="15">
        <f t="shared" ca="1" si="23"/>
        <v>24000</v>
      </c>
      <c r="I92" s="12">
        <v>1</v>
      </c>
      <c r="J92" s="17" t="s">
        <v>13</v>
      </c>
      <c r="K92" s="12" t="s">
        <v>10</v>
      </c>
      <c r="L92" s="15">
        <v>24000</v>
      </c>
    </row>
    <row r="93" spans="1:12" ht="24" customHeight="1" outlineLevel="2" x14ac:dyDescent="0.25">
      <c r="A93" s="12">
        <f t="shared" si="21"/>
        <v>92</v>
      </c>
      <c r="B93" s="12" t="str">
        <f t="shared" si="22"/>
        <v>ШУОК-1-220П  (ACC)</v>
      </c>
      <c r="C93" s="12" t="s">
        <v>11</v>
      </c>
      <c r="D93" s="18" t="s">
        <v>11</v>
      </c>
      <c r="E93" s="12" t="s">
        <v>11</v>
      </c>
      <c r="F93" s="12">
        <v>4</v>
      </c>
      <c r="G93" s="15">
        <v>100</v>
      </c>
      <c r="H93" s="15">
        <f t="shared" si="23"/>
        <v>24000</v>
      </c>
      <c r="I93" s="12">
        <f>60*F93</f>
        <v>240</v>
      </c>
      <c r="J93" s="17" t="s">
        <v>13</v>
      </c>
      <c r="K93" s="12" t="s">
        <v>11</v>
      </c>
      <c r="L93" s="15">
        <v>24000</v>
      </c>
    </row>
    <row r="94" spans="1:12" ht="24" customHeight="1" outlineLevel="1" x14ac:dyDescent="0.25">
      <c r="A94" s="12">
        <f t="shared" si="21"/>
        <v>93</v>
      </c>
      <c r="B94" s="12" t="s">
        <v>269</v>
      </c>
      <c r="C94" s="12"/>
      <c r="D94" s="18"/>
      <c r="E94" s="12"/>
      <c r="F94" s="12"/>
      <c r="G94" s="15"/>
      <c r="H94" s="15">
        <f ca="1">SUBTOTAL(9,H78:H93)</f>
        <v>115868</v>
      </c>
      <c r="I94" s="12"/>
      <c r="J94" s="17"/>
      <c r="K94" s="12"/>
      <c r="L94" s="15">
        <v>115868</v>
      </c>
    </row>
    <row r="95" spans="1:12" ht="39.75" customHeight="1" outlineLevel="2" x14ac:dyDescent="0.25">
      <c r="A95" s="10">
        <f t="shared" si="21"/>
        <v>94</v>
      </c>
      <c r="B95" s="10" t="s">
        <v>202</v>
      </c>
      <c r="C95" s="6"/>
      <c r="D95" s="7"/>
      <c r="E95" s="6" t="s">
        <v>202</v>
      </c>
      <c r="F95" s="8"/>
      <c r="G95" s="8"/>
      <c r="H95" s="9"/>
      <c r="I95" s="10">
        <v>1</v>
      </c>
      <c r="J95" s="11" t="s">
        <v>7</v>
      </c>
      <c r="K95" s="6" t="s">
        <v>9</v>
      </c>
      <c r="L95" s="9"/>
    </row>
    <row r="96" spans="1:12" ht="21" customHeight="1" outlineLevel="2" x14ac:dyDescent="0.25">
      <c r="A96" s="16">
        <f t="shared" si="21"/>
        <v>95</v>
      </c>
      <c r="B96" s="16" t="str">
        <f t="shared" ref="B96:B102" si="26">B95</f>
        <v>ЩАВР1-(АВР-Б-25-2-1) (ACC)</v>
      </c>
      <c r="C96" s="13" t="s">
        <v>8</v>
      </c>
      <c r="D96" s="18" t="s">
        <v>227</v>
      </c>
      <c r="E96" s="12" t="s">
        <v>228</v>
      </c>
      <c r="F96" s="12">
        <v>29800</v>
      </c>
      <c r="G96" s="15">
        <f>0.6*F96</f>
        <v>17880</v>
      </c>
      <c r="H96" s="15">
        <f t="shared" ref="H96:H102" si="27">I96*G96</f>
        <v>17880</v>
      </c>
      <c r="I96" s="16">
        <v>1</v>
      </c>
      <c r="J96" s="17" t="s">
        <v>13</v>
      </c>
      <c r="K96" s="13" t="s">
        <v>16</v>
      </c>
      <c r="L96" s="15">
        <v>17880</v>
      </c>
    </row>
    <row r="97" spans="1:12" ht="21" customHeight="1" outlineLevel="2" x14ac:dyDescent="0.25">
      <c r="A97" s="16">
        <f t="shared" si="21"/>
        <v>96</v>
      </c>
      <c r="B97" s="16" t="str">
        <f t="shared" si="26"/>
        <v>ЩАВР1-(АВР-Б-25-2-1) (ACC)</v>
      </c>
      <c r="C97" s="13" t="s">
        <v>73</v>
      </c>
      <c r="D97" s="14" t="s">
        <v>217</v>
      </c>
      <c r="E97" s="12" t="s">
        <v>218</v>
      </c>
      <c r="F97" s="13">
        <v>114080</v>
      </c>
      <c r="G97" s="15">
        <f t="shared" ref="G97:G100" si="28">F97*0.6</f>
        <v>68448</v>
      </c>
      <c r="H97" s="15">
        <f t="shared" si="27"/>
        <v>68448</v>
      </c>
      <c r="I97" s="16">
        <v>1</v>
      </c>
      <c r="J97" s="17" t="s">
        <v>13</v>
      </c>
      <c r="K97" s="13" t="s">
        <v>17</v>
      </c>
      <c r="L97" s="15">
        <v>68448</v>
      </c>
    </row>
    <row r="98" spans="1:12" ht="21" customHeight="1" outlineLevel="2" x14ac:dyDescent="0.25">
      <c r="A98" s="16">
        <f t="shared" si="21"/>
        <v>97</v>
      </c>
      <c r="B98" s="16" t="str">
        <f t="shared" si="26"/>
        <v>ЩАВР1-(АВР-Б-25-2-1) (ACC)</v>
      </c>
      <c r="C98" s="12" t="s">
        <v>18</v>
      </c>
      <c r="D98" s="14" t="s">
        <v>79</v>
      </c>
      <c r="E98" s="12" t="s">
        <v>25</v>
      </c>
      <c r="F98" s="13">
        <v>589</v>
      </c>
      <c r="G98" s="15">
        <f t="shared" si="28"/>
        <v>353.4</v>
      </c>
      <c r="H98" s="15">
        <f t="shared" si="27"/>
        <v>706.8</v>
      </c>
      <c r="I98" s="16">
        <v>2</v>
      </c>
      <c r="J98" s="17" t="s">
        <v>13</v>
      </c>
      <c r="K98" s="13" t="s">
        <v>17</v>
      </c>
      <c r="L98" s="15">
        <v>706.8</v>
      </c>
    </row>
    <row r="99" spans="1:12" ht="21" customHeight="1" outlineLevel="2" x14ac:dyDescent="0.25">
      <c r="A99" s="16">
        <f t="shared" si="21"/>
        <v>98</v>
      </c>
      <c r="B99" s="16" t="str">
        <f t="shared" si="26"/>
        <v>ЩАВР1-(АВР-Б-25-2-1) (ACC)</v>
      </c>
      <c r="C99" s="12" t="s">
        <v>18</v>
      </c>
      <c r="D99" s="14" t="s">
        <v>80</v>
      </c>
      <c r="E99" s="12" t="s">
        <v>81</v>
      </c>
      <c r="F99" s="13">
        <v>571</v>
      </c>
      <c r="G99" s="15">
        <f t="shared" si="28"/>
        <v>342.59999999999997</v>
      </c>
      <c r="H99" s="15">
        <f t="shared" si="27"/>
        <v>685.19999999999993</v>
      </c>
      <c r="I99" s="16">
        <v>2</v>
      </c>
      <c r="J99" s="17" t="s">
        <v>13</v>
      </c>
      <c r="K99" s="13" t="s">
        <v>17</v>
      </c>
      <c r="L99" s="15">
        <v>685.19999999999993</v>
      </c>
    </row>
    <row r="100" spans="1:12" ht="21" customHeight="1" outlineLevel="2" x14ac:dyDescent="0.25">
      <c r="A100" s="16">
        <f t="shared" si="21"/>
        <v>99</v>
      </c>
      <c r="B100" s="16" t="str">
        <f t="shared" si="26"/>
        <v>ЩАВР1-(АВР-Б-25-2-1) (ACC)</v>
      </c>
      <c r="C100" s="13" t="s">
        <v>34</v>
      </c>
      <c r="D100" s="14" t="s">
        <v>23</v>
      </c>
      <c r="E100" s="12" t="s">
        <v>30</v>
      </c>
      <c r="F100" s="13">
        <v>975</v>
      </c>
      <c r="G100" s="15">
        <f t="shared" si="28"/>
        <v>585</v>
      </c>
      <c r="H100" s="15">
        <f t="shared" si="27"/>
        <v>1170</v>
      </c>
      <c r="I100" s="16">
        <v>2</v>
      </c>
      <c r="J100" s="17" t="s">
        <v>13</v>
      </c>
      <c r="K100" s="13" t="s">
        <v>17</v>
      </c>
      <c r="L100" s="15">
        <v>1170</v>
      </c>
    </row>
    <row r="101" spans="1:12" ht="24" customHeight="1" outlineLevel="2" x14ac:dyDescent="0.25">
      <c r="A101" s="12">
        <f t="shared" si="21"/>
        <v>100</v>
      </c>
      <c r="B101" s="12" t="str">
        <f t="shared" si="26"/>
        <v>ЩАВР1-(АВР-Б-25-2-1) (ACC)</v>
      </c>
      <c r="C101" s="12" t="s">
        <v>10</v>
      </c>
      <c r="D101" s="18" t="s">
        <v>10</v>
      </c>
      <c r="E101" s="12" t="s">
        <v>10</v>
      </c>
      <c r="F101" s="26">
        <f>H102</f>
        <v>15000</v>
      </c>
      <c r="G101" s="15">
        <f>F101</f>
        <v>15000</v>
      </c>
      <c r="H101" s="15">
        <f t="shared" si="27"/>
        <v>15000</v>
      </c>
      <c r="I101" s="12">
        <v>1</v>
      </c>
      <c r="J101" s="17" t="s">
        <v>13</v>
      </c>
      <c r="K101" s="12" t="s">
        <v>10</v>
      </c>
      <c r="L101" s="15">
        <v>15000</v>
      </c>
    </row>
    <row r="102" spans="1:12" ht="21" customHeight="1" outlineLevel="2" x14ac:dyDescent="0.25">
      <c r="A102" s="12">
        <f t="shared" si="21"/>
        <v>101</v>
      </c>
      <c r="B102" s="12" t="str">
        <f t="shared" si="26"/>
        <v>ЩАВР1-(АВР-Б-25-2-1) (ACC)</v>
      </c>
      <c r="C102" s="12" t="s">
        <v>11</v>
      </c>
      <c r="D102" s="18" t="s">
        <v>11</v>
      </c>
      <c r="E102" s="12" t="s">
        <v>11</v>
      </c>
      <c r="F102" s="12">
        <v>2.5</v>
      </c>
      <c r="G102" s="15">
        <v>100</v>
      </c>
      <c r="H102" s="15">
        <f t="shared" si="27"/>
        <v>15000</v>
      </c>
      <c r="I102" s="12">
        <f>60*F102</f>
        <v>150</v>
      </c>
      <c r="J102" s="17" t="s">
        <v>13</v>
      </c>
      <c r="K102" s="12" t="s">
        <v>11</v>
      </c>
      <c r="L102" s="15">
        <v>15000</v>
      </c>
    </row>
    <row r="103" spans="1:12" ht="21" customHeight="1" outlineLevel="1" x14ac:dyDescent="0.25">
      <c r="A103" s="12">
        <f t="shared" si="21"/>
        <v>102</v>
      </c>
      <c r="B103" s="12" t="s">
        <v>270</v>
      </c>
      <c r="C103" s="12"/>
      <c r="D103" s="18"/>
      <c r="E103" s="12"/>
      <c r="F103" s="12"/>
      <c r="G103" s="15"/>
      <c r="H103" s="15">
        <f>SUBTOTAL(9,H95:H102)</f>
        <v>118890</v>
      </c>
      <c r="I103" s="12"/>
      <c r="J103" s="17"/>
      <c r="K103" s="12"/>
      <c r="L103" s="15">
        <v>118890</v>
      </c>
    </row>
    <row r="104" spans="1:12" ht="39.75" customHeight="1" outlineLevel="2" x14ac:dyDescent="0.25">
      <c r="A104" s="10">
        <f t="shared" si="21"/>
        <v>103</v>
      </c>
      <c r="B104" s="10" t="s">
        <v>113</v>
      </c>
      <c r="C104" s="6"/>
      <c r="D104" s="7"/>
      <c r="E104" s="6" t="s">
        <v>113</v>
      </c>
      <c r="F104" s="8"/>
      <c r="G104" s="8"/>
      <c r="H104" s="9"/>
      <c r="I104" s="10">
        <v>1</v>
      </c>
      <c r="J104" s="11" t="s">
        <v>7</v>
      </c>
      <c r="K104" s="6" t="s">
        <v>9</v>
      </c>
      <c r="L104" s="9"/>
    </row>
    <row r="105" spans="1:12" ht="21" customHeight="1" outlineLevel="2" x14ac:dyDescent="0.25">
      <c r="A105" s="12">
        <f t="shared" si="21"/>
        <v>104</v>
      </c>
      <c r="B105" s="12" t="str">
        <f t="shared" ref="B105:B118" si="29">B104</f>
        <v>ЩУ31 (РУСМ5411-2274УХЛ2)-1 fdr IP54 (garaj)</v>
      </c>
      <c r="C105" s="12" t="s">
        <v>8</v>
      </c>
      <c r="D105" s="18" t="s">
        <v>229</v>
      </c>
      <c r="E105" s="12" t="s">
        <v>230</v>
      </c>
      <c r="F105" s="12">
        <v>21500</v>
      </c>
      <c r="G105" s="15">
        <f>0.6*F105</f>
        <v>12900</v>
      </c>
      <c r="H105" s="15">
        <f t="shared" ref="H105:H118" si="30">I105*G105</f>
        <v>12900</v>
      </c>
      <c r="I105" s="12">
        <v>1</v>
      </c>
      <c r="J105" s="17" t="s">
        <v>13</v>
      </c>
      <c r="K105" s="12" t="s">
        <v>16</v>
      </c>
      <c r="L105" s="15">
        <v>12900</v>
      </c>
    </row>
    <row r="106" spans="1:12" ht="21" customHeight="1" outlineLevel="2" x14ac:dyDescent="0.25">
      <c r="A106" s="12">
        <f t="shared" si="21"/>
        <v>105</v>
      </c>
      <c r="B106" s="12" t="str">
        <f t="shared" si="29"/>
        <v>ЩУ31 (РУСМ5411-2274УХЛ2)-1 fdr IP54 (garaj)</v>
      </c>
      <c r="C106" s="13" t="s">
        <v>34</v>
      </c>
      <c r="D106" s="18" t="s">
        <v>239</v>
      </c>
      <c r="E106" s="12" t="s">
        <v>240</v>
      </c>
      <c r="F106" s="12">
        <v>1086</v>
      </c>
      <c r="G106" s="15">
        <f t="shared" ref="G106:G116" si="31">F106*0.6</f>
        <v>651.6</v>
      </c>
      <c r="H106" s="15">
        <f t="shared" si="30"/>
        <v>651.6</v>
      </c>
      <c r="I106" s="12">
        <v>1</v>
      </c>
      <c r="J106" s="17" t="s">
        <v>13</v>
      </c>
      <c r="K106" s="13" t="s">
        <v>17</v>
      </c>
      <c r="L106" s="15">
        <v>651.6</v>
      </c>
    </row>
    <row r="107" spans="1:12" ht="21" customHeight="1" outlineLevel="2" x14ac:dyDescent="0.25">
      <c r="A107" s="12">
        <f t="shared" si="21"/>
        <v>106</v>
      </c>
      <c r="B107" s="12" t="str">
        <f t="shared" si="29"/>
        <v>ЩУ31 (РУСМ5411-2274УХЛ2)-1 fdr IP54 (garaj)</v>
      </c>
      <c r="C107" s="13" t="s">
        <v>34</v>
      </c>
      <c r="D107" s="18" t="s">
        <v>239</v>
      </c>
      <c r="E107" s="12" t="s">
        <v>240</v>
      </c>
      <c r="F107" s="12">
        <v>1086</v>
      </c>
      <c r="G107" s="15">
        <f t="shared" si="31"/>
        <v>651.6</v>
      </c>
      <c r="H107" s="15">
        <f t="shared" si="30"/>
        <v>651.6</v>
      </c>
      <c r="I107" s="12">
        <v>1</v>
      </c>
      <c r="J107" s="17" t="s">
        <v>13</v>
      </c>
      <c r="K107" s="13" t="s">
        <v>17</v>
      </c>
      <c r="L107" s="15">
        <v>651.6</v>
      </c>
    </row>
    <row r="108" spans="1:12" ht="21" customHeight="1" outlineLevel="2" x14ac:dyDescent="0.25">
      <c r="A108" s="12">
        <f t="shared" si="21"/>
        <v>107</v>
      </c>
      <c r="B108" s="12" t="str">
        <f t="shared" si="29"/>
        <v>ЩУ31 (РУСМ5411-2274УХЛ2)-1 fdr IP54 (garaj)</v>
      </c>
      <c r="C108" s="13" t="s">
        <v>34</v>
      </c>
      <c r="D108" s="18" t="s">
        <v>245</v>
      </c>
      <c r="E108" s="12" t="s">
        <v>124</v>
      </c>
      <c r="F108" s="12">
        <v>3604</v>
      </c>
      <c r="G108" s="15">
        <f t="shared" si="31"/>
        <v>2162.4</v>
      </c>
      <c r="H108" s="15">
        <f t="shared" si="30"/>
        <v>2162.4</v>
      </c>
      <c r="I108" s="12">
        <v>1</v>
      </c>
      <c r="J108" s="17" t="s">
        <v>13</v>
      </c>
      <c r="K108" s="13" t="s">
        <v>17</v>
      </c>
      <c r="L108" s="15">
        <v>2162.4</v>
      </c>
    </row>
    <row r="109" spans="1:12" ht="21" customHeight="1" outlineLevel="2" x14ac:dyDescent="0.25">
      <c r="A109" s="12">
        <f t="shared" si="21"/>
        <v>108</v>
      </c>
      <c r="B109" s="12" t="str">
        <f t="shared" si="29"/>
        <v>ЩУ31 (РУСМ5411-2274УХЛ2)-1 fdr IP54 (garaj)</v>
      </c>
      <c r="C109" s="12" t="s">
        <v>115</v>
      </c>
      <c r="D109" s="18" t="s">
        <v>116</v>
      </c>
      <c r="E109" s="12" t="s">
        <v>117</v>
      </c>
      <c r="F109" s="12">
        <v>2177</v>
      </c>
      <c r="G109" s="15">
        <f t="shared" si="31"/>
        <v>1306.2</v>
      </c>
      <c r="H109" s="15">
        <f t="shared" si="30"/>
        <v>1306.2</v>
      </c>
      <c r="I109" s="12">
        <v>1</v>
      </c>
      <c r="J109" s="17" t="s">
        <v>13</v>
      </c>
      <c r="K109" s="13" t="s">
        <v>17</v>
      </c>
      <c r="L109" s="15">
        <v>1306.2</v>
      </c>
    </row>
    <row r="110" spans="1:12" ht="21" customHeight="1" outlineLevel="2" x14ac:dyDescent="0.25">
      <c r="A110" s="12">
        <f t="shared" si="21"/>
        <v>109</v>
      </c>
      <c r="B110" s="12" t="str">
        <f t="shared" si="29"/>
        <v>ЩУ31 (РУСМ5411-2274УХЛ2)-1 fdr IP54 (garaj)</v>
      </c>
      <c r="C110" s="13" t="s">
        <v>77</v>
      </c>
      <c r="D110" s="18" t="s">
        <v>88</v>
      </c>
      <c r="E110" s="12" t="s">
        <v>89</v>
      </c>
      <c r="F110" s="12">
        <v>5214</v>
      </c>
      <c r="G110" s="15">
        <f t="shared" si="31"/>
        <v>3128.4</v>
      </c>
      <c r="H110" s="15">
        <f t="shared" si="30"/>
        <v>3128.4</v>
      </c>
      <c r="I110" s="12">
        <v>1</v>
      </c>
      <c r="J110" s="17" t="s">
        <v>13</v>
      </c>
      <c r="K110" s="13" t="s">
        <v>17</v>
      </c>
      <c r="L110" s="15">
        <v>3128.4</v>
      </c>
    </row>
    <row r="111" spans="1:12" ht="21" customHeight="1" outlineLevel="2" x14ac:dyDescent="0.25">
      <c r="A111" s="12">
        <f t="shared" si="21"/>
        <v>110</v>
      </c>
      <c r="B111" s="12" t="str">
        <f t="shared" si="29"/>
        <v>ЩУ31 (РУСМ5411-2274УХЛ2)-1 fdr IP54 (garaj)</v>
      </c>
      <c r="C111" s="12" t="s">
        <v>123</v>
      </c>
      <c r="D111" s="14" t="s">
        <v>90</v>
      </c>
      <c r="E111" s="12" t="s">
        <v>91</v>
      </c>
      <c r="F111" s="13">
        <v>4315</v>
      </c>
      <c r="G111" s="15">
        <f t="shared" si="31"/>
        <v>2589</v>
      </c>
      <c r="H111" s="15">
        <f t="shared" si="30"/>
        <v>2589</v>
      </c>
      <c r="I111" s="12">
        <v>1</v>
      </c>
      <c r="J111" s="17" t="s">
        <v>13</v>
      </c>
      <c r="K111" s="13" t="s">
        <v>17</v>
      </c>
      <c r="L111" s="15">
        <v>2589</v>
      </c>
    </row>
    <row r="112" spans="1:12" ht="21" customHeight="1" outlineLevel="2" x14ac:dyDescent="0.25">
      <c r="A112" s="12">
        <f t="shared" si="21"/>
        <v>111</v>
      </c>
      <c r="B112" s="12" t="str">
        <f t="shared" si="29"/>
        <v>ЩУ31 (РУСМ5411-2274УХЛ2)-1 fdr IP54 (garaj)</v>
      </c>
      <c r="C112" s="12" t="s">
        <v>115</v>
      </c>
      <c r="D112" s="18" t="s">
        <v>116</v>
      </c>
      <c r="E112" s="12" t="s">
        <v>117</v>
      </c>
      <c r="F112" s="12">
        <v>2177</v>
      </c>
      <c r="G112" s="15">
        <f t="shared" si="31"/>
        <v>1306.2</v>
      </c>
      <c r="H112" s="15">
        <f t="shared" si="30"/>
        <v>1306.2</v>
      </c>
      <c r="I112" s="12">
        <v>1</v>
      </c>
      <c r="J112" s="17" t="s">
        <v>13</v>
      </c>
      <c r="K112" s="13" t="s">
        <v>17</v>
      </c>
      <c r="L112" s="15">
        <v>1306.2</v>
      </c>
    </row>
    <row r="113" spans="1:12" ht="21" customHeight="1" outlineLevel="2" x14ac:dyDescent="0.25">
      <c r="A113" s="12">
        <f t="shared" si="21"/>
        <v>112</v>
      </c>
      <c r="B113" s="12" t="str">
        <f t="shared" si="29"/>
        <v>ЩУ31 (РУСМ5411-2274УХЛ2)-1 fdr IP54 (garaj)</v>
      </c>
      <c r="C113" s="12" t="s">
        <v>152</v>
      </c>
      <c r="D113" s="18" t="s">
        <v>118</v>
      </c>
      <c r="E113" s="12" t="s">
        <v>119</v>
      </c>
      <c r="F113" s="12">
        <v>1610</v>
      </c>
      <c r="G113" s="15">
        <f t="shared" si="31"/>
        <v>966</v>
      </c>
      <c r="H113" s="15">
        <f t="shared" si="30"/>
        <v>966</v>
      </c>
      <c r="I113" s="12">
        <v>1</v>
      </c>
      <c r="J113" s="17" t="s">
        <v>13</v>
      </c>
      <c r="K113" s="13" t="s">
        <v>17</v>
      </c>
      <c r="L113" s="15">
        <v>966</v>
      </c>
    </row>
    <row r="114" spans="1:12" ht="21" customHeight="1" outlineLevel="2" x14ac:dyDescent="0.25">
      <c r="A114" s="12">
        <f t="shared" si="21"/>
        <v>113</v>
      </c>
      <c r="B114" s="12" t="str">
        <f t="shared" si="29"/>
        <v>ЩУ31 (РУСМ5411-2274УХЛ2)-1 fdr IP54 (garaj)</v>
      </c>
      <c r="C114" s="12" t="s">
        <v>123</v>
      </c>
      <c r="D114" s="18" t="s">
        <v>120</v>
      </c>
      <c r="E114" s="12" t="s">
        <v>121</v>
      </c>
      <c r="F114" s="12">
        <v>6326</v>
      </c>
      <c r="G114" s="15">
        <f t="shared" si="31"/>
        <v>3795.6</v>
      </c>
      <c r="H114" s="15">
        <f t="shared" si="30"/>
        <v>3795.6</v>
      </c>
      <c r="I114" s="12">
        <v>1</v>
      </c>
      <c r="J114" s="17" t="s">
        <v>13</v>
      </c>
      <c r="K114" s="13" t="s">
        <v>17</v>
      </c>
      <c r="L114" s="15">
        <v>3795.6</v>
      </c>
    </row>
    <row r="115" spans="1:12" ht="21" customHeight="1" outlineLevel="2" x14ac:dyDescent="0.25">
      <c r="A115" s="12">
        <f t="shared" si="21"/>
        <v>114</v>
      </c>
      <c r="B115" s="12" t="str">
        <f t="shared" si="29"/>
        <v>ЩУ31 (РУСМ5411-2274УХЛ2)-1 fdr IP54 (garaj)</v>
      </c>
      <c r="C115" s="12" t="s">
        <v>20</v>
      </c>
      <c r="D115" s="18" t="s">
        <v>122</v>
      </c>
      <c r="E115" s="12" t="s">
        <v>26</v>
      </c>
      <c r="F115" s="12">
        <v>1836</v>
      </c>
      <c r="G115" s="15">
        <f t="shared" si="31"/>
        <v>1101.5999999999999</v>
      </c>
      <c r="H115" s="15">
        <f t="shared" si="30"/>
        <v>1101.5999999999999</v>
      </c>
      <c r="I115" s="12">
        <v>1</v>
      </c>
      <c r="J115" s="17" t="s">
        <v>13</v>
      </c>
      <c r="K115" s="13" t="s">
        <v>17</v>
      </c>
      <c r="L115" s="15">
        <v>1101.5999999999999</v>
      </c>
    </row>
    <row r="116" spans="1:12" ht="21" customHeight="1" outlineLevel="2" x14ac:dyDescent="0.25">
      <c r="A116" s="12">
        <f t="shared" si="21"/>
        <v>115</v>
      </c>
      <c r="B116" s="12" t="str">
        <f t="shared" si="29"/>
        <v>ЩУ31 (РУСМ5411-2274УХЛ2)-1 fdr IP54 (garaj)</v>
      </c>
      <c r="C116" s="12" t="s">
        <v>18</v>
      </c>
      <c r="D116" s="14" t="s">
        <v>80</v>
      </c>
      <c r="E116" s="12" t="s">
        <v>81</v>
      </c>
      <c r="F116" s="13">
        <v>571</v>
      </c>
      <c r="G116" s="15">
        <f t="shared" si="31"/>
        <v>342.59999999999997</v>
      </c>
      <c r="H116" s="15">
        <f t="shared" si="30"/>
        <v>342.59999999999997</v>
      </c>
      <c r="I116" s="12">
        <v>1</v>
      </c>
      <c r="J116" s="17" t="s">
        <v>13</v>
      </c>
      <c r="K116" s="13" t="s">
        <v>17</v>
      </c>
      <c r="L116" s="15">
        <v>342.59999999999997</v>
      </c>
    </row>
    <row r="117" spans="1:12" ht="21" customHeight="1" outlineLevel="2" x14ac:dyDescent="0.25">
      <c r="A117" s="12">
        <f t="shared" si="21"/>
        <v>116</v>
      </c>
      <c r="B117" s="12" t="str">
        <f t="shared" si="29"/>
        <v>ЩУ31 (РУСМ5411-2274УХЛ2)-1 fdr IP54 (garaj)</v>
      </c>
      <c r="C117" s="12" t="s">
        <v>10</v>
      </c>
      <c r="D117" s="18" t="s">
        <v>10</v>
      </c>
      <c r="E117" s="12" t="s">
        <v>10</v>
      </c>
      <c r="F117" s="12">
        <f ca="1">OFFSET(F117,1,2)</f>
        <v>24000</v>
      </c>
      <c r="G117" s="15">
        <f ca="1">F117</f>
        <v>24000</v>
      </c>
      <c r="H117" s="15">
        <f t="shared" ca="1" si="30"/>
        <v>24000</v>
      </c>
      <c r="I117" s="12">
        <v>1</v>
      </c>
      <c r="J117" s="17" t="s">
        <v>13</v>
      </c>
      <c r="K117" s="12" t="s">
        <v>10</v>
      </c>
      <c r="L117" s="15">
        <v>24000</v>
      </c>
    </row>
    <row r="118" spans="1:12" ht="21" customHeight="1" outlineLevel="2" x14ac:dyDescent="0.25">
      <c r="A118" s="12">
        <f t="shared" si="21"/>
        <v>117</v>
      </c>
      <c r="B118" s="12" t="str">
        <f t="shared" si="29"/>
        <v>ЩУ31 (РУСМ5411-2274УХЛ2)-1 fdr IP54 (garaj)</v>
      </c>
      <c r="C118" s="12" t="s">
        <v>11</v>
      </c>
      <c r="D118" s="18" t="s">
        <v>11</v>
      </c>
      <c r="E118" s="12" t="s">
        <v>11</v>
      </c>
      <c r="F118" s="12">
        <v>4</v>
      </c>
      <c r="G118" s="15">
        <v>100</v>
      </c>
      <c r="H118" s="15">
        <f t="shared" si="30"/>
        <v>24000</v>
      </c>
      <c r="I118" s="12">
        <f>60*F118</f>
        <v>240</v>
      </c>
      <c r="J118" s="17" t="s">
        <v>13</v>
      </c>
      <c r="K118" s="12" t="s">
        <v>11</v>
      </c>
      <c r="L118" s="15">
        <v>24000</v>
      </c>
    </row>
    <row r="119" spans="1:12" ht="21" customHeight="1" outlineLevel="1" x14ac:dyDescent="0.25">
      <c r="A119" s="12">
        <f t="shared" si="21"/>
        <v>118</v>
      </c>
      <c r="B119" s="12" t="s">
        <v>271</v>
      </c>
      <c r="C119" s="12"/>
      <c r="D119" s="18"/>
      <c r="E119" s="12"/>
      <c r="F119" s="12"/>
      <c r="G119" s="15"/>
      <c r="H119" s="15">
        <f ca="1">SUBTOTAL(9,H104:H118)</f>
        <v>78901.2</v>
      </c>
      <c r="I119" s="12"/>
      <c r="J119" s="17"/>
      <c r="K119" s="12"/>
      <c r="L119" s="15">
        <v>78901.2</v>
      </c>
    </row>
    <row r="120" spans="1:12" ht="39.75" customHeight="1" outlineLevel="2" x14ac:dyDescent="0.25">
      <c r="A120" s="10">
        <f t="shared" si="21"/>
        <v>119</v>
      </c>
      <c r="B120" s="10" t="s">
        <v>114</v>
      </c>
      <c r="C120" s="6"/>
      <c r="D120" s="7"/>
      <c r="E120" s="6" t="s">
        <v>114</v>
      </c>
      <c r="F120" s="8"/>
      <c r="G120" s="8"/>
      <c r="H120" s="9"/>
      <c r="I120" s="10">
        <v>1</v>
      </c>
      <c r="J120" s="11" t="s">
        <v>7</v>
      </c>
      <c r="K120" s="6" t="s">
        <v>9</v>
      </c>
      <c r="L120" s="9"/>
    </row>
    <row r="121" spans="1:12" ht="21" customHeight="1" outlineLevel="2" x14ac:dyDescent="0.25">
      <c r="A121" s="16">
        <f t="shared" si="21"/>
        <v>120</v>
      </c>
      <c r="B121" s="16" t="str">
        <f t="shared" ref="B121:B127" si="32">B120</f>
        <v>ЩАВР1 (АВР-Б-50-2-1) (KPP)</v>
      </c>
      <c r="C121" s="13" t="s">
        <v>8</v>
      </c>
      <c r="D121" s="18" t="s">
        <v>227</v>
      </c>
      <c r="E121" s="12" t="s">
        <v>228</v>
      </c>
      <c r="F121" s="12">
        <v>29800</v>
      </c>
      <c r="G121" s="15">
        <f>0.6*F121</f>
        <v>17880</v>
      </c>
      <c r="H121" s="15">
        <f t="shared" ref="H121:H127" si="33">I121*G121</f>
        <v>17880</v>
      </c>
      <c r="I121" s="16">
        <v>1</v>
      </c>
      <c r="J121" s="17" t="s">
        <v>13</v>
      </c>
      <c r="K121" s="13" t="s">
        <v>16</v>
      </c>
      <c r="L121" s="15">
        <v>17880</v>
      </c>
    </row>
    <row r="122" spans="1:12" ht="21" customHeight="1" outlineLevel="2" x14ac:dyDescent="0.25">
      <c r="A122" s="16">
        <f t="shared" si="21"/>
        <v>121</v>
      </c>
      <c r="B122" s="16" t="str">
        <f t="shared" si="32"/>
        <v>ЩАВР1 (АВР-Б-50-2-1) (KPP)</v>
      </c>
      <c r="C122" s="13" t="s">
        <v>73</v>
      </c>
      <c r="D122" s="14" t="s">
        <v>104</v>
      </c>
      <c r="E122" s="12" t="s">
        <v>105</v>
      </c>
      <c r="F122" s="13">
        <v>116176</v>
      </c>
      <c r="G122" s="15">
        <f t="shared" ref="G122:G125" si="34">F122*0.6</f>
        <v>69705.599999999991</v>
      </c>
      <c r="H122" s="15">
        <f t="shared" si="33"/>
        <v>69705.599999999991</v>
      </c>
      <c r="I122" s="16">
        <v>1</v>
      </c>
      <c r="J122" s="17" t="s">
        <v>13</v>
      </c>
      <c r="K122" s="13" t="s">
        <v>17</v>
      </c>
      <c r="L122" s="15">
        <v>69705.599999999991</v>
      </c>
    </row>
    <row r="123" spans="1:12" ht="21" customHeight="1" outlineLevel="2" x14ac:dyDescent="0.25">
      <c r="A123" s="16">
        <f t="shared" si="21"/>
        <v>122</v>
      </c>
      <c r="B123" s="16" t="str">
        <f t="shared" si="32"/>
        <v>ЩАВР1 (АВР-Б-50-2-1) (KPP)</v>
      </c>
      <c r="C123" s="12" t="s">
        <v>18</v>
      </c>
      <c r="D123" s="14" t="s">
        <v>79</v>
      </c>
      <c r="E123" s="12" t="s">
        <v>25</v>
      </c>
      <c r="F123" s="13">
        <v>589</v>
      </c>
      <c r="G123" s="15">
        <f t="shared" si="34"/>
        <v>353.4</v>
      </c>
      <c r="H123" s="15">
        <f t="shared" si="33"/>
        <v>1413.6</v>
      </c>
      <c r="I123" s="16">
        <v>4</v>
      </c>
      <c r="J123" s="17" t="s">
        <v>13</v>
      </c>
      <c r="K123" s="13" t="s">
        <v>17</v>
      </c>
      <c r="L123" s="15">
        <v>1413.6</v>
      </c>
    </row>
    <row r="124" spans="1:12" ht="21" customHeight="1" outlineLevel="2" x14ac:dyDescent="0.25">
      <c r="A124" s="16">
        <f t="shared" si="21"/>
        <v>123</v>
      </c>
      <c r="B124" s="16" t="str">
        <f t="shared" si="32"/>
        <v>ЩАВР1 (АВР-Б-50-2-1) (KPP)</v>
      </c>
      <c r="C124" s="12" t="s">
        <v>18</v>
      </c>
      <c r="D124" s="14" t="s">
        <v>80</v>
      </c>
      <c r="E124" s="12" t="s">
        <v>81</v>
      </c>
      <c r="F124" s="13">
        <v>571</v>
      </c>
      <c r="G124" s="15">
        <f t="shared" si="34"/>
        <v>342.59999999999997</v>
      </c>
      <c r="H124" s="15">
        <f t="shared" si="33"/>
        <v>685.19999999999993</v>
      </c>
      <c r="I124" s="16">
        <v>2</v>
      </c>
      <c r="J124" s="17" t="s">
        <v>13</v>
      </c>
      <c r="K124" s="13" t="s">
        <v>17</v>
      </c>
      <c r="L124" s="15">
        <v>685.19999999999993</v>
      </c>
    </row>
    <row r="125" spans="1:12" ht="21" customHeight="1" outlineLevel="2" x14ac:dyDescent="0.25">
      <c r="A125" s="16">
        <f t="shared" si="21"/>
        <v>124</v>
      </c>
      <c r="B125" s="16" t="str">
        <f t="shared" si="32"/>
        <v>ЩАВР1 (АВР-Б-50-2-1) (KPP)</v>
      </c>
      <c r="C125" s="13" t="s">
        <v>34</v>
      </c>
      <c r="D125" s="14" t="s">
        <v>23</v>
      </c>
      <c r="E125" s="12" t="s">
        <v>30</v>
      </c>
      <c r="F125" s="13">
        <v>975</v>
      </c>
      <c r="G125" s="15">
        <f t="shared" si="34"/>
        <v>585</v>
      </c>
      <c r="H125" s="15">
        <f t="shared" si="33"/>
        <v>3510</v>
      </c>
      <c r="I125" s="16">
        <v>6</v>
      </c>
      <c r="J125" s="17" t="s">
        <v>13</v>
      </c>
      <c r="K125" s="13" t="s">
        <v>17</v>
      </c>
      <c r="L125" s="15">
        <v>3510</v>
      </c>
    </row>
    <row r="126" spans="1:12" ht="24" customHeight="1" outlineLevel="2" x14ac:dyDescent="0.25">
      <c r="A126" s="12">
        <f t="shared" si="21"/>
        <v>125</v>
      </c>
      <c r="B126" s="12" t="str">
        <f t="shared" si="32"/>
        <v>ЩАВР1 (АВР-Б-50-2-1) (KPP)</v>
      </c>
      <c r="C126" s="12" t="s">
        <v>10</v>
      </c>
      <c r="D126" s="18" t="s">
        <v>10</v>
      </c>
      <c r="E126" s="12" t="s">
        <v>10</v>
      </c>
      <c r="F126" s="26">
        <f>H127</f>
        <v>18000</v>
      </c>
      <c r="G126" s="15">
        <f>F126</f>
        <v>18000</v>
      </c>
      <c r="H126" s="15">
        <f t="shared" si="33"/>
        <v>18000</v>
      </c>
      <c r="I126" s="12">
        <v>1</v>
      </c>
      <c r="J126" s="17" t="s">
        <v>13</v>
      </c>
      <c r="K126" s="12" t="s">
        <v>10</v>
      </c>
      <c r="L126" s="15">
        <v>18000</v>
      </c>
    </row>
    <row r="127" spans="1:12" ht="21" customHeight="1" outlineLevel="2" x14ac:dyDescent="0.25">
      <c r="A127" s="12">
        <f t="shared" si="21"/>
        <v>126</v>
      </c>
      <c r="B127" s="12" t="str">
        <f t="shared" si="32"/>
        <v>ЩАВР1 (АВР-Б-50-2-1) (KPP)</v>
      </c>
      <c r="C127" s="12" t="s">
        <v>11</v>
      </c>
      <c r="D127" s="18" t="s">
        <v>11</v>
      </c>
      <c r="E127" s="12" t="s">
        <v>11</v>
      </c>
      <c r="F127" s="12">
        <v>3</v>
      </c>
      <c r="G127" s="15">
        <v>100</v>
      </c>
      <c r="H127" s="15">
        <f t="shared" si="33"/>
        <v>18000</v>
      </c>
      <c r="I127" s="12">
        <f>60*F127</f>
        <v>180</v>
      </c>
      <c r="J127" s="17" t="s">
        <v>13</v>
      </c>
      <c r="K127" s="12" t="s">
        <v>11</v>
      </c>
      <c r="L127" s="15">
        <v>18000</v>
      </c>
    </row>
    <row r="128" spans="1:12" ht="21" customHeight="1" outlineLevel="1" x14ac:dyDescent="0.25">
      <c r="A128" s="12">
        <f t="shared" si="21"/>
        <v>127</v>
      </c>
      <c r="B128" s="12" t="s">
        <v>272</v>
      </c>
      <c r="C128" s="12"/>
      <c r="D128" s="18"/>
      <c r="E128" s="12"/>
      <c r="F128" s="12"/>
      <c r="G128" s="15"/>
      <c r="H128" s="15">
        <f>SUBTOTAL(9,H120:H127)</f>
        <v>129194.4</v>
      </c>
      <c r="I128" s="12"/>
      <c r="J128" s="17"/>
      <c r="K128" s="12"/>
      <c r="L128" s="15">
        <v>129194.4</v>
      </c>
    </row>
    <row r="129" spans="1:12" ht="39.75" customHeight="1" outlineLevel="2" x14ac:dyDescent="0.25">
      <c r="A129" s="10">
        <f t="shared" si="21"/>
        <v>128</v>
      </c>
      <c r="B129" s="10" t="s">
        <v>86</v>
      </c>
      <c r="C129" s="6"/>
      <c r="D129" s="7"/>
      <c r="E129" s="6" t="s">
        <v>86</v>
      </c>
      <c r="F129" s="8"/>
      <c r="G129" s="8"/>
      <c r="H129" s="9"/>
      <c r="I129" s="10">
        <v>2</v>
      </c>
      <c r="J129" s="11" t="s">
        <v>7</v>
      </c>
      <c r="K129" s="6" t="s">
        <v>9</v>
      </c>
      <c r="L129" s="9"/>
    </row>
    <row r="130" spans="1:12" ht="21" customHeight="1" outlineLevel="2" x14ac:dyDescent="0.25">
      <c r="A130" s="12">
        <v>2</v>
      </c>
      <c r="B130" s="12" t="str">
        <f t="shared" ref="B130:B141" si="35">B129</f>
        <v>ЯУО9601-3474</v>
      </c>
      <c r="C130" s="12" t="s">
        <v>8</v>
      </c>
      <c r="D130" s="18" t="s">
        <v>229</v>
      </c>
      <c r="E130" s="12" t="s">
        <v>230</v>
      </c>
      <c r="F130" s="12">
        <v>21500</v>
      </c>
      <c r="G130" s="15">
        <f>0.6*F130</f>
        <v>12900</v>
      </c>
      <c r="H130" s="15">
        <f t="shared" ref="H130:H141" si="36">I130*G130</f>
        <v>12900</v>
      </c>
      <c r="I130" s="12">
        <v>1</v>
      </c>
      <c r="J130" s="17" t="s">
        <v>13</v>
      </c>
      <c r="K130" s="12" t="s">
        <v>203</v>
      </c>
      <c r="L130" s="15">
        <v>12900</v>
      </c>
    </row>
    <row r="131" spans="1:12" ht="21" customHeight="1" outlineLevel="2" x14ac:dyDescent="0.25">
      <c r="A131" s="12">
        <v>3</v>
      </c>
      <c r="B131" s="12" t="str">
        <f t="shared" si="35"/>
        <v>ЯУО9601-3474</v>
      </c>
      <c r="C131" s="13" t="s">
        <v>34</v>
      </c>
      <c r="D131" s="18" t="s">
        <v>239</v>
      </c>
      <c r="E131" s="12" t="s">
        <v>240</v>
      </c>
      <c r="F131" s="12">
        <v>1086</v>
      </c>
      <c r="G131" s="15">
        <f t="shared" ref="G131:G134" si="37">F131*0.6</f>
        <v>651.6</v>
      </c>
      <c r="H131" s="15">
        <f t="shared" si="36"/>
        <v>651.6</v>
      </c>
      <c r="I131" s="12">
        <v>1</v>
      </c>
      <c r="J131" s="17" t="s">
        <v>13</v>
      </c>
      <c r="K131" s="13" t="s">
        <v>17</v>
      </c>
      <c r="L131" s="15">
        <v>651.6</v>
      </c>
    </row>
    <row r="132" spans="1:12" ht="21" customHeight="1" outlineLevel="2" x14ac:dyDescent="0.25">
      <c r="A132" s="12">
        <v>4</v>
      </c>
      <c r="B132" s="12" t="str">
        <f t="shared" si="35"/>
        <v>ЯУО9601-3474</v>
      </c>
      <c r="C132" s="13" t="s">
        <v>34</v>
      </c>
      <c r="D132" s="18" t="s">
        <v>241</v>
      </c>
      <c r="E132" s="12" t="s">
        <v>242</v>
      </c>
      <c r="F132" s="12">
        <v>2429</v>
      </c>
      <c r="G132" s="15">
        <f t="shared" si="37"/>
        <v>1457.3999999999999</v>
      </c>
      <c r="H132" s="15">
        <f t="shared" si="36"/>
        <v>1457.3999999999999</v>
      </c>
      <c r="I132" s="12">
        <v>1</v>
      </c>
      <c r="J132" s="17" t="s">
        <v>13</v>
      </c>
      <c r="K132" s="13" t="s">
        <v>17</v>
      </c>
      <c r="L132" s="15">
        <v>1457.3999999999999</v>
      </c>
    </row>
    <row r="133" spans="1:12" ht="21" customHeight="1" outlineLevel="2" x14ac:dyDescent="0.25">
      <c r="A133" s="12">
        <v>5</v>
      </c>
      <c r="B133" s="12" t="str">
        <f t="shared" si="35"/>
        <v>ЯУО9601-3474</v>
      </c>
      <c r="C133" s="13" t="s">
        <v>77</v>
      </c>
      <c r="D133" s="18" t="s">
        <v>204</v>
      </c>
      <c r="E133" s="12" t="s">
        <v>205</v>
      </c>
      <c r="F133" s="12">
        <v>13596</v>
      </c>
      <c r="G133" s="15">
        <f t="shared" si="37"/>
        <v>8157.5999999999995</v>
      </c>
      <c r="H133" s="15">
        <f t="shared" si="36"/>
        <v>8157.5999999999995</v>
      </c>
      <c r="I133" s="12">
        <v>1</v>
      </c>
      <c r="J133" s="17" t="s">
        <v>13</v>
      </c>
      <c r="K133" s="13" t="s">
        <v>17</v>
      </c>
      <c r="L133" s="15">
        <v>8157.5999999999995</v>
      </c>
    </row>
    <row r="134" spans="1:12" ht="21" customHeight="1" outlineLevel="2" x14ac:dyDescent="0.25">
      <c r="A134" s="12">
        <v>6</v>
      </c>
      <c r="B134" s="12" t="str">
        <f t="shared" si="35"/>
        <v>ЯУО9601-3474</v>
      </c>
      <c r="C134" s="12" t="s">
        <v>123</v>
      </c>
      <c r="D134" s="18" t="s">
        <v>206</v>
      </c>
      <c r="E134" s="12" t="s">
        <v>207</v>
      </c>
      <c r="F134" s="12">
        <v>6326</v>
      </c>
      <c r="G134" s="15">
        <f t="shared" si="37"/>
        <v>3795.6</v>
      </c>
      <c r="H134" s="15">
        <f t="shared" si="36"/>
        <v>3795.6</v>
      </c>
      <c r="I134" s="12">
        <v>1</v>
      </c>
      <c r="J134" s="17" t="s">
        <v>13</v>
      </c>
      <c r="K134" s="13" t="s">
        <v>17</v>
      </c>
      <c r="L134" s="15">
        <v>3795.6</v>
      </c>
    </row>
    <row r="135" spans="1:12" ht="21" customHeight="1" outlineLevel="2" x14ac:dyDescent="0.25">
      <c r="A135" s="12">
        <v>7</v>
      </c>
      <c r="B135" s="12" t="str">
        <f t="shared" si="35"/>
        <v>ЯУО9601-3474</v>
      </c>
      <c r="C135" s="12" t="s">
        <v>208</v>
      </c>
      <c r="D135" s="18" t="s">
        <v>209</v>
      </c>
      <c r="E135" s="12" t="s">
        <v>210</v>
      </c>
      <c r="F135" s="12">
        <v>4000</v>
      </c>
      <c r="G135" s="15">
        <f t="shared" ref="G135" si="38">F135</f>
        <v>4000</v>
      </c>
      <c r="H135" s="15">
        <f t="shared" si="36"/>
        <v>4000</v>
      </c>
      <c r="I135" s="12">
        <v>1</v>
      </c>
      <c r="J135" s="17" t="s">
        <v>13</v>
      </c>
      <c r="K135" s="12" t="s">
        <v>211</v>
      </c>
      <c r="L135" s="15">
        <v>4000</v>
      </c>
    </row>
    <row r="136" spans="1:12" ht="21" customHeight="1" outlineLevel="2" x14ac:dyDescent="0.25">
      <c r="A136" s="12">
        <v>8</v>
      </c>
      <c r="B136" s="12" t="str">
        <f t="shared" si="35"/>
        <v>ЯУО9601-3474</v>
      </c>
      <c r="C136" s="12" t="s">
        <v>152</v>
      </c>
      <c r="D136" s="18" t="s">
        <v>118</v>
      </c>
      <c r="E136" s="12" t="s">
        <v>119</v>
      </c>
      <c r="F136" s="12">
        <v>1610</v>
      </c>
      <c r="G136" s="15">
        <f t="shared" ref="G136:G138" si="39">F136*0.6</f>
        <v>966</v>
      </c>
      <c r="H136" s="15">
        <f t="shared" si="36"/>
        <v>966</v>
      </c>
      <c r="I136" s="12">
        <v>1</v>
      </c>
      <c r="J136" s="17" t="s">
        <v>13</v>
      </c>
      <c r="K136" s="13" t="s">
        <v>17</v>
      </c>
      <c r="L136" s="15">
        <v>966</v>
      </c>
    </row>
    <row r="137" spans="1:12" ht="21" customHeight="1" outlineLevel="2" x14ac:dyDescent="0.25">
      <c r="A137" s="12">
        <v>9</v>
      </c>
      <c r="B137" s="12" t="str">
        <f t="shared" si="35"/>
        <v>ЯУО9601-3474</v>
      </c>
      <c r="C137" s="12" t="s">
        <v>20</v>
      </c>
      <c r="D137" s="18" t="s">
        <v>122</v>
      </c>
      <c r="E137" s="12" t="s">
        <v>26</v>
      </c>
      <c r="F137" s="12">
        <v>1836</v>
      </c>
      <c r="G137" s="15">
        <f t="shared" si="39"/>
        <v>1101.5999999999999</v>
      </c>
      <c r="H137" s="15">
        <f t="shared" si="36"/>
        <v>2203.1999999999998</v>
      </c>
      <c r="I137" s="12">
        <v>2</v>
      </c>
      <c r="J137" s="17" t="s">
        <v>13</v>
      </c>
      <c r="K137" s="13" t="s">
        <v>17</v>
      </c>
      <c r="L137" s="15">
        <v>2203.1999999999998</v>
      </c>
    </row>
    <row r="138" spans="1:12" ht="21" customHeight="1" outlineLevel="2" x14ac:dyDescent="0.25">
      <c r="A138" s="12">
        <v>10</v>
      </c>
      <c r="B138" s="12" t="str">
        <f t="shared" si="35"/>
        <v>ЯУО9601-3474</v>
      </c>
      <c r="C138" s="12" t="s">
        <v>18</v>
      </c>
      <c r="D138" s="14" t="s">
        <v>80</v>
      </c>
      <c r="E138" s="12" t="s">
        <v>81</v>
      </c>
      <c r="F138" s="13">
        <v>571</v>
      </c>
      <c r="G138" s="15">
        <f t="shared" si="39"/>
        <v>342.59999999999997</v>
      </c>
      <c r="H138" s="15">
        <f t="shared" si="36"/>
        <v>342.59999999999997</v>
      </c>
      <c r="I138" s="12">
        <v>1</v>
      </c>
      <c r="J138" s="17" t="s">
        <v>13</v>
      </c>
      <c r="K138" s="13" t="s">
        <v>17</v>
      </c>
      <c r="L138" s="15">
        <v>342.59999999999997</v>
      </c>
    </row>
    <row r="139" spans="1:12" ht="21" customHeight="1" outlineLevel="2" x14ac:dyDescent="0.25">
      <c r="A139" s="12">
        <v>11</v>
      </c>
      <c r="B139" s="12" t="str">
        <f t="shared" si="35"/>
        <v>ЯУО9601-3474</v>
      </c>
      <c r="C139" s="12" t="s">
        <v>212</v>
      </c>
      <c r="D139" s="18" t="s">
        <v>213</v>
      </c>
      <c r="E139" s="12" t="s">
        <v>214</v>
      </c>
      <c r="F139" s="12">
        <v>6500</v>
      </c>
      <c r="G139" s="15">
        <f>F139</f>
        <v>6500</v>
      </c>
      <c r="H139" s="15">
        <f t="shared" si="36"/>
        <v>6500</v>
      </c>
      <c r="I139" s="12">
        <v>1</v>
      </c>
      <c r="J139" s="17" t="s">
        <v>13</v>
      </c>
      <c r="K139" s="13" t="s">
        <v>28</v>
      </c>
      <c r="L139" s="15">
        <v>6500</v>
      </c>
    </row>
    <row r="140" spans="1:12" ht="21" customHeight="1" outlineLevel="2" x14ac:dyDescent="0.25">
      <c r="A140" s="12"/>
      <c r="B140" s="12" t="str">
        <f t="shared" si="35"/>
        <v>ЯУО9601-3474</v>
      </c>
      <c r="C140" s="12" t="s">
        <v>10</v>
      </c>
      <c r="D140" s="18" t="s">
        <v>10</v>
      </c>
      <c r="E140" s="12" t="s">
        <v>10</v>
      </c>
      <c r="F140" s="26">
        <f>H141</f>
        <v>15000</v>
      </c>
      <c r="G140" s="15">
        <f>F140</f>
        <v>15000</v>
      </c>
      <c r="H140" s="15">
        <f t="shared" si="36"/>
        <v>15000</v>
      </c>
      <c r="I140" s="12">
        <v>1</v>
      </c>
      <c r="J140" s="17" t="s">
        <v>13</v>
      </c>
      <c r="K140" s="12" t="s">
        <v>10</v>
      </c>
      <c r="L140" s="15">
        <v>15000</v>
      </c>
    </row>
    <row r="141" spans="1:12" ht="21" customHeight="1" outlineLevel="2" x14ac:dyDescent="0.25">
      <c r="A141" s="12">
        <v>13</v>
      </c>
      <c r="B141" s="12" t="str">
        <f t="shared" si="35"/>
        <v>ЯУО9601-3474</v>
      </c>
      <c r="C141" s="12" t="s">
        <v>11</v>
      </c>
      <c r="D141" s="18" t="s">
        <v>11</v>
      </c>
      <c r="E141" s="12" t="s">
        <v>11</v>
      </c>
      <c r="F141" s="12">
        <v>2.5</v>
      </c>
      <c r="G141" s="15">
        <v>100</v>
      </c>
      <c r="H141" s="15">
        <f t="shared" si="36"/>
        <v>15000</v>
      </c>
      <c r="I141" s="12">
        <f>60*F141</f>
        <v>150</v>
      </c>
      <c r="J141" s="17" t="s">
        <v>13</v>
      </c>
      <c r="K141" s="12" t="s">
        <v>11</v>
      </c>
      <c r="L141" s="15">
        <v>15000</v>
      </c>
    </row>
    <row r="142" spans="1:12" ht="21" customHeight="1" outlineLevel="1" x14ac:dyDescent="0.25">
      <c r="A142" s="12"/>
      <c r="B142" s="12" t="s">
        <v>273</v>
      </c>
      <c r="C142" s="12"/>
      <c r="D142" s="18"/>
      <c r="E142" s="12"/>
      <c r="F142" s="12"/>
      <c r="G142" s="15"/>
      <c r="H142" s="15">
        <f>SUBTOTAL(9,H129:H141)</f>
        <v>70974</v>
      </c>
      <c r="I142" s="12"/>
      <c r="J142" s="17"/>
      <c r="K142" s="12"/>
      <c r="L142" s="15">
        <v>70974</v>
      </c>
    </row>
    <row r="143" spans="1:12" ht="39.75" customHeight="1" outlineLevel="2" x14ac:dyDescent="0.25">
      <c r="A143" s="10"/>
      <c r="B143" s="10" t="s">
        <v>216</v>
      </c>
      <c r="C143" s="6"/>
      <c r="D143" s="7"/>
      <c r="E143" s="6" t="s">
        <v>216</v>
      </c>
      <c r="F143" s="8"/>
      <c r="G143" s="8"/>
      <c r="H143" s="9"/>
      <c r="I143" s="10">
        <v>1</v>
      </c>
      <c r="J143" s="11" t="s">
        <v>7</v>
      </c>
      <c r="K143" s="6" t="s">
        <v>9</v>
      </c>
      <c r="L143" s="9"/>
    </row>
    <row r="144" spans="1:12" ht="21" customHeight="1" outlineLevel="2" x14ac:dyDescent="0.25">
      <c r="A144" s="16"/>
      <c r="B144" s="16" t="str">
        <f t="shared" ref="B144:B150" si="40">B143</f>
        <v>ЯАВР3-40(АВР-Б-40-2-1)</v>
      </c>
      <c r="C144" s="13" t="s">
        <v>8</v>
      </c>
      <c r="D144" s="18" t="s">
        <v>227</v>
      </c>
      <c r="E144" s="12" t="s">
        <v>228</v>
      </c>
      <c r="F144" s="12">
        <v>29800</v>
      </c>
      <c r="G144" s="15">
        <f>0.6*F144</f>
        <v>17880</v>
      </c>
      <c r="H144" s="15">
        <f t="shared" ref="H144:H150" si="41">I144*G144</f>
        <v>17880</v>
      </c>
      <c r="I144" s="16">
        <v>1</v>
      </c>
      <c r="J144" s="17" t="s">
        <v>13</v>
      </c>
      <c r="K144" s="13" t="s">
        <v>16</v>
      </c>
      <c r="L144" s="15">
        <v>17880</v>
      </c>
    </row>
    <row r="145" spans="1:12" ht="21" customHeight="1" outlineLevel="2" x14ac:dyDescent="0.25">
      <c r="A145" s="16"/>
      <c r="B145" s="16" t="str">
        <f t="shared" si="40"/>
        <v>ЯАВР3-40(АВР-Б-40-2-1)</v>
      </c>
      <c r="C145" s="13" t="s">
        <v>73</v>
      </c>
      <c r="D145" s="14">
        <v>256759</v>
      </c>
      <c r="E145" s="12" t="s">
        <v>72</v>
      </c>
      <c r="F145" s="13">
        <v>201862</v>
      </c>
      <c r="G145" s="15">
        <f t="shared" ref="G145:G148" si="42">F145*0.6</f>
        <v>121117.2</v>
      </c>
      <c r="H145" s="15">
        <f t="shared" si="41"/>
        <v>121117.2</v>
      </c>
      <c r="I145" s="16">
        <v>1</v>
      </c>
      <c r="J145" s="17" t="s">
        <v>13</v>
      </c>
      <c r="K145" s="13" t="s">
        <v>17</v>
      </c>
      <c r="L145" s="15">
        <v>121117.2</v>
      </c>
    </row>
    <row r="146" spans="1:12" ht="21" customHeight="1" outlineLevel="2" x14ac:dyDescent="0.25">
      <c r="A146" s="16"/>
      <c r="B146" s="16" t="str">
        <f t="shared" si="40"/>
        <v>ЯАВР3-40(АВР-Б-40-2-1)</v>
      </c>
      <c r="C146" s="12" t="s">
        <v>18</v>
      </c>
      <c r="D146" s="14" t="s">
        <v>79</v>
      </c>
      <c r="E146" s="12" t="s">
        <v>25</v>
      </c>
      <c r="F146" s="13">
        <v>589</v>
      </c>
      <c r="G146" s="15">
        <f t="shared" si="42"/>
        <v>353.4</v>
      </c>
      <c r="H146" s="15">
        <f t="shared" si="41"/>
        <v>706.8</v>
      </c>
      <c r="I146" s="16">
        <v>2</v>
      </c>
      <c r="J146" s="17" t="s">
        <v>13</v>
      </c>
      <c r="K146" s="13" t="s">
        <v>17</v>
      </c>
      <c r="L146" s="15">
        <v>706.8</v>
      </c>
    </row>
    <row r="147" spans="1:12" ht="21" customHeight="1" outlineLevel="2" x14ac:dyDescent="0.25">
      <c r="A147" s="16"/>
      <c r="B147" s="16" t="str">
        <f t="shared" si="40"/>
        <v>ЯАВР3-40(АВР-Б-40-2-1)</v>
      </c>
      <c r="C147" s="12" t="s">
        <v>18</v>
      </c>
      <c r="D147" s="14" t="s">
        <v>80</v>
      </c>
      <c r="E147" s="12" t="s">
        <v>81</v>
      </c>
      <c r="F147" s="13">
        <v>571</v>
      </c>
      <c r="G147" s="15">
        <f t="shared" si="42"/>
        <v>342.59999999999997</v>
      </c>
      <c r="H147" s="15">
        <f t="shared" si="41"/>
        <v>685.19999999999993</v>
      </c>
      <c r="I147" s="16">
        <v>2</v>
      </c>
      <c r="J147" s="17" t="s">
        <v>13</v>
      </c>
      <c r="K147" s="13" t="s">
        <v>17</v>
      </c>
      <c r="L147" s="15">
        <v>685.19999999999993</v>
      </c>
    </row>
    <row r="148" spans="1:12" ht="21" customHeight="1" outlineLevel="2" x14ac:dyDescent="0.25">
      <c r="A148" s="16"/>
      <c r="B148" s="16" t="str">
        <f t="shared" si="40"/>
        <v>ЯАВР3-40(АВР-Б-40-2-1)</v>
      </c>
      <c r="C148" s="13" t="s">
        <v>34</v>
      </c>
      <c r="D148" s="14" t="s">
        <v>23</v>
      </c>
      <c r="E148" s="12" t="s">
        <v>30</v>
      </c>
      <c r="F148" s="13">
        <v>975</v>
      </c>
      <c r="G148" s="15">
        <f t="shared" si="42"/>
        <v>585</v>
      </c>
      <c r="H148" s="15">
        <f t="shared" si="41"/>
        <v>1170</v>
      </c>
      <c r="I148" s="16">
        <v>2</v>
      </c>
      <c r="J148" s="17" t="s">
        <v>13</v>
      </c>
      <c r="K148" s="13" t="s">
        <v>17</v>
      </c>
      <c r="L148" s="15">
        <v>1170</v>
      </c>
    </row>
    <row r="149" spans="1:12" ht="24" customHeight="1" outlineLevel="2" x14ac:dyDescent="0.25">
      <c r="A149" s="12"/>
      <c r="B149" s="12" t="str">
        <f t="shared" si="40"/>
        <v>ЯАВР3-40(АВР-Б-40-2-1)</v>
      </c>
      <c r="C149" s="12" t="s">
        <v>10</v>
      </c>
      <c r="D149" s="18" t="s">
        <v>10</v>
      </c>
      <c r="E149" s="12" t="s">
        <v>10</v>
      </c>
      <c r="F149" s="26">
        <f>H150</f>
        <v>15000</v>
      </c>
      <c r="G149" s="15">
        <f>F149</f>
        <v>15000</v>
      </c>
      <c r="H149" s="15">
        <f t="shared" si="41"/>
        <v>15000</v>
      </c>
      <c r="I149" s="12">
        <v>1</v>
      </c>
      <c r="J149" s="17" t="s">
        <v>13</v>
      </c>
      <c r="K149" s="12" t="s">
        <v>10</v>
      </c>
      <c r="L149" s="15">
        <v>15000</v>
      </c>
    </row>
    <row r="150" spans="1:12" ht="21" customHeight="1" outlineLevel="2" x14ac:dyDescent="0.25">
      <c r="A150" s="12"/>
      <c r="B150" s="12" t="str">
        <f t="shared" si="40"/>
        <v>ЯАВР3-40(АВР-Б-40-2-1)</v>
      </c>
      <c r="C150" s="12" t="s">
        <v>11</v>
      </c>
      <c r="D150" s="18" t="s">
        <v>11</v>
      </c>
      <c r="E150" s="12" t="s">
        <v>11</v>
      </c>
      <c r="F150" s="12">
        <v>2.5</v>
      </c>
      <c r="G150" s="15">
        <v>100</v>
      </c>
      <c r="H150" s="15">
        <f t="shared" si="41"/>
        <v>15000</v>
      </c>
      <c r="I150" s="12">
        <f>60*F150</f>
        <v>150</v>
      </c>
      <c r="J150" s="17" t="s">
        <v>13</v>
      </c>
      <c r="K150" s="12" t="s">
        <v>11</v>
      </c>
      <c r="L150" s="15">
        <v>15000</v>
      </c>
    </row>
    <row r="151" spans="1:12" ht="21" customHeight="1" outlineLevel="1" x14ac:dyDescent="0.25">
      <c r="A151" s="12"/>
      <c r="B151" s="12" t="s">
        <v>274</v>
      </c>
      <c r="C151" s="12"/>
      <c r="D151" s="18"/>
      <c r="E151" s="12"/>
      <c r="F151" s="12"/>
      <c r="G151" s="15"/>
      <c r="H151" s="15">
        <f>SUBTOTAL(9,H143:H150)</f>
        <v>171559.2</v>
      </c>
      <c r="I151" s="12"/>
      <c r="J151" s="17"/>
      <c r="K151" s="12"/>
      <c r="L151" s="15">
        <v>171559.2</v>
      </c>
    </row>
    <row r="152" spans="1:12" ht="39.75" customHeight="1" outlineLevel="2" x14ac:dyDescent="0.25">
      <c r="A152" s="10"/>
      <c r="B152" s="10" t="s">
        <v>215</v>
      </c>
      <c r="C152" s="6"/>
      <c r="D152" s="7"/>
      <c r="E152" s="6" t="s">
        <v>215</v>
      </c>
      <c r="F152" s="8"/>
      <c r="G152" s="8"/>
      <c r="H152" s="9"/>
      <c r="I152" s="10">
        <v>1</v>
      </c>
      <c r="J152" s="11" t="s">
        <v>7</v>
      </c>
      <c r="K152" s="6" t="s">
        <v>9</v>
      </c>
      <c r="L152" s="9"/>
    </row>
    <row r="153" spans="1:12" ht="21" customHeight="1" outlineLevel="2" x14ac:dyDescent="0.25">
      <c r="A153" s="16"/>
      <c r="B153" s="16" t="str">
        <f t="shared" ref="B153:B157" si="43">B152</f>
        <v>ЩГП-3(ЦРП)</v>
      </c>
      <c r="C153" s="13" t="s">
        <v>8</v>
      </c>
      <c r="D153" s="14" t="s">
        <v>233</v>
      </c>
      <c r="E153" s="12" t="s">
        <v>234</v>
      </c>
      <c r="F153" s="13">
        <v>10500</v>
      </c>
      <c r="G153" s="15">
        <f>0.6*F153</f>
        <v>6300</v>
      </c>
      <c r="H153" s="15">
        <f t="shared" ref="H153:H157" si="44">I153*G153</f>
        <v>6300</v>
      </c>
      <c r="I153" s="16">
        <v>1</v>
      </c>
      <c r="J153" s="17" t="s">
        <v>13</v>
      </c>
      <c r="K153" s="13" t="s">
        <v>16</v>
      </c>
      <c r="L153" s="15">
        <v>6300</v>
      </c>
    </row>
    <row r="154" spans="1:12" ht="21" customHeight="1" outlineLevel="2" x14ac:dyDescent="0.25">
      <c r="A154" s="16"/>
      <c r="B154" s="16" t="str">
        <f t="shared" si="43"/>
        <v>ЩГП-3(ЦРП)</v>
      </c>
      <c r="C154" s="13" t="s">
        <v>34</v>
      </c>
      <c r="D154" s="18" t="s">
        <v>241</v>
      </c>
      <c r="E154" s="12" t="s">
        <v>242</v>
      </c>
      <c r="F154" s="12">
        <v>2429</v>
      </c>
      <c r="G154" s="15">
        <f t="shared" ref="G154:G155" si="45">F154*0.6</f>
        <v>1457.3999999999999</v>
      </c>
      <c r="H154" s="15">
        <f t="shared" si="44"/>
        <v>2914.7999999999997</v>
      </c>
      <c r="I154" s="16">
        <v>2</v>
      </c>
      <c r="J154" s="17" t="s">
        <v>13</v>
      </c>
      <c r="K154" s="13" t="s">
        <v>17</v>
      </c>
      <c r="L154" s="15">
        <v>2914.7999999999997</v>
      </c>
    </row>
    <row r="155" spans="1:12" ht="21" customHeight="1" outlineLevel="2" x14ac:dyDescent="0.25">
      <c r="A155" s="16"/>
      <c r="B155" s="16" t="str">
        <f t="shared" si="43"/>
        <v>ЩГП-3(ЦРП)</v>
      </c>
      <c r="C155" s="13" t="s">
        <v>34</v>
      </c>
      <c r="D155" s="14" t="s">
        <v>243</v>
      </c>
      <c r="E155" s="12" t="s">
        <v>244</v>
      </c>
      <c r="F155" s="13">
        <v>2499</v>
      </c>
      <c r="G155" s="15">
        <f t="shared" si="45"/>
        <v>1499.3999999999999</v>
      </c>
      <c r="H155" s="15">
        <f t="shared" si="44"/>
        <v>5997.5999999999995</v>
      </c>
      <c r="I155" s="16">
        <v>4</v>
      </c>
      <c r="J155" s="17" t="s">
        <v>13</v>
      </c>
      <c r="K155" s="13" t="s">
        <v>17</v>
      </c>
      <c r="L155" s="15">
        <v>5997.5999999999995</v>
      </c>
    </row>
    <row r="156" spans="1:12" ht="24" customHeight="1" outlineLevel="2" x14ac:dyDescent="0.25">
      <c r="A156" s="12"/>
      <c r="B156" s="12" t="str">
        <f t="shared" si="43"/>
        <v>ЩГП-3(ЦРП)</v>
      </c>
      <c r="C156" s="12" t="s">
        <v>10</v>
      </c>
      <c r="D156" s="18" t="s">
        <v>10</v>
      </c>
      <c r="E156" s="12" t="s">
        <v>10</v>
      </c>
      <c r="F156" s="26">
        <f>H157</f>
        <v>6000</v>
      </c>
      <c r="G156" s="15">
        <f>F156</f>
        <v>6000</v>
      </c>
      <c r="H156" s="15">
        <f t="shared" si="44"/>
        <v>6000</v>
      </c>
      <c r="I156" s="12">
        <v>1</v>
      </c>
      <c r="J156" s="17" t="s">
        <v>13</v>
      </c>
      <c r="K156" s="12" t="s">
        <v>10</v>
      </c>
      <c r="L156" s="15">
        <v>6000</v>
      </c>
    </row>
    <row r="157" spans="1:12" ht="21" customHeight="1" outlineLevel="2" x14ac:dyDescent="0.25">
      <c r="A157" s="12"/>
      <c r="B157" s="12" t="str">
        <f t="shared" si="43"/>
        <v>ЩГП-3(ЦРП)</v>
      </c>
      <c r="C157" s="12" t="s">
        <v>11</v>
      </c>
      <c r="D157" s="18" t="s">
        <v>11</v>
      </c>
      <c r="E157" s="12" t="s">
        <v>11</v>
      </c>
      <c r="F157" s="12">
        <v>1</v>
      </c>
      <c r="G157" s="15">
        <v>100</v>
      </c>
      <c r="H157" s="15">
        <f t="shared" si="44"/>
        <v>6000</v>
      </c>
      <c r="I157" s="12">
        <f>60*F157</f>
        <v>60</v>
      </c>
      <c r="J157" s="17" t="s">
        <v>13</v>
      </c>
      <c r="K157" s="12" t="s">
        <v>11</v>
      </c>
      <c r="L157" s="15">
        <v>6000</v>
      </c>
    </row>
    <row r="158" spans="1:12" ht="21" customHeight="1" outlineLevel="1" x14ac:dyDescent="0.25">
      <c r="A158" s="12"/>
      <c r="B158" s="12" t="s">
        <v>275</v>
      </c>
      <c r="C158" s="12"/>
      <c r="D158" s="18"/>
      <c r="E158" s="12"/>
      <c r="F158" s="12"/>
      <c r="G158" s="15"/>
      <c r="H158" s="15">
        <f>SUBTOTAL(9,H152:H157)</f>
        <v>27212.399999999998</v>
      </c>
      <c r="I158" s="12"/>
      <c r="J158" s="17"/>
      <c r="K158" s="12"/>
      <c r="L158" s="15">
        <v>27212.399999999998</v>
      </c>
    </row>
    <row r="159" spans="1:12" ht="39.75" customHeight="1" outlineLevel="2" x14ac:dyDescent="0.25">
      <c r="A159" s="10"/>
      <c r="B159" s="10" t="s">
        <v>37</v>
      </c>
      <c r="C159" s="6"/>
      <c r="D159" s="7"/>
      <c r="E159" s="6" t="s">
        <v>37</v>
      </c>
      <c r="F159" s="8"/>
      <c r="G159" s="8"/>
      <c r="H159" s="9"/>
      <c r="I159" s="10">
        <v>1</v>
      </c>
      <c r="J159" s="11" t="s">
        <v>7</v>
      </c>
      <c r="K159" s="6" t="s">
        <v>9</v>
      </c>
      <c r="L159" s="9"/>
    </row>
    <row r="160" spans="1:12" ht="21" customHeight="1" outlineLevel="2" x14ac:dyDescent="0.25">
      <c r="A160" s="16"/>
      <c r="B160" s="16" t="str">
        <f t="shared" ref="B160:B165" si="46">B159</f>
        <v>ШРМ01</v>
      </c>
      <c r="C160" s="13" t="s">
        <v>8</v>
      </c>
      <c r="D160" s="14" t="s">
        <v>233</v>
      </c>
      <c r="E160" s="12" t="s">
        <v>234</v>
      </c>
      <c r="F160" s="13">
        <v>10500</v>
      </c>
      <c r="G160" s="15">
        <f>0.6*F160</f>
        <v>6300</v>
      </c>
      <c r="H160" s="15">
        <f t="shared" ref="H160:H165" si="47">I160*G160</f>
        <v>6300</v>
      </c>
      <c r="I160" s="16">
        <v>1</v>
      </c>
      <c r="J160" s="17" t="s">
        <v>13</v>
      </c>
      <c r="K160" s="13" t="s">
        <v>16</v>
      </c>
      <c r="L160" s="15">
        <v>6300</v>
      </c>
    </row>
    <row r="161" spans="1:12" ht="21" customHeight="1" outlineLevel="2" x14ac:dyDescent="0.25">
      <c r="A161" s="16"/>
      <c r="B161" s="16" t="str">
        <f t="shared" si="46"/>
        <v>ШРМ01</v>
      </c>
      <c r="C161" s="13" t="s">
        <v>34</v>
      </c>
      <c r="D161" s="18" t="s">
        <v>241</v>
      </c>
      <c r="E161" s="12" t="s">
        <v>242</v>
      </c>
      <c r="F161" s="12">
        <v>2429</v>
      </c>
      <c r="G161" s="15">
        <f t="shared" ref="G161:G163" si="48">F161*0.6</f>
        <v>1457.3999999999999</v>
      </c>
      <c r="H161" s="15">
        <f t="shared" si="47"/>
        <v>1457.3999999999999</v>
      </c>
      <c r="I161" s="16">
        <v>1</v>
      </c>
      <c r="J161" s="17" t="s">
        <v>13</v>
      </c>
      <c r="K161" s="13" t="s">
        <v>17</v>
      </c>
      <c r="L161" s="15">
        <v>1457.3999999999999</v>
      </c>
    </row>
    <row r="162" spans="1:12" ht="21" customHeight="1" outlineLevel="2" x14ac:dyDescent="0.25">
      <c r="A162" s="16"/>
      <c r="B162" s="16" t="str">
        <f t="shared" si="46"/>
        <v>ШРМ01</v>
      </c>
      <c r="C162" s="13" t="s">
        <v>24</v>
      </c>
      <c r="D162" s="14" t="s">
        <v>221</v>
      </c>
      <c r="E162" s="12" t="s">
        <v>222</v>
      </c>
      <c r="F162" s="13">
        <v>5632</v>
      </c>
      <c r="G162" s="15">
        <f t="shared" si="48"/>
        <v>3379.2</v>
      </c>
      <c r="H162" s="15">
        <f t="shared" si="47"/>
        <v>3379.2</v>
      </c>
      <c r="I162" s="16">
        <v>1</v>
      </c>
      <c r="J162" s="17" t="s">
        <v>13</v>
      </c>
      <c r="K162" s="13" t="s">
        <v>17</v>
      </c>
      <c r="L162" s="15">
        <v>3379.2</v>
      </c>
    </row>
    <row r="163" spans="1:12" ht="21" customHeight="1" outlineLevel="2" x14ac:dyDescent="0.25">
      <c r="A163" s="16"/>
      <c r="B163" s="16" t="str">
        <f t="shared" si="46"/>
        <v>ШРМ01</v>
      </c>
      <c r="C163" s="13" t="s">
        <v>34</v>
      </c>
      <c r="D163" s="14" t="s">
        <v>237</v>
      </c>
      <c r="E163" s="12" t="s">
        <v>238</v>
      </c>
      <c r="F163" s="13">
        <v>897</v>
      </c>
      <c r="G163" s="15">
        <f t="shared" si="48"/>
        <v>538.19999999999993</v>
      </c>
      <c r="H163" s="15">
        <f t="shared" si="47"/>
        <v>1614.6</v>
      </c>
      <c r="I163" s="16">
        <v>3</v>
      </c>
      <c r="J163" s="17" t="s">
        <v>13</v>
      </c>
      <c r="K163" s="13" t="s">
        <v>17</v>
      </c>
      <c r="L163" s="15">
        <v>1614.6</v>
      </c>
    </row>
    <row r="164" spans="1:12" ht="24" customHeight="1" outlineLevel="2" x14ac:dyDescent="0.25">
      <c r="A164" s="12"/>
      <c r="B164" s="12" t="str">
        <f t="shared" si="46"/>
        <v>ШРМ01</v>
      </c>
      <c r="C164" s="12" t="s">
        <v>10</v>
      </c>
      <c r="D164" s="18" t="s">
        <v>10</v>
      </c>
      <c r="E164" s="12" t="s">
        <v>10</v>
      </c>
      <c r="F164" s="12">
        <f ca="1">OFFSET(F164,1,2)</f>
        <v>6000</v>
      </c>
      <c r="G164" s="15">
        <f ca="1">F164</f>
        <v>6000</v>
      </c>
      <c r="H164" s="15">
        <f t="shared" ca="1" si="47"/>
        <v>6000</v>
      </c>
      <c r="I164" s="12">
        <v>1</v>
      </c>
      <c r="J164" s="17" t="s">
        <v>13</v>
      </c>
      <c r="K164" s="12" t="s">
        <v>10</v>
      </c>
      <c r="L164" s="15">
        <v>6000</v>
      </c>
    </row>
    <row r="165" spans="1:12" ht="21" customHeight="1" outlineLevel="2" x14ac:dyDescent="0.25">
      <c r="A165" s="12"/>
      <c r="B165" s="12" t="str">
        <f t="shared" si="46"/>
        <v>ШРМ01</v>
      </c>
      <c r="C165" s="12" t="s">
        <v>11</v>
      </c>
      <c r="D165" s="18" t="s">
        <v>11</v>
      </c>
      <c r="E165" s="12" t="s">
        <v>11</v>
      </c>
      <c r="F165" s="12">
        <v>1</v>
      </c>
      <c r="G165" s="15">
        <v>100</v>
      </c>
      <c r="H165" s="15">
        <f t="shared" si="47"/>
        <v>6000</v>
      </c>
      <c r="I165" s="12">
        <f>60*F165</f>
        <v>60</v>
      </c>
      <c r="J165" s="17" t="s">
        <v>13</v>
      </c>
      <c r="K165" s="12" t="s">
        <v>11</v>
      </c>
      <c r="L165" s="15">
        <v>6000</v>
      </c>
    </row>
    <row r="166" spans="1:12" ht="21" customHeight="1" outlineLevel="1" x14ac:dyDescent="0.25">
      <c r="A166" s="12"/>
      <c r="B166" s="12" t="s">
        <v>276</v>
      </c>
      <c r="C166" s="12"/>
      <c r="D166" s="18"/>
      <c r="E166" s="12"/>
      <c r="F166" s="12"/>
      <c r="G166" s="15"/>
      <c r="H166" s="15">
        <f ca="1">SUBTOTAL(9,H159:H165)</f>
        <v>24751.199999999997</v>
      </c>
      <c r="I166" s="12"/>
      <c r="J166" s="17"/>
      <c r="K166" s="12"/>
      <c r="L166" s="15">
        <v>24751.199999999997</v>
      </c>
    </row>
    <row r="167" spans="1:12" ht="39.75" customHeight="1" outlineLevel="2" x14ac:dyDescent="0.25">
      <c r="A167" s="10"/>
      <c r="B167" s="10" t="s">
        <v>38</v>
      </c>
      <c r="C167" s="6"/>
      <c r="D167" s="7"/>
      <c r="E167" s="6" t="s">
        <v>38</v>
      </c>
      <c r="F167" s="8"/>
      <c r="G167" s="8"/>
      <c r="H167" s="9"/>
      <c r="I167" s="10">
        <v>1</v>
      </c>
      <c r="J167" s="11" t="s">
        <v>7</v>
      </c>
      <c r="K167" s="6" t="s">
        <v>9</v>
      </c>
      <c r="L167" s="9"/>
    </row>
    <row r="168" spans="1:12" ht="21" customHeight="1" outlineLevel="2" x14ac:dyDescent="0.25">
      <c r="A168" s="16"/>
      <c r="B168" s="16" t="str">
        <f t="shared" ref="B168:B173" si="49">B167</f>
        <v>ШРМ02</v>
      </c>
      <c r="C168" s="13" t="s">
        <v>8</v>
      </c>
      <c r="D168" s="14" t="s">
        <v>235</v>
      </c>
      <c r="E168" s="12" t="s">
        <v>236</v>
      </c>
      <c r="F168" s="13">
        <v>15500</v>
      </c>
      <c r="G168" s="15">
        <f>0.6*F168</f>
        <v>9300</v>
      </c>
      <c r="H168" s="15">
        <f t="shared" ref="H168:H173" si="50">I168*G168</f>
        <v>9300</v>
      </c>
      <c r="I168" s="16">
        <v>1</v>
      </c>
      <c r="J168" s="17" t="s">
        <v>13</v>
      </c>
      <c r="K168" s="13" t="s">
        <v>16</v>
      </c>
      <c r="L168" s="15">
        <v>9300</v>
      </c>
    </row>
    <row r="169" spans="1:12" ht="21" customHeight="1" outlineLevel="2" x14ac:dyDescent="0.25">
      <c r="A169" s="16"/>
      <c r="B169" s="16" t="str">
        <f t="shared" si="49"/>
        <v>ШРМ02</v>
      </c>
      <c r="C169" s="13" t="s">
        <v>34</v>
      </c>
      <c r="D169" s="18" t="s">
        <v>241</v>
      </c>
      <c r="E169" s="12" t="s">
        <v>242</v>
      </c>
      <c r="F169" s="12">
        <v>2429</v>
      </c>
      <c r="G169" s="15">
        <f t="shared" ref="G169:G171" si="51">F169*0.6</f>
        <v>1457.3999999999999</v>
      </c>
      <c r="H169" s="15">
        <f t="shared" si="50"/>
        <v>1457.3999999999999</v>
      </c>
      <c r="I169" s="16">
        <v>1</v>
      </c>
      <c r="J169" s="17" t="s">
        <v>13</v>
      </c>
      <c r="K169" s="13" t="s">
        <v>17</v>
      </c>
      <c r="L169" s="15">
        <v>1457.3999999999999</v>
      </c>
    </row>
    <row r="170" spans="1:12" ht="21" customHeight="1" outlineLevel="2" x14ac:dyDescent="0.25">
      <c r="A170" s="16"/>
      <c r="B170" s="16" t="str">
        <f t="shared" si="49"/>
        <v>ШРМ02</v>
      </c>
      <c r="C170" s="13" t="s">
        <v>24</v>
      </c>
      <c r="D170" s="14" t="s">
        <v>221</v>
      </c>
      <c r="E170" s="12" t="s">
        <v>222</v>
      </c>
      <c r="F170" s="13">
        <v>5632</v>
      </c>
      <c r="G170" s="15">
        <f t="shared" si="51"/>
        <v>3379.2</v>
      </c>
      <c r="H170" s="15">
        <f t="shared" si="50"/>
        <v>3379.2</v>
      </c>
      <c r="I170" s="16">
        <v>1</v>
      </c>
      <c r="J170" s="17" t="s">
        <v>13</v>
      </c>
      <c r="K170" s="13" t="s">
        <v>17</v>
      </c>
      <c r="L170" s="15">
        <v>3379.2</v>
      </c>
    </row>
    <row r="171" spans="1:12" ht="21" customHeight="1" outlineLevel="2" x14ac:dyDescent="0.25">
      <c r="A171" s="16"/>
      <c r="B171" s="16" t="str">
        <f t="shared" si="49"/>
        <v>ШРМ02</v>
      </c>
      <c r="C171" s="13" t="s">
        <v>34</v>
      </c>
      <c r="D171" s="14" t="s">
        <v>237</v>
      </c>
      <c r="E171" s="12" t="s">
        <v>238</v>
      </c>
      <c r="F171" s="13">
        <v>897</v>
      </c>
      <c r="G171" s="15">
        <f t="shared" si="51"/>
        <v>538.19999999999993</v>
      </c>
      <c r="H171" s="15">
        <f t="shared" si="50"/>
        <v>3229.2</v>
      </c>
      <c r="I171" s="16">
        <v>6</v>
      </c>
      <c r="J171" s="17" t="s">
        <v>13</v>
      </c>
      <c r="K171" s="13" t="s">
        <v>17</v>
      </c>
      <c r="L171" s="15">
        <v>3229.2</v>
      </c>
    </row>
    <row r="172" spans="1:12" ht="24" customHeight="1" outlineLevel="2" x14ac:dyDescent="0.25">
      <c r="A172" s="12"/>
      <c r="B172" s="12" t="str">
        <f t="shared" si="49"/>
        <v>ШРМ02</v>
      </c>
      <c r="C172" s="12" t="s">
        <v>10</v>
      </c>
      <c r="D172" s="18" t="s">
        <v>10</v>
      </c>
      <c r="E172" s="12" t="s">
        <v>10</v>
      </c>
      <c r="F172" s="12">
        <f ca="1">OFFSET(F172,1,2)</f>
        <v>6000</v>
      </c>
      <c r="G172" s="15">
        <f ca="1">F172</f>
        <v>6000</v>
      </c>
      <c r="H172" s="15">
        <f t="shared" ca="1" si="50"/>
        <v>6000</v>
      </c>
      <c r="I172" s="12">
        <v>1</v>
      </c>
      <c r="J172" s="17" t="s">
        <v>13</v>
      </c>
      <c r="K172" s="12" t="s">
        <v>10</v>
      </c>
      <c r="L172" s="15">
        <v>6000</v>
      </c>
    </row>
    <row r="173" spans="1:12" ht="21" customHeight="1" outlineLevel="2" x14ac:dyDescent="0.25">
      <c r="A173" s="12"/>
      <c r="B173" s="12" t="str">
        <f t="shared" si="49"/>
        <v>ШРМ02</v>
      </c>
      <c r="C173" s="12" t="s">
        <v>11</v>
      </c>
      <c r="D173" s="18" t="s">
        <v>11</v>
      </c>
      <c r="E173" s="12" t="s">
        <v>11</v>
      </c>
      <c r="F173" s="12">
        <v>1</v>
      </c>
      <c r="G173" s="15">
        <v>100</v>
      </c>
      <c r="H173" s="15">
        <f t="shared" si="50"/>
        <v>6000</v>
      </c>
      <c r="I173" s="12">
        <f>60*F173</f>
        <v>60</v>
      </c>
      <c r="J173" s="17" t="s">
        <v>13</v>
      </c>
      <c r="K173" s="12" t="s">
        <v>11</v>
      </c>
      <c r="L173" s="15">
        <v>6000</v>
      </c>
    </row>
    <row r="174" spans="1:12" ht="21" customHeight="1" outlineLevel="1" x14ac:dyDescent="0.25">
      <c r="A174" s="12"/>
      <c r="B174" s="12" t="s">
        <v>277</v>
      </c>
      <c r="C174" s="12"/>
      <c r="D174" s="18"/>
      <c r="E174" s="12"/>
      <c r="F174" s="12"/>
      <c r="G174" s="15"/>
      <c r="H174" s="15">
        <f ca="1">SUBTOTAL(9,H167:H173)</f>
        <v>29365.8</v>
      </c>
      <c r="I174" s="12"/>
      <c r="J174" s="17"/>
      <c r="K174" s="12"/>
      <c r="L174" s="15">
        <v>29365.8</v>
      </c>
    </row>
    <row r="175" spans="1:12" ht="39.75" customHeight="1" outlineLevel="2" x14ac:dyDescent="0.25">
      <c r="A175" s="10"/>
      <c r="B175" s="10" t="s">
        <v>39</v>
      </c>
      <c r="C175" s="6"/>
      <c r="D175" s="7"/>
      <c r="E175" s="6" t="s">
        <v>39</v>
      </c>
      <c r="F175" s="8"/>
      <c r="G175" s="8"/>
      <c r="H175" s="9"/>
      <c r="I175" s="10">
        <v>1</v>
      </c>
      <c r="J175" s="11" t="s">
        <v>7</v>
      </c>
      <c r="K175" s="6" t="s">
        <v>9</v>
      </c>
      <c r="L175" s="9"/>
    </row>
    <row r="176" spans="1:12" ht="21" customHeight="1" outlineLevel="2" x14ac:dyDescent="0.25">
      <c r="A176" s="16"/>
      <c r="B176" s="16" t="str">
        <f t="shared" ref="B176:B181" si="52">B175</f>
        <v>ШРМ03</v>
      </c>
      <c r="C176" s="13" t="s">
        <v>8</v>
      </c>
      <c r="D176" s="14" t="s">
        <v>233</v>
      </c>
      <c r="E176" s="12" t="s">
        <v>234</v>
      </c>
      <c r="F176" s="13">
        <v>10500</v>
      </c>
      <c r="G176" s="15">
        <f>0.6*F176</f>
        <v>6300</v>
      </c>
      <c r="H176" s="15">
        <f t="shared" ref="H176:H181" si="53">I176*G176</f>
        <v>6300</v>
      </c>
      <c r="I176" s="16">
        <v>1</v>
      </c>
      <c r="J176" s="17" t="s">
        <v>13</v>
      </c>
      <c r="K176" s="13" t="s">
        <v>16</v>
      </c>
      <c r="L176" s="15">
        <v>6300</v>
      </c>
    </row>
    <row r="177" spans="1:12" ht="21" customHeight="1" outlineLevel="2" x14ac:dyDescent="0.25">
      <c r="A177" s="16"/>
      <c r="B177" s="16" t="str">
        <f t="shared" si="52"/>
        <v>ШРМ03</v>
      </c>
      <c r="C177" s="13" t="s">
        <v>34</v>
      </c>
      <c r="D177" s="18" t="s">
        <v>241</v>
      </c>
      <c r="E177" s="12" t="s">
        <v>242</v>
      </c>
      <c r="F177" s="12">
        <v>2429</v>
      </c>
      <c r="G177" s="15">
        <f t="shared" ref="G177:G179" si="54">F177*0.6</f>
        <v>1457.3999999999999</v>
      </c>
      <c r="H177" s="15">
        <f t="shared" si="53"/>
        <v>1457.3999999999999</v>
      </c>
      <c r="I177" s="16">
        <v>1</v>
      </c>
      <c r="J177" s="17" t="s">
        <v>13</v>
      </c>
      <c r="K177" s="13" t="s">
        <v>17</v>
      </c>
      <c r="L177" s="15">
        <v>1457.3999999999999</v>
      </c>
    </row>
    <row r="178" spans="1:12" ht="21" customHeight="1" outlineLevel="2" x14ac:dyDescent="0.25">
      <c r="A178" s="16"/>
      <c r="B178" s="16" t="str">
        <f t="shared" si="52"/>
        <v>ШРМ03</v>
      </c>
      <c r="C178" s="13" t="s">
        <v>24</v>
      </c>
      <c r="D178" s="14" t="s">
        <v>221</v>
      </c>
      <c r="E178" s="12" t="s">
        <v>222</v>
      </c>
      <c r="F178" s="13">
        <v>5632</v>
      </c>
      <c r="G178" s="15">
        <f t="shared" si="54"/>
        <v>3379.2</v>
      </c>
      <c r="H178" s="15">
        <f t="shared" si="53"/>
        <v>3379.2</v>
      </c>
      <c r="I178" s="16">
        <v>1</v>
      </c>
      <c r="J178" s="17" t="s">
        <v>13</v>
      </c>
      <c r="K178" s="13" t="s">
        <v>17</v>
      </c>
      <c r="L178" s="15">
        <v>3379.2</v>
      </c>
    </row>
    <row r="179" spans="1:12" ht="21" customHeight="1" outlineLevel="2" x14ac:dyDescent="0.25">
      <c r="A179" s="16"/>
      <c r="B179" s="16" t="str">
        <f t="shared" si="52"/>
        <v>ШРМ03</v>
      </c>
      <c r="C179" s="13" t="s">
        <v>34</v>
      </c>
      <c r="D179" s="14" t="s">
        <v>237</v>
      </c>
      <c r="E179" s="12" t="s">
        <v>238</v>
      </c>
      <c r="F179" s="13">
        <v>897</v>
      </c>
      <c r="G179" s="15">
        <f t="shared" si="54"/>
        <v>538.19999999999993</v>
      </c>
      <c r="H179" s="15">
        <f t="shared" si="53"/>
        <v>1614.6</v>
      </c>
      <c r="I179" s="16">
        <v>3</v>
      </c>
      <c r="J179" s="17" t="s">
        <v>13</v>
      </c>
      <c r="K179" s="13" t="s">
        <v>17</v>
      </c>
      <c r="L179" s="15">
        <v>1614.6</v>
      </c>
    </row>
    <row r="180" spans="1:12" ht="24" customHeight="1" outlineLevel="2" x14ac:dyDescent="0.25">
      <c r="A180" s="12"/>
      <c r="B180" s="12" t="str">
        <f t="shared" si="52"/>
        <v>ШРМ03</v>
      </c>
      <c r="C180" s="12" t="s">
        <v>10</v>
      </c>
      <c r="D180" s="18" t="s">
        <v>10</v>
      </c>
      <c r="E180" s="12" t="s">
        <v>10</v>
      </c>
      <c r="F180" s="12">
        <f ca="1">OFFSET(F180,1,2)</f>
        <v>6000</v>
      </c>
      <c r="G180" s="15">
        <f ca="1">F180</f>
        <v>6000</v>
      </c>
      <c r="H180" s="15">
        <f t="shared" ca="1" si="53"/>
        <v>6000</v>
      </c>
      <c r="I180" s="12">
        <v>1</v>
      </c>
      <c r="J180" s="17" t="s">
        <v>13</v>
      </c>
      <c r="K180" s="12" t="s">
        <v>10</v>
      </c>
      <c r="L180" s="15">
        <v>6000</v>
      </c>
    </row>
    <row r="181" spans="1:12" ht="21" customHeight="1" outlineLevel="2" x14ac:dyDescent="0.25">
      <c r="A181" s="12"/>
      <c r="B181" s="12" t="str">
        <f t="shared" si="52"/>
        <v>ШРМ03</v>
      </c>
      <c r="C181" s="12" t="s">
        <v>11</v>
      </c>
      <c r="D181" s="18" t="s">
        <v>11</v>
      </c>
      <c r="E181" s="12" t="s">
        <v>11</v>
      </c>
      <c r="F181" s="12">
        <v>1</v>
      </c>
      <c r="G181" s="15">
        <v>100</v>
      </c>
      <c r="H181" s="15">
        <f t="shared" si="53"/>
        <v>6000</v>
      </c>
      <c r="I181" s="12">
        <f>60*F181</f>
        <v>60</v>
      </c>
      <c r="J181" s="17" t="s">
        <v>13</v>
      </c>
      <c r="K181" s="12" t="s">
        <v>11</v>
      </c>
      <c r="L181" s="15">
        <v>6000</v>
      </c>
    </row>
    <row r="182" spans="1:12" ht="21" customHeight="1" outlineLevel="1" x14ac:dyDescent="0.25">
      <c r="A182" s="12"/>
      <c r="B182" s="12" t="s">
        <v>278</v>
      </c>
      <c r="C182" s="12"/>
      <c r="D182" s="18"/>
      <c r="E182" s="12"/>
      <c r="F182" s="12"/>
      <c r="G182" s="15"/>
      <c r="H182" s="15">
        <f ca="1">SUBTOTAL(9,H175:H181)</f>
        <v>24751.199999999997</v>
      </c>
      <c r="I182" s="12"/>
      <c r="J182" s="17"/>
      <c r="K182" s="12"/>
      <c r="L182" s="15">
        <v>24751.199999999997</v>
      </c>
    </row>
    <row r="183" spans="1:12" ht="39.75" customHeight="1" outlineLevel="2" x14ac:dyDescent="0.25">
      <c r="A183" s="10"/>
      <c r="B183" s="10" t="s">
        <v>40</v>
      </c>
      <c r="C183" s="6"/>
      <c r="D183" s="7"/>
      <c r="E183" s="6" t="s">
        <v>40</v>
      </c>
      <c r="F183" s="8"/>
      <c r="G183" s="8"/>
      <c r="H183" s="9"/>
      <c r="I183" s="10">
        <v>1</v>
      </c>
      <c r="J183" s="11" t="s">
        <v>7</v>
      </c>
      <c r="K183" s="6" t="s">
        <v>9</v>
      </c>
      <c r="L183" s="9"/>
    </row>
    <row r="184" spans="1:12" ht="21" customHeight="1" outlineLevel="2" x14ac:dyDescent="0.25">
      <c r="A184" s="16"/>
      <c r="B184" s="16" t="str">
        <f t="shared" ref="B184:B189" si="55">B183</f>
        <v>ШРМ04</v>
      </c>
      <c r="C184" s="13" t="s">
        <v>8</v>
      </c>
      <c r="D184" s="14" t="s">
        <v>235</v>
      </c>
      <c r="E184" s="12" t="s">
        <v>236</v>
      </c>
      <c r="F184" s="13">
        <v>15500</v>
      </c>
      <c r="G184" s="15">
        <f>0.6*F184</f>
        <v>9300</v>
      </c>
      <c r="H184" s="15">
        <f t="shared" ref="H184:H189" si="56">I184*G184</f>
        <v>9300</v>
      </c>
      <c r="I184" s="16">
        <v>1</v>
      </c>
      <c r="J184" s="17" t="s">
        <v>13</v>
      </c>
      <c r="K184" s="13" t="s">
        <v>16</v>
      </c>
      <c r="L184" s="15">
        <v>9300</v>
      </c>
    </row>
    <row r="185" spans="1:12" ht="21" customHeight="1" outlineLevel="2" x14ac:dyDescent="0.25">
      <c r="A185" s="16"/>
      <c r="B185" s="16" t="str">
        <f t="shared" si="55"/>
        <v>ШРМ04</v>
      </c>
      <c r="C185" s="13" t="s">
        <v>34</v>
      </c>
      <c r="D185" s="18" t="s">
        <v>241</v>
      </c>
      <c r="E185" s="12" t="s">
        <v>242</v>
      </c>
      <c r="F185" s="12">
        <v>2429</v>
      </c>
      <c r="G185" s="15">
        <f t="shared" ref="G185:G187" si="57">F185*0.6</f>
        <v>1457.3999999999999</v>
      </c>
      <c r="H185" s="15">
        <f t="shared" si="56"/>
        <v>1457.3999999999999</v>
      </c>
      <c r="I185" s="16">
        <v>1</v>
      </c>
      <c r="J185" s="17" t="s">
        <v>13</v>
      </c>
      <c r="K185" s="13" t="s">
        <v>17</v>
      </c>
      <c r="L185" s="15">
        <v>1457.3999999999999</v>
      </c>
    </row>
    <row r="186" spans="1:12" ht="21" customHeight="1" outlineLevel="2" x14ac:dyDescent="0.25">
      <c r="A186" s="16"/>
      <c r="B186" s="16" t="str">
        <f t="shared" si="55"/>
        <v>ШРМ04</v>
      </c>
      <c r="C186" s="13" t="s">
        <v>24</v>
      </c>
      <c r="D186" s="14" t="s">
        <v>221</v>
      </c>
      <c r="E186" s="12" t="s">
        <v>222</v>
      </c>
      <c r="F186" s="13">
        <v>5632</v>
      </c>
      <c r="G186" s="15">
        <f t="shared" si="57"/>
        <v>3379.2</v>
      </c>
      <c r="H186" s="15">
        <f t="shared" si="56"/>
        <v>3379.2</v>
      </c>
      <c r="I186" s="16">
        <v>1</v>
      </c>
      <c r="J186" s="17" t="s">
        <v>13</v>
      </c>
      <c r="K186" s="13" t="s">
        <v>17</v>
      </c>
      <c r="L186" s="15">
        <v>3379.2</v>
      </c>
    </row>
    <row r="187" spans="1:12" ht="21" customHeight="1" outlineLevel="2" x14ac:dyDescent="0.25">
      <c r="A187" s="16"/>
      <c r="B187" s="16" t="str">
        <f t="shared" si="55"/>
        <v>ШРМ04</v>
      </c>
      <c r="C187" s="13" t="s">
        <v>34</v>
      </c>
      <c r="D187" s="14" t="s">
        <v>237</v>
      </c>
      <c r="E187" s="12" t="s">
        <v>238</v>
      </c>
      <c r="F187" s="13">
        <v>897</v>
      </c>
      <c r="G187" s="15">
        <f t="shared" si="57"/>
        <v>538.19999999999993</v>
      </c>
      <c r="H187" s="15">
        <f t="shared" si="56"/>
        <v>2690.9999999999995</v>
      </c>
      <c r="I187" s="16">
        <v>5</v>
      </c>
      <c r="J187" s="17" t="s">
        <v>13</v>
      </c>
      <c r="K187" s="13" t="s">
        <v>17</v>
      </c>
      <c r="L187" s="15">
        <v>2690.9999999999995</v>
      </c>
    </row>
    <row r="188" spans="1:12" ht="24" customHeight="1" outlineLevel="2" x14ac:dyDescent="0.25">
      <c r="A188" s="12"/>
      <c r="B188" s="12" t="str">
        <f t="shared" si="55"/>
        <v>ШРМ04</v>
      </c>
      <c r="C188" s="12" t="s">
        <v>10</v>
      </c>
      <c r="D188" s="18" t="s">
        <v>10</v>
      </c>
      <c r="E188" s="12" t="s">
        <v>10</v>
      </c>
      <c r="F188" s="12">
        <f ca="1">OFFSET(F188,1,2)</f>
        <v>6000</v>
      </c>
      <c r="G188" s="15">
        <f ca="1">F188</f>
        <v>6000</v>
      </c>
      <c r="H188" s="15">
        <f t="shared" ca="1" si="56"/>
        <v>6000</v>
      </c>
      <c r="I188" s="12">
        <v>1</v>
      </c>
      <c r="J188" s="17" t="s">
        <v>13</v>
      </c>
      <c r="K188" s="12" t="s">
        <v>10</v>
      </c>
      <c r="L188" s="15">
        <v>6000</v>
      </c>
    </row>
    <row r="189" spans="1:12" ht="21" customHeight="1" outlineLevel="2" x14ac:dyDescent="0.25">
      <c r="A189" s="12"/>
      <c r="B189" s="12" t="str">
        <f t="shared" si="55"/>
        <v>ШРМ04</v>
      </c>
      <c r="C189" s="12" t="s">
        <v>11</v>
      </c>
      <c r="D189" s="18" t="s">
        <v>11</v>
      </c>
      <c r="E189" s="12" t="s">
        <v>11</v>
      </c>
      <c r="F189" s="12">
        <v>1</v>
      </c>
      <c r="G189" s="15">
        <v>100</v>
      </c>
      <c r="H189" s="15">
        <f t="shared" si="56"/>
        <v>6000</v>
      </c>
      <c r="I189" s="12">
        <f>60*F189</f>
        <v>60</v>
      </c>
      <c r="J189" s="17" t="s">
        <v>13</v>
      </c>
      <c r="K189" s="12" t="s">
        <v>11</v>
      </c>
      <c r="L189" s="15">
        <v>6000</v>
      </c>
    </row>
    <row r="190" spans="1:12" ht="21" customHeight="1" outlineLevel="1" x14ac:dyDescent="0.25">
      <c r="A190" s="27"/>
      <c r="B190" s="27" t="s">
        <v>279</v>
      </c>
      <c r="C190" s="27"/>
      <c r="D190" s="28"/>
      <c r="E190" s="27"/>
      <c r="F190" s="27"/>
      <c r="G190" s="29"/>
      <c r="H190" s="29">
        <f ca="1">SUBTOTAL(9,H183:H189)</f>
        <v>28827.599999999999</v>
      </c>
      <c r="I190" s="27"/>
      <c r="J190" s="30"/>
      <c r="K190" s="27"/>
      <c r="L190" s="29">
        <v>28827.599999999999</v>
      </c>
    </row>
    <row r="191" spans="1:12" ht="21" customHeight="1" x14ac:dyDescent="0.25">
      <c r="A191" s="27"/>
      <c r="B191" s="27" t="s">
        <v>280</v>
      </c>
      <c r="C191" s="27"/>
      <c r="D191" s="28"/>
      <c r="E191" s="27"/>
      <c r="F191" s="27"/>
      <c r="G191" s="29"/>
      <c r="H191" s="29">
        <f ca="1">SUBTOTAL(9,H2:H189)</f>
        <v>1517967.5999999996</v>
      </c>
      <c r="I191" s="27"/>
      <c r="J191" s="30"/>
      <c r="K191" s="27"/>
      <c r="L191" s="29">
        <v>1517967.5999999996</v>
      </c>
    </row>
  </sheetData>
  <autoFilter ref="A1:K190" xr:uid="{0E2C231C-0991-4FBE-BD8E-9CD4D9BF51D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F3830-6B92-446B-B552-FF9BE59B856D}">
  <dimension ref="A1:J18"/>
  <sheetViews>
    <sheetView tabSelected="1" topLeftCell="A10" workbookViewId="0">
      <selection activeCell="I14" sqref="I14"/>
    </sheetView>
  </sheetViews>
  <sheetFormatPr defaultRowHeight="36.75" customHeight="1" x14ac:dyDescent="0.25"/>
  <cols>
    <col min="2" max="2" width="54" customWidth="1"/>
  </cols>
  <sheetData>
    <row r="1" spans="1:10" ht="36.75" customHeight="1" x14ac:dyDescent="0.25">
      <c r="A1" s="2" t="s">
        <v>1</v>
      </c>
      <c r="B1" s="1" t="s">
        <v>14</v>
      </c>
      <c r="C1" s="1" t="s">
        <v>3</v>
      </c>
      <c r="D1" s="1" t="s">
        <v>3</v>
      </c>
      <c r="E1" s="3" t="s">
        <v>6</v>
      </c>
      <c r="F1" s="4" t="s">
        <v>15</v>
      </c>
      <c r="G1" s="4" t="s">
        <v>4</v>
      </c>
      <c r="H1" s="4" t="s">
        <v>5</v>
      </c>
      <c r="I1" s="3" t="s">
        <v>282</v>
      </c>
      <c r="J1">
        <v>2.2999999999999998</v>
      </c>
    </row>
    <row r="2" spans="1:10" ht="36.75" customHeight="1" x14ac:dyDescent="0.25">
      <c r="A2" s="7"/>
      <c r="B2" s="6" t="s">
        <v>107</v>
      </c>
      <c r="C2" s="8">
        <f>ROUNDUP(J2,-3)</f>
        <v>155000</v>
      </c>
      <c r="D2" s="8">
        <f>0.7*C2</f>
        <v>108500</v>
      </c>
      <c r="E2" s="9"/>
      <c r="F2" s="10">
        <v>1</v>
      </c>
      <c r="G2" s="11" t="s">
        <v>7</v>
      </c>
      <c r="H2" s="6" t="s">
        <v>9</v>
      </c>
      <c r="I2" s="15">
        <v>67105.600000000006</v>
      </c>
      <c r="J2" s="31">
        <f>2.3*I2</f>
        <v>154342.88</v>
      </c>
    </row>
    <row r="3" spans="1:10" ht="36.75" customHeight="1" x14ac:dyDescent="0.25">
      <c r="A3" s="7"/>
      <c r="B3" s="6" t="s">
        <v>108</v>
      </c>
      <c r="C3" s="8">
        <f t="shared" ref="C3:C18" si="0">ROUNDUP(J3,-3)</f>
        <v>182000</v>
      </c>
      <c r="D3" s="8">
        <f t="shared" ref="D3:D18" si="1">0.7*C3</f>
        <v>127399.99999999999</v>
      </c>
      <c r="E3" s="9"/>
      <c r="F3" s="10">
        <v>1</v>
      </c>
      <c r="G3" s="11" t="s">
        <v>7</v>
      </c>
      <c r="H3" s="6" t="s">
        <v>9</v>
      </c>
      <c r="I3" s="15">
        <v>78901.2</v>
      </c>
      <c r="J3" s="31">
        <f t="shared" ref="J3:J18" si="2">2.3*I3</f>
        <v>181472.75999999998</v>
      </c>
    </row>
    <row r="4" spans="1:10" ht="36.75" customHeight="1" x14ac:dyDescent="0.25">
      <c r="A4" s="7"/>
      <c r="B4" s="6" t="s">
        <v>109</v>
      </c>
      <c r="C4" s="8">
        <f t="shared" si="0"/>
        <v>414000</v>
      </c>
      <c r="D4" s="8">
        <f t="shared" si="1"/>
        <v>289800</v>
      </c>
      <c r="E4" s="9"/>
      <c r="F4" s="10">
        <v>1</v>
      </c>
      <c r="G4" s="11" t="s">
        <v>7</v>
      </c>
      <c r="H4" s="6" t="s">
        <v>9</v>
      </c>
      <c r="I4" s="15">
        <v>180000</v>
      </c>
      <c r="J4" s="31">
        <f t="shared" si="2"/>
        <v>413999.99999999994</v>
      </c>
    </row>
    <row r="5" spans="1:10" ht="36.75" customHeight="1" x14ac:dyDescent="0.25">
      <c r="A5" s="7"/>
      <c r="B5" s="6" t="s">
        <v>110</v>
      </c>
      <c r="C5" s="8">
        <f t="shared" si="0"/>
        <v>667000</v>
      </c>
      <c r="D5" s="8">
        <f t="shared" si="1"/>
        <v>466899.99999999994</v>
      </c>
      <c r="E5" s="9"/>
      <c r="F5" s="10">
        <v>1</v>
      </c>
      <c r="G5" s="11" t="s">
        <v>7</v>
      </c>
      <c r="H5" s="6" t="s">
        <v>9</v>
      </c>
      <c r="I5" s="15">
        <v>289791</v>
      </c>
      <c r="J5" s="31">
        <f t="shared" si="2"/>
        <v>666519.29999999993</v>
      </c>
    </row>
    <row r="6" spans="1:10" ht="36.75" customHeight="1" x14ac:dyDescent="0.25">
      <c r="A6" s="7"/>
      <c r="B6" s="6" t="s">
        <v>106</v>
      </c>
      <c r="C6" s="8">
        <f t="shared" si="0"/>
        <v>155000</v>
      </c>
      <c r="D6" s="8">
        <f t="shared" si="1"/>
        <v>108500</v>
      </c>
      <c r="E6" s="9"/>
      <c r="F6" s="10">
        <v>1</v>
      </c>
      <c r="G6" s="11" t="s">
        <v>7</v>
      </c>
      <c r="H6" s="6" t="s">
        <v>9</v>
      </c>
      <c r="I6" s="15">
        <v>67105.600000000006</v>
      </c>
      <c r="J6" s="31">
        <f t="shared" si="2"/>
        <v>154342.88</v>
      </c>
    </row>
    <row r="7" spans="1:10" ht="36.75" customHeight="1" x14ac:dyDescent="0.25">
      <c r="A7" s="7"/>
      <c r="B7" s="6" t="s">
        <v>111</v>
      </c>
      <c r="C7" s="8">
        <f t="shared" si="0"/>
        <v>182000</v>
      </c>
      <c r="D7" s="8">
        <f t="shared" si="1"/>
        <v>127399.99999999999</v>
      </c>
      <c r="E7" s="9"/>
      <c r="F7" s="10">
        <v>1</v>
      </c>
      <c r="G7" s="11" t="s">
        <v>7</v>
      </c>
      <c r="H7" s="6" t="s">
        <v>9</v>
      </c>
      <c r="I7" s="15">
        <v>78901.2</v>
      </c>
      <c r="J7" s="31">
        <f t="shared" si="2"/>
        <v>181472.75999999998</v>
      </c>
    </row>
    <row r="8" spans="1:10" ht="36.75" customHeight="1" x14ac:dyDescent="0.25">
      <c r="A8" s="7"/>
      <c r="B8" s="6" t="s">
        <v>112</v>
      </c>
      <c r="C8" s="8">
        <f t="shared" si="0"/>
        <v>385000</v>
      </c>
      <c r="D8" s="8">
        <f t="shared" si="1"/>
        <v>269500</v>
      </c>
      <c r="E8" s="9"/>
      <c r="F8" s="10">
        <v>1</v>
      </c>
      <c r="G8" s="11" t="s">
        <v>7</v>
      </c>
      <c r="H8" s="6" t="s">
        <v>9</v>
      </c>
      <c r="I8" s="15">
        <v>167000</v>
      </c>
      <c r="J8" s="31">
        <f t="shared" si="2"/>
        <v>384099.99999999994</v>
      </c>
    </row>
    <row r="9" spans="1:10" ht="36.75" customHeight="1" x14ac:dyDescent="0.25">
      <c r="A9" s="7"/>
      <c r="B9" s="6" t="s">
        <v>202</v>
      </c>
      <c r="C9" s="8">
        <f t="shared" si="0"/>
        <v>274000</v>
      </c>
      <c r="D9" s="8">
        <f t="shared" si="1"/>
        <v>191800</v>
      </c>
      <c r="E9" s="9"/>
      <c r="F9" s="10">
        <v>1</v>
      </c>
      <c r="G9" s="11" t="s">
        <v>7</v>
      </c>
      <c r="H9" s="6" t="s">
        <v>9</v>
      </c>
      <c r="I9" s="15">
        <v>118890</v>
      </c>
      <c r="J9" s="31">
        <f t="shared" si="2"/>
        <v>273447</v>
      </c>
    </row>
    <row r="10" spans="1:10" ht="36.75" customHeight="1" x14ac:dyDescent="0.25">
      <c r="A10" s="7"/>
      <c r="B10" s="6" t="s">
        <v>113</v>
      </c>
      <c r="C10" s="8">
        <f t="shared" si="0"/>
        <v>182000</v>
      </c>
      <c r="D10" s="8">
        <f t="shared" si="1"/>
        <v>127399.99999999999</v>
      </c>
      <c r="E10" s="9"/>
      <c r="F10" s="10">
        <v>1</v>
      </c>
      <c r="G10" s="11" t="s">
        <v>7</v>
      </c>
      <c r="H10" s="6" t="s">
        <v>9</v>
      </c>
      <c r="I10" s="15">
        <v>78901.2</v>
      </c>
      <c r="J10" s="31">
        <f t="shared" si="2"/>
        <v>181472.75999999998</v>
      </c>
    </row>
    <row r="11" spans="1:10" ht="36.75" customHeight="1" x14ac:dyDescent="0.25">
      <c r="A11" s="7"/>
      <c r="B11" s="6" t="s">
        <v>114</v>
      </c>
      <c r="C11" s="8">
        <f t="shared" si="0"/>
        <v>298000</v>
      </c>
      <c r="D11" s="8">
        <f t="shared" si="1"/>
        <v>208600</v>
      </c>
      <c r="E11" s="9"/>
      <c r="F11" s="10">
        <v>1</v>
      </c>
      <c r="G11" s="11" t="s">
        <v>7</v>
      </c>
      <c r="H11" s="6" t="s">
        <v>9</v>
      </c>
      <c r="I11" s="15">
        <v>129194.4</v>
      </c>
      <c r="J11" s="31">
        <f t="shared" si="2"/>
        <v>297147.11999999994</v>
      </c>
    </row>
    <row r="12" spans="1:10" ht="36.75" customHeight="1" x14ac:dyDescent="0.25">
      <c r="A12" s="7"/>
      <c r="B12" s="6" t="s">
        <v>86</v>
      </c>
      <c r="C12" s="8">
        <f t="shared" si="0"/>
        <v>164000</v>
      </c>
      <c r="D12" s="8">
        <f t="shared" si="1"/>
        <v>114799.99999999999</v>
      </c>
      <c r="E12" s="9"/>
      <c r="F12" s="10">
        <v>2</v>
      </c>
      <c r="G12" s="11" t="s">
        <v>7</v>
      </c>
      <c r="H12" s="6" t="s">
        <v>9</v>
      </c>
      <c r="I12" s="15">
        <v>70974</v>
      </c>
      <c r="J12" s="31">
        <f t="shared" si="2"/>
        <v>163240.19999999998</v>
      </c>
    </row>
    <row r="13" spans="1:10" ht="36.75" customHeight="1" x14ac:dyDescent="0.25">
      <c r="A13" s="7"/>
      <c r="B13" s="6" t="s">
        <v>216</v>
      </c>
      <c r="C13" s="8">
        <f t="shared" si="0"/>
        <v>395000</v>
      </c>
      <c r="D13" s="8">
        <f t="shared" si="1"/>
        <v>276500</v>
      </c>
      <c r="E13" s="9"/>
      <c r="F13" s="10">
        <v>1</v>
      </c>
      <c r="G13" s="11" t="s">
        <v>7</v>
      </c>
      <c r="H13" s="6" t="s">
        <v>9</v>
      </c>
      <c r="I13" s="15">
        <v>171559.2</v>
      </c>
      <c r="J13" s="31">
        <f t="shared" si="2"/>
        <v>394586.16</v>
      </c>
    </row>
    <row r="14" spans="1:10" ht="36.75" customHeight="1" x14ac:dyDescent="0.25">
      <c r="A14" s="7"/>
      <c r="B14" s="6" t="s">
        <v>215</v>
      </c>
      <c r="C14" s="8">
        <f t="shared" si="0"/>
        <v>63000</v>
      </c>
      <c r="D14" s="8">
        <f t="shared" si="1"/>
        <v>44100</v>
      </c>
      <c r="E14" s="9"/>
      <c r="F14" s="10">
        <v>1</v>
      </c>
      <c r="G14" s="11" t="s">
        <v>7</v>
      </c>
      <c r="H14" s="6" t="s">
        <v>9</v>
      </c>
      <c r="I14" s="15">
        <v>27212.399999999998</v>
      </c>
      <c r="J14" s="31">
        <f t="shared" si="2"/>
        <v>62588.51999999999</v>
      </c>
    </row>
    <row r="15" spans="1:10" ht="36.75" customHeight="1" x14ac:dyDescent="0.25">
      <c r="A15" s="7"/>
      <c r="B15" s="6" t="s">
        <v>37</v>
      </c>
      <c r="C15" s="8">
        <f t="shared" si="0"/>
        <v>57000</v>
      </c>
      <c r="D15" s="8">
        <f t="shared" si="1"/>
        <v>39900</v>
      </c>
      <c r="E15" s="9"/>
      <c r="F15" s="10">
        <v>1</v>
      </c>
      <c r="G15" s="11" t="s">
        <v>7</v>
      </c>
      <c r="H15" s="6" t="s">
        <v>9</v>
      </c>
      <c r="I15" s="15">
        <v>24751.199999999997</v>
      </c>
      <c r="J15" s="31">
        <f t="shared" si="2"/>
        <v>56927.759999999987</v>
      </c>
    </row>
    <row r="16" spans="1:10" ht="36.75" customHeight="1" x14ac:dyDescent="0.25">
      <c r="A16" s="7"/>
      <c r="B16" s="6" t="s">
        <v>38</v>
      </c>
      <c r="C16" s="8">
        <f t="shared" si="0"/>
        <v>68000</v>
      </c>
      <c r="D16" s="8">
        <f t="shared" si="1"/>
        <v>47600</v>
      </c>
      <c r="E16" s="9"/>
      <c r="F16" s="10">
        <v>1</v>
      </c>
      <c r="G16" s="11" t="s">
        <v>7</v>
      </c>
      <c r="H16" s="6" t="s">
        <v>9</v>
      </c>
      <c r="I16" s="15">
        <v>29365.8</v>
      </c>
      <c r="J16" s="31">
        <f t="shared" si="2"/>
        <v>67541.34</v>
      </c>
    </row>
    <row r="17" spans="1:10" ht="36.75" customHeight="1" x14ac:dyDescent="0.25">
      <c r="A17" s="7"/>
      <c r="B17" s="6" t="s">
        <v>39</v>
      </c>
      <c r="C17" s="8">
        <f t="shared" si="0"/>
        <v>57000</v>
      </c>
      <c r="D17" s="8">
        <f t="shared" si="1"/>
        <v>39900</v>
      </c>
      <c r="E17" s="9"/>
      <c r="F17" s="10">
        <v>1</v>
      </c>
      <c r="G17" s="11" t="s">
        <v>7</v>
      </c>
      <c r="H17" s="6" t="s">
        <v>9</v>
      </c>
      <c r="I17" s="15">
        <v>24751.199999999997</v>
      </c>
      <c r="J17" s="31">
        <f t="shared" si="2"/>
        <v>56927.759999999987</v>
      </c>
    </row>
    <row r="18" spans="1:10" ht="36.75" customHeight="1" x14ac:dyDescent="0.25">
      <c r="A18" s="7"/>
      <c r="B18" s="6" t="s">
        <v>40</v>
      </c>
      <c r="C18" s="8">
        <f t="shared" si="0"/>
        <v>67000</v>
      </c>
      <c r="D18" s="8">
        <f t="shared" si="1"/>
        <v>46900</v>
      </c>
      <c r="E18" s="9"/>
      <c r="F18" s="10">
        <v>1</v>
      </c>
      <c r="G18" s="11" t="s">
        <v>7</v>
      </c>
      <c r="H18" s="6" t="s">
        <v>9</v>
      </c>
      <c r="I18" s="29">
        <v>28827.599999999999</v>
      </c>
      <c r="J18" s="31">
        <f t="shared" si="2"/>
        <v>66303.48</v>
      </c>
    </row>
  </sheetData>
  <autoFilter ref="A1:I18" xr:uid="{262F3830-6B92-446B-B552-FF9BE59B856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EB82-568C-4014-8063-EAD89131325F}">
  <dimension ref="A1:J36"/>
  <sheetViews>
    <sheetView workbookViewId="0">
      <selection activeCell="A2" sqref="A2:XFD36"/>
    </sheetView>
  </sheetViews>
  <sheetFormatPr defaultRowHeight="15" x14ac:dyDescent="0.25"/>
  <cols>
    <col min="1" max="1" width="22.140625" customWidth="1"/>
    <col min="2" max="2" width="23.28515625" customWidth="1"/>
    <col min="3" max="3" width="25.140625" customWidth="1"/>
    <col min="4" max="4" width="95" customWidth="1"/>
    <col min="5" max="7" width="14.5703125" customWidth="1"/>
  </cols>
  <sheetData>
    <row r="1" spans="1:10" x14ac:dyDescent="0.25">
      <c r="A1" t="s">
        <v>125</v>
      </c>
      <c r="D1" t="s">
        <v>126</v>
      </c>
      <c r="H1">
        <v>1</v>
      </c>
      <c r="I1" t="s">
        <v>127</v>
      </c>
      <c r="J1" t="s">
        <v>128</v>
      </c>
    </row>
    <row r="2" spans="1:10" x14ac:dyDescent="0.25">
      <c r="A2" t="s">
        <v>125</v>
      </c>
      <c r="B2" t="s">
        <v>8</v>
      </c>
      <c r="C2" t="s">
        <v>129</v>
      </c>
      <c r="D2" t="s">
        <v>130</v>
      </c>
      <c r="H2">
        <v>1</v>
      </c>
      <c r="I2" t="s">
        <v>131</v>
      </c>
      <c r="J2" t="s">
        <v>9</v>
      </c>
    </row>
    <row r="3" spans="1:10" x14ac:dyDescent="0.25">
      <c r="A3" t="s">
        <v>125</v>
      </c>
      <c r="B3" t="s">
        <v>12</v>
      </c>
      <c r="C3" t="s">
        <v>132</v>
      </c>
      <c r="D3" t="s">
        <v>133</v>
      </c>
      <c r="H3">
        <v>1</v>
      </c>
      <c r="I3" t="s">
        <v>131</v>
      </c>
      <c r="J3" t="s">
        <v>134</v>
      </c>
    </row>
    <row r="4" spans="1:10" x14ac:dyDescent="0.25">
      <c r="A4" t="s">
        <v>125</v>
      </c>
      <c r="B4" t="s">
        <v>12</v>
      </c>
      <c r="C4" t="s">
        <v>135</v>
      </c>
      <c r="D4" t="s">
        <v>136</v>
      </c>
      <c r="H4">
        <v>1</v>
      </c>
      <c r="I4" t="s">
        <v>131</v>
      </c>
      <c r="J4" t="s">
        <v>134</v>
      </c>
    </row>
    <row r="5" spans="1:10" x14ac:dyDescent="0.25">
      <c r="A5" t="s">
        <v>125</v>
      </c>
      <c r="B5" t="s">
        <v>137</v>
      </c>
      <c r="C5" t="s">
        <v>138</v>
      </c>
      <c r="D5" t="s">
        <v>139</v>
      </c>
      <c r="H5">
        <v>1</v>
      </c>
      <c r="I5" t="s">
        <v>131</v>
      </c>
      <c r="J5" t="s">
        <v>134</v>
      </c>
    </row>
    <row r="6" spans="1:10" x14ac:dyDescent="0.25">
      <c r="A6" t="s">
        <v>125</v>
      </c>
      <c r="B6" t="s">
        <v>78</v>
      </c>
      <c r="C6" t="s">
        <v>140</v>
      </c>
      <c r="D6" t="s">
        <v>141</v>
      </c>
      <c r="H6">
        <v>4</v>
      </c>
      <c r="I6" t="s">
        <v>131</v>
      </c>
      <c r="J6" t="s">
        <v>134</v>
      </c>
    </row>
    <row r="7" spans="1:10" x14ac:dyDescent="0.25">
      <c r="A7" t="s">
        <v>125</v>
      </c>
      <c r="B7" t="s">
        <v>78</v>
      </c>
      <c r="C7" t="s">
        <v>140</v>
      </c>
      <c r="D7" t="s">
        <v>142</v>
      </c>
      <c r="H7">
        <v>4</v>
      </c>
      <c r="I7" t="s">
        <v>131</v>
      </c>
      <c r="J7" t="s">
        <v>134</v>
      </c>
    </row>
    <row r="8" spans="1:10" x14ac:dyDescent="0.25">
      <c r="A8" t="s">
        <v>125</v>
      </c>
      <c r="B8" t="s">
        <v>143</v>
      </c>
      <c r="C8" t="s">
        <v>144</v>
      </c>
      <c r="D8" t="s">
        <v>145</v>
      </c>
      <c r="H8">
        <v>8</v>
      </c>
      <c r="I8" t="s">
        <v>131</v>
      </c>
      <c r="J8" t="s">
        <v>134</v>
      </c>
    </row>
    <row r="9" spans="1:10" x14ac:dyDescent="0.25">
      <c r="A9" t="s">
        <v>125</v>
      </c>
      <c r="B9" t="s">
        <v>146</v>
      </c>
      <c r="C9" t="s">
        <v>129</v>
      </c>
      <c r="D9" t="s">
        <v>147</v>
      </c>
      <c r="H9">
        <v>8</v>
      </c>
      <c r="I9" t="s">
        <v>131</v>
      </c>
      <c r="J9" t="s">
        <v>134</v>
      </c>
    </row>
    <row r="10" spans="1:10" x14ac:dyDescent="0.25">
      <c r="A10" t="s">
        <v>125</v>
      </c>
      <c r="B10" t="s">
        <v>20</v>
      </c>
      <c r="C10" t="s">
        <v>148</v>
      </c>
      <c r="D10" t="s">
        <v>149</v>
      </c>
      <c r="H10">
        <v>1</v>
      </c>
      <c r="I10" t="s">
        <v>131</v>
      </c>
      <c r="J10" t="s">
        <v>134</v>
      </c>
    </row>
    <row r="11" spans="1:10" x14ac:dyDescent="0.25">
      <c r="A11" t="s">
        <v>125</v>
      </c>
      <c r="B11" t="s">
        <v>20</v>
      </c>
      <c r="C11" t="s">
        <v>150</v>
      </c>
      <c r="D11" t="s">
        <v>151</v>
      </c>
      <c r="H11">
        <v>1</v>
      </c>
      <c r="I11" t="s">
        <v>131</v>
      </c>
      <c r="J11" t="s">
        <v>134</v>
      </c>
    </row>
    <row r="12" spans="1:10" x14ac:dyDescent="0.25">
      <c r="A12" t="s">
        <v>125</v>
      </c>
      <c r="B12" t="s">
        <v>152</v>
      </c>
      <c r="C12" t="s">
        <v>153</v>
      </c>
      <c r="D12" t="s">
        <v>154</v>
      </c>
      <c r="H12">
        <v>1</v>
      </c>
      <c r="I12" t="s">
        <v>131</v>
      </c>
      <c r="J12" t="s">
        <v>134</v>
      </c>
    </row>
    <row r="13" spans="1:10" x14ac:dyDescent="0.25">
      <c r="A13" t="s">
        <v>125</v>
      </c>
      <c r="B13" t="s">
        <v>155</v>
      </c>
      <c r="C13" t="s">
        <v>156</v>
      </c>
      <c r="D13" t="s">
        <v>157</v>
      </c>
      <c r="H13">
        <v>1</v>
      </c>
      <c r="I13" t="s">
        <v>131</v>
      </c>
      <c r="J13" t="s">
        <v>134</v>
      </c>
    </row>
    <row r="14" spans="1:10" x14ac:dyDescent="0.25">
      <c r="A14" t="s">
        <v>125</v>
      </c>
      <c r="B14" t="s">
        <v>155</v>
      </c>
      <c r="C14" t="s">
        <v>158</v>
      </c>
      <c r="D14" t="s">
        <v>159</v>
      </c>
      <c r="H14">
        <v>1</v>
      </c>
      <c r="I14" t="s">
        <v>131</v>
      </c>
      <c r="J14" t="s">
        <v>134</v>
      </c>
    </row>
    <row r="15" spans="1:10" x14ac:dyDescent="0.25">
      <c r="A15" t="s">
        <v>125</v>
      </c>
      <c r="B15" t="s">
        <v>155</v>
      </c>
      <c r="C15" t="s">
        <v>160</v>
      </c>
      <c r="D15" t="s">
        <v>161</v>
      </c>
      <c r="H15">
        <v>1</v>
      </c>
      <c r="I15" t="s">
        <v>131</v>
      </c>
      <c r="J15" t="s">
        <v>134</v>
      </c>
    </row>
    <row r="16" spans="1:10" x14ac:dyDescent="0.25">
      <c r="A16" t="s">
        <v>125</v>
      </c>
      <c r="B16" t="s">
        <v>155</v>
      </c>
      <c r="C16" t="s">
        <v>156</v>
      </c>
      <c r="D16" t="s">
        <v>162</v>
      </c>
      <c r="H16">
        <v>1</v>
      </c>
      <c r="I16" t="s">
        <v>131</v>
      </c>
      <c r="J16" t="s">
        <v>134</v>
      </c>
    </row>
    <row r="17" spans="1:10" x14ac:dyDescent="0.25">
      <c r="A17" t="s">
        <v>125</v>
      </c>
      <c r="B17" t="s">
        <v>163</v>
      </c>
      <c r="C17" t="s">
        <v>164</v>
      </c>
      <c r="D17" t="s">
        <v>165</v>
      </c>
      <c r="H17">
        <v>1</v>
      </c>
      <c r="I17" t="s">
        <v>131</v>
      </c>
      <c r="J17" t="s">
        <v>134</v>
      </c>
    </row>
    <row r="18" spans="1:10" x14ac:dyDescent="0.25">
      <c r="A18" t="s">
        <v>125</v>
      </c>
      <c r="B18" t="s">
        <v>166</v>
      </c>
      <c r="C18" t="s">
        <v>167</v>
      </c>
      <c r="D18" t="s">
        <v>168</v>
      </c>
      <c r="H18">
        <v>1</v>
      </c>
      <c r="I18" t="s">
        <v>131</v>
      </c>
      <c r="J18" t="s">
        <v>134</v>
      </c>
    </row>
    <row r="19" spans="1:10" x14ac:dyDescent="0.25">
      <c r="A19" t="s">
        <v>125</v>
      </c>
      <c r="B19" t="s">
        <v>155</v>
      </c>
      <c r="C19" t="s">
        <v>158</v>
      </c>
      <c r="D19" t="s">
        <v>169</v>
      </c>
      <c r="H19">
        <v>1</v>
      </c>
      <c r="I19" t="s">
        <v>131</v>
      </c>
      <c r="J19" t="s">
        <v>134</v>
      </c>
    </row>
    <row r="20" spans="1:10" x14ac:dyDescent="0.25">
      <c r="A20" t="s">
        <v>125</v>
      </c>
      <c r="B20" t="s">
        <v>155</v>
      </c>
      <c r="C20" t="s">
        <v>156</v>
      </c>
      <c r="D20" t="s">
        <v>170</v>
      </c>
      <c r="H20">
        <v>1</v>
      </c>
      <c r="I20" t="s">
        <v>131</v>
      </c>
      <c r="J20" t="s">
        <v>134</v>
      </c>
    </row>
    <row r="21" spans="1:10" x14ac:dyDescent="0.25">
      <c r="A21" t="s">
        <v>125</v>
      </c>
      <c r="B21" t="s">
        <v>155</v>
      </c>
      <c r="C21" t="s">
        <v>158</v>
      </c>
      <c r="D21" t="s">
        <v>171</v>
      </c>
      <c r="H21">
        <v>1</v>
      </c>
      <c r="I21" t="s">
        <v>131</v>
      </c>
      <c r="J21" t="s">
        <v>134</v>
      </c>
    </row>
    <row r="22" spans="1:10" x14ac:dyDescent="0.25">
      <c r="A22" t="s">
        <v>125</v>
      </c>
      <c r="B22" t="s">
        <v>155</v>
      </c>
      <c r="C22" t="s">
        <v>156</v>
      </c>
      <c r="D22" t="s">
        <v>172</v>
      </c>
      <c r="H22">
        <v>1</v>
      </c>
      <c r="I22" t="s">
        <v>131</v>
      </c>
      <c r="J22" t="s">
        <v>134</v>
      </c>
    </row>
    <row r="23" spans="1:10" x14ac:dyDescent="0.25">
      <c r="A23" t="s">
        <v>125</v>
      </c>
      <c r="B23" t="s">
        <v>173</v>
      </c>
      <c r="C23" t="s">
        <v>129</v>
      </c>
      <c r="D23" t="s">
        <v>174</v>
      </c>
      <c r="H23">
        <v>48</v>
      </c>
      <c r="I23" t="s">
        <v>131</v>
      </c>
      <c r="J23" t="s">
        <v>175</v>
      </c>
    </row>
    <row r="24" spans="1:10" x14ac:dyDescent="0.25">
      <c r="A24" t="s">
        <v>125</v>
      </c>
      <c r="B24" t="s">
        <v>173</v>
      </c>
      <c r="C24" t="s">
        <v>129</v>
      </c>
      <c r="D24" t="s">
        <v>176</v>
      </c>
      <c r="H24">
        <v>8</v>
      </c>
      <c r="I24" t="s">
        <v>131</v>
      </c>
      <c r="J24" t="s">
        <v>175</v>
      </c>
    </row>
    <row r="25" spans="1:10" x14ac:dyDescent="0.25">
      <c r="A25" t="s">
        <v>125</v>
      </c>
      <c r="B25" t="s">
        <v>173</v>
      </c>
      <c r="C25" t="s">
        <v>129</v>
      </c>
      <c r="D25" t="s">
        <v>177</v>
      </c>
      <c r="H25">
        <v>4</v>
      </c>
      <c r="I25" t="s">
        <v>131</v>
      </c>
      <c r="J25" t="s">
        <v>175</v>
      </c>
    </row>
    <row r="26" spans="1:10" x14ac:dyDescent="0.25">
      <c r="A26" t="s">
        <v>125</v>
      </c>
      <c r="B26" t="s">
        <v>178</v>
      </c>
      <c r="C26" t="s">
        <v>129</v>
      </c>
      <c r="D26" t="s">
        <v>179</v>
      </c>
      <c r="H26">
        <v>6</v>
      </c>
      <c r="I26" t="s">
        <v>131</v>
      </c>
      <c r="J26" t="s">
        <v>175</v>
      </c>
    </row>
    <row r="27" spans="1:10" x14ac:dyDescent="0.25">
      <c r="A27" t="s">
        <v>125</v>
      </c>
      <c r="B27" t="s">
        <v>178</v>
      </c>
      <c r="C27" t="s">
        <v>129</v>
      </c>
      <c r="D27" t="s">
        <v>180</v>
      </c>
      <c r="H27">
        <v>12</v>
      </c>
      <c r="I27" t="s">
        <v>131</v>
      </c>
      <c r="J27" t="s">
        <v>175</v>
      </c>
    </row>
    <row r="28" spans="1:10" x14ac:dyDescent="0.25">
      <c r="A28" t="s">
        <v>125</v>
      </c>
      <c r="B28" t="s">
        <v>178</v>
      </c>
      <c r="C28" t="s">
        <v>129</v>
      </c>
      <c r="D28" t="s">
        <v>181</v>
      </c>
      <c r="H28">
        <v>4</v>
      </c>
      <c r="I28" t="s">
        <v>131</v>
      </c>
      <c r="J28" t="s">
        <v>175</v>
      </c>
    </row>
    <row r="29" spans="1:10" x14ac:dyDescent="0.25">
      <c r="A29" t="s">
        <v>125</v>
      </c>
      <c r="B29" t="s">
        <v>182</v>
      </c>
      <c r="C29" t="s">
        <v>129</v>
      </c>
      <c r="D29" t="s">
        <v>183</v>
      </c>
      <c r="H29">
        <v>2</v>
      </c>
      <c r="I29" t="s">
        <v>184</v>
      </c>
      <c r="J29" t="s">
        <v>185</v>
      </c>
    </row>
    <row r="30" spans="1:10" x14ac:dyDescent="0.25">
      <c r="A30" t="s">
        <v>125</v>
      </c>
      <c r="B30" t="s">
        <v>186</v>
      </c>
      <c r="C30" t="s">
        <v>129</v>
      </c>
      <c r="D30" t="s">
        <v>187</v>
      </c>
      <c r="H30">
        <v>2</v>
      </c>
      <c r="I30" t="s">
        <v>184</v>
      </c>
      <c r="J30" t="s">
        <v>185</v>
      </c>
    </row>
    <row r="31" spans="1:10" x14ac:dyDescent="0.25">
      <c r="A31" t="s">
        <v>125</v>
      </c>
      <c r="B31" t="s">
        <v>188</v>
      </c>
      <c r="C31" t="s">
        <v>129</v>
      </c>
      <c r="D31" t="s">
        <v>189</v>
      </c>
      <c r="H31">
        <v>1</v>
      </c>
      <c r="I31" t="s">
        <v>131</v>
      </c>
      <c r="J31" t="s">
        <v>185</v>
      </c>
    </row>
    <row r="32" spans="1:10" x14ac:dyDescent="0.25">
      <c r="A32" t="s">
        <v>125</v>
      </c>
      <c r="B32" t="s">
        <v>190</v>
      </c>
      <c r="C32" t="s">
        <v>129</v>
      </c>
      <c r="D32" t="s">
        <v>191</v>
      </c>
      <c r="H32">
        <v>1</v>
      </c>
      <c r="I32" t="s">
        <v>131</v>
      </c>
      <c r="J32" t="s">
        <v>185</v>
      </c>
    </row>
    <row r="33" spans="1:10" x14ac:dyDescent="0.25">
      <c r="A33" t="s">
        <v>125</v>
      </c>
      <c r="B33" t="s">
        <v>192</v>
      </c>
      <c r="C33" t="s">
        <v>193</v>
      </c>
      <c r="D33" t="s">
        <v>194</v>
      </c>
      <c r="H33">
        <v>6</v>
      </c>
      <c r="I33" t="s">
        <v>131</v>
      </c>
      <c r="J33" t="s">
        <v>185</v>
      </c>
    </row>
    <row r="34" spans="1:10" x14ac:dyDescent="0.25">
      <c r="A34" t="s">
        <v>125</v>
      </c>
      <c r="B34" t="s">
        <v>195</v>
      </c>
      <c r="C34" t="s">
        <v>129</v>
      </c>
      <c r="D34" t="s">
        <v>196</v>
      </c>
      <c r="H34">
        <v>1</v>
      </c>
      <c r="I34" t="s">
        <v>127</v>
      </c>
      <c r="J34" t="s">
        <v>185</v>
      </c>
    </row>
    <row r="35" spans="1:10" x14ac:dyDescent="0.25">
      <c r="A35" t="s">
        <v>125</v>
      </c>
      <c r="B35" t="s">
        <v>197</v>
      </c>
      <c r="C35" t="s">
        <v>129</v>
      </c>
      <c r="D35" t="s">
        <v>198</v>
      </c>
      <c r="H35">
        <v>1</v>
      </c>
      <c r="I35" t="s">
        <v>127</v>
      </c>
      <c r="J35" t="s">
        <v>185</v>
      </c>
    </row>
    <row r="36" spans="1:10" x14ac:dyDescent="0.25">
      <c r="A36" t="s">
        <v>125</v>
      </c>
      <c r="B36" t="s">
        <v>199</v>
      </c>
      <c r="D36" t="s">
        <v>200</v>
      </c>
      <c r="H36">
        <v>1</v>
      </c>
      <c r="I36" t="s">
        <v>127</v>
      </c>
      <c r="J36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F1F7-FD1D-453F-A3A9-C7F4907CE372}">
  <dimension ref="A1:K121"/>
  <sheetViews>
    <sheetView topLeftCell="A5" workbookViewId="0">
      <selection sqref="A1:K121"/>
    </sheetView>
  </sheetViews>
  <sheetFormatPr defaultRowHeight="15" x14ac:dyDescent="0.25"/>
  <sheetData>
    <row r="1" spans="1:11" ht="38.25" x14ac:dyDescent="0.25">
      <c r="A1" s="1" t="s">
        <v>2</v>
      </c>
      <c r="B1" s="1" t="s">
        <v>0</v>
      </c>
      <c r="C1" s="1" t="s">
        <v>27</v>
      </c>
      <c r="D1" s="2" t="s">
        <v>1</v>
      </c>
      <c r="E1" s="1" t="s">
        <v>14</v>
      </c>
      <c r="F1" s="1" t="s">
        <v>3</v>
      </c>
      <c r="G1" s="1" t="s">
        <v>3</v>
      </c>
      <c r="H1" s="3" t="s">
        <v>6</v>
      </c>
      <c r="I1" s="4" t="s">
        <v>15</v>
      </c>
      <c r="J1" s="4" t="s">
        <v>4</v>
      </c>
      <c r="K1" s="4" t="s">
        <v>5</v>
      </c>
    </row>
    <row r="2" spans="1:11" ht="25.5" x14ac:dyDescent="0.25">
      <c r="A2" s="5" t="str">
        <f>E2</f>
        <v>ВРУ1-13-20ухл4</v>
      </c>
      <c r="B2" s="6"/>
      <c r="C2" s="5"/>
      <c r="D2" s="7"/>
      <c r="E2" s="6" t="s">
        <v>98</v>
      </c>
      <c r="F2" s="8"/>
      <c r="G2" s="8"/>
      <c r="H2" s="9">
        <f>I2*H15</f>
        <v>265594.2</v>
      </c>
      <c r="I2" s="10">
        <v>1</v>
      </c>
      <c r="J2" s="11" t="s">
        <v>7</v>
      </c>
      <c r="K2" s="6" t="s">
        <v>9</v>
      </c>
    </row>
    <row r="3" spans="1:11" ht="25.5" x14ac:dyDescent="0.25">
      <c r="A3" s="12" t="str">
        <f>A2</f>
        <v>ВРУ1-13-20ухл4</v>
      </c>
      <c r="B3" s="13" t="s">
        <v>8</v>
      </c>
      <c r="C3" s="12"/>
      <c r="D3" s="14"/>
      <c r="E3" s="12" t="s">
        <v>96</v>
      </c>
      <c r="F3" s="13">
        <v>159000</v>
      </c>
      <c r="G3" s="15">
        <f t="shared" ref="G3:G13" si="0">F3*0.6</f>
        <v>95400</v>
      </c>
      <c r="H3" s="15">
        <f>I3*G3</f>
        <v>95400</v>
      </c>
      <c r="I3" s="16">
        <v>1</v>
      </c>
      <c r="J3" s="17" t="s">
        <v>13</v>
      </c>
      <c r="K3" s="13" t="s">
        <v>16</v>
      </c>
    </row>
    <row r="4" spans="1:11" ht="51" x14ac:dyDescent="0.25">
      <c r="A4" s="12" t="str">
        <f>A2</f>
        <v>ВРУ1-13-20ухл4</v>
      </c>
      <c r="B4" s="13" t="s">
        <v>29</v>
      </c>
      <c r="C4" s="12"/>
      <c r="D4" s="14"/>
      <c r="E4" s="12" t="s">
        <v>41</v>
      </c>
      <c r="F4" s="13">
        <v>6500</v>
      </c>
      <c r="G4" s="15">
        <f t="shared" si="0"/>
        <v>3900</v>
      </c>
      <c r="H4" s="15">
        <f t="shared" ref="H4:H7" si="1">G4*I4</f>
        <v>11700</v>
      </c>
      <c r="I4" s="16">
        <v>3</v>
      </c>
      <c r="J4" s="17" t="s">
        <v>13</v>
      </c>
      <c r="K4" s="13" t="s">
        <v>28</v>
      </c>
    </row>
    <row r="5" spans="1:11" ht="51" x14ac:dyDescent="0.25">
      <c r="A5" s="12" t="str">
        <f>A3</f>
        <v>ВРУ1-13-20ухл4</v>
      </c>
      <c r="B5" s="13" t="s">
        <v>29</v>
      </c>
      <c r="C5" s="12"/>
      <c r="D5" s="14"/>
      <c r="E5" s="12" t="s">
        <v>48</v>
      </c>
      <c r="F5" s="13">
        <v>6500</v>
      </c>
      <c r="G5" s="15">
        <f t="shared" si="0"/>
        <v>3900</v>
      </c>
      <c r="H5" s="15">
        <f t="shared" si="1"/>
        <v>11700</v>
      </c>
      <c r="I5" s="16">
        <v>3</v>
      </c>
      <c r="J5" s="17" t="s">
        <v>13</v>
      </c>
      <c r="K5" s="13" t="s">
        <v>28</v>
      </c>
    </row>
    <row r="6" spans="1:11" ht="25.5" x14ac:dyDescent="0.25">
      <c r="A6" s="12" t="str">
        <f>A4</f>
        <v>ВРУ1-13-20ухл4</v>
      </c>
      <c r="B6" s="13" t="s">
        <v>31</v>
      </c>
      <c r="C6" s="12"/>
      <c r="D6" s="14" t="s">
        <v>42</v>
      </c>
      <c r="E6" s="12" t="s">
        <v>97</v>
      </c>
      <c r="F6" s="13">
        <v>17175</v>
      </c>
      <c r="G6" s="15">
        <f t="shared" si="0"/>
        <v>10305</v>
      </c>
      <c r="H6" s="15">
        <f t="shared" si="1"/>
        <v>20610</v>
      </c>
      <c r="I6" s="16">
        <v>2</v>
      </c>
      <c r="J6" s="17" t="s">
        <v>13</v>
      </c>
      <c r="K6" s="13" t="s">
        <v>28</v>
      </c>
    </row>
    <row r="7" spans="1:11" ht="102" x14ac:dyDescent="0.25">
      <c r="A7" s="12" t="str">
        <f>A5</f>
        <v>ВРУ1-13-20ухл4</v>
      </c>
      <c r="B7" s="13" t="s">
        <v>43</v>
      </c>
      <c r="C7" s="12"/>
      <c r="D7" s="14" t="s">
        <v>44</v>
      </c>
      <c r="E7" s="12" t="s">
        <v>45</v>
      </c>
      <c r="F7" s="13">
        <v>3302</v>
      </c>
      <c r="G7" s="15">
        <f t="shared" si="0"/>
        <v>1981.1999999999998</v>
      </c>
      <c r="H7" s="15">
        <f t="shared" si="1"/>
        <v>5943.5999999999995</v>
      </c>
      <c r="I7" s="16">
        <v>3</v>
      </c>
      <c r="J7" s="17" t="s">
        <v>13</v>
      </c>
      <c r="K7" s="13" t="s">
        <v>17</v>
      </c>
    </row>
    <row r="8" spans="1:11" ht="102" x14ac:dyDescent="0.25">
      <c r="A8" s="12" t="str">
        <f t="shared" ref="A8:A15" si="2">A7</f>
        <v>ВРУ1-13-20ухл4</v>
      </c>
      <c r="B8" s="13" t="s">
        <v>43</v>
      </c>
      <c r="C8" s="12"/>
      <c r="D8" s="14" t="s">
        <v>50</v>
      </c>
      <c r="E8" s="12" t="s">
        <v>51</v>
      </c>
      <c r="F8" s="13">
        <v>3317</v>
      </c>
      <c r="G8" s="15">
        <f t="shared" si="0"/>
        <v>1990.1999999999998</v>
      </c>
      <c r="H8" s="15">
        <f>G8*I8</f>
        <v>5970.5999999999995</v>
      </c>
      <c r="I8" s="16">
        <v>3</v>
      </c>
      <c r="J8" s="17" t="s">
        <v>13</v>
      </c>
      <c r="K8" s="13" t="s">
        <v>17</v>
      </c>
    </row>
    <row r="9" spans="1:11" ht="102" x14ac:dyDescent="0.25">
      <c r="A9" s="12" t="str">
        <f t="shared" si="2"/>
        <v>ВРУ1-13-20ухл4</v>
      </c>
      <c r="B9" s="13" t="s">
        <v>43</v>
      </c>
      <c r="C9" s="12"/>
      <c r="D9" s="14" t="s">
        <v>46</v>
      </c>
      <c r="E9" s="12" t="s">
        <v>47</v>
      </c>
      <c r="F9" s="13">
        <v>4750</v>
      </c>
      <c r="G9" s="15">
        <f t="shared" si="0"/>
        <v>2850</v>
      </c>
      <c r="H9" s="15">
        <f>G9*I9</f>
        <v>17100</v>
      </c>
      <c r="I9" s="16">
        <v>6</v>
      </c>
      <c r="J9" s="17" t="s">
        <v>13</v>
      </c>
      <c r="K9" s="13" t="s">
        <v>17</v>
      </c>
    </row>
    <row r="10" spans="1:11" ht="63.75" x14ac:dyDescent="0.25">
      <c r="A10" s="12" t="str">
        <f t="shared" si="2"/>
        <v>ВРУ1-13-20ухл4</v>
      </c>
      <c r="B10" s="14" t="s">
        <v>34</v>
      </c>
      <c r="C10" s="12"/>
      <c r="D10" s="14" t="s">
        <v>23</v>
      </c>
      <c r="E10" s="12" t="s">
        <v>30</v>
      </c>
      <c r="F10" s="13">
        <v>975</v>
      </c>
      <c r="G10" s="15">
        <f t="shared" si="0"/>
        <v>585</v>
      </c>
      <c r="H10" s="15">
        <f>G10*I10</f>
        <v>1170</v>
      </c>
      <c r="I10" s="16">
        <v>2</v>
      </c>
      <c r="J10" s="17" t="s">
        <v>13</v>
      </c>
      <c r="K10" s="13" t="s">
        <v>17</v>
      </c>
    </row>
    <row r="11" spans="1:11" ht="51" x14ac:dyDescent="0.25">
      <c r="A11" s="12" t="str">
        <f t="shared" si="2"/>
        <v>ВРУ1-13-20ухл4</v>
      </c>
      <c r="B11" s="13" t="s">
        <v>19</v>
      </c>
      <c r="C11" s="12"/>
      <c r="D11" s="14"/>
      <c r="E11" s="12" t="s">
        <v>49</v>
      </c>
      <c r="F11" s="13"/>
      <c r="G11" s="15">
        <f t="shared" si="0"/>
        <v>0</v>
      </c>
      <c r="H11" s="15">
        <f t="shared" ref="H11:H14" si="3">G11*I11</f>
        <v>0</v>
      </c>
      <c r="I11" s="16">
        <v>2</v>
      </c>
      <c r="J11" s="17" t="s">
        <v>13</v>
      </c>
      <c r="K11" s="13" t="s">
        <v>28</v>
      </c>
    </row>
    <row r="12" spans="1:11" ht="25.5" x14ac:dyDescent="0.25">
      <c r="A12" s="12" t="str">
        <f t="shared" si="2"/>
        <v>ВРУ1-13-20ухл4</v>
      </c>
      <c r="B12" s="13" t="s">
        <v>52</v>
      </c>
      <c r="C12" s="12"/>
      <c r="D12" s="14"/>
      <c r="E12" s="12" t="s">
        <v>52</v>
      </c>
      <c r="F12" s="13"/>
      <c r="G12" s="15">
        <f t="shared" si="0"/>
        <v>0</v>
      </c>
      <c r="H12" s="15">
        <f t="shared" si="3"/>
        <v>0</v>
      </c>
      <c r="I12" s="16">
        <v>2</v>
      </c>
      <c r="J12" s="17" t="s">
        <v>13</v>
      </c>
      <c r="K12" s="13" t="s">
        <v>28</v>
      </c>
    </row>
    <row r="13" spans="1:11" ht="38.25" x14ac:dyDescent="0.25">
      <c r="A13" s="12" t="str">
        <f>A11</f>
        <v>ВРУ1-13-20ухл4</v>
      </c>
      <c r="B13" s="12" t="s">
        <v>10</v>
      </c>
      <c r="C13" s="12"/>
      <c r="D13" s="18" t="s">
        <v>10</v>
      </c>
      <c r="E13" s="12" t="s">
        <v>10</v>
      </c>
      <c r="F13" s="26">
        <f>H14</f>
        <v>60000</v>
      </c>
      <c r="G13" s="15">
        <f t="shared" si="0"/>
        <v>36000</v>
      </c>
      <c r="H13" s="15">
        <f t="shared" si="3"/>
        <v>36000</v>
      </c>
      <c r="I13" s="12">
        <v>1</v>
      </c>
      <c r="J13" s="12" t="s">
        <v>13</v>
      </c>
      <c r="K13" s="12" t="s">
        <v>10</v>
      </c>
    </row>
    <row r="14" spans="1:11" ht="25.5" x14ac:dyDescent="0.25">
      <c r="A14" s="12" t="str">
        <f t="shared" si="2"/>
        <v>ВРУ1-13-20ухл4</v>
      </c>
      <c r="B14" s="12" t="s">
        <v>11</v>
      </c>
      <c r="C14" s="12"/>
      <c r="D14" s="18" t="s">
        <v>11</v>
      </c>
      <c r="E14" s="12" t="s">
        <v>11</v>
      </c>
      <c r="F14" s="12">
        <v>10</v>
      </c>
      <c r="G14" s="15">
        <v>100</v>
      </c>
      <c r="H14" s="15">
        <f t="shared" si="3"/>
        <v>60000</v>
      </c>
      <c r="I14" s="12">
        <f>60*F14</f>
        <v>600</v>
      </c>
      <c r="J14" s="12" t="s">
        <v>13</v>
      </c>
      <c r="K14" s="12" t="s">
        <v>11</v>
      </c>
    </row>
    <row r="15" spans="1:11" ht="25.5" x14ac:dyDescent="0.25">
      <c r="A15" s="12" t="str">
        <f t="shared" si="2"/>
        <v>ВРУ1-13-20ухл4</v>
      </c>
      <c r="B15" s="19"/>
      <c r="C15" s="20"/>
      <c r="D15" s="20"/>
      <c r="E15" s="21"/>
      <c r="F15" s="23"/>
      <c r="G15" s="15">
        <f t="shared" ref="G15" si="4">F15*0.55</f>
        <v>0</v>
      </c>
      <c r="H15" s="24">
        <f>SUM(H3:H14)</f>
        <v>265594.2</v>
      </c>
      <c r="I15" s="20"/>
      <c r="J15" s="22"/>
      <c r="K15" s="20"/>
    </row>
    <row r="16" spans="1:11" ht="25.5" x14ac:dyDescent="0.25">
      <c r="A16" s="5" t="str">
        <f>E16</f>
        <v>ВРУ(I секция)</v>
      </c>
      <c r="B16" s="6"/>
      <c r="C16" s="5"/>
      <c r="D16" s="7"/>
      <c r="E16" s="6" t="s">
        <v>53</v>
      </c>
      <c r="F16" s="8"/>
      <c r="G16" s="8"/>
      <c r="H16" s="9">
        <f>I16*H23</f>
        <v>12898.8</v>
      </c>
      <c r="I16" s="10">
        <v>1</v>
      </c>
      <c r="J16" s="11" t="s">
        <v>7</v>
      </c>
      <c r="K16" s="6" t="s">
        <v>9</v>
      </c>
    </row>
    <row r="17" spans="1:11" ht="25.5" x14ac:dyDescent="0.25">
      <c r="A17" s="12" t="str">
        <f>A16</f>
        <v>ВРУ(I секция)</v>
      </c>
      <c r="B17" s="13" t="s">
        <v>8</v>
      </c>
      <c r="C17" s="12"/>
      <c r="D17" s="14"/>
      <c r="E17" s="12"/>
      <c r="F17" s="13"/>
      <c r="G17" s="15">
        <f t="shared" ref="G17:G22" si="5">F17*0.6</f>
        <v>0</v>
      </c>
      <c r="H17" s="15">
        <f>I17*G17</f>
        <v>0</v>
      </c>
      <c r="I17" s="16">
        <v>1</v>
      </c>
      <c r="J17" s="17" t="s">
        <v>13</v>
      </c>
      <c r="K17" s="13" t="s">
        <v>16</v>
      </c>
    </row>
    <row r="18" spans="1:11" ht="102" x14ac:dyDescent="0.25">
      <c r="A18" s="12" t="str">
        <f t="shared" ref="A18:A23" si="6">A17</f>
        <v>ВРУ(I секция)</v>
      </c>
      <c r="B18" s="13" t="s">
        <v>43</v>
      </c>
      <c r="C18" s="12"/>
      <c r="D18" s="14" t="s">
        <v>54</v>
      </c>
      <c r="E18" s="12" t="s">
        <v>55</v>
      </c>
      <c r="F18" s="13">
        <v>1545</v>
      </c>
      <c r="G18" s="15">
        <f t="shared" si="5"/>
        <v>927</v>
      </c>
      <c r="H18" s="15">
        <f t="shared" ref="H18:H22" si="7">G18*I18</f>
        <v>2781</v>
      </c>
      <c r="I18" s="16">
        <v>3</v>
      </c>
      <c r="J18" s="17" t="s">
        <v>13</v>
      </c>
      <c r="K18" s="13" t="s">
        <v>17</v>
      </c>
    </row>
    <row r="19" spans="1:11" ht="102" x14ac:dyDescent="0.25">
      <c r="A19" s="12" t="str">
        <f t="shared" si="6"/>
        <v>ВРУ(I секция)</v>
      </c>
      <c r="B19" s="13" t="s">
        <v>43</v>
      </c>
      <c r="C19" s="12"/>
      <c r="D19" s="14" t="s">
        <v>56</v>
      </c>
      <c r="E19" s="12" t="s">
        <v>57</v>
      </c>
      <c r="F19" s="13">
        <v>1545</v>
      </c>
      <c r="G19" s="15">
        <f t="shared" si="5"/>
        <v>927</v>
      </c>
      <c r="H19" s="15">
        <f t="shared" si="7"/>
        <v>2781</v>
      </c>
      <c r="I19" s="16">
        <v>3</v>
      </c>
      <c r="J19" s="17" t="s">
        <v>13</v>
      </c>
      <c r="K19" s="13" t="s">
        <v>17</v>
      </c>
    </row>
    <row r="20" spans="1:11" ht="102" x14ac:dyDescent="0.25">
      <c r="A20" s="12" t="str">
        <f t="shared" si="6"/>
        <v>ВРУ(I секция)</v>
      </c>
      <c r="B20" s="13" t="s">
        <v>43</v>
      </c>
      <c r="C20" s="12"/>
      <c r="D20" s="14" t="s">
        <v>58</v>
      </c>
      <c r="E20" s="12" t="s">
        <v>59</v>
      </c>
      <c r="F20" s="13">
        <v>2038</v>
      </c>
      <c r="G20" s="15">
        <f t="shared" si="5"/>
        <v>1222.8</v>
      </c>
      <c r="H20" s="15">
        <f t="shared" si="7"/>
        <v>7336.7999999999993</v>
      </c>
      <c r="I20" s="16">
        <v>6</v>
      </c>
      <c r="J20" s="17" t="s">
        <v>13</v>
      </c>
      <c r="K20" s="13" t="s">
        <v>17</v>
      </c>
    </row>
    <row r="21" spans="1:11" ht="38.25" x14ac:dyDescent="0.25">
      <c r="A21" s="12" t="str">
        <f t="shared" si="6"/>
        <v>ВРУ(I секция)</v>
      </c>
      <c r="B21" s="12" t="s">
        <v>10</v>
      </c>
      <c r="C21" s="12"/>
      <c r="D21" s="18" t="s">
        <v>10</v>
      </c>
      <c r="E21" s="12" t="s">
        <v>10</v>
      </c>
      <c r="F21" s="12"/>
      <c r="G21" s="15">
        <f t="shared" si="5"/>
        <v>0</v>
      </c>
      <c r="H21" s="15">
        <f t="shared" si="7"/>
        <v>0</v>
      </c>
      <c r="I21" s="12"/>
      <c r="J21" s="12" t="s">
        <v>13</v>
      </c>
      <c r="K21" s="12" t="s">
        <v>10</v>
      </c>
    </row>
    <row r="22" spans="1:11" ht="25.5" x14ac:dyDescent="0.25">
      <c r="A22" s="12" t="str">
        <f t="shared" si="6"/>
        <v>ВРУ(I секция)</v>
      </c>
      <c r="B22" s="12" t="s">
        <v>11</v>
      </c>
      <c r="C22" s="12"/>
      <c r="D22" s="18" t="s">
        <v>11</v>
      </c>
      <c r="E22" s="12" t="s">
        <v>11</v>
      </c>
      <c r="F22" s="12">
        <f>I22/60</f>
        <v>0</v>
      </c>
      <c r="G22" s="15">
        <f t="shared" si="5"/>
        <v>0</v>
      </c>
      <c r="H22" s="15">
        <f t="shared" si="7"/>
        <v>0</v>
      </c>
      <c r="I22" s="12"/>
      <c r="J22" s="12" t="s">
        <v>13</v>
      </c>
      <c r="K22" s="12" t="s">
        <v>11</v>
      </c>
    </row>
    <row r="23" spans="1:11" ht="25.5" x14ac:dyDescent="0.25">
      <c r="A23" s="12" t="str">
        <f t="shared" si="6"/>
        <v>ВРУ(I секция)</v>
      </c>
      <c r="B23" s="19"/>
      <c r="C23" s="20"/>
      <c r="D23" s="20"/>
      <c r="E23" s="21"/>
      <c r="F23" s="23"/>
      <c r="G23" s="15">
        <f t="shared" ref="G23" si="8">F23*0.55</f>
        <v>0</v>
      </c>
      <c r="H23" s="24">
        <f>SUM(H17:H22)</f>
        <v>12898.8</v>
      </c>
      <c r="I23" s="20"/>
      <c r="J23" s="22"/>
      <c r="K23" s="20"/>
    </row>
    <row r="24" spans="1:11" ht="25.5" x14ac:dyDescent="0.25">
      <c r="A24" s="5" t="str">
        <f>E24</f>
        <v>ВРУ(II секция)</v>
      </c>
      <c r="B24" s="6"/>
      <c r="C24" s="5"/>
      <c r="D24" s="7"/>
      <c r="E24" s="6" t="s">
        <v>60</v>
      </c>
      <c r="F24" s="8"/>
      <c r="G24" s="8"/>
      <c r="H24" s="9">
        <f>I24*H31</f>
        <v>19240.199999999997</v>
      </c>
      <c r="I24" s="10">
        <v>1</v>
      </c>
      <c r="J24" s="11" t="s">
        <v>7</v>
      </c>
      <c r="K24" s="6" t="s">
        <v>9</v>
      </c>
    </row>
    <row r="25" spans="1:11" ht="25.5" x14ac:dyDescent="0.25">
      <c r="A25" s="12" t="str">
        <f>A24</f>
        <v>ВРУ(II секция)</v>
      </c>
      <c r="B25" s="13" t="s">
        <v>8</v>
      </c>
      <c r="C25" s="12"/>
      <c r="D25" s="14"/>
      <c r="E25" s="12"/>
      <c r="F25" s="13"/>
      <c r="G25" s="15">
        <f t="shared" ref="G25:G30" si="9">F25*0.6</f>
        <v>0</v>
      </c>
      <c r="H25" s="15">
        <f>I25*G25</f>
        <v>0</v>
      </c>
      <c r="I25" s="16">
        <v>1</v>
      </c>
      <c r="J25" s="17" t="s">
        <v>13</v>
      </c>
      <c r="K25" s="13" t="s">
        <v>16</v>
      </c>
    </row>
    <row r="26" spans="1:11" ht="102" x14ac:dyDescent="0.25">
      <c r="A26" s="12" t="str">
        <f t="shared" ref="A26:A31" si="10">A25</f>
        <v>ВРУ(II секция)</v>
      </c>
      <c r="B26" s="13" t="s">
        <v>43</v>
      </c>
      <c r="C26" s="12"/>
      <c r="D26" s="14" t="s">
        <v>63</v>
      </c>
      <c r="E26" s="12" t="s">
        <v>64</v>
      </c>
      <c r="F26" s="13">
        <v>1525</v>
      </c>
      <c r="G26" s="15">
        <f t="shared" si="9"/>
        <v>915</v>
      </c>
      <c r="H26" s="15">
        <f t="shared" ref="H26:H30" si="11">G26*I26</f>
        <v>2745</v>
      </c>
      <c r="I26" s="16">
        <v>3</v>
      </c>
      <c r="J26" s="17" t="s">
        <v>13</v>
      </c>
      <c r="K26" s="13" t="s">
        <v>17</v>
      </c>
    </row>
    <row r="27" spans="1:11" ht="102" x14ac:dyDescent="0.25">
      <c r="A27" s="12" t="str">
        <f t="shared" si="10"/>
        <v>ВРУ(II секция)</v>
      </c>
      <c r="B27" s="13" t="s">
        <v>43</v>
      </c>
      <c r="C27" s="12"/>
      <c r="D27" s="14" t="s">
        <v>61</v>
      </c>
      <c r="E27" s="12" t="s">
        <v>62</v>
      </c>
      <c r="F27" s="13">
        <v>1525</v>
      </c>
      <c r="G27" s="15">
        <f t="shared" si="9"/>
        <v>915</v>
      </c>
      <c r="H27" s="15">
        <f t="shared" si="11"/>
        <v>5490</v>
      </c>
      <c r="I27" s="16">
        <v>6</v>
      </c>
      <c r="J27" s="17" t="s">
        <v>13</v>
      </c>
      <c r="K27" s="13" t="s">
        <v>17</v>
      </c>
    </row>
    <row r="28" spans="1:11" ht="102" x14ac:dyDescent="0.25">
      <c r="A28" s="12" t="str">
        <f t="shared" si="10"/>
        <v>ВРУ(II секция)</v>
      </c>
      <c r="B28" s="13" t="s">
        <v>43</v>
      </c>
      <c r="C28" s="12"/>
      <c r="D28" s="14" t="s">
        <v>58</v>
      </c>
      <c r="E28" s="12" t="s">
        <v>59</v>
      </c>
      <c r="F28" s="13">
        <v>2038</v>
      </c>
      <c r="G28" s="15">
        <f t="shared" si="9"/>
        <v>1222.8</v>
      </c>
      <c r="H28" s="15">
        <f t="shared" si="11"/>
        <v>11005.199999999999</v>
      </c>
      <c r="I28" s="16">
        <v>9</v>
      </c>
      <c r="J28" s="17" t="s">
        <v>13</v>
      </c>
      <c r="K28" s="13" t="s">
        <v>17</v>
      </c>
    </row>
    <row r="29" spans="1:11" ht="38.25" x14ac:dyDescent="0.25">
      <c r="A29" s="12" t="str">
        <f t="shared" si="10"/>
        <v>ВРУ(II секция)</v>
      </c>
      <c r="B29" s="12" t="s">
        <v>10</v>
      </c>
      <c r="C29" s="12"/>
      <c r="D29" s="18" t="s">
        <v>10</v>
      </c>
      <c r="E29" s="12" t="s">
        <v>10</v>
      </c>
      <c r="F29" s="12"/>
      <c r="G29" s="15">
        <f t="shared" si="9"/>
        <v>0</v>
      </c>
      <c r="H29" s="15">
        <f t="shared" si="11"/>
        <v>0</v>
      </c>
      <c r="I29" s="12"/>
      <c r="J29" s="12" t="s">
        <v>13</v>
      </c>
      <c r="K29" s="12" t="s">
        <v>10</v>
      </c>
    </row>
    <row r="30" spans="1:11" ht="25.5" x14ac:dyDescent="0.25">
      <c r="A30" s="12" t="str">
        <f t="shared" si="10"/>
        <v>ВРУ(II секция)</v>
      </c>
      <c r="B30" s="12" t="s">
        <v>11</v>
      </c>
      <c r="C30" s="12"/>
      <c r="D30" s="18" t="s">
        <v>11</v>
      </c>
      <c r="E30" s="12" t="s">
        <v>11</v>
      </c>
      <c r="F30" s="12">
        <f>I30/60</f>
        <v>0</v>
      </c>
      <c r="G30" s="15">
        <f t="shared" si="9"/>
        <v>0</v>
      </c>
      <c r="H30" s="15">
        <f t="shared" si="11"/>
        <v>0</v>
      </c>
      <c r="I30" s="12"/>
      <c r="J30" s="12" t="s">
        <v>13</v>
      </c>
      <c r="K30" s="12" t="s">
        <v>11</v>
      </c>
    </row>
    <row r="31" spans="1:11" ht="25.5" x14ac:dyDescent="0.25">
      <c r="A31" s="12" t="str">
        <f t="shared" si="10"/>
        <v>ВРУ(II секция)</v>
      </c>
      <c r="B31" s="19"/>
      <c r="C31" s="20"/>
      <c r="D31" s="20"/>
      <c r="E31" s="21"/>
      <c r="F31" s="23"/>
      <c r="G31" s="15">
        <f t="shared" ref="G31" si="12">F31*0.55</f>
        <v>0</v>
      </c>
      <c r="H31" s="24">
        <f>SUM(H25:H30)</f>
        <v>19240.199999999997</v>
      </c>
      <c r="I31" s="20"/>
      <c r="J31" s="22"/>
      <c r="K31" s="20"/>
    </row>
    <row r="32" spans="1:11" ht="25.5" x14ac:dyDescent="0.25">
      <c r="A32" s="5" t="str">
        <f>E32</f>
        <v>ВРУ(III секция)</v>
      </c>
      <c r="B32" s="6"/>
      <c r="C32" s="5"/>
      <c r="D32" s="7"/>
      <c r="E32" s="6" t="s">
        <v>65</v>
      </c>
      <c r="F32" s="8"/>
      <c r="G32" s="8"/>
      <c r="H32" s="9">
        <f>I32*H38</f>
        <v>12826.8</v>
      </c>
      <c r="I32" s="10">
        <v>1</v>
      </c>
      <c r="J32" s="11" t="s">
        <v>7</v>
      </c>
      <c r="K32" s="6" t="s">
        <v>9</v>
      </c>
    </row>
    <row r="33" spans="1:11" ht="25.5" x14ac:dyDescent="0.25">
      <c r="A33" s="12" t="str">
        <f>A32</f>
        <v>ВРУ(III секция)</v>
      </c>
      <c r="B33" s="13" t="s">
        <v>8</v>
      </c>
      <c r="C33" s="12"/>
      <c r="D33" s="14"/>
      <c r="E33" s="12"/>
      <c r="F33" s="13"/>
      <c r="G33" s="15">
        <f t="shared" ref="G33:G37" si="13">F33*0.6</f>
        <v>0</v>
      </c>
      <c r="H33" s="15">
        <f>I33*G33</f>
        <v>0</v>
      </c>
      <c r="I33" s="16">
        <v>1</v>
      </c>
      <c r="J33" s="17" t="s">
        <v>13</v>
      </c>
      <c r="K33" s="13" t="s">
        <v>16</v>
      </c>
    </row>
    <row r="34" spans="1:11" ht="102" x14ac:dyDescent="0.25">
      <c r="A34" s="12" t="str">
        <f t="shared" ref="A34:A38" si="14">A33</f>
        <v>ВРУ(III секция)</v>
      </c>
      <c r="B34" s="13" t="s">
        <v>43</v>
      </c>
      <c r="C34" s="12"/>
      <c r="D34" s="14" t="s">
        <v>63</v>
      </c>
      <c r="E34" s="12" t="s">
        <v>64</v>
      </c>
      <c r="F34" s="13">
        <v>1525</v>
      </c>
      <c r="G34" s="15">
        <f t="shared" si="13"/>
        <v>915</v>
      </c>
      <c r="H34" s="15">
        <f t="shared" ref="H34:H37" si="15">G34*I34</f>
        <v>5490</v>
      </c>
      <c r="I34" s="16">
        <v>6</v>
      </c>
      <c r="J34" s="17" t="s">
        <v>13</v>
      </c>
      <c r="K34" s="13" t="s">
        <v>17</v>
      </c>
    </row>
    <row r="35" spans="1:11" ht="102" x14ac:dyDescent="0.25">
      <c r="A35" s="12" t="str">
        <f t="shared" si="14"/>
        <v>ВРУ(III секция)</v>
      </c>
      <c r="B35" s="13" t="s">
        <v>43</v>
      </c>
      <c r="C35" s="12"/>
      <c r="D35" s="14" t="s">
        <v>58</v>
      </c>
      <c r="E35" s="12" t="s">
        <v>59</v>
      </c>
      <c r="F35" s="13">
        <v>2038</v>
      </c>
      <c r="G35" s="15">
        <f t="shared" si="13"/>
        <v>1222.8</v>
      </c>
      <c r="H35" s="15">
        <f t="shared" si="15"/>
        <v>7336.7999999999993</v>
      </c>
      <c r="I35" s="16">
        <v>6</v>
      </c>
      <c r="J35" s="17" t="s">
        <v>13</v>
      </c>
      <c r="K35" s="13" t="s">
        <v>17</v>
      </c>
    </row>
    <row r="36" spans="1:11" ht="38.25" x14ac:dyDescent="0.25">
      <c r="A36" s="12" t="str">
        <f t="shared" si="14"/>
        <v>ВРУ(III секция)</v>
      </c>
      <c r="B36" s="12" t="s">
        <v>10</v>
      </c>
      <c r="C36" s="12"/>
      <c r="D36" s="18" t="s">
        <v>10</v>
      </c>
      <c r="E36" s="12" t="s">
        <v>10</v>
      </c>
      <c r="F36" s="12"/>
      <c r="G36" s="15">
        <f t="shared" si="13"/>
        <v>0</v>
      </c>
      <c r="H36" s="15">
        <f t="shared" si="15"/>
        <v>0</v>
      </c>
      <c r="I36" s="12"/>
      <c r="J36" s="12" t="s">
        <v>13</v>
      </c>
      <c r="K36" s="12" t="s">
        <v>10</v>
      </c>
    </row>
    <row r="37" spans="1:11" ht="25.5" x14ac:dyDescent="0.25">
      <c r="A37" s="12" t="str">
        <f t="shared" si="14"/>
        <v>ВРУ(III секция)</v>
      </c>
      <c r="B37" s="12" t="s">
        <v>11</v>
      </c>
      <c r="C37" s="12"/>
      <c r="D37" s="18" t="s">
        <v>11</v>
      </c>
      <c r="E37" s="12" t="s">
        <v>11</v>
      </c>
      <c r="F37" s="12">
        <f>I37/60</f>
        <v>0</v>
      </c>
      <c r="G37" s="15">
        <f t="shared" si="13"/>
        <v>0</v>
      </c>
      <c r="H37" s="15">
        <f t="shared" si="15"/>
        <v>0</v>
      </c>
      <c r="I37" s="12"/>
      <c r="J37" s="12" t="s">
        <v>13</v>
      </c>
      <c r="K37" s="12" t="s">
        <v>11</v>
      </c>
    </row>
    <row r="38" spans="1:11" ht="25.5" x14ac:dyDescent="0.25">
      <c r="A38" s="12" t="str">
        <f t="shared" si="14"/>
        <v>ВРУ(III секция)</v>
      </c>
      <c r="B38" s="19"/>
      <c r="C38" s="20"/>
      <c r="D38" s="20"/>
      <c r="E38" s="21"/>
      <c r="F38" s="23"/>
      <c r="G38" s="15">
        <f t="shared" ref="G38" si="16">F38*0.55</f>
        <v>0</v>
      </c>
      <c r="H38" s="24">
        <f>SUM(H33:H37)</f>
        <v>12826.8</v>
      </c>
      <c r="I38" s="20"/>
      <c r="J38" s="22"/>
      <c r="K38" s="20"/>
    </row>
    <row r="39" spans="1:11" ht="25.5" x14ac:dyDescent="0.25">
      <c r="A39" s="5" t="str">
        <f>E39</f>
        <v>ВРУ(IV секция)</v>
      </c>
      <c r="B39" s="6"/>
      <c r="C39" s="5"/>
      <c r="D39" s="7"/>
      <c r="E39" s="6" t="s">
        <v>70</v>
      </c>
      <c r="F39" s="8"/>
      <c r="G39" s="8"/>
      <c r="H39" s="9">
        <f>I39*H47</f>
        <v>26742.6</v>
      </c>
      <c r="I39" s="10">
        <v>1</v>
      </c>
      <c r="J39" s="11" t="s">
        <v>7</v>
      </c>
      <c r="K39" s="6" t="s">
        <v>9</v>
      </c>
    </row>
    <row r="40" spans="1:11" ht="25.5" x14ac:dyDescent="0.25">
      <c r="A40" s="12" t="str">
        <f>A39</f>
        <v>ВРУ(IV секция)</v>
      </c>
      <c r="B40" s="13" t="s">
        <v>8</v>
      </c>
      <c r="C40" s="12"/>
      <c r="D40" s="14"/>
      <c r="E40" s="12"/>
      <c r="F40" s="13"/>
      <c r="G40" s="15">
        <f t="shared" ref="G40:G46" si="17">F40*0.6</f>
        <v>0</v>
      </c>
      <c r="H40" s="15">
        <f>I40*G40</f>
        <v>0</v>
      </c>
      <c r="I40" s="16">
        <v>1</v>
      </c>
      <c r="J40" s="17" t="s">
        <v>13</v>
      </c>
      <c r="K40" s="13" t="s">
        <v>16</v>
      </c>
    </row>
    <row r="41" spans="1:11" ht="102" x14ac:dyDescent="0.25">
      <c r="A41" s="12" t="str">
        <f t="shared" ref="A41:A47" si="18">A40</f>
        <v>ВРУ(IV секция)</v>
      </c>
      <c r="B41" s="13" t="s">
        <v>43</v>
      </c>
      <c r="C41" s="12"/>
      <c r="D41" s="14" t="s">
        <v>66</v>
      </c>
      <c r="E41" s="12" t="s">
        <v>67</v>
      </c>
      <c r="F41" s="13">
        <v>1525</v>
      </c>
      <c r="G41" s="15">
        <f t="shared" si="17"/>
        <v>915</v>
      </c>
      <c r="H41" s="15">
        <f t="shared" ref="H41:H46" si="19">G41*I41</f>
        <v>2745</v>
      </c>
      <c r="I41" s="16">
        <v>3</v>
      </c>
      <c r="J41" s="17" t="s">
        <v>13</v>
      </c>
      <c r="K41" s="13" t="s">
        <v>17</v>
      </c>
    </row>
    <row r="42" spans="1:11" ht="102" x14ac:dyDescent="0.25">
      <c r="A42" s="12" t="str">
        <f t="shared" si="18"/>
        <v>ВРУ(IV секция)</v>
      </c>
      <c r="B42" s="13" t="s">
        <v>43</v>
      </c>
      <c r="C42" s="12"/>
      <c r="D42" s="14" t="s">
        <v>68</v>
      </c>
      <c r="E42" s="12" t="s">
        <v>69</v>
      </c>
      <c r="F42" s="13">
        <v>1510</v>
      </c>
      <c r="G42" s="15">
        <f t="shared" si="17"/>
        <v>906</v>
      </c>
      <c r="H42" s="15">
        <f t="shared" si="19"/>
        <v>8154</v>
      </c>
      <c r="I42" s="16">
        <v>9</v>
      </c>
      <c r="J42" s="17" t="s">
        <v>13</v>
      </c>
      <c r="K42" s="13" t="s">
        <v>17</v>
      </c>
    </row>
    <row r="43" spans="1:11" ht="102" x14ac:dyDescent="0.25">
      <c r="A43" s="12" t="str">
        <f>A41</f>
        <v>ВРУ(IV секция)</v>
      </c>
      <c r="B43" s="13" t="s">
        <v>43</v>
      </c>
      <c r="C43" s="12"/>
      <c r="D43" s="14" t="s">
        <v>58</v>
      </c>
      <c r="E43" s="12" t="s">
        <v>59</v>
      </c>
      <c r="F43" s="13">
        <v>2038</v>
      </c>
      <c r="G43" s="15">
        <f t="shared" si="17"/>
        <v>1222.8</v>
      </c>
      <c r="H43" s="15">
        <f t="shared" si="19"/>
        <v>14673.599999999999</v>
      </c>
      <c r="I43" s="16">
        <v>12</v>
      </c>
      <c r="J43" s="17" t="s">
        <v>13</v>
      </c>
      <c r="K43" s="13" t="s">
        <v>17</v>
      </c>
    </row>
    <row r="44" spans="1:11" ht="76.5" x14ac:dyDescent="0.25">
      <c r="A44" s="12" t="str">
        <f t="shared" ref="A44" si="20">A43</f>
        <v>ВРУ(IV секция)</v>
      </c>
      <c r="B44" s="14" t="s">
        <v>34</v>
      </c>
      <c r="C44" s="12"/>
      <c r="D44" s="14" t="s">
        <v>23</v>
      </c>
      <c r="E44" s="12" t="s">
        <v>30</v>
      </c>
      <c r="F44" s="13">
        <v>975</v>
      </c>
      <c r="G44" s="15">
        <f t="shared" si="17"/>
        <v>585</v>
      </c>
      <c r="H44" s="15">
        <f>G44*I44</f>
        <v>1170</v>
      </c>
      <c r="I44" s="16">
        <v>2</v>
      </c>
      <c r="J44" s="17" t="s">
        <v>13</v>
      </c>
      <c r="K44" s="13" t="s">
        <v>17</v>
      </c>
    </row>
    <row r="45" spans="1:11" ht="38.25" x14ac:dyDescent="0.25">
      <c r="A45" s="12" t="str">
        <f>A43</f>
        <v>ВРУ(IV секция)</v>
      </c>
      <c r="B45" s="12" t="s">
        <v>10</v>
      </c>
      <c r="C45" s="12"/>
      <c r="D45" s="18" t="s">
        <v>10</v>
      </c>
      <c r="E45" s="12" t="s">
        <v>10</v>
      </c>
      <c r="F45" s="12"/>
      <c r="G45" s="15">
        <f t="shared" si="17"/>
        <v>0</v>
      </c>
      <c r="H45" s="15">
        <f t="shared" si="19"/>
        <v>0</v>
      </c>
      <c r="I45" s="12"/>
      <c r="J45" s="12" t="s">
        <v>13</v>
      </c>
      <c r="K45" s="12" t="s">
        <v>10</v>
      </c>
    </row>
    <row r="46" spans="1:11" ht="25.5" x14ac:dyDescent="0.25">
      <c r="A46" s="12" t="str">
        <f t="shared" si="18"/>
        <v>ВРУ(IV секция)</v>
      </c>
      <c r="B46" s="12" t="s">
        <v>11</v>
      </c>
      <c r="C46" s="12"/>
      <c r="D46" s="18" t="s">
        <v>11</v>
      </c>
      <c r="E46" s="12" t="s">
        <v>11</v>
      </c>
      <c r="F46" s="12">
        <f>I46/60</f>
        <v>0</v>
      </c>
      <c r="G46" s="15">
        <f t="shared" si="17"/>
        <v>0</v>
      </c>
      <c r="H46" s="15">
        <f t="shared" si="19"/>
        <v>0</v>
      </c>
      <c r="I46" s="12"/>
      <c r="J46" s="12" t="s">
        <v>13</v>
      </c>
      <c r="K46" s="12" t="s">
        <v>11</v>
      </c>
    </row>
    <row r="47" spans="1:11" ht="25.5" x14ac:dyDescent="0.25">
      <c r="A47" s="12" t="str">
        <f t="shared" si="18"/>
        <v>ВРУ(IV секция)</v>
      </c>
      <c r="B47" s="19"/>
      <c r="C47" s="20"/>
      <c r="D47" s="20"/>
      <c r="E47" s="21"/>
      <c r="F47" s="23"/>
      <c r="G47" s="15">
        <f t="shared" ref="G47" si="21">F47*0.55</f>
        <v>0</v>
      </c>
      <c r="H47" s="24">
        <f>SUM(H40:H46)</f>
        <v>26742.6</v>
      </c>
      <c r="I47" s="20"/>
      <c r="J47" s="22"/>
      <c r="K47" s="20"/>
    </row>
    <row r="48" spans="1:11" ht="38.25" x14ac:dyDescent="0.25">
      <c r="A48" s="5" t="str">
        <f>E48</f>
        <v>ЩАВР1-(АВР-Б-200-2-1)</v>
      </c>
      <c r="B48" s="6"/>
      <c r="C48" s="5"/>
      <c r="D48" s="7"/>
      <c r="E48" s="6" t="s">
        <v>99</v>
      </c>
      <c r="F48" s="8"/>
      <c r="G48" s="8"/>
      <c r="H48" s="9">
        <f>I48*H56</f>
        <v>47368.799999999996</v>
      </c>
      <c r="I48" s="10">
        <v>1</v>
      </c>
      <c r="J48" s="11" t="s">
        <v>7</v>
      </c>
      <c r="K48" s="6" t="s">
        <v>9</v>
      </c>
    </row>
    <row r="49" spans="1:11" ht="38.25" x14ac:dyDescent="0.25">
      <c r="A49" s="12" t="str">
        <f>A48</f>
        <v>ЩАВР1-(АВР-Б-200-2-1)</v>
      </c>
      <c r="B49" s="13" t="s">
        <v>8</v>
      </c>
      <c r="C49" s="12"/>
      <c r="D49" s="14"/>
      <c r="E49" s="12" t="s">
        <v>101</v>
      </c>
      <c r="F49" s="13"/>
      <c r="G49" s="15">
        <f t="shared" ref="G49:G55" si="22">F49*0.6</f>
        <v>0</v>
      </c>
      <c r="H49" s="15">
        <f>I49*G49</f>
        <v>0</v>
      </c>
      <c r="I49" s="16">
        <v>1</v>
      </c>
      <c r="J49" s="17" t="s">
        <v>13</v>
      </c>
      <c r="K49" s="13" t="s">
        <v>16</v>
      </c>
    </row>
    <row r="50" spans="1:11" ht="38.25" x14ac:dyDescent="0.25">
      <c r="A50" s="12" t="str">
        <f t="shared" ref="A50:A56" si="23">A49</f>
        <v>ЩАВР1-(АВР-Б-200-2-1)</v>
      </c>
      <c r="B50" s="13" t="s">
        <v>73</v>
      </c>
      <c r="C50" s="12"/>
      <c r="D50" s="14" t="s">
        <v>76</v>
      </c>
      <c r="E50" s="12" t="s">
        <v>100</v>
      </c>
      <c r="F50" s="13">
        <v>34800</v>
      </c>
      <c r="G50" s="15">
        <f t="shared" si="22"/>
        <v>20880</v>
      </c>
      <c r="H50" s="15">
        <f t="shared" ref="H50" si="24">G50*I50</f>
        <v>41760</v>
      </c>
      <c r="I50" s="16">
        <v>2</v>
      </c>
      <c r="J50" s="17" t="s">
        <v>13</v>
      </c>
      <c r="K50" s="13" t="s">
        <v>17</v>
      </c>
    </row>
    <row r="51" spans="1:11" ht="76.5" x14ac:dyDescent="0.25">
      <c r="A51" s="12" t="str">
        <f t="shared" si="23"/>
        <v>ЩАВР1-(АВР-Б-200-2-1)</v>
      </c>
      <c r="B51" s="13" t="s">
        <v>82</v>
      </c>
      <c r="C51" s="12"/>
      <c r="D51" s="14" t="s">
        <v>79</v>
      </c>
      <c r="E51" s="12" t="s">
        <v>25</v>
      </c>
      <c r="F51" s="13">
        <v>589</v>
      </c>
      <c r="G51" s="15">
        <f t="shared" si="22"/>
        <v>353.4</v>
      </c>
      <c r="H51" s="15">
        <f>G51*I51</f>
        <v>1413.6</v>
      </c>
      <c r="I51" s="16">
        <v>4</v>
      </c>
      <c r="J51" s="17" t="s">
        <v>13</v>
      </c>
      <c r="K51" s="13" t="s">
        <v>17</v>
      </c>
    </row>
    <row r="52" spans="1:11" ht="76.5" x14ac:dyDescent="0.25">
      <c r="A52" s="12" t="str">
        <f t="shared" si="23"/>
        <v>ЩАВР1-(АВР-Б-200-2-1)</v>
      </c>
      <c r="B52" s="13" t="s">
        <v>82</v>
      </c>
      <c r="C52" s="12"/>
      <c r="D52" s="14" t="s">
        <v>80</v>
      </c>
      <c r="E52" s="12" t="s">
        <v>81</v>
      </c>
      <c r="F52" s="13">
        <v>571</v>
      </c>
      <c r="G52" s="15">
        <f t="shared" si="22"/>
        <v>342.59999999999997</v>
      </c>
      <c r="H52" s="15">
        <f>G52*I52</f>
        <v>685.19999999999993</v>
      </c>
      <c r="I52" s="16">
        <v>2</v>
      </c>
      <c r="J52" s="17" t="s">
        <v>13</v>
      </c>
      <c r="K52" s="13" t="s">
        <v>17</v>
      </c>
    </row>
    <row r="53" spans="1:11" ht="76.5" x14ac:dyDescent="0.25">
      <c r="A53" s="12" t="str">
        <f t="shared" si="23"/>
        <v>ЩАВР1-(АВР-Б-200-2-1)</v>
      </c>
      <c r="B53" s="14" t="s">
        <v>34</v>
      </c>
      <c r="C53" s="12"/>
      <c r="D53" s="14" t="s">
        <v>23</v>
      </c>
      <c r="E53" s="12" t="s">
        <v>30</v>
      </c>
      <c r="F53" s="13">
        <v>975</v>
      </c>
      <c r="G53" s="15">
        <f t="shared" si="22"/>
        <v>585</v>
      </c>
      <c r="H53" s="15">
        <f>G53*I53</f>
        <v>3510</v>
      </c>
      <c r="I53" s="16">
        <v>6</v>
      </c>
      <c r="J53" s="17" t="s">
        <v>13</v>
      </c>
      <c r="K53" s="13" t="s">
        <v>17</v>
      </c>
    </row>
    <row r="54" spans="1:11" ht="38.25" x14ac:dyDescent="0.25">
      <c r="A54" s="12" t="str">
        <f t="shared" si="23"/>
        <v>ЩАВР1-(АВР-Б-200-2-1)</v>
      </c>
      <c r="B54" s="12" t="s">
        <v>10</v>
      </c>
      <c r="C54" s="12"/>
      <c r="D54" s="18" t="s">
        <v>10</v>
      </c>
      <c r="E54" s="12" t="s">
        <v>10</v>
      </c>
      <c r="F54" s="12"/>
      <c r="G54" s="15">
        <f t="shared" si="22"/>
        <v>0</v>
      </c>
      <c r="H54" s="15">
        <f t="shared" ref="H54:H55" si="25">G54*I54</f>
        <v>0</v>
      </c>
      <c r="I54" s="12"/>
      <c r="J54" s="12" t="s">
        <v>13</v>
      </c>
      <c r="K54" s="12" t="s">
        <v>10</v>
      </c>
    </row>
    <row r="55" spans="1:11" ht="38.25" x14ac:dyDescent="0.25">
      <c r="A55" s="12" t="str">
        <f t="shared" si="23"/>
        <v>ЩАВР1-(АВР-Б-200-2-1)</v>
      </c>
      <c r="B55" s="12" t="s">
        <v>11</v>
      </c>
      <c r="C55" s="12"/>
      <c r="D55" s="18" t="s">
        <v>11</v>
      </c>
      <c r="E55" s="12" t="s">
        <v>11</v>
      </c>
      <c r="F55" s="12">
        <f>I55/60</f>
        <v>0</v>
      </c>
      <c r="G55" s="15">
        <f t="shared" si="22"/>
        <v>0</v>
      </c>
      <c r="H55" s="15">
        <f t="shared" si="25"/>
        <v>0</v>
      </c>
      <c r="I55" s="12"/>
      <c r="J55" s="12" t="s">
        <v>13</v>
      </c>
      <c r="K55" s="12" t="s">
        <v>11</v>
      </c>
    </row>
    <row r="56" spans="1:11" ht="38.25" x14ac:dyDescent="0.25">
      <c r="A56" s="12" t="str">
        <f t="shared" si="23"/>
        <v>ЩАВР1-(АВР-Б-200-2-1)</v>
      </c>
      <c r="B56" s="19"/>
      <c r="C56" s="20"/>
      <c r="D56" s="20"/>
      <c r="E56" s="21"/>
      <c r="F56" s="23"/>
      <c r="G56" s="15">
        <f t="shared" ref="G56" si="26">F56*0.55</f>
        <v>0</v>
      </c>
      <c r="H56" s="24">
        <f>SUM(H49:H55)</f>
        <v>47368.799999999996</v>
      </c>
      <c r="I56" s="20"/>
      <c r="J56" s="22"/>
      <c r="K56" s="20"/>
    </row>
    <row r="57" spans="1:11" ht="25.5" x14ac:dyDescent="0.25">
      <c r="A57" s="5" t="str">
        <f>E57</f>
        <v>ЩАВР1 (50A)</v>
      </c>
      <c r="B57" s="6"/>
      <c r="C57" s="5"/>
      <c r="D57" s="7"/>
      <c r="E57" s="6" t="s">
        <v>83</v>
      </c>
      <c r="F57" s="8"/>
      <c r="G57" s="8"/>
      <c r="H57" s="9">
        <f>I57*H65</f>
        <v>17185.800000000003</v>
      </c>
      <c r="I57" s="10">
        <v>1</v>
      </c>
      <c r="J57" s="11" t="s">
        <v>7</v>
      </c>
      <c r="K57" s="6" t="s">
        <v>9</v>
      </c>
    </row>
    <row r="58" spans="1:11" ht="25.5" x14ac:dyDescent="0.25">
      <c r="A58" s="12" t="str">
        <f>A57</f>
        <v>ЩАВР1 (50A)</v>
      </c>
      <c r="B58" s="13" t="s">
        <v>8</v>
      </c>
      <c r="C58" s="12"/>
      <c r="D58" s="14"/>
      <c r="E58" s="12" t="s">
        <v>102</v>
      </c>
      <c r="F58" s="13"/>
      <c r="G58" s="15">
        <f t="shared" ref="G58:G64" si="27">F58*0.6</f>
        <v>0</v>
      </c>
      <c r="H58" s="15">
        <f>I58*G58</f>
        <v>0</v>
      </c>
      <c r="I58" s="16">
        <v>1</v>
      </c>
      <c r="J58" s="17" t="s">
        <v>13</v>
      </c>
      <c r="K58" s="13" t="s">
        <v>16</v>
      </c>
    </row>
    <row r="59" spans="1:11" ht="25.5" x14ac:dyDescent="0.25">
      <c r="A59" s="12" t="str">
        <f t="shared" ref="A59:A65" si="28">A58</f>
        <v>ЩАВР1 (50A)</v>
      </c>
      <c r="B59" s="13" t="s">
        <v>73</v>
      </c>
      <c r="C59" s="12"/>
      <c r="D59" s="14" t="s">
        <v>84</v>
      </c>
      <c r="E59" s="12" t="s">
        <v>103</v>
      </c>
      <c r="F59" s="13">
        <v>19295</v>
      </c>
      <c r="G59" s="15">
        <f t="shared" si="27"/>
        <v>11577</v>
      </c>
      <c r="H59" s="15">
        <f t="shared" ref="H59" si="29">G59*I59</f>
        <v>11577</v>
      </c>
      <c r="I59" s="16">
        <v>1</v>
      </c>
      <c r="J59" s="17" t="s">
        <v>13</v>
      </c>
      <c r="K59" s="13" t="s">
        <v>17</v>
      </c>
    </row>
    <row r="60" spans="1:11" ht="76.5" x14ac:dyDescent="0.25">
      <c r="A60" s="12" t="e">
        <f>#REF!</f>
        <v>#REF!</v>
      </c>
      <c r="B60" s="13" t="s">
        <v>82</v>
      </c>
      <c r="C60" s="12"/>
      <c r="D60" s="14" t="s">
        <v>79</v>
      </c>
      <c r="E60" s="12" t="s">
        <v>25</v>
      </c>
      <c r="F60" s="13">
        <v>589</v>
      </c>
      <c r="G60" s="15">
        <f t="shared" si="27"/>
        <v>353.4</v>
      </c>
      <c r="H60" s="15">
        <f>G60*I60</f>
        <v>1413.6</v>
      </c>
      <c r="I60" s="16">
        <v>4</v>
      </c>
      <c r="J60" s="17" t="s">
        <v>13</v>
      </c>
      <c r="K60" s="13" t="s">
        <v>17</v>
      </c>
    </row>
    <row r="61" spans="1:11" ht="76.5" x14ac:dyDescent="0.25">
      <c r="A61" s="12" t="e">
        <f t="shared" si="28"/>
        <v>#REF!</v>
      </c>
      <c r="B61" s="13" t="s">
        <v>82</v>
      </c>
      <c r="C61" s="12"/>
      <c r="D61" s="14" t="s">
        <v>80</v>
      </c>
      <c r="E61" s="12" t="s">
        <v>81</v>
      </c>
      <c r="F61" s="13">
        <v>571</v>
      </c>
      <c r="G61" s="15">
        <f t="shared" si="27"/>
        <v>342.59999999999997</v>
      </c>
      <c r="H61" s="15">
        <f>G61*I61</f>
        <v>685.19999999999993</v>
      </c>
      <c r="I61" s="16">
        <v>2</v>
      </c>
      <c r="J61" s="17" t="s">
        <v>13</v>
      </c>
      <c r="K61" s="13" t="s">
        <v>17</v>
      </c>
    </row>
    <row r="62" spans="1:11" ht="76.5" x14ac:dyDescent="0.25">
      <c r="A62" s="12" t="e">
        <f t="shared" si="28"/>
        <v>#REF!</v>
      </c>
      <c r="B62" s="14" t="s">
        <v>34</v>
      </c>
      <c r="C62" s="12"/>
      <c r="D62" s="14" t="s">
        <v>23</v>
      </c>
      <c r="E62" s="12" t="s">
        <v>30</v>
      </c>
      <c r="F62" s="13">
        <v>975</v>
      </c>
      <c r="G62" s="15">
        <f t="shared" si="27"/>
        <v>585</v>
      </c>
      <c r="H62" s="15">
        <f>G62*I62</f>
        <v>3510</v>
      </c>
      <c r="I62" s="16">
        <v>6</v>
      </c>
      <c r="J62" s="17" t="s">
        <v>13</v>
      </c>
      <c r="K62" s="13" t="s">
        <v>17</v>
      </c>
    </row>
    <row r="63" spans="1:11" ht="38.25" x14ac:dyDescent="0.25">
      <c r="A63" s="12" t="e">
        <f t="shared" si="28"/>
        <v>#REF!</v>
      </c>
      <c r="B63" s="12" t="s">
        <v>10</v>
      </c>
      <c r="C63" s="12"/>
      <c r="D63" s="18" t="s">
        <v>10</v>
      </c>
      <c r="E63" s="12" t="s">
        <v>10</v>
      </c>
      <c r="F63" s="12"/>
      <c r="G63" s="15">
        <f t="shared" si="27"/>
        <v>0</v>
      </c>
      <c r="H63" s="15">
        <f t="shared" ref="H63:H64" si="30">G63*I63</f>
        <v>0</v>
      </c>
      <c r="I63" s="12"/>
      <c r="J63" s="12" t="s">
        <v>13</v>
      </c>
      <c r="K63" s="12" t="s">
        <v>10</v>
      </c>
    </row>
    <row r="64" spans="1:11" ht="25.5" x14ac:dyDescent="0.25">
      <c r="A64" s="12" t="e">
        <f t="shared" si="28"/>
        <v>#REF!</v>
      </c>
      <c r="B64" s="12" t="s">
        <v>11</v>
      </c>
      <c r="C64" s="12"/>
      <c r="D64" s="18" t="s">
        <v>11</v>
      </c>
      <c r="E64" s="12" t="s">
        <v>11</v>
      </c>
      <c r="F64" s="12">
        <f>I64/60</f>
        <v>0</v>
      </c>
      <c r="G64" s="15">
        <f t="shared" si="27"/>
        <v>0</v>
      </c>
      <c r="H64" s="15">
        <f t="shared" si="30"/>
        <v>0</v>
      </c>
      <c r="I64" s="12"/>
      <c r="J64" s="12" t="s">
        <v>13</v>
      </c>
      <c r="K64" s="12" t="s">
        <v>11</v>
      </c>
    </row>
    <row r="65" spans="1:11" x14ac:dyDescent="0.25">
      <c r="A65" s="12" t="e">
        <f t="shared" si="28"/>
        <v>#REF!</v>
      </c>
      <c r="B65" s="19"/>
      <c r="C65" s="20"/>
      <c r="D65" s="20"/>
      <c r="E65" s="21"/>
      <c r="F65" s="23"/>
      <c r="G65" s="15">
        <f t="shared" ref="G65" si="31">F65*0.55</f>
        <v>0</v>
      </c>
      <c r="H65" s="24">
        <f>SUM(H58:H64)</f>
        <v>17185.800000000003</v>
      </c>
      <c r="I65" s="20"/>
      <c r="J65" s="22"/>
      <c r="K65" s="20"/>
    </row>
    <row r="66" spans="1:11" x14ac:dyDescent="0.25">
      <c r="A66" s="5" t="str">
        <f>E66</f>
        <v>ЦРП</v>
      </c>
      <c r="B66" s="6"/>
      <c r="C66" s="5"/>
      <c r="D66" s="7"/>
      <c r="E66" s="6" t="s">
        <v>71</v>
      </c>
      <c r="F66" s="8"/>
      <c r="G66" s="8"/>
      <c r="H66" s="9">
        <f>I66*H73</f>
        <v>141639.6</v>
      </c>
      <c r="I66" s="10">
        <v>1</v>
      </c>
      <c r="J66" s="11" t="s">
        <v>7</v>
      </c>
      <c r="K66" s="6" t="s">
        <v>9</v>
      </c>
    </row>
    <row r="67" spans="1:11" x14ac:dyDescent="0.25">
      <c r="A67" s="12" t="str">
        <f>A66</f>
        <v>ЦРП</v>
      </c>
      <c r="B67" s="13" t="s">
        <v>8</v>
      </c>
      <c r="C67" s="12"/>
      <c r="D67" s="14"/>
      <c r="E67" s="12"/>
      <c r="F67" s="13"/>
      <c r="G67" s="15">
        <f>F67</f>
        <v>0</v>
      </c>
      <c r="H67" s="15">
        <f>I67*G67</f>
        <v>0</v>
      </c>
      <c r="I67" s="16">
        <v>1</v>
      </c>
      <c r="J67" s="17" t="s">
        <v>13</v>
      </c>
      <c r="K67" s="13" t="s">
        <v>16</v>
      </c>
    </row>
    <row r="68" spans="1:11" ht="114.75" x14ac:dyDescent="0.25">
      <c r="A68" s="12" t="str">
        <f t="shared" ref="A68:A73" si="32">A67</f>
        <v>ЦРП</v>
      </c>
      <c r="B68" s="13" t="s">
        <v>73</v>
      </c>
      <c r="C68" s="12"/>
      <c r="D68" s="14">
        <v>256759</v>
      </c>
      <c r="E68" s="12" t="s">
        <v>72</v>
      </c>
      <c r="F68" s="13">
        <v>201862</v>
      </c>
      <c r="G68" s="15">
        <f>F68*0.6</f>
        <v>121117.2</v>
      </c>
      <c r="H68" s="15">
        <f>G68*I68</f>
        <v>121117.2</v>
      </c>
      <c r="I68" s="16">
        <v>1</v>
      </c>
      <c r="J68" s="17" t="s">
        <v>13</v>
      </c>
      <c r="K68" s="13" t="s">
        <v>17</v>
      </c>
    </row>
    <row r="69" spans="1:11" ht="76.5" x14ac:dyDescent="0.25">
      <c r="A69" s="12" t="str">
        <f t="shared" si="32"/>
        <v>ЦРП</v>
      </c>
      <c r="B69" s="13" t="s">
        <v>34</v>
      </c>
      <c r="C69" s="12"/>
      <c r="D69" s="14" t="s">
        <v>33</v>
      </c>
      <c r="E69" s="12" t="s">
        <v>32</v>
      </c>
      <c r="F69" s="13">
        <v>5334</v>
      </c>
      <c r="G69" s="15">
        <f>F69*0.6</f>
        <v>3200.4</v>
      </c>
      <c r="H69" s="15">
        <f>G69*I69</f>
        <v>6400.8</v>
      </c>
      <c r="I69" s="16">
        <v>2</v>
      </c>
      <c r="J69" s="17" t="s">
        <v>13</v>
      </c>
      <c r="K69" s="13" t="s">
        <v>17</v>
      </c>
    </row>
    <row r="70" spans="1:11" ht="76.5" x14ac:dyDescent="0.25">
      <c r="A70" s="12" t="str">
        <f t="shared" si="32"/>
        <v>ЦРП</v>
      </c>
      <c r="B70" s="13" t="s">
        <v>34</v>
      </c>
      <c r="C70" s="12"/>
      <c r="D70" s="14" t="s">
        <v>74</v>
      </c>
      <c r="E70" s="12" t="s">
        <v>75</v>
      </c>
      <c r="F70" s="13">
        <v>5884</v>
      </c>
      <c r="G70" s="15">
        <f t="shared" ref="G70:G72" si="33">F70*0.6</f>
        <v>3530.4</v>
      </c>
      <c r="H70" s="15">
        <f t="shared" ref="H70:H72" si="34">G70*I70</f>
        <v>14121.6</v>
      </c>
      <c r="I70" s="16">
        <v>4</v>
      </c>
      <c r="J70" s="17" t="s">
        <v>13</v>
      </c>
      <c r="K70" s="13" t="s">
        <v>17</v>
      </c>
    </row>
    <row r="71" spans="1:11" ht="38.25" x14ac:dyDescent="0.25">
      <c r="A71" s="12" t="str">
        <f t="shared" si="32"/>
        <v>ЦРП</v>
      </c>
      <c r="B71" s="12" t="s">
        <v>10</v>
      </c>
      <c r="C71" s="12"/>
      <c r="D71" s="18" t="s">
        <v>10</v>
      </c>
      <c r="E71" s="12" t="s">
        <v>10</v>
      </c>
      <c r="F71" s="12"/>
      <c r="G71" s="15">
        <f t="shared" si="33"/>
        <v>0</v>
      </c>
      <c r="H71" s="15">
        <f t="shared" si="34"/>
        <v>0</v>
      </c>
      <c r="I71" s="12"/>
      <c r="J71" s="12" t="s">
        <v>13</v>
      </c>
      <c r="K71" s="12" t="s">
        <v>10</v>
      </c>
    </row>
    <row r="72" spans="1:11" ht="25.5" x14ac:dyDescent="0.25">
      <c r="A72" s="12" t="str">
        <f t="shared" si="32"/>
        <v>ЦРП</v>
      </c>
      <c r="B72" s="12" t="s">
        <v>11</v>
      </c>
      <c r="C72" s="12"/>
      <c r="D72" s="18" t="s">
        <v>11</v>
      </c>
      <c r="E72" s="12" t="s">
        <v>11</v>
      </c>
      <c r="F72" s="12">
        <f>I72/60</f>
        <v>0</v>
      </c>
      <c r="G72" s="15">
        <f t="shared" si="33"/>
        <v>0</v>
      </c>
      <c r="H72" s="15">
        <f t="shared" si="34"/>
        <v>0</v>
      </c>
      <c r="I72" s="12"/>
      <c r="J72" s="12" t="s">
        <v>13</v>
      </c>
      <c r="K72" s="12" t="s">
        <v>11</v>
      </c>
    </row>
    <row r="73" spans="1:11" x14ac:dyDescent="0.25">
      <c r="A73" s="12" t="str">
        <f t="shared" si="32"/>
        <v>ЦРП</v>
      </c>
      <c r="B73" s="19"/>
      <c r="C73" s="20"/>
      <c r="D73" s="20"/>
      <c r="E73" s="21"/>
      <c r="F73" s="23"/>
      <c r="G73" s="25"/>
      <c r="H73" s="24">
        <f>SUM(H67:H72)</f>
        <v>141639.6</v>
      </c>
      <c r="I73" s="20"/>
      <c r="J73" s="22"/>
      <c r="K73" s="20"/>
    </row>
    <row r="74" spans="1:11" x14ac:dyDescent="0.25">
      <c r="A74" s="5" t="str">
        <f>E74</f>
        <v>ШРМ01</v>
      </c>
      <c r="B74" s="6"/>
      <c r="C74" s="5"/>
      <c r="D74" s="7"/>
      <c r="E74" s="6" t="s">
        <v>37</v>
      </c>
      <c r="F74" s="8"/>
      <c r="G74" s="8"/>
      <c r="H74" s="9">
        <f>I74*H81</f>
        <v>7945.2</v>
      </c>
      <c r="I74" s="10">
        <v>1</v>
      </c>
      <c r="J74" s="11" t="s">
        <v>7</v>
      </c>
      <c r="K74" s="6" t="s">
        <v>9</v>
      </c>
    </row>
    <row r="75" spans="1:11" x14ac:dyDescent="0.25">
      <c r="A75" s="12" t="str">
        <f>A74</f>
        <v>ШРМ01</v>
      </c>
      <c r="B75" s="13" t="s">
        <v>8</v>
      </c>
      <c r="C75" s="12"/>
      <c r="D75" s="14"/>
      <c r="E75" s="12"/>
      <c r="F75" s="13"/>
      <c r="G75" s="15">
        <f>F75</f>
        <v>0</v>
      </c>
      <c r="H75" s="15">
        <f>I75*G75</f>
        <v>0</v>
      </c>
      <c r="I75" s="16">
        <v>1</v>
      </c>
      <c r="J75" s="17" t="s">
        <v>13</v>
      </c>
      <c r="K75" s="13" t="s">
        <v>16</v>
      </c>
    </row>
    <row r="76" spans="1:11" ht="76.5" x14ac:dyDescent="0.25">
      <c r="A76" s="12" t="str">
        <f t="shared" ref="A76:A81" si="35">A75</f>
        <v>ШРМ01</v>
      </c>
      <c r="B76" s="13" t="s">
        <v>34</v>
      </c>
      <c r="C76" s="12"/>
      <c r="D76" s="14" t="s">
        <v>33</v>
      </c>
      <c r="E76" s="12" t="s">
        <v>32</v>
      </c>
      <c r="F76" s="13">
        <v>5334</v>
      </c>
      <c r="G76" s="15">
        <f>F76*0.6</f>
        <v>3200.4</v>
      </c>
      <c r="H76" s="15">
        <f>G76*I76</f>
        <v>3200.4</v>
      </c>
      <c r="I76" s="16">
        <v>1</v>
      </c>
      <c r="J76" s="17" t="s">
        <v>13</v>
      </c>
      <c r="K76" s="13" t="s">
        <v>17</v>
      </c>
    </row>
    <row r="77" spans="1:11" ht="140.25" x14ac:dyDescent="0.25">
      <c r="A77" s="12" t="str">
        <f t="shared" si="35"/>
        <v>ШРМ01</v>
      </c>
      <c r="B77" s="13" t="s">
        <v>24</v>
      </c>
      <c r="C77" s="12"/>
      <c r="D77" s="14" t="s">
        <v>35</v>
      </c>
      <c r="E77" s="12" t="s">
        <v>36</v>
      </c>
      <c r="F77" s="13">
        <v>5559</v>
      </c>
      <c r="G77" s="15">
        <f t="shared" ref="G77:G80" si="36">F77*0.6</f>
        <v>3335.4</v>
      </c>
      <c r="H77" s="15">
        <f t="shared" ref="H77:H80" si="37">G77*I77</f>
        <v>3335.4</v>
      </c>
      <c r="I77" s="16">
        <v>1</v>
      </c>
      <c r="J77" s="17" t="s">
        <v>13</v>
      </c>
      <c r="K77" s="13" t="s">
        <v>17</v>
      </c>
    </row>
    <row r="78" spans="1:11" ht="76.5" x14ac:dyDescent="0.25">
      <c r="A78" s="12" t="str">
        <f t="shared" si="35"/>
        <v>ШРМ01</v>
      </c>
      <c r="B78" s="13" t="s">
        <v>34</v>
      </c>
      <c r="C78" s="12"/>
      <c r="D78" s="14" t="s">
        <v>21</v>
      </c>
      <c r="E78" s="12" t="s">
        <v>22</v>
      </c>
      <c r="F78" s="13">
        <v>783</v>
      </c>
      <c r="G78" s="15">
        <f t="shared" si="36"/>
        <v>469.79999999999995</v>
      </c>
      <c r="H78" s="15">
        <f t="shared" si="37"/>
        <v>1409.3999999999999</v>
      </c>
      <c r="I78" s="16">
        <v>3</v>
      </c>
      <c r="J78" s="17" t="s">
        <v>13</v>
      </c>
      <c r="K78" s="13" t="s">
        <v>17</v>
      </c>
    </row>
    <row r="79" spans="1:11" ht="38.25" x14ac:dyDescent="0.25">
      <c r="A79" s="12" t="str">
        <f t="shared" si="35"/>
        <v>ШРМ01</v>
      </c>
      <c r="B79" s="12" t="s">
        <v>10</v>
      </c>
      <c r="C79" s="12"/>
      <c r="D79" s="18" t="s">
        <v>10</v>
      </c>
      <c r="E79" s="12" t="s">
        <v>10</v>
      </c>
      <c r="F79" s="12"/>
      <c r="G79" s="15">
        <f t="shared" si="36"/>
        <v>0</v>
      </c>
      <c r="H79" s="15">
        <f t="shared" si="37"/>
        <v>0</v>
      </c>
      <c r="I79" s="12"/>
      <c r="J79" s="12" t="s">
        <v>13</v>
      </c>
      <c r="K79" s="12" t="s">
        <v>10</v>
      </c>
    </row>
    <row r="80" spans="1:11" ht="25.5" x14ac:dyDescent="0.25">
      <c r="A80" s="12" t="str">
        <f t="shared" si="35"/>
        <v>ШРМ01</v>
      </c>
      <c r="B80" s="12" t="s">
        <v>11</v>
      </c>
      <c r="C80" s="12"/>
      <c r="D80" s="18" t="s">
        <v>11</v>
      </c>
      <c r="E80" s="12" t="s">
        <v>11</v>
      </c>
      <c r="F80" s="12">
        <f>I80/60</f>
        <v>0</v>
      </c>
      <c r="G80" s="15">
        <f t="shared" si="36"/>
        <v>0</v>
      </c>
      <c r="H80" s="15">
        <f t="shared" si="37"/>
        <v>0</v>
      </c>
      <c r="I80" s="12"/>
      <c r="J80" s="12" t="s">
        <v>13</v>
      </c>
      <c r="K80" s="12" t="s">
        <v>11</v>
      </c>
    </row>
    <row r="81" spans="1:11" x14ac:dyDescent="0.25">
      <c r="A81" s="12" t="str">
        <f t="shared" si="35"/>
        <v>ШРМ01</v>
      </c>
      <c r="B81" s="19"/>
      <c r="C81" s="20"/>
      <c r="D81" s="20"/>
      <c r="E81" s="21"/>
      <c r="F81" s="23"/>
      <c r="G81" s="25"/>
      <c r="H81" s="24">
        <f>SUM(H75:H80)</f>
        <v>7945.2</v>
      </c>
      <c r="I81" s="20"/>
      <c r="J81" s="22"/>
      <c r="K81" s="20"/>
    </row>
    <row r="82" spans="1:11" x14ac:dyDescent="0.25">
      <c r="A82" s="5" t="str">
        <f>E82</f>
        <v>ШРМ02</v>
      </c>
      <c r="B82" s="6"/>
      <c r="C82" s="5"/>
      <c r="D82" s="7"/>
      <c r="E82" s="6" t="s">
        <v>38</v>
      </c>
      <c r="F82" s="8"/>
      <c r="G82" s="8"/>
      <c r="H82" s="9">
        <f>I82*H89</f>
        <v>9354.6</v>
      </c>
      <c r="I82" s="10">
        <v>1</v>
      </c>
      <c r="J82" s="11" t="s">
        <v>7</v>
      </c>
      <c r="K82" s="6" t="s">
        <v>9</v>
      </c>
    </row>
    <row r="83" spans="1:11" x14ac:dyDescent="0.25">
      <c r="A83" s="12" t="str">
        <f>A82</f>
        <v>ШРМ02</v>
      </c>
      <c r="B83" s="13" t="s">
        <v>8</v>
      </c>
      <c r="C83" s="12"/>
      <c r="D83" s="14"/>
      <c r="E83" s="12"/>
      <c r="F83" s="13"/>
      <c r="G83" s="15">
        <f>F83</f>
        <v>0</v>
      </c>
      <c r="H83" s="15">
        <f>I83*G83</f>
        <v>0</v>
      </c>
      <c r="I83" s="16">
        <v>1</v>
      </c>
      <c r="J83" s="17" t="s">
        <v>13</v>
      </c>
      <c r="K83" s="13" t="s">
        <v>16</v>
      </c>
    </row>
    <row r="84" spans="1:11" ht="76.5" x14ac:dyDescent="0.25">
      <c r="A84" s="12" t="str">
        <f t="shared" ref="A84:A89" si="38">A83</f>
        <v>ШРМ02</v>
      </c>
      <c r="B84" s="13" t="s">
        <v>34</v>
      </c>
      <c r="C84" s="12"/>
      <c r="D84" s="14" t="s">
        <v>33</v>
      </c>
      <c r="E84" s="12" t="s">
        <v>32</v>
      </c>
      <c r="F84" s="13">
        <v>5334</v>
      </c>
      <c r="G84" s="15">
        <f>F84*0.6</f>
        <v>3200.4</v>
      </c>
      <c r="H84" s="15">
        <f>G84*I84</f>
        <v>3200.4</v>
      </c>
      <c r="I84" s="16">
        <v>1</v>
      </c>
      <c r="J84" s="17" t="s">
        <v>13</v>
      </c>
      <c r="K84" s="13" t="s">
        <v>17</v>
      </c>
    </row>
    <row r="85" spans="1:11" ht="140.25" x14ac:dyDescent="0.25">
      <c r="A85" s="12" t="str">
        <f t="shared" si="38"/>
        <v>ШРМ02</v>
      </c>
      <c r="B85" s="13" t="s">
        <v>24</v>
      </c>
      <c r="C85" s="12"/>
      <c r="D85" s="14" t="s">
        <v>35</v>
      </c>
      <c r="E85" s="12" t="s">
        <v>36</v>
      </c>
      <c r="F85" s="13">
        <v>5559</v>
      </c>
      <c r="G85" s="15">
        <f t="shared" ref="G85:G88" si="39">F85*0.6</f>
        <v>3335.4</v>
      </c>
      <c r="H85" s="15">
        <f t="shared" ref="H85:H88" si="40">G85*I85</f>
        <v>3335.4</v>
      </c>
      <c r="I85" s="16">
        <v>1</v>
      </c>
      <c r="J85" s="17" t="s">
        <v>13</v>
      </c>
      <c r="K85" s="13" t="s">
        <v>17</v>
      </c>
    </row>
    <row r="86" spans="1:11" ht="76.5" x14ac:dyDescent="0.25">
      <c r="A86" s="12" t="str">
        <f t="shared" si="38"/>
        <v>ШРМ02</v>
      </c>
      <c r="B86" s="13" t="s">
        <v>34</v>
      </c>
      <c r="C86" s="12"/>
      <c r="D86" s="14" t="s">
        <v>21</v>
      </c>
      <c r="E86" s="12" t="s">
        <v>22</v>
      </c>
      <c r="F86" s="13">
        <v>783</v>
      </c>
      <c r="G86" s="15">
        <f t="shared" si="39"/>
        <v>469.79999999999995</v>
      </c>
      <c r="H86" s="15">
        <f t="shared" si="40"/>
        <v>2818.7999999999997</v>
      </c>
      <c r="I86" s="16">
        <v>6</v>
      </c>
      <c r="J86" s="17" t="s">
        <v>13</v>
      </c>
      <c r="K86" s="13" t="s">
        <v>17</v>
      </c>
    </row>
    <row r="87" spans="1:11" ht="38.25" x14ac:dyDescent="0.25">
      <c r="A87" s="12" t="str">
        <f t="shared" si="38"/>
        <v>ШРМ02</v>
      </c>
      <c r="B87" s="12" t="s">
        <v>10</v>
      </c>
      <c r="C87" s="12"/>
      <c r="D87" s="18" t="s">
        <v>10</v>
      </c>
      <c r="E87" s="12" t="s">
        <v>10</v>
      </c>
      <c r="F87" s="12"/>
      <c r="G87" s="15">
        <f t="shared" si="39"/>
        <v>0</v>
      </c>
      <c r="H87" s="15">
        <f t="shared" si="40"/>
        <v>0</v>
      </c>
      <c r="I87" s="12"/>
      <c r="J87" s="12" t="s">
        <v>13</v>
      </c>
      <c r="K87" s="12" t="s">
        <v>10</v>
      </c>
    </row>
    <row r="88" spans="1:11" ht="25.5" x14ac:dyDescent="0.25">
      <c r="A88" s="12" t="str">
        <f t="shared" si="38"/>
        <v>ШРМ02</v>
      </c>
      <c r="B88" s="12" t="s">
        <v>11</v>
      </c>
      <c r="C88" s="12"/>
      <c r="D88" s="18" t="s">
        <v>11</v>
      </c>
      <c r="E88" s="12" t="s">
        <v>11</v>
      </c>
      <c r="F88" s="12">
        <f>I88/60</f>
        <v>0</v>
      </c>
      <c r="G88" s="15">
        <f t="shared" si="39"/>
        <v>0</v>
      </c>
      <c r="H88" s="15">
        <f t="shared" si="40"/>
        <v>0</v>
      </c>
      <c r="I88" s="12"/>
      <c r="J88" s="12" t="s">
        <v>13</v>
      </c>
      <c r="K88" s="12" t="s">
        <v>11</v>
      </c>
    </row>
    <row r="89" spans="1:11" x14ac:dyDescent="0.25">
      <c r="A89" s="12" t="str">
        <f t="shared" si="38"/>
        <v>ШРМ02</v>
      </c>
      <c r="B89" s="19"/>
      <c r="C89" s="20"/>
      <c r="D89" s="20"/>
      <c r="E89" s="21"/>
      <c r="F89" s="23"/>
      <c r="G89" s="25"/>
      <c r="H89" s="24">
        <f>SUM(H83:H88)</f>
        <v>9354.6</v>
      </c>
      <c r="I89" s="20"/>
      <c r="J89" s="22"/>
      <c r="K89" s="20"/>
    </row>
    <row r="90" spans="1:11" x14ac:dyDescent="0.25">
      <c r="A90" s="5" t="str">
        <f>E90</f>
        <v>ШРМ03</v>
      </c>
      <c r="B90" s="6"/>
      <c r="C90" s="5"/>
      <c r="D90" s="7"/>
      <c r="E90" s="6" t="s">
        <v>39</v>
      </c>
      <c r="F90" s="8"/>
      <c r="G90" s="8"/>
      <c r="H90" s="9">
        <f>I90*H97</f>
        <v>7945.2</v>
      </c>
      <c r="I90" s="10">
        <v>1</v>
      </c>
      <c r="J90" s="11" t="s">
        <v>7</v>
      </c>
      <c r="K90" s="6" t="s">
        <v>9</v>
      </c>
    </row>
    <row r="91" spans="1:11" x14ac:dyDescent="0.25">
      <c r="A91" s="12" t="str">
        <f>A90</f>
        <v>ШРМ03</v>
      </c>
      <c r="B91" s="13" t="s">
        <v>8</v>
      </c>
      <c r="C91" s="12"/>
      <c r="D91" s="14"/>
      <c r="E91" s="12"/>
      <c r="F91" s="13"/>
      <c r="G91" s="15">
        <f>F91</f>
        <v>0</v>
      </c>
      <c r="H91" s="15">
        <f>I91*G91</f>
        <v>0</v>
      </c>
      <c r="I91" s="16">
        <v>1</v>
      </c>
      <c r="J91" s="17" t="s">
        <v>13</v>
      </c>
      <c r="K91" s="13" t="s">
        <v>16</v>
      </c>
    </row>
    <row r="92" spans="1:11" ht="76.5" x14ac:dyDescent="0.25">
      <c r="A92" s="12" t="str">
        <f t="shared" ref="A92:A97" si="41">A91</f>
        <v>ШРМ03</v>
      </c>
      <c r="B92" s="13" t="s">
        <v>34</v>
      </c>
      <c r="C92" s="12"/>
      <c r="D92" s="14" t="s">
        <v>33</v>
      </c>
      <c r="E92" s="12" t="s">
        <v>32</v>
      </c>
      <c r="F92" s="13">
        <v>5334</v>
      </c>
      <c r="G92" s="15">
        <f>F92*0.6</f>
        <v>3200.4</v>
      </c>
      <c r="H92" s="15">
        <f>G92*I92</f>
        <v>3200.4</v>
      </c>
      <c r="I92" s="16">
        <v>1</v>
      </c>
      <c r="J92" s="17" t="s">
        <v>13</v>
      </c>
      <c r="K92" s="13" t="s">
        <v>17</v>
      </c>
    </row>
    <row r="93" spans="1:11" ht="140.25" x14ac:dyDescent="0.25">
      <c r="A93" s="12" t="str">
        <f t="shared" si="41"/>
        <v>ШРМ03</v>
      </c>
      <c r="B93" s="13" t="s">
        <v>24</v>
      </c>
      <c r="C93" s="12"/>
      <c r="D93" s="14" t="s">
        <v>35</v>
      </c>
      <c r="E93" s="12" t="s">
        <v>36</v>
      </c>
      <c r="F93" s="13">
        <v>5559</v>
      </c>
      <c r="G93" s="15">
        <f t="shared" ref="G93:G96" si="42">F93*0.6</f>
        <v>3335.4</v>
      </c>
      <c r="H93" s="15">
        <f t="shared" ref="H93:H96" si="43">G93*I93</f>
        <v>3335.4</v>
      </c>
      <c r="I93" s="16">
        <v>1</v>
      </c>
      <c r="J93" s="17" t="s">
        <v>13</v>
      </c>
      <c r="K93" s="13" t="s">
        <v>17</v>
      </c>
    </row>
    <row r="94" spans="1:11" ht="76.5" x14ac:dyDescent="0.25">
      <c r="A94" s="12" t="str">
        <f t="shared" si="41"/>
        <v>ШРМ03</v>
      </c>
      <c r="B94" s="13" t="s">
        <v>34</v>
      </c>
      <c r="C94" s="12"/>
      <c r="D94" s="14" t="s">
        <v>21</v>
      </c>
      <c r="E94" s="12" t="s">
        <v>22</v>
      </c>
      <c r="F94" s="13">
        <v>783</v>
      </c>
      <c r="G94" s="15">
        <f t="shared" si="42"/>
        <v>469.79999999999995</v>
      </c>
      <c r="H94" s="15">
        <f t="shared" si="43"/>
        <v>1409.3999999999999</v>
      </c>
      <c r="I94" s="16">
        <v>3</v>
      </c>
      <c r="J94" s="17" t="s">
        <v>13</v>
      </c>
      <c r="K94" s="13" t="s">
        <v>17</v>
      </c>
    </row>
    <row r="95" spans="1:11" ht="38.25" x14ac:dyDescent="0.25">
      <c r="A95" s="12" t="str">
        <f t="shared" si="41"/>
        <v>ШРМ03</v>
      </c>
      <c r="B95" s="12" t="s">
        <v>10</v>
      </c>
      <c r="C95" s="12"/>
      <c r="D95" s="18" t="s">
        <v>10</v>
      </c>
      <c r="E95" s="12" t="s">
        <v>10</v>
      </c>
      <c r="F95" s="12"/>
      <c r="G95" s="15">
        <f t="shared" si="42"/>
        <v>0</v>
      </c>
      <c r="H95" s="15">
        <f t="shared" si="43"/>
        <v>0</v>
      </c>
      <c r="I95" s="12"/>
      <c r="J95" s="12" t="s">
        <v>13</v>
      </c>
      <c r="K95" s="12" t="s">
        <v>10</v>
      </c>
    </row>
    <row r="96" spans="1:11" ht="25.5" x14ac:dyDescent="0.25">
      <c r="A96" s="12" t="str">
        <f t="shared" si="41"/>
        <v>ШРМ03</v>
      </c>
      <c r="B96" s="12" t="s">
        <v>11</v>
      </c>
      <c r="C96" s="12"/>
      <c r="D96" s="18" t="s">
        <v>11</v>
      </c>
      <c r="E96" s="12" t="s">
        <v>11</v>
      </c>
      <c r="F96" s="12">
        <f>I96/60</f>
        <v>0</v>
      </c>
      <c r="G96" s="15">
        <f t="shared" si="42"/>
        <v>0</v>
      </c>
      <c r="H96" s="15">
        <f t="shared" si="43"/>
        <v>0</v>
      </c>
      <c r="I96" s="12"/>
      <c r="J96" s="12" t="s">
        <v>13</v>
      </c>
      <c r="K96" s="12" t="s">
        <v>11</v>
      </c>
    </row>
    <row r="97" spans="1:11" x14ac:dyDescent="0.25">
      <c r="A97" s="12" t="str">
        <f t="shared" si="41"/>
        <v>ШРМ03</v>
      </c>
      <c r="B97" s="19"/>
      <c r="C97" s="20"/>
      <c r="D97" s="20"/>
      <c r="E97" s="21"/>
      <c r="F97" s="23"/>
      <c r="G97" s="25"/>
      <c r="H97" s="24">
        <f>SUM(H91:H96)</f>
        <v>7945.2</v>
      </c>
      <c r="I97" s="20"/>
      <c r="J97" s="22"/>
      <c r="K97" s="20"/>
    </row>
    <row r="98" spans="1:11" x14ac:dyDescent="0.25">
      <c r="A98" s="5" t="str">
        <f>E98</f>
        <v>ШРМ04</v>
      </c>
      <c r="B98" s="6"/>
      <c r="C98" s="5"/>
      <c r="D98" s="7"/>
      <c r="E98" s="6" t="s">
        <v>40</v>
      </c>
      <c r="F98" s="8"/>
      <c r="G98" s="8"/>
      <c r="H98" s="9">
        <f>I98*H105</f>
        <v>8884.7999999999993</v>
      </c>
      <c r="I98" s="10">
        <v>1</v>
      </c>
      <c r="J98" s="11" t="s">
        <v>7</v>
      </c>
      <c r="K98" s="6" t="s">
        <v>9</v>
      </c>
    </row>
    <row r="99" spans="1:11" x14ac:dyDescent="0.25">
      <c r="A99" s="12" t="str">
        <f>A98</f>
        <v>ШРМ04</v>
      </c>
      <c r="B99" s="13" t="s">
        <v>8</v>
      </c>
      <c r="C99" s="12"/>
      <c r="D99" s="14"/>
      <c r="E99" s="12"/>
      <c r="F99" s="13"/>
      <c r="G99" s="15">
        <f>F99</f>
        <v>0</v>
      </c>
      <c r="H99" s="15">
        <f>I99*G99</f>
        <v>0</v>
      </c>
      <c r="I99" s="16">
        <v>1</v>
      </c>
      <c r="J99" s="17" t="s">
        <v>13</v>
      </c>
      <c r="K99" s="13" t="s">
        <v>16</v>
      </c>
    </row>
    <row r="100" spans="1:11" ht="76.5" x14ac:dyDescent="0.25">
      <c r="A100" s="12" t="str">
        <f t="shared" ref="A100:A105" si="44">A99</f>
        <v>ШРМ04</v>
      </c>
      <c r="B100" s="13" t="s">
        <v>34</v>
      </c>
      <c r="C100" s="12"/>
      <c r="D100" s="14" t="s">
        <v>33</v>
      </c>
      <c r="E100" s="12" t="s">
        <v>32</v>
      </c>
      <c r="F100" s="13">
        <v>5334</v>
      </c>
      <c r="G100" s="15">
        <f>F100*0.6</f>
        <v>3200.4</v>
      </c>
      <c r="H100" s="15">
        <f>G100*I100</f>
        <v>3200.4</v>
      </c>
      <c r="I100" s="16">
        <v>1</v>
      </c>
      <c r="J100" s="17" t="s">
        <v>13</v>
      </c>
      <c r="K100" s="13" t="s">
        <v>17</v>
      </c>
    </row>
    <row r="101" spans="1:11" ht="140.25" x14ac:dyDescent="0.25">
      <c r="A101" s="12" t="str">
        <f t="shared" si="44"/>
        <v>ШРМ04</v>
      </c>
      <c r="B101" s="13" t="s">
        <v>24</v>
      </c>
      <c r="C101" s="12"/>
      <c r="D101" s="14" t="s">
        <v>35</v>
      </c>
      <c r="E101" s="12" t="s">
        <v>36</v>
      </c>
      <c r="F101" s="13">
        <v>5559</v>
      </c>
      <c r="G101" s="15">
        <f t="shared" ref="G101:G104" si="45">F101*0.6</f>
        <v>3335.4</v>
      </c>
      <c r="H101" s="15">
        <f t="shared" ref="H101:H104" si="46">G101*I101</f>
        <v>3335.4</v>
      </c>
      <c r="I101" s="16">
        <v>1</v>
      </c>
      <c r="J101" s="17" t="s">
        <v>13</v>
      </c>
      <c r="K101" s="13" t="s">
        <v>17</v>
      </c>
    </row>
    <row r="102" spans="1:11" ht="76.5" x14ac:dyDescent="0.25">
      <c r="A102" s="12" t="str">
        <f t="shared" si="44"/>
        <v>ШРМ04</v>
      </c>
      <c r="B102" s="13" t="s">
        <v>34</v>
      </c>
      <c r="C102" s="12"/>
      <c r="D102" s="14" t="s">
        <v>21</v>
      </c>
      <c r="E102" s="12" t="s">
        <v>22</v>
      </c>
      <c r="F102" s="13">
        <v>783</v>
      </c>
      <c r="G102" s="15">
        <f t="shared" si="45"/>
        <v>469.79999999999995</v>
      </c>
      <c r="H102" s="15">
        <f t="shared" si="46"/>
        <v>2349</v>
      </c>
      <c r="I102" s="16">
        <v>5</v>
      </c>
      <c r="J102" s="17" t="s">
        <v>13</v>
      </c>
      <c r="K102" s="13" t="s">
        <v>17</v>
      </c>
    </row>
    <row r="103" spans="1:11" ht="38.25" x14ac:dyDescent="0.25">
      <c r="A103" s="12" t="str">
        <f t="shared" si="44"/>
        <v>ШРМ04</v>
      </c>
      <c r="B103" s="12" t="s">
        <v>10</v>
      </c>
      <c r="C103" s="12"/>
      <c r="D103" s="18" t="s">
        <v>10</v>
      </c>
      <c r="E103" s="12" t="s">
        <v>10</v>
      </c>
      <c r="F103" s="12"/>
      <c r="G103" s="15">
        <f t="shared" si="45"/>
        <v>0</v>
      </c>
      <c r="H103" s="15">
        <f t="shared" si="46"/>
        <v>0</v>
      </c>
      <c r="I103" s="12"/>
      <c r="J103" s="12" t="s">
        <v>13</v>
      </c>
      <c r="K103" s="12" t="s">
        <v>10</v>
      </c>
    </row>
    <row r="104" spans="1:11" ht="25.5" x14ac:dyDescent="0.25">
      <c r="A104" s="12" t="str">
        <f t="shared" si="44"/>
        <v>ШРМ04</v>
      </c>
      <c r="B104" s="12" t="s">
        <v>11</v>
      </c>
      <c r="C104" s="12"/>
      <c r="D104" s="18" t="s">
        <v>11</v>
      </c>
      <c r="E104" s="12" t="s">
        <v>11</v>
      </c>
      <c r="F104" s="12">
        <f>I104/60</f>
        <v>0</v>
      </c>
      <c r="G104" s="15">
        <f t="shared" si="45"/>
        <v>0</v>
      </c>
      <c r="H104" s="15">
        <f t="shared" si="46"/>
        <v>0</v>
      </c>
      <c r="I104" s="12"/>
      <c r="J104" s="12" t="s">
        <v>13</v>
      </c>
      <c r="K104" s="12" t="s">
        <v>11</v>
      </c>
    </row>
    <row r="105" spans="1:11" x14ac:dyDescent="0.25">
      <c r="A105" s="12" t="str">
        <f t="shared" si="44"/>
        <v>ШРМ04</v>
      </c>
      <c r="B105" s="19"/>
      <c r="C105" s="20"/>
      <c r="D105" s="20"/>
      <c r="E105" s="21"/>
      <c r="F105" s="23"/>
      <c r="G105" s="25"/>
      <c r="H105" s="24">
        <f>SUM(H99:H104)</f>
        <v>8884.7999999999993</v>
      </c>
      <c r="I105" s="20"/>
      <c r="J105" s="22"/>
      <c r="K105" s="20"/>
    </row>
    <row r="106" spans="1:11" ht="25.5" x14ac:dyDescent="0.25">
      <c r="A106" s="5" t="str">
        <f>E106</f>
        <v>ШУОК-2-220П</v>
      </c>
      <c r="B106" s="6"/>
      <c r="C106" s="5"/>
      <c r="D106" s="7"/>
      <c r="E106" s="6" t="s">
        <v>85</v>
      </c>
      <c r="F106" s="8"/>
      <c r="G106" s="8"/>
      <c r="H106" s="9">
        <f>I106*H114</f>
        <v>0</v>
      </c>
      <c r="I106" s="10">
        <v>1</v>
      </c>
      <c r="J106" s="11" t="s">
        <v>7</v>
      </c>
      <c r="K106" s="6" t="s">
        <v>9</v>
      </c>
    </row>
    <row r="107" spans="1:11" ht="25.5" x14ac:dyDescent="0.25">
      <c r="A107" s="5" t="str">
        <f>E107</f>
        <v>ЯУО9601-3474</v>
      </c>
      <c r="B107" s="6"/>
      <c r="C107" s="5"/>
      <c r="D107" s="7"/>
      <c r="E107" s="6" t="s">
        <v>86</v>
      </c>
      <c r="F107" s="8"/>
      <c r="G107" s="8"/>
      <c r="H107" s="9">
        <f>I107*H115</f>
        <v>0</v>
      </c>
      <c r="I107" s="10">
        <v>2</v>
      </c>
      <c r="J107" s="11" t="s">
        <v>7</v>
      </c>
      <c r="K107" s="6" t="s">
        <v>9</v>
      </c>
    </row>
    <row r="108" spans="1:11" x14ac:dyDescent="0.25">
      <c r="A108" s="5" t="str">
        <f>E108</f>
        <v>ЩУ1</v>
      </c>
      <c r="B108" s="6"/>
      <c r="C108" s="5"/>
      <c r="D108" s="7"/>
      <c r="E108" s="6" t="s">
        <v>87</v>
      </c>
      <c r="F108" s="8"/>
      <c r="G108" s="8"/>
      <c r="H108" s="9">
        <f>I108*H116</f>
        <v>6187.2</v>
      </c>
      <c r="I108" s="10">
        <v>1</v>
      </c>
      <c r="J108" s="11" t="s">
        <v>7</v>
      </c>
      <c r="K108" s="6" t="s">
        <v>9</v>
      </c>
    </row>
    <row r="109" spans="1:11" x14ac:dyDescent="0.25">
      <c r="A109" s="12" t="str">
        <f>A108</f>
        <v>ЩУ1</v>
      </c>
      <c r="B109" s="13" t="s">
        <v>8</v>
      </c>
      <c r="C109" s="12"/>
      <c r="D109" s="14"/>
      <c r="E109" s="12"/>
      <c r="F109" s="13"/>
      <c r="G109" s="15">
        <f>F109</f>
        <v>0</v>
      </c>
      <c r="H109" s="15">
        <f>I109*G109</f>
        <v>0</v>
      </c>
      <c r="I109" s="16">
        <v>1</v>
      </c>
      <c r="J109" s="17" t="s">
        <v>13</v>
      </c>
      <c r="K109" s="13" t="s">
        <v>16</v>
      </c>
    </row>
    <row r="110" spans="1:11" ht="38.25" x14ac:dyDescent="0.25">
      <c r="A110" s="12" t="str">
        <f t="shared" ref="A110:A116" si="47">A109</f>
        <v>ЩУ1</v>
      </c>
      <c r="B110" s="13" t="s">
        <v>92</v>
      </c>
      <c r="C110" s="12"/>
      <c r="D110" s="14" t="s">
        <v>33</v>
      </c>
      <c r="E110" s="12" t="s">
        <v>93</v>
      </c>
      <c r="F110" s="13">
        <v>0</v>
      </c>
      <c r="G110" s="15">
        <f>F110*0.6</f>
        <v>0</v>
      </c>
      <c r="H110" s="15">
        <f>G110*I110</f>
        <v>0</v>
      </c>
      <c r="I110" s="16">
        <v>1</v>
      </c>
      <c r="J110" s="17" t="s">
        <v>13</v>
      </c>
      <c r="K110" s="13" t="s">
        <v>28</v>
      </c>
    </row>
    <row r="111" spans="1:11" ht="76.5" x14ac:dyDescent="0.25">
      <c r="A111" s="12" t="str">
        <f t="shared" si="47"/>
        <v>ЩУ1</v>
      </c>
      <c r="B111" s="13" t="s">
        <v>77</v>
      </c>
      <c r="C111" s="12"/>
      <c r="D111" s="14" t="s">
        <v>88</v>
      </c>
      <c r="E111" s="12" t="s">
        <v>89</v>
      </c>
      <c r="F111" s="13">
        <v>5214</v>
      </c>
      <c r="G111" s="15">
        <f t="shared" ref="G111:G115" si="48">F111*0.6</f>
        <v>3128.4</v>
      </c>
      <c r="H111" s="15">
        <f t="shared" ref="H111:H115" si="49">G111*I111</f>
        <v>3128.4</v>
      </c>
      <c r="I111" s="16">
        <v>1</v>
      </c>
      <c r="J111" s="17" t="s">
        <v>13</v>
      </c>
      <c r="K111" s="13" t="s">
        <v>17</v>
      </c>
    </row>
    <row r="112" spans="1:11" ht="76.5" x14ac:dyDescent="0.25">
      <c r="A112" s="12" t="str">
        <f t="shared" si="47"/>
        <v>ЩУ1</v>
      </c>
      <c r="B112" s="13" t="s">
        <v>34</v>
      </c>
      <c r="C112" s="12"/>
      <c r="D112" s="14" t="s">
        <v>21</v>
      </c>
      <c r="E112" s="12" t="s">
        <v>22</v>
      </c>
      <c r="F112" s="13">
        <v>783</v>
      </c>
      <c r="G112" s="15">
        <f t="shared" si="48"/>
        <v>469.79999999999995</v>
      </c>
      <c r="H112" s="15">
        <f t="shared" si="49"/>
        <v>469.79999999999995</v>
      </c>
      <c r="I112" s="16">
        <v>1</v>
      </c>
      <c r="J112" s="17" t="s">
        <v>13</v>
      </c>
      <c r="K112" s="13" t="s">
        <v>17</v>
      </c>
    </row>
    <row r="113" spans="1:11" ht="51" x14ac:dyDescent="0.25">
      <c r="A113" s="12" t="str">
        <f t="shared" si="47"/>
        <v>ЩУ1</v>
      </c>
      <c r="B113" s="13" t="s">
        <v>78</v>
      </c>
      <c r="C113" s="12"/>
      <c r="D113" s="14" t="s">
        <v>90</v>
      </c>
      <c r="E113" s="12" t="s">
        <v>91</v>
      </c>
      <c r="F113" s="13">
        <v>4315</v>
      </c>
      <c r="G113" s="15">
        <f t="shared" si="48"/>
        <v>2589</v>
      </c>
      <c r="H113" s="15">
        <f t="shared" si="49"/>
        <v>2589</v>
      </c>
      <c r="I113" s="16">
        <v>1</v>
      </c>
      <c r="J113" s="17" t="s">
        <v>13</v>
      </c>
      <c r="K113" s="13" t="s">
        <v>17</v>
      </c>
    </row>
    <row r="114" spans="1:11" ht="38.25" x14ac:dyDescent="0.25">
      <c r="A114" s="12" t="str">
        <f>A112</f>
        <v>ЩУ1</v>
      </c>
      <c r="B114" s="12" t="s">
        <v>10</v>
      </c>
      <c r="C114" s="12"/>
      <c r="D114" s="18" t="s">
        <v>10</v>
      </c>
      <c r="E114" s="12" t="s">
        <v>10</v>
      </c>
      <c r="F114" s="12"/>
      <c r="G114" s="15">
        <f t="shared" si="48"/>
        <v>0</v>
      </c>
      <c r="H114" s="15">
        <f t="shared" si="49"/>
        <v>0</v>
      </c>
      <c r="I114" s="12"/>
      <c r="J114" s="12" t="s">
        <v>13</v>
      </c>
      <c r="K114" s="12" t="s">
        <v>10</v>
      </c>
    </row>
    <row r="115" spans="1:11" ht="25.5" x14ac:dyDescent="0.25">
      <c r="A115" s="12" t="str">
        <f t="shared" si="47"/>
        <v>ЩУ1</v>
      </c>
      <c r="B115" s="12" t="s">
        <v>11</v>
      </c>
      <c r="C115" s="12"/>
      <c r="D115" s="18" t="s">
        <v>11</v>
      </c>
      <c r="E115" s="12" t="s">
        <v>11</v>
      </c>
      <c r="F115" s="12">
        <f>I115/60</f>
        <v>0</v>
      </c>
      <c r="G115" s="15">
        <f t="shared" si="48"/>
        <v>0</v>
      </c>
      <c r="H115" s="15">
        <f t="shared" si="49"/>
        <v>0</v>
      </c>
      <c r="I115" s="12"/>
      <c r="J115" s="12" t="s">
        <v>13</v>
      </c>
      <c r="K115" s="12" t="s">
        <v>11</v>
      </c>
    </row>
    <row r="116" spans="1:11" x14ac:dyDescent="0.25">
      <c r="A116" s="12" t="str">
        <f t="shared" si="47"/>
        <v>ЩУ1</v>
      </c>
      <c r="B116" s="19"/>
      <c r="C116" s="20"/>
      <c r="D116" s="20"/>
      <c r="E116" s="21"/>
      <c r="F116" s="23"/>
      <c r="G116" s="25"/>
      <c r="H116" s="24">
        <f>SUM(H109:H115)</f>
        <v>6187.2</v>
      </c>
      <c r="I116" s="20"/>
      <c r="J116" s="22"/>
      <c r="K116" s="20"/>
    </row>
    <row r="117" spans="1:11" x14ac:dyDescent="0.25">
      <c r="A117" s="5" t="str">
        <f>E117</f>
        <v>ЩУ31</v>
      </c>
      <c r="B117" s="6"/>
      <c r="C117" s="5"/>
      <c r="D117" s="7"/>
      <c r="E117" s="6" t="s">
        <v>94</v>
      </c>
      <c r="F117" s="8"/>
      <c r="G117" s="8"/>
      <c r="H117" s="9">
        <f>I117*H121</f>
        <v>0</v>
      </c>
      <c r="I117" s="10">
        <v>1</v>
      </c>
      <c r="J117" s="11" t="s">
        <v>7</v>
      </c>
      <c r="K117" s="6" t="s">
        <v>9</v>
      </c>
    </row>
    <row r="118" spans="1:11" ht="25.5" x14ac:dyDescent="0.25">
      <c r="A118" s="12" t="str">
        <f>A117</f>
        <v>ЩУ31</v>
      </c>
      <c r="B118" s="13" t="s">
        <v>8</v>
      </c>
      <c r="C118" s="12"/>
      <c r="D118" s="14"/>
      <c r="E118" s="12" t="s">
        <v>95</v>
      </c>
      <c r="F118" s="13"/>
      <c r="G118" s="15">
        <f>F118</f>
        <v>0</v>
      </c>
      <c r="H118" s="15">
        <f>I118*G118</f>
        <v>0</v>
      </c>
      <c r="I118" s="16">
        <v>1</v>
      </c>
      <c r="J118" s="17" t="s">
        <v>13</v>
      </c>
      <c r="K118" s="13" t="s">
        <v>16</v>
      </c>
    </row>
    <row r="119" spans="1:11" ht="38.25" x14ac:dyDescent="0.25">
      <c r="A119" s="12" t="str">
        <f t="shared" ref="A119:A121" si="50">A118</f>
        <v>ЩУ31</v>
      </c>
      <c r="B119" s="12" t="s">
        <v>10</v>
      </c>
      <c r="C119" s="12"/>
      <c r="D119" s="18" t="s">
        <v>10</v>
      </c>
      <c r="E119" s="12" t="s">
        <v>10</v>
      </c>
      <c r="F119" s="12"/>
      <c r="G119" s="15">
        <f t="shared" ref="G119:G120" si="51">F119*0.6</f>
        <v>0</v>
      </c>
      <c r="H119" s="15">
        <f t="shared" ref="H119:H120" si="52">G119*I119</f>
        <v>0</v>
      </c>
      <c r="I119" s="12"/>
      <c r="J119" s="12" t="s">
        <v>13</v>
      </c>
      <c r="K119" s="12" t="s">
        <v>10</v>
      </c>
    </row>
    <row r="120" spans="1:11" ht="25.5" x14ac:dyDescent="0.25">
      <c r="A120" s="12" t="str">
        <f t="shared" si="50"/>
        <v>ЩУ31</v>
      </c>
      <c r="B120" s="12" t="s">
        <v>11</v>
      </c>
      <c r="C120" s="12"/>
      <c r="D120" s="18" t="s">
        <v>11</v>
      </c>
      <c r="E120" s="12" t="s">
        <v>11</v>
      </c>
      <c r="F120" s="12">
        <f>I120/60</f>
        <v>0</v>
      </c>
      <c r="G120" s="15">
        <f t="shared" si="51"/>
        <v>0</v>
      </c>
      <c r="H120" s="15">
        <f t="shared" si="52"/>
        <v>0</v>
      </c>
      <c r="I120" s="12"/>
      <c r="J120" s="12" t="s">
        <v>13</v>
      </c>
      <c r="K120" s="12" t="s">
        <v>11</v>
      </c>
    </row>
    <row r="121" spans="1:11" x14ac:dyDescent="0.25">
      <c r="A121" s="12" t="str">
        <f t="shared" si="50"/>
        <v>ЩУ31</v>
      </c>
      <c r="B121" s="19"/>
      <c r="C121" s="20"/>
      <c r="D121" s="20"/>
      <c r="E121" s="21"/>
      <c r="F121" s="23"/>
      <c r="G121" s="25"/>
      <c r="H121" s="24">
        <f>SUM(H118:H120)</f>
        <v>0</v>
      </c>
      <c r="I121" s="20"/>
      <c r="J121" s="22"/>
      <c r="K12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fiyat calismasi burda</vt:lpstr>
      <vt:lpstr>fiyat</vt:lpstr>
      <vt:lpstr>Sayfa3</vt:lpstr>
      <vt:lpstr>tum panolar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2026-05-21T08:55:32Z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