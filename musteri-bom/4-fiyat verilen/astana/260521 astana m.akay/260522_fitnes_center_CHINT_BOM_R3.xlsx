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21 astana m.akay\"/>
    </mc:Choice>
  </mc:AlternateContent>
  <xr:revisionPtr revIDLastSave="0" documentId="13_ncr:1_{63947FB2-6295-4D79-ADB6-F0FDFC5EB04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1_BOM_Ana_Format" sheetId="1" r:id="rId1"/>
    <sheet name="02_Muhendislik_BOM" sheetId="2" r:id="rId2"/>
    <sheet name="03_Teklif_BOM" sheetId="3" r:id="rId3"/>
    <sheet name="04_Satinalma_Ozet" sheetId="4" r:id="rId4"/>
    <sheet name="05_Kontrol_Listesi" sheetId="5" r:id="rId5"/>
    <sheet name="06_Fiyat_Kontrol" sheetId="6" r:id="rId6"/>
  </sheets>
  <definedNames>
    <definedName name="_xlnm._FilterDatabase" localSheetId="1" hidden="1">'02_Muhendislik_BOM'!$A$1:$J$54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4" l="1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54" i="1"/>
  <c r="E53" i="1"/>
  <c r="E6" i="3" s="1"/>
  <c r="F6" i="3" s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5" i="3" s="1"/>
  <c r="F5" i="3" s="1"/>
  <c r="E34" i="1"/>
  <c r="E33" i="1"/>
  <c r="E32" i="1"/>
  <c r="E31" i="1"/>
  <c r="E30" i="1"/>
  <c r="E29" i="1"/>
  <c r="E28" i="1"/>
  <c r="E27" i="1"/>
  <c r="E26" i="1"/>
  <c r="E25" i="1"/>
  <c r="E24" i="1"/>
  <c r="E23" i="1"/>
  <c r="E4" i="3" s="1"/>
  <c r="F4" i="3" s="1"/>
  <c r="E22" i="1"/>
  <c r="E21" i="1"/>
  <c r="E20" i="1"/>
  <c r="E19" i="1"/>
  <c r="E18" i="1"/>
  <c r="E17" i="1"/>
  <c r="E16" i="1"/>
  <c r="E15" i="1"/>
  <c r="E14" i="1"/>
  <c r="E13" i="1"/>
  <c r="E12" i="1"/>
  <c r="E3" i="3" s="1"/>
  <c r="F3" i="3" s="1"/>
  <c r="E11" i="1"/>
  <c r="E10" i="1"/>
  <c r="E9" i="1"/>
  <c r="E8" i="1"/>
  <c r="E7" i="1"/>
  <c r="E6" i="1"/>
  <c r="E5" i="1"/>
  <c r="E4" i="1"/>
  <c r="E3" i="1"/>
  <c r="E2" i="1"/>
  <c r="E2" i="3" s="1"/>
  <c r="H4" i="3" l="1"/>
  <c r="I4" i="3" s="1"/>
  <c r="H6" i="3"/>
  <c r="I6" i="3" s="1"/>
  <c r="E7" i="3"/>
  <c r="F2" i="3"/>
  <c r="H3" i="3"/>
  <c r="I3" i="3" s="1"/>
  <c r="I5" i="3"/>
  <c r="H5" i="3"/>
  <c r="F7" i="3" l="1"/>
  <c r="H2" i="3"/>
  <c r="H7" i="3" s="1"/>
  <c r="I2" i="3" l="1"/>
  <c r="I7" i="3" s="1"/>
</calcChain>
</file>

<file path=xl/sharedStrings.xml><?xml version="1.0" encoding="utf-8"?>
<sst xmlns="http://schemas.openxmlformats.org/spreadsheetml/2006/main" count="983" uniqueCount="205">
  <si>
    <t>Malzeme</t>
  </si>
  <si>
    <t>Kod</t>
  </si>
  <si>
    <t>Açıklama ve Teknik Özellikler</t>
  </si>
  <si>
    <t>Fiyat</t>
  </si>
  <si>
    <t>Toplam Fiyat</t>
  </si>
  <si>
    <t>Üretici Firma</t>
  </si>
  <si>
    <t>Birim</t>
  </si>
  <si>
    <t>Miktar</t>
  </si>
  <si>
    <t>ГРЩ</t>
  </si>
  <si>
    <t>ГРЩ ana dağıtım pano komplekti; 380/220V; Ру=65,402 кВт; Рр=63,333 кВт; Iр=104,72A; IP31</t>
  </si>
  <si>
    <t>TEKLED</t>
  </si>
  <si>
    <t>компл.</t>
  </si>
  <si>
    <t>Корпус металлический</t>
  </si>
  <si>
    <t>TEKSAN 800x650x250</t>
  </si>
  <si>
    <t>ГРЩ korpusu, IP31, УХЛ3; projedeki ЩМП-4-2 ölçüsüne göre</t>
  </si>
  <si>
    <t>TEKSAN</t>
  </si>
  <si>
    <t>шт</t>
  </si>
  <si>
    <t>Автоматический выключатель MCCB</t>
  </si>
  <si>
    <t>NXM-125S/3P 125A 25kA</t>
  </si>
  <si>
    <t>3P, 125A, 25kA, 380/400V; IEK ВА88-32 3P 125A 25kA muadili</t>
  </si>
  <si>
    <t>CHINT</t>
  </si>
  <si>
    <t>Автоматический выключатель</t>
  </si>
  <si>
    <t>NXB-125 / NB1-125 3P C100A 15kA</t>
  </si>
  <si>
    <t>3P, C100A, 15kA, 380/400V; ВА47-150 3P 100A 15kA muadili</t>
  </si>
  <si>
    <t>NB1-63 3P C50A 6kA</t>
  </si>
  <si>
    <t>3P, C50A, 6kA, 380/400V; ЩР1 besleme çıkışı</t>
  </si>
  <si>
    <t>NB1-63 3P C16A 6kA</t>
  </si>
  <si>
    <t>3P, C16A, 6kA, 380/400V; ЩУз/zadvijka besleme çıkışı</t>
  </si>
  <si>
    <t>NB1-63 1P C6A 6kA</t>
  </si>
  <si>
    <t>1P, C6A, 6kA, 230V; ППС/yardımcı besleme çıkışı</t>
  </si>
  <si>
    <t>Шина N/PE</t>
  </si>
  <si>
    <t>N/PE set</t>
  </si>
  <si>
    <t>ГРЩ için N ve PE bara seti; akım ve kesit üretimde kontrol edilecek</t>
  </si>
  <si>
    <t>EKT / Onka / Klemsan</t>
  </si>
  <si>
    <t>монтажный материал</t>
  </si>
  <si>
    <t>DIN ray, kablo kanalı, klemens, etiketleme, kablo ucu, bağlantı sarfı</t>
  </si>
  <si>
    <t>монтажная работа</t>
  </si>
  <si>
    <t>ГРЩ pano montaj işçiliği ve test</t>
  </si>
  <si>
    <t>ЩР1</t>
  </si>
  <si>
    <t>ЩР1 dağıtım pano komplekti; Ру=20,691 кВт; Рр=18,622 кВт; Iр=30,8A; IP31</t>
  </si>
  <si>
    <t>TEKSAN ЩРн-36 / 585x310x130</t>
  </si>
  <si>
    <t>36 modül, IP31, УХЛ3; projedeki ЩРн-36з-0 ölçüsüne göre</t>
  </si>
  <si>
    <t>NB1-63 3P C40A 6kA</t>
  </si>
  <si>
    <t>3P, C40A, 6kA, 380/400V; ЩР1 giriş otomatiği</t>
  </si>
  <si>
    <t>1P, C6A, 6kA, 230V; aydınlatma grupları Гр.1-Гр.5</t>
  </si>
  <si>
    <t>Дифференциальный автомат</t>
  </si>
  <si>
    <t>NXBLE-32 1P+N C20A 30mA 6kA</t>
  </si>
  <si>
    <t>2P / 1P+N, C20A, 30mA, 6kA, 230V; АВДТ32 C20 muadili</t>
  </si>
  <si>
    <t>NXBLE-32 1P+N C16A 30mA 6kA</t>
  </si>
  <si>
    <t>2P / 1P+N, C16A, 30mA, 6kA, 230V; АВДТ32 C16 muadili</t>
  </si>
  <si>
    <t>ЩР1 için N ve PE bara seti</t>
  </si>
  <si>
    <t>DIN рейка</t>
  </si>
  <si>
    <t>TH35</t>
  </si>
  <si>
    <t>DIN ray; 36 modül pano için</t>
  </si>
  <si>
    <t>EKT / Onka</t>
  </si>
  <si>
    <t>м</t>
  </si>
  <si>
    <t>Кабельный канал</t>
  </si>
  <si>
    <t>25x40 / 40x40</t>
  </si>
  <si>
    <t>Pano içi kablo kanalı</t>
  </si>
  <si>
    <t>EKT</t>
  </si>
  <si>
    <t>Klemens, etiketleme, köprüleme, kablo ucu ve bağlantı sarfı</t>
  </si>
  <si>
    <t>ЩР1 pano montaj işçiliği ve test</t>
  </si>
  <si>
    <t>ЩВ1</t>
  </si>
  <si>
    <t>ЩВ1 havalandırma pano komplekti; Ру=44,34 кВт; Рр=44,34 кВт; Iр=70,53A; IP31</t>
  </si>
  <si>
    <t>TEKSAN 400x210x150 / KONTROL</t>
  </si>
  <si>
    <t>Projede ЩМП-4.2.1-0, 400x210x150 mm; NXM-125 + shunt için yerleşim kontrol edilecek</t>
  </si>
  <si>
    <t>NXM-125S/3P 80A 25kA</t>
  </si>
  <si>
    <t>3P, 80A, 25kA, 380/400V; giriş/firen trip hattı; ВА47-150 3P 80A 15kA muadili</t>
  </si>
  <si>
    <t>Независимый расцепитель</t>
  </si>
  <si>
    <t>SHT-M1 A1 L AC230V</t>
  </si>
  <si>
    <t>NXM-125 uyumlu shunt release, AC230V; РН47-150 muadili</t>
  </si>
  <si>
    <t>NXB-125 3P C80A 10kA</t>
  </si>
  <si>
    <t>3P, C80A, 10kA, 380/400V; воздухонагреватель 42kW çıkışı; ВА47-100 3P 80A muadili</t>
  </si>
  <si>
    <t>NB1-63 3P C10A 6kA</t>
  </si>
  <si>
    <t>3P, C10A, 6kA, 380/400V; radyal fan çıkışları</t>
  </si>
  <si>
    <t>1P, C6A, 6kA, 230V; kanal fan devresi</t>
  </si>
  <si>
    <t>ЩВ1 için N ve PE bara seti</t>
  </si>
  <si>
    <t>DIN ray</t>
  </si>
  <si>
    <t>Klemens, etiketleme, kablo ucu, köprüleme ve bağlantı sarfı</t>
  </si>
  <si>
    <t>ЩВ1 pano montaj işçiliği ve test</t>
  </si>
  <si>
    <t>ЩУз</t>
  </si>
  <si>
    <t>Ящик управления задвижкой РУСМ5411-1874УХЛ2; 380V; reversif motor kumanda; IP54</t>
  </si>
  <si>
    <t>TEKSAN 400x300x220 IP54</t>
  </si>
  <si>
    <t>Duvar tipi metal korpus, montaj plakalı; ölçü üretimde kontrol edilecek</t>
  </si>
  <si>
    <t>Автомат защиты двигателя / MKS</t>
  </si>
  <si>
    <t>NS2-25 0.4-0.63A</t>
  </si>
  <si>
    <t>3P motor koruma şalteri; QF1; motor 0,18kW / yaklaşık 0,724A için ayar kontrol edilecek</t>
  </si>
  <si>
    <t>Пускатель магнитный / контактор</t>
  </si>
  <si>
    <t>NC1-0910 AC230V</t>
  </si>
  <si>
    <t>9A kontaktör, bobin AC230V; KM1/KM2 reversif çalışma</t>
  </si>
  <si>
    <t>Механическая блокировка</t>
  </si>
  <si>
    <t>NC1M09-32</t>
  </si>
  <si>
    <t>KM1-KM2 kontaktörleri için mekanik kilit</t>
  </si>
  <si>
    <t>Реле электротепловое</t>
  </si>
  <si>
    <t>NR2-11.5 0.4-0.63A</t>
  </si>
  <si>
    <t>Termik röle; KK1; motor aşırı yük koruması</t>
  </si>
  <si>
    <t>Переключатель универсальный</t>
  </si>
  <si>
    <t>NP2-BD33 / NP2-ED33</t>
  </si>
  <si>
    <t>SA1, 3 pozisyonlu seçici anahtar: местн / 0 / авт</t>
  </si>
  <si>
    <t>Кнопка, толкатель красный</t>
  </si>
  <si>
    <t>NP2-BA42</t>
  </si>
  <si>
    <t>Ф22 kırmızı buton; SB1</t>
  </si>
  <si>
    <t>Кнопка, толкатель черный</t>
  </si>
  <si>
    <t>NP2-BA31</t>
  </si>
  <si>
    <t>Ф22 siyah buton; SB2</t>
  </si>
  <si>
    <t>Арматура светосигнальная</t>
  </si>
  <si>
    <t>ND16-22DS/230V</t>
  </si>
  <si>
    <t>230V LED sinyal lambası; HLR1/HLR2</t>
  </si>
  <si>
    <t>Выключатель конечный</t>
  </si>
  <si>
    <t>SQ / CHINT muadil</t>
  </si>
  <si>
    <t>Limit switch; SQ1/SQ2/SQ3/SQ4; zadvijka üzerinde/harici montaj</t>
  </si>
  <si>
    <t>CHINT / muadil</t>
  </si>
  <si>
    <t>Пост управления с одной кнопкой</t>
  </si>
  <si>
    <t>ПКЕ-212/1 / NP2 box 1 button</t>
  </si>
  <si>
    <t>Harici tek butonlu kumanda postu; ПК1-SB...ПК3-SB; spec ile adet kontrol edilecek</t>
  </si>
  <si>
    <t>CHINT / IEK muadil</t>
  </si>
  <si>
    <t>Клемма проходная 2.5 мм²</t>
  </si>
  <si>
    <t>CTS 2.5 / PYK 2.5</t>
  </si>
  <si>
    <t>X1/X2 klemens grubu için geçiş klemensi</t>
  </si>
  <si>
    <t>Klemsan / Onka</t>
  </si>
  <si>
    <t>Клемма PE 2.5 мм²</t>
  </si>
  <si>
    <t>CTS 2.5 PE</t>
  </si>
  <si>
    <t>Topraklama klemensi</t>
  </si>
  <si>
    <t>Kablo ucu, markalama, köprüleme, küçük sarf ve bağlantı malzemeleri</t>
  </si>
  <si>
    <t>ЩУз pano montaj işçiliği ve fonksiyon testi</t>
  </si>
  <si>
    <t>ИПБ</t>
  </si>
  <si>
    <t>Источник бесперебойного питания için ekipman satırı; pano değildir</t>
  </si>
  <si>
    <t>Источник бесперебойного питания</t>
  </si>
  <si>
    <t>SVC GT33-10KVA</t>
  </si>
  <si>
    <t>UPS, 380V, 10kVA; projedeki İПБ</t>
  </si>
  <si>
    <t>SVC</t>
  </si>
  <si>
    <t>Pano</t>
  </si>
  <si>
    <t>Kategori</t>
  </si>
  <si>
    <t>Açıklama</t>
  </si>
  <si>
    <t>Üretici</t>
  </si>
  <si>
    <t>Kaynak</t>
  </si>
  <si>
    <t>Kontrol Notu</t>
  </si>
  <si>
    <t>pano</t>
  </si>
  <si>
    <t>PDF s.4 ve s.12</t>
  </si>
  <si>
    <t>korpus</t>
  </si>
  <si>
    <t>TMS</t>
  </si>
  <si>
    <t>OTO</t>
  </si>
  <si>
    <t>BARA</t>
  </si>
  <si>
    <t>KONTROL EDİLECEK</t>
  </si>
  <si>
    <t>MONTAJ</t>
  </si>
  <si>
    <t>PDF s.5-s.6 ve s.12</t>
  </si>
  <si>
    <t>DIF</t>
  </si>
  <si>
    <t>DIN</t>
  </si>
  <si>
    <t>KANAL</t>
  </si>
  <si>
    <t>PDF s.7 ve s.12</t>
  </si>
  <si>
    <t>SHUNT</t>
  </si>
  <si>
    <t>PDF s.8 ve s.12</t>
  </si>
  <si>
    <t>CIHAZ</t>
  </si>
  <si>
    <t>KONTAKTOR</t>
  </si>
  <si>
    <t>TERMIK/RELAY</t>
  </si>
  <si>
    <t>KLEMENS</t>
  </si>
  <si>
    <t>Malzeme Toplamı</t>
  </si>
  <si>
    <t>Montaj/İşçilik Dahil Toplam</t>
  </si>
  <si>
    <t>KDV %</t>
  </si>
  <si>
    <t>KDV Tutarı</t>
  </si>
  <si>
    <t>Genel Toplam</t>
  </si>
  <si>
    <t>Not</t>
  </si>
  <si>
    <t>Ana dağıtım pano komplekti</t>
  </si>
  <si>
    <t>Fiyat listesi eklenince otomatik hesap için BOM fiyat kolonunu doldur</t>
  </si>
  <si>
    <t>Dağıtım pano komplekti</t>
  </si>
  <si>
    <t>Havalandırma pano komplekti</t>
  </si>
  <si>
    <t>Zadvijka kumanda kutusu</t>
  </si>
  <si>
    <t>UPS ekipmanı</t>
  </si>
  <si>
    <t>TOPLAM</t>
  </si>
  <si>
    <t>No</t>
  </si>
  <si>
    <t>Seviye</t>
  </si>
  <si>
    <t>Kontrol Konusu</t>
  </si>
  <si>
    <t>Durum</t>
  </si>
  <si>
    <t>UYARI</t>
  </si>
  <si>
    <t>Tüm panolar</t>
  </si>
  <si>
    <t>Fiyat kaynağı</t>
  </si>
  <si>
    <t>Güncel CHINT/TEKSAN/EKT/Onka/Klemsan fiyat listesi eklenmediği için ana BOM fiyatları 0 bırakıldı.</t>
  </si>
  <si>
    <t>Korpus ölçüsü</t>
  </si>
  <si>
    <t>Projede 400x210x150 mm verilmiş. NXM-125S/3P 80A + shunt release ve NXB-125 çıkışla yerleşim sıkışabilir.</t>
  </si>
  <si>
    <t>ПКЕ-212/1 adet farkı</t>
  </si>
  <si>
    <t>Şema sayfasında ПК1-SB...ПК3-SB olarak 3 adet okunuyor; spesifikasyonda 2 adet görünüyor. BOM'da şemaya göre 3 adet kullanıldı.</t>
  </si>
  <si>
    <t>BİLGİ</t>
  </si>
  <si>
    <t>QF1 / motor koruma</t>
  </si>
  <si>
    <t>Zadvijka kumanda şemasında QF1 gösterildiği için CHINT NS2-25 0.4-0.63A MKS olarak açıldı.</t>
  </si>
  <si>
    <t>OK</t>
  </si>
  <si>
    <t>1P 6A devre</t>
  </si>
  <si>
    <t>Besleme şemasında ППС için ВА47-60M 1P 6A görüldüğü için ГРЩ BOM'a eklendi.</t>
  </si>
  <si>
    <t>Ana BOM</t>
  </si>
  <si>
    <t>Format</t>
  </si>
  <si>
    <t>Ana BOM sayfasında sadece sabit 8 kolon kullanıldı; mühendislik/kontrol detayları ayrı sayfalara alındı.</t>
  </si>
  <si>
    <t>Kural</t>
  </si>
  <si>
    <t>Uygulama</t>
  </si>
  <si>
    <t>Şalt marka</t>
  </si>
  <si>
    <t>Aksi belirtilmedikçe varsayılan marka</t>
  </si>
  <si>
    <t>Korpus</t>
  </si>
  <si>
    <t>Projede verilen ölçüler esas alındı; gerekirse üretim ölçüsü kontrol edilecek</t>
  </si>
  <si>
    <t>Sarf</t>
  </si>
  <si>
    <t>Klemens, DIN ray, kablo kanalı, N/PE, uç/etiket sarfı</t>
  </si>
  <si>
    <t>Kablo</t>
  </si>
  <si>
    <t>Harmony</t>
  </si>
  <si>
    <t>Bu BOM pano içi ve pano ekipmanı içindir; saha kabloları ayrıca istenirse açılır</t>
  </si>
  <si>
    <t>0</t>
  </si>
  <si>
    <t>Güncel fiyat listesi verilmedi; fiyat sütunu format bozulmasın diye 0 bırakıldı</t>
  </si>
  <si>
    <t>Formül</t>
  </si>
  <si>
    <t>Ana BOM ve satın alma sayfalarında Toplam Fiyat = Fiyat x Miktar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</si>
</sst>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0F355A"/>
      <name val="Carlito"/>
    </font>
    <font>
      <b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B00020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1" fillId="5" borderId="0" xfId="0" applyFont="1" applyFill="1" applyAlignment="1">
      <alignment horizontal="center" wrapText="1"/>
    </xf>
    <xf numFmtId="0" fontId="3" fillId="6" borderId="0" xfId="0" applyFont="1" applyFill="1" applyAlignment="1">
      <alignment wrapText="1"/>
    </xf>
    <xf numFmtId="3" fontId="0" fillId="0" borderId="0" xfId="0" applyNumberFormat="1"/>
    <xf numFmtId="3" fontId="3" fillId="6" borderId="0" xfId="0" applyNumberFormat="1" applyFont="1" applyFill="1" applyAlignment="1">
      <alignment wrapText="1"/>
    </xf>
    <xf numFmtId="0" fontId="1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1" fillId="9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3" fontId="2" fillId="3" borderId="1" xfId="0" applyNumberFormat="1" applyFont="1" applyFill="1" applyBorder="1" applyAlignment="1">
      <alignment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workbookViewId="0">
      <selection activeCell="B13" sqref="B13"/>
    </sheetView>
  </sheetViews>
  <sheetFormatPr defaultRowHeight="14.25"/>
  <cols>
    <col min="1" max="2" width="28" customWidth="1"/>
    <col min="3" max="3" width="58" customWidth="1"/>
    <col min="4" max="5" width="14" customWidth="1"/>
    <col min="6" max="6" width="24" customWidth="1"/>
    <col min="7" max="8" width="12" customWidth="1"/>
  </cols>
  <sheetData>
    <row r="1" spans="1:8" ht="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30">
      <c r="A2" s="11" t="s">
        <v>8</v>
      </c>
      <c r="B2" s="11"/>
      <c r="C2" s="11" t="s">
        <v>9</v>
      </c>
      <c r="D2" s="12">
        <v>0</v>
      </c>
      <c r="E2" s="12">
        <f t="shared" ref="E2:E33" si="0">D2*H2</f>
        <v>0</v>
      </c>
      <c r="F2" s="11" t="s">
        <v>10</v>
      </c>
      <c r="G2" s="11" t="s">
        <v>11</v>
      </c>
      <c r="H2" s="11">
        <v>1</v>
      </c>
    </row>
    <row r="3" spans="1:8">
      <c r="A3" s="13" t="s">
        <v>12</v>
      </c>
      <c r="B3" s="13" t="s">
        <v>13</v>
      </c>
      <c r="C3" s="13" t="s">
        <v>14</v>
      </c>
      <c r="D3" s="14">
        <v>0</v>
      </c>
      <c r="E3" s="14">
        <f t="shared" si="0"/>
        <v>0</v>
      </c>
      <c r="F3" s="13" t="s">
        <v>15</v>
      </c>
      <c r="G3" s="13" t="s">
        <v>16</v>
      </c>
      <c r="H3" s="13">
        <v>1</v>
      </c>
    </row>
    <row r="4" spans="1:8" ht="28.5">
      <c r="A4" s="13" t="s">
        <v>17</v>
      </c>
      <c r="B4" s="13" t="s">
        <v>18</v>
      </c>
      <c r="C4" s="13" t="s">
        <v>19</v>
      </c>
      <c r="D4" s="14">
        <v>0</v>
      </c>
      <c r="E4" s="14">
        <f t="shared" si="0"/>
        <v>0</v>
      </c>
      <c r="F4" s="13" t="s">
        <v>20</v>
      </c>
      <c r="G4" s="13" t="s">
        <v>16</v>
      </c>
      <c r="H4" s="13">
        <v>1</v>
      </c>
    </row>
    <row r="5" spans="1:8" ht="28.5">
      <c r="A5" s="13" t="s">
        <v>21</v>
      </c>
      <c r="B5" s="13" t="s">
        <v>22</v>
      </c>
      <c r="C5" s="13" t="s">
        <v>23</v>
      </c>
      <c r="D5" s="14">
        <v>0</v>
      </c>
      <c r="E5" s="14">
        <f t="shared" si="0"/>
        <v>0</v>
      </c>
      <c r="F5" s="13" t="s">
        <v>20</v>
      </c>
      <c r="G5" s="13" t="s">
        <v>16</v>
      </c>
      <c r="H5" s="13">
        <v>1</v>
      </c>
    </row>
    <row r="6" spans="1:8">
      <c r="A6" s="13" t="s">
        <v>21</v>
      </c>
      <c r="B6" s="13" t="s">
        <v>24</v>
      </c>
      <c r="C6" s="13" t="s">
        <v>25</v>
      </c>
      <c r="D6" s="14">
        <v>0</v>
      </c>
      <c r="E6" s="14">
        <f t="shared" si="0"/>
        <v>0</v>
      </c>
      <c r="F6" s="13" t="s">
        <v>20</v>
      </c>
      <c r="G6" s="13" t="s">
        <v>16</v>
      </c>
      <c r="H6" s="13">
        <v>1</v>
      </c>
    </row>
    <row r="7" spans="1:8">
      <c r="A7" s="13" t="s">
        <v>21</v>
      </c>
      <c r="B7" s="13" t="s">
        <v>26</v>
      </c>
      <c r="C7" s="13" t="s">
        <v>27</v>
      </c>
      <c r="D7" s="14">
        <v>0</v>
      </c>
      <c r="E7" s="14">
        <f t="shared" si="0"/>
        <v>0</v>
      </c>
      <c r="F7" s="13" t="s">
        <v>20</v>
      </c>
      <c r="G7" s="13" t="s">
        <v>16</v>
      </c>
      <c r="H7" s="13">
        <v>1</v>
      </c>
    </row>
    <row r="8" spans="1:8">
      <c r="A8" s="13" t="s">
        <v>21</v>
      </c>
      <c r="B8" s="13" t="s">
        <v>28</v>
      </c>
      <c r="C8" s="13" t="s">
        <v>29</v>
      </c>
      <c r="D8" s="14">
        <v>0</v>
      </c>
      <c r="E8" s="14">
        <f t="shared" si="0"/>
        <v>0</v>
      </c>
      <c r="F8" s="13" t="s">
        <v>20</v>
      </c>
      <c r="G8" s="13" t="s">
        <v>16</v>
      </c>
      <c r="H8" s="13">
        <v>1</v>
      </c>
    </row>
    <row r="9" spans="1:8">
      <c r="A9" s="13" t="s">
        <v>30</v>
      </c>
      <c r="B9" s="13" t="s">
        <v>31</v>
      </c>
      <c r="C9" s="13" t="s">
        <v>32</v>
      </c>
      <c r="D9" s="14">
        <v>0</v>
      </c>
      <c r="E9" s="14">
        <f t="shared" si="0"/>
        <v>0</v>
      </c>
      <c r="F9" s="13" t="s">
        <v>33</v>
      </c>
      <c r="G9" s="13" t="s">
        <v>11</v>
      </c>
      <c r="H9" s="13">
        <v>1</v>
      </c>
    </row>
    <row r="10" spans="1:8">
      <c r="A10" s="13" t="s">
        <v>34</v>
      </c>
      <c r="B10" s="13"/>
      <c r="C10" s="13" t="s">
        <v>35</v>
      </c>
      <c r="D10" s="14">
        <v>0</v>
      </c>
      <c r="E10" s="14">
        <f t="shared" si="0"/>
        <v>0</v>
      </c>
      <c r="F10" s="13" t="s">
        <v>33</v>
      </c>
      <c r="G10" s="13" t="s">
        <v>11</v>
      </c>
      <c r="H10" s="13">
        <v>1</v>
      </c>
    </row>
    <row r="11" spans="1:8">
      <c r="A11" s="13" t="s">
        <v>36</v>
      </c>
      <c r="B11" s="13"/>
      <c r="C11" s="13" t="s">
        <v>37</v>
      </c>
      <c r="D11" s="14">
        <v>0</v>
      </c>
      <c r="E11" s="14">
        <f t="shared" si="0"/>
        <v>0</v>
      </c>
      <c r="F11" s="13" t="s">
        <v>10</v>
      </c>
      <c r="G11" s="13" t="s">
        <v>11</v>
      </c>
      <c r="H11" s="13">
        <v>1</v>
      </c>
    </row>
    <row r="12" spans="1:8" ht="30">
      <c r="A12" s="11" t="s">
        <v>38</v>
      </c>
      <c r="B12" s="11"/>
      <c r="C12" s="11" t="s">
        <v>39</v>
      </c>
      <c r="D12" s="12">
        <v>0</v>
      </c>
      <c r="E12" s="12">
        <f t="shared" si="0"/>
        <v>0</v>
      </c>
      <c r="F12" s="11" t="s">
        <v>10</v>
      </c>
      <c r="G12" s="11" t="s">
        <v>11</v>
      </c>
      <c r="H12" s="11">
        <v>1</v>
      </c>
    </row>
    <row r="13" spans="1:8" ht="28.5">
      <c r="A13" s="13" t="s">
        <v>12</v>
      </c>
      <c r="B13" s="13" t="s">
        <v>40</v>
      </c>
      <c r="C13" s="13" t="s">
        <v>41</v>
      </c>
      <c r="D13" s="14">
        <v>0</v>
      </c>
      <c r="E13" s="14">
        <f t="shared" si="0"/>
        <v>0</v>
      </c>
      <c r="F13" s="13" t="s">
        <v>15</v>
      </c>
      <c r="G13" s="13" t="s">
        <v>16</v>
      </c>
      <c r="H13" s="13">
        <v>1</v>
      </c>
    </row>
    <row r="14" spans="1:8">
      <c r="A14" s="13" t="s">
        <v>21</v>
      </c>
      <c r="B14" s="13" t="s">
        <v>42</v>
      </c>
      <c r="C14" s="13" t="s">
        <v>43</v>
      </c>
      <c r="D14" s="14">
        <v>0</v>
      </c>
      <c r="E14" s="14">
        <f t="shared" si="0"/>
        <v>0</v>
      </c>
      <c r="F14" s="13" t="s">
        <v>20</v>
      </c>
      <c r="G14" s="13" t="s">
        <v>16</v>
      </c>
      <c r="H14" s="13">
        <v>1</v>
      </c>
    </row>
    <row r="15" spans="1:8">
      <c r="A15" s="13" t="s">
        <v>21</v>
      </c>
      <c r="B15" s="13" t="s">
        <v>28</v>
      </c>
      <c r="C15" s="13" t="s">
        <v>44</v>
      </c>
      <c r="D15" s="14">
        <v>0</v>
      </c>
      <c r="E15" s="14">
        <f t="shared" si="0"/>
        <v>0</v>
      </c>
      <c r="F15" s="13" t="s">
        <v>20</v>
      </c>
      <c r="G15" s="13" t="s">
        <v>16</v>
      </c>
      <c r="H15" s="13">
        <v>5</v>
      </c>
    </row>
    <row r="16" spans="1:8" ht="28.5">
      <c r="A16" s="13" t="s">
        <v>45</v>
      </c>
      <c r="B16" s="13" t="s">
        <v>46</v>
      </c>
      <c r="C16" s="13" t="s">
        <v>47</v>
      </c>
      <c r="D16" s="14">
        <v>0</v>
      </c>
      <c r="E16" s="14">
        <f t="shared" si="0"/>
        <v>0</v>
      </c>
      <c r="F16" s="13" t="s">
        <v>20</v>
      </c>
      <c r="G16" s="13" t="s">
        <v>16</v>
      </c>
      <c r="H16" s="13">
        <v>3</v>
      </c>
    </row>
    <row r="17" spans="1:8" ht="28.5">
      <c r="A17" s="13" t="s">
        <v>45</v>
      </c>
      <c r="B17" s="13" t="s">
        <v>48</v>
      </c>
      <c r="C17" s="13" t="s">
        <v>49</v>
      </c>
      <c r="D17" s="14">
        <v>0</v>
      </c>
      <c r="E17" s="14">
        <f t="shared" si="0"/>
        <v>0</v>
      </c>
      <c r="F17" s="13" t="s">
        <v>20</v>
      </c>
      <c r="G17" s="13" t="s">
        <v>16</v>
      </c>
      <c r="H17" s="13">
        <v>6</v>
      </c>
    </row>
    <row r="18" spans="1:8">
      <c r="A18" s="13" t="s">
        <v>30</v>
      </c>
      <c r="B18" s="13" t="s">
        <v>31</v>
      </c>
      <c r="C18" s="13" t="s">
        <v>50</v>
      </c>
      <c r="D18" s="14">
        <v>0</v>
      </c>
      <c r="E18" s="14">
        <f t="shared" si="0"/>
        <v>0</v>
      </c>
      <c r="F18" s="13" t="s">
        <v>33</v>
      </c>
      <c r="G18" s="13" t="s">
        <v>11</v>
      </c>
      <c r="H18" s="13">
        <v>1</v>
      </c>
    </row>
    <row r="19" spans="1:8">
      <c r="A19" s="13" t="s">
        <v>51</v>
      </c>
      <c r="B19" s="13" t="s">
        <v>52</v>
      </c>
      <c r="C19" s="13" t="s">
        <v>53</v>
      </c>
      <c r="D19" s="14">
        <v>0</v>
      </c>
      <c r="E19" s="14">
        <f t="shared" si="0"/>
        <v>0</v>
      </c>
      <c r="F19" s="13" t="s">
        <v>54</v>
      </c>
      <c r="G19" s="13" t="s">
        <v>55</v>
      </c>
      <c r="H19" s="13">
        <v>1</v>
      </c>
    </row>
    <row r="20" spans="1:8">
      <c r="A20" s="13" t="s">
        <v>56</v>
      </c>
      <c r="B20" s="13" t="s">
        <v>57</v>
      </c>
      <c r="C20" s="13" t="s">
        <v>58</v>
      </c>
      <c r="D20" s="14">
        <v>0</v>
      </c>
      <c r="E20" s="14">
        <f t="shared" si="0"/>
        <v>0</v>
      </c>
      <c r="F20" s="13" t="s">
        <v>59</v>
      </c>
      <c r="G20" s="13" t="s">
        <v>55</v>
      </c>
      <c r="H20" s="13">
        <v>1</v>
      </c>
    </row>
    <row r="21" spans="1:8">
      <c r="A21" s="13" t="s">
        <v>34</v>
      </c>
      <c r="B21" s="13"/>
      <c r="C21" s="13" t="s">
        <v>60</v>
      </c>
      <c r="D21" s="14">
        <v>0</v>
      </c>
      <c r="E21" s="14">
        <f t="shared" si="0"/>
        <v>0</v>
      </c>
      <c r="F21" s="13" t="s">
        <v>33</v>
      </c>
      <c r="G21" s="13" t="s">
        <v>11</v>
      </c>
      <c r="H21" s="13">
        <v>1</v>
      </c>
    </row>
    <row r="22" spans="1:8">
      <c r="A22" s="13" t="s">
        <v>36</v>
      </c>
      <c r="B22" s="13"/>
      <c r="C22" s="13" t="s">
        <v>61</v>
      </c>
      <c r="D22" s="14">
        <v>0</v>
      </c>
      <c r="E22" s="14">
        <f t="shared" si="0"/>
        <v>0</v>
      </c>
      <c r="F22" s="13" t="s">
        <v>10</v>
      </c>
      <c r="G22" s="13" t="s">
        <v>11</v>
      </c>
      <c r="H22" s="13">
        <v>1</v>
      </c>
    </row>
    <row r="23" spans="1:8" ht="30">
      <c r="A23" s="11" t="s">
        <v>62</v>
      </c>
      <c r="B23" s="11"/>
      <c r="C23" s="11" t="s">
        <v>63</v>
      </c>
      <c r="D23" s="12">
        <v>0</v>
      </c>
      <c r="E23" s="12">
        <f t="shared" si="0"/>
        <v>0</v>
      </c>
      <c r="F23" s="11" t="s">
        <v>10</v>
      </c>
      <c r="G23" s="11" t="s">
        <v>11</v>
      </c>
      <c r="H23" s="11">
        <v>1</v>
      </c>
    </row>
    <row r="24" spans="1:8" ht="28.5">
      <c r="A24" s="13" t="s">
        <v>12</v>
      </c>
      <c r="B24" s="13" t="s">
        <v>64</v>
      </c>
      <c r="C24" s="13" t="s">
        <v>65</v>
      </c>
      <c r="D24" s="14">
        <v>0</v>
      </c>
      <c r="E24" s="14">
        <f t="shared" si="0"/>
        <v>0</v>
      </c>
      <c r="F24" s="13" t="s">
        <v>15</v>
      </c>
      <c r="G24" s="13" t="s">
        <v>16</v>
      </c>
      <c r="H24" s="13">
        <v>1</v>
      </c>
    </row>
    <row r="25" spans="1:8" ht="28.5">
      <c r="A25" s="13" t="s">
        <v>17</v>
      </c>
      <c r="B25" s="13" t="s">
        <v>66</v>
      </c>
      <c r="C25" s="13" t="s">
        <v>67</v>
      </c>
      <c r="D25" s="14">
        <v>0</v>
      </c>
      <c r="E25" s="14">
        <f t="shared" si="0"/>
        <v>0</v>
      </c>
      <c r="F25" s="13" t="s">
        <v>20</v>
      </c>
      <c r="G25" s="13" t="s">
        <v>16</v>
      </c>
      <c r="H25" s="13">
        <v>1</v>
      </c>
    </row>
    <row r="26" spans="1:8">
      <c r="A26" s="13" t="s">
        <v>68</v>
      </c>
      <c r="B26" s="13" t="s">
        <v>69</v>
      </c>
      <c r="C26" s="13" t="s">
        <v>70</v>
      </c>
      <c r="D26" s="14">
        <v>0</v>
      </c>
      <c r="E26" s="14">
        <f t="shared" si="0"/>
        <v>0</v>
      </c>
      <c r="F26" s="13" t="s">
        <v>20</v>
      </c>
      <c r="G26" s="13" t="s">
        <v>16</v>
      </c>
      <c r="H26" s="13">
        <v>1</v>
      </c>
    </row>
    <row r="27" spans="1:8" ht="28.5">
      <c r="A27" s="13" t="s">
        <v>21</v>
      </c>
      <c r="B27" s="13" t="s">
        <v>71</v>
      </c>
      <c r="C27" s="13" t="s">
        <v>72</v>
      </c>
      <c r="D27" s="14">
        <v>0</v>
      </c>
      <c r="E27" s="14">
        <f t="shared" si="0"/>
        <v>0</v>
      </c>
      <c r="F27" s="13" t="s">
        <v>20</v>
      </c>
      <c r="G27" s="13" t="s">
        <v>16</v>
      </c>
      <c r="H27" s="13">
        <v>1</v>
      </c>
    </row>
    <row r="28" spans="1:8">
      <c r="A28" s="13" t="s">
        <v>21</v>
      </c>
      <c r="B28" s="13" t="s">
        <v>73</v>
      </c>
      <c r="C28" s="13" t="s">
        <v>74</v>
      </c>
      <c r="D28" s="14">
        <v>0</v>
      </c>
      <c r="E28" s="14">
        <f t="shared" si="0"/>
        <v>0</v>
      </c>
      <c r="F28" s="13" t="s">
        <v>20</v>
      </c>
      <c r="G28" s="13" t="s">
        <v>16</v>
      </c>
      <c r="H28" s="13">
        <v>2</v>
      </c>
    </row>
    <row r="29" spans="1:8">
      <c r="A29" s="13" t="s">
        <v>21</v>
      </c>
      <c r="B29" s="13" t="s">
        <v>28</v>
      </c>
      <c r="C29" s="13" t="s">
        <v>75</v>
      </c>
      <c r="D29" s="14">
        <v>0</v>
      </c>
      <c r="E29" s="14">
        <f t="shared" si="0"/>
        <v>0</v>
      </c>
      <c r="F29" s="13" t="s">
        <v>20</v>
      </c>
      <c r="G29" s="13" t="s">
        <v>16</v>
      </c>
      <c r="H29" s="13">
        <v>1</v>
      </c>
    </row>
    <row r="30" spans="1:8">
      <c r="A30" s="13" t="s">
        <v>30</v>
      </c>
      <c r="B30" s="13" t="s">
        <v>31</v>
      </c>
      <c r="C30" s="13" t="s">
        <v>76</v>
      </c>
      <c r="D30" s="14">
        <v>0</v>
      </c>
      <c r="E30" s="14">
        <f t="shared" si="0"/>
        <v>0</v>
      </c>
      <c r="F30" s="13" t="s">
        <v>33</v>
      </c>
      <c r="G30" s="13" t="s">
        <v>11</v>
      </c>
      <c r="H30" s="13">
        <v>1</v>
      </c>
    </row>
    <row r="31" spans="1:8">
      <c r="A31" s="13" t="s">
        <v>51</v>
      </c>
      <c r="B31" s="13" t="s">
        <v>52</v>
      </c>
      <c r="C31" s="13" t="s">
        <v>77</v>
      </c>
      <c r="D31" s="14">
        <v>0</v>
      </c>
      <c r="E31" s="14">
        <f t="shared" si="0"/>
        <v>0</v>
      </c>
      <c r="F31" s="13" t="s">
        <v>54</v>
      </c>
      <c r="G31" s="13" t="s">
        <v>55</v>
      </c>
      <c r="H31" s="13">
        <v>1</v>
      </c>
    </row>
    <row r="32" spans="1:8">
      <c r="A32" s="13" t="s">
        <v>56</v>
      </c>
      <c r="B32" s="13" t="s">
        <v>57</v>
      </c>
      <c r="C32" s="13" t="s">
        <v>58</v>
      </c>
      <c r="D32" s="14">
        <v>0</v>
      </c>
      <c r="E32" s="14">
        <f t="shared" si="0"/>
        <v>0</v>
      </c>
      <c r="F32" s="13" t="s">
        <v>59</v>
      </c>
      <c r="G32" s="13" t="s">
        <v>55</v>
      </c>
      <c r="H32" s="13">
        <v>1</v>
      </c>
    </row>
    <row r="33" spans="1:8">
      <c r="A33" s="13" t="s">
        <v>34</v>
      </c>
      <c r="B33" s="13"/>
      <c r="C33" s="13" t="s">
        <v>78</v>
      </c>
      <c r="D33" s="14">
        <v>0</v>
      </c>
      <c r="E33" s="14">
        <f t="shared" si="0"/>
        <v>0</v>
      </c>
      <c r="F33" s="13" t="s">
        <v>33</v>
      </c>
      <c r="G33" s="13" t="s">
        <v>11</v>
      </c>
      <c r="H33" s="13">
        <v>1</v>
      </c>
    </row>
    <row r="34" spans="1:8">
      <c r="A34" s="13" t="s">
        <v>36</v>
      </c>
      <c r="B34" s="13"/>
      <c r="C34" s="13" t="s">
        <v>79</v>
      </c>
      <c r="D34" s="14">
        <v>0</v>
      </c>
      <c r="E34" s="14">
        <f t="shared" ref="E34:E65" si="1">D34*H34</f>
        <v>0</v>
      </c>
      <c r="F34" s="13" t="s">
        <v>10</v>
      </c>
      <c r="G34" s="13" t="s">
        <v>11</v>
      </c>
      <c r="H34" s="13">
        <v>1</v>
      </c>
    </row>
    <row r="35" spans="1:8" ht="30">
      <c r="A35" s="11" t="s">
        <v>80</v>
      </c>
      <c r="B35" s="11"/>
      <c r="C35" s="11" t="s">
        <v>81</v>
      </c>
      <c r="D35" s="12">
        <v>0</v>
      </c>
      <c r="E35" s="12">
        <f t="shared" si="1"/>
        <v>0</v>
      </c>
      <c r="F35" s="11" t="s">
        <v>10</v>
      </c>
      <c r="G35" s="11" t="s">
        <v>11</v>
      </c>
      <c r="H35" s="11">
        <v>1</v>
      </c>
    </row>
    <row r="36" spans="1:8">
      <c r="A36" s="13" t="s">
        <v>12</v>
      </c>
      <c r="B36" s="13" t="s">
        <v>82</v>
      </c>
      <c r="C36" s="13" t="s">
        <v>83</v>
      </c>
      <c r="D36" s="14">
        <v>0</v>
      </c>
      <c r="E36" s="14">
        <f t="shared" si="1"/>
        <v>0</v>
      </c>
      <c r="F36" s="13" t="s">
        <v>15</v>
      </c>
      <c r="G36" s="13" t="s">
        <v>16</v>
      </c>
      <c r="H36" s="13">
        <v>1</v>
      </c>
    </row>
    <row r="37" spans="1:8" ht="28.5">
      <c r="A37" s="13" t="s">
        <v>84</v>
      </c>
      <c r="B37" s="13" t="s">
        <v>85</v>
      </c>
      <c r="C37" s="13" t="s">
        <v>86</v>
      </c>
      <c r="D37" s="14">
        <v>0</v>
      </c>
      <c r="E37" s="14">
        <f t="shared" si="1"/>
        <v>0</v>
      </c>
      <c r="F37" s="13" t="s">
        <v>20</v>
      </c>
      <c r="G37" s="13" t="s">
        <v>16</v>
      </c>
      <c r="H37" s="13">
        <v>1</v>
      </c>
    </row>
    <row r="38" spans="1:8" ht="28.5">
      <c r="A38" s="13" t="s">
        <v>87</v>
      </c>
      <c r="B38" s="13" t="s">
        <v>88</v>
      </c>
      <c r="C38" s="13" t="s">
        <v>89</v>
      </c>
      <c r="D38" s="14">
        <v>0</v>
      </c>
      <c r="E38" s="14">
        <f t="shared" si="1"/>
        <v>0</v>
      </c>
      <c r="F38" s="13" t="s">
        <v>20</v>
      </c>
      <c r="G38" s="13" t="s">
        <v>16</v>
      </c>
      <c r="H38" s="13">
        <v>2</v>
      </c>
    </row>
    <row r="39" spans="1:8">
      <c r="A39" s="13" t="s">
        <v>90</v>
      </c>
      <c r="B39" s="13" t="s">
        <v>91</v>
      </c>
      <c r="C39" s="13" t="s">
        <v>92</v>
      </c>
      <c r="D39" s="14">
        <v>0</v>
      </c>
      <c r="E39" s="14">
        <f t="shared" si="1"/>
        <v>0</v>
      </c>
      <c r="F39" s="13" t="s">
        <v>20</v>
      </c>
      <c r="G39" s="13" t="s">
        <v>16</v>
      </c>
      <c r="H39" s="13">
        <v>1</v>
      </c>
    </row>
    <row r="40" spans="1:8">
      <c r="A40" s="13" t="s">
        <v>93</v>
      </c>
      <c r="B40" s="13" t="s">
        <v>94</v>
      </c>
      <c r="C40" s="13" t="s">
        <v>95</v>
      </c>
      <c r="D40" s="14">
        <v>0</v>
      </c>
      <c r="E40" s="14">
        <f t="shared" si="1"/>
        <v>0</v>
      </c>
      <c r="F40" s="13" t="s">
        <v>20</v>
      </c>
      <c r="G40" s="13" t="s">
        <v>16</v>
      </c>
      <c r="H40" s="13">
        <v>1</v>
      </c>
    </row>
    <row r="41" spans="1:8" ht="28.5">
      <c r="A41" s="13" t="s">
        <v>96</v>
      </c>
      <c r="B41" s="13" t="s">
        <v>97</v>
      </c>
      <c r="C41" s="13" t="s">
        <v>98</v>
      </c>
      <c r="D41" s="14">
        <v>0</v>
      </c>
      <c r="E41" s="14">
        <f t="shared" si="1"/>
        <v>0</v>
      </c>
      <c r="F41" s="13" t="s">
        <v>20</v>
      </c>
      <c r="G41" s="13" t="s">
        <v>16</v>
      </c>
      <c r="H41" s="13">
        <v>1</v>
      </c>
    </row>
    <row r="42" spans="1:8">
      <c r="A42" s="13" t="s">
        <v>99</v>
      </c>
      <c r="B42" s="13" t="s">
        <v>100</v>
      </c>
      <c r="C42" s="13" t="s">
        <v>101</v>
      </c>
      <c r="D42" s="14">
        <v>0</v>
      </c>
      <c r="E42" s="14">
        <f t="shared" si="1"/>
        <v>0</v>
      </c>
      <c r="F42" s="13" t="s">
        <v>20</v>
      </c>
      <c r="G42" s="13" t="s">
        <v>16</v>
      </c>
      <c r="H42" s="13">
        <v>1</v>
      </c>
    </row>
    <row r="43" spans="1:8">
      <c r="A43" s="13" t="s">
        <v>102</v>
      </c>
      <c r="B43" s="13" t="s">
        <v>103</v>
      </c>
      <c r="C43" s="13" t="s">
        <v>104</v>
      </c>
      <c r="D43" s="14">
        <v>0</v>
      </c>
      <c r="E43" s="14">
        <f t="shared" si="1"/>
        <v>0</v>
      </c>
      <c r="F43" s="13" t="s">
        <v>20</v>
      </c>
      <c r="G43" s="13" t="s">
        <v>16</v>
      </c>
      <c r="H43" s="13">
        <v>1</v>
      </c>
    </row>
    <row r="44" spans="1:8">
      <c r="A44" s="13" t="s">
        <v>105</v>
      </c>
      <c r="B44" s="13" t="s">
        <v>106</v>
      </c>
      <c r="C44" s="13" t="s">
        <v>107</v>
      </c>
      <c r="D44" s="14">
        <v>0</v>
      </c>
      <c r="E44" s="14">
        <f t="shared" si="1"/>
        <v>0</v>
      </c>
      <c r="F44" s="13" t="s">
        <v>20</v>
      </c>
      <c r="G44" s="13" t="s">
        <v>16</v>
      </c>
      <c r="H44" s="13">
        <v>2</v>
      </c>
    </row>
    <row r="45" spans="1:8">
      <c r="A45" s="13" t="s">
        <v>108</v>
      </c>
      <c r="B45" s="13" t="s">
        <v>109</v>
      </c>
      <c r="C45" s="13" t="s">
        <v>110</v>
      </c>
      <c r="D45" s="14">
        <v>0</v>
      </c>
      <c r="E45" s="14">
        <f t="shared" si="1"/>
        <v>0</v>
      </c>
      <c r="F45" s="13" t="s">
        <v>111</v>
      </c>
      <c r="G45" s="13" t="s">
        <v>16</v>
      </c>
      <c r="H45" s="13">
        <v>4</v>
      </c>
    </row>
    <row r="46" spans="1:8" ht="28.5">
      <c r="A46" s="13" t="s">
        <v>112</v>
      </c>
      <c r="B46" s="13" t="s">
        <v>113</v>
      </c>
      <c r="C46" s="13" t="s">
        <v>114</v>
      </c>
      <c r="D46" s="14">
        <v>0</v>
      </c>
      <c r="E46" s="14">
        <f t="shared" si="1"/>
        <v>0</v>
      </c>
      <c r="F46" s="13" t="s">
        <v>115</v>
      </c>
      <c r="G46" s="13" t="s">
        <v>16</v>
      </c>
      <c r="H46" s="13">
        <v>3</v>
      </c>
    </row>
    <row r="47" spans="1:8">
      <c r="A47" s="13" t="s">
        <v>116</v>
      </c>
      <c r="B47" s="13" t="s">
        <v>117</v>
      </c>
      <c r="C47" s="13" t="s">
        <v>118</v>
      </c>
      <c r="D47" s="14">
        <v>0</v>
      </c>
      <c r="E47" s="14">
        <f t="shared" si="1"/>
        <v>0</v>
      </c>
      <c r="F47" s="13" t="s">
        <v>119</v>
      </c>
      <c r="G47" s="13" t="s">
        <v>16</v>
      </c>
      <c r="H47" s="13">
        <v>25</v>
      </c>
    </row>
    <row r="48" spans="1:8">
      <c r="A48" s="13" t="s">
        <v>120</v>
      </c>
      <c r="B48" s="13" t="s">
        <v>121</v>
      </c>
      <c r="C48" s="13" t="s">
        <v>122</v>
      </c>
      <c r="D48" s="14">
        <v>0</v>
      </c>
      <c r="E48" s="14">
        <f t="shared" si="1"/>
        <v>0</v>
      </c>
      <c r="F48" s="13" t="s">
        <v>119</v>
      </c>
      <c r="G48" s="13" t="s">
        <v>16</v>
      </c>
      <c r="H48" s="13">
        <v>2</v>
      </c>
    </row>
    <row r="49" spans="1:8">
      <c r="A49" s="13" t="s">
        <v>51</v>
      </c>
      <c r="B49" s="13" t="s">
        <v>52</v>
      </c>
      <c r="C49" s="13" t="s">
        <v>77</v>
      </c>
      <c r="D49" s="14">
        <v>0</v>
      </c>
      <c r="E49" s="14">
        <f t="shared" si="1"/>
        <v>0</v>
      </c>
      <c r="F49" s="13" t="s">
        <v>54</v>
      </c>
      <c r="G49" s="13" t="s">
        <v>55</v>
      </c>
      <c r="H49" s="13">
        <v>1</v>
      </c>
    </row>
    <row r="50" spans="1:8">
      <c r="A50" s="13" t="s">
        <v>56</v>
      </c>
      <c r="B50" s="13" t="s">
        <v>57</v>
      </c>
      <c r="C50" s="13" t="s">
        <v>58</v>
      </c>
      <c r="D50" s="14">
        <v>0</v>
      </c>
      <c r="E50" s="14">
        <f t="shared" si="1"/>
        <v>0</v>
      </c>
      <c r="F50" s="13" t="s">
        <v>59</v>
      </c>
      <c r="G50" s="13" t="s">
        <v>55</v>
      </c>
      <c r="H50" s="13">
        <v>1</v>
      </c>
    </row>
    <row r="51" spans="1:8" ht="28.5">
      <c r="A51" s="13" t="s">
        <v>34</v>
      </c>
      <c r="B51" s="13"/>
      <c r="C51" s="13" t="s">
        <v>123</v>
      </c>
      <c r="D51" s="14">
        <v>0</v>
      </c>
      <c r="E51" s="14">
        <f t="shared" si="1"/>
        <v>0</v>
      </c>
      <c r="F51" s="13" t="s">
        <v>33</v>
      </c>
      <c r="G51" s="13" t="s">
        <v>11</v>
      </c>
      <c r="H51" s="13">
        <v>1</v>
      </c>
    </row>
    <row r="52" spans="1:8">
      <c r="A52" s="13" t="s">
        <v>36</v>
      </c>
      <c r="B52" s="13"/>
      <c r="C52" s="13" t="s">
        <v>124</v>
      </c>
      <c r="D52" s="14">
        <v>0</v>
      </c>
      <c r="E52" s="14">
        <f t="shared" si="1"/>
        <v>0</v>
      </c>
      <c r="F52" s="13" t="s">
        <v>10</v>
      </c>
      <c r="G52" s="13" t="s">
        <v>11</v>
      </c>
      <c r="H52" s="13">
        <v>1</v>
      </c>
    </row>
    <row r="53" spans="1:8" ht="30">
      <c r="A53" s="11" t="s">
        <v>125</v>
      </c>
      <c r="B53" s="11"/>
      <c r="C53" s="11" t="s">
        <v>126</v>
      </c>
      <c r="D53" s="12">
        <v>0</v>
      </c>
      <c r="E53" s="12">
        <f t="shared" si="1"/>
        <v>0</v>
      </c>
      <c r="F53" s="11" t="s">
        <v>10</v>
      </c>
      <c r="G53" s="11" t="s">
        <v>11</v>
      </c>
      <c r="H53" s="11">
        <v>1</v>
      </c>
    </row>
    <row r="54" spans="1:8" ht="28.5">
      <c r="A54" s="13" t="s">
        <v>127</v>
      </c>
      <c r="B54" s="13" t="s">
        <v>128</v>
      </c>
      <c r="C54" s="13" t="s">
        <v>129</v>
      </c>
      <c r="D54" s="14">
        <v>0</v>
      </c>
      <c r="E54" s="14">
        <f t="shared" si="1"/>
        <v>0</v>
      </c>
      <c r="F54" s="13" t="s">
        <v>130</v>
      </c>
      <c r="G54" s="13" t="s">
        <v>16</v>
      </c>
      <c r="H54" s="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tabSelected="1" workbookViewId="0">
      <selection activeCell="F12" sqref="F12"/>
    </sheetView>
  </sheetViews>
  <sheetFormatPr defaultRowHeight="19.5" customHeight="1"/>
  <cols>
    <col min="1" max="1" width="14" customWidth="1"/>
    <col min="2" max="2" width="16" customWidth="1"/>
    <col min="3" max="4" width="28" customWidth="1"/>
    <col min="5" max="5" width="60" customWidth="1"/>
    <col min="6" max="6" width="13.125" customWidth="1"/>
    <col min="7" max="7" width="6.75" customWidth="1"/>
    <col min="8" max="8" width="6.375" customWidth="1"/>
    <col min="9" max="9" width="18" customWidth="1"/>
    <col min="10" max="10" width="30" customWidth="1"/>
  </cols>
  <sheetData>
    <row r="1" spans="1:10" ht="37.5" customHeight="1">
      <c r="A1" s="15" t="s">
        <v>131</v>
      </c>
      <c r="B1" s="15" t="s">
        <v>132</v>
      </c>
      <c r="C1" s="15" t="s">
        <v>0</v>
      </c>
      <c r="D1" s="15" t="s">
        <v>1</v>
      </c>
      <c r="E1" s="15" t="s">
        <v>133</v>
      </c>
      <c r="F1" s="15" t="s">
        <v>134</v>
      </c>
      <c r="G1" s="15" t="s">
        <v>6</v>
      </c>
      <c r="H1" s="15" t="s">
        <v>7</v>
      </c>
      <c r="I1" s="15" t="s">
        <v>135</v>
      </c>
      <c r="J1" s="15" t="s">
        <v>136</v>
      </c>
    </row>
    <row r="2" spans="1:10" ht="19.5" customHeight="1">
      <c r="A2" s="13" t="s">
        <v>8</v>
      </c>
      <c r="B2" s="13" t="s">
        <v>137</v>
      </c>
      <c r="C2" s="13" t="s">
        <v>8</v>
      </c>
      <c r="D2" s="13"/>
      <c r="E2" s="13" t="s">
        <v>9</v>
      </c>
      <c r="F2" s="13" t="s">
        <v>10</v>
      </c>
      <c r="G2" s="13" t="s">
        <v>11</v>
      </c>
      <c r="H2" s="13">
        <v>1</v>
      </c>
      <c r="I2" s="13" t="s">
        <v>138</v>
      </c>
      <c r="J2" s="13"/>
    </row>
    <row r="3" spans="1:10" ht="19.5" customHeight="1">
      <c r="A3" s="13" t="s">
        <v>8</v>
      </c>
      <c r="B3" s="13" t="s">
        <v>139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>
        <v>1</v>
      </c>
      <c r="I3" s="13" t="s">
        <v>138</v>
      </c>
      <c r="J3" s="13"/>
    </row>
    <row r="4" spans="1:10" ht="19.5" customHeight="1">
      <c r="A4" s="13" t="s">
        <v>8</v>
      </c>
      <c r="B4" s="13" t="s">
        <v>140</v>
      </c>
      <c r="C4" s="13" t="s">
        <v>17</v>
      </c>
      <c r="D4" s="13" t="s">
        <v>18</v>
      </c>
      <c r="E4" s="13" t="s">
        <v>19</v>
      </c>
      <c r="F4" s="13" t="s">
        <v>20</v>
      </c>
      <c r="G4" s="13" t="s">
        <v>16</v>
      </c>
      <c r="H4" s="13">
        <v>1</v>
      </c>
      <c r="I4" s="13" t="s">
        <v>138</v>
      </c>
      <c r="J4" s="13"/>
    </row>
    <row r="5" spans="1:10" ht="19.5" customHeight="1">
      <c r="A5" s="13" t="s">
        <v>8</v>
      </c>
      <c r="B5" s="13" t="s">
        <v>141</v>
      </c>
      <c r="C5" s="13" t="s">
        <v>21</v>
      </c>
      <c r="D5" s="13" t="s">
        <v>22</v>
      </c>
      <c r="E5" s="13" t="s">
        <v>23</v>
      </c>
      <c r="F5" s="13" t="s">
        <v>20</v>
      </c>
      <c r="G5" s="13" t="s">
        <v>16</v>
      </c>
      <c r="H5" s="13">
        <v>1</v>
      </c>
      <c r="I5" s="13" t="s">
        <v>138</v>
      </c>
      <c r="J5" s="13"/>
    </row>
    <row r="6" spans="1:10" ht="19.5" customHeight="1">
      <c r="A6" s="13" t="s">
        <v>8</v>
      </c>
      <c r="B6" s="13" t="s">
        <v>141</v>
      </c>
      <c r="C6" s="13" t="s">
        <v>21</v>
      </c>
      <c r="D6" s="13" t="s">
        <v>24</v>
      </c>
      <c r="E6" s="13" t="s">
        <v>25</v>
      </c>
      <c r="F6" s="13" t="s">
        <v>20</v>
      </c>
      <c r="G6" s="13" t="s">
        <v>16</v>
      </c>
      <c r="H6" s="13">
        <v>1</v>
      </c>
      <c r="I6" s="13" t="s">
        <v>138</v>
      </c>
      <c r="J6" s="13"/>
    </row>
    <row r="7" spans="1:10" ht="19.5" customHeight="1">
      <c r="A7" s="13" t="s">
        <v>8</v>
      </c>
      <c r="B7" s="13" t="s">
        <v>141</v>
      </c>
      <c r="C7" s="13" t="s">
        <v>21</v>
      </c>
      <c r="D7" s="13" t="s">
        <v>26</v>
      </c>
      <c r="E7" s="13" t="s">
        <v>27</v>
      </c>
      <c r="F7" s="13" t="s">
        <v>20</v>
      </c>
      <c r="G7" s="13" t="s">
        <v>16</v>
      </c>
      <c r="H7" s="13">
        <v>1</v>
      </c>
      <c r="I7" s="13" t="s">
        <v>138</v>
      </c>
      <c r="J7" s="13"/>
    </row>
    <row r="8" spans="1:10" ht="19.5" customHeight="1">
      <c r="A8" s="13" t="s">
        <v>8</v>
      </c>
      <c r="B8" s="13" t="s">
        <v>141</v>
      </c>
      <c r="C8" s="13" t="s">
        <v>21</v>
      </c>
      <c r="D8" s="13" t="s">
        <v>28</v>
      </c>
      <c r="E8" s="13" t="s">
        <v>29</v>
      </c>
      <c r="F8" s="13" t="s">
        <v>20</v>
      </c>
      <c r="G8" s="13" t="s">
        <v>16</v>
      </c>
      <c r="H8" s="13">
        <v>1</v>
      </c>
      <c r="I8" s="13" t="s">
        <v>138</v>
      </c>
      <c r="J8" s="13"/>
    </row>
    <row r="9" spans="1:10" ht="19.5" customHeight="1">
      <c r="A9" s="13" t="s">
        <v>8</v>
      </c>
      <c r="B9" s="13" t="s">
        <v>142</v>
      </c>
      <c r="C9" s="13" t="s">
        <v>30</v>
      </c>
      <c r="D9" s="13" t="s">
        <v>31</v>
      </c>
      <c r="E9" s="13" t="s">
        <v>32</v>
      </c>
      <c r="F9" s="13" t="s">
        <v>33</v>
      </c>
      <c r="G9" s="13" t="s">
        <v>11</v>
      </c>
      <c r="H9" s="13">
        <v>1</v>
      </c>
      <c r="I9" s="13" t="s">
        <v>138</v>
      </c>
      <c r="J9" s="13" t="s">
        <v>143</v>
      </c>
    </row>
    <row r="10" spans="1:10" ht="19.5" customHeight="1">
      <c r="A10" s="13" t="s">
        <v>8</v>
      </c>
      <c r="B10" s="13" t="s">
        <v>144</v>
      </c>
      <c r="C10" s="13" t="s">
        <v>34</v>
      </c>
      <c r="D10" s="13"/>
      <c r="E10" s="13" t="s">
        <v>35</v>
      </c>
      <c r="F10" s="13" t="s">
        <v>33</v>
      </c>
      <c r="G10" s="13" t="s">
        <v>11</v>
      </c>
      <c r="H10" s="13">
        <v>1</v>
      </c>
      <c r="I10" s="13" t="s">
        <v>138</v>
      </c>
      <c r="J10" s="13"/>
    </row>
    <row r="11" spans="1:10" ht="19.5" customHeight="1">
      <c r="A11" s="13" t="s">
        <v>8</v>
      </c>
      <c r="B11" s="13" t="s">
        <v>144</v>
      </c>
      <c r="C11" s="13" t="s">
        <v>36</v>
      </c>
      <c r="D11" s="13"/>
      <c r="E11" s="13" t="s">
        <v>37</v>
      </c>
      <c r="F11" s="13" t="s">
        <v>10</v>
      </c>
      <c r="G11" s="13" t="s">
        <v>11</v>
      </c>
      <c r="H11" s="13">
        <v>1</v>
      </c>
      <c r="I11" s="13" t="s">
        <v>138</v>
      </c>
      <c r="J11" s="13"/>
    </row>
    <row r="12" spans="1:10" ht="19.5" customHeight="1">
      <c r="A12" s="13" t="s">
        <v>38</v>
      </c>
      <c r="B12" s="13" t="s">
        <v>137</v>
      </c>
      <c r="C12" s="13" t="s">
        <v>38</v>
      </c>
      <c r="D12" s="13"/>
      <c r="E12" s="13" t="s">
        <v>39</v>
      </c>
      <c r="F12" s="13" t="s">
        <v>10</v>
      </c>
      <c r="G12" s="13" t="s">
        <v>11</v>
      </c>
      <c r="H12" s="13">
        <v>1</v>
      </c>
      <c r="I12" s="13" t="s">
        <v>145</v>
      </c>
      <c r="J12" s="13"/>
    </row>
    <row r="13" spans="1:10" ht="19.5" customHeight="1">
      <c r="A13" s="13" t="s">
        <v>38</v>
      </c>
      <c r="B13" s="13" t="s">
        <v>139</v>
      </c>
      <c r="C13" s="13" t="s">
        <v>12</v>
      </c>
      <c r="D13" s="13" t="s">
        <v>40</v>
      </c>
      <c r="E13" s="13" t="s">
        <v>41</v>
      </c>
      <c r="F13" s="13" t="s">
        <v>15</v>
      </c>
      <c r="G13" s="13" t="s">
        <v>16</v>
      </c>
      <c r="H13" s="13">
        <v>1</v>
      </c>
      <c r="I13" s="13" t="s">
        <v>145</v>
      </c>
      <c r="J13" s="13"/>
    </row>
    <row r="14" spans="1:10" ht="19.5" customHeight="1">
      <c r="A14" s="13" t="s">
        <v>38</v>
      </c>
      <c r="B14" s="13" t="s">
        <v>141</v>
      </c>
      <c r="C14" s="13" t="s">
        <v>21</v>
      </c>
      <c r="D14" s="13" t="s">
        <v>42</v>
      </c>
      <c r="E14" s="13" t="s">
        <v>43</v>
      </c>
      <c r="F14" s="13" t="s">
        <v>20</v>
      </c>
      <c r="G14" s="13" t="s">
        <v>16</v>
      </c>
      <c r="H14" s="13">
        <v>1</v>
      </c>
      <c r="I14" s="13" t="s">
        <v>145</v>
      </c>
      <c r="J14" s="13"/>
    </row>
    <row r="15" spans="1:10" ht="19.5" customHeight="1">
      <c r="A15" s="13" t="s">
        <v>38</v>
      </c>
      <c r="B15" s="13" t="s">
        <v>141</v>
      </c>
      <c r="C15" s="13" t="s">
        <v>21</v>
      </c>
      <c r="D15" s="13" t="s">
        <v>28</v>
      </c>
      <c r="E15" s="13" t="s">
        <v>44</v>
      </c>
      <c r="F15" s="13" t="s">
        <v>20</v>
      </c>
      <c r="G15" s="13" t="s">
        <v>16</v>
      </c>
      <c r="H15" s="13">
        <v>5</v>
      </c>
      <c r="I15" s="13" t="s">
        <v>145</v>
      </c>
      <c r="J15" s="13"/>
    </row>
    <row r="16" spans="1:10" ht="19.5" customHeight="1">
      <c r="A16" s="13" t="s">
        <v>38</v>
      </c>
      <c r="B16" s="13" t="s">
        <v>146</v>
      </c>
      <c r="C16" s="13" t="s">
        <v>45</v>
      </c>
      <c r="D16" s="13" t="s">
        <v>46</v>
      </c>
      <c r="E16" s="13" t="s">
        <v>47</v>
      </c>
      <c r="F16" s="13" t="s">
        <v>20</v>
      </c>
      <c r="G16" s="13" t="s">
        <v>16</v>
      </c>
      <c r="H16" s="13">
        <v>3</v>
      </c>
      <c r="I16" s="13" t="s">
        <v>145</v>
      </c>
      <c r="J16" s="13"/>
    </row>
    <row r="17" spans="1:10" ht="19.5" customHeight="1">
      <c r="A17" s="13" t="s">
        <v>38</v>
      </c>
      <c r="B17" s="13" t="s">
        <v>146</v>
      </c>
      <c r="C17" s="13" t="s">
        <v>45</v>
      </c>
      <c r="D17" s="13" t="s">
        <v>48</v>
      </c>
      <c r="E17" s="13" t="s">
        <v>49</v>
      </c>
      <c r="F17" s="13" t="s">
        <v>20</v>
      </c>
      <c r="G17" s="13" t="s">
        <v>16</v>
      </c>
      <c r="H17" s="13">
        <v>6</v>
      </c>
      <c r="I17" s="13" t="s">
        <v>145</v>
      </c>
      <c r="J17" s="13"/>
    </row>
    <row r="18" spans="1:10" ht="19.5" customHeight="1">
      <c r="A18" s="13" t="s">
        <v>38</v>
      </c>
      <c r="B18" s="13" t="s">
        <v>142</v>
      </c>
      <c r="C18" s="13" t="s">
        <v>30</v>
      </c>
      <c r="D18" s="13" t="s">
        <v>31</v>
      </c>
      <c r="E18" s="13" t="s">
        <v>50</v>
      </c>
      <c r="F18" s="13" t="s">
        <v>33</v>
      </c>
      <c r="G18" s="13" t="s">
        <v>11</v>
      </c>
      <c r="H18" s="13">
        <v>1</v>
      </c>
      <c r="I18" s="13" t="s">
        <v>145</v>
      </c>
      <c r="J18" s="13"/>
    </row>
    <row r="19" spans="1:10" ht="19.5" customHeight="1">
      <c r="A19" s="13" t="s">
        <v>38</v>
      </c>
      <c r="B19" s="13" t="s">
        <v>147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>
        <v>1</v>
      </c>
      <c r="I19" s="13" t="s">
        <v>145</v>
      </c>
      <c r="J19" s="13"/>
    </row>
    <row r="20" spans="1:10" ht="19.5" customHeight="1">
      <c r="A20" s="13" t="s">
        <v>38</v>
      </c>
      <c r="B20" s="13" t="s">
        <v>148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55</v>
      </c>
      <c r="H20" s="13">
        <v>1</v>
      </c>
      <c r="I20" s="13" t="s">
        <v>145</v>
      </c>
      <c r="J20" s="13"/>
    </row>
    <row r="21" spans="1:10" ht="19.5" customHeight="1">
      <c r="A21" s="13" t="s">
        <v>38</v>
      </c>
      <c r="B21" s="13" t="s">
        <v>144</v>
      </c>
      <c r="C21" s="13" t="s">
        <v>34</v>
      </c>
      <c r="D21" s="13"/>
      <c r="E21" s="13" t="s">
        <v>60</v>
      </c>
      <c r="F21" s="13" t="s">
        <v>33</v>
      </c>
      <c r="G21" s="13" t="s">
        <v>11</v>
      </c>
      <c r="H21" s="13">
        <v>1</v>
      </c>
      <c r="I21" s="13" t="s">
        <v>145</v>
      </c>
      <c r="J21" s="13"/>
    </row>
    <row r="22" spans="1:10" ht="19.5" customHeight="1">
      <c r="A22" s="13" t="s">
        <v>38</v>
      </c>
      <c r="B22" s="13" t="s">
        <v>144</v>
      </c>
      <c r="C22" s="13" t="s">
        <v>36</v>
      </c>
      <c r="D22" s="13"/>
      <c r="E22" s="13" t="s">
        <v>61</v>
      </c>
      <c r="F22" s="13" t="s">
        <v>10</v>
      </c>
      <c r="G22" s="13" t="s">
        <v>11</v>
      </c>
      <c r="H22" s="13">
        <v>1</v>
      </c>
      <c r="I22" s="13" t="s">
        <v>145</v>
      </c>
      <c r="J22" s="13"/>
    </row>
    <row r="23" spans="1:10" ht="19.5" customHeight="1">
      <c r="A23" s="13" t="s">
        <v>62</v>
      </c>
      <c r="B23" s="13" t="s">
        <v>137</v>
      </c>
      <c r="C23" s="13" t="s">
        <v>62</v>
      </c>
      <c r="D23" s="13"/>
      <c r="E23" s="13" t="s">
        <v>63</v>
      </c>
      <c r="F23" s="13" t="s">
        <v>10</v>
      </c>
      <c r="G23" s="13" t="s">
        <v>11</v>
      </c>
      <c r="H23" s="13">
        <v>1</v>
      </c>
      <c r="I23" s="13" t="s">
        <v>149</v>
      </c>
      <c r="J23" s="13"/>
    </row>
    <row r="24" spans="1:10" ht="19.5" customHeight="1">
      <c r="A24" s="13" t="s">
        <v>62</v>
      </c>
      <c r="B24" s="13" t="s">
        <v>139</v>
      </c>
      <c r="C24" s="13" t="s">
        <v>12</v>
      </c>
      <c r="D24" s="13" t="s">
        <v>64</v>
      </c>
      <c r="E24" s="13" t="s">
        <v>65</v>
      </c>
      <c r="F24" s="13" t="s">
        <v>15</v>
      </c>
      <c r="G24" s="13" t="s">
        <v>16</v>
      </c>
      <c r="H24" s="13">
        <v>1</v>
      </c>
      <c r="I24" s="13" t="s">
        <v>149</v>
      </c>
      <c r="J24" s="13" t="s">
        <v>143</v>
      </c>
    </row>
    <row r="25" spans="1:10" ht="19.5" customHeight="1">
      <c r="A25" s="13" t="s">
        <v>62</v>
      </c>
      <c r="B25" s="13" t="s">
        <v>140</v>
      </c>
      <c r="C25" s="13" t="s">
        <v>17</v>
      </c>
      <c r="D25" s="13" t="s">
        <v>66</v>
      </c>
      <c r="E25" s="13" t="s">
        <v>67</v>
      </c>
      <c r="F25" s="13" t="s">
        <v>20</v>
      </c>
      <c r="G25" s="13" t="s">
        <v>16</v>
      </c>
      <c r="H25" s="13">
        <v>1</v>
      </c>
      <c r="I25" s="13" t="s">
        <v>149</v>
      </c>
      <c r="J25" s="13"/>
    </row>
    <row r="26" spans="1:10" ht="19.5" customHeight="1">
      <c r="A26" s="13" t="s">
        <v>62</v>
      </c>
      <c r="B26" s="13" t="s">
        <v>150</v>
      </c>
      <c r="C26" s="13" t="s">
        <v>68</v>
      </c>
      <c r="D26" s="13" t="s">
        <v>69</v>
      </c>
      <c r="E26" s="13" t="s">
        <v>70</v>
      </c>
      <c r="F26" s="13" t="s">
        <v>20</v>
      </c>
      <c r="G26" s="13" t="s">
        <v>16</v>
      </c>
      <c r="H26" s="13">
        <v>1</v>
      </c>
      <c r="I26" s="13" t="s">
        <v>149</v>
      </c>
      <c r="J26" s="13"/>
    </row>
    <row r="27" spans="1:10" ht="19.5" customHeight="1">
      <c r="A27" s="13" t="s">
        <v>62</v>
      </c>
      <c r="B27" s="13" t="s">
        <v>141</v>
      </c>
      <c r="C27" s="13" t="s">
        <v>21</v>
      </c>
      <c r="D27" s="13" t="s">
        <v>71</v>
      </c>
      <c r="E27" s="13" t="s">
        <v>72</v>
      </c>
      <c r="F27" s="13" t="s">
        <v>20</v>
      </c>
      <c r="G27" s="13" t="s">
        <v>16</v>
      </c>
      <c r="H27" s="13">
        <v>1</v>
      </c>
      <c r="I27" s="13" t="s">
        <v>149</v>
      </c>
      <c r="J27" s="13"/>
    </row>
    <row r="28" spans="1:10" ht="19.5" customHeight="1">
      <c r="A28" s="13" t="s">
        <v>62</v>
      </c>
      <c r="B28" s="13" t="s">
        <v>141</v>
      </c>
      <c r="C28" s="13" t="s">
        <v>21</v>
      </c>
      <c r="D28" s="13" t="s">
        <v>73</v>
      </c>
      <c r="E28" s="13" t="s">
        <v>74</v>
      </c>
      <c r="F28" s="13" t="s">
        <v>20</v>
      </c>
      <c r="G28" s="13" t="s">
        <v>16</v>
      </c>
      <c r="H28" s="13">
        <v>2</v>
      </c>
      <c r="I28" s="13" t="s">
        <v>149</v>
      </c>
      <c r="J28" s="13"/>
    </row>
    <row r="29" spans="1:10" ht="19.5" customHeight="1">
      <c r="A29" s="13" t="s">
        <v>62</v>
      </c>
      <c r="B29" s="13" t="s">
        <v>141</v>
      </c>
      <c r="C29" s="13" t="s">
        <v>21</v>
      </c>
      <c r="D29" s="13" t="s">
        <v>28</v>
      </c>
      <c r="E29" s="13" t="s">
        <v>75</v>
      </c>
      <c r="F29" s="13" t="s">
        <v>20</v>
      </c>
      <c r="G29" s="13" t="s">
        <v>16</v>
      </c>
      <c r="H29" s="13">
        <v>1</v>
      </c>
      <c r="I29" s="13" t="s">
        <v>149</v>
      </c>
      <c r="J29" s="13"/>
    </row>
    <row r="30" spans="1:10" ht="19.5" customHeight="1">
      <c r="A30" s="13" t="s">
        <v>62</v>
      </c>
      <c r="B30" s="13" t="s">
        <v>142</v>
      </c>
      <c r="C30" s="13" t="s">
        <v>30</v>
      </c>
      <c r="D30" s="13" t="s">
        <v>31</v>
      </c>
      <c r="E30" s="13" t="s">
        <v>76</v>
      </c>
      <c r="F30" s="13" t="s">
        <v>33</v>
      </c>
      <c r="G30" s="13" t="s">
        <v>11</v>
      </c>
      <c r="H30" s="13">
        <v>1</v>
      </c>
      <c r="I30" s="13" t="s">
        <v>149</v>
      </c>
      <c r="J30" s="13"/>
    </row>
    <row r="31" spans="1:10" ht="19.5" customHeight="1">
      <c r="A31" s="13" t="s">
        <v>62</v>
      </c>
      <c r="B31" s="13" t="s">
        <v>147</v>
      </c>
      <c r="C31" s="13" t="s">
        <v>51</v>
      </c>
      <c r="D31" s="13" t="s">
        <v>52</v>
      </c>
      <c r="E31" s="13" t="s">
        <v>77</v>
      </c>
      <c r="F31" s="13" t="s">
        <v>54</v>
      </c>
      <c r="G31" s="13" t="s">
        <v>55</v>
      </c>
      <c r="H31" s="13">
        <v>1</v>
      </c>
      <c r="I31" s="13" t="s">
        <v>149</v>
      </c>
      <c r="J31" s="13"/>
    </row>
    <row r="32" spans="1:10" ht="19.5" customHeight="1">
      <c r="A32" s="13" t="s">
        <v>62</v>
      </c>
      <c r="B32" s="13" t="s">
        <v>148</v>
      </c>
      <c r="C32" s="13" t="s">
        <v>56</v>
      </c>
      <c r="D32" s="13" t="s">
        <v>57</v>
      </c>
      <c r="E32" s="13" t="s">
        <v>58</v>
      </c>
      <c r="F32" s="13" t="s">
        <v>59</v>
      </c>
      <c r="G32" s="13" t="s">
        <v>55</v>
      </c>
      <c r="H32" s="13">
        <v>1</v>
      </c>
      <c r="I32" s="13" t="s">
        <v>149</v>
      </c>
      <c r="J32" s="13"/>
    </row>
    <row r="33" spans="1:10" ht="19.5" customHeight="1">
      <c r="A33" s="13" t="s">
        <v>62</v>
      </c>
      <c r="B33" s="13" t="s">
        <v>144</v>
      </c>
      <c r="C33" s="13" t="s">
        <v>34</v>
      </c>
      <c r="D33" s="13"/>
      <c r="E33" s="13" t="s">
        <v>78</v>
      </c>
      <c r="F33" s="13" t="s">
        <v>33</v>
      </c>
      <c r="G33" s="13" t="s">
        <v>11</v>
      </c>
      <c r="H33" s="13">
        <v>1</v>
      </c>
      <c r="I33" s="13" t="s">
        <v>149</v>
      </c>
      <c r="J33" s="13"/>
    </row>
    <row r="34" spans="1:10" ht="19.5" customHeight="1">
      <c r="A34" s="13" t="s">
        <v>62</v>
      </c>
      <c r="B34" s="13" t="s">
        <v>144</v>
      </c>
      <c r="C34" s="13" t="s">
        <v>36</v>
      </c>
      <c r="D34" s="13"/>
      <c r="E34" s="13" t="s">
        <v>79</v>
      </c>
      <c r="F34" s="13" t="s">
        <v>10</v>
      </c>
      <c r="G34" s="13" t="s">
        <v>11</v>
      </c>
      <c r="H34" s="13">
        <v>1</v>
      </c>
      <c r="I34" s="13" t="s">
        <v>149</v>
      </c>
      <c r="J34" s="13"/>
    </row>
    <row r="35" spans="1:10" ht="19.5" customHeight="1">
      <c r="A35" s="13" t="s">
        <v>80</v>
      </c>
      <c r="B35" s="13" t="s">
        <v>137</v>
      </c>
      <c r="C35" s="13" t="s">
        <v>80</v>
      </c>
      <c r="D35" s="13"/>
      <c r="E35" s="13" t="s">
        <v>81</v>
      </c>
      <c r="F35" s="13" t="s">
        <v>10</v>
      </c>
      <c r="G35" s="13" t="s">
        <v>11</v>
      </c>
      <c r="H35" s="13">
        <v>1</v>
      </c>
      <c r="I35" s="13" t="s">
        <v>151</v>
      </c>
      <c r="J35" s="13"/>
    </row>
    <row r="36" spans="1:10" ht="19.5" customHeight="1">
      <c r="A36" s="13" t="s">
        <v>80</v>
      </c>
      <c r="B36" s="13" t="s">
        <v>139</v>
      </c>
      <c r="C36" s="13" t="s">
        <v>12</v>
      </c>
      <c r="D36" s="13" t="s">
        <v>82</v>
      </c>
      <c r="E36" s="13" t="s">
        <v>83</v>
      </c>
      <c r="F36" s="13" t="s">
        <v>15</v>
      </c>
      <c r="G36" s="13" t="s">
        <v>16</v>
      </c>
      <c r="H36" s="13">
        <v>1</v>
      </c>
      <c r="I36" s="13" t="s">
        <v>151</v>
      </c>
      <c r="J36" s="13" t="s">
        <v>143</v>
      </c>
    </row>
    <row r="37" spans="1:10" ht="19.5" customHeight="1">
      <c r="A37" s="13" t="s">
        <v>80</v>
      </c>
      <c r="B37" s="13" t="s">
        <v>152</v>
      </c>
      <c r="C37" s="13" t="s">
        <v>84</v>
      </c>
      <c r="D37" s="13" t="s">
        <v>85</v>
      </c>
      <c r="E37" s="13" t="s">
        <v>86</v>
      </c>
      <c r="F37" s="13" t="s">
        <v>20</v>
      </c>
      <c r="G37" s="13" t="s">
        <v>16</v>
      </c>
      <c r="H37" s="13">
        <v>1</v>
      </c>
      <c r="I37" s="13" t="s">
        <v>151</v>
      </c>
      <c r="J37" s="13" t="s">
        <v>143</v>
      </c>
    </row>
    <row r="38" spans="1:10" ht="19.5" customHeight="1">
      <c r="A38" s="13" t="s">
        <v>80</v>
      </c>
      <c r="B38" s="13" t="s">
        <v>153</v>
      </c>
      <c r="C38" s="13" t="s">
        <v>87</v>
      </c>
      <c r="D38" s="13" t="s">
        <v>88</v>
      </c>
      <c r="E38" s="13" t="s">
        <v>89</v>
      </c>
      <c r="F38" s="13" t="s">
        <v>20</v>
      </c>
      <c r="G38" s="13" t="s">
        <v>16</v>
      </c>
      <c r="H38" s="13">
        <v>2</v>
      </c>
      <c r="I38" s="13" t="s">
        <v>151</v>
      </c>
      <c r="J38" s="13"/>
    </row>
    <row r="39" spans="1:10" ht="19.5" customHeight="1">
      <c r="A39" s="13" t="s">
        <v>80</v>
      </c>
      <c r="B39" s="13" t="s">
        <v>152</v>
      </c>
      <c r="C39" s="13" t="s">
        <v>90</v>
      </c>
      <c r="D39" s="13" t="s">
        <v>91</v>
      </c>
      <c r="E39" s="13" t="s">
        <v>92</v>
      </c>
      <c r="F39" s="13" t="s">
        <v>20</v>
      </c>
      <c r="G39" s="13" t="s">
        <v>16</v>
      </c>
      <c r="H39" s="13">
        <v>1</v>
      </c>
      <c r="I39" s="13" t="s">
        <v>151</v>
      </c>
      <c r="J39" s="13"/>
    </row>
    <row r="40" spans="1:10" ht="19.5" customHeight="1">
      <c r="A40" s="13" t="s">
        <v>80</v>
      </c>
      <c r="B40" s="13" t="s">
        <v>154</v>
      </c>
      <c r="C40" s="13" t="s">
        <v>93</v>
      </c>
      <c r="D40" s="13" t="s">
        <v>94</v>
      </c>
      <c r="E40" s="13" t="s">
        <v>95</v>
      </c>
      <c r="F40" s="13" t="s">
        <v>20</v>
      </c>
      <c r="G40" s="13" t="s">
        <v>16</v>
      </c>
      <c r="H40" s="13">
        <v>1</v>
      </c>
      <c r="I40" s="13" t="s">
        <v>151</v>
      </c>
      <c r="J40" s="13"/>
    </row>
    <row r="41" spans="1:10" ht="19.5" customHeight="1">
      <c r="A41" s="13" t="s">
        <v>80</v>
      </c>
      <c r="B41" s="13" t="s">
        <v>152</v>
      </c>
      <c r="C41" s="13" t="s">
        <v>96</v>
      </c>
      <c r="D41" s="13" t="s">
        <v>97</v>
      </c>
      <c r="E41" s="13" t="s">
        <v>98</v>
      </c>
      <c r="F41" s="13" t="s">
        <v>20</v>
      </c>
      <c r="G41" s="13" t="s">
        <v>16</v>
      </c>
      <c r="H41" s="13">
        <v>1</v>
      </c>
      <c r="I41" s="13" t="s">
        <v>151</v>
      </c>
      <c r="J41" s="13"/>
    </row>
    <row r="42" spans="1:10" ht="19.5" customHeight="1">
      <c r="A42" s="13" t="s">
        <v>80</v>
      </c>
      <c r="B42" s="13" t="s">
        <v>152</v>
      </c>
      <c r="C42" s="13" t="s">
        <v>99</v>
      </c>
      <c r="D42" s="13" t="s">
        <v>100</v>
      </c>
      <c r="E42" s="13" t="s">
        <v>101</v>
      </c>
      <c r="F42" s="13" t="s">
        <v>20</v>
      </c>
      <c r="G42" s="13" t="s">
        <v>16</v>
      </c>
      <c r="H42" s="13">
        <v>1</v>
      </c>
      <c r="I42" s="13" t="s">
        <v>151</v>
      </c>
      <c r="J42" s="13"/>
    </row>
    <row r="43" spans="1:10" ht="19.5" customHeight="1">
      <c r="A43" s="13" t="s">
        <v>80</v>
      </c>
      <c r="B43" s="13" t="s">
        <v>152</v>
      </c>
      <c r="C43" s="13" t="s">
        <v>102</v>
      </c>
      <c r="D43" s="13" t="s">
        <v>103</v>
      </c>
      <c r="E43" s="13" t="s">
        <v>104</v>
      </c>
      <c r="F43" s="13" t="s">
        <v>20</v>
      </c>
      <c r="G43" s="13" t="s">
        <v>16</v>
      </c>
      <c r="H43" s="13">
        <v>1</v>
      </c>
      <c r="I43" s="13" t="s">
        <v>151</v>
      </c>
      <c r="J43" s="13"/>
    </row>
    <row r="44" spans="1:10" ht="19.5" customHeight="1">
      <c r="A44" s="13" t="s">
        <v>80</v>
      </c>
      <c r="B44" s="13" t="s">
        <v>152</v>
      </c>
      <c r="C44" s="13" t="s">
        <v>105</v>
      </c>
      <c r="D44" s="13" t="s">
        <v>106</v>
      </c>
      <c r="E44" s="13" t="s">
        <v>107</v>
      </c>
      <c r="F44" s="13" t="s">
        <v>20</v>
      </c>
      <c r="G44" s="13" t="s">
        <v>16</v>
      </c>
      <c r="H44" s="13">
        <v>2</v>
      </c>
      <c r="I44" s="13" t="s">
        <v>151</v>
      </c>
      <c r="J44" s="13"/>
    </row>
    <row r="45" spans="1:10" ht="19.5" customHeight="1">
      <c r="A45" s="13" t="s">
        <v>80</v>
      </c>
      <c r="B45" s="13" t="s">
        <v>152</v>
      </c>
      <c r="C45" s="13" t="s">
        <v>108</v>
      </c>
      <c r="D45" s="13" t="s">
        <v>109</v>
      </c>
      <c r="E45" s="13" t="s">
        <v>110</v>
      </c>
      <c r="F45" s="13" t="s">
        <v>111</v>
      </c>
      <c r="G45" s="13" t="s">
        <v>16</v>
      </c>
      <c r="H45" s="13">
        <v>4</v>
      </c>
      <c r="I45" s="13" t="s">
        <v>151</v>
      </c>
      <c r="J45" s="13"/>
    </row>
    <row r="46" spans="1:10" ht="19.5" customHeight="1">
      <c r="A46" s="13" t="s">
        <v>80</v>
      </c>
      <c r="B46" s="13" t="s">
        <v>152</v>
      </c>
      <c r="C46" s="13" t="s">
        <v>112</v>
      </c>
      <c r="D46" s="13" t="s">
        <v>113</v>
      </c>
      <c r="E46" s="13" t="s">
        <v>114</v>
      </c>
      <c r="F46" s="13" t="s">
        <v>115</v>
      </c>
      <c r="G46" s="13" t="s">
        <v>16</v>
      </c>
      <c r="H46" s="13">
        <v>3</v>
      </c>
      <c r="I46" s="13" t="s">
        <v>151</v>
      </c>
      <c r="J46" s="13" t="s">
        <v>143</v>
      </c>
    </row>
    <row r="47" spans="1:10" ht="19.5" customHeight="1">
      <c r="A47" s="13" t="s">
        <v>80</v>
      </c>
      <c r="B47" s="13" t="s">
        <v>155</v>
      </c>
      <c r="C47" s="13" t="s">
        <v>116</v>
      </c>
      <c r="D47" s="13" t="s">
        <v>117</v>
      </c>
      <c r="E47" s="13" t="s">
        <v>118</v>
      </c>
      <c r="F47" s="13" t="s">
        <v>119</v>
      </c>
      <c r="G47" s="13" t="s">
        <v>16</v>
      </c>
      <c r="H47" s="13">
        <v>25</v>
      </c>
      <c r="I47" s="13" t="s">
        <v>151</v>
      </c>
      <c r="J47" s="13"/>
    </row>
    <row r="48" spans="1:10" ht="19.5" customHeight="1">
      <c r="A48" s="13" t="s">
        <v>80</v>
      </c>
      <c r="B48" s="13" t="s">
        <v>155</v>
      </c>
      <c r="C48" s="13" t="s">
        <v>120</v>
      </c>
      <c r="D48" s="13" t="s">
        <v>121</v>
      </c>
      <c r="E48" s="13" t="s">
        <v>122</v>
      </c>
      <c r="F48" s="13" t="s">
        <v>119</v>
      </c>
      <c r="G48" s="13" t="s">
        <v>16</v>
      </c>
      <c r="H48" s="13">
        <v>2</v>
      </c>
      <c r="I48" s="13" t="s">
        <v>151</v>
      </c>
      <c r="J48" s="13"/>
    </row>
    <row r="49" spans="1:10" ht="19.5" customHeight="1">
      <c r="A49" s="13" t="s">
        <v>80</v>
      </c>
      <c r="B49" s="13" t="s">
        <v>147</v>
      </c>
      <c r="C49" s="13" t="s">
        <v>51</v>
      </c>
      <c r="D49" s="13" t="s">
        <v>52</v>
      </c>
      <c r="E49" s="13" t="s">
        <v>77</v>
      </c>
      <c r="F49" s="13" t="s">
        <v>54</v>
      </c>
      <c r="G49" s="13" t="s">
        <v>55</v>
      </c>
      <c r="H49" s="13">
        <v>1</v>
      </c>
      <c r="I49" s="13" t="s">
        <v>151</v>
      </c>
      <c r="J49" s="13"/>
    </row>
    <row r="50" spans="1:10" ht="19.5" customHeight="1">
      <c r="A50" s="13" t="s">
        <v>80</v>
      </c>
      <c r="B50" s="13" t="s">
        <v>148</v>
      </c>
      <c r="C50" s="13" t="s">
        <v>56</v>
      </c>
      <c r="D50" s="13" t="s">
        <v>57</v>
      </c>
      <c r="E50" s="13" t="s">
        <v>58</v>
      </c>
      <c r="F50" s="13" t="s">
        <v>59</v>
      </c>
      <c r="G50" s="13" t="s">
        <v>55</v>
      </c>
      <c r="H50" s="13">
        <v>1</v>
      </c>
      <c r="I50" s="13" t="s">
        <v>151</v>
      </c>
      <c r="J50" s="13"/>
    </row>
    <row r="51" spans="1:10" ht="19.5" customHeight="1">
      <c r="A51" s="13" t="s">
        <v>80</v>
      </c>
      <c r="B51" s="13" t="s">
        <v>144</v>
      </c>
      <c r="C51" s="13" t="s">
        <v>34</v>
      </c>
      <c r="D51" s="13"/>
      <c r="E51" s="13" t="s">
        <v>123</v>
      </c>
      <c r="F51" s="13" t="s">
        <v>33</v>
      </c>
      <c r="G51" s="13" t="s">
        <v>11</v>
      </c>
      <c r="H51" s="13">
        <v>1</v>
      </c>
      <c r="I51" s="13" t="s">
        <v>151</v>
      </c>
      <c r="J51" s="13"/>
    </row>
    <row r="52" spans="1:10" ht="19.5" customHeight="1">
      <c r="A52" s="13" t="s">
        <v>80</v>
      </c>
      <c r="B52" s="13" t="s">
        <v>144</v>
      </c>
      <c r="C52" s="13" t="s">
        <v>36</v>
      </c>
      <c r="D52" s="13"/>
      <c r="E52" s="13" t="s">
        <v>124</v>
      </c>
      <c r="F52" s="13" t="s">
        <v>10</v>
      </c>
      <c r="G52" s="13" t="s">
        <v>11</v>
      </c>
      <c r="H52" s="13">
        <v>1</v>
      </c>
      <c r="I52" s="13" t="s">
        <v>151</v>
      </c>
      <c r="J52" s="13"/>
    </row>
    <row r="53" spans="1:10" ht="19.5" customHeight="1">
      <c r="A53" s="13" t="s">
        <v>125</v>
      </c>
      <c r="B53" s="13" t="s">
        <v>137</v>
      </c>
      <c r="C53" s="13" t="s">
        <v>125</v>
      </c>
      <c r="D53" s="13"/>
      <c r="E53" s="13" t="s">
        <v>126</v>
      </c>
      <c r="F53" s="13" t="s">
        <v>10</v>
      </c>
      <c r="G53" s="13" t="s">
        <v>11</v>
      </c>
      <c r="H53" s="13">
        <v>1</v>
      </c>
      <c r="I53" s="13" t="s">
        <v>138</v>
      </c>
      <c r="J53" s="13"/>
    </row>
    <row r="54" spans="1:10" ht="19.5" customHeight="1">
      <c r="A54" s="13" t="s">
        <v>125</v>
      </c>
      <c r="B54" s="13" t="s">
        <v>152</v>
      </c>
      <c r="C54" s="13" t="s">
        <v>127</v>
      </c>
      <c r="D54" s="13" t="s">
        <v>128</v>
      </c>
      <c r="E54" s="13" t="s">
        <v>129</v>
      </c>
      <c r="F54" s="13" t="s">
        <v>130</v>
      </c>
      <c r="G54" s="13" t="s">
        <v>16</v>
      </c>
      <c r="H54" s="13">
        <v>1</v>
      </c>
      <c r="I54" s="13" t="s">
        <v>138</v>
      </c>
      <c r="J54" s="13"/>
    </row>
  </sheetData>
  <autoFilter ref="A1:J54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/>
  </sheetViews>
  <sheetFormatPr defaultRowHeight="14.25"/>
  <cols>
    <col min="1" max="1" width="16" customWidth="1"/>
    <col min="2" max="2" width="42" customWidth="1"/>
    <col min="3" max="4" width="10" customWidth="1"/>
    <col min="5" max="5" width="18" customWidth="1"/>
    <col min="6" max="6" width="22" customWidth="1"/>
    <col min="7" max="7" width="10" customWidth="1"/>
    <col min="8" max="8" width="16" customWidth="1"/>
    <col min="9" max="9" width="18" customWidth="1"/>
    <col min="10" max="10" width="50" customWidth="1"/>
  </cols>
  <sheetData>
    <row r="1" spans="1:10" ht="30">
      <c r="A1" s="3" t="s">
        <v>131</v>
      </c>
      <c r="B1" s="3" t="s">
        <v>133</v>
      </c>
      <c r="C1" s="3" t="s">
        <v>6</v>
      </c>
      <c r="D1" s="3" t="s">
        <v>7</v>
      </c>
      <c r="E1" s="3" t="s">
        <v>156</v>
      </c>
      <c r="F1" s="3" t="s">
        <v>157</v>
      </c>
      <c r="G1" s="3" t="s">
        <v>158</v>
      </c>
      <c r="H1" s="3" t="s">
        <v>159</v>
      </c>
      <c r="I1" s="3" t="s">
        <v>160</v>
      </c>
      <c r="J1" s="3" t="s">
        <v>161</v>
      </c>
    </row>
    <row r="2" spans="1:10">
      <c r="A2" t="s">
        <v>8</v>
      </c>
      <c r="B2" t="s">
        <v>162</v>
      </c>
      <c r="C2" t="s">
        <v>11</v>
      </c>
      <c r="D2">
        <v>1</v>
      </c>
      <c r="E2" s="5">
        <f>SUM('01_BOM_Ana_Format'!E2:E11)</f>
        <v>0</v>
      </c>
      <c r="F2" s="5">
        <f>E2</f>
        <v>0</v>
      </c>
      <c r="G2" s="5">
        <v>12</v>
      </c>
      <c r="H2" s="5">
        <f>F2*G2/100</f>
        <v>0</v>
      </c>
      <c r="I2" s="5">
        <f>F2+H2</f>
        <v>0</v>
      </c>
      <c r="J2" t="s">
        <v>163</v>
      </c>
    </row>
    <row r="3" spans="1:10">
      <c r="A3" t="s">
        <v>38</v>
      </c>
      <c r="B3" t="s">
        <v>164</v>
      </c>
      <c r="C3" t="s">
        <v>11</v>
      </c>
      <c r="D3">
        <v>1</v>
      </c>
      <c r="E3" s="5">
        <f>SUM('01_BOM_Ana_Format'!E12:E22)</f>
        <v>0</v>
      </c>
      <c r="F3" s="5">
        <f>E3</f>
        <v>0</v>
      </c>
      <c r="G3" s="5">
        <v>12</v>
      </c>
      <c r="H3" s="5">
        <f>F3*G3/100</f>
        <v>0</v>
      </c>
      <c r="I3" s="5">
        <f>F3+H3</f>
        <v>0</v>
      </c>
      <c r="J3" t="s">
        <v>163</v>
      </c>
    </row>
    <row r="4" spans="1:10">
      <c r="A4" t="s">
        <v>62</v>
      </c>
      <c r="B4" t="s">
        <v>165</v>
      </c>
      <c r="C4" t="s">
        <v>11</v>
      </c>
      <c r="D4">
        <v>1</v>
      </c>
      <c r="E4" s="5">
        <f>SUM('01_BOM_Ana_Format'!E23:E34)</f>
        <v>0</v>
      </c>
      <c r="F4" s="5">
        <f>E4</f>
        <v>0</v>
      </c>
      <c r="G4" s="5">
        <v>12</v>
      </c>
      <c r="H4" s="5">
        <f>F4*G4/100</f>
        <v>0</v>
      </c>
      <c r="I4" s="5">
        <f>F4+H4</f>
        <v>0</v>
      </c>
      <c r="J4" t="s">
        <v>163</v>
      </c>
    </row>
    <row r="5" spans="1:10">
      <c r="A5" t="s">
        <v>80</v>
      </c>
      <c r="B5" t="s">
        <v>166</v>
      </c>
      <c r="C5" t="s">
        <v>11</v>
      </c>
      <c r="D5">
        <v>1</v>
      </c>
      <c r="E5" s="5">
        <f>SUM('01_BOM_Ana_Format'!E35:E52)</f>
        <v>0</v>
      </c>
      <c r="F5" s="5">
        <f>E5</f>
        <v>0</v>
      </c>
      <c r="G5" s="5">
        <v>12</v>
      </c>
      <c r="H5" s="5">
        <f>F5*G5/100</f>
        <v>0</v>
      </c>
      <c r="I5" s="5">
        <f>F5+H5</f>
        <v>0</v>
      </c>
      <c r="J5" t="s">
        <v>163</v>
      </c>
    </row>
    <row r="6" spans="1:10">
      <c r="A6" t="s">
        <v>125</v>
      </c>
      <c r="B6" t="s">
        <v>167</v>
      </c>
      <c r="C6" t="s">
        <v>11</v>
      </c>
      <c r="D6">
        <v>1</v>
      </c>
      <c r="E6" s="5">
        <f>SUM('01_BOM_Ana_Format'!E53:E54)</f>
        <v>0</v>
      </c>
      <c r="F6" s="5">
        <f>E6</f>
        <v>0</v>
      </c>
      <c r="G6" s="5">
        <v>12</v>
      </c>
      <c r="H6" s="5">
        <f>F6*G6/100</f>
        <v>0</v>
      </c>
      <c r="I6" s="5">
        <f>F6+H6</f>
        <v>0</v>
      </c>
      <c r="J6" t="s">
        <v>163</v>
      </c>
    </row>
    <row r="7" spans="1:10" ht="15">
      <c r="A7" s="4" t="s">
        <v>168</v>
      </c>
      <c r="B7" s="4"/>
      <c r="C7" s="4"/>
      <c r="D7" s="4"/>
      <c r="E7" s="6">
        <f>SUM(E2:E6)</f>
        <v>0</v>
      </c>
      <c r="F7" s="6">
        <f>SUM(F2:F6)</f>
        <v>0</v>
      </c>
      <c r="G7" s="6"/>
      <c r="H7" s="6">
        <f>SUM(H2:H6)</f>
        <v>0</v>
      </c>
      <c r="I7" s="6">
        <f>SUM(I2:I6)</f>
        <v>0</v>
      </c>
      <c r="J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workbookViewId="0"/>
  </sheetViews>
  <sheetFormatPr defaultRowHeight="14.25"/>
  <cols>
    <col min="1" max="2" width="28" customWidth="1"/>
    <col min="3" max="3" width="58" customWidth="1"/>
    <col min="4" max="5" width="14" customWidth="1"/>
    <col min="6" max="6" width="24" customWidth="1"/>
    <col min="7" max="8" width="12" customWidth="1"/>
  </cols>
  <sheetData>
    <row r="1" spans="1:8" ht="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1" t="s">
        <v>12</v>
      </c>
      <c r="B2" s="1" t="s">
        <v>13</v>
      </c>
      <c r="C2" s="1" t="s">
        <v>14</v>
      </c>
      <c r="D2" s="2">
        <v>0</v>
      </c>
      <c r="E2" s="2">
        <f t="shared" ref="E2:E42" si="0">D2*H2</f>
        <v>0</v>
      </c>
      <c r="F2" s="1" t="s">
        <v>15</v>
      </c>
      <c r="G2" s="1" t="s">
        <v>16</v>
      </c>
      <c r="H2" s="1">
        <v>1</v>
      </c>
    </row>
    <row r="3" spans="1:8" ht="28.5">
      <c r="A3" s="1" t="s">
        <v>17</v>
      </c>
      <c r="B3" s="1" t="s">
        <v>18</v>
      </c>
      <c r="C3" s="1" t="s">
        <v>19</v>
      </c>
      <c r="D3" s="2">
        <v>0</v>
      </c>
      <c r="E3" s="2">
        <f t="shared" si="0"/>
        <v>0</v>
      </c>
      <c r="F3" s="1" t="s">
        <v>20</v>
      </c>
      <c r="G3" s="1" t="s">
        <v>16</v>
      </c>
      <c r="H3" s="1">
        <v>1</v>
      </c>
    </row>
    <row r="4" spans="1:8" ht="28.5">
      <c r="A4" s="1" t="s">
        <v>21</v>
      </c>
      <c r="B4" s="1" t="s">
        <v>22</v>
      </c>
      <c r="C4" s="1" t="s">
        <v>23</v>
      </c>
      <c r="D4" s="2">
        <v>0</v>
      </c>
      <c r="E4" s="2">
        <f t="shared" si="0"/>
        <v>0</v>
      </c>
      <c r="F4" s="1" t="s">
        <v>20</v>
      </c>
      <c r="G4" s="1" t="s">
        <v>16</v>
      </c>
      <c r="H4" s="1">
        <v>1</v>
      </c>
    </row>
    <row r="5" spans="1:8">
      <c r="A5" s="1" t="s">
        <v>21</v>
      </c>
      <c r="B5" s="1" t="s">
        <v>24</v>
      </c>
      <c r="C5" s="1" t="s">
        <v>25</v>
      </c>
      <c r="D5" s="2">
        <v>0</v>
      </c>
      <c r="E5" s="2">
        <f t="shared" si="0"/>
        <v>0</v>
      </c>
      <c r="F5" s="1" t="s">
        <v>20</v>
      </c>
      <c r="G5" s="1" t="s">
        <v>16</v>
      </c>
      <c r="H5" s="1">
        <v>1</v>
      </c>
    </row>
    <row r="6" spans="1:8">
      <c r="A6" s="1" t="s">
        <v>21</v>
      </c>
      <c r="B6" s="1" t="s">
        <v>26</v>
      </c>
      <c r="C6" s="1" t="s">
        <v>27</v>
      </c>
      <c r="D6" s="2">
        <v>0</v>
      </c>
      <c r="E6" s="2">
        <f t="shared" si="0"/>
        <v>0</v>
      </c>
      <c r="F6" s="1" t="s">
        <v>20</v>
      </c>
      <c r="G6" s="1" t="s">
        <v>16</v>
      </c>
      <c r="H6" s="1">
        <v>1</v>
      </c>
    </row>
    <row r="7" spans="1:8">
      <c r="A7" s="1" t="s">
        <v>21</v>
      </c>
      <c r="B7" s="1" t="s">
        <v>28</v>
      </c>
      <c r="C7" s="1" t="s">
        <v>29</v>
      </c>
      <c r="D7" s="2">
        <v>0</v>
      </c>
      <c r="E7" s="2">
        <f t="shared" si="0"/>
        <v>0</v>
      </c>
      <c r="F7" s="1" t="s">
        <v>20</v>
      </c>
      <c r="G7" s="1" t="s">
        <v>16</v>
      </c>
      <c r="H7" s="1">
        <v>1</v>
      </c>
    </row>
    <row r="8" spans="1:8">
      <c r="A8" s="1" t="s">
        <v>30</v>
      </c>
      <c r="B8" s="1" t="s">
        <v>31</v>
      </c>
      <c r="C8" s="1" t="s">
        <v>32</v>
      </c>
      <c r="D8" s="2">
        <v>0</v>
      </c>
      <c r="E8" s="2">
        <f t="shared" si="0"/>
        <v>0</v>
      </c>
      <c r="F8" s="1" t="s">
        <v>33</v>
      </c>
      <c r="G8" s="1" t="s">
        <v>11</v>
      </c>
      <c r="H8" s="1">
        <v>1</v>
      </c>
    </row>
    <row r="9" spans="1:8">
      <c r="A9" s="1" t="s">
        <v>34</v>
      </c>
      <c r="B9" s="1"/>
      <c r="C9" s="1" t="s">
        <v>35</v>
      </c>
      <c r="D9" s="2">
        <v>0</v>
      </c>
      <c r="E9" s="2">
        <f t="shared" si="0"/>
        <v>0</v>
      </c>
      <c r="F9" s="1" t="s">
        <v>33</v>
      </c>
      <c r="G9" s="1" t="s">
        <v>11</v>
      </c>
      <c r="H9" s="1">
        <v>1</v>
      </c>
    </row>
    <row r="10" spans="1:8" ht="28.5">
      <c r="A10" s="1" t="s">
        <v>12</v>
      </c>
      <c r="B10" s="1" t="s">
        <v>40</v>
      </c>
      <c r="C10" s="1" t="s">
        <v>41</v>
      </c>
      <c r="D10" s="2">
        <v>0</v>
      </c>
      <c r="E10" s="2">
        <f t="shared" si="0"/>
        <v>0</v>
      </c>
      <c r="F10" s="1" t="s">
        <v>15</v>
      </c>
      <c r="G10" s="1" t="s">
        <v>16</v>
      </c>
      <c r="H10" s="1">
        <v>1</v>
      </c>
    </row>
    <row r="11" spans="1:8">
      <c r="A11" s="1" t="s">
        <v>21</v>
      </c>
      <c r="B11" s="1" t="s">
        <v>42</v>
      </c>
      <c r="C11" s="1" t="s">
        <v>43</v>
      </c>
      <c r="D11" s="2">
        <v>0</v>
      </c>
      <c r="E11" s="2">
        <f t="shared" si="0"/>
        <v>0</v>
      </c>
      <c r="F11" s="1" t="s">
        <v>20</v>
      </c>
      <c r="G11" s="1" t="s">
        <v>16</v>
      </c>
      <c r="H11" s="1">
        <v>1</v>
      </c>
    </row>
    <row r="12" spans="1:8">
      <c r="A12" s="1" t="s">
        <v>21</v>
      </c>
      <c r="B12" s="1" t="s">
        <v>28</v>
      </c>
      <c r="C12" s="1" t="s">
        <v>44</v>
      </c>
      <c r="D12" s="2">
        <v>0</v>
      </c>
      <c r="E12" s="2">
        <f t="shared" si="0"/>
        <v>0</v>
      </c>
      <c r="F12" s="1" t="s">
        <v>20</v>
      </c>
      <c r="G12" s="1" t="s">
        <v>16</v>
      </c>
      <c r="H12" s="1">
        <v>5</v>
      </c>
    </row>
    <row r="13" spans="1:8" ht="28.5">
      <c r="A13" s="1" t="s">
        <v>45</v>
      </c>
      <c r="B13" s="1" t="s">
        <v>46</v>
      </c>
      <c r="C13" s="1" t="s">
        <v>47</v>
      </c>
      <c r="D13" s="2">
        <v>0</v>
      </c>
      <c r="E13" s="2">
        <f t="shared" si="0"/>
        <v>0</v>
      </c>
      <c r="F13" s="1" t="s">
        <v>20</v>
      </c>
      <c r="G13" s="1" t="s">
        <v>16</v>
      </c>
      <c r="H13" s="1">
        <v>3</v>
      </c>
    </row>
    <row r="14" spans="1:8" ht="28.5">
      <c r="A14" s="1" t="s">
        <v>45</v>
      </c>
      <c r="B14" s="1" t="s">
        <v>48</v>
      </c>
      <c r="C14" s="1" t="s">
        <v>49</v>
      </c>
      <c r="D14" s="2">
        <v>0</v>
      </c>
      <c r="E14" s="2">
        <f t="shared" si="0"/>
        <v>0</v>
      </c>
      <c r="F14" s="1" t="s">
        <v>20</v>
      </c>
      <c r="G14" s="1" t="s">
        <v>16</v>
      </c>
      <c r="H14" s="1">
        <v>6</v>
      </c>
    </row>
    <row r="15" spans="1:8">
      <c r="A15" s="1" t="s">
        <v>30</v>
      </c>
      <c r="B15" s="1" t="s">
        <v>31</v>
      </c>
      <c r="C15" s="1" t="s">
        <v>50</v>
      </c>
      <c r="D15" s="2">
        <v>0</v>
      </c>
      <c r="E15" s="2">
        <f t="shared" si="0"/>
        <v>0</v>
      </c>
      <c r="F15" s="1" t="s">
        <v>33</v>
      </c>
      <c r="G15" s="1" t="s">
        <v>11</v>
      </c>
      <c r="H15" s="1">
        <v>1</v>
      </c>
    </row>
    <row r="16" spans="1:8">
      <c r="A16" s="1" t="s">
        <v>51</v>
      </c>
      <c r="B16" s="1" t="s">
        <v>52</v>
      </c>
      <c r="C16" s="1" t="s">
        <v>53</v>
      </c>
      <c r="D16" s="2">
        <v>0</v>
      </c>
      <c r="E16" s="2">
        <f t="shared" si="0"/>
        <v>0</v>
      </c>
      <c r="F16" s="1" t="s">
        <v>54</v>
      </c>
      <c r="G16" s="1" t="s">
        <v>55</v>
      </c>
      <c r="H16" s="1">
        <v>1</v>
      </c>
    </row>
    <row r="17" spans="1:8">
      <c r="A17" s="1" t="s">
        <v>56</v>
      </c>
      <c r="B17" s="1" t="s">
        <v>57</v>
      </c>
      <c r="C17" s="1" t="s">
        <v>58</v>
      </c>
      <c r="D17" s="2">
        <v>0</v>
      </c>
      <c r="E17" s="2">
        <f t="shared" si="0"/>
        <v>0</v>
      </c>
      <c r="F17" s="1" t="s">
        <v>59</v>
      </c>
      <c r="G17" s="1" t="s">
        <v>55</v>
      </c>
      <c r="H17" s="1">
        <v>3</v>
      </c>
    </row>
    <row r="18" spans="1:8">
      <c r="A18" s="1" t="s">
        <v>34</v>
      </c>
      <c r="B18" s="1"/>
      <c r="C18" s="1" t="s">
        <v>60</v>
      </c>
      <c r="D18" s="2">
        <v>0</v>
      </c>
      <c r="E18" s="2">
        <f t="shared" si="0"/>
        <v>0</v>
      </c>
      <c r="F18" s="1" t="s">
        <v>33</v>
      </c>
      <c r="G18" s="1" t="s">
        <v>11</v>
      </c>
      <c r="H18" s="1">
        <v>1</v>
      </c>
    </row>
    <row r="19" spans="1:8" ht="28.5">
      <c r="A19" s="1" t="s">
        <v>12</v>
      </c>
      <c r="B19" s="1" t="s">
        <v>64</v>
      </c>
      <c r="C19" s="1" t="s">
        <v>65</v>
      </c>
      <c r="D19" s="2">
        <v>0</v>
      </c>
      <c r="E19" s="2">
        <f t="shared" si="0"/>
        <v>0</v>
      </c>
      <c r="F19" s="1" t="s">
        <v>15</v>
      </c>
      <c r="G19" s="1" t="s">
        <v>16</v>
      </c>
      <c r="H19" s="1">
        <v>1</v>
      </c>
    </row>
    <row r="20" spans="1:8" ht="28.5">
      <c r="A20" s="1" t="s">
        <v>17</v>
      </c>
      <c r="B20" s="1" t="s">
        <v>66</v>
      </c>
      <c r="C20" s="1" t="s">
        <v>67</v>
      </c>
      <c r="D20" s="2">
        <v>0</v>
      </c>
      <c r="E20" s="2">
        <f t="shared" si="0"/>
        <v>0</v>
      </c>
      <c r="F20" s="1" t="s">
        <v>20</v>
      </c>
      <c r="G20" s="1" t="s">
        <v>16</v>
      </c>
      <c r="H20" s="1">
        <v>1</v>
      </c>
    </row>
    <row r="21" spans="1:8">
      <c r="A21" s="1" t="s">
        <v>68</v>
      </c>
      <c r="B21" s="1" t="s">
        <v>69</v>
      </c>
      <c r="C21" s="1" t="s">
        <v>70</v>
      </c>
      <c r="D21" s="2">
        <v>0</v>
      </c>
      <c r="E21" s="2">
        <f t="shared" si="0"/>
        <v>0</v>
      </c>
      <c r="F21" s="1" t="s">
        <v>20</v>
      </c>
      <c r="G21" s="1" t="s">
        <v>16</v>
      </c>
      <c r="H21" s="1">
        <v>1</v>
      </c>
    </row>
    <row r="22" spans="1:8" ht="28.5">
      <c r="A22" s="1" t="s">
        <v>21</v>
      </c>
      <c r="B22" s="1" t="s">
        <v>71</v>
      </c>
      <c r="C22" s="1" t="s">
        <v>72</v>
      </c>
      <c r="D22" s="2">
        <v>0</v>
      </c>
      <c r="E22" s="2">
        <f t="shared" si="0"/>
        <v>0</v>
      </c>
      <c r="F22" s="1" t="s">
        <v>20</v>
      </c>
      <c r="G22" s="1" t="s">
        <v>16</v>
      </c>
      <c r="H22" s="1">
        <v>1</v>
      </c>
    </row>
    <row r="23" spans="1:8">
      <c r="A23" s="1" t="s">
        <v>21</v>
      </c>
      <c r="B23" s="1" t="s">
        <v>73</v>
      </c>
      <c r="C23" s="1" t="s">
        <v>74</v>
      </c>
      <c r="D23" s="2">
        <v>0</v>
      </c>
      <c r="E23" s="2">
        <f t="shared" si="0"/>
        <v>0</v>
      </c>
      <c r="F23" s="1" t="s">
        <v>20</v>
      </c>
      <c r="G23" s="1" t="s">
        <v>16</v>
      </c>
      <c r="H23" s="1">
        <v>2</v>
      </c>
    </row>
    <row r="24" spans="1:8">
      <c r="A24" s="1" t="s">
        <v>21</v>
      </c>
      <c r="B24" s="1" t="s">
        <v>28</v>
      </c>
      <c r="C24" s="1" t="s">
        <v>75</v>
      </c>
      <c r="D24" s="2">
        <v>0</v>
      </c>
      <c r="E24" s="2">
        <f t="shared" si="0"/>
        <v>0</v>
      </c>
      <c r="F24" s="1" t="s">
        <v>20</v>
      </c>
      <c r="G24" s="1" t="s">
        <v>16</v>
      </c>
      <c r="H24" s="1">
        <v>1</v>
      </c>
    </row>
    <row r="25" spans="1:8">
      <c r="A25" s="1" t="s">
        <v>30</v>
      </c>
      <c r="B25" s="1" t="s">
        <v>31</v>
      </c>
      <c r="C25" s="1" t="s">
        <v>76</v>
      </c>
      <c r="D25" s="2">
        <v>0</v>
      </c>
      <c r="E25" s="2">
        <f t="shared" si="0"/>
        <v>0</v>
      </c>
      <c r="F25" s="1" t="s">
        <v>33</v>
      </c>
      <c r="G25" s="1" t="s">
        <v>11</v>
      </c>
      <c r="H25" s="1">
        <v>1</v>
      </c>
    </row>
    <row r="26" spans="1:8">
      <c r="A26" s="1" t="s">
        <v>51</v>
      </c>
      <c r="B26" s="1" t="s">
        <v>52</v>
      </c>
      <c r="C26" s="1" t="s">
        <v>77</v>
      </c>
      <c r="D26" s="2">
        <v>0</v>
      </c>
      <c r="E26" s="2">
        <f t="shared" si="0"/>
        <v>0</v>
      </c>
      <c r="F26" s="1" t="s">
        <v>54</v>
      </c>
      <c r="G26" s="1" t="s">
        <v>55</v>
      </c>
      <c r="H26" s="1">
        <v>2</v>
      </c>
    </row>
    <row r="27" spans="1:8">
      <c r="A27" s="1" t="s">
        <v>34</v>
      </c>
      <c r="B27" s="1"/>
      <c r="C27" s="1" t="s">
        <v>78</v>
      </c>
      <c r="D27" s="2">
        <v>0</v>
      </c>
      <c r="E27" s="2">
        <f t="shared" si="0"/>
        <v>0</v>
      </c>
      <c r="F27" s="1" t="s">
        <v>33</v>
      </c>
      <c r="G27" s="1" t="s">
        <v>11</v>
      </c>
      <c r="H27" s="1">
        <v>1</v>
      </c>
    </row>
    <row r="28" spans="1:8">
      <c r="A28" s="1" t="s">
        <v>12</v>
      </c>
      <c r="B28" s="1" t="s">
        <v>82</v>
      </c>
      <c r="C28" s="1" t="s">
        <v>83</v>
      </c>
      <c r="D28" s="2">
        <v>0</v>
      </c>
      <c r="E28" s="2">
        <f t="shared" si="0"/>
        <v>0</v>
      </c>
      <c r="F28" s="1" t="s">
        <v>15</v>
      </c>
      <c r="G28" s="1" t="s">
        <v>16</v>
      </c>
      <c r="H28" s="1">
        <v>1</v>
      </c>
    </row>
    <row r="29" spans="1:8" ht="28.5">
      <c r="A29" s="1" t="s">
        <v>84</v>
      </c>
      <c r="B29" s="1" t="s">
        <v>85</v>
      </c>
      <c r="C29" s="1" t="s">
        <v>86</v>
      </c>
      <c r="D29" s="2">
        <v>0</v>
      </c>
      <c r="E29" s="2">
        <f t="shared" si="0"/>
        <v>0</v>
      </c>
      <c r="F29" s="1" t="s">
        <v>20</v>
      </c>
      <c r="G29" s="1" t="s">
        <v>16</v>
      </c>
      <c r="H29" s="1">
        <v>1</v>
      </c>
    </row>
    <row r="30" spans="1:8" ht="28.5">
      <c r="A30" s="1" t="s">
        <v>87</v>
      </c>
      <c r="B30" s="1" t="s">
        <v>88</v>
      </c>
      <c r="C30" s="1" t="s">
        <v>89</v>
      </c>
      <c r="D30" s="2">
        <v>0</v>
      </c>
      <c r="E30" s="2">
        <f t="shared" si="0"/>
        <v>0</v>
      </c>
      <c r="F30" s="1" t="s">
        <v>20</v>
      </c>
      <c r="G30" s="1" t="s">
        <v>16</v>
      </c>
      <c r="H30" s="1">
        <v>2</v>
      </c>
    </row>
    <row r="31" spans="1:8">
      <c r="A31" s="1" t="s">
        <v>90</v>
      </c>
      <c r="B31" s="1" t="s">
        <v>91</v>
      </c>
      <c r="C31" s="1" t="s">
        <v>92</v>
      </c>
      <c r="D31" s="2">
        <v>0</v>
      </c>
      <c r="E31" s="2">
        <f t="shared" si="0"/>
        <v>0</v>
      </c>
      <c r="F31" s="1" t="s">
        <v>20</v>
      </c>
      <c r="G31" s="1" t="s">
        <v>16</v>
      </c>
      <c r="H31" s="1">
        <v>1</v>
      </c>
    </row>
    <row r="32" spans="1:8">
      <c r="A32" s="1" t="s">
        <v>93</v>
      </c>
      <c r="B32" s="1" t="s">
        <v>94</v>
      </c>
      <c r="C32" s="1" t="s">
        <v>95</v>
      </c>
      <c r="D32" s="2">
        <v>0</v>
      </c>
      <c r="E32" s="2">
        <f t="shared" si="0"/>
        <v>0</v>
      </c>
      <c r="F32" s="1" t="s">
        <v>20</v>
      </c>
      <c r="G32" s="1" t="s">
        <v>16</v>
      </c>
      <c r="H32" s="1">
        <v>1</v>
      </c>
    </row>
    <row r="33" spans="1:8" ht="28.5">
      <c r="A33" s="1" t="s">
        <v>96</v>
      </c>
      <c r="B33" s="1" t="s">
        <v>97</v>
      </c>
      <c r="C33" s="1" t="s">
        <v>98</v>
      </c>
      <c r="D33" s="2">
        <v>0</v>
      </c>
      <c r="E33" s="2">
        <f t="shared" si="0"/>
        <v>0</v>
      </c>
      <c r="F33" s="1" t="s">
        <v>20</v>
      </c>
      <c r="G33" s="1" t="s">
        <v>16</v>
      </c>
      <c r="H33" s="1">
        <v>1</v>
      </c>
    </row>
    <row r="34" spans="1:8">
      <c r="A34" s="1" t="s">
        <v>99</v>
      </c>
      <c r="B34" s="1" t="s">
        <v>100</v>
      </c>
      <c r="C34" s="1" t="s">
        <v>101</v>
      </c>
      <c r="D34" s="2">
        <v>0</v>
      </c>
      <c r="E34" s="2">
        <f t="shared" si="0"/>
        <v>0</v>
      </c>
      <c r="F34" s="1" t="s">
        <v>20</v>
      </c>
      <c r="G34" s="1" t="s">
        <v>16</v>
      </c>
      <c r="H34" s="1">
        <v>1</v>
      </c>
    </row>
    <row r="35" spans="1:8">
      <c r="A35" s="1" t="s">
        <v>102</v>
      </c>
      <c r="B35" s="1" t="s">
        <v>103</v>
      </c>
      <c r="C35" s="1" t="s">
        <v>104</v>
      </c>
      <c r="D35" s="2">
        <v>0</v>
      </c>
      <c r="E35" s="2">
        <f t="shared" si="0"/>
        <v>0</v>
      </c>
      <c r="F35" s="1" t="s">
        <v>20</v>
      </c>
      <c r="G35" s="1" t="s">
        <v>16</v>
      </c>
      <c r="H35" s="1">
        <v>1</v>
      </c>
    </row>
    <row r="36" spans="1:8">
      <c r="A36" s="1" t="s">
        <v>105</v>
      </c>
      <c r="B36" s="1" t="s">
        <v>106</v>
      </c>
      <c r="C36" s="1" t="s">
        <v>107</v>
      </c>
      <c r="D36" s="2">
        <v>0</v>
      </c>
      <c r="E36" s="2">
        <f t="shared" si="0"/>
        <v>0</v>
      </c>
      <c r="F36" s="1" t="s">
        <v>20</v>
      </c>
      <c r="G36" s="1" t="s">
        <v>16</v>
      </c>
      <c r="H36" s="1">
        <v>2</v>
      </c>
    </row>
    <row r="37" spans="1:8">
      <c r="A37" s="1" t="s">
        <v>108</v>
      </c>
      <c r="B37" s="1" t="s">
        <v>109</v>
      </c>
      <c r="C37" s="1" t="s">
        <v>110</v>
      </c>
      <c r="D37" s="2">
        <v>0</v>
      </c>
      <c r="E37" s="2">
        <f t="shared" si="0"/>
        <v>0</v>
      </c>
      <c r="F37" s="1" t="s">
        <v>111</v>
      </c>
      <c r="G37" s="1" t="s">
        <v>16</v>
      </c>
      <c r="H37" s="1">
        <v>4</v>
      </c>
    </row>
    <row r="38" spans="1:8" ht="28.5">
      <c r="A38" s="1" t="s">
        <v>112</v>
      </c>
      <c r="B38" s="1" t="s">
        <v>113</v>
      </c>
      <c r="C38" s="1" t="s">
        <v>114</v>
      </c>
      <c r="D38" s="2">
        <v>0</v>
      </c>
      <c r="E38" s="2">
        <f t="shared" si="0"/>
        <v>0</v>
      </c>
      <c r="F38" s="1" t="s">
        <v>115</v>
      </c>
      <c r="G38" s="1" t="s">
        <v>16</v>
      </c>
      <c r="H38" s="1">
        <v>3</v>
      </c>
    </row>
    <row r="39" spans="1:8">
      <c r="A39" s="1" t="s">
        <v>116</v>
      </c>
      <c r="B39" s="1" t="s">
        <v>117</v>
      </c>
      <c r="C39" s="1" t="s">
        <v>118</v>
      </c>
      <c r="D39" s="2">
        <v>0</v>
      </c>
      <c r="E39" s="2">
        <f t="shared" si="0"/>
        <v>0</v>
      </c>
      <c r="F39" s="1" t="s">
        <v>119</v>
      </c>
      <c r="G39" s="1" t="s">
        <v>16</v>
      </c>
      <c r="H39" s="1">
        <v>25</v>
      </c>
    </row>
    <row r="40" spans="1:8">
      <c r="A40" s="1" t="s">
        <v>120</v>
      </c>
      <c r="B40" s="1" t="s">
        <v>121</v>
      </c>
      <c r="C40" s="1" t="s">
        <v>122</v>
      </c>
      <c r="D40" s="2">
        <v>0</v>
      </c>
      <c r="E40" s="2">
        <f t="shared" si="0"/>
        <v>0</v>
      </c>
      <c r="F40" s="1" t="s">
        <v>119</v>
      </c>
      <c r="G40" s="1" t="s">
        <v>16</v>
      </c>
      <c r="H40" s="1">
        <v>2</v>
      </c>
    </row>
    <row r="41" spans="1:8" ht="28.5">
      <c r="A41" s="1" t="s">
        <v>34</v>
      </c>
      <c r="B41" s="1"/>
      <c r="C41" s="1" t="s">
        <v>123</v>
      </c>
      <c r="D41" s="2">
        <v>0</v>
      </c>
      <c r="E41" s="2">
        <f t="shared" si="0"/>
        <v>0</v>
      </c>
      <c r="F41" s="1" t="s">
        <v>33</v>
      </c>
      <c r="G41" s="1" t="s">
        <v>11</v>
      </c>
      <c r="H41" s="1">
        <v>1</v>
      </c>
    </row>
    <row r="42" spans="1:8" ht="28.5">
      <c r="A42" s="1" t="s">
        <v>127</v>
      </c>
      <c r="B42" s="1" t="s">
        <v>128</v>
      </c>
      <c r="C42" s="1" t="s">
        <v>129</v>
      </c>
      <c r="D42" s="2">
        <v>0</v>
      </c>
      <c r="E42" s="2">
        <f t="shared" si="0"/>
        <v>0</v>
      </c>
      <c r="F42" s="1" t="s">
        <v>130</v>
      </c>
      <c r="G42" s="1" t="s">
        <v>16</v>
      </c>
      <c r="H42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4.25"/>
  <cols>
    <col min="1" max="1" width="8" customWidth="1"/>
    <col min="2" max="3" width="14" customWidth="1"/>
    <col min="4" max="4" width="28" customWidth="1"/>
    <col min="5" max="5" width="80" customWidth="1"/>
    <col min="6" max="6" width="22" customWidth="1"/>
  </cols>
  <sheetData>
    <row r="1" spans="1:6" ht="15">
      <c r="A1" s="8" t="s">
        <v>169</v>
      </c>
      <c r="B1" s="8" t="s">
        <v>170</v>
      </c>
      <c r="C1" s="8" t="s">
        <v>131</v>
      </c>
      <c r="D1" s="8" t="s">
        <v>171</v>
      </c>
      <c r="E1" s="8" t="s">
        <v>133</v>
      </c>
      <c r="F1" s="8" t="s">
        <v>172</v>
      </c>
    </row>
    <row r="2" spans="1:6" ht="28.5">
      <c r="A2" s="1">
        <v>1</v>
      </c>
      <c r="B2" s="1" t="s">
        <v>173</v>
      </c>
      <c r="C2" s="1" t="s">
        <v>174</v>
      </c>
      <c r="D2" s="1" t="s">
        <v>175</v>
      </c>
      <c r="E2" s="1" t="s">
        <v>176</v>
      </c>
      <c r="F2" s="1" t="s">
        <v>143</v>
      </c>
    </row>
    <row r="3" spans="1:6" ht="28.5">
      <c r="A3" s="1">
        <v>2</v>
      </c>
      <c r="B3" s="1" t="s">
        <v>173</v>
      </c>
      <c r="C3" s="1" t="s">
        <v>62</v>
      </c>
      <c r="D3" s="1" t="s">
        <v>177</v>
      </c>
      <c r="E3" s="1" t="s">
        <v>178</v>
      </c>
      <c r="F3" s="1" t="s">
        <v>143</v>
      </c>
    </row>
    <row r="4" spans="1:6" ht="28.5">
      <c r="A4" s="1">
        <v>3</v>
      </c>
      <c r="B4" s="1" t="s">
        <v>173</v>
      </c>
      <c r="C4" s="1" t="s">
        <v>80</v>
      </c>
      <c r="D4" s="1" t="s">
        <v>179</v>
      </c>
      <c r="E4" s="1" t="s">
        <v>180</v>
      </c>
      <c r="F4" s="1" t="s">
        <v>143</v>
      </c>
    </row>
    <row r="5" spans="1:6">
      <c r="A5" s="1">
        <v>4</v>
      </c>
      <c r="B5" s="1" t="s">
        <v>181</v>
      </c>
      <c r="C5" s="1" t="s">
        <v>80</v>
      </c>
      <c r="D5" s="1" t="s">
        <v>182</v>
      </c>
      <c r="E5" s="1" t="s">
        <v>183</v>
      </c>
      <c r="F5" s="1" t="s">
        <v>184</v>
      </c>
    </row>
    <row r="6" spans="1:6">
      <c r="A6" s="1">
        <v>5</v>
      </c>
      <c r="B6" s="1" t="s">
        <v>181</v>
      </c>
      <c r="C6" s="1" t="s">
        <v>8</v>
      </c>
      <c r="D6" s="1" t="s">
        <v>185</v>
      </c>
      <c r="E6" s="1" t="s">
        <v>186</v>
      </c>
      <c r="F6" s="1" t="s">
        <v>184</v>
      </c>
    </row>
    <row r="7" spans="1:6" ht="28.5">
      <c r="A7" s="1">
        <v>6</v>
      </c>
      <c r="B7" s="1" t="s">
        <v>181</v>
      </c>
      <c r="C7" s="1" t="s">
        <v>187</v>
      </c>
      <c r="D7" s="1" t="s">
        <v>188</v>
      </c>
      <c r="E7" s="1" t="s">
        <v>189</v>
      </c>
      <c r="F7" s="1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25"/>
  <cols>
    <col min="1" max="1" width="24" customWidth="1"/>
    <col min="2" max="2" width="34" customWidth="1"/>
    <col min="3" max="3" width="80" customWidth="1"/>
  </cols>
  <sheetData>
    <row r="1" spans="1:3" ht="15">
      <c r="A1" s="9" t="s">
        <v>190</v>
      </c>
      <c r="B1" s="9" t="s">
        <v>191</v>
      </c>
      <c r="C1" s="9" t="s">
        <v>161</v>
      </c>
    </row>
    <row r="2" spans="1:3">
      <c r="A2" s="1" t="s">
        <v>192</v>
      </c>
      <c r="B2" s="1" t="s">
        <v>20</v>
      </c>
      <c r="C2" s="1" t="s">
        <v>193</v>
      </c>
    </row>
    <row r="3" spans="1:3">
      <c r="A3" s="1" t="s">
        <v>194</v>
      </c>
      <c r="B3" s="1" t="s">
        <v>15</v>
      </c>
      <c r="C3" s="1" t="s">
        <v>195</v>
      </c>
    </row>
    <row r="4" spans="1:3">
      <c r="A4" s="1" t="s">
        <v>196</v>
      </c>
      <c r="B4" s="1" t="s">
        <v>33</v>
      </c>
      <c r="C4" s="1" t="s">
        <v>197</v>
      </c>
    </row>
    <row r="5" spans="1:3">
      <c r="A5" s="1" t="s">
        <v>198</v>
      </c>
      <c r="B5" s="1" t="s">
        <v>199</v>
      </c>
      <c r="C5" s="1" t="s">
        <v>200</v>
      </c>
    </row>
    <row r="6" spans="1:3">
      <c r="A6" s="1" t="s">
        <v>3</v>
      </c>
      <c r="B6" s="1" t="s">
        <v>201</v>
      </c>
      <c r="C6" s="1" t="s">
        <v>202</v>
      </c>
    </row>
    <row r="7" spans="1:3">
      <c r="A7" s="1" t="s">
        <v>4</v>
      </c>
      <c r="B7" s="1" t="s">
        <v>203</v>
      </c>
      <c r="C7" s="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01_BOM_Ana_Format</vt:lpstr>
      <vt:lpstr>02_Muhendislik_BOM</vt:lpstr>
      <vt:lpstr>03_Teklif_BOM</vt:lpstr>
      <vt:lpstr>04_Satinalma_Ozet</vt:lpstr>
      <vt:lpstr>05_Kontrol_Listesi</vt:lpstr>
      <vt:lpstr>06_Fiyat_Kontrol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2026-05-25T09:31:15Z</dcterms:modified>
</cp:coreProperties>
</file>