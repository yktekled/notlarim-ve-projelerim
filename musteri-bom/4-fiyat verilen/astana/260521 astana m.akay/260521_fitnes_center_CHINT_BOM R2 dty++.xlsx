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21 astana m.akay\"/>
    </mc:Choice>
  </mc:AlternateContent>
  <xr:revisionPtr revIDLastSave="0" documentId="13_ncr:1_{EC613900-2C84-48F0-A145-757169E8B8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OM_CHINT" sheetId="1" r:id="rId1"/>
    <sheet name="fiyat tekl" sheetId="6" r:id="rId2"/>
    <sheet name="ups ve post upravlenıa" sheetId="4" r:id="rId3"/>
    <sheet name="ЩУз gp" sheetId="5" r:id="rId4"/>
    <sheet name="Satinalma_Ozet" sheetId="2" r:id="rId5"/>
    <sheet name="Kaynak_Not" sheetId="3" r:id="rId6"/>
  </sheets>
  <definedNames>
    <definedName name="_xlnm._FilterDatabase" localSheetId="0" hidden="1">BOM_CHINT!$A$1:$N$48</definedName>
    <definedName name="_xlnm._FilterDatabase" localSheetId="1" hidden="1">'fiyat tekl'!$A$1:$M$7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2" i="6"/>
  <c r="D3" i="6"/>
  <c r="D4" i="6"/>
  <c r="D5" i="6"/>
  <c r="D6" i="6"/>
  <c r="D7" i="6"/>
  <c r="D2" i="6"/>
  <c r="C3" i="6"/>
  <c r="C4" i="6"/>
  <c r="C5" i="6"/>
  <c r="C6" i="6"/>
  <c r="C7" i="6"/>
  <c r="C2" i="6"/>
  <c r="N3" i="6"/>
  <c r="N4" i="6"/>
  <c r="N5" i="6"/>
  <c r="N6" i="6"/>
  <c r="N7" i="6"/>
  <c r="N2" i="6"/>
  <c r="F22" i="1" l="1"/>
  <c r="F13" i="1"/>
  <c r="F3" i="1"/>
  <c r="F25" i="1"/>
  <c r="F41" i="1"/>
  <c r="F40" i="1"/>
  <c r="F39" i="1"/>
  <c r="F38" i="1"/>
  <c r="F37" i="1"/>
  <c r="F36" i="1"/>
  <c r="F35" i="1"/>
  <c r="F34" i="1"/>
  <c r="F33" i="1"/>
  <c r="F32" i="1"/>
  <c r="F27" i="1"/>
  <c r="F26" i="1"/>
  <c r="F24" i="1"/>
  <c r="F23" i="1"/>
  <c r="F17" i="1"/>
  <c r="F16" i="1"/>
  <c r="F15" i="1"/>
  <c r="F14" i="1"/>
  <c r="F8" i="1"/>
  <c r="F7" i="1"/>
  <c r="F6" i="1"/>
  <c r="F5" i="1"/>
  <c r="G41" i="1" l="1"/>
  <c r="G40" i="1"/>
  <c r="G39" i="1"/>
  <c r="G38" i="1"/>
  <c r="G37" i="1"/>
  <c r="G36" i="1"/>
  <c r="G35" i="1"/>
  <c r="G34" i="1"/>
  <c r="G33" i="1"/>
  <c r="G32" i="1"/>
  <c r="G7" i="1"/>
  <c r="G8" i="1"/>
  <c r="F4" i="1" l="1"/>
  <c r="A47" i="1"/>
  <c r="A45" i="1"/>
  <c r="I43" i="1" l="1"/>
  <c r="G43" i="1" s="1"/>
  <c r="I29" i="1"/>
  <c r="G29" i="1" s="1"/>
  <c r="E28" i="1" s="1"/>
  <c r="F28" i="1" s="1"/>
  <c r="G28" i="1" s="1"/>
  <c r="I19" i="1"/>
  <c r="G19" i="1" s="1"/>
  <c r="E18" i="1" s="1"/>
  <c r="F18" i="1" s="1"/>
  <c r="G18" i="1" s="1"/>
  <c r="I10" i="1"/>
  <c r="G10" i="1" s="1"/>
  <c r="E9" i="1" s="1"/>
  <c r="F9" i="1" s="1"/>
  <c r="G9" i="1" s="1"/>
  <c r="G47" i="1"/>
  <c r="G48" i="1" s="1"/>
  <c r="G45" i="1"/>
  <c r="G46" i="1" s="1"/>
  <c r="G27" i="1"/>
  <c r="G26" i="1"/>
  <c r="G25" i="1"/>
  <c r="G24" i="1"/>
  <c r="G23" i="1"/>
  <c r="G22" i="1"/>
  <c r="G30" i="1" s="1"/>
  <c r="G17" i="1"/>
  <c r="G16" i="1"/>
  <c r="G15" i="1"/>
  <c r="G14" i="1"/>
  <c r="G13" i="1"/>
  <c r="G20" i="1" s="1"/>
  <c r="G6" i="1"/>
  <c r="G5" i="1"/>
  <c r="G4" i="1"/>
  <c r="G3" i="1"/>
  <c r="G11" i="1" l="1"/>
  <c r="E42" i="1"/>
  <c r="F42" i="1" s="1"/>
  <c r="G42" i="1" s="1"/>
  <c r="G44" i="1" s="1"/>
  <c r="G49" i="1" l="1"/>
</calcChain>
</file>

<file path=xl/sharedStrings.xml><?xml version="1.0" encoding="utf-8"?>
<sst xmlns="http://schemas.openxmlformats.org/spreadsheetml/2006/main" count="786" uniqueCount="298">
  <si>
    <t>Pano</t>
  </si>
  <si>
    <t>Kategori</t>
  </si>
  <si>
    <t>Ürün Kodu</t>
  </si>
  <si>
    <t>Ürün İsmi / Açıklama</t>
  </si>
  <si>
    <t>Teknik Özellik</t>
  </si>
  <si>
    <t>Miktar</t>
  </si>
  <si>
    <t>Birim</t>
  </si>
  <si>
    <t>Marka/Tedarikçi</t>
  </si>
  <si>
    <t>Kaynak</t>
  </si>
  <si>
    <t>Not</t>
  </si>
  <si>
    <t>Tahmini modül</t>
  </si>
  <si>
    <t>ГРЩ</t>
  </si>
  <si>
    <t>pano</t>
  </si>
  <si>
    <t>ГРЩ ana dağıtım pano komplekti</t>
  </si>
  <si>
    <t>Ру=65,402 кВт; Рр=63,333 кВт; Ip=104,72A; 380/220V; IP31</t>
  </si>
  <si>
    <t>компл.</t>
  </si>
  <si>
    <t>Proje</t>
  </si>
  <si>
    <t>PDF s.2, s.10</t>
  </si>
  <si>
    <t>İç malzemeler 1 pano içindir</t>
  </si>
  <si>
    <t>korpus</t>
  </si>
  <si>
    <t>Korpus metal / ЩМП-4-2</t>
  </si>
  <si>
    <t>IP31, UХЛ3, 800x650x250 mm</t>
  </si>
  <si>
    <t>шт</t>
  </si>
  <si>
    <t>TEKSAN / Proje</t>
  </si>
  <si>
    <t>PDF s.10</t>
  </si>
  <si>
    <t>Projede IEK ЩМП-4-2 verilmiş; üretim TEKSAN yapılacaksa ölçü korunabilir</t>
  </si>
  <si>
    <t>tms</t>
  </si>
  <si>
    <t>CHINT NXM / NM1 MCCB kompakt şalter</t>
  </si>
  <si>
    <t>3P, 125A, ≥25kA, 380/400V</t>
  </si>
  <si>
    <t>CHINT</t>
  </si>
  <si>
    <t>IEK ВА88-32 3P 125A 25kA muadili; kesin seri stok/fiyat listesine göre seçilecek</t>
  </si>
  <si>
    <t>oto</t>
  </si>
  <si>
    <t>CHINT NXB-125 / NB1-125 otomatik</t>
  </si>
  <si>
    <t>3P, C100A, ≥15kA, 380/400V</t>
  </si>
  <si>
    <t>Projede ВА47-150 3P 100A 15kA görünüyor</t>
  </si>
  <si>
    <t>CHINT NB1-63 otomatik</t>
  </si>
  <si>
    <t>3P, C50A, 6kA, 380/400V</t>
  </si>
  <si>
    <t>ЩР1 besleme çıkışı; projede ВА47-60M 3P 50A</t>
  </si>
  <si>
    <t>3P, C16A, 6kA, 380/400V</t>
  </si>
  <si>
    <t>Задвижка/ЩУз besleme; projede ВА47-60M 3P 16A</t>
  </si>
  <si>
    <t>mont. matryal</t>
  </si>
  <si>
    <t>монтажный материал</t>
  </si>
  <si>
    <t>DIN ray, klemens, kablo kanalı, bara/dağıtım, etiketleme, bağlantı sarfı</t>
  </si>
  <si>
    <t>EKT / Onka / Klemsan / TEKLED</t>
  </si>
  <si>
    <t>Küçük sarf malzemeler bu satırda toplandı</t>
  </si>
  <si>
    <t>mont. rab.</t>
  </si>
  <si>
    <t>монтажная работа</t>
  </si>
  <si>
    <t>ГРЩ pano montaj işçiliği</t>
  </si>
  <si>
    <t>TEKLED</t>
  </si>
  <si>
    <t>ЩР1</t>
  </si>
  <si>
    <t>ЩР1 dağıtım pano komplekti</t>
  </si>
  <si>
    <t>Ру=20,691 кВт; Рр=18,622 кВт; Ip=30,8A; IP31</t>
  </si>
  <si>
    <t>PDF s.3, s.4, s.10</t>
  </si>
  <si>
    <t>Korpus metal / ЩРн-36з-0</t>
  </si>
  <si>
    <t>36 modül, IP31, UХЛ3, 585x310x130 mm</t>
  </si>
  <si>
    <t>PDF s.3, s.10</t>
  </si>
  <si>
    <t>Projede 36 modül; CHINT cihazlarla modül kontrolü yeterli görünüyor</t>
  </si>
  <si>
    <t>3P, C40A, 6kA, 380/400V</t>
  </si>
  <si>
    <t>ЩР1 giriş otomatiği; projede ВА47-60M 3P 40A</t>
  </si>
  <si>
    <t>1P, C6A, 6kA, 230V</t>
  </si>
  <si>
    <t>Aydınlatma grupları Гр.1-Гр.5</t>
  </si>
  <si>
    <t>dif</t>
  </si>
  <si>
    <t>CHINT NXBLE-32 diferansiyel otomatik</t>
  </si>
  <si>
    <t>2P / 1P+N, C20A, 30mA, 6kA, 230V</t>
  </si>
  <si>
    <t>Projede АВДТ32 C20 toplam 3 adet</t>
  </si>
  <si>
    <t>2P / 1P+N, C16A, 30mA, 6kA, 230V</t>
  </si>
  <si>
    <t>Projede АВДТ32 C16 toplam 6 adet</t>
  </si>
  <si>
    <t>N/PE baraları, DIN ray, klemens, kablo kanalı, bağlantı sarfı, etiketleme</t>
  </si>
  <si>
    <t>ЩР1 pano montaj işçiliği</t>
  </si>
  <si>
    <t>ЩВ1</t>
  </si>
  <si>
    <t>ЩВ1 havalandırma pano komplekti</t>
  </si>
  <si>
    <t>Ру=44,34 кВт; Рр=44,34 кВт; Ip=70,53A; IP31</t>
  </si>
  <si>
    <t>PDF s.5, s.10</t>
  </si>
  <si>
    <t>Korpus metal / ЩМП-4.2.1-0</t>
  </si>
  <si>
    <t>IP31, UХЛ3, 400x210x150 mm</t>
  </si>
  <si>
    <t>CHINT NXB-125 + shunt için yerleşim üretimde kontrol edilmeli; gerekirse 400x300x150 seç</t>
  </si>
  <si>
    <t>816139</t>
  </si>
  <si>
    <t>CHINT NXB-125 otomatik</t>
  </si>
  <si>
    <t>3P, C80A, 10kA, 380/400V</t>
  </si>
  <si>
    <t>Воздухонагреватель 42kW çıkışı; projede ВА47-100 3P 80A 10kA</t>
  </si>
  <si>
    <t>3P, C80A, ≥15kA, 380/400V</t>
  </si>
  <si>
    <t>ЩВ1 giriş/firen trip; projede ВА47-150 3P 80A 15kA</t>
  </si>
  <si>
    <t>cihaz</t>
  </si>
  <si>
    <t>CHINT shunt release / bağımsız açtırma bobini</t>
  </si>
  <si>
    <t>NXB-125/NB1-125 uyumlu, 230V AC</t>
  </si>
  <si>
    <t>Projede РН47-150; yangında havalandırma panosu devre dışı bırakma için</t>
  </si>
  <si>
    <t>3P, C10A, 6kA, 380/400V</t>
  </si>
  <si>
    <t>2 adet radyal fan çıkışı; projede ВА47-60M 3P 10A</t>
  </si>
  <si>
    <t>Kanal fan devresi; projede ВА47-60M 1P 6A</t>
  </si>
  <si>
    <t>ЩВ1 pano montaj işçiliği</t>
  </si>
  <si>
    <t>ЩУз</t>
  </si>
  <si>
    <t>komple cihaz</t>
  </si>
  <si>
    <t>Ящик управления задвижкой РУСМ5411-1874УХЛ2</t>
  </si>
  <si>
    <t>Elektrikli sürgülü vana kontrol kutusu komplekti</t>
  </si>
  <si>
    <t>Proje / komple ürün</t>
  </si>
  <si>
    <t>PDF s.6, s.10</t>
  </si>
  <si>
    <t>İç kontrol devresi ayrı kırılmadı; proje komple ürün olarak vermiş</t>
  </si>
  <si>
    <t>Источник бесперебойного питания SVC GT33-10KVA</t>
  </si>
  <si>
    <t>UPS, 380V, 10kVA</t>
  </si>
  <si>
    <t>SVC</t>
  </si>
  <si>
    <t>Projede komple ürün</t>
  </si>
  <si>
    <t>Пост управления с одной кнопкой ПКЕ-212/1</t>
  </si>
  <si>
    <t>Tek butonlu kumanda istasyonu</t>
  </si>
  <si>
    <t>Proje / CHINT NP2 alternatifi kontrol</t>
  </si>
  <si>
    <t>Sayfa 6 şema/tabloda 2-3 adet okuma riski var; kesin adet üretim öncesi kontrol</t>
  </si>
  <si>
    <t>Klemens, etiketleme, küçük sarf, bağlantı kablosu uçları</t>
  </si>
  <si>
    <t>ЩУз montaj/kontrol işçiliği</t>
  </si>
  <si>
    <t>Toplam Miktar</t>
  </si>
  <si>
    <t>Panolar</t>
  </si>
  <si>
    <t>Ürün kodu/stok kodu fiyat listesine göre kontrol edilecek</t>
  </si>
  <si>
    <t>ЩВ1, ЩР1</t>
  </si>
  <si>
    <t>Dosya/Kaynak</t>
  </si>
  <si>
    <t>Kapsam</t>
  </si>
  <si>
    <t>ЭОМ Том 6. Электроосвещение и электрооборудование.pdf</t>
  </si>
  <si>
    <t>Sayfa 2-6 ve 10: besleme şeması, ЩР1, ЩВ1, ЩУз ve spesifikasyon</t>
  </si>
  <si>
    <t>Miktarlar proje PDF’inden alındı; orijinal marka IEK, şalt CHINT muadiliyle değiştirildi.</t>
  </si>
  <si>
    <t>CHINT NB1-63 resmi ürün sayfası</t>
  </si>
  <si>
    <t>NB1-63 MCB; 6kA; B/C/D eğrileri; 1-63A</t>
  </si>
  <si>
    <t>https://www.chintglobal.com/global/en/products/low-voltage/iec/final-power-distribution/nb1-63.html</t>
  </si>
  <si>
    <t>CHINT NXBLE-32 resmi sayfa</t>
  </si>
  <si>
    <t>NXBLE-32 RCBO; 6-32A; 30mA; 1P+N/3P+N; 6kA</t>
  </si>
  <si>
    <t>https://chint.ru/catalog/oborudovanie_nizkogo_napryazheniya/modulnye_apparaty_differentsialnoy_zashchity/differentsialnye_avtomaticheskie_vyklyuchateli/nxble_32/</t>
  </si>
  <si>
    <t>CHINT NXB-125 resmi ürün sayfası</t>
  </si>
  <si>
    <t>NXB-125; 63-125A; 230/400V; kesme kapasitesi 20kA’a kadar</t>
  </si>
  <si>
    <t>https://www.chintglobal.com/global/en/products/low-voltage/iec/final-power-distribution/nxb-125.html</t>
  </si>
  <si>
    <t>CHINT NXM resmi ürün sayfası</t>
  </si>
  <si>
    <t>NXM MCCB; 63-1600A; kesme kapasitesi 70kA’a kadar</t>
  </si>
  <si>
    <t>https://www.chintglobal.com/global/en/products/low-voltage/iec/secondary-power-distribution/nxm.html</t>
  </si>
  <si>
    <t>Kontrol noktası</t>
  </si>
  <si>
    <t>ЩУз kumanda istasyonu adedi</t>
  </si>
  <si>
    <t>PDF sayfa 6 şema/tabloda 2 ile 3 adet arasında okuma riski var; satın alma öncesi proje müellifi/plan üzerinden teyit edilmeli.</t>
  </si>
  <si>
    <t>ЩВ1 korpus ölçüsü</t>
  </si>
  <si>
    <t>Projede 400x210x150 mm verilmiş; CHINT NXB-125 + shunt yerleşimi nedeniyle üretim çizimiyle kontrol edilmeli.</t>
  </si>
  <si>
    <t>цена</t>
  </si>
  <si>
    <t>цена2</t>
  </si>
  <si>
    <t>сумм.</t>
  </si>
  <si>
    <t>Количество</t>
  </si>
  <si>
    <t>Единица</t>
  </si>
  <si>
    <t>Бренд/Поставщик</t>
  </si>
  <si>
    <t>Технические характеристики</t>
  </si>
  <si>
    <t>Название продукта / Описание</t>
  </si>
  <si>
    <t>Код товара</t>
  </si>
  <si>
    <t>nh47</t>
  </si>
  <si>
    <t>post upr</t>
  </si>
  <si>
    <t>515381</t>
  </si>
  <si>
    <t>Диф. авт. выкл. NXBLE-63YH 1P+N C16 30mA тип A, 6kA (R)</t>
  </si>
  <si>
    <t>714-15015</t>
  </si>
  <si>
    <t>Щит мет.ЩРн-36 б/o (312х540х120)S/U 36 IP31 (TS)</t>
  </si>
  <si>
    <t>719-15450</t>
  </si>
  <si>
    <t>Корпус ЩМП5 (1000x650x300) ip54</t>
  </si>
  <si>
    <t>Независимый расцепитель SHT-M1 A1 L для NXM-125(63)/NXMLE-125 AC230В (левый) (R)</t>
  </si>
  <si>
    <t>131363</t>
  </si>
  <si>
    <t>Авт. выкл. NXM-125S/3Р 125A 25кА (R)</t>
  </si>
  <si>
    <t>296708</t>
  </si>
  <si>
    <t>Авт. выкл. NXB-63S 1P 6А 4.5kA х-ка C (R)</t>
  </si>
  <si>
    <t>814012</t>
  </si>
  <si>
    <t>Авт. выкл. NXB-63 1P 6A 6кА х-ка C (R)</t>
  </si>
  <si>
    <t>814169</t>
  </si>
  <si>
    <t>Авт. выкл. NXB-63 3P 10A 6кА х-ка C (R)</t>
  </si>
  <si>
    <t>814170</t>
  </si>
  <si>
    <t>Авт. выкл. NXB-63 3P 16A 6кА х-ка C (R)</t>
  </si>
  <si>
    <t>814174</t>
  </si>
  <si>
    <t>Авт. выкл. NXB-63 3P 40A 6кА х-ка C (R)</t>
  </si>
  <si>
    <t>131361</t>
  </si>
  <si>
    <t>Авт. выкл. NXM-125S/3Р 80A 25кА (R)</t>
  </si>
  <si>
    <t>Авт. выкл. NXB-125 3P 80A 10кА х-ка C (R)</t>
  </si>
  <si>
    <t>131362</t>
  </si>
  <si>
    <t>Авт. выкл. NXM-125S/3Р 100A 25кА (R)</t>
  </si>
  <si>
    <t>814175</t>
  </si>
  <si>
    <t>Авт. выкл. NXB-63 3P 50A 6кА х-ка C (R)</t>
  </si>
  <si>
    <t>515388</t>
  </si>
  <si>
    <t>Диф. авт. выкл. NXBLE-63YH 1P+N C20 30mA тип A, 6kA (R)</t>
  </si>
  <si>
    <t>pys</t>
  </si>
  <si>
    <t>teksan f</t>
  </si>
  <si>
    <t>CHINT bs</t>
  </si>
  <si>
    <t>TEKSAN</t>
  </si>
  <si>
    <t>Malzeme</t>
  </si>
  <si>
    <t>Kod</t>
  </si>
  <si>
    <t>Açıklama ve Teknik Özellikler</t>
  </si>
  <si>
    <t>Fiyat</t>
  </si>
  <si>
    <t>Toplam Fiyat</t>
  </si>
  <si>
    <t>Üretici Firma</t>
  </si>
  <si>
    <t>РУСМ5411-1874УХЛ2</t>
  </si>
  <si>
    <t>Ящик управления задвижкой, 380В, reversif motor kumanda, IP54, комплект</t>
  </si>
  <si>
    <t>Автомат защиты двигателя / MKS</t>
  </si>
  <si>
    <t>NS2-25 0.4-0.63A</t>
  </si>
  <si>
    <t>Motor koruma şalteri, 3P, 0.4-0.63A, QF1 için</t>
  </si>
  <si>
    <t>Пускатель магнитный / контактор</t>
  </si>
  <si>
    <t>NC1-0910 AC230V</t>
  </si>
  <si>
    <t>Kontaktör, 9A, 1NO, bobin 230V AC, KM1/KM2</t>
  </si>
  <si>
    <t>Механическая блокировка</t>
  </si>
  <si>
    <t>NC1M09-32</t>
  </si>
  <si>
    <t>İki kontaktör arası mekanik kilit, reversif çalışma için</t>
  </si>
  <si>
    <t>Реле электротепловое</t>
  </si>
  <si>
    <t>NR2-11.5 0.4-0.63A</t>
  </si>
  <si>
    <t>Termik röle, KK1, motor aşırı yük koruması</t>
  </si>
  <si>
    <t>Переключатель универсальный</t>
  </si>
  <si>
    <t>NP2-BD33 / NP2-ED33</t>
  </si>
  <si>
    <t>SA1, 3 pozisyonlu seçici anahtar, местн / 0 / авт</t>
  </si>
  <si>
    <t>Кнопка, толкатель красный</t>
  </si>
  <si>
    <t>NP2-BA42</t>
  </si>
  <si>
    <t>Ф22 kırmızı buton, SB1</t>
  </si>
  <si>
    <t>Кнопка, толкатель серый / черный</t>
  </si>
  <si>
    <t>NP2-BA31</t>
  </si>
  <si>
    <t>Ф22 gri/siyah buton, SB2</t>
  </si>
  <si>
    <t>Арматура светосигнальная</t>
  </si>
  <si>
    <t>ND16-22DS/230V</t>
  </si>
  <si>
    <t>230V LED sinyal lambası, HLR1/HLR2</t>
  </si>
  <si>
    <t>Выключатель конечный</t>
  </si>
  <si>
    <t>SQ</t>
  </si>
  <si>
    <t>Limit switch, SQ1/SQ2/SQ3/SQ4; genelde zadvijka üzerinde gelir</t>
  </si>
  <si>
    <t>CHINT / muadil</t>
  </si>
  <si>
    <t>Пост управления с одной кнопкой</t>
  </si>
  <si>
    <t>ПКЕ-212/1 / NP2 box 1 button</t>
  </si>
  <si>
    <t>Harici tek butonlu kumanda postu, ПК1-SB…ПК3-SB</t>
  </si>
  <si>
    <t>CHINT / IEK muadil</t>
  </si>
  <si>
    <t>Клемма проходная 2.5 мм²</t>
  </si>
  <si>
    <t>CTS 2.5 / PYK 2.5</t>
  </si>
  <si>
    <t>X1/X2 klemens grubu için geçiş klemensi</t>
  </si>
  <si>
    <t>Klemsan / Onka</t>
  </si>
  <si>
    <t>Клемма PE 2.5 мм²</t>
  </si>
  <si>
    <t>CTS 2.5 PE</t>
  </si>
  <si>
    <t>Topraklama klemensi</t>
  </si>
  <si>
    <t>DIN рейка</t>
  </si>
  <si>
    <t>TH35</t>
  </si>
  <si>
    <t>DIN ray, pano içi montaj</t>
  </si>
  <si>
    <t>EKT / Onka</t>
  </si>
  <si>
    <t>м</t>
  </si>
  <si>
    <t>Кабельный канал</t>
  </si>
  <si>
    <t>25x40 / 40x40</t>
  </si>
  <si>
    <t>Pano içi kablo kanalı</t>
  </si>
  <si>
    <t>EKT</t>
  </si>
  <si>
    <t>Наконечники, маркировка, перемычки</t>
  </si>
  <si>
    <t>Kablo ucu, markalama, köprüleme, küçük sarf</t>
  </si>
  <si>
    <t>Onka / Klemsan / EKT</t>
  </si>
  <si>
    <t>Корпус металлический IP54</t>
  </si>
  <si>
    <t>TEKSAN 400x300x220 / muadil</t>
  </si>
  <si>
    <t>Duvar tipi metal korpus, montaj plakalı, IP54</t>
  </si>
  <si>
    <t>Montaj malzemesi</t>
  </si>
  <si>
    <t>EKT / Onka / Klemsan</t>
  </si>
  <si>
    <t>Pano montaj işçiliği ve test</t>
  </si>
  <si>
    <t>Панель</t>
  </si>
  <si>
    <t>Группа</t>
  </si>
  <si>
    <t>Тип / тех.значение</t>
  </si>
  <si>
    <t>Код</t>
  </si>
  <si>
    <t>Наименование</t>
  </si>
  <si>
    <t>Кол-во</t>
  </si>
  <si>
    <t>Ед.изм</t>
  </si>
  <si>
    <t>Производитель</t>
  </si>
  <si>
    <t>Примечание</t>
  </si>
  <si>
    <t>external</t>
  </si>
  <si>
    <t>Выключатель конечный задвижки</t>
  </si>
  <si>
    <t>Комплект задвижки / поставщик</t>
  </si>
  <si>
    <t>Genelde zadvijka üzerinde gelir, ayrıca alınacaksa eklenir</t>
  </si>
  <si>
    <t>ПКЕ-212/1</t>
  </si>
  <si>
    <t>IEK/CHINT muadil</t>
  </si>
  <si>
    <t>Spesifikasyonda 2 adet; şemada ПК1-SB...ПК3-SB yazdığı için adet kontrol edilmeli</t>
  </si>
  <si>
    <t>cable</t>
  </si>
  <si>
    <t>ВВГнг 5х2,5</t>
  </si>
  <si>
    <t>Кабель к эл. двигателю задвижки</t>
  </si>
  <si>
    <t>Panel dışı saha kablosu</t>
  </si>
  <si>
    <t>ВВГнг 2х1,5</t>
  </si>
  <si>
    <t>Кабель к кнопкам SB1-SB2</t>
  </si>
  <si>
    <t>221033</t>
  </si>
  <si>
    <t>Контактор NC1-0910 9А 230В/АС3 1НО 50Гц (R)</t>
  </si>
  <si>
    <t>257022</t>
  </si>
  <si>
    <t>Приставка доп.контакты F4-11 к контактору NC1 и NC2 (R)</t>
  </si>
  <si>
    <t>593075</t>
  </si>
  <si>
    <t>Индикатор ND16-22D/2 красный AC/DC230В (R)</t>
  </si>
  <si>
    <t>573763</t>
  </si>
  <si>
    <t>Кнопка управления NP2-BA35 без подсветки зеленая, 1НЗ +1НО IP40</t>
  </si>
  <si>
    <t>837100</t>
  </si>
  <si>
    <t>Тепловое реле NXR-12 2.5-4A (R)</t>
  </si>
  <si>
    <t>296704</t>
  </si>
  <si>
    <t>Авт. выкл. NXB-63S 1P C1А 4.5kA х-ка C (R)</t>
  </si>
  <si>
    <t>573764</t>
  </si>
  <si>
    <t>Кнопка управления NP2-BA45 без подсветки красная, 1НЗ +1НО IP40</t>
  </si>
  <si>
    <t>256717</t>
  </si>
  <si>
    <t>Механическая блокировка MI-5 для NC1-09-32, NXC-09-38 (R)</t>
  </si>
  <si>
    <t>296838</t>
  </si>
  <si>
    <t>Авт. выкл. NXB-63S 3P 6А 4.5kA х-ка D (R)</t>
  </si>
  <si>
    <t>kontaktor</t>
  </si>
  <si>
    <t>dop kontaktor</t>
  </si>
  <si>
    <t>sinyal lamb</t>
  </si>
  <si>
    <t>buttom</t>
  </si>
  <si>
    <t>teplo rele</t>
  </si>
  <si>
    <t>mech blok</t>
  </si>
  <si>
    <t>719-15425</t>
  </si>
  <si>
    <t>Мет.Корпус ЩМП-2 (500x400x220)  IP54</t>
  </si>
  <si>
    <t>Toplam ГРЩ</t>
  </si>
  <si>
    <t>Toplam ЩР1</t>
  </si>
  <si>
    <t>Toplam ЩВ1</t>
  </si>
  <si>
    <t>Toplam ЩУз</t>
  </si>
  <si>
    <t>Toplam Источник бесперебойного питания SVC GT33-10KVA</t>
  </si>
  <si>
    <t>Toplam Пост управления с одной кнопкой ПКЕ-212/1</t>
  </si>
  <si>
    <t>Genel Toplam</t>
  </si>
  <si>
    <t xml:space="preserve">malz </t>
  </si>
  <si>
    <t>ЩУз (РУСМ5411-1874УХЛ2)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</si>
</sst>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8"/>
      <name val="Carlito"/>
    </font>
    <font>
      <sz val="11"/>
      <color theme="1"/>
      <name val="Carlito"/>
    </font>
    <font>
      <b/>
      <sz val="11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FFCC6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5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tinalma_Ozet_Table" displayName="Satinalma_Ozet_Table" ref="A1:I29">
  <tableColumns count="9">
    <tableColumn id="1" xr3:uid="{00000000-0010-0000-0100-000001000000}" name="Kategori"/>
    <tableColumn id="2" xr3:uid="{00000000-0010-0000-0100-000002000000}" name="Ürün Kodu"/>
    <tableColumn id="3" xr3:uid="{00000000-0010-0000-0100-000003000000}" name="Ürün İsmi / Açıklama"/>
    <tableColumn id="4" xr3:uid="{00000000-0010-0000-0100-000004000000}" name="Teknik Özellik"/>
    <tableColumn id="5" xr3:uid="{00000000-0010-0000-0100-000005000000}" name="Toplam Miktar"/>
    <tableColumn id="6" xr3:uid="{00000000-0010-0000-0100-000006000000}" name="Birim"/>
    <tableColumn id="7" xr3:uid="{00000000-0010-0000-0100-000007000000}" name="Marka/Tedarikçi"/>
    <tableColumn id="8" xr3:uid="{00000000-0010-0000-0100-000008000000}" name="Panolar"/>
    <tableColumn id="9" xr3:uid="{00000000-0010-0000-0100-000009000000}" name="N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49"/>
  <sheetViews>
    <sheetView topLeftCell="I1" zoomScale="130" zoomScaleNormal="130" workbookViewId="0">
      <pane ySplit="1" topLeftCell="A2" activePane="bottomLeft" state="frozen"/>
      <selection pane="bottomLeft" activeCell="C1" sqref="C1:O48"/>
    </sheetView>
  </sheetViews>
  <sheetFormatPr defaultRowHeight="30" customHeight="1" outlineLevelRow="2"/>
  <cols>
    <col min="1" max="1" width="9.125" style="5" customWidth="1"/>
    <col min="2" max="2" width="10.25" style="5" customWidth="1"/>
    <col min="3" max="3" width="14" style="4" customWidth="1"/>
    <col min="4" max="4" width="34.625" style="4" customWidth="1"/>
    <col min="5" max="7" width="11.875" style="4" customWidth="1"/>
    <col min="8" max="8" width="33.5" style="4" customWidth="1"/>
    <col min="12" max="12" width="10" style="5" customWidth="1"/>
    <col min="13" max="13" width="29" style="5" customWidth="1"/>
    <col min="14" max="14" width="24" style="5" customWidth="1"/>
    <col min="15" max="15" width="18" style="4" customWidth="1"/>
    <col min="16" max="16" width="42" style="4" customWidth="1"/>
    <col min="17" max="17" width="14" style="4" customWidth="1"/>
    <col min="18" max="16384" width="9" style="4"/>
  </cols>
  <sheetData>
    <row r="1" spans="1:15" s="5" customFormat="1" ht="51" customHeight="1">
      <c r="A1" s="10" t="s">
        <v>0</v>
      </c>
      <c r="B1" s="10" t="s">
        <v>1</v>
      </c>
      <c r="C1" s="10" t="s">
        <v>141</v>
      </c>
      <c r="D1" s="10" t="s">
        <v>140</v>
      </c>
      <c r="E1" s="10" t="s">
        <v>133</v>
      </c>
      <c r="F1" s="10" t="s">
        <v>134</v>
      </c>
      <c r="G1" s="10" t="s">
        <v>135</v>
      </c>
      <c r="H1" s="10" t="s">
        <v>139</v>
      </c>
      <c r="I1" s="10" t="s">
        <v>136</v>
      </c>
      <c r="J1" s="10" t="s">
        <v>137</v>
      </c>
      <c r="K1" s="10" t="s">
        <v>138</v>
      </c>
      <c r="L1" s="10" t="s">
        <v>8</v>
      </c>
      <c r="M1" s="10" t="s">
        <v>9</v>
      </c>
      <c r="N1" s="11" t="s">
        <v>10</v>
      </c>
      <c r="O1" s="5" t="s">
        <v>296</v>
      </c>
    </row>
    <row r="2" spans="1:15" s="5" customFormat="1" ht="30" customHeight="1" outlineLevel="2">
      <c r="A2" s="12" t="s">
        <v>11</v>
      </c>
      <c r="B2" s="12" t="s">
        <v>12</v>
      </c>
      <c r="C2" s="12"/>
      <c r="D2" s="12" t="s">
        <v>13</v>
      </c>
      <c r="E2" s="12"/>
      <c r="F2" s="12"/>
      <c r="G2" s="12"/>
      <c r="H2" s="12" t="s">
        <v>14</v>
      </c>
      <c r="I2" s="12">
        <v>1</v>
      </c>
      <c r="J2" s="12" t="s">
        <v>15</v>
      </c>
      <c r="K2" s="12" t="s">
        <v>175</v>
      </c>
      <c r="L2" s="12" t="s">
        <v>17</v>
      </c>
      <c r="M2" s="12" t="s">
        <v>18</v>
      </c>
      <c r="N2" s="13"/>
    </row>
    <row r="3" spans="1:15" ht="30" hidden="1" customHeight="1" outlineLevel="2">
      <c r="A3" s="14" t="s">
        <v>11</v>
      </c>
      <c r="B3" s="14" t="s">
        <v>19</v>
      </c>
      <c r="C3" s="15" t="s">
        <v>148</v>
      </c>
      <c r="D3" s="15" t="s">
        <v>149</v>
      </c>
      <c r="E3" s="15">
        <v>42500</v>
      </c>
      <c r="F3" s="15">
        <f>E3*0.6</f>
        <v>25500</v>
      </c>
      <c r="G3" s="15">
        <f>BOM_CHINT!$F3*BOM_CHINT!$I3</f>
        <v>25500</v>
      </c>
      <c r="H3" s="15" t="s">
        <v>21</v>
      </c>
      <c r="I3" s="14">
        <v>1</v>
      </c>
      <c r="J3" s="14" t="s">
        <v>22</v>
      </c>
      <c r="K3" s="14" t="s">
        <v>173</v>
      </c>
      <c r="L3" s="15" t="s">
        <v>24</v>
      </c>
      <c r="M3" s="15" t="s">
        <v>25</v>
      </c>
      <c r="N3" s="16"/>
      <c r="O3" s="4">
        <v>25500</v>
      </c>
    </row>
    <row r="4" spans="1:15" ht="30" hidden="1" customHeight="1" outlineLevel="2">
      <c r="A4" s="17" t="s">
        <v>11</v>
      </c>
      <c r="B4" s="17" t="s">
        <v>26</v>
      </c>
      <c r="C4" s="18" t="s">
        <v>151</v>
      </c>
      <c r="D4" s="18" t="s">
        <v>152</v>
      </c>
      <c r="E4" s="18">
        <v>19760</v>
      </c>
      <c r="F4" s="18">
        <f>0.6*BOM_CHINT!$E4</f>
        <v>11856</v>
      </c>
      <c r="G4" s="18">
        <f>BOM_CHINT!$F4*BOM_CHINT!$I4</f>
        <v>11856</v>
      </c>
      <c r="H4" s="18" t="s">
        <v>28</v>
      </c>
      <c r="I4" s="17">
        <v>1</v>
      </c>
      <c r="J4" s="17" t="s">
        <v>22</v>
      </c>
      <c r="K4" s="17" t="s">
        <v>29</v>
      </c>
      <c r="L4" s="18" t="s">
        <v>17</v>
      </c>
      <c r="M4" s="18" t="s">
        <v>30</v>
      </c>
      <c r="N4" s="19"/>
      <c r="O4" s="4">
        <v>11856</v>
      </c>
    </row>
    <row r="5" spans="1:15" ht="30" hidden="1" customHeight="1" outlineLevel="2">
      <c r="A5" s="14" t="s">
        <v>11</v>
      </c>
      <c r="B5" s="14" t="s">
        <v>31</v>
      </c>
      <c r="C5" s="15" t="s">
        <v>166</v>
      </c>
      <c r="D5" s="15" t="s">
        <v>167</v>
      </c>
      <c r="E5" s="15">
        <v>19443</v>
      </c>
      <c r="F5" s="18">
        <f>0.6*BOM_CHINT!$E5</f>
        <v>11665.8</v>
      </c>
      <c r="G5" s="15">
        <f>BOM_CHINT!$F5*BOM_CHINT!$I5</f>
        <v>11665.8</v>
      </c>
      <c r="H5" s="15" t="s">
        <v>33</v>
      </c>
      <c r="I5" s="14">
        <v>1</v>
      </c>
      <c r="J5" s="14" t="s">
        <v>22</v>
      </c>
      <c r="K5" s="14" t="s">
        <v>29</v>
      </c>
      <c r="L5" s="15" t="s">
        <v>17</v>
      </c>
      <c r="M5" s="15" t="s">
        <v>34</v>
      </c>
      <c r="N5" s="16">
        <v>4.5</v>
      </c>
      <c r="O5" s="4">
        <v>11665.8</v>
      </c>
    </row>
    <row r="6" spans="1:15" ht="30" hidden="1" customHeight="1" outlineLevel="2">
      <c r="A6" s="17" t="s">
        <v>11</v>
      </c>
      <c r="B6" s="17" t="s">
        <v>31</v>
      </c>
      <c r="C6" s="18" t="s">
        <v>168</v>
      </c>
      <c r="D6" s="18" t="s">
        <v>169</v>
      </c>
      <c r="E6" s="18">
        <v>5719</v>
      </c>
      <c r="F6" s="18">
        <f>0.6*BOM_CHINT!$E6</f>
        <v>3431.4</v>
      </c>
      <c r="G6" s="18">
        <f>BOM_CHINT!$F6*BOM_CHINT!$I6</f>
        <v>3431.4</v>
      </c>
      <c r="H6" s="18" t="s">
        <v>36</v>
      </c>
      <c r="I6" s="17">
        <v>1</v>
      </c>
      <c r="J6" s="17" t="s">
        <v>22</v>
      </c>
      <c r="K6" s="17" t="s">
        <v>29</v>
      </c>
      <c r="L6" s="18" t="s">
        <v>17</v>
      </c>
      <c r="M6" s="18" t="s">
        <v>37</v>
      </c>
      <c r="N6" s="19">
        <v>3</v>
      </c>
      <c r="O6" s="4">
        <v>3431.4</v>
      </c>
    </row>
    <row r="7" spans="1:15" ht="30" hidden="1" customHeight="1" outlineLevel="2">
      <c r="A7" s="14" t="s">
        <v>11</v>
      </c>
      <c r="B7" s="14" t="s">
        <v>31</v>
      </c>
      <c r="C7" s="15" t="s">
        <v>153</v>
      </c>
      <c r="D7" s="22" t="s">
        <v>154</v>
      </c>
      <c r="E7" s="15">
        <v>975</v>
      </c>
      <c r="F7" s="18">
        <f>0.6*BOM_CHINT!$E7</f>
        <v>585</v>
      </c>
      <c r="G7" s="15">
        <f>BOM_CHINT!$F7*BOM_CHINT!$I7</f>
        <v>585</v>
      </c>
      <c r="H7" s="15" t="s">
        <v>59</v>
      </c>
      <c r="I7" s="14">
        <v>1</v>
      </c>
      <c r="J7" s="14" t="s">
        <v>22</v>
      </c>
      <c r="K7" s="14" t="s">
        <v>29</v>
      </c>
      <c r="L7" s="15" t="s">
        <v>17</v>
      </c>
      <c r="M7" s="15"/>
      <c r="N7" s="16">
        <v>3</v>
      </c>
      <c r="O7" s="4">
        <v>585</v>
      </c>
    </row>
    <row r="8" spans="1:15" ht="30" hidden="1" customHeight="1" outlineLevel="2">
      <c r="A8" s="14" t="s">
        <v>11</v>
      </c>
      <c r="B8" s="14" t="s">
        <v>31</v>
      </c>
      <c r="C8" s="15" t="s">
        <v>159</v>
      </c>
      <c r="D8" s="15" t="s">
        <v>160</v>
      </c>
      <c r="E8" s="15">
        <v>5462</v>
      </c>
      <c r="F8" s="18">
        <f>0.6*BOM_CHINT!$E8</f>
        <v>3277.2</v>
      </c>
      <c r="G8" s="15">
        <f>BOM_CHINT!$F8*BOM_CHINT!$I8</f>
        <v>3277.2</v>
      </c>
      <c r="H8" s="15" t="s">
        <v>38</v>
      </c>
      <c r="I8" s="14">
        <v>1</v>
      </c>
      <c r="J8" s="14" t="s">
        <v>22</v>
      </c>
      <c r="K8" s="14" t="s">
        <v>29</v>
      </c>
      <c r="L8" s="15" t="s">
        <v>17</v>
      </c>
      <c r="M8" s="15" t="s">
        <v>39</v>
      </c>
      <c r="N8" s="16">
        <v>3</v>
      </c>
      <c r="O8" s="4">
        <v>3277.2</v>
      </c>
    </row>
    <row r="9" spans="1:15" ht="30" hidden="1" customHeight="1" outlineLevel="2">
      <c r="A9" s="17" t="s">
        <v>11</v>
      </c>
      <c r="B9" s="17" t="s">
        <v>40</v>
      </c>
      <c r="C9" s="18"/>
      <c r="D9" s="18" t="s">
        <v>41</v>
      </c>
      <c r="E9" s="18">
        <f ca="1">OFFSET(BOM_CHINT!$E9,1,2)</f>
        <v>24000</v>
      </c>
      <c r="F9" s="18">
        <f ca="1">BOM_CHINT!$E9</f>
        <v>24000</v>
      </c>
      <c r="G9" s="18">
        <f ca="1">BOM_CHINT!$F9*BOM_CHINT!$I9</f>
        <v>24000</v>
      </c>
      <c r="H9" s="18" t="s">
        <v>42</v>
      </c>
      <c r="I9" s="17">
        <v>1</v>
      </c>
      <c r="J9" s="17" t="s">
        <v>22</v>
      </c>
      <c r="K9" s="17" t="s">
        <v>172</v>
      </c>
      <c r="L9" s="18" t="s">
        <v>16</v>
      </c>
      <c r="M9" s="18" t="s">
        <v>44</v>
      </c>
      <c r="N9" s="19"/>
      <c r="O9" s="4">
        <v>24000</v>
      </c>
    </row>
    <row r="10" spans="1:15" ht="30" hidden="1" customHeight="1" outlineLevel="2">
      <c r="A10" s="14" t="s">
        <v>11</v>
      </c>
      <c r="B10" s="14" t="s">
        <v>45</v>
      </c>
      <c r="C10" s="15"/>
      <c r="D10" s="15" t="s">
        <v>46</v>
      </c>
      <c r="E10" s="15">
        <v>4</v>
      </c>
      <c r="F10" s="15">
        <v>100</v>
      </c>
      <c r="G10" s="15">
        <f>BOM_CHINT!$F10*BOM_CHINT!$I10</f>
        <v>24000</v>
      </c>
      <c r="H10" s="15" t="s">
        <v>47</v>
      </c>
      <c r="I10" s="14">
        <f>60*BOM_CHINT!$E10</f>
        <v>240</v>
      </c>
      <c r="J10" s="14" t="s">
        <v>45</v>
      </c>
      <c r="K10" s="14" t="s">
        <v>48</v>
      </c>
      <c r="L10" s="15" t="s">
        <v>16</v>
      </c>
      <c r="M10" s="15"/>
      <c r="N10" s="16"/>
      <c r="O10" s="4">
        <v>24000</v>
      </c>
    </row>
    <row r="11" spans="1:15" ht="30" customHeight="1" outlineLevel="1">
      <c r="A11" s="23" t="s">
        <v>289</v>
      </c>
      <c r="B11" s="14"/>
      <c r="C11" s="15"/>
      <c r="D11" s="15"/>
      <c r="E11" s="15"/>
      <c r="F11" s="15"/>
      <c r="G11" s="15">
        <f>SUBTOTAL(9,G2:G10)</f>
        <v>0</v>
      </c>
      <c r="H11" s="15"/>
      <c r="I11" s="14"/>
      <c r="J11" s="14"/>
      <c r="K11" s="14"/>
      <c r="L11" s="15"/>
      <c r="M11" s="15"/>
      <c r="N11" s="16"/>
      <c r="O11" s="4">
        <v>104315.4</v>
      </c>
    </row>
    <row r="12" spans="1:15" s="5" customFormat="1" ht="30" customHeight="1" outlineLevel="2">
      <c r="A12" s="12" t="s">
        <v>49</v>
      </c>
      <c r="B12" s="12" t="s">
        <v>12</v>
      </c>
      <c r="C12" s="12"/>
      <c r="D12" s="12" t="s">
        <v>50</v>
      </c>
      <c r="E12" s="12"/>
      <c r="F12" s="12"/>
      <c r="G12" s="12"/>
      <c r="H12" s="12" t="s">
        <v>51</v>
      </c>
      <c r="I12" s="12">
        <v>1</v>
      </c>
      <c r="J12" s="12" t="s">
        <v>15</v>
      </c>
      <c r="K12" s="12" t="s">
        <v>175</v>
      </c>
      <c r="L12" s="12" t="s">
        <v>52</v>
      </c>
      <c r="M12" s="12" t="s">
        <v>18</v>
      </c>
      <c r="N12" s="13"/>
    </row>
    <row r="13" spans="1:15" ht="30" hidden="1" customHeight="1" outlineLevel="2">
      <c r="A13" s="14" t="s">
        <v>49</v>
      </c>
      <c r="B13" s="14" t="s">
        <v>19</v>
      </c>
      <c r="C13" s="15" t="s">
        <v>146</v>
      </c>
      <c r="D13" s="15" t="s">
        <v>147</v>
      </c>
      <c r="E13" s="15">
        <v>18500</v>
      </c>
      <c r="F13" s="15">
        <f>E13*0.6</f>
        <v>11100</v>
      </c>
      <c r="G13" s="15">
        <f>BOM_CHINT!$F13*BOM_CHINT!$I13</f>
        <v>11100</v>
      </c>
      <c r="H13" s="15" t="s">
        <v>54</v>
      </c>
      <c r="I13" s="14">
        <v>1</v>
      </c>
      <c r="J13" s="14" t="s">
        <v>22</v>
      </c>
      <c r="K13" s="14" t="s">
        <v>173</v>
      </c>
      <c r="L13" s="15" t="s">
        <v>55</v>
      </c>
      <c r="M13" s="15" t="s">
        <v>56</v>
      </c>
      <c r="N13" s="16">
        <v>36</v>
      </c>
      <c r="O13" s="4">
        <v>11100</v>
      </c>
    </row>
    <row r="14" spans="1:15" ht="30" hidden="1" customHeight="1" outlineLevel="2">
      <c r="A14" s="17" t="s">
        <v>49</v>
      </c>
      <c r="B14" s="17" t="s">
        <v>31</v>
      </c>
      <c r="C14" s="18" t="s">
        <v>161</v>
      </c>
      <c r="D14" s="18" t="s">
        <v>162</v>
      </c>
      <c r="E14" s="18">
        <v>5647</v>
      </c>
      <c r="F14" s="18">
        <f>0.6*BOM_CHINT!$E14</f>
        <v>3388.2</v>
      </c>
      <c r="G14" s="18">
        <f>BOM_CHINT!$F14*BOM_CHINT!$I14</f>
        <v>3388.2</v>
      </c>
      <c r="H14" s="18" t="s">
        <v>57</v>
      </c>
      <c r="I14" s="17">
        <v>1</v>
      </c>
      <c r="J14" s="17" t="s">
        <v>22</v>
      </c>
      <c r="K14" s="17" t="s">
        <v>29</v>
      </c>
      <c r="L14" s="18" t="s">
        <v>55</v>
      </c>
      <c r="M14" s="18" t="s">
        <v>58</v>
      </c>
      <c r="N14" s="19">
        <v>3</v>
      </c>
      <c r="O14" s="4">
        <v>3388.2</v>
      </c>
    </row>
    <row r="15" spans="1:15" ht="30" hidden="1" customHeight="1" outlineLevel="2">
      <c r="A15" s="14" t="s">
        <v>49</v>
      </c>
      <c r="B15" s="14" t="s">
        <v>31</v>
      </c>
      <c r="C15" s="15" t="s">
        <v>153</v>
      </c>
      <c r="D15" s="15" t="s">
        <v>154</v>
      </c>
      <c r="E15" s="15">
        <v>975</v>
      </c>
      <c r="F15" s="18">
        <f>0.6*BOM_CHINT!$E15</f>
        <v>585</v>
      </c>
      <c r="G15" s="15">
        <f>BOM_CHINT!$F15*BOM_CHINT!$I15</f>
        <v>2925</v>
      </c>
      <c r="H15" s="15" t="s">
        <v>59</v>
      </c>
      <c r="I15" s="14">
        <v>5</v>
      </c>
      <c r="J15" s="14" t="s">
        <v>22</v>
      </c>
      <c r="K15" s="14" t="s">
        <v>29</v>
      </c>
      <c r="L15" s="15" t="s">
        <v>55</v>
      </c>
      <c r="M15" s="15" t="s">
        <v>60</v>
      </c>
      <c r="N15" s="16">
        <v>5</v>
      </c>
      <c r="O15" s="4">
        <v>2925</v>
      </c>
    </row>
    <row r="16" spans="1:15" ht="30" hidden="1" customHeight="1" outlineLevel="2">
      <c r="A16" s="17" t="s">
        <v>49</v>
      </c>
      <c r="B16" s="17" t="s">
        <v>61</v>
      </c>
      <c r="C16" s="18" t="s">
        <v>170</v>
      </c>
      <c r="D16" s="18" t="s">
        <v>171</v>
      </c>
      <c r="E16" s="18">
        <v>5632</v>
      </c>
      <c r="F16" s="18">
        <f>0.6*BOM_CHINT!$E16</f>
        <v>3379.2</v>
      </c>
      <c r="G16" s="18">
        <f>BOM_CHINT!$F16*BOM_CHINT!$I16</f>
        <v>10137.599999999999</v>
      </c>
      <c r="H16" s="18" t="s">
        <v>63</v>
      </c>
      <c r="I16" s="17">
        <v>3</v>
      </c>
      <c r="J16" s="17" t="s">
        <v>22</v>
      </c>
      <c r="K16" s="17" t="s">
        <v>29</v>
      </c>
      <c r="L16" s="18" t="s">
        <v>52</v>
      </c>
      <c r="M16" s="18" t="s">
        <v>64</v>
      </c>
      <c r="N16" s="19">
        <v>6</v>
      </c>
      <c r="O16" s="4">
        <v>10137.599999999999</v>
      </c>
    </row>
    <row r="17" spans="1:15" ht="30" hidden="1" customHeight="1" outlineLevel="2">
      <c r="A17" s="14" t="s">
        <v>49</v>
      </c>
      <c r="B17" s="14" t="s">
        <v>61</v>
      </c>
      <c r="C17" s="15" t="s">
        <v>144</v>
      </c>
      <c r="D17" s="15" t="s">
        <v>145</v>
      </c>
      <c r="E17" s="15">
        <v>5104</v>
      </c>
      <c r="F17" s="18">
        <f>0.6*BOM_CHINT!$E17</f>
        <v>3062.4</v>
      </c>
      <c r="G17" s="15">
        <f>BOM_CHINT!$F17*BOM_CHINT!$I17</f>
        <v>18374.400000000001</v>
      </c>
      <c r="H17" s="15" t="s">
        <v>65</v>
      </c>
      <c r="I17" s="14">
        <v>6</v>
      </c>
      <c r="J17" s="14" t="s">
        <v>22</v>
      </c>
      <c r="K17" s="14" t="s">
        <v>29</v>
      </c>
      <c r="L17" s="15" t="s">
        <v>52</v>
      </c>
      <c r="M17" s="15" t="s">
        <v>66</v>
      </c>
      <c r="N17" s="16">
        <v>12</v>
      </c>
      <c r="O17" s="4">
        <v>18374.400000000001</v>
      </c>
    </row>
    <row r="18" spans="1:15" ht="30" hidden="1" customHeight="1" outlineLevel="2">
      <c r="A18" s="17" t="s">
        <v>49</v>
      </c>
      <c r="B18" s="17" t="s">
        <v>40</v>
      </c>
      <c r="C18" s="18"/>
      <c r="D18" s="18" t="s">
        <v>41</v>
      </c>
      <c r="E18" s="18">
        <f ca="1">OFFSET(BOM_CHINT!$E18,1,2)</f>
        <v>15000</v>
      </c>
      <c r="F18" s="18">
        <f ca="1">BOM_CHINT!$E18</f>
        <v>15000</v>
      </c>
      <c r="G18" s="18">
        <f ca="1">BOM_CHINT!$F18*BOM_CHINT!$I18</f>
        <v>15000</v>
      </c>
      <c r="H18" s="18" t="s">
        <v>67</v>
      </c>
      <c r="I18" s="17">
        <v>1</v>
      </c>
      <c r="J18" s="17" t="s">
        <v>22</v>
      </c>
      <c r="K18" s="17" t="s">
        <v>172</v>
      </c>
      <c r="L18" s="18" t="s">
        <v>16</v>
      </c>
      <c r="M18" s="18" t="s">
        <v>44</v>
      </c>
      <c r="N18" s="19"/>
      <c r="O18" s="4">
        <v>15000</v>
      </c>
    </row>
    <row r="19" spans="1:15" ht="30" hidden="1" customHeight="1" outlineLevel="2">
      <c r="A19" s="14" t="s">
        <v>49</v>
      </c>
      <c r="B19" s="14" t="s">
        <v>45</v>
      </c>
      <c r="C19" s="15"/>
      <c r="D19" s="15" t="s">
        <v>46</v>
      </c>
      <c r="E19" s="15">
        <v>2.5</v>
      </c>
      <c r="F19" s="15">
        <v>100</v>
      </c>
      <c r="G19" s="15">
        <f>BOM_CHINT!$F19*BOM_CHINT!$I19</f>
        <v>15000</v>
      </c>
      <c r="H19" s="15" t="s">
        <v>68</v>
      </c>
      <c r="I19" s="14">
        <f>60*BOM_CHINT!$E19</f>
        <v>150</v>
      </c>
      <c r="J19" s="14" t="s">
        <v>45</v>
      </c>
      <c r="K19" s="14" t="s">
        <v>48</v>
      </c>
      <c r="L19" s="15" t="s">
        <v>16</v>
      </c>
      <c r="M19" s="15"/>
      <c r="N19" s="16"/>
      <c r="O19" s="4">
        <v>15000</v>
      </c>
    </row>
    <row r="20" spans="1:15" ht="30" customHeight="1" outlineLevel="1">
      <c r="A20" s="23" t="s">
        <v>290</v>
      </c>
      <c r="B20" s="14"/>
      <c r="C20" s="15"/>
      <c r="D20" s="15"/>
      <c r="E20" s="15"/>
      <c r="F20" s="15"/>
      <c r="G20" s="15">
        <f>SUBTOTAL(9,G12:G19)</f>
        <v>0</v>
      </c>
      <c r="H20" s="15"/>
      <c r="I20" s="14"/>
      <c r="J20" s="14"/>
      <c r="K20" s="14"/>
      <c r="L20" s="15"/>
      <c r="M20" s="15"/>
      <c r="N20" s="16"/>
      <c r="O20" s="4">
        <v>75925.2</v>
      </c>
    </row>
    <row r="21" spans="1:15" s="5" customFormat="1" ht="30" customHeight="1" outlineLevel="2">
      <c r="A21" s="12" t="s">
        <v>69</v>
      </c>
      <c r="B21" s="12" t="s">
        <v>12</v>
      </c>
      <c r="C21" s="12"/>
      <c r="D21" s="12" t="s">
        <v>70</v>
      </c>
      <c r="E21" s="12"/>
      <c r="F21" s="12"/>
      <c r="G21" s="12"/>
      <c r="H21" s="12" t="s">
        <v>71</v>
      </c>
      <c r="I21" s="12">
        <v>1</v>
      </c>
      <c r="J21" s="12" t="s">
        <v>15</v>
      </c>
      <c r="K21" s="12" t="s">
        <v>175</v>
      </c>
      <c r="L21" s="12" t="s">
        <v>72</v>
      </c>
      <c r="M21" s="12" t="s">
        <v>18</v>
      </c>
      <c r="N21" s="13"/>
    </row>
    <row r="22" spans="1:15" ht="30" hidden="1" customHeight="1" outlineLevel="2">
      <c r="A22" s="14" t="s">
        <v>69</v>
      </c>
      <c r="B22" s="14" t="s">
        <v>19</v>
      </c>
      <c r="C22" s="15" t="s">
        <v>148</v>
      </c>
      <c r="D22" s="15" t="s">
        <v>149</v>
      </c>
      <c r="E22" s="15">
        <v>42500</v>
      </c>
      <c r="F22" s="15">
        <f>E22*0.6</f>
        <v>25500</v>
      </c>
      <c r="G22" s="15">
        <f>BOM_CHINT!$F22*BOM_CHINT!$I22</f>
        <v>25500</v>
      </c>
      <c r="H22" s="15" t="s">
        <v>74</v>
      </c>
      <c r="I22" s="14">
        <v>1</v>
      </c>
      <c r="J22" s="14" t="s">
        <v>22</v>
      </c>
      <c r="K22" s="14" t="s">
        <v>173</v>
      </c>
      <c r="L22" s="15" t="s">
        <v>72</v>
      </c>
      <c r="M22" s="15" t="s">
        <v>75</v>
      </c>
      <c r="N22" s="16"/>
      <c r="O22" s="4">
        <v>25500</v>
      </c>
    </row>
    <row r="23" spans="1:15" ht="30" hidden="1" customHeight="1" outlineLevel="2">
      <c r="A23" s="17" t="s">
        <v>69</v>
      </c>
      <c r="B23" s="17" t="s">
        <v>31</v>
      </c>
      <c r="C23" s="18" t="s">
        <v>163</v>
      </c>
      <c r="D23" s="18" t="s">
        <v>164</v>
      </c>
      <c r="E23" s="18">
        <v>19418</v>
      </c>
      <c r="F23" s="18">
        <f>0.6*BOM_CHINT!$E23</f>
        <v>11650.8</v>
      </c>
      <c r="G23" s="18">
        <f>BOM_CHINT!$F23*BOM_CHINT!$I23</f>
        <v>11650.8</v>
      </c>
      <c r="H23" s="18" t="s">
        <v>78</v>
      </c>
      <c r="I23" s="17">
        <v>1</v>
      </c>
      <c r="J23" s="17" t="s">
        <v>22</v>
      </c>
      <c r="K23" s="17" t="s">
        <v>29</v>
      </c>
      <c r="L23" s="18" t="s">
        <v>72</v>
      </c>
      <c r="M23" s="18" t="s">
        <v>79</v>
      </c>
      <c r="N23" s="19">
        <v>4.5</v>
      </c>
      <c r="O23" s="4">
        <v>11650.8</v>
      </c>
    </row>
    <row r="24" spans="1:15" ht="30" hidden="1" customHeight="1" outlineLevel="2">
      <c r="A24" s="14" t="s">
        <v>69</v>
      </c>
      <c r="B24" s="14" t="s">
        <v>26</v>
      </c>
      <c r="C24" s="15" t="s">
        <v>76</v>
      </c>
      <c r="D24" s="15" t="s">
        <v>165</v>
      </c>
      <c r="E24" s="15">
        <v>10949</v>
      </c>
      <c r="F24" s="18">
        <f>0.6*BOM_CHINT!$E24</f>
        <v>6569.4</v>
      </c>
      <c r="G24" s="15">
        <f>BOM_CHINT!$F24*BOM_CHINT!$I24</f>
        <v>6569.4</v>
      </c>
      <c r="H24" s="15" t="s">
        <v>80</v>
      </c>
      <c r="I24" s="14">
        <v>1</v>
      </c>
      <c r="J24" s="14" t="s">
        <v>22</v>
      </c>
      <c r="K24" s="14" t="s">
        <v>29</v>
      </c>
      <c r="L24" s="15" t="s">
        <v>72</v>
      </c>
      <c r="M24" s="15" t="s">
        <v>81</v>
      </c>
      <c r="N24" s="16">
        <v>4.5</v>
      </c>
      <c r="O24" s="4">
        <v>6569.4</v>
      </c>
    </row>
    <row r="25" spans="1:15" ht="30" hidden="1" customHeight="1" outlineLevel="2">
      <c r="A25" s="17" t="s">
        <v>69</v>
      </c>
      <c r="B25" s="17" t="s">
        <v>142</v>
      </c>
      <c r="C25" s="18">
        <v>946996</v>
      </c>
      <c r="D25" s="18" t="s">
        <v>150</v>
      </c>
      <c r="E25" s="18">
        <v>10000</v>
      </c>
      <c r="F25" s="18">
        <f>E25</f>
        <v>10000</v>
      </c>
      <c r="G25" s="18">
        <f>BOM_CHINT!$F25*BOM_CHINT!$I25</f>
        <v>10000</v>
      </c>
      <c r="H25" s="18" t="s">
        <v>84</v>
      </c>
      <c r="I25" s="17">
        <v>1</v>
      </c>
      <c r="J25" s="17" t="s">
        <v>22</v>
      </c>
      <c r="K25" s="17" t="s">
        <v>174</v>
      </c>
      <c r="L25" s="18" t="s">
        <v>72</v>
      </c>
      <c r="M25" s="18" t="s">
        <v>85</v>
      </c>
      <c r="N25" s="19">
        <v>1</v>
      </c>
      <c r="O25" s="4">
        <v>10000</v>
      </c>
    </row>
    <row r="26" spans="1:15" ht="30" hidden="1" customHeight="1" outlineLevel="2">
      <c r="A26" s="14" t="s">
        <v>69</v>
      </c>
      <c r="B26" s="14" t="s">
        <v>31</v>
      </c>
      <c r="C26" s="15" t="s">
        <v>157</v>
      </c>
      <c r="D26" s="15" t="s">
        <v>158</v>
      </c>
      <c r="E26" s="15">
        <v>5878</v>
      </c>
      <c r="F26" s="18">
        <f>0.6*BOM_CHINT!$E26</f>
        <v>3526.7999999999997</v>
      </c>
      <c r="G26" s="15">
        <f>BOM_CHINT!$F26*BOM_CHINT!$I26</f>
        <v>7053.5999999999995</v>
      </c>
      <c r="H26" s="15" t="s">
        <v>86</v>
      </c>
      <c r="I26" s="14">
        <v>2</v>
      </c>
      <c r="J26" s="14" t="s">
        <v>22</v>
      </c>
      <c r="K26" s="14" t="s">
        <v>29</v>
      </c>
      <c r="L26" s="15" t="s">
        <v>72</v>
      </c>
      <c r="M26" s="15" t="s">
        <v>87</v>
      </c>
      <c r="N26" s="16">
        <v>6</v>
      </c>
      <c r="O26" s="4">
        <v>7053.5999999999995</v>
      </c>
    </row>
    <row r="27" spans="1:15" ht="30" hidden="1" customHeight="1" outlineLevel="2">
      <c r="A27" s="17" t="s">
        <v>69</v>
      </c>
      <c r="B27" s="17" t="s">
        <v>31</v>
      </c>
      <c r="C27" s="18" t="s">
        <v>155</v>
      </c>
      <c r="D27" s="18" t="s">
        <v>156</v>
      </c>
      <c r="E27" s="18">
        <v>1436</v>
      </c>
      <c r="F27" s="18">
        <f>0.6*BOM_CHINT!$E27</f>
        <v>861.6</v>
      </c>
      <c r="G27" s="18">
        <f>BOM_CHINT!$F27*BOM_CHINT!$I27</f>
        <v>861.6</v>
      </c>
      <c r="H27" s="18" t="s">
        <v>59</v>
      </c>
      <c r="I27" s="17">
        <v>1</v>
      </c>
      <c r="J27" s="17" t="s">
        <v>22</v>
      </c>
      <c r="K27" s="17" t="s">
        <v>29</v>
      </c>
      <c r="L27" s="18" t="s">
        <v>72</v>
      </c>
      <c r="M27" s="18" t="s">
        <v>88</v>
      </c>
      <c r="N27" s="19">
        <v>1</v>
      </c>
      <c r="O27" s="4">
        <v>861.6</v>
      </c>
    </row>
    <row r="28" spans="1:15" ht="30" hidden="1" customHeight="1" outlineLevel="2">
      <c r="A28" s="14" t="s">
        <v>69</v>
      </c>
      <c r="B28" s="14" t="s">
        <v>40</v>
      </c>
      <c r="C28" s="15"/>
      <c r="D28" s="15" t="s">
        <v>41</v>
      </c>
      <c r="E28" s="15">
        <f ca="1">OFFSET(BOM_CHINT!$E28,1,2)</f>
        <v>18000</v>
      </c>
      <c r="F28" s="15">
        <f ca="1">BOM_CHINT!$E28</f>
        <v>18000</v>
      </c>
      <c r="G28" s="15">
        <f ca="1">BOM_CHINT!$F28*BOM_CHINT!$I28</f>
        <v>18000</v>
      </c>
      <c r="H28" s="15" t="s">
        <v>67</v>
      </c>
      <c r="I28" s="14">
        <v>1</v>
      </c>
      <c r="J28" s="14" t="s">
        <v>22</v>
      </c>
      <c r="K28" s="14" t="s">
        <v>172</v>
      </c>
      <c r="L28" s="15" t="s">
        <v>16</v>
      </c>
      <c r="M28" s="15" t="s">
        <v>44</v>
      </c>
      <c r="N28" s="16"/>
      <c r="O28" s="4">
        <v>18000</v>
      </c>
    </row>
    <row r="29" spans="1:15" ht="30" hidden="1" customHeight="1" outlineLevel="2">
      <c r="A29" s="17" t="s">
        <v>69</v>
      </c>
      <c r="B29" s="17" t="s">
        <v>45</v>
      </c>
      <c r="C29" s="18"/>
      <c r="D29" s="18" t="s">
        <v>46</v>
      </c>
      <c r="E29" s="18">
        <v>3</v>
      </c>
      <c r="F29" s="18">
        <v>100</v>
      </c>
      <c r="G29" s="18">
        <f>BOM_CHINT!$F29*BOM_CHINT!$I29</f>
        <v>18000</v>
      </c>
      <c r="H29" s="18" t="s">
        <v>89</v>
      </c>
      <c r="I29" s="17">
        <f>60*BOM_CHINT!$E29</f>
        <v>180</v>
      </c>
      <c r="J29" s="17" t="s">
        <v>45</v>
      </c>
      <c r="K29" s="17" t="s">
        <v>48</v>
      </c>
      <c r="L29" s="18" t="s">
        <v>16</v>
      </c>
      <c r="M29" s="18"/>
      <c r="N29" s="19"/>
      <c r="O29" s="4">
        <v>18000</v>
      </c>
    </row>
    <row r="30" spans="1:15" ht="30" customHeight="1" outlineLevel="1">
      <c r="A30" s="24" t="s">
        <v>291</v>
      </c>
      <c r="B30" s="17"/>
      <c r="C30" s="18"/>
      <c r="D30" s="18"/>
      <c r="E30" s="18"/>
      <c r="F30" s="18"/>
      <c r="G30" s="18">
        <f>SUBTOTAL(9,G21:G29)</f>
        <v>0</v>
      </c>
      <c r="H30" s="18"/>
      <c r="I30" s="17"/>
      <c r="J30" s="17"/>
      <c r="K30" s="17"/>
      <c r="L30" s="18"/>
      <c r="M30" s="18"/>
      <c r="N30" s="19"/>
      <c r="O30" s="4">
        <v>97635.4</v>
      </c>
    </row>
    <row r="31" spans="1:15" s="5" customFormat="1" ht="30" customHeight="1" outlineLevel="2">
      <c r="A31" s="12" t="s">
        <v>90</v>
      </c>
      <c r="B31" s="12" t="s">
        <v>12</v>
      </c>
      <c r="C31" s="12"/>
      <c r="D31" s="12" t="s">
        <v>297</v>
      </c>
      <c r="E31" s="12"/>
      <c r="F31" s="12"/>
      <c r="G31" s="12"/>
      <c r="H31" s="12" t="s">
        <v>93</v>
      </c>
      <c r="I31" s="12">
        <v>1</v>
      </c>
      <c r="J31" s="12" t="s">
        <v>15</v>
      </c>
      <c r="K31" s="12" t="s">
        <v>175</v>
      </c>
      <c r="L31" s="12" t="s">
        <v>95</v>
      </c>
      <c r="M31" s="12" t="s">
        <v>96</v>
      </c>
      <c r="N31" s="13"/>
    </row>
    <row r="32" spans="1:15" ht="30" hidden="1" customHeight="1" outlineLevel="2">
      <c r="A32" s="17" t="s">
        <v>90</v>
      </c>
      <c r="B32" s="17" t="s">
        <v>19</v>
      </c>
      <c r="C32" s="18" t="s">
        <v>287</v>
      </c>
      <c r="D32" s="18" t="s">
        <v>288</v>
      </c>
      <c r="E32" s="18">
        <v>16770</v>
      </c>
      <c r="F32" s="18">
        <f>0.6*BOM_CHINT!$E32</f>
        <v>10062</v>
      </c>
      <c r="G32" s="18">
        <f>BOM_CHINT!$F32*BOM_CHINT!$I32</f>
        <v>10062</v>
      </c>
      <c r="H32" s="18"/>
      <c r="I32" s="17">
        <v>1</v>
      </c>
      <c r="J32" s="17" t="s">
        <v>22</v>
      </c>
      <c r="K32" s="17" t="s">
        <v>173</v>
      </c>
      <c r="L32" s="18" t="s">
        <v>72</v>
      </c>
      <c r="M32" s="18" t="s">
        <v>79</v>
      </c>
      <c r="N32" s="19">
        <v>4.5</v>
      </c>
      <c r="O32" s="4">
        <v>10062</v>
      </c>
    </row>
    <row r="33" spans="1:15" ht="30" hidden="1" customHeight="1" outlineLevel="2">
      <c r="A33" s="17" t="s">
        <v>90</v>
      </c>
      <c r="B33" s="17" t="s">
        <v>281</v>
      </c>
      <c r="C33" s="18" t="s">
        <v>263</v>
      </c>
      <c r="D33" s="18" t="s">
        <v>264</v>
      </c>
      <c r="E33" s="18">
        <v>4800</v>
      </c>
      <c r="F33" s="18">
        <f>0.6*BOM_CHINT!$E33</f>
        <v>2880</v>
      </c>
      <c r="G33" s="18">
        <f>BOM_CHINT!$F33*BOM_CHINT!$I33</f>
        <v>5760</v>
      </c>
      <c r="H33" s="18" t="s">
        <v>188</v>
      </c>
      <c r="I33" s="17">
        <v>2</v>
      </c>
      <c r="J33" s="17" t="s">
        <v>22</v>
      </c>
      <c r="K33" s="17" t="s">
        <v>29</v>
      </c>
      <c r="L33" s="18" t="s">
        <v>72</v>
      </c>
      <c r="M33" s="18" t="s">
        <v>79</v>
      </c>
      <c r="N33" s="19">
        <v>4.5</v>
      </c>
      <c r="O33" s="4">
        <v>5760</v>
      </c>
    </row>
    <row r="34" spans="1:15" ht="30" hidden="1" customHeight="1" outlineLevel="2">
      <c r="A34" s="17" t="s">
        <v>90</v>
      </c>
      <c r="B34" s="17" t="s">
        <v>282</v>
      </c>
      <c r="C34" s="18" t="s">
        <v>265</v>
      </c>
      <c r="D34" s="18" t="s">
        <v>266</v>
      </c>
      <c r="E34" s="18">
        <v>1176</v>
      </c>
      <c r="F34" s="18">
        <f>0.6*BOM_CHINT!$E34</f>
        <v>705.6</v>
      </c>
      <c r="G34" s="18">
        <f>BOM_CHINT!$F34*BOM_CHINT!$I34</f>
        <v>705.6</v>
      </c>
      <c r="H34" s="18" t="s">
        <v>191</v>
      </c>
      <c r="I34" s="17">
        <v>1</v>
      </c>
      <c r="J34" s="17" t="s">
        <v>22</v>
      </c>
      <c r="K34" s="17" t="s">
        <v>29</v>
      </c>
      <c r="L34" s="18" t="s">
        <v>72</v>
      </c>
      <c r="M34" s="18" t="s">
        <v>79</v>
      </c>
      <c r="N34" s="19">
        <v>4.5</v>
      </c>
      <c r="O34" s="4">
        <v>705.6</v>
      </c>
    </row>
    <row r="35" spans="1:15" ht="30" hidden="1" customHeight="1" outlineLevel="2">
      <c r="A35" s="17" t="s">
        <v>90</v>
      </c>
      <c r="B35" s="17" t="s">
        <v>283</v>
      </c>
      <c r="C35" s="18" t="s">
        <v>267</v>
      </c>
      <c r="D35" s="18" t="s">
        <v>268</v>
      </c>
      <c r="E35" s="18">
        <v>589</v>
      </c>
      <c r="F35" s="18">
        <f>0.6*BOM_CHINT!$E35</f>
        <v>353.4</v>
      </c>
      <c r="G35" s="18">
        <f>BOM_CHINT!$F35*BOM_CHINT!$I35</f>
        <v>353.4</v>
      </c>
      <c r="H35" s="18" t="s">
        <v>194</v>
      </c>
      <c r="I35" s="17">
        <v>1</v>
      </c>
      <c r="J35" s="17" t="s">
        <v>22</v>
      </c>
      <c r="K35" s="17" t="s">
        <v>29</v>
      </c>
      <c r="L35" s="18" t="s">
        <v>72</v>
      </c>
      <c r="M35" s="18" t="s">
        <v>79</v>
      </c>
      <c r="N35" s="19">
        <v>4.5</v>
      </c>
      <c r="O35" s="4">
        <v>353.4</v>
      </c>
    </row>
    <row r="36" spans="1:15" ht="30" hidden="1" customHeight="1" outlineLevel="2">
      <c r="A36" s="17" t="s">
        <v>90</v>
      </c>
      <c r="B36" s="17" t="s">
        <v>284</v>
      </c>
      <c r="C36" s="18" t="s">
        <v>269</v>
      </c>
      <c r="D36" s="18" t="s">
        <v>270</v>
      </c>
      <c r="E36" s="18">
        <v>1750</v>
      </c>
      <c r="F36" s="18">
        <f>0.6*BOM_CHINT!$E36</f>
        <v>1050</v>
      </c>
      <c r="G36" s="18">
        <f>BOM_CHINT!$F36*BOM_CHINT!$I36</f>
        <v>1050</v>
      </c>
      <c r="H36" s="18" t="s">
        <v>197</v>
      </c>
      <c r="I36" s="17">
        <v>1</v>
      </c>
      <c r="J36" s="17" t="s">
        <v>22</v>
      </c>
      <c r="K36" s="17" t="s">
        <v>29</v>
      </c>
      <c r="L36" s="18" t="s">
        <v>72</v>
      </c>
      <c r="M36" s="18" t="s">
        <v>79</v>
      </c>
      <c r="N36" s="19">
        <v>4.5</v>
      </c>
      <c r="O36" s="4">
        <v>1050</v>
      </c>
    </row>
    <row r="37" spans="1:15" ht="30" hidden="1" customHeight="1" outlineLevel="2">
      <c r="A37" s="17" t="s">
        <v>90</v>
      </c>
      <c r="B37" s="17" t="s">
        <v>285</v>
      </c>
      <c r="C37" s="18" t="s">
        <v>271</v>
      </c>
      <c r="D37" s="18" t="s">
        <v>272</v>
      </c>
      <c r="E37" s="18">
        <v>4560</v>
      </c>
      <c r="F37" s="18">
        <f>0.6*BOM_CHINT!$E37</f>
        <v>2736</v>
      </c>
      <c r="G37" s="18">
        <f>BOM_CHINT!$F37*BOM_CHINT!$I37</f>
        <v>2736</v>
      </c>
      <c r="H37" s="18" t="s">
        <v>200</v>
      </c>
      <c r="I37" s="17">
        <v>1</v>
      </c>
      <c r="J37" s="17" t="s">
        <v>22</v>
      </c>
      <c r="K37" s="17" t="s">
        <v>29</v>
      </c>
      <c r="L37" s="18" t="s">
        <v>72</v>
      </c>
      <c r="M37" s="18" t="s">
        <v>79</v>
      </c>
      <c r="N37" s="19">
        <v>4.5</v>
      </c>
      <c r="O37" s="4">
        <v>2736</v>
      </c>
    </row>
    <row r="38" spans="1:15" ht="30" hidden="1" customHeight="1" outlineLevel="2">
      <c r="A38" s="17" t="s">
        <v>90</v>
      </c>
      <c r="B38" s="17" t="s">
        <v>31</v>
      </c>
      <c r="C38" s="18" t="s">
        <v>273</v>
      </c>
      <c r="D38" s="18" t="s">
        <v>274</v>
      </c>
      <c r="E38" s="18">
        <v>1030</v>
      </c>
      <c r="F38" s="18">
        <f>0.6*BOM_CHINT!$E38</f>
        <v>618</v>
      </c>
      <c r="G38" s="18">
        <f>BOM_CHINT!$F38*BOM_CHINT!$I38</f>
        <v>618</v>
      </c>
      <c r="H38" s="18" t="s">
        <v>203</v>
      </c>
      <c r="I38" s="17">
        <v>1</v>
      </c>
      <c r="J38" s="17" t="s">
        <v>22</v>
      </c>
      <c r="K38" s="17" t="s">
        <v>29</v>
      </c>
      <c r="L38" s="18" t="s">
        <v>72</v>
      </c>
      <c r="M38" s="18" t="s">
        <v>79</v>
      </c>
      <c r="N38" s="19">
        <v>4.5</v>
      </c>
      <c r="O38" s="4">
        <v>618</v>
      </c>
    </row>
    <row r="39" spans="1:15" ht="30" hidden="1" customHeight="1" outlineLevel="2">
      <c r="A39" s="17" t="s">
        <v>90</v>
      </c>
      <c r="B39" s="17" t="s">
        <v>284</v>
      </c>
      <c r="C39" s="18" t="s">
        <v>275</v>
      </c>
      <c r="D39" s="18" t="s">
        <v>276</v>
      </c>
      <c r="E39" s="18">
        <v>1620</v>
      </c>
      <c r="F39" s="18">
        <f>0.6*BOM_CHINT!$E39</f>
        <v>972</v>
      </c>
      <c r="G39" s="18">
        <f>BOM_CHINT!$F39*BOM_CHINT!$I39</f>
        <v>972</v>
      </c>
      <c r="H39" s="18" t="s">
        <v>206</v>
      </c>
      <c r="I39" s="17">
        <v>1</v>
      </c>
      <c r="J39" s="17" t="s">
        <v>22</v>
      </c>
      <c r="K39" s="17" t="s">
        <v>29</v>
      </c>
      <c r="L39" s="18" t="s">
        <v>72</v>
      </c>
      <c r="M39" s="18" t="s">
        <v>79</v>
      </c>
      <c r="N39" s="19">
        <v>4.5</v>
      </c>
      <c r="O39" s="4">
        <v>972</v>
      </c>
    </row>
    <row r="40" spans="1:15" ht="30" hidden="1" customHeight="1" outlineLevel="2">
      <c r="A40" s="17" t="s">
        <v>90</v>
      </c>
      <c r="B40" s="17" t="s">
        <v>286</v>
      </c>
      <c r="C40" s="18" t="s">
        <v>277</v>
      </c>
      <c r="D40" s="18" t="s">
        <v>278</v>
      </c>
      <c r="E40" s="18">
        <v>1100</v>
      </c>
      <c r="F40" s="18">
        <f>0.6*BOM_CHINT!$E40</f>
        <v>660</v>
      </c>
      <c r="G40" s="18">
        <f>BOM_CHINT!$F40*BOM_CHINT!$I40</f>
        <v>660</v>
      </c>
      <c r="H40" s="18" t="s">
        <v>209</v>
      </c>
      <c r="I40" s="17">
        <v>1</v>
      </c>
      <c r="J40" s="17" t="s">
        <v>22</v>
      </c>
      <c r="K40" s="17" t="s">
        <v>29</v>
      </c>
      <c r="L40" s="18" t="s">
        <v>72</v>
      </c>
      <c r="M40" s="18" t="s">
        <v>79</v>
      </c>
      <c r="N40" s="19">
        <v>4.5</v>
      </c>
      <c r="O40" s="4">
        <v>660</v>
      </c>
    </row>
    <row r="41" spans="1:15" ht="30" hidden="1" customHeight="1" outlineLevel="2">
      <c r="A41" s="17" t="s">
        <v>90</v>
      </c>
      <c r="B41" s="17" t="s">
        <v>31</v>
      </c>
      <c r="C41" s="18" t="s">
        <v>279</v>
      </c>
      <c r="D41" s="18" t="s">
        <v>280</v>
      </c>
      <c r="E41" s="18">
        <v>3450</v>
      </c>
      <c r="F41" s="18">
        <f>0.6*BOM_CHINT!$E41</f>
        <v>2070</v>
      </c>
      <c r="G41" s="18">
        <f>BOM_CHINT!$F41*BOM_CHINT!$I41</f>
        <v>2070</v>
      </c>
      <c r="H41" s="18" t="s">
        <v>213</v>
      </c>
      <c r="I41" s="17">
        <v>1</v>
      </c>
      <c r="J41" s="17" t="s">
        <v>22</v>
      </c>
      <c r="K41" s="17" t="s">
        <v>29</v>
      </c>
      <c r="L41" s="18" t="s">
        <v>72</v>
      </c>
      <c r="M41" s="18" t="s">
        <v>79</v>
      </c>
      <c r="N41" s="19">
        <v>4.5</v>
      </c>
      <c r="O41" s="4">
        <v>2070</v>
      </c>
    </row>
    <row r="42" spans="1:15" ht="30" hidden="1" customHeight="1" outlineLevel="2">
      <c r="A42" s="17" t="s">
        <v>90</v>
      </c>
      <c r="B42" s="17" t="s">
        <v>40</v>
      </c>
      <c r="C42" s="18"/>
      <c r="D42" s="18" t="s">
        <v>41</v>
      </c>
      <c r="E42" s="18">
        <f ca="1">OFFSET(BOM_CHINT!$E42,1,2)</f>
        <v>18000</v>
      </c>
      <c r="F42" s="18">
        <f ca="1">BOM_CHINT!$E42</f>
        <v>18000</v>
      </c>
      <c r="G42" s="18">
        <f ca="1">BOM_CHINT!$F42*BOM_CHINT!$I42</f>
        <v>18000</v>
      </c>
      <c r="H42" s="18" t="s">
        <v>105</v>
      </c>
      <c r="I42" s="17">
        <v>1</v>
      </c>
      <c r="J42" s="17" t="s">
        <v>22</v>
      </c>
      <c r="K42" s="17" t="s">
        <v>172</v>
      </c>
      <c r="L42" s="18" t="s">
        <v>16</v>
      </c>
      <c r="M42" s="18" t="s">
        <v>44</v>
      </c>
      <c r="N42" s="19"/>
      <c r="O42" s="4">
        <v>18000</v>
      </c>
    </row>
    <row r="43" spans="1:15" ht="30" hidden="1" customHeight="1" outlineLevel="2">
      <c r="A43" s="14" t="s">
        <v>90</v>
      </c>
      <c r="B43" s="14" t="s">
        <v>45</v>
      </c>
      <c r="C43" s="15"/>
      <c r="D43" s="15" t="s">
        <v>46</v>
      </c>
      <c r="E43" s="15">
        <v>3</v>
      </c>
      <c r="F43" s="15">
        <v>100</v>
      </c>
      <c r="G43" s="15">
        <f>BOM_CHINT!$F43*BOM_CHINT!$I43</f>
        <v>18000</v>
      </c>
      <c r="H43" s="15" t="s">
        <v>106</v>
      </c>
      <c r="I43" s="14">
        <f>60*BOM_CHINT!$E43</f>
        <v>180</v>
      </c>
      <c r="J43" s="14" t="s">
        <v>45</v>
      </c>
      <c r="K43" s="14" t="s">
        <v>48</v>
      </c>
      <c r="L43" s="15" t="s">
        <v>16</v>
      </c>
      <c r="M43" s="15"/>
      <c r="N43" s="16"/>
      <c r="O43" s="4">
        <v>18000</v>
      </c>
    </row>
    <row r="44" spans="1:15" ht="30" customHeight="1" outlineLevel="1">
      <c r="A44" s="23" t="s">
        <v>292</v>
      </c>
      <c r="B44" s="14"/>
      <c r="C44" s="15"/>
      <c r="D44" s="15"/>
      <c r="E44" s="15"/>
      <c r="F44" s="15"/>
      <c r="G44" s="15">
        <f>SUBTOTAL(9,G31:G43)</f>
        <v>0</v>
      </c>
      <c r="H44" s="15"/>
      <c r="I44" s="14"/>
      <c r="J44" s="14"/>
      <c r="K44" s="14"/>
      <c r="L44" s="15"/>
      <c r="M44" s="15"/>
      <c r="N44" s="16"/>
      <c r="O44" s="4">
        <v>60987</v>
      </c>
    </row>
    <row r="45" spans="1:15" s="5" customFormat="1" ht="30" customHeight="1" outlineLevel="2">
      <c r="A45" s="12" t="str">
        <f>BOM_CHINT!$D45</f>
        <v>Источник бесперебойного питания SVC GT33-10KVA</v>
      </c>
      <c r="B45" s="12" t="s">
        <v>91</v>
      </c>
      <c r="C45" s="12"/>
      <c r="D45" s="12" t="s">
        <v>97</v>
      </c>
      <c r="E45" s="12"/>
      <c r="F45" s="12"/>
      <c r="G45" s="12">
        <f>BOM_CHINT!$F45*BOM_CHINT!$I45</f>
        <v>0</v>
      </c>
      <c r="H45" s="12" t="s">
        <v>98</v>
      </c>
      <c r="I45" s="12">
        <v>1</v>
      </c>
      <c r="J45" s="12" t="s">
        <v>15</v>
      </c>
      <c r="K45" s="12" t="s">
        <v>99</v>
      </c>
      <c r="L45" s="12" t="s">
        <v>17</v>
      </c>
      <c r="M45" s="12" t="s">
        <v>100</v>
      </c>
      <c r="N45" s="13"/>
      <c r="O45" s="5">
        <v>0</v>
      </c>
    </row>
    <row r="46" spans="1:15" s="5" customFormat="1" ht="30" customHeight="1" outlineLevel="1">
      <c r="A46" s="25" t="s">
        <v>293</v>
      </c>
      <c r="B46" s="12"/>
      <c r="C46" s="12"/>
      <c r="D46" s="12"/>
      <c r="E46" s="12"/>
      <c r="F46" s="12"/>
      <c r="G46" s="12">
        <f>SUBTOTAL(9,G45:G45)</f>
        <v>0</v>
      </c>
      <c r="H46" s="12"/>
      <c r="I46" s="12"/>
      <c r="J46" s="12"/>
      <c r="K46" s="12"/>
      <c r="L46" s="12"/>
      <c r="M46" s="12"/>
      <c r="N46" s="13"/>
      <c r="O46" s="5">
        <v>0</v>
      </c>
    </row>
    <row r="47" spans="1:15" s="5" customFormat="1" ht="30" customHeight="1" outlineLevel="2">
      <c r="A47" s="20" t="str">
        <f>BOM_CHINT!$D47</f>
        <v>Пост управления с одной кнопкой ПКЕ-212/1</v>
      </c>
      <c r="B47" s="20" t="s">
        <v>143</v>
      </c>
      <c r="C47" s="20"/>
      <c r="D47" s="20" t="s">
        <v>101</v>
      </c>
      <c r="E47" s="20"/>
      <c r="F47" s="20"/>
      <c r="G47" s="20">
        <f>BOM_CHINT!$F47*BOM_CHINT!$I47</f>
        <v>0</v>
      </c>
      <c r="H47" s="20" t="s">
        <v>102</v>
      </c>
      <c r="I47" s="20">
        <v>2</v>
      </c>
      <c r="J47" s="20" t="s">
        <v>15</v>
      </c>
      <c r="K47" s="20" t="s">
        <v>175</v>
      </c>
      <c r="L47" s="20" t="s">
        <v>95</v>
      </c>
      <c r="M47" s="20" t="s">
        <v>104</v>
      </c>
      <c r="N47" s="21"/>
      <c r="O47" s="5">
        <v>0</v>
      </c>
    </row>
    <row r="48" spans="1:15" s="5" customFormat="1" ht="30" customHeight="1" outlineLevel="1">
      <c r="A48" s="27" t="s">
        <v>294</v>
      </c>
      <c r="B48" s="26"/>
      <c r="C48" s="26"/>
      <c r="D48" s="26"/>
      <c r="E48" s="26"/>
      <c r="F48" s="26"/>
      <c r="G48" s="26">
        <f>SUBTOTAL(9,G47:G47)</f>
        <v>0</v>
      </c>
      <c r="H48" s="26"/>
      <c r="I48" s="26"/>
      <c r="J48" s="26"/>
      <c r="K48" s="26"/>
      <c r="L48" s="26"/>
      <c r="M48" s="26"/>
      <c r="N48" s="26"/>
      <c r="O48" s="5">
        <v>0</v>
      </c>
    </row>
    <row r="49" spans="1:15" s="5" customFormat="1" ht="30" customHeight="1">
      <c r="A49" s="27" t="s">
        <v>295</v>
      </c>
      <c r="B49" s="26"/>
      <c r="C49" s="26"/>
      <c r="D49" s="26"/>
      <c r="E49" s="26"/>
      <c r="F49" s="26"/>
      <c r="G49" s="26">
        <f>SUBTOTAL(9,G2:G47)</f>
        <v>0</v>
      </c>
      <c r="H49" s="26"/>
      <c r="I49" s="26"/>
      <c r="J49" s="26"/>
      <c r="K49" s="26"/>
      <c r="L49" s="26"/>
      <c r="M49" s="26"/>
      <c r="N49" s="26"/>
      <c r="O49" s="5">
        <v>338863</v>
      </c>
    </row>
  </sheetData>
  <autoFilter ref="A1:N48" xr:uid="{00000000-0001-0000-0000-000000000000}">
    <filterColumn colId="9">
      <filters blank="1">
        <filter val="компл."/>
      </filters>
    </filterColumn>
  </autoFilter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CD90-BD60-48A8-9283-92D0B11CD0DF}">
  <dimension ref="A1:N7"/>
  <sheetViews>
    <sheetView tabSelected="1" workbookViewId="0">
      <selection activeCell="S11" sqref="S11"/>
    </sheetView>
  </sheetViews>
  <sheetFormatPr defaultRowHeight="36" customHeight="1"/>
  <sheetData>
    <row r="1" spans="1:14" ht="36" customHeight="1">
      <c r="A1" s="10" t="s">
        <v>141</v>
      </c>
      <c r="B1" s="10" t="s">
        <v>140</v>
      </c>
      <c r="C1" s="10" t="s">
        <v>133</v>
      </c>
      <c r="D1" s="10" t="s">
        <v>134</v>
      </c>
      <c r="E1" s="10" t="s">
        <v>135</v>
      </c>
      <c r="F1" s="10" t="s">
        <v>139</v>
      </c>
      <c r="G1" s="10" t="s">
        <v>136</v>
      </c>
      <c r="H1" s="10" t="s">
        <v>137</v>
      </c>
      <c r="I1" s="10" t="s">
        <v>138</v>
      </c>
      <c r="J1" s="10" t="s">
        <v>8</v>
      </c>
      <c r="K1" s="10" t="s">
        <v>9</v>
      </c>
      <c r="L1" s="11" t="s">
        <v>10</v>
      </c>
      <c r="M1" s="5" t="s">
        <v>296</v>
      </c>
      <c r="N1">
        <v>2.2999999999999998</v>
      </c>
    </row>
    <row r="2" spans="1:14" ht="36" customHeight="1">
      <c r="A2" s="12"/>
      <c r="B2" s="12" t="s">
        <v>13</v>
      </c>
      <c r="C2" s="12">
        <f>ROUNDUP(N2,-3)</f>
        <v>240000</v>
      </c>
      <c r="D2" s="12">
        <f>0.7*C2</f>
        <v>168000</v>
      </c>
      <c r="E2" s="12">
        <f>D2*G2</f>
        <v>168000</v>
      </c>
      <c r="F2" s="12" t="s">
        <v>14</v>
      </c>
      <c r="G2" s="12">
        <v>1</v>
      </c>
      <c r="H2" s="12" t="s">
        <v>15</v>
      </c>
      <c r="I2" s="12" t="s">
        <v>175</v>
      </c>
      <c r="J2" s="12" t="s">
        <v>17</v>
      </c>
      <c r="K2" s="12" t="s">
        <v>18</v>
      </c>
      <c r="L2" s="13"/>
      <c r="M2" s="4">
        <v>104315.4</v>
      </c>
      <c r="N2">
        <f>2.3*M2</f>
        <v>239925.41999999995</v>
      </c>
    </row>
    <row r="3" spans="1:14" ht="36" customHeight="1">
      <c r="A3" s="12"/>
      <c r="B3" s="12" t="s">
        <v>50</v>
      </c>
      <c r="C3" s="12">
        <f t="shared" ref="C3:C7" si="0">ROUNDUP(N3,-3)</f>
        <v>175000</v>
      </c>
      <c r="D3" s="12">
        <f t="shared" ref="D3:D7" si="1">0.7*C3</f>
        <v>122499.99999999999</v>
      </c>
      <c r="E3" s="12">
        <f t="shared" ref="E3:E7" si="2">D3*G3</f>
        <v>122499.99999999999</v>
      </c>
      <c r="F3" s="12" t="s">
        <v>51</v>
      </c>
      <c r="G3" s="12">
        <v>1</v>
      </c>
      <c r="H3" s="12" t="s">
        <v>15</v>
      </c>
      <c r="I3" s="12" t="s">
        <v>175</v>
      </c>
      <c r="J3" s="12" t="s">
        <v>52</v>
      </c>
      <c r="K3" s="12" t="s">
        <v>18</v>
      </c>
      <c r="L3" s="13"/>
      <c r="M3" s="4">
        <v>75925.2</v>
      </c>
      <c r="N3">
        <f t="shared" ref="N3:N7" si="3">2.3*M3</f>
        <v>174627.96</v>
      </c>
    </row>
    <row r="4" spans="1:14" ht="36" customHeight="1">
      <c r="A4" s="12"/>
      <c r="B4" s="12" t="s">
        <v>70</v>
      </c>
      <c r="C4" s="12">
        <f t="shared" si="0"/>
        <v>225000</v>
      </c>
      <c r="D4" s="12">
        <f t="shared" si="1"/>
        <v>157500</v>
      </c>
      <c r="E4" s="12">
        <f t="shared" si="2"/>
        <v>157500</v>
      </c>
      <c r="F4" s="12" t="s">
        <v>71</v>
      </c>
      <c r="G4" s="12">
        <v>1</v>
      </c>
      <c r="H4" s="12" t="s">
        <v>15</v>
      </c>
      <c r="I4" s="12" t="s">
        <v>175</v>
      </c>
      <c r="J4" s="12" t="s">
        <v>72</v>
      </c>
      <c r="K4" s="12" t="s">
        <v>18</v>
      </c>
      <c r="L4" s="13"/>
      <c r="M4" s="4">
        <v>97635.4</v>
      </c>
      <c r="N4">
        <f t="shared" si="3"/>
        <v>224561.41999999998</v>
      </c>
    </row>
    <row r="5" spans="1:14" ht="36" customHeight="1">
      <c r="A5" s="12"/>
      <c r="B5" s="12" t="s">
        <v>297</v>
      </c>
      <c r="C5" s="12">
        <f t="shared" si="0"/>
        <v>141000</v>
      </c>
      <c r="D5" s="12">
        <f t="shared" si="1"/>
        <v>98700</v>
      </c>
      <c r="E5" s="12">
        <f t="shared" si="2"/>
        <v>98700</v>
      </c>
      <c r="F5" s="12" t="s">
        <v>93</v>
      </c>
      <c r="G5" s="12">
        <v>1</v>
      </c>
      <c r="H5" s="12" t="s">
        <v>15</v>
      </c>
      <c r="I5" s="12" t="s">
        <v>175</v>
      </c>
      <c r="J5" s="12" t="s">
        <v>95</v>
      </c>
      <c r="K5" s="12" t="s">
        <v>96</v>
      </c>
      <c r="L5" s="13"/>
      <c r="M5" s="4">
        <v>60987</v>
      </c>
      <c r="N5">
        <f t="shared" si="3"/>
        <v>140270.09999999998</v>
      </c>
    </row>
    <row r="6" spans="1:14" ht="36" customHeight="1">
      <c r="A6" s="12"/>
      <c r="B6" s="12" t="s">
        <v>97</v>
      </c>
      <c r="C6" s="12">
        <f t="shared" si="0"/>
        <v>0</v>
      </c>
      <c r="D6" s="12">
        <f t="shared" si="1"/>
        <v>0</v>
      </c>
      <c r="E6" s="12">
        <f t="shared" si="2"/>
        <v>0</v>
      </c>
      <c r="F6" s="12" t="s">
        <v>98</v>
      </c>
      <c r="G6" s="12">
        <v>1</v>
      </c>
      <c r="H6" s="12" t="s">
        <v>15</v>
      </c>
      <c r="I6" s="12" t="s">
        <v>99</v>
      </c>
      <c r="J6" s="12" t="s">
        <v>17</v>
      </c>
      <c r="K6" s="12" t="s">
        <v>100</v>
      </c>
      <c r="L6" s="13"/>
      <c r="M6" s="5">
        <v>0</v>
      </c>
      <c r="N6">
        <f t="shared" si="3"/>
        <v>0</v>
      </c>
    </row>
    <row r="7" spans="1:14" ht="36" customHeight="1">
      <c r="A7" s="20"/>
      <c r="B7" s="20" t="s">
        <v>101</v>
      </c>
      <c r="C7" s="12">
        <f t="shared" si="0"/>
        <v>0</v>
      </c>
      <c r="D7" s="12">
        <f t="shared" si="1"/>
        <v>0</v>
      </c>
      <c r="E7" s="12">
        <f t="shared" si="2"/>
        <v>0</v>
      </c>
      <c r="F7" s="20" t="s">
        <v>102</v>
      </c>
      <c r="G7" s="20">
        <v>2</v>
      </c>
      <c r="H7" s="20" t="s">
        <v>15</v>
      </c>
      <c r="I7" s="20" t="s">
        <v>175</v>
      </c>
      <c r="J7" s="20" t="s">
        <v>95</v>
      </c>
      <c r="K7" s="20" t="s">
        <v>104</v>
      </c>
      <c r="L7" s="21"/>
      <c r="M7" s="5">
        <v>0</v>
      </c>
      <c r="N7">
        <f t="shared" si="3"/>
        <v>0</v>
      </c>
    </row>
  </sheetData>
  <autoFilter ref="A1:M7" xr:uid="{CC09CD90-BD60-48A8-9283-92D0B11CD0D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19B3-91C6-4A2D-9E3F-294F31AC0B44}">
  <dimension ref="A1:N2"/>
  <sheetViews>
    <sheetView workbookViewId="0">
      <selection sqref="A1:XFD2"/>
    </sheetView>
  </sheetViews>
  <sheetFormatPr defaultRowHeight="14.25"/>
  <sheetData>
    <row r="1" spans="1:14" s="4" customFormat="1" ht="48.75" customHeight="1">
      <c r="A1" s="9" t="s">
        <v>90</v>
      </c>
      <c r="B1" s="8" t="s">
        <v>91</v>
      </c>
      <c r="C1" s="6"/>
      <c r="D1" s="6" t="s">
        <v>97</v>
      </c>
      <c r="E1" s="6" t="s">
        <v>98</v>
      </c>
      <c r="F1" s="6"/>
      <c r="G1" s="6"/>
      <c r="H1" s="6"/>
      <c r="I1" s="8">
        <v>1</v>
      </c>
      <c r="J1" s="8" t="s">
        <v>22</v>
      </c>
      <c r="K1" s="8" t="s">
        <v>99</v>
      </c>
      <c r="L1" s="6" t="s">
        <v>17</v>
      </c>
      <c r="M1" s="6" t="s">
        <v>100</v>
      </c>
      <c r="N1" s="7"/>
    </row>
    <row r="2" spans="1:14" s="4" customFormat="1" ht="48.75" customHeight="1">
      <c r="A2" s="9" t="s">
        <v>90</v>
      </c>
      <c r="B2" s="8" t="s">
        <v>82</v>
      </c>
      <c r="C2" s="6"/>
      <c r="D2" s="6" t="s">
        <v>101</v>
      </c>
      <c r="E2" s="6" t="s">
        <v>102</v>
      </c>
      <c r="F2" s="6"/>
      <c r="G2" s="6"/>
      <c r="H2" s="6"/>
      <c r="I2" s="8">
        <v>2</v>
      </c>
      <c r="J2" s="8" t="s">
        <v>22</v>
      </c>
      <c r="K2" s="8" t="s">
        <v>103</v>
      </c>
      <c r="L2" s="6" t="s">
        <v>95</v>
      </c>
      <c r="M2" s="6" t="s">
        <v>104</v>
      </c>
      <c r="N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0417-707D-4BD2-B0DD-8D27EC966920}">
  <dimension ref="A1:I26"/>
  <sheetViews>
    <sheetView workbookViewId="0">
      <selection activeCell="A3" sqref="A3:C16"/>
    </sheetView>
  </sheetViews>
  <sheetFormatPr defaultRowHeight="14.25"/>
  <cols>
    <col min="1" max="1" width="41.25" customWidth="1"/>
    <col min="2" max="2" width="27.375" customWidth="1"/>
    <col min="3" max="3" width="54.75" customWidth="1"/>
    <col min="4" max="4" width="33.25" customWidth="1"/>
    <col min="5" max="5" width="35.75" customWidth="1"/>
  </cols>
  <sheetData>
    <row r="1" spans="1:8" ht="40.5" customHeight="1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6</v>
      </c>
      <c r="H1" t="s">
        <v>5</v>
      </c>
    </row>
    <row r="2" spans="1:8">
      <c r="A2" t="s">
        <v>90</v>
      </c>
      <c r="B2" t="s">
        <v>182</v>
      </c>
      <c r="C2" t="s">
        <v>183</v>
      </c>
      <c r="E2">
        <v>0</v>
      </c>
      <c r="F2" t="s">
        <v>48</v>
      </c>
      <c r="G2" t="s">
        <v>15</v>
      </c>
      <c r="H2">
        <v>1</v>
      </c>
    </row>
    <row r="3" spans="1:8">
      <c r="A3" t="s">
        <v>184</v>
      </c>
      <c r="B3" t="s">
        <v>185</v>
      </c>
      <c r="C3" t="s">
        <v>186</v>
      </c>
      <c r="E3">
        <v>0</v>
      </c>
      <c r="F3" t="s">
        <v>29</v>
      </c>
      <c r="G3" t="s">
        <v>22</v>
      </c>
      <c r="H3">
        <v>1</v>
      </c>
    </row>
    <row r="4" spans="1:8">
      <c r="A4" t="s">
        <v>187</v>
      </c>
      <c r="B4" t="s">
        <v>188</v>
      </c>
      <c r="C4" t="s">
        <v>189</v>
      </c>
      <c r="E4">
        <v>0</v>
      </c>
      <c r="F4" t="s">
        <v>29</v>
      </c>
      <c r="G4" t="s">
        <v>22</v>
      </c>
      <c r="H4">
        <v>2</v>
      </c>
    </row>
    <row r="5" spans="1:8">
      <c r="A5" t="s">
        <v>190</v>
      </c>
      <c r="B5" t="s">
        <v>191</v>
      </c>
      <c r="C5" t="s">
        <v>192</v>
      </c>
      <c r="E5">
        <v>0</v>
      </c>
      <c r="F5" t="s">
        <v>29</v>
      </c>
      <c r="G5" t="s">
        <v>22</v>
      </c>
      <c r="H5">
        <v>1</v>
      </c>
    </row>
    <row r="6" spans="1:8">
      <c r="A6" t="s">
        <v>193</v>
      </c>
      <c r="B6" t="s">
        <v>194</v>
      </c>
      <c r="C6" t="s">
        <v>195</v>
      </c>
      <c r="E6">
        <v>0</v>
      </c>
      <c r="F6" t="s">
        <v>29</v>
      </c>
      <c r="G6" t="s">
        <v>22</v>
      </c>
      <c r="H6">
        <v>1</v>
      </c>
    </row>
    <row r="7" spans="1:8">
      <c r="A7" t="s">
        <v>196</v>
      </c>
      <c r="B7" t="s">
        <v>197</v>
      </c>
      <c r="C7" t="s">
        <v>198</v>
      </c>
      <c r="E7">
        <v>0</v>
      </c>
      <c r="F7" t="s">
        <v>29</v>
      </c>
      <c r="G7" t="s">
        <v>22</v>
      </c>
      <c r="H7">
        <v>1</v>
      </c>
    </row>
    <row r="8" spans="1:8">
      <c r="A8" t="s">
        <v>199</v>
      </c>
      <c r="B8" t="s">
        <v>200</v>
      </c>
      <c r="C8" t="s">
        <v>201</v>
      </c>
      <c r="E8">
        <v>0</v>
      </c>
      <c r="F8" t="s">
        <v>29</v>
      </c>
      <c r="G8" t="s">
        <v>22</v>
      </c>
      <c r="H8">
        <v>1</v>
      </c>
    </row>
    <row r="9" spans="1:8">
      <c r="A9" t="s">
        <v>202</v>
      </c>
      <c r="B9" t="s">
        <v>203</v>
      </c>
      <c r="C9" t="s">
        <v>204</v>
      </c>
      <c r="E9">
        <v>0</v>
      </c>
      <c r="F9" t="s">
        <v>29</v>
      </c>
      <c r="G9" t="s">
        <v>22</v>
      </c>
      <c r="H9">
        <v>1</v>
      </c>
    </row>
    <row r="10" spans="1:8">
      <c r="A10" t="s">
        <v>205</v>
      </c>
      <c r="B10" t="s">
        <v>206</v>
      </c>
      <c r="C10" t="s">
        <v>207</v>
      </c>
      <c r="E10">
        <v>0</v>
      </c>
      <c r="F10" t="s">
        <v>29</v>
      </c>
      <c r="G10" t="s">
        <v>22</v>
      </c>
      <c r="H10">
        <v>2</v>
      </c>
    </row>
    <row r="11" spans="1:8">
      <c r="A11" t="s">
        <v>208</v>
      </c>
      <c r="B11" t="s">
        <v>209</v>
      </c>
      <c r="C11" t="s">
        <v>210</v>
      </c>
      <c r="E11">
        <v>0</v>
      </c>
      <c r="F11" t="s">
        <v>211</v>
      </c>
      <c r="G11" t="s">
        <v>22</v>
      </c>
      <c r="H11">
        <v>4</v>
      </c>
    </row>
    <row r="12" spans="1:8">
      <c r="A12" t="s">
        <v>212</v>
      </c>
      <c r="B12" t="s">
        <v>213</v>
      </c>
      <c r="C12" t="s">
        <v>214</v>
      </c>
      <c r="E12">
        <v>0</v>
      </c>
      <c r="F12" t="s">
        <v>215</v>
      </c>
      <c r="G12" t="s">
        <v>22</v>
      </c>
      <c r="H12">
        <v>3</v>
      </c>
    </row>
    <row r="13" spans="1:8">
      <c r="A13" t="s">
        <v>216</v>
      </c>
      <c r="B13" t="s">
        <v>217</v>
      </c>
      <c r="C13" t="s">
        <v>218</v>
      </c>
      <c r="E13">
        <v>0</v>
      </c>
      <c r="F13" t="s">
        <v>219</v>
      </c>
      <c r="G13" t="s">
        <v>22</v>
      </c>
      <c r="H13">
        <v>25</v>
      </c>
    </row>
    <row r="14" spans="1:8">
      <c r="A14" t="s">
        <v>220</v>
      </c>
      <c r="B14" t="s">
        <v>221</v>
      </c>
      <c r="C14" t="s">
        <v>222</v>
      </c>
      <c r="E14">
        <v>0</v>
      </c>
      <c r="F14" t="s">
        <v>219</v>
      </c>
      <c r="G14" t="s">
        <v>22</v>
      </c>
      <c r="H14">
        <v>2</v>
      </c>
    </row>
    <row r="15" spans="1:8">
      <c r="A15" t="s">
        <v>223</v>
      </c>
      <c r="B15" t="s">
        <v>224</v>
      </c>
      <c r="C15" t="s">
        <v>225</v>
      </c>
      <c r="E15">
        <v>0</v>
      </c>
      <c r="F15" t="s">
        <v>226</v>
      </c>
      <c r="G15" t="s">
        <v>227</v>
      </c>
      <c r="H15">
        <v>1</v>
      </c>
    </row>
    <row r="16" spans="1:8">
      <c r="A16" t="s">
        <v>228</v>
      </c>
      <c r="B16" t="s">
        <v>229</v>
      </c>
      <c r="C16" t="s">
        <v>230</v>
      </c>
      <c r="E16">
        <v>0</v>
      </c>
      <c r="F16" t="s">
        <v>231</v>
      </c>
      <c r="G16" t="s">
        <v>227</v>
      </c>
      <c r="H16">
        <v>1</v>
      </c>
    </row>
    <row r="17" spans="1:9">
      <c r="A17" t="s">
        <v>232</v>
      </c>
      <c r="B17" t="s">
        <v>15</v>
      </c>
      <c r="C17" t="s">
        <v>233</v>
      </c>
      <c r="E17">
        <v>0</v>
      </c>
      <c r="F17" t="s">
        <v>234</v>
      </c>
      <c r="G17" t="s">
        <v>15</v>
      </c>
      <c r="H17">
        <v>1</v>
      </c>
    </row>
    <row r="18" spans="1:9">
      <c r="A18" t="s">
        <v>235</v>
      </c>
      <c r="B18" t="s">
        <v>236</v>
      </c>
      <c r="C18" t="s">
        <v>237</v>
      </c>
      <c r="E18">
        <v>0</v>
      </c>
      <c r="F18" t="s">
        <v>175</v>
      </c>
      <c r="G18" t="s">
        <v>22</v>
      </c>
      <c r="H18">
        <v>1</v>
      </c>
    </row>
    <row r="19" spans="1:9">
      <c r="A19" t="s">
        <v>41</v>
      </c>
      <c r="B19" t="s">
        <v>15</v>
      </c>
      <c r="C19" t="s">
        <v>238</v>
      </c>
      <c r="E19">
        <v>0</v>
      </c>
      <c r="F19" t="s">
        <v>239</v>
      </c>
      <c r="G19" t="s">
        <v>41</v>
      </c>
      <c r="H19">
        <v>1</v>
      </c>
    </row>
    <row r="20" spans="1:9">
      <c r="A20" t="s">
        <v>46</v>
      </c>
      <c r="B20" t="s">
        <v>15</v>
      </c>
      <c r="C20" t="s">
        <v>240</v>
      </c>
      <c r="E20">
        <v>0</v>
      </c>
      <c r="F20" t="s">
        <v>48</v>
      </c>
      <c r="G20" t="s">
        <v>46</v>
      </c>
      <c r="H20">
        <v>1</v>
      </c>
    </row>
    <row r="22" spans="1:9">
      <c r="A22" t="s">
        <v>241</v>
      </c>
      <c r="B22" t="s">
        <v>242</v>
      </c>
      <c r="C22" t="s">
        <v>243</v>
      </c>
      <c r="D22" t="s">
        <v>244</v>
      </c>
      <c r="E22" t="s">
        <v>245</v>
      </c>
      <c r="F22" t="s">
        <v>246</v>
      </c>
      <c r="G22" t="s">
        <v>247</v>
      </c>
      <c r="H22" t="s">
        <v>248</v>
      </c>
      <c r="I22" t="s">
        <v>249</v>
      </c>
    </row>
    <row r="23" spans="1:9">
      <c r="A23" t="s">
        <v>90</v>
      </c>
      <c r="B23" t="s">
        <v>250</v>
      </c>
      <c r="C23" t="s">
        <v>209</v>
      </c>
      <c r="E23" t="s">
        <v>251</v>
      </c>
      <c r="F23">
        <v>4</v>
      </c>
      <c r="G23" t="s">
        <v>22</v>
      </c>
      <c r="H23" t="s">
        <v>252</v>
      </c>
      <c r="I23" t="s">
        <v>253</v>
      </c>
    </row>
    <row r="24" spans="1:9">
      <c r="A24" t="s">
        <v>90</v>
      </c>
      <c r="B24" t="s">
        <v>250</v>
      </c>
      <c r="C24" t="s">
        <v>254</v>
      </c>
      <c r="D24" t="s">
        <v>254</v>
      </c>
      <c r="E24" t="s">
        <v>212</v>
      </c>
      <c r="F24">
        <v>2</v>
      </c>
      <c r="G24" t="s">
        <v>22</v>
      </c>
      <c r="H24" t="s">
        <v>255</v>
      </c>
      <c r="I24" t="s">
        <v>256</v>
      </c>
    </row>
    <row r="25" spans="1:9">
      <c r="A25" t="s">
        <v>90</v>
      </c>
      <c r="B25" t="s">
        <v>257</v>
      </c>
      <c r="C25" t="s">
        <v>258</v>
      </c>
      <c r="E25" t="s">
        <v>259</v>
      </c>
      <c r="F25">
        <v>3</v>
      </c>
      <c r="G25" t="s">
        <v>227</v>
      </c>
      <c r="I25" t="s">
        <v>260</v>
      </c>
    </row>
    <row r="26" spans="1:9">
      <c r="A26" t="s">
        <v>90</v>
      </c>
      <c r="B26" t="s">
        <v>257</v>
      </c>
      <c r="C26" t="s">
        <v>261</v>
      </c>
      <c r="E26" t="s">
        <v>262</v>
      </c>
      <c r="F26">
        <v>54</v>
      </c>
      <c r="G26" t="s">
        <v>227</v>
      </c>
      <c r="I26" t="s">
        <v>260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workbookViewId="0">
      <selection activeCell="C7" sqref="C7"/>
    </sheetView>
  </sheetViews>
  <sheetFormatPr defaultRowHeight="14.25"/>
  <cols>
    <col min="1" max="2" width="14" customWidth="1"/>
    <col min="3" max="3" width="42" customWidth="1"/>
    <col min="4" max="4" width="38" customWidth="1"/>
    <col min="5" max="5" width="12" customWidth="1"/>
    <col min="6" max="6" width="10" customWidth="1"/>
    <col min="7" max="7" width="22" customWidth="1"/>
    <col min="8" max="8" width="20" customWidth="1"/>
    <col min="9" max="9" width="42" customWidth="1"/>
  </cols>
  <sheetData>
    <row r="1" spans="1:9" ht="30">
      <c r="A1" s="2" t="s">
        <v>1</v>
      </c>
      <c r="B1" s="2" t="s">
        <v>2</v>
      </c>
      <c r="C1" s="2" t="s">
        <v>3</v>
      </c>
      <c r="D1" s="2" t="s">
        <v>4</v>
      </c>
      <c r="E1" s="2" t="s">
        <v>107</v>
      </c>
      <c r="F1" s="2" t="s">
        <v>6</v>
      </c>
      <c r="G1" s="2" t="s">
        <v>7</v>
      </c>
      <c r="H1" s="2" t="s">
        <v>108</v>
      </c>
      <c r="I1" s="2" t="s">
        <v>9</v>
      </c>
    </row>
    <row r="2" spans="1:9" ht="28.5">
      <c r="A2" s="1" t="s">
        <v>82</v>
      </c>
      <c r="B2" s="1"/>
      <c r="C2" s="1" t="s">
        <v>83</v>
      </c>
      <c r="D2" s="1" t="s">
        <v>84</v>
      </c>
      <c r="E2" s="1">
        <v>1</v>
      </c>
      <c r="F2" s="1" t="s">
        <v>22</v>
      </c>
      <c r="G2" s="1" t="s">
        <v>29</v>
      </c>
      <c r="H2" s="1" t="s">
        <v>69</v>
      </c>
      <c r="I2" s="1" t="s">
        <v>109</v>
      </c>
    </row>
    <row r="3" spans="1:9" ht="28.5">
      <c r="A3" s="1" t="s">
        <v>82</v>
      </c>
      <c r="B3" s="1"/>
      <c r="C3" s="1" t="s">
        <v>101</v>
      </c>
      <c r="D3" s="1" t="s">
        <v>102</v>
      </c>
      <c r="E3" s="1">
        <v>2</v>
      </c>
      <c r="F3" s="1" t="s">
        <v>22</v>
      </c>
      <c r="G3" s="1" t="s">
        <v>103</v>
      </c>
      <c r="H3" s="1" t="s">
        <v>90</v>
      </c>
      <c r="I3" s="1" t="s">
        <v>109</v>
      </c>
    </row>
    <row r="4" spans="1:9" ht="28.5">
      <c r="A4" s="1" t="s">
        <v>61</v>
      </c>
      <c r="B4" s="1"/>
      <c r="C4" s="1" t="s">
        <v>62</v>
      </c>
      <c r="D4" s="1" t="s">
        <v>63</v>
      </c>
      <c r="E4" s="1">
        <v>3</v>
      </c>
      <c r="F4" s="1" t="s">
        <v>22</v>
      </c>
      <c r="G4" s="1" t="s">
        <v>29</v>
      </c>
      <c r="H4" s="1" t="s">
        <v>49</v>
      </c>
      <c r="I4" s="1" t="s">
        <v>109</v>
      </c>
    </row>
    <row r="5" spans="1:9" ht="28.5">
      <c r="A5" s="1" t="s">
        <v>61</v>
      </c>
      <c r="B5" s="1"/>
      <c r="C5" s="1" t="s">
        <v>62</v>
      </c>
      <c r="D5" s="1" t="s">
        <v>65</v>
      </c>
      <c r="E5" s="1">
        <v>6</v>
      </c>
      <c r="F5" s="1" t="s">
        <v>22</v>
      </c>
      <c r="G5" s="1" t="s">
        <v>29</v>
      </c>
      <c r="H5" s="1" t="s">
        <v>49</v>
      </c>
      <c r="I5" s="1" t="s">
        <v>109</v>
      </c>
    </row>
    <row r="6" spans="1:9" ht="28.5">
      <c r="A6" s="1" t="s">
        <v>91</v>
      </c>
      <c r="B6" s="1"/>
      <c r="C6" s="1" t="s">
        <v>97</v>
      </c>
      <c r="D6" s="1" t="s">
        <v>98</v>
      </c>
      <c r="E6" s="1">
        <v>1</v>
      </c>
      <c r="F6" s="1" t="s">
        <v>22</v>
      </c>
      <c r="G6" s="1" t="s">
        <v>99</v>
      </c>
      <c r="H6" s="1" t="s">
        <v>90</v>
      </c>
      <c r="I6" s="1"/>
    </row>
    <row r="7" spans="1:9" ht="28.5">
      <c r="A7" s="1" t="s">
        <v>91</v>
      </c>
      <c r="B7" s="1"/>
      <c r="C7" s="1" t="s">
        <v>92</v>
      </c>
      <c r="D7" s="1" t="s">
        <v>93</v>
      </c>
      <c r="E7" s="1">
        <v>1</v>
      </c>
      <c r="F7" s="1" t="s">
        <v>22</v>
      </c>
      <c r="G7" s="1" t="s">
        <v>94</v>
      </c>
      <c r="H7" s="1" t="s">
        <v>90</v>
      </c>
      <c r="I7" s="1"/>
    </row>
    <row r="8" spans="1:9">
      <c r="A8" s="1" t="s">
        <v>19</v>
      </c>
      <c r="B8" s="1"/>
      <c r="C8" s="1" t="s">
        <v>20</v>
      </c>
      <c r="D8" s="1" t="s">
        <v>21</v>
      </c>
      <c r="E8" s="1">
        <v>1</v>
      </c>
      <c r="F8" s="1" t="s">
        <v>22</v>
      </c>
      <c r="G8" s="1" t="s">
        <v>23</v>
      </c>
      <c r="H8" s="1" t="s">
        <v>11</v>
      </c>
      <c r="I8" s="1"/>
    </row>
    <row r="9" spans="1:9">
      <c r="A9" s="1" t="s">
        <v>19</v>
      </c>
      <c r="B9" s="1"/>
      <c r="C9" s="1" t="s">
        <v>73</v>
      </c>
      <c r="D9" s="1" t="s">
        <v>74</v>
      </c>
      <c r="E9" s="1">
        <v>1</v>
      </c>
      <c r="F9" s="1" t="s">
        <v>22</v>
      </c>
      <c r="G9" s="1" t="s">
        <v>23</v>
      </c>
      <c r="H9" s="1" t="s">
        <v>69</v>
      </c>
      <c r="I9" s="1"/>
    </row>
    <row r="10" spans="1:9">
      <c r="A10" s="1" t="s">
        <v>19</v>
      </c>
      <c r="B10" s="1"/>
      <c r="C10" s="1" t="s">
        <v>53</v>
      </c>
      <c r="D10" s="1" t="s">
        <v>54</v>
      </c>
      <c r="E10" s="1">
        <v>1</v>
      </c>
      <c r="F10" s="1" t="s">
        <v>22</v>
      </c>
      <c r="G10" s="1" t="s">
        <v>23</v>
      </c>
      <c r="H10" s="1" t="s">
        <v>49</v>
      </c>
      <c r="I10" s="1"/>
    </row>
    <row r="11" spans="1:9" ht="28.5">
      <c r="A11" s="1" t="s">
        <v>40</v>
      </c>
      <c r="B11" s="1"/>
      <c r="C11" s="1" t="s">
        <v>41</v>
      </c>
      <c r="D11" s="1" t="s">
        <v>42</v>
      </c>
      <c r="E11" s="1">
        <v>1</v>
      </c>
      <c r="F11" s="1" t="s">
        <v>15</v>
      </c>
      <c r="G11" s="1" t="s">
        <v>43</v>
      </c>
      <c r="H11" s="1" t="s">
        <v>11</v>
      </c>
      <c r="I11" s="1"/>
    </row>
    <row r="12" spans="1:9" ht="28.5">
      <c r="A12" s="1" t="s">
        <v>40</v>
      </c>
      <c r="B12" s="1"/>
      <c r="C12" s="1" t="s">
        <v>41</v>
      </c>
      <c r="D12" s="1" t="s">
        <v>67</v>
      </c>
      <c r="E12" s="1">
        <v>2</v>
      </c>
      <c r="F12" s="1" t="s">
        <v>15</v>
      </c>
      <c r="G12" s="1" t="s">
        <v>43</v>
      </c>
      <c r="H12" s="1" t="s">
        <v>110</v>
      </c>
      <c r="I12" s="1"/>
    </row>
    <row r="13" spans="1:9" ht="28.5">
      <c r="A13" s="1" t="s">
        <v>40</v>
      </c>
      <c r="B13" s="1"/>
      <c r="C13" s="1" t="s">
        <v>41</v>
      </c>
      <c r="D13" s="1" t="s">
        <v>105</v>
      </c>
      <c r="E13" s="1">
        <v>1</v>
      </c>
      <c r="F13" s="1" t="s">
        <v>15</v>
      </c>
      <c r="G13" s="1" t="s">
        <v>43</v>
      </c>
      <c r="H13" s="1" t="s">
        <v>90</v>
      </c>
      <c r="I13" s="1"/>
    </row>
    <row r="14" spans="1:9">
      <c r="A14" s="1" t="s">
        <v>45</v>
      </c>
      <c r="B14" s="1"/>
      <c r="C14" s="1" t="s">
        <v>46</v>
      </c>
      <c r="D14" s="1" t="s">
        <v>47</v>
      </c>
      <c r="E14" s="1">
        <v>1</v>
      </c>
      <c r="F14" s="1" t="s">
        <v>15</v>
      </c>
      <c r="G14" s="1" t="s">
        <v>48</v>
      </c>
      <c r="H14" s="1" t="s">
        <v>11</v>
      </c>
      <c r="I14" s="1"/>
    </row>
    <row r="15" spans="1:9">
      <c r="A15" s="1" t="s">
        <v>45</v>
      </c>
      <c r="B15" s="1"/>
      <c r="C15" s="1" t="s">
        <v>46</v>
      </c>
      <c r="D15" s="1" t="s">
        <v>68</v>
      </c>
      <c r="E15" s="1">
        <v>1</v>
      </c>
      <c r="F15" s="1" t="s">
        <v>15</v>
      </c>
      <c r="G15" s="1" t="s">
        <v>48</v>
      </c>
      <c r="H15" s="1" t="s">
        <v>49</v>
      </c>
      <c r="I15" s="1"/>
    </row>
    <row r="16" spans="1:9">
      <c r="A16" s="1" t="s">
        <v>45</v>
      </c>
      <c r="B16" s="1"/>
      <c r="C16" s="1" t="s">
        <v>46</v>
      </c>
      <c r="D16" s="1" t="s">
        <v>89</v>
      </c>
      <c r="E16" s="1">
        <v>1</v>
      </c>
      <c r="F16" s="1" t="s">
        <v>15</v>
      </c>
      <c r="G16" s="1" t="s">
        <v>48</v>
      </c>
      <c r="H16" s="1" t="s">
        <v>69</v>
      </c>
      <c r="I16" s="1"/>
    </row>
    <row r="17" spans="1:9">
      <c r="A17" s="1" t="s">
        <v>45</v>
      </c>
      <c r="B17" s="1"/>
      <c r="C17" s="1" t="s">
        <v>46</v>
      </c>
      <c r="D17" s="1" t="s">
        <v>106</v>
      </c>
      <c r="E17" s="1">
        <v>1</v>
      </c>
      <c r="F17" s="1" t="s">
        <v>15</v>
      </c>
      <c r="G17" s="1" t="s">
        <v>48</v>
      </c>
      <c r="H17" s="1" t="s">
        <v>90</v>
      </c>
      <c r="I17" s="1"/>
    </row>
    <row r="18" spans="1:9" ht="28.5">
      <c r="A18" s="1" t="s">
        <v>31</v>
      </c>
      <c r="B18" s="1"/>
      <c r="C18" s="1" t="s">
        <v>35</v>
      </c>
      <c r="D18" s="1" t="s">
        <v>36</v>
      </c>
      <c r="E18" s="1">
        <v>1</v>
      </c>
      <c r="F18" s="1" t="s">
        <v>22</v>
      </c>
      <c r="G18" s="1" t="s">
        <v>29</v>
      </c>
      <c r="H18" s="1" t="s">
        <v>11</v>
      </c>
      <c r="I18" s="1" t="s">
        <v>109</v>
      </c>
    </row>
    <row r="19" spans="1:9" ht="28.5">
      <c r="A19" s="1" t="s">
        <v>31</v>
      </c>
      <c r="B19" s="1"/>
      <c r="C19" s="1" t="s">
        <v>35</v>
      </c>
      <c r="D19" s="1" t="s">
        <v>38</v>
      </c>
      <c r="E19" s="1">
        <v>1</v>
      </c>
      <c r="F19" s="1" t="s">
        <v>22</v>
      </c>
      <c r="G19" s="1" t="s">
        <v>29</v>
      </c>
      <c r="H19" s="1" t="s">
        <v>11</v>
      </c>
      <c r="I19" s="1" t="s">
        <v>109</v>
      </c>
    </row>
    <row r="20" spans="1:9" ht="28.5">
      <c r="A20" s="1" t="s">
        <v>31</v>
      </c>
      <c r="B20" s="1"/>
      <c r="C20" s="1" t="s">
        <v>35</v>
      </c>
      <c r="D20" s="1" t="s">
        <v>57</v>
      </c>
      <c r="E20" s="1">
        <v>1</v>
      </c>
      <c r="F20" s="1" t="s">
        <v>22</v>
      </c>
      <c r="G20" s="1" t="s">
        <v>29</v>
      </c>
      <c r="H20" s="1" t="s">
        <v>49</v>
      </c>
      <c r="I20" s="1" t="s">
        <v>109</v>
      </c>
    </row>
    <row r="21" spans="1:9" ht="28.5">
      <c r="A21" s="1" t="s">
        <v>31</v>
      </c>
      <c r="B21" s="1"/>
      <c r="C21" s="1" t="s">
        <v>35</v>
      </c>
      <c r="D21" s="1" t="s">
        <v>59</v>
      </c>
      <c r="E21" s="1">
        <v>6</v>
      </c>
      <c r="F21" s="1" t="s">
        <v>22</v>
      </c>
      <c r="G21" s="1" t="s">
        <v>29</v>
      </c>
      <c r="H21" s="1" t="s">
        <v>110</v>
      </c>
      <c r="I21" s="1" t="s">
        <v>109</v>
      </c>
    </row>
    <row r="22" spans="1:9" ht="28.5">
      <c r="A22" s="1" t="s">
        <v>31</v>
      </c>
      <c r="B22" s="1"/>
      <c r="C22" s="1" t="s">
        <v>35</v>
      </c>
      <c r="D22" s="1" t="s">
        <v>86</v>
      </c>
      <c r="E22" s="1">
        <v>2</v>
      </c>
      <c r="F22" s="1" t="s">
        <v>22</v>
      </c>
      <c r="G22" s="1" t="s">
        <v>29</v>
      </c>
      <c r="H22" s="1" t="s">
        <v>69</v>
      </c>
      <c r="I22" s="1" t="s">
        <v>109</v>
      </c>
    </row>
    <row r="23" spans="1:9" ht="28.5">
      <c r="A23" s="1" t="s">
        <v>31</v>
      </c>
      <c r="B23" s="1"/>
      <c r="C23" s="1" t="s">
        <v>32</v>
      </c>
      <c r="D23" s="1" t="s">
        <v>33</v>
      </c>
      <c r="E23" s="1">
        <v>1</v>
      </c>
      <c r="F23" s="1" t="s">
        <v>22</v>
      </c>
      <c r="G23" s="1" t="s">
        <v>29</v>
      </c>
      <c r="H23" s="1" t="s">
        <v>11</v>
      </c>
      <c r="I23" s="1" t="s">
        <v>109</v>
      </c>
    </row>
    <row r="24" spans="1:9" ht="28.5">
      <c r="A24" s="1" t="s">
        <v>31</v>
      </c>
      <c r="B24" s="1"/>
      <c r="C24" s="1" t="s">
        <v>32</v>
      </c>
      <c r="D24" s="1" t="s">
        <v>80</v>
      </c>
      <c r="E24" s="1">
        <v>1</v>
      </c>
      <c r="F24" s="1" t="s">
        <v>22</v>
      </c>
      <c r="G24" s="1" t="s">
        <v>29</v>
      </c>
      <c r="H24" s="1" t="s">
        <v>69</v>
      </c>
      <c r="I24" s="1" t="s">
        <v>109</v>
      </c>
    </row>
    <row r="25" spans="1:9">
      <c r="A25" s="1" t="s">
        <v>31</v>
      </c>
      <c r="B25" s="1" t="s">
        <v>76</v>
      </c>
      <c r="C25" s="1" t="s">
        <v>77</v>
      </c>
      <c r="D25" s="1" t="s">
        <v>78</v>
      </c>
      <c r="E25" s="1">
        <v>1</v>
      </c>
      <c r="F25" s="1" t="s">
        <v>22</v>
      </c>
      <c r="G25" s="1" t="s">
        <v>29</v>
      </c>
      <c r="H25" s="1" t="s">
        <v>69</v>
      </c>
      <c r="I25" s="1"/>
    </row>
    <row r="26" spans="1:9" ht="28.5">
      <c r="A26" s="1" t="s">
        <v>12</v>
      </c>
      <c r="B26" s="1"/>
      <c r="C26" s="1" t="s">
        <v>13</v>
      </c>
      <c r="D26" s="1" t="s">
        <v>14</v>
      </c>
      <c r="E26" s="1">
        <v>1</v>
      </c>
      <c r="F26" s="1" t="s">
        <v>15</v>
      </c>
      <c r="G26" s="1" t="s">
        <v>16</v>
      </c>
      <c r="H26" s="1" t="s">
        <v>11</v>
      </c>
      <c r="I26" s="1"/>
    </row>
    <row r="27" spans="1:9" ht="28.5">
      <c r="A27" s="1" t="s">
        <v>12</v>
      </c>
      <c r="B27" s="1"/>
      <c r="C27" s="1" t="s">
        <v>70</v>
      </c>
      <c r="D27" s="1" t="s">
        <v>71</v>
      </c>
      <c r="E27" s="1">
        <v>1</v>
      </c>
      <c r="F27" s="1" t="s">
        <v>15</v>
      </c>
      <c r="G27" s="1" t="s">
        <v>16</v>
      </c>
      <c r="H27" s="1" t="s">
        <v>69</v>
      </c>
      <c r="I27" s="1"/>
    </row>
    <row r="28" spans="1:9" ht="28.5">
      <c r="A28" s="1" t="s">
        <v>12</v>
      </c>
      <c r="B28" s="1"/>
      <c r="C28" s="1" t="s">
        <v>50</v>
      </c>
      <c r="D28" s="1" t="s">
        <v>51</v>
      </c>
      <c r="E28" s="1">
        <v>1</v>
      </c>
      <c r="F28" s="1" t="s">
        <v>15</v>
      </c>
      <c r="G28" s="1" t="s">
        <v>16</v>
      </c>
      <c r="H28" s="1" t="s">
        <v>49</v>
      </c>
      <c r="I28" s="1"/>
    </row>
    <row r="29" spans="1:9" ht="28.5">
      <c r="A29" s="1" t="s">
        <v>26</v>
      </c>
      <c r="B29" s="1"/>
      <c r="C29" s="1" t="s">
        <v>27</v>
      </c>
      <c r="D29" s="1" t="s">
        <v>28</v>
      </c>
      <c r="E29" s="1">
        <v>1</v>
      </c>
      <c r="F29" s="1" t="s">
        <v>22</v>
      </c>
      <c r="G29" s="1" t="s">
        <v>29</v>
      </c>
      <c r="H29" s="1" t="s">
        <v>11</v>
      </c>
      <c r="I29" s="1" t="s">
        <v>109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25"/>
  <cols>
    <col min="1" max="1" width="40" customWidth="1"/>
    <col min="2" max="2" width="50" customWidth="1"/>
    <col min="3" max="3" width="70" customWidth="1"/>
  </cols>
  <sheetData>
    <row r="1" spans="1:3" ht="15">
      <c r="A1" s="3" t="s">
        <v>111</v>
      </c>
      <c r="B1" s="3" t="s">
        <v>112</v>
      </c>
      <c r="C1" s="3" t="s">
        <v>9</v>
      </c>
    </row>
    <row r="2" spans="1:3" ht="28.5">
      <c r="A2" s="1" t="s">
        <v>113</v>
      </c>
      <c r="B2" s="1" t="s">
        <v>114</v>
      </c>
      <c r="C2" s="1" t="s">
        <v>115</v>
      </c>
    </row>
    <row r="3" spans="1:3" ht="28.5">
      <c r="A3" s="1" t="s">
        <v>116</v>
      </c>
      <c r="B3" s="1" t="s">
        <v>117</v>
      </c>
      <c r="C3" s="1" t="s">
        <v>118</v>
      </c>
    </row>
    <row r="4" spans="1:3" ht="28.5">
      <c r="A4" s="1" t="s">
        <v>119</v>
      </c>
      <c r="B4" s="1" t="s">
        <v>120</v>
      </c>
      <c r="C4" s="1" t="s">
        <v>121</v>
      </c>
    </row>
    <row r="5" spans="1:3" ht="28.5">
      <c r="A5" s="1" t="s">
        <v>122</v>
      </c>
      <c r="B5" s="1" t="s">
        <v>123</v>
      </c>
      <c r="C5" s="1" t="s">
        <v>124</v>
      </c>
    </row>
    <row r="6" spans="1:3" ht="28.5">
      <c r="A6" s="1" t="s">
        <v>125</v>
      </c>
      <c r="B6" s="1" t="s">
        <v>126</v>
      </c>
      <c r="C6" s="1" t="s">
        <v>127</v>
      </c>
    </row>
    <row r="7" spans="1:3" ht="28.5">
      <c r="A7" s="1" t="s">
        <v>128</v>
      </c>
      <c r="B7" s="1" t="s">
        <v>129</v>
      </c>
      <c r="C7" s="1" t="s">
        <v>130</v>
      </c>
    </row>
    <row r="8" spans="1:3" ht="28.5">
      <c r="A8" s="1" t="s">
        <v>128</v>
      </c>
      <c r="B8" s="1" t="s">
        <v>131</v>
      </c>
      <c r="C8" s="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BOM_CHINT</vt:lpstr>
      <vt:lpstr>fiyat tekl</vt:lpstr>
      <vt:lpstr>ups ve post upravlenıa</vt:lpstr>
      <vt:lpstr>ЩУз gp</vt:lpstr>
      <vt:lpstr>Satinalma_Ozet</vt:lpstr>
      <vt:lpstr>Kaynak_Not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2026-05-25T11:17:19Z</dcterms:modified>
</cp:coreProperties>
</file>