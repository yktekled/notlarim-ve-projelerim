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30 m akay arif bey silocu\"/>
    </mc:Choice>
  </mc:AlternateContent>
  <xr:revisionPtr revIDLastSave="0" documentId="13_ncr:1_{C076C946-D186-43C3-9D68-FEE093399EA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  <sheet name="СВОД" sheetId="2" r:id="rId2"/>
    <sheet name="Kurall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1" i="3" l="1"/>
  <c r="F21" i="3"/>
  <c r="G2" i="3"/>
  <c r="G2" i="1"/>
  <c r="F2" i="3"/>
  <c r="F2" i="1"/>
  <c r="G27" i="1"/>
  <c r="H27" i="1" s="1"/>
  <c r="L27" i="1" s="1"/>
  <c r="G29" i="1"/>
  <c r="H29" i="1" s="1"/>
  <c r="L29" i="1" s="1"/>
  <c r="I46" i="3"/>
  <c r="I46" i="1"/>
  <c r="I19" i="3"/>
  <c r="I19" i="1"/>
  <c r="I39" i="3"/>
  <c r="I39" i="1"/>
  <c r="G32" i="1"/>
  <c r="H32" i="1" s="1"/>
  <c r="L32" i="1" s="1"/>
  <c r="G31" i="1"/>
  <c r="H31" i="1" s="1"/>
  <c r="L31" i="1" s="1"/>
  <c r="G8" i="3"/>
  <c r="G8" i="1"/>
  <c r="H8" i="1" s="1"/>
  <c r="L8" i="1" s="1"/>
  <c r="G4" i="3"/>
  <c r="G4" i="1"/>
  <c r="G22" i="3"/>
  <c r="G22" i="1"/>
  <c r="H22" i="1" s="1"/>
  <c r="G3" i="3"/>
  <c r="G3" i="1"/>
  <c r="H3" i="1" s="1"/>
  <c r="D21" i="3"/>
  <c r="D20" i="3"/>
  <c r="E20" i="3" s="1"/>
  <c r="D19" i="3"/>
  <c r="E19" i="3" s="1"/>
  <c r="D18" i="3"/>
  <c r="E18" i="3" s="1"/>
  <c r="D17" i="3"/>
  <c r="E17" i="3" s="1"/>
  <c r="D16" i="3"/>
  <c r="E16" i="3" s="1"/>
  <c r="G6" i="2"/>
  <c r="B6" i="2"/>
  <c r="G5" i="2"/>
  <c r="B5" i="2"/>
  <c r="G4" i="2"/>
  <c r="B4" i="2"/>
  <c r="G46" i="1"/>
  <c r="G44" i="1"/>
  <c r="H44" i="1" s="1"/>
  <c r="L44" i="1" s="1"/>
  <c r="G43" i="1"/>
  <c r="H43" i="1" s="1"/>
  <c r="L43" i="1" s="1"/>
  <c r="G42" i="1"/>
  <c r="H42" i="1" s="1"/>
  <c r="B41" i="1"/>
  <c r="G39" i="1"/>
  <c r="G37" i="1"/>
  <c r="H37" i="1" s="1"/>
  <c r="L37" i="1" s="1"/>
  <c r="G36" i="1"/>
  <c r="H36" i="1" s="1"/>
  <c r="L36" i="1" s="1"/>
  <c r="G35" i="1"/>
  <c r="H35" i="1" s="1"/>
  <c r="L35" i="1" s="1"/>
  <c r="G34" i="1"/>
  <c r="H34" i="1" s="1"/>
  <c r="L34" i="1" s="1"/>
  <c r="G33" i="1"/>
  <c r="H33" i="1" s="1"/>
  <c r="L33" i="1" s="1"/>
  <c r="G30" i="1"/>
  <c r="H30" i="1" s="1"/>
  <c r="L30" i="1" s="1"/>
  <c r="G28" i="1"/>
  <c r="H28" i="1" s="1"/>
  <c r="L28" i="1" s="1"/>
  <c r="G26" i="1"/>
  <c r="H26" i="1" s="1"/>
  <c r="L26" i="1" s="1"/>
  <c r="G25" i="1"/>
  <c r="H25" i="1" s="1"/>
  <c r="L25" i="1" s="1"/>
  <c r="G24" i="1"/>
  <c r="H24" i="1" s="1"/>
  <c r="L24" i="1" s="1"/>
  <c r="G23" i="1"/>
  <c r="H23" i="1" s="1"/>
  <c r="L23" i="1" s="1"/>
  <c r="B21" i="1"/>
  <c r="G19" i="1"/>
  <c r="G17" i="1"/>
  <c r="H17" i="1" s="1"/>
  <c r="L17" i="1" s="1"/>
  <c r="G16" i="1"/>
  <c r="H16" i="1" s="1"/>
  <c r="L16" i="1" s="1"/>
  <c r="G15" i="1"/>
  <c r="H15" i="1" s="1"/>
  <c r="L15" i="1" s="1"/>
  <c r="G14" i="1"/>
  <c r="H14" i="1" s="1"/>
  <c r="L14" i="1" s="1"/>
  <c r="G13" i="1"/>
  <c r="H13" i="1" s="1"/>
  <c r="L13" i="1" s="1"/>
  <c r="G12" i="1"/>
  <c r="H12" i="1" s="1"/>
  <c r="L12" i="1" s="1"/>
  <c r="G11" i="1"/>
  <c r="H11" i="1" s="1"/>
  <c r="L11" i="1" s="1"/>
  <c r="G10" i="1"/>
  <c r="H10" i="1" s="1"/>
  <c r="L10" i="1" s="1"/>
  <c r="G9" i="1"/>
  <c r="H9" i="1" s="1"/>
  <c r="L9" i="1" s="1"/>
  <c r="G7" i="1"/>
  <c r="H7" i="1" s="1"/>
  <c r="L7" i="1" s="1"/>
  <c r="G6" i="1"/>
  <c r="H6" i="1" s="1"/>
  <c r="L6" i="1" s="1"/>
  <c r="G5" i="1"/>
  <c r="H5" i="1" s="1"/>
  <c r="L5" i="1" s="1"/>
  <c r="H4" i="1"/>
  <c r="L4" i="1" s="1"/>
  <c r="B2" i="1"/>
  <c r="H46" i="1" l="1"/>
  <c r="E6" i="2" s="1"/>
  <c r="D5" i="2"/>
  <c r="H39" i="1"/>
  <c r="E5" i="2" s="1"/>
  <c r="L22" i="1"/>
  <c r="G38" i="1"/>
  <c r="H38" i="1" s="1"/>
  <c r="L38" i="1" s="1"/>
  <c r="H40" i="1"/>
  <c r="G18" i="1"/>
  <c r="H18" i="1" s="1"/>
  <c r="L18" i="1" s="1"/>
  <c r="L3" i="1"/>
  <c r="L42" i="1"/>
  <c r="G45" i="1"/>
  <c r="H45" i="1" s="1"/>
  <c r="L45" i="1" s="1"/>
  <c r="D6" i="2"/>
  <c r="F5" i="2" l="1"/>
  <c r="F21" i="1"/>
  <c r="G21" i="1" s="1"/>
  <c r="L20" i="1"/>
  <c r="C4" i="2" s="1"/>
  <c r="H47" i="1"/>
  <c r="F6" i="2" s="1"/>
  <c r="L47" i="1"/>
  <c r="C6" i="2" s="1"/>
  <c r="L40" i="1"/>
  <c r="C5" i="2" s="1"/>
  <c r="C7" i="2" l="1"/>
  <c r="L61" i="1"/>
  <c r="H19" i="1" l="1"/>
  <c r="H20" i="1" s="1"/>
  <c r="H61" i="1" s="1"/>
  <c r="D4" i="2"/>
  <c r="D7" i="2" s="1"/>
  <c r="D9" i="2" s="1"/>
  <c r="E4" i="2" l="1"/>
  <c r="E7" i="2" s="1"/>
  <c r="F4" i="2"/>
  <c r="F7" i="2" s="1"/>
</calcChain>
</file>

<file path=xl/sharedStrings.xml><?xml version="1.0" encoding="utf-8"?>
<sst xmlns="http://schemas.openxmlformats.org/spreadsheetml/2006/main" count="493" uniqueCount="243">
  <si>
    <t>ROW</t>
  </si>
  <si>
    <t>Наименование1</t>
  </si>
  <si>
    <t>Тип матер.</t>
  </si>
  <si>
    <t>Артикул</t>
  </si>
  <si>
    <t>Номенклатура</t>
  </si>
  <si>
    <t>Цена лист</t>
  </si>
  <si>
    <t>Цена нетто KZT</t>
  </si>
  <si>
    <t>Сумма KZT</t>
  </si>
  <si>
    <t>Qty</t>
  </si>
  <si>
    <t>Ед.изм.</t>
  </si>
  <si>
    <t>Завод</t>
  </si>
  <si>
    <t>malz(тутар)</t>
  </si>
  <si>
    <t>мал.группа</t>
  </si>
  <si>
    <t>комплект</t>
  </si>
  <si>
    <t>korpus</t>
  </si>
  <si>
    <t>шт</t>
  </si>
  <si>
    <t>EKT</t>
  </si>
  <si>
    <t>Ввод</t>
  </si>
  <si>
    <t>rubilnik</t>
  </si>
  <si>
    <t>CHINT</t>
  </si>
  <si>
    <t>fu</t>
  </si>
  <si>
    <t>521368</t>
  </si>
  <si>
    <t>Держатель плавкой вставки RT36-2-400, габарит 2, 400А — замена основания ППН-37 (2 ввода x 3 фазы)</t>
  </si>
  <si>
    <t>521215</t>
  </si>
  <si>
    <t>Плавкая вставка предохранителя RT36-2-400, габарит 2, 315А — замена ППН-37 315А (2 ввода x 3 фазы)</t>
  </si>
  <si>
    <t>sayac</t>
  </si>
  <si>
    <t>SAIMAN</t>
  </si>
  <si>
    <t>Учет</t>
  </si>
  <si>
    <t>tt</t>
  </si>
  <si>
    <t>VP</t>
  </si>
  <si>
    <t>Трансформатор тока ТШП-0,66 У3, кл.точн. 0,5, 300/5А — замена ТК-300/5 (3 шт на счетчик)</t>
  </si>
  <si>
    <t>OTO</t>
  </si>
  <si>
    <t>814014</t>
  </si>
  <si>
    <t>Авт. выкл. NXB-63 1P 16A 6кА х-ка C — замена АЕ1031 (цепь освещения/сервиса панели)</t>
  </si>
  <si>
    <t>Sinyal Lambası</t>
  </si>
  <si>
    <t>593075</t>
  </si>
  <si>
    <t>Индикатор ND16-22D/2 красный AC/DC 230В — замена НВ2У (сигнализация ввода)</t>
  </si>
  <si>
    <t>LOOBAR</t>
  </si>
  <si>
    <t>130300554_</t>
  </si>
  <si>
    <t>м</t>
  </si>
  <si>
    <t>Бара</t>
  </si>
  <si>
    <t>130300473_</t>
  </si>
  <si>
    <t>130500106_</t>
  </si>
  <si>
    <t>Изолятор SM40 с болтом М8, 475А, 12кВ UNIT — опоры шин</t>
  </si>
  <si>
    <t>IEK/UNIT</t>
  </si>
  <si>
    <t>Klemens</t>
  </si>
  <si>
    <t>130301157_</t>
  </si>
  <si>
    <t>Клемма ЗНИ 16 мм² (100А) серая UNIT — цепи учета, управления, сигнализации</t>
  </si>
  <si>
    <t>Клемма</t>
  </si>
  <si>
    <t>130301156_</t>
  </si>
  <si>
    <t>Клемма ЗНИ 10 мм² (70А) синяя UNIT — нулевые цепи учета</t>
  </si>
  <si>
    <t>montajный материал</t>
  </si>
  <si>
    <t>570003</t>
  </si>
  <si>
    <t>DIN-рейка оцинкованная TH35-7.5, 1000 мм</t>
  </si>
  <si>
    <t>Монтаж</t>
  </si>
  <si>
    <t>280100020_</t>
  </si>
  <si>
    <t>Кабель-канал перфорированный 40х40 ИМПАКТ IEK</t>
  </si>
  <si>
    <t>Монтажные материалы: крепеж, шпильки, наконечники ТМЛ/НШВИ, провод ПВ3, бирки/маркировка, стяжки, лак, изолента — %% от материала панели</t>
  </si>
  <si>
    <t>компл.</t>
  </si>
  <si>
    <t>montajная работа</t>
  </si>
  <si>
    <t>Сборка, монтаж, шинный монтаж, маркировка, испытание и контроль (по нормам времени, лист Kurallar)</t>
  </si>
  <si>
    <t>мин</t>
  </si>
  <si>
    <t>işçilik</t>
  </si>
  <si>
    <t>Toplam ВРУ1-13-20 УХЛ4 — Вводная панель (2 ввода 315А, учет, ПЦ)</t>
  </si>
  <si>
    <t>250200159_</t>
  </si>
  <si>
    <t>Корпус ВРУ-1-50 (1700x800x440) пустой щит, металл, IP31</t>
  </si>
  <si>
    <t>Распред</t>
  </si>
  <si>
    <t>521367</t>
  </si>
  <si>
    <t>C1,C7</t>
  </si>
  <si>
    <t>C2,C8</t>
  </si>
  <si>
    <t>C3,C6</t>
  </si>
  <si>
    <t>521260</t>
  </si>
  <si>
    <t>Держатель плавкой вставки RT36-00-160, габарит 00, 160А — замена основания ППН-33 (2 линии x 3 фазы)</t>
  </si>
  <si>
    <t>C4,C9</t>
  </si>
  <si>
    <t>521339</t>
  </si>
  <si>
    <t>Плавкая вставка RT36-00-160, габарит 00, 20А — ППН-33 20А, линии C4 и C9 (2 x 3 фазы)</t>
  </si>
  <si>
    <t>521371</t>
  </si>
  <si>
    <t>Рукоятка для съема плавкой вставки серии RT36</t>
  </si>
  <si>
    <t>Клемма ЗНИ 16 мм² (100А) серая UNIT — цепи учета и вторичной коммутации</t>
  </si>
  <si>
    <t>Toplam ВРУ1-47-00 УХЛ4 — Распределительная панель (8 линий: C1-C4, C6-C9)</t>
  </si>
  <si>
    <t>Блок автоматического управления освещением на 14 групп (SF1...SF30)</t>
  </si>
  <si>
    <t>Освещ.</t>
  </si>
  <si>
    <t>Toplam Блок автоматического управления освещением на 14 групп (SF1...SF30)</t>
  </si>
  <si>
    <t>KONTROL EDILECEK / ПОДЛЕЖИТ УТОЧНЕНИЮ — Qty=0, вне итогов SUBTOTAL</t>
  </si>
  <si>
    <t>opn</t>
  </si>
  <si>
    <t>252546</t>
  </si>
  <si>
    <t>ОПН NU6-IIG 3Р In=25kA Uc=440В Im=65kA — предполагаемая замена блока "КЗ" на схеме (2 ввода). Блок не идентифицирован → уточнить у проектировщика. Предложение: 2 шт</t>
  </si>
  <si>
    <t>Ввод / КЗ</t>
  </si>
  <si>
    <t>521341</t>
  </si>
  <si>
    <t>Плавкая вставка RT36-00-160, габарит 00, 32А — защита ОПН, если блок "КЗ" = ОПН. Предложение: 6 шт</t>
  </si>
  <si>
    <t>814176</t>
  </si>
  <si>
    <t>Авт. выкл. NXB-63 3P 63A 6кА х-ка C — вводной автомат блока АУО освещения. Номинал на схеме не указан. Предложение: 1 шт</t>
  </si>
  <si>
    <t>Освещ. вводной</t>
  </si>
  <si>
    <t>814170</t>
  </si>
  <si>
    <t>Авт. выкл. NXB-63 3P 16A 6кА х-ка C — групповые автоматы освещения. Номинал/полюсность не указаны. Предложение: 14 шт (14 групп)</t>
  </si>
  <si>
    <t>SF1...SF14</t>
  </si>
  <si>
    <t>296710</t>
  </si>
  <si>
    <t>Авт. выкл. NXB-63S 1P 16A 4.5кА х-ка C — вариант, если SF1...SF30 = 30 однополюсных автоматов. Предложение: 30 шт</t>
  </si>
  <si>
    <t>SF1...SF30</t>
  </si>
  <si>
    <t>kontaktör</t>
  </si>
  <si>
    <t>221726</t>
  </si>
  <si>
    <t>Контактор NC1-2504, 25А, 4P, 230В 50Гц — автоматическое управление группами освещения. Количество зависит от схемы управления. Предложение: 14 шт</t>
  </si>
  <si>
    <t>Röle</t>
  </si>
  <si>
    <t>310024</t>
  </si>
  <si>
    <t>Таймер электронный NKG3 AC230В — автоматика включения освещения (астрономические/суточные уставки). Предложение: 1 шт</t>
  </si>
  <si>
    <t>593077</t>
  </si>
  <si>
    <t>Индикатор ND16-22D/2 зеленый AC/DC 230В — индикация групп/режима. Предложение: по схеме</t>
  </si>
  <si>
    <t>Клемма ЗНИ 16 мм² (100А) серая UNIT — выходные клеммы 14 групп освещения. Предложение: 45 шт</t>
  </si>
  <si>
    <t>Шина медная 4х30 мм — сборная шина блока АУО. Длина зависит от компоновки. Предложение: 6 м</t>
  </si>
  <si>
    <t>Держатель RT36-1-250, габарит 1 + вставка — резервная линия C5 панели ВРУ1-47-00, если резерв комплектуется. Предложение: 3 шт</t>
  </si>
  <si>
    <t>C5 резерв</t>
  </si>
  <si>
    <t>Индикатор ND16-22D/2 красный AC/DC 230В — дополнительные 4 шт, если требуется контроль всех 3 фаз на обоих вводах (итого 6 вместо 2)</t>
  </si>
  <si>
    <t>ВСЕГО ПО ПРОЕКТУ (без раздела KONTROL)</t>
  </si>
  <si>
    <t>СВОД ПО ПАНЕЛЯМ — 260730 M.AKAY ARIF (silocu), ВРУ-1, CHINT</t>
  </si>
  <si>
    <t>№</t>
  </si>
  <si>
    <t>Панель</t>
  </si>
  <si>
    <t>Материал, KZT</t>
  </si>
  <si>
    <t>Работа, мин</t>
  </si>
  <si>
    <t>Работа, KZT</t>
  </si>
  <si>
    <t>ИТОГО, KZT</t>
  </si>
  <si>
    <t>Кол-во компл.</t>
  </si>
  <si>
    <t>Статус</t>
  </si>
  <si>
    <t>ПОЛНАЯ</t>
  </si>
  <si>
    <t>НЕПОЛНАЯ — см. Kurallar</t>
  </si>
  <si>
    <t>ИТОГО ПО ПРОЕКТУ</t>
  </si>
  <si>
    <t>Работа, часов (справочно)</t>
  </si>
  <si>
    <t>Панель 3 укомплектована не полностью: внутреннее оборудование блока АУО освещения (SF1...SF30 / 14 групп) не задано на чертеже. См. раздел KONTROL в листе BOM и лист Kurallar.</t>
  </si>
  <si>
    <t>Прайс-лист EKT от 17.06.2025 — YAS_DURUM = "ВНИМАНИЕ" (&gt;12 мес). Корпуса, шина, клеммы, кабель-канал, изоляторы. Запросить прайс EKT 2026 до выдачи цены клиенту.</t>
  </si>
  <si>
    <t>KURALLAR / ПАРАМЕТРЫ  —  YSF HICH BOM ROBOTU</t>
  </si>
  <si>
    <t>Желтые ячейки = редактируемые параметры  |  Sari hucreler = duzenlenebilir parametreler</t>
  </si>
  <si>
    <t>Проект / Proje</t>
  </si>
  <si>
    <t>260730 M.AKAY ARIF (silocu) — ВРУ-1</t>
  </si>
  <si>
    <t>Дата BOM</t>
  </si>
  <si>
    <t>Основной бренд / Ana marka</t>
  </si>
  <si>
    <t>Порог "ВНИМАНИЕ", мес</t>
  </si>
  <si>
    <t>Порог "ЗАПРЕЩЕНО", мес</t>
  </si>
  <si>
    <t>Курс EUR/KZT</t>
  </si>
  <si>
    <t>в этом BOM не используется (нет позиций ABB / Schneider)</t>
  </si>
  <si>
    <t>Курс TL/KZT</t>
  </si>
  <si>
    <t>в этом BOM не используется</t>
  </si>
  <si>
    <t>Монтажные материалы, % от материала</t>
  </si>
  <si>
    <t>Ставка работы, KZT/мин</t>
  </si>
  <si>
    <t>Коэф. испытание/маркировка/контроль</t>
  </si>
  <si>
    <t>АУДИТ ПРАЙС-ЛИСТОВ / FİYAT LİSTESİ YAŞ DENETİMİ</t>
  </si>
  <si>
    <t>Марка</t>
  </si>
  <si>
    <t>Коэффициент</t>
  </si>
  <si>
    <t>Дата прайса</t>
  </si>
  <si>
    <t>Возраст, мес</t>
  </si>
  <si>
    <t>YAS_DURUM</t>
  </si>
  <si>
    <t>Примечание</t>
  </si>
  <si>
    <t>Прайс + остатки. Основной бренд BOM.</t>
  </si>
  <si>
    <t>Счетчики Дала / ТТ ТШП. Актуально.</t>
  </si>
  <si>
    <t>Корпуса ВРУ, шина, клеммы, кабель-канал.</t>
  </si>
  <si>
    <t>ABB</t>
  </si>
  <si>
    <t>Станд. x0.30 / ACB ayarlı-açık tip x0.23. Не исп.</t>
  </si>
  <si>
    <t>SCHNEIDER</t>
  </si>
  <si>
    <t>LEGRAND</t>
  </si>
  <si>
    <t>CNC</t>
  </si>
  <si>
    <t>KLEMSAN</t>
  </si>
  <si>
    <t>ONKA</t>
  </si>
  <si>
    <t>EKF</t>
  </si>
  <si>
    <t>НОРМЫ ВРЕМЕНИ / İŞÇİLİK ZAMAN NORMLARI</t>
  </si>
  <si>
    <t>Операция</t>
  </si>
  <si>
    <t>Норма</t>
  </si>
  <si>
    <t>Ед.</t>
  </si>
  <si>
    <t>мин/шт</t>
  </si>
  <si>
    <t>Корпус средний — подготовка</t>
  </si>
  <si>
    <t>Корпус малый — подготовка</t>
  </si>
  <si>
    <t>Рубильник / перекидной рубильник 250-630А</t>
  </si>
  <si>
    <t>Автомат TMS (MCCB) до 250А</t>
  </si>
  <si>
    <t>Автомат TMS (MCCB) 315-630А</t>
  </si>
  <si>
    <t>Автомат OTO 1P</t>
  </si>
  <si>
    <t>Автомат OTO 3P</t>
  </si>
  <si>
    <t>Держатель предохранителя габарит 2 (400А)</t>
  </si>
  <si>
    <t>Держатель предохранителя габарит 1 (250А)</t>
  </si>
  <si>
    <t>Держатель предохранителя габарит 00 (160А)</t>
  </si>
  <si>
    <t>Плавкая вставка — установка</t>
  </si>
  <si>
    <t>ОПН / parafudr</t>
  </si>
  <si>
    <t>Счетчик + ТТ (комплект учета)</t>
  </si>
  <si>
    <t>мин/компл</t>
  </si>
  <si>
    <t>Клемма ЗНИ / рядная клемма</t>
  </si>
  <si>
    <t>Сигнальная лампа / индикатор</t>
  </si>
  <si>
    <t>Контактор</t>
  </si>
  <si>
    <t>Шина медная — резка, гибка, сверление, монтаж</t>
  </si>
  <si>
    <t>мин/м</t>
  </si>
  <si>
    <t>DIN-рейка / кабель-канал</t>
  </si>
  <si>
    <t>Изолятор шинный SM</t>
  </si>
  <si>
    <t>ЗАМЕЧАНИЯ, ФЛАГИ И ДОПУЩЕНИЯ / NOTLAR - UYARILAR</t>
  </si>
  <si>
    <t>Тип</t>
  </si>
  <si>
    <t>Замечание</t>
  </si>
  <si>
    <t>FIYAT</t>
  </si>
  <si>
    <t>EKT прайс от 17.06.2025 — возраст &gt;12 мес → YAS_DURUM = "ВНИМАНИЕ". Корпуса ВРУ, шина медная, клеммы, кабель-канал, изоляторы взяты из этого прайса. Перед выдачей клиенту запросить прайс EKT 2026.</t>
  </si>
  <si>
    <t>CHINT прайс 13.06.2026 и SAIMAN 2026 — актуальны.</t>
  </si>
  <si>
    <t>KLEMSAN (11.2022), ONKA (07.2022), EKF (02.2022) — ЗАПРЕЩЕНЫ для расчета цены. В этом BOM не использованы.</t>
  </si>
  <si>
    <t>STOK</t>
  </si>
  <si>
    <t>CHINT остатки на 28.07.2026: 521215 (вставка RT36-2-400 315А) — 0 на складе; 521186/521181 (вставка RT36-1-250 125А/100А) — 0 на складе; 521339 (вставка RT36-00-160 20А) — 0 на складе. Уточнить срок поставки у CHINT.</t>
  </si>
  <si>
    <t>MUADIL</t>
  </si>
  <si>
    <t>ППН-37 315А → CHINT RT36-2-400 габарит 2, 315А + держатель RT36-2-400. ППН-35 → RT36-1-250 габарит 1. ППН-33 → RT36-00-160 габарит 00. Габариты и присоединения совпадают с ППН.</t>
  </si>
  <si>
    <t>ПЦ (переключатель цепей ВРУ1-13-20) → CHINT перекидной рубильник NH40-400/3CS, 3P, 400А, 3 положения I-0-II. Ввод 315А укладывается в габарит 400А.</t>
  </si>
  <si>
    <t>ТК-300/5 → SAIMAN ТШП-0,66 У3 кл.0,5 300/5А. В прайсе CHINT трансформатора 300/5 нет (только BH-0.66 150/5, 400/5).</t>
  </si>
  <si>
    <t>СА4-3720 5А (через ТТ) → SAIMAN Дала СА4У-Э720 3x220/380V 5-7,5А. СА4-3720 5-60А (прямое вкл.) → SAIMAN Дала СА4-Э720 3x220/380V 5-60А. Счетчиков в прайсе CHINT нет.</t>
  </si>
  <si>
    <t>АЕ1031 (цепь освещения/сервиса панели) → CHINT NXB-63 1P C16. Номинал АЕ1031 на схеме не указан → C16 принят как рабочее допущение, подтвердить.</t>
  </si>
  <si>
    <t>KORPUS</t>
  </si>
  <si>
    <t>Корпуса: EKT ВРУ-1 пустой щит 1700x800x440 (металл). Пластиковые корпуса CHINT NEX5 как корпус ВРУ не принимаются.</t>
  </si>
  <si>
    <t>KONTROL</t>
  </si>
  <si>
    <t>Блок "КЗ" на схеме (прямоугольник с плавким элементом и знаком заземления, 2 шт — по одному на ввод) НЕ ИДЕНТИФИЦИРОВАН. Вероятно ОПН (parafudr) с предохранителем. Внесен в раздел KONTROL с Qty=0. Требуется уточнение у проектировщика.</t>
  </si>
  <si>
    <t>Панель "Блок автоматического управления освещением на 14 групп": на схеме показаны SF1...SF30 на сборной шине, но в таблице указано "14 групп". Номиналы, полюсность автоматов, наличие контакторов/фотореле/таймера НЕ УКАЗАНЫ. Внутреннее оборудование внесено в раздел KONTROL с Qty=0. Цена панели 3 НЕПОЛНАЯ.</t>
  </si>
  <si>
    <t>НВ2У (лампа) — 2 шт по схеме (по 1 на ввод). Для контроля фаз обычно требуется 3 индикатора на секцию (L1/L2/L3) = 6 шт. Принято 2 шт строго по схеме. Подтвердить.</t>
  </si>
  <si>
    <t>Линия C5 в таблице панели ВРУ1-47-00 пустая (резерв). Оборудование на C5 не заложено. Подтвердить, нужен ли резервный комплект ППН-35.</t>
  </si>
  <si>
    <t>SAYIM</t>
  </si>
  <si>
    <t>Двойная проверка предохранителей ВРУ1-47-00: по схеме C1,C2,C3,C4,C6,C7,C8,C9 = 8 линий → 6 x габарит 1 (160/125/100/100/160/125А) + 2 x габарит 00 (20А). Таблица чертежа: '6 ППН-35 + 2 ППН-33'. СОВПАДАЕТ.</t>
  </si>
  <si>
    <t>Каждый 3-фазный символ предохранителя = 3 плавкие вставки + 3 держателя (komplekt kuralı). ТТ = 3 шт на один 3-фазный счетчик.</t>
  </si>
  <si>
    <t>BARA</t>
  </si>
  <si>
    <t>Шина медная 4х30 мм (Iдоп ≈ 475А по ПУЭ 1.3.31) для 3L+N при вводе 315А. PE — шина медная 3х20. Цена за метр = цена отрезка 4000 мм / 4.</t>
  </si>
  <si>
    <t>Длины шин (14 м / 12 м / 1 м) — расчетная оценка по габариту корпуса 1700x800x440. Уточняется при раскладке в цеху.</t>
  </si>
  <si>
    <t>MODUL</t>
  </si>
  <si>
    <t>Внутри панели материал дается на 1 панель, на количество комплектов не умножается.</t>
  </si>
  <si>
    <t>EXCEL</t>
  </si>
  <si>
    <t>Итоги — SUBTOTAL(9;...). Пустая ячейка цены = данных нет (0 не подставляется). Строки KONTROL вне диапазонов SUBTOTAL.</t>
  </si>
  <si>
    <t>719-15043</t>
  </si>
  <si>
    <t>Мет. Щит ВРУ 1700х800х450+10CM База</t>
  </si>
  <si>
    <t>kaztek</t>
  </si>
  <si>
    <t>270100161_</t>
  </si>
  <si>
    <t>Рубильник ВР-32-37  В71250-400А на 2 направления (+6камер) UNIT (1/6)</t>
  </si>
  <si>
    <t>pys</t>
  </si>
  <si>
    <t>IA</t>
  </si>
  <si>
    <t>ДАЛА СА4У-Э720 R TX OP П RS1 Д W  (3x220/380V 5-7,5A)</t>
  </si>
  <si>
    <t>Шина медн.3х20х4000</t>
  </si>
  <si>
    <t>NC</t>
  </si>
  <si>
    <t>Дала TX П СА4-Э720 (3x220/380V 5-60A)</t>
  </si>
  <si>
    <t>130200153_</t>
  </si>
  <si>
    <t>Шина алюм АД31Т  4х40х4000</t>
  </si>
  <si>
    <t>719-156</t>
  </si>
  <si>
    <t>521236</t>
  </si>
  <si>
    <t>Плавкая вставка предохранителя RT36-0-160, габарит 0, 160А</t>
  </si>
  <si>
    <t>521234</t>
  </si>
  <si>
    <t>Плавкая вставка предохранителя RT36-0-160, габарит 0, 125А</t>
  </si>
  <si>
    <t>521232</t>
  </si>
  <si>
    <t>Плавкая вставка предохранителя RT36-0-160, габарит 0, 100А</t>
  </si>
  <si>
    <t>Держатель плавкой вставки RT36-00-160, габарит 00, 160А</t>
  </si>
  <si>
    <t>ВРУ1-47-00 УХЛ4 — Распределительная панель  без счетчик (8 линий: C1-C4, C6-C9)</t>
  </si>
  <si>
    <t>ВРУ1-13-20 УХЛ4 — Вводная панель (2 ввода 315А,  без счетчик)</t>
  </si>
  <si>
    <t>Мет. Щит Пустой (1700x710x350)+10см база IP31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</si>
</sst>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##"/>
    <numFmt numFmtId="165" formatCode="#,##0.0"/>
    <numFmt numFmtId="166" formatCode="dd\.mm\.yyyy"/>
    <numFmt numFmtId="167" formatCode="0.0%"/>
    <numFmt numFmtId="168" formatCode="0.0"/>
  </numFmts>
  <fonts count="5" x14ac:knownFonts="1"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FCE4D6"/>
      </patternFill>
    </fill>
    <fill>
      <patternFill patternType="solid">
        <fgColor rgb="FFFCE4D6"/>
        <bgColor rgb="FFD9D9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3" borderId="1" xfId="0" applyFont="1" applyFill="1" applyBorder="1"/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/>
    <xf numFmtId="164" fontId="2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vertical="center" wrapText="1"/>
    </xf>
    <xf numFmtId="3" fontId="2" fillId="4" borderId="1" xfId="0" applyNumberFormat="1" applyFont="1" applyFill="1" applyBorder="1"/>
    <xf numFmtId="164" fontId="2" fillId="4" borderId="1" xfId="0" applyNumberFormat="1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vertical="center" wrapText="1"/>
    </xf>
    <xf numFmtId="3" fontId="2" fillId="5" borderId="1" xfId="0" applyNumberFormat="1" applyFont="1" applyFill="1" applyBorder="1"/>
    <xf numFmtId="164" fontId="2" fillId="5" borderId="1" xfId="0" applyNumberFormat="1" applyFont="1" applyFill="1" applyBorder="1"/>
    <xf numFmtId="0" fontId="2" fillId="3" borderId="1" xfId="0" applyFont="1" applyFill="1" applyBorder="1" applyAlignment="1">
      <alignment vertical="center" wrapText="1"/>
    </xf>
    <xf numFmtId="3" fontId="2" fillId="3" borderId="1" xfId="0" applyNumberFormat="1" applyFont="1" applyFill="1" applyBorder="1"/>
    <xf numFmtId="164" fontId="2" fillId="3" borderId="1" xfId="0" applyNumberFormat="1" applyFont="1" applyFill="1" applyBorder="1"/>
    <xf numFmtId="0" fontId="4" fillId="0" borderId="0" xfId="0" applyFont="1"/>
    <xf numFmtId="0" fontId="3" fillId="0" borderId="1" xfId="0" applyFont="1" applyBorder="1" applyAlignment="1">
      <alignment vertical="top" wrapText="1"/>
    </xf>
    <xf numFmtId="3" fontId="3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0" borderId="0" xfId="0" applyFont="1"/>
    <xf numFmtId="165" fontId="3" fillId="0" borderId="0" xfId="0" applyNumberFormat="1" applyFont="1"/>
    <xf numFmtId="0" fontId="3" fillId="5" borderId="0" xfId="0" applyFont="1" applyFill="1" applyAlignment="1">
      <alignment vertical="top" wrapText="1"/>
    </xf>
    <xf numFmtId="0" fontId="2" fillId="0" borderId="0" xfId="0" applyFont="1"/>
    <xf numFmtId="0" fontId="2" fillId="3" borderId="0" xfId="0" applyFont="1" applyFill="1"/>
    <xf numFmtId="0" fontId="3" fillId="3" borderId="0" xfId="0" applyFont="1" applyFill="1"/>
    <xf numFmtId="166" fontId="3" fillId="3" borderId="0" xfId="0" applyNumberFormat="1" applyFont="1" applyFill="1"/>
    <xf numFmtId="2" fontId="3" fillId="3" borderId="0" xfId="0" applyNumberFormat="1" applyFont="1" applyFill="1"/>
    <xf numFmtId="167" fontId="3" fillId="3" borderId="0" xfId="0" applyNumberFormat="1" applyFont="1" applyFill="1"/>
    <xf numFmtId="3" fontId="3" fillId="3" borderId="0" xfId="0" applyNumberFormat="1" applyFont="1" applyFill="1"/>
    <xf numFmtId="0" fontId="2" fillId="2" borderId="1" xfId="0" applyFont="1" applyFill="1" applyBorder="1"/>
    <xf numFmtId="0" fontId="3" fillId="3" borderId="1" xfId="0" applyFont="1" applyFill="1" applyBorder="1"/>
    <xf numFmtId="166" fontId="3" fillId="3" borderId="1" xfId="0" applyNumberFormat="1" applyFont="1" applyFill="1" applyBorder="1"/>
    <xf numFmtId="168" fontId="3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zoomScaleNormal="100" workbookViewId="0">
      <pane ySplit="1" topLeftCell="A2" activePane="bottomLeft" state="frozen"/>
      <selection pane="bottomLeft" activeCell="F2" sqref="F2"/>
    </sheetView>
  </sheetViews>
  <sheetFormatPr defaultColWidth="8.7109375" defaultRowHeight="15" x14ac:dyDescent="0.25"/>
  <cols>
    <col min="1" max="1" width="6" customWidth="1"/>
    <col min="2" max="2" width="34" customWidth="1"/>
    <col min="3" max="3" width="20" customWidth="1"/>
    <col min="4" max="4" width="12" customWidth="1"/>
    <col min="5" max="5" width="89" customWidth="1"/>
    <col min="6" max="6" width="12" customWidth="1"/>
    <col min="7" max="8" width="14" customWidth="1"/>
    <col min="9" max="9" width="8" customWidth="1"/>
    <col min="10" max="10" width="10" customWidth="1"/>
    <col min="11" max="11" width="12" customWidth="1"/>
    <col min="12" max="13" width="14" customWidth="1"/>
  </cols>
  <sheetData>
    <row r="1" spans="1:13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5">
      <c r="A2" s="2"/>
      <c r="B2" s="3" t="str">
        <f>E2</f>
        <v>ВРУ1-13-20 УХЛ4 — Вводная панель (2 ввода 315А,  без счетчик)</v>
      </c>
      <c r="C2" s="2"/>
      <c r="D2" s="2"/>
      <c r="E2" s="4" t="s">
        <v>241</v>
      </c>
      <c r="F2" s="5">
        <f>2.3*H20</f>
        <v>681152.84759999998</v>
      </c>
      <c r="G2" s="5">
        <f>0.7*F2</f>
        <v>476806.99331999995</v>
      </c>
      <c r="H2" s="5"/>
      <c r="I2" s="6">
        <v>1</v>
      </c>
      <c r="J2" s="2" t="s">
        <v>13</v>
      </c>
      <c r="K2" s="2"/>
      <c r="L2" s="5"/>
      <c r="M2" s="2"/>
    </row>
    <row r="3" spans="1:13" ht="15" customHeight="1" x14ac:dyDescent="0.25">
      <c r="A3" s="7">
        <v>1</v>
      </c>
      <c r="B3" s="7"/>
      <c r="C3" s="7" t="s">
        <v>14</v>
      </c>
      <c r="D3" s="7" t="s">
        <v>219</v>
      </c>
      <c r="E3" s="8" t="s">
        <v>220</v>
      </c>
      <c r="F3" s="9">
        <v>155000</v>
      </c>
      <c r="G3" s="9">
        <f>0.6*F3</f>
        <v>93000</v>
      </c>
      <c r="H3" s="9">
        <f t="shared" ref="H3:H19" si="0">G3*I3</f>
        <v>93000</v>
      </c>
      <c r="I3" s="10">
        <v>1</v>
      </c>
      <c r="J3" s="7" t="s">
        <v>15</v>
      </c>
      <c r="K3" s="42" t="s">
        <v>221</v>
      </c>
      <c r="L3" s="9">
        <f t="shared" ref="L3:L18" si="1">H3</f>
        <v>93000</v>
      </c>
      <c r="M3" s="7" t="s">
        <v>17</v>
      </c>
    </row>
    <row r="4" spans="1:13" ht="23.25" customHeight="1" x14ac:dyDescent="0.25">
      <c r="A4" s="7">
        <v>2</v>
      </c>
      <c r="B4" s="7"/>
      <c r="C4" s="7" t="s">
        <v>18</v>
      </c>
      <c r="D4" s="7" t="s">
        <v>222</v>
      </c>
      <c r="E4" s="8" t="s">
        <v>223</v>
      </c>
      <c r="F4" s="9">
        <v>21950</v>
      </c>
      <c r="G4" s="9">
        <f>F4</f>
        <v>21950</v>
      </c>
      <c r="H4" s="9">
        <f t="shared" si="0"/>
        <v>21950</v>
      </c>
      <c r="I4" s="10">
        <v>1</v>
      </c>
      <c r="J4" s="7" t="s">
        <v>15</v>
      </c>
      <c r="K4" s="42" t="s">
        <v>224</v>
      </c>
      <c r="L4" s="9">
        <f t="shared" si="1"/>
        <v>21950</v>
      </c>
      <c r="M4" s="7" t="s">
        <v>17</v>
      </c>
    </row>
    <row r="5" spans="1:13" ht="23.25" customHeight="1" x14ac:dyDescent="0.25">
      <c r="A5" s="7">
        <v>3</v>
      </c>
      <c r="B5" s="7"/>
      <c r="C5" s="7" t="s">
        <v>20</v>
      </c>
      <c r="D5" s="7" t="s">
        <v>21</v>
      </c>
      <c r="E5" s="8" t="s">
        <v>22</v>
      </c>
      <c r="F5" s="9">
        <v>7443</v>
      </c>
      <c r="G5" s="9">
        <f>F5*INDEX(Kurallar!$B$16:$B$26,MATCH(K5,Kurallar!$A$16:$A$26,0))</f>
        <v>4465.8</v>
      </c>
      <c r="H5" s="9">
        <f t="shared" si="0"/>
        <v>26794.800000000003</v>
      </c>
      <c r="I5" s="10">
        <v>6</v>
      </c>
      <c r="J5" s="7" t="s">
        <v>15</v>
      </c>
      <c r="K5" s="7" t="s">
        <v>19</v>
      </c>
      <c r="L5" s="9">
        <f t="shared" si="1"/>
        <v>26794.800000000003</v>
      </c>
      <c r="M5" s="7" t="s">
        <v>17</v>
      </c>
    </row>
    <row r="6" spans="1:13" ht="23.25" customHeight="1" x14ac:dyDescent="0.25">
      <c r="A6" s="7">
        <v>4</v>
      </c>
      <c r="B6" s="7"/>
      <c r="C6" s="7" t="s">
        <v>20</v>
      </c>
      <c r="D6" s="7" t="s">
        <v>23</v>
      </c>
      <c r="E6" s="8" t="s">
        <v>24</v>
      </c>
      <c r="F6" s="9">
        <v>4969</v>
      </c>
      <c r="G6" s="9">
        <f>F6*INDEX(Kurallar!$B$16:$B$26,MATCH(K6,Kurallar!$A$16:$A$26,0))</f>
        <v>2981.4</v>
      </c>
      <c r="H6" s="9">
        <f t="shared" si="0"/>
        <v>17888.400000000001</v>
      </c>
      <c r="I6" s="10">
        <v>6</v>
      </c>
      <c r="J6" s="7" t="s">
        <v>15</v>
      </c>
      <c r="K6" s="7" t="s">
        <v>19</v>
      </c>
      <c r="L6" s="9">
        <f t="shared" si="1"/>
        <v>17888.400000000001</v>
      </c>
      <c r="M6" s="7" t="s">
        <v>17</v>
      </c>
    </row>
    <row r="7" spans="1:13" ht="23.25" customHeight="1" x14ac:dyDescent="0.25">
      <c r="A7" s="7">
        <v>5</v>
      </c>
      <c r="B7" s="7"/>
      <c r="C7" s="7" t="s">
        <v>25</v>
      </c>
      <c r="D7" s="7" t="s">
        <v>225</v>
      </c>
      <c r="E7" s="8" t="s">
        <v>226</v>
      </c>
      <c r="F7" s="9">
        <v>88000</v>
      </c>
      <c r="G7" s="9">
        <f>F7*INDEX(Kurallar!$B$16:$B$26,MATCH(K7,Kurallar!$A$16:$A$26,0))</f>
        <v>88000</v>
      </c>
      <c r="H7" s="9">
        <f t="shared" si="0"/>
        <v>0</v>
      </c>
      <c r="I7" s="10">
        <v>0</v>
      </c>
      <c r="J7" s="7" t="s">
        <v>15</v>
      </c>
      <c r="K7" s="7" t="s">
        <v>26</v>
      </c>
      <c r="L7" s="9">
        <f t="shared" si="1"/>
        <v>0</v>
      </c>
      <c r="M7" s="7" t="s">
        <v>27</v>
      </c>
    </row>
    <row r="8" spans="1:13" ht="23.25" customHeight="1" x14ac:dyDescent="0.25">
      <c r="A8" s="7">
        <v>6</v>
      </c>
      <c r="B8" s="7"/>
      <c r="C8" s="7" t="s">
        <v>28</v>
      </c>
      <c r="D8" s="7" t="s">
        <v>29</v>
      </c>
      <c r="E8" s="8" t="s">
        <v>30</v>
      </c>
      <c r="F8" s="9">
        <v>6000</v>
      </c>
      <c r="G8" s="9">
        <f>F8</f>
        <v>6000</v>
      </c>
      <c r="H8" s="9">
        <f t="shared" si="0"/>
        <v>36000</v>
      </c>
      <c r="I8" s="10">
        <v>6</v>
      </c>
      <c r="J8" s="7" t="s">
        <v>15</v>
      </c>
      <c r="K8" s="42" t="s">
        <v>224</v>
      </c>
      <c r="L8" s="9">
        <f t="shared" si="1"/>
        <v>36000</v>
      </c>
      <c r="M8" s="7" t="s">
        <v>27</v>
      </c>
    </row>
    <row r="9" spans="1:13" ht="15" customHeight="1" x14ac:dyDescent="0.25">
      <c r="A9" s="7">
        <v>7</v>
      </c>
      <c r="B9" s="7"/>
      <c r="C9" s="7" t="s">
        <v>31</v>
      </c>
      <c r="D9" s="7" t="s">
        <v>32</v>
      </c>
      <c r="E9" s="8" t="s">
        <v>33</v>
      </c>
      <c r="F9" s="9">
        <v>1389</v>
      </c>
      <c r="G9" s="9">
        <f>F9*INDEX(Kurallar!$B$16:$B$26,MATCH(K9,Kurallar!$A$16:$A$26,0))</f>
        <v>833.4</v>
      </c>
      <c r="H9" s="9">
        <f t="shared" si="0"/>
        <v>1666.8</v>
      </c>
      <c r="I9" s="10">
        <v>2</v>
      </c>
      <c r="J9" s="7" t="s">
        <v>15</v>
      </c>
      <c r="K9" s="7" t="s">
        <v>19</v>
      </c>
      <c r="L9" s="9">
        <f t="shared" si="1"/>
        <v>1666.8</v>
      </c>
      <c r="M9" s="7" t="s">
        <v>17</v>
      </c>
    </row>
    <row r="10" spans="1:13" ht="15" customHeight="1" x14ac:dyDescent="0.25">
      <c r="A10" s="7">
        <v>8</v>
      </c>
      <c r="B10" s="7"/>
      <c r="C10" s="7" t="s">
        <v>34</v>
      </c>
      <c r="D10" s="7" t="s">
        <v>35</v>
      </c>
      <c r="E10" s="8" t="s">
        <v>36</v>
      </c>
      <c r="F10" s="9">
        <v>571</v>
      </c>
      <c r="G10" s="9">
        <f>F10*INDEX(Kurallar!$B$16:$B$26,MATCH(K10,Kurallar!$A$16:$A$26,0))</f>
        <v>342.59999999999997</v>
      </c>
      <c r="H10" s="9">
        <f t="shared" si="0"/>
        <v>685.19999999999993</v>
      </c>
      <c r="I10" s="10">
        <v>2</v>
      </c>
      <c r="J10" s="7" t="s">
        <v>15</v>
      </c>
      <c r="K10" s="7" t="s">
        <v>19</v>
      </c>
      <c r="L10" s="9">
        <f t="shared" si="1"/>
        <v>685.19999999999993</v>
      </c>
      <c r="M10" s="7" t="s">
        <v>17</v>
      </c>
    </row>
    <row r="11" spans="1:13" ht="23.25" customHeight="1" x14ac:dyDescent="0.25">
      <c r="A11" s="7">
        <v>9</v>
      </c>
      <c r="B11" s="7"/>
      <c r="C11" s="7" t="s">
        <v>37</v>
      </c>
      <c r="D11" s="7" t="s">
        <v>230</v>
      </c>
      <c r="E11" s="8" t="s">
        <v>231</v>
      </c>
      <c r="F11" s="9">
        <v>1297</v>
      </c>
      <c r="G11" s="9">
        <f>F11*INDEX(Kurallar!$B$16:$B$26,MATCH(K11,Kurallar!$A$16:$A$26,0))</f>
        <v>1297</v>
      </c>
      <c r="H11" s="9">
        <f t="shared" si="0"/>
        <v>10376</v>
      </c>
      <c r="I11" s="10">
        <v>8</v>
      </c>
      <c r="J11" s="7" t="s">
        <v>39</v>
      </c>
      <c r="K11" s="7" t="s">
        <v>16</v>
      </c>
      <c r="L11" s="9">
        <f t="shared" si="1"/>
        <v>10376</v>
      </c>
      <c r="M11" s="7" t="s">
        <v>40</v>
      </c>
    </row>
    <row r="12" spans="1:13" ht="15" customHeight="1" x14ac:dyDescent="0.25">
      <c r="A12" s="7">
        <v>10</v>
      </c>
      <c r="B12" s="7"/>
      <c r="C12" s="7" t="s">
        <v>37</v>
      </c>
      <c r="D12" s="7" t="s">
        <v>41</v>
      </c>
      <c r="E12" s="8" t="s">
        <v>227</v>
      </c>
      <c r="F12" s="9">
        <v>5538</v>
      </c>
      <c r="G12" s="9">
        <f>F12*INDEX(Kurallar!$B$16:$B$26,MATCH(K12,Kurallar!$A$16:$A$26,0))</f>
        <v>5538</v>
      </c>
      <c r="H12" s="9">
        <f t="shared" si="0"/>
        <v>8307</v>
      </c>
      <c r="I12" s="10">
        <v>1.5</v>
      </c>
      <c r="J12" s="7" t="s">
        <v>39</v>
      </c>
      <c r="K12" s="7" t="s">
        <v>16</v>
      </c>
      <c r="L12" s="9">
        <f t="shared" si="1"/>
        <v>8307</v>
      </c>
      <c r="M12" s="7" t="s">
        <v>40</v>
      </c>
    </row>
    <row r="13" spans="1:13" ht="15" customHeight="1" x14ac:dyDescent="0.25">
      <c r="A13" s="7">
        <v>11</v>
      </c>
      <c r="B13" s="7"/>
      <c r="C13" s="7" t="s">
        <v>37</v>
      </c>
      <c r="D13" s="7" t="s">
        <v>42</v>
      </c>
      <c r="E13" s="8" t="s">
        <v>43</v>
      </c>
      <c r="F13" s="9">
        <v>324</v>
      </c>
      <c r="G13" s="9">
        <f>F13*INDEX(Kurallar!$B$16:$B$26,MATCH(K13,Kurallar!$A$16:$A$26,0))</f>
        <v>324</v>
      </c>
      <c r="H13" s="9">
        <f t="shared" si="0"/>
        <v>1296</v>
      </c>
      <c r="I13" s="10">
        <v>4</v>
      </c>
      <c r="J13" s="7" t="s">
        <v>15</v>
      </c>
      <c r="K13" s="7" t="s">
        <v>44</v>
      </c>
      <c r="L13" s="9">
        <f t="shared" si="1"/>
        <v>1296</v>
      </c>
      <c r="M13" s="7" t="s">
        <v>40</v>
      </c>
    </row>
    <row r="14" spans="1:13" ht="15" customHeight="1" x14ac:dyDescent="0.25">
      <c r="A14" s="7">
        <v>12</v>
      </c>
      <c r="B14" s="7"/>
      <c r="C14" s="7" t="s">
        <v>45</v>
      </c>
      <c r="D14" s="7" t="s">
        <v>46</v>
      </c>
      <c r="E14" s="8" t="s">
        <v>47</v>
      </c>
      <c r="F14" s="9">
        <v>235</v>
      </c>
      <c r="G14" s="9">
        <f>F14*INDEX(Kurallar!$B$16:$B$26,MATCH(K14,Kurallar!$A$16:$A$26,0))</f>
        <v>235</v>
      </c>
      <c r="H14" s="9">
        <f t="shared" si="0"/>
        <v>2820</v>
      </c>
      <c r="I14" s="10">
        <v>12</v>
      </c>
      <c r="J14" s="7" t="s">
        <v>15</v>
      </c>
      <c r="K14" s="7" t="s">
        <v>44</v>
      </c>
      <c r="L14" s="9">
        <f t="shared" si="1"/>
        <v>2820</v>
      </c>
      <c r="M14" s="7" t="s">
        <v>48</v>
      </c>
    </row>
    <row r="15" spans="1:13" ht="15" customHeight="1" x14ac:dyDescent="0.25">
      <c r="A15" s="7">
        <v>13</v>
      </c>
      <c r="B15" s="7"/>
      <c r="C15" s="7" t="s">
        <v>45</v>
      </c>
      <c r="D15" s="7" t="s">
        <v>49</v>
      </c>
      <c r="E15" s="8" t="s">
        <v>50</v>
      </c>
      <c r="F15" s="9">
        <v>144</v>
      </c>
      <c r="G15" s="9">
        <f>F15*INDEX(Kurallar!$B$16:$B$26,MATCH(K15,Kurallar!$A$16:$A$26,0))</f>
        <v>144</v>
      </c>
      <c r="H15" s="9">
        <f t="shared" si="0"/>
        <v>864</v>
      </c>
      <c r="I15" s="10">
        <v>6</v>
      </c>
      <c r="J15" s="7" t="s">
        <v>15</v>
      </c>
      <c r="K15" s="7" t="s">
        <v>44</v>
      </c>
      <c r="L15" s="9">
        <f t="shared" si="1"/>
        <v>864</v>
      </c>
      <c r="M15" s="7" t="s">
        <v>48</v>
      </c>
    </row>
    <row r="16" spans="1:13" ht="15" customHeight="1" x14ac:dyDescent="0.25">
      <c r="A16" s="7">
        <v>14</v>
      </c>
      <c r="B16" s="7"/>
      <c r="C16" s="7" t="s">
        <v>51</v>
      </c>
      <c r="D16" s="7" t="s">
        <v>52</v>
      </c>
      <c r="E16" s="8" t="s">
        <v>53</v>
      </c>
      <c r="F16" s="9">
        <v>869</v>
      </c>
      <c r="G16" s="9">
        <f>F16*INDEX(Kurallar!$B$16:$B$26,MATCH(K16,Kurallar!$A$16:$A$26,0))</f>
        <v>521.4</v>
      </c>
      <c r="H16" s="9">
        <f t="shared" si="0"/>
        <v>1564.1999999999998</v>
      </c>
      <c r="I16" s="10">
        <v>3</v>
      </c>
      <c r="J16" s="7" t="s">
        <v>39</v>
      </c>
      <c r="K16" s="7" t="s">
        <v>19</v>
      </c>
      <c r="L16" s="9">
        <f t="shared" si="1"/>
        <v>1564.1999999999998</v>
      </c>
      <c r="M16" s="7" t="s">
        <v>54</v>
      </c>
    </row>
    <row r="17" spans="1:13" ht="15" customHeight="1" x14ac:dyDescent="0.25">
      <c r="A17" s="7">
        <v>15</v>
      </c>
      <c r="B17" s="7"/>
      <c r="C17" s="7" t="s">
        <v>51</v>
      </c>
      <c r="D17" s="7" t="s">
        <v>55</v>
      </c>
      <c r="E17" s="8" t="s">
        <v>56</v>
      </c>
      <c r="F17" s="9">
        <v>1486</v>
      </c>
      <c r="G17" s="9">
        <f>F17*INDEX(Kurallar!$B$16:$B$26,MATCH(K17,Kurallar!$A$16:$A$26,0))</f>
        <v>1486</v>
      </c>
      <c r="H17" s="9">
        <f t="shared" si="0"/>
        <v>11888</v>
      </c>
      <c r="I17" s="10">
        <v>8</v>
      </c>
      <c r="J17" s="7" t="s">
        <v>39</v>
      </c>
      <c r="K17" s="7" t="s">
        <v>44</v>
      </c>
      <c r="L17" s="9">
        <f t="shared" si="1"/>
        <v>11888</v>
      </c>
      <c r="M17" s="7" t="s">
        <v>54</v>
      </c>
    </row>
    <row r="18" spans="1:13" ht="23.25" customHeight="1" x14ac:dyDescent="0.25">
      <c r="A18" s="7">
        <v>16</v>
      </c>
      <c r="B18" s="7"/>
      <c r="C18" s="7" t="s">
        <v>51</v>
      </c>
      <c r="D18" s="7"/>
      <c r="E18" s="8" t="s">
        <v>57</v>
      </c>
      <c r="F18" s="9"/>
      <c r="G18" s="9">
        <f>SUM(H3:H17)*Kurallar!$B$10</f>
        <v>7053.0119999999997</v>
      </c>
      <c r="H18" s="9">
        <f t="shared" si="0"/>
        <v>7053.0119999999997</v>
      </c>
      <c r="I18" s="10">
        <v>1</v>
      </c>
      <c r="J18" s="7" t="s">
        <v>15</v>
      </c>
      <c r="K18" s="7"/>
      <c r="L18" s="9">
        <f t="shared" si="1"/>
        <v>7053.0119999999997</v>
      </c>
      <c r="M18" s="7"/>
    </row>
    <row r="19" spans="1:13" ht="23.25" customHeight="1" x14ac:dyDescent="0.25">
      <c r="A19" s="7">
        <v>17</v>
      </c>
      <c r="B19" s="7"/>
      <c r="C19" s="7" t="s">
        <v>59</v>
      </c>
      <c r="D19" s="7"/>
      <c r="E19" s="8" t="s">
        <v>60</v>
      </c>
      <c r="F19" s="11">
        <v>9</v>
      </c>
      <c r="G19" s="9">
        <f>Kurallar!$B$11</f>
        <v>100</v>
      </c>
      <c r="H19" s="9">
        <f t="shared" si="0"/>
        <v>54000</v>
      </c>
      <c r="I19" s="10">
        <f>60*F19</f>
        <v>540</v>
      </c>
      <c r="J19" s="7" t="s">
        <v>61</v>
      </c>
      <c r="K19" s="7"/>
      <c r="L19" s="9"/>
      <c r="M19" s="7" t="s">
        <v>62</v>
      </c>
    </row>
    <row r="20" spans="1:13" ht="15" customHeight="1" x14ac:dyDescent="0.25">
      <c r="A20" s="12"/>
      <c r="B20" s="12" t="s">
        <v>63</v>
      </c>
      <c r="C20" s="12"/>
      <c r="D20" s="12"/>
      <c r="E20" s="13"/>
      <c r="F20" s="14"/>
      <c r="G20" s="14"/>
      <c r="H20" s="14">
        <f>SUBTOTAL(9,H3:H19)</f>
        <v>296153.41200000001</v>
      </c>
      <c r="I20" s="15"/>
      <c r="J20" s="12"/>
      <c r="K20" s="12"/>
      <c r="L20" s="14">
        <f>SUBTOTAL(9,L3:L19)</f>
        <v>242153.41199999998</v>
      </c>
      <c r="M20" s="12"/>
    </row>
    <row r="21" spans="1:13" ht="15" customHeight="1" x14ac:dyDescent="0.25">
      <c r="A21" s="2"/>
      <c r="B21" s="3" t="str">
        <f>E21</f>
        <v>ВРУ1-47-00 УХЛ4 — Распределительная панель  без счетчик (8 линий: C1-C4, C6-C9)</v>
      </c>
      <c r="C21" s="2"/>
      <c r="D21" s="2"/>
      <c r="E21" s="4" t="s">
        <v>240</v>
      </c>
      <c r="F21" s="5">
        <f>2.3*H40</f>
        <v>454492.7833999999</v>
      </c>
      <c r="G21" s="5">
        <f>0.7*F21</f>
        <v>318144.9483799999</v>
      </c>
      <c r="H21" s="5"/>
      <c r="I21" s="6">
        <v>1</v>
      </c>
      <c r="J21" s="2" t="s">
        <v>13</v>
      </c>
      <c r="K21" s="2"/>
      <c r="L21" s="5"/>
      <c r="M21" s="2"/>
    </row>
    <row r="22" spans="1:13" ht="15" customHeight="1" x14ac:dyDescent="0.25">
      <c r="A22" s="7">
        <v>18</v>
      </c>
      <c r="B22" s="7"/>
      <c r="C22" s="7" t="s">
        <v>14</v>
      </c>
      <c r="D22" s="42" t="s">
        <v>232</v>
      </c>
      <c r="E22" s="43" t="s">
        <v>242</v>
      </c>
      <c r="F22" s="9">
        <v>140000</v>
      </c>
      <c r="G22" s="9">
        <f>0.6*F22</f>
        <v>84000</v>
      </c>
      <c r="H22" s="9">
        <f t="shared" ref="H22:H39" si="2">G22*I22</f>
        <v>84000</v>
      </c>
      <c r="I22" s="10">
        <v>1</v>
      </c>
      <c r="J22" s="7" t="s">
        <v>15</v>
      </c>
      <c r="K22" s="7" t="s">
        <v>16</v>
      </c>
      <c r="L22" s="9">
        <f t="shared" ref="L22:L38" si="3">H22</f>
        <v>84000</v>
      </c>
      <c r="M22" s="7" t="s">
        <v>66</v>
      </c>
    </row>
    <row r="23" spans="1:13" ht="23.25" customHeight="1" x14ac:dyDescent="0.25">
      <c r="A23" s="7">
        <v>19</v>
      </c>
      <c r="B23" s="7"/>
      <c r="C23" s="7" t="s">
        <v>20</v>
      </c>
      <c r="D23" s="7" t="s">
        <v>71</v>
      </c>
      <c r="E23" s="8" t="s">
        <v>239</v>
      </c>
      <c r="F23" s="9">
        <v>2038</v>
      </c>
      <c r="G23" s="9">
        <f>F23*INDEX(Kurallar!$B$16:$B$26,MATCH(K23,Kurallar!$A$16:$A$26,0))</f>
        <v>1222.8</v>
      </c>
      <c r="H23" s="9">
        <f t="shared" si="2"/>
        <v>22010.399999999998</v>
      </c>
      <c r="I23" s="10">
        <v>18</v>
      </c>
      <c r="J23" s="7" t="s">
        <v>15</v>
      </c>
      <c r="K23" s="7" t="s">
        <v>19</v>
      </c>
      <c r="L23" s="9">
        <f t="shared" si="3"/>
        <v>22010.399999999998</v>
      </c>
      <c r="M23" s="7" t="s">
        <v>66</v>
      </c>
    </row>
    <row r="24" spans="1:13" ht="15" customHeight="1" x14ac:dyDescent="0.25">
      <c r="A24" s="7">
        <v>20</v>
      </c>
      <c r="B24" s="7"/>
      <c r="C24" s="7" t="s">
        <v>20</v>
      </c>
      <c r="D24" s="7" t="s">
        <v>233</v>
      </c>
      <c r="E24" s="8" t="s">
        <v>234</v>
      </c>
      <c r="F24" s="9">
        <v>2225</v>
      </c>
      <c r="G24" s="9">
        <f>F24*INDEX(Kurallar!$B$16:$B$26,MATCH(K24,Kurallar!$A$16:$A$26,0))</f>
        <v>1335</v>
      </c>
      <c r="H24" s="9">
        <f t="shared" si="2"/>
        <v>8010</v>
      </c>
      <c r="I24" s="10">
        <v>6</v>
      </c>
      <c r="J24" s="7" t="s">
        <v>15</v>
      </c>
      <c r="K24" s="7" t="s">
        <v>19</v>
      </c>
      <c r="L24" s="9">
        <f t="shared" si="3"/>
        <v>8010</v>
      </c>
      <c r="M24" s="7" t="s">
        <v>68</v>
      </c>
    </row>
    <row r="25" spans="1:13" ht="15" customHeight="1" x14ac:dyDescent="0.25">
      <c r="A25" s="7">
        <v>21</v>
      </c>
      <c r="B25" s="7"/>
      <c r="C25" s="7" t="s">
        <v>20</v>
      </c>
      <c r="D25" s="7" t="s">
        <v>235</v>
      </c>
      <c r="E25" s="8" t="s">
        <v>236</v>
      </c>
      <c r="F25" s="9">
        <v>2225</v>
      </c>
      <c r="G25" s="9">
        <f>F25*INDEX(Kurallar!$B$16:$B$26,MATCH(K25,Kurallar!$A$16:$A$26,0))</f>
        <v>1335</v>
      </c>
      <c r="H25" s="9">
        <f t="shared" si="2"/>
        <v>8010</v>
      </c>
      <c r="I25" s="10">
        <v>6</v>
      </c>
      <c r="J25" s="7" t="s">
        <v>15</v>
      </c>
      <c r="K25" s="7" t="s">
        <v>19</v>
      </c>
      <c r="L25" s="9">
        <f t="shared" si="3"/>
        <v>8010</v>
      </c>
      <c r="M25" s="7" t="s">
        <v>69</v>
      </c>
    </row>
    <row r="26" spans="1:13" ht="15" customHeight="1" x14ac:dyDescent="0.25">
      <c r="A26" s="7">
        <v>22</v>
      </c>
      <c r="B26" s="7"/>
      <c r="C26" s="7" t="s">
        <v>20</v>
      </c>
      <c r="D26" s="7" t="s">
        <v>237</v>
      </c>
      <c r="E26" s="8" t="s">
        <v>238</v>
      </c>
      <c r="F26" s="9">
        <v>2210</v>
      </c>
      <c r="G26" s="9">
        <f>F26*INDEX(Kurallar!$B$16:$B$26,MATCH(K26,Kurallar!$A$16:$A$26,0))</f>
        <v>1326</v>
      </c>
      <c r="H26" s="9">
        <f t="shared" si="2"/>
        <v>7956</v>
      </c>
      <c r="I26" s="10">
        <v>6</v>
      </c>
      <c r="J26" s="7" t="s">
        <v>15</v>
      </c>
      <c r="K26" s="7" t="s">
        <v>19</v>
      </c>
      <c r="L26" s="9">
        <f t="shared" si="3"/>
        <v>7956</v>
      </c>
      <c r="M26" s="7" t="s">
        <v>70</v>
      </c>
    </row>
    <row r="27" spans="1:13" ht="23.25" customHeight="1" x14ac:dyDescent="0.25">
      <c r="A27" s="7">
        <v>23</v>
      </c>
      <c r="B27" s="7"/>
      <c r="C27" s="7" t="s">
        <v>20</v>
      </c>
      <c r="D27" s="7" t="s">
        <v>71</v>
      </c>
      <c r="E27" s="8" t="s">
        <v>72</v>
      </c>
      <c r="F27" s="9">
        <v>2038</v>
      </c>
      <c r="G27" s="9">
        <f>F27*INDEX(Kurallar!$B$16:$B$26,MATCH(K27,Kurallar!$A$16:$A$26,0))</f>
        <v>1222.8</v>
      </c>
      <c r="H27" s="9">
        <f t="shared" si="2"/>
        <v>7336.7999999999993</v>
      </c>
      <c r="I27" s="10">
        <v>6</v>
      </c>
      <c r="J27" s="7" t="s">
        <v>15</v>
      </c>
      <c r="K27" s="7" t="s">
        <v>19</v>
      </c>
      <c r="L27" s="9">
        <f t="shared" si="3"/>
        <v>7336.7999999999993</v>
      </c>
      <c r="M27" s="7" t="s">
        <v>73</v>
      </c>
    </row>
    <row r="28" spans="1:13" ht="15" customHeight="1" x14ac:dyDescent="0.25">
      <c r="A28" s="7">
        <v>24</v>
      </c>
      <c r="B28" s="7"/>
      <c r="C28" s="7" t="s">
        <v>20</v>
      </c>
      <c r="D28" s="7" t="s">
        <v>74</v>
      </c>
      <c r="E28" s="8" t="s">
        <v>75</v>
      </c>
      <c r="F28" s="9">
        <v>1545</v>
      </c>
      <c r="G28" s="9">
        <f>F28*INDEX(Kurallar!$B$16:$B$26,MATCH(K28,Kurallar!$A$16:$A$26,0))</f>
        <v>927</v>
      </c>
      <c r="H28" s="9">
        <f t="shared" si="2"/>
        <v>5562</v>
      </c>
      <c r="I28" s="10">
        <v>6</v>
      </c>
      <c r="J28" s="7" t="s">
        <v>15</v>
      </c>
      <c r="K28" s="7" t="s">
        <v>19</v>
      </c>
      <c r="L28" s="9">
        <f t="shared" si="3"/>
        <v>5562</v>
      </c>
      <c r="M28" s="7" t="s">
        <v>73</v>
      </c>
    </row>
    <row r="29" spans="1:13" ht="23.25" customHeight="1" x14ac:dyDescent="0.25">
      <c r="A29" s="7">
        <v>5</v>
      </c>
      <c r="B29" s="7"/>
      <c r="C29" s="7" t="s">
        <v>25</v>
      </c>
      <c r="D29" s="42" t="s">
        <v>228</v>
      </c>
      <c r="E29" s="8" t="s">
        <v>229</v>
      </c>
      <c r="F29" s="9">
        <v>36900</v>
      </c>
      <c r="G29" s="9">
        <f>F29*INDEX(Kurallar!$B$16:$B$26,MATCH(K29,Kurallar!$A$16:$A$26,0))</f>
        <v>36900</v>
      </c>
      <c r="H29" s="9">
        <f t="shared" si="2"/>
        <v>0</v>
      </c>
      <c r="I29" s="10">
        <v>0</v>
      </c>
      <c r="J29" s="7" t="s">
        <v>15</v>
      </c>
      <c r="K29" s="7" t="s">
        <v>26</v>
      </c>
      <c r="L29" s="9">
        <f t="shared" si="3"/>
        <v>0</v>
      </c>
      <c r="M29" s="7" t="s">
        <v>27</v>
      </c>
    </row>
    <row r="30" spans="1:13" ht="15" customHeight="1" x14ac:dyDescent="0.25">
      <c r="A30" s="7">
        <v>25</v>
      </c>
      <c r="B30" s="7"/>
      <c r="C30" s="7" t="s">
        <v>51</v>
      </c>
      <c r="D30" s="7" t="s">
        <v>76</v>
      </c>
      <c r="E30" s="8" t="s">
        <v>77</v>
      </c>
      <c r="F30" s="9">
        <v>1473</v>
      </c>
      <c r="G30" s="9">
        <f>F30*INDEX(Kurallar!$B$16:$B$26,MATCH(K30,Kurallar!$A$16:$A$26,0))</f>
        <v>883.8</v>
      </c>
      <c r="H30" s="9">
        <f t="shared" si="2"/>
        <v>883.8</v>
      </c>
      <c r="I30" s="10">
        <v>1</v>
      </c>
      <c r="J30" s="7" t="s">
        <v>15</v>
      </c>
      <c r="K30" s="7" t="s">
        <v>19</v>
      </c>
      <c r="L30" s="9">
        <f t="shared" si="3"/>
        <v>883.8</v>
      </c>
      <c r="M30" s="7" t="s">
        <v>54</v>
      </c>
    </row>
    <row r="31" spans="1:13" ht="15" customHeight="1" x14ac:dyDescent="0.25">
      <c r="A31" s="7">
        <v>27</v>
      </c>
      <c r="B31" s="7"/>
      <c r="C31" s="7" t="s">
        <v>37</v>
      </c>
      <c r="D31" s="7" t="s">
        <v>230</v>
      </c>
      <c r="E31" s="8" t="s">
        <v>231</v>
      </c>
      <c r="F31" s="9">
        <v>1297</v>
      </c>
      <c r="G31" s="9">
        <f>F31*INDEX(Kurallar!$B$16:$B$26,MATCH(K31,Kurallar!$A$16:$A$26,0))</f>
        <v>1297</v>
      </c>
      <c r="H31" s="9">
        <f t="shared" si="2"/>
        <v>5188</v>
      </c>
      <c r="I31" s="10">
        <v>4</v>
      </c>
      <c r="J31" s="7" t="s">
        <v>39</v>
      </c>
      <c r="K31" s="7" t="s">
        <v>16</v>
      </c>
      <c r="L31" s="9">
        <f t="shared" si="3"/>
        <v>5188</v>
      </c>
      <c r="M31" s="7" t="s">
        <v>40</v>
      </c>
    </row>
    <row r="32" spans="1:13" ht="15" customHeight="1" x14ac:dyDescent="0.25">
      <c r="A32" s="7">
        <v>28</v>
      </c>
      <c r="B32" s="7"/>
      <c r="C32" s="7" t="s">
        <v>37</v>
      </c>
      <c r="D32" s="7" t="s">
        <v>41</v>
      </c>
      <c r="E32" s="8" t="s">
        <v>227</v>
      </c>
      <c r="F32" s="9">
        <v>5538</v>
      </c>
      <c r="G32" s="9">
        <f>F32*INDEX(Kurallar!$B$16:$B$26,MATCH(K32,Kurallar!$A$16:$A$26,0))</f>
        <v>5538</v>
      </c>
      <c r="H32" s="9">
        <f t="shared" si="2"/>
        <v>6645.5999999999995</v>
      </c>
      <c r="I32" s="10">
        <v>1.2</v>
      </c>
      <c r="J32" s="7" t="s">
        <v>39</v>
      </c>
      <c r="K32" s="7" t="s">
        <v>16</v>
      </c>
      <c r="L32" s="9">
        <f t="shared" si="3"/>
        <v>6645.5999999999995</v>
      </c>
      <c r="M32" s="7" t="s">
        <v>40</v>
      </c>
    </row>
    <row r="33" spans="1:13" ht="15" customHeight="1" x14ac:dyDescent="0.25">
      <c r="A33" s="7">
        <v>29</v>
      </c>
      <c r="B33" s="7"/>
      <c r="C33" s="7" t="s">
        <v>37</v>
      </c>
      <c r="D33" s="7" t="s">
        <v>42</v>
      </c>
      <c r="E33" s="8" t="s">
        <v>43</v>
      </c>
      <c r="F33" s="9">
        <v>324</v>
      </c>
      <c r="G33" s="9">
        <f>F33*INDEX(Kurallar!$B$16:$B$26,MATCH(K33,Kurallar!$A$16:$A$26,0))</f>
        <v>324</v>
      </c>
      <c r="H33" s="9">
        <f t="shared" si="2"/>
        <v>1296</v>
      </c>
      <c r="I33" s="10">
        <v>4</v>
      </c>
      <c r="J33" s="7" t="s">
        <v>15</v>
      </c>
      <c r="K33" s="7" t="s">
        <v>44</v>
      </c>
      <c r="L33" s="9">
        <f t="shared" si="3"/>
        <v>1296</v>
      </c>
      <c r="M33" s="7" t="s">
        <v>40</v>
      </c>
    </row>
    <row r="34" spans="1:13" ht="15" customHeight="1" x14ac:dyDescent="0.25">
      <c r="A34" s="7">
        <v>30</v>
      </c>
      <c r="B34" s="7"/>
      <c r="C34" s="7" t="s">
        <v>45</v>
      </c>
      <c r="D34" s="7" t="s">
        <v>46</v>
      </c>
      <c r="E34" s="8" t="s">
        <v>78</v>
      </c>
      <c r="F34" s="9">
        <v>235</v>
      </c>
      <c r="G34" s="9">
        <f>F34*INDEX(Kurallar!$B$16:$B$26,MATCH(K34,Kurallar!$A$16:$A$26,0))</f>
        <v>235</v>
      </c>
      <c r="H34" s="9">
        <f t="shared" si="2"/>
        <v>0</v>
      </c>
      <c r="I34" s="10">
        <v>0</v>
      </c>
      <c r="J34" s="7" t="s">
        <v>15</v>
      </c>
      <c r="K34" s="7" t="s">
        <v>44</v>
      </c>
      <c r="L34" s="9">
        <f t="shared" si="3"/>
        <v>0</v>
      </c>
      <c r="M34" s="7" t="s">
        <v>48</v>
      </c>
    </row>
    <row r="35" spans="1:13" ht="15" customHeight="1" x14ac:dyDescent="0.25">
      <c r="A35" s="7">
        <v>31</v>
      </c>
      <c r="B35" s="7"/>
      <c r="C35" s="7" t="s">
        <v>45</v>
      </c>
      <c r="D35" s="7" t="s">
        <v>49</v>
      </c>
      <c r="E35" s="8" t="s">
        <v>50</v>
      </c>
      <c r="F35" s="9">
        <v>144</v>
      </c>
      <c r="G35" s="9">
        <f>F35*INDEX(Kurallar!$B$16:$B$26,MATCH(K35,Kurallar!$A$16:$A$26,0))</f>
        <v>144</v>
      </c>
      <c r="H35" s="9">
        <f t="shared" si="2"/>
        <v>0</v>
      </c>
      <c r="I35" s="10">
        <v>0</v>
      </c>
      <c r="J35" s="7" t="s">
        <v>15</v>
      </c>
      <c r="K35" s="7" t="s">
        <v>44</v>
      </c>
      <c r="L35" s="9">
        <f t="shared" si="3"/>
        <v>0</v>
      </c>
      <c r="M35" s="7" t="s">
        <v>48</v>
      </c>
    </row>
    <row r="36" spans="1:13" ht="15" customHeight="1" x14ac:dyDescent="0.25">
      <c r="A36" s="7">
        <v>32</v>
      </c>
      <c r="B36" s="7"/>
      <c r="C36" s="7" t="s">
        <v>51</v>
      </c>
      <c r="D36" s="7" t="s">
        <v>52</v>
      </c>
      <c r="E36" s="8" t="s">
        <v>53</v>
      </c>
      <c r="F36" s="9">
        <v>869</v>
      </c>
      <c r="G36" s="9">
        <f>F36*INDEX(Kurallar!$B$16:$B$26,MATCH(K36,Kurallar!$A$16:$A$26,0))</f>
        <v>521.4</v>
      </c>
      <c r="H36" s="9">
        <f t="shared" si="2"/>
        <v>0</v>
      </c>
      <c r="I36" s="10">
        <v>0</v>
      </c>
      <c r="J36" s="7" t="s">
        <v>39</v>
      </c>
      <c r="K36" s="7" t="s">
        <v>19</v>
      </c>
      <c r="L36" s="9">
        <f t="shared" si="3"/>
        <v>0</v>
      </c>
      <c r="M36" s="7" t="s">
        <v>54</v>
      </c>
    </row>
    <row r="37" spans="1:13" ht="15" customHeight="1" x14ac:dyDescent="0.25">
      <c r="A37" s="7">
        <v>33</v>
      </c>
      <c r="B37" s="7"/>
      <c r="C37" s="7" t="s">
        <v>51</v>
      </c>
      <c r="D37" s="7" t="s">
        <v>55</v>
      </c>
      <c r="E37" s="8" t="s">
        <v>56</v>
      </c>
      <c r="F37" s="9">
        <v>1486</v>
      </c>
      <c r="G37" s="9">
        <f>F37*INDEX(Kurallar!$B$16:$B$26,MATCH(K37,Kurallar!$A$16:$A$26,0))</f>
        <v>1486</v>
      </c>
      <c r="H37" s="9">
        <f t="shared" si="2"/>
        <v>0</v>
      </c>
      <c r="I37" s="10">
        <v>0</v>
      </c>
      <c r="J37" s="7" t="s">
        <v>39</v>
      </c>
      <c r="K37" s="7" t="s">
        <v>44</v>
      </c>
      <c r="L37" s="9">
        <f t="shared" si="3"/>
        <v>0</v>
      </c>
      <c r="M37" s="7" t="s">
        <v>54</v>
      </c>
    </row>
    <row r="38" spans="1:13" ht="23.25" customHeight="1" x14ac:dyDescent="0.25">
      <c r="A38" s="7">
        <v>34</v>
      </c>
      <c r="B38" s="7"/>
      <c r="C38" s="7" t="s">
        <v>51</v>
      </c>
      <c r="D38" s="7"/>
      <c r="E38" s="8" t="s">
        <v>57</v>
      </c>
      <c r="F38" s="9"/>
      <c r="G38" s="9">
        <f>SUM(H22:H37)*Kurallar!$B$10</f>
        <v>4706.9579999999987</v>
      </c>
      <c r="H38" s="9">
        <f t="shared" si="2"/>
        <v>4706.9579999999987</v>
      </c>
      <c r="I38" s="10">
        <v>1</v>
      </c>
      <c r="J38" s="7" t="s">
        <v>15</v>
      </c>
      <c r="K38" s="7"/>
      <c r="L38" s="9">
        <f t="shared" si="3"/>
        <v>4706.9579999999987</v>
      </c>
      <c r="M38" s="7"/>
    </row>
    <row r="39" spans="1:13" ht="23.25" customHeight="1" x14ac:dyDescent="0.25">
      <c r="A39" s="7">
        <v>35</v>
      </c>
      <c r="B39" s="7"/>
      <c r="C39" s="7" t="s">
        <v>59</v>
      </c>
      <c r="D39" s="7"/>
      <c r="E39" s="8" t="s">
        <v>60</v>
      </c>
      <c r="F39" s="11">
        <v>6</v>
      </c>
      <c r="G39" s="9">
        <f>Kurallar!$B$11</f>
        <v>100</v>
      </c>
      <c r="H39" s="9">
        <f t="shared" si="2"/>
        <v>36000</v>
      </c>
      <c r="I39" s="10">
        <f>60*F39</f>
        <v>360</v>
      </c>
      <c r="J39" s="7" t="s">
        <v>61</v>
      </c>
      <c r="K39" s="7"/>
      <c r="L39" s="9"/>
      <c r="M39" s="7" t="s">
        <v>62</v>
      </c>
    </row>
    <row r="40" spans="1:13" ht="15" customHeight="1" x14ac:dyDescent="0.25">
      <c r="A40" s="12"/>
      <c r="B40" s="12" t="s">
        <v>79</v>
      </c>
      <c r="C40" s="12"/>
      <c r="D40" s="12"/>
      <c r="E40" s="13"/>
      <c r="F40" s="14"/>
      <c r="G40" s="14"/>
      <c r="H40" s="14">
        <f>SUBTOTAL(9,H22:H39)</f>
        <v>197605.55799999996</v>
      </c>
      <c r="I40" s="15"/>
      <c r="J40" s="12"/>
      <c r="K40" s="12"/>
      <c r="L40" s="14">
        <f>SUBTOTAL(9,L22:L39)</f>
        <v>161605.55799999996</v>
      </c>
      <c r="M40" s="12"/>
    </row>
    <row r="41" spans="1:13" ht="15" customHeight="1" x14ac:dyDescent="0.25">
      <c r="A41" s="2"/>
      <c r="B41" s="3" t="str">
        <f>E41</f>
        <v>Блок автоматического управления освещением на 14 групп (SF1...SF30)</v>
      </c>
      <c r="C41" s="2"/>
      <c r="D41" s="2"/>
      <c r="E41" s="4" t="s">
        <v>80</v>
      </c>
      <c r="F41" s="5"/>
      <c r="G41" s="5"/>
      <c r="H41" s="5"/>
      <c r="I41" s="6">
        <v>1</v>
      </c>
      <c r="J41" s="2" t="s">
        <v>13</v>
      </c>
      <c r="K41" s="2"/>
      <c r="L41" s="5"/>
      <c r="M41" s="2"/>
    </row>
    <row r="42" spans="1:13" ht="15" customHeight="1" x14ac:dyDescent="0.25">
      <c r="A42" s="7">
        <v>36</v>
      </c>
      <c r="B42" s="7"/>
      <c r="C42" s="7" t="s">
        <v>14</v>
      </c>
      <c r="D42" s="7" t="s">
        <v>64</v>
      </c>
      <c r="E42" s="8" t="s">
        <v>65</v>
      </c>
      <c r="F42" s="9">
        <v>82950</v>
      </c>
      <c r="G42" s="9">
        <f>F42*INDEX(Kurallar!$B$16:$B$26,MATCH(K42,Kurallar!$A$16:$A$26,0))</f>
        <v>82950</v>
      </c>
      <c r="H42" s="9">
        <f>G42*I42</f>
        <v>82950</v>
      </c>
      <c r="I42" s="10">
        <v>1</v>
      </c>
      <c r="J42" s="7" t="s">
        <v>15</v>
      </c>
      <c r="K42" s="7" t="s">
        <v>16</v>
      </c>
      <c r="L42" s="9">
        <f>H42</f>
        <v>82950</v>
      </c>
      <c r="M42" s="7" t="s">
        <v>81</v>
      </c>
    </row>
    <row r="43" spans="1:13" ht="15" customHeight="1" x14ac:dyDescent="0.25">
      <c r="A43" s="7">
        <v>37</v>
      </c>
      <c r="B43" s="7"/>
      <c r="C43" s="7" t="s">
        <v>51</v>
      </c>
      <c r="D43" s="7" t="s">
        <v>52</v>
      </c>
      <c r="E43" s="8" t="s">
        <v>53</v>
      </c>
      <c r="F43" s="9">
        <v>869</v>
      </c>
      <c r="G43" s="9">
        <f>F43*INDEX(Kurallar!$B$16:$B$26,MATCH(K43,Kurallar!$A$16:$A$26,0))</f>
        <v>521.4</v>
      </c>
      <c r="H43" s="9">
        <f>G43*I43</f>
        <v>3128.3999999999996</v>
      </c>
      <c r="I43" s="10">
        <v>6</v>
      </c>
      <c r="J43" s="7" t="s">
        <v>39</v>
      </c>
      <c r="K43" s="7" t="s">
        <v>19</v>
      </c>
      <c r="L43" s="9">
        <f>H43</f>
        <v>3128.3999999999996</v>
      </c>
      <c r="M43" s="7" t="s">
        <v>54</v>
      </c>
    </row>
    <row r="44" spans="1:13" ht="15" customHeight="1" x14ac:dyDescent="0.25">
      <c r="A44" s="7">
        <v>38</v>
      </c>
      <c r="B44" s="7"/>
      <c r="C44" s="7" t="s">
        <v>51</v>
      </c>
      <c r="D44" s="7" t="s">
        <v>55</v>
      </c>
      <c r="E44" s="8" t="s">
        <v>56</v>
      </c>
      <c r="F44" s="9">
        <v>1486</v>
      </c>
      <c r="G44" s="9">
        <f>F44*INDEX(Kurallar!$B$16:$B$26,MATCH(K44,Kurallar!$A$16:$A$26,0))</f>
        <v>1486</v>
      </c>
      <c r="H44" s="9">
        <f>G44*I44</f>
        <v>14860</v>
      </c>
      <c r="I44" s="10">
        <v>10</v>
      </c>
      <c r="J44" s="7" t="s">
        <v>39</v>
      </c>
      <c r="K44" s="7" t="s">
        <v>44</v>
      </c>
      <c r="L44" s="9">
        <f>H44</f>
        <v>14860</v>
      </c>
      <c r="M44" s="7" t="s">
        <v>54</v>
      </c>
    </row>
    <row r="45" spans="1:13" ht="23.25" customHeight="1" x14ac:dyDescent="0.25">
      <c r="A45" s="7">
        <v>39</v>
      </c>
      <c r="B45" s="7"/>
      <c r="C45" s="7" t="s">
        <v>51</v>
      </c>
      <c r="D45" s="7"/>
      <c r="E45" s="8" t="s">
        <v>57</v>
      </c>
      <c r="F45" s="9"/>
      <c r="G45" s="9">
        <f>SUM(H42:H44)*Kurallar!$B$10</f>
        <v>3028.1519999999996</v>
      </c>
      <c r="H45" s="9">
        <f>G45*I45</f>
        <v>3028.1519999999996</v>
      </c>
      <c r="I45" s="10">
        <v>1</v>
      </c>
      <c r="J45" s="7" t="s">
        <v>58</v>
      </c>
      <c r="K45" s="7"/>
      <c r="L45" s="9">
        <f>H45</f>
        <v>3028.1519999999996</v>
      </c>
      <c r="M45" s="7"/>
    </row>
    <row r="46" spans="1:13" ht="23.25" customHeight="1" x14ac:dyDescent="0.25">
      <c r="A46" s="7">
        <v>40</v>
      </c>
      <c r="B46" s="7"/>
      <c r="C46" s="7" t="s">
        <v>59</v>
      </c>
      <c r="D46" s="7"/>
      <c r="E46" s="8" t="s">
        <v>60</v>
      </c>
      <c r="F46" s="11"/>
      <c r="G46" s="9">
        <f>Kurallar!$B$11</f>
        <v>100</v>
      </c>
      <c r="H46" s="9">
        <f>G46*I46</f>
        <v>0</v>
      </c>
      <c r="I46" s="10">
        <f>60*F46</f>
        <v>0</v>
      </c>
      <c r="J46" s="7" t="s">
        <v>61</v>
      </c>
      <c r="K46" s="7"/>
      <c r="L46" s="9"/>
      <c r="M46" s="7" t="s">
        <v>62</v>
      </c>
    </row>
    <row r="47" spans="1:13" ht="15" customHeight="1" x14ac:dyDescent="0.25">
      <c r="A47" s="12"/>
      <c r="B47" s="12" t="s">
        <v>82</v>
      </c>
      <c r="C47" s="12"/>
      <c r="D47" s="12"/>
      <c r="E47" s="13"/>
      <c r="F47" s="14"/>
      <c r="G47" s="14"/>
      <c r="H47" s="14">
        <f>SUBTOTAL(9,H42:H46)</f>
        <v>103966.552</v>
      </c>
      <c r="I47" s="15"/>
      <c r="J47" s="12"/>
      <c r="K47" s="12"/>
      <c r="L47" s="14">
        <f>SUBTOTAL(9,L42:L46)</f>
        <v>103966.552</v>
      </c>
      <c r="M47" s="12"/>
    </row>
    <row r="48" spans="1:13" ht="15" customHeight="1" x14ac:dyDescent="0.25">
      <c r="A48" s="16"/>
      <c r="B48" s="16" t="s">
        <v>83</v>
      </c>
      <c r="C48" s="16"/>
      <c r="D48" s="16"/>
      <c r="E48" s="17"/>
      <c r="F48" s="18"/>
      <c r="G48" s="18"/>
      <c r="H48" s="18"/>
      <c r="I48" s="19"/>
      <c r="J48" s="16"/>
      <c r="K48" s="16"/>
      <c r="L48" s="18"/>
      <c r="M48" s="16"/>
    </row>
    <row r="49" spans="1:13" ht="34.5" customHeight="1" x14ac:dyDescent="0.25">
      <c r="A49" s="7"/>
      <c r="B49" s="7"/>
      <c r="C49" s="7" t="s">
        <v>84</v>
      </c>
      <c r="D49" s="7" t="s">
        <v>85</v>
      </c>
      <c r="E49" s="8" t="s">
        <v>86</v>
      </c>
      <c r="F49" s="9">
        <v>24936</v>
      </c>
      <c r="G49" s="9"/>
      <c r="H49" s="9"/>
      <c r="I49" s="10">
        <v>0</v>
      </c>
      <c r="J49" s="7" t="s">
        <v>15</v>
      </c>
      <c r="K49" s="7" t="s">
        <v>19</v>
      </c>
      <c r="L49" s="9"/>
      <c r="M49" s="7" t="s">
        <v>87</v>
      </c>
    </row>
    <row r="50" spans="1:13" ht="23.25" customHeight="1" x14ac:dyDescent="0.25">
      <c r="A50" s="7"/>
      <c r="B50" s="7"/>
      <c r="C50" s="7" t="s">
        <v>20</v>
      </c>
      <c r="D50" s="7" t="s">
        <v>88</v>
      </c>
      <c r="E50" s="8" t="s">
        <v>89</v>
      </c>
      <c r="F50" s="9">
        <v>1510</v>
      </c>
      <c r="G50" s="9"/>
      <c r="H50" s="9"/>
      <c r="I50" s="10">
        <v>0</v>
      </c>
      <c r="J50" s="7" t="s">
        <v>15</v>
      </c>
      <c r="K50" s="7" t="s">
        <v>19</v>
      </c>
      <c r="L50" s="9"/>
      <c r="M50" s="7" t="s">
        <v>87</v>
      </c>
    </row>
    <row r="51" spans="1:13" ht="23.25" customHeight="1" x14ac:dyDescent="0.25">
      <c r="A51" s="7"/>
      <c r="B51" s="7"/>
      <c r="C51" s="7" t="s">
        <v>31</v>
      </c>
      <c r="D51" s="7" t="s">
        <v>90</v>
      </c>
      <c r="E51" s="8" t="s">
        <v>91</v>
      </c>
      <c r="F51" s="9">
        <v>6071</v>
      </c>
      <c r="G51" s="9"/>
      <c r="H51" s="9"/>
      <c r="I51" s="10">
        <v>0</v>
      </c>
      <c r="J51" s="7" t="s">
        <v>15</v>
      </c>
      <c r="K51" s="7" t="s">
        <v>19</v>
      </c>
      <c r="L51" s="9"/>
      <c r="M51" s="7" t="s">
        <v>92</v>
      </c>
    </row>
    <row r="52" spans="1:13" ht="23.25" customHeight="1" x14ac:dyDescent="0.25">
      <c r="A52" s="7"/>
      <c r="B52" s="7"/>
      <c r="C52" s="7" t="s">
        <v>31</v>
      </c>
      <c r="D52" s="7" t="s">
        <v>93</v>
      </c>
      <c r="E52" s="8" t="s">
        <v>94</v>
      </c>
      <c r="F52" s="9">
        <v>5462</v>
      </c>
      <c r="G52" s="9"/>
      <c r="H52" s="9"/>
      <c r="I52" s="10">
        <v>0</v>
      </c>
      <c r="J52" s="7" t="s">
        <v>15</v>
      </c>
      <c r="K52" s="7" t="s">
        <v>19</v>
      </c>
      <c r="L52" s="9"/>
      <c r="M52" s="7" t="s">
        <v>95</v>
      </c>
    </row>
    <row r="53" spans="1:13" ht="23.25" customHeight="1" x14ac:dyDescent="0.25">
      <c r="A53" s="7"/>
      <c r="B53" s="7"/>
      <c r="C53" s="7" t="s">
        <v>31</v>
      </c>
      <c r="D53" s="7" t="s">
        <v>96</v>
      </c>
      <c r="E53" s="8" t="s">
        <v>97</v>
      </c>
      <c r="F53" s="9">
        <v>783</v>
      </c>
      <c r="G53" s="9"/>
      <c r="H53" s="9"/>
      <c r="I53" s="10">
        <v>0</v>
      </c>
      <c r="J53" s="7" t="s">
        <v>15</v>
      </c>
      <c r="K53" s="7" t="s">
        <v>19</v>
      </c>
      <c r="L53" s="9"/>
      <c r="M53" s="7" t="s">
        <v>98</v>
      </c>
    </row>
    <row r="54" spans="1:13" ht="23.25" customHeight="1" x14ac:dyDescent="0.25">
      <c r="A54" s="7"/>
      <c r="B54" s="7"/>
      <c r="C54" s="7" t="s">
        <v>99</v>
      </c>
      <c r="D54" s="7" t="s">
        <v>100</v>
      </c>
      <c r="E54" s="8" t="s">
        <v>101</v>
      </c>
      <c r="F54" s="9">
        <v>11160</v>
      </c>
      <c r="G54" s="9"/>
      <c r="H54" s="9"/>
      <c r="I54" s="10">
        <v>0</v>
      </c>
      <c r="J54" s="7" t="s">
        <v>15</v>
      </c>
      <c r="K54" s="7" t="s">
        <v>19</v>
      </c>
      <c r="L54" s="9"/>
      <c r="M54" s="7" t="s">
        <v>81</v>
      </c>
    </row>
    <row r="55" spans="1:13" ht="23.25" customHeight="1" x14ac:dyDescent="0.25">
      <c r="A55" s="7"/>
      <c r="B55" s="7"/>
      <c r="C55" s="7" t="s">
        <v>102</v>
      </c>
      <c r="D55" s="7" t="s">
        <v>103</v>
      </c>
      <c r="E55" s="8" t="s">
        <v>104</v>
      </c>
      <c r="F55" s="9">
        <v>18847</v>
      </c>
      <c r="G55" s="9"/>
      <c r="H55" s="9"/>
      <c r="I55" s="10">
        <v>0</v>
      </c>
      <c r="J55" s="7" t="s">
        <v>15</v>
      </c>
      <c r="K55" s="7" t="s">
        <v>19</v>
      </c>
      <c r="L55" s="9"/>
      <c r="M55" s="7" t="s">
        <v>81</v>
      </c>
    </row>
    <row r="56" spans="1:13" ht="23.25" customHeight="1" x14ac:dyDescent="0.25">
      <c r="A56" s="7"/>
      <c r="B56" s="7"/>
      <c r="C56" s="7" t="s">
        <v>34</v>
      </c>
      <c r="D56" s="7" t="s">
        <v>105</v>
      </c>
      <c r="E56" s="8" t="s">
        <v>106</v>
      </c>
      <c r="F56" s="9">
        <v>589</v>
      </c>
      <c r="G56" s="9"/>
      <c r="H56" s="9"/>
      <c r="I56" s="10">
        <v>0</v>
      </c>
      <c r="J56" s="7" t="s">
        <v>15</v>
      </c>
      <c r="K56" s="7" t="s">
        <v>19</v>
      </c>
      <c r="L56" s="9"/>
      <c r="M56" s="7" t="s">
        <v>81</v>
      </c>
    </row>
    <row r="57" spans="1:13" ht="23.25" customHeight="1" x14ac:dyDescent="0.25">
      <c r="A57" s="7"/>
      <c r="B57" s="7"/>
      <c r="C57" s="7" t="s">
        <v>45</v>
      </c>
      <c r="D57" s="7" t="s">
        <v>46</v>
      </c>
      <c r="E57" s="8" t="s">
        <v>107</v>
      </c>
      <c r="F57" s="9">
        <v>235</v>
      </c>
      <c r="G57" s="9"/>
      <c r="H57" s="9"/>
      <c r="I57" s="10">
        <v>0</v>
      </c>
      <c r="J57" s="7" t="s">
        <v>15</v>
      </c>
      <c r="K57" s="7" t="s">
        <v>44</v>
      </c>
      <c r="L57" s="9"/>
      <c r="M57" s="7" t="s">
        <v>81</v>
      </c>
    </row>
    <row r="58" spans="1:13" ht="23.25" customHeight="1" x14ac:dyDescent="0.25">
      <c r="A58" s="7"/>
      <c r="B58" s="7"/>
      <c r="C58" s="7" t="s">
        <v>37</v>
      </c>
      <c r="D58" s="7" t="s">
        <v>38</v>
      </c>
      <c r="E58" s="8" t="s">
        <v>108</v>
      </c>
      <c r="F58" s="9">
        <v>2082</v>
      </c>
      <c r="G58" s="9"/>
      <c r="H58" s="9"/>
      <c r="I58" s="10">
        <v>0</v>
      </c>
      <c r="J58" s="7" t="s">
        <v>39</v>
      </c>
      <c r="K58" s="7" t="s">
        <v>16</v>
      </c>
      <c r="L58" s="9"/>
      <c r="M58" s="7" t="s">
        <v>81</v>
      </c>
    </row>
    <row r="59" spans="1:13" ht="23.25" customHeight="1" x14ac:dyDescent="0.25">
      <c r="A59" s="7"/>
      <c r="B59" s="7"/>
      <c r="C59" s="7" t="s">
        <v>20</v>
      </c>
      <c r="D59" s="7" t="s">
        <v>67</v>
      </c>
      <c r="E59" s="8" t="s">
        <v>109</v>
      </c>
      <c r="F59" s="9">
        <v>4750</v>
      </c>
      <c r="G59" s="9"/>
      <c r="H59" s="9"/>
      <c r="I59" s="10">
        <v>0</v>
      </c>
      <c r="J59" s="7" t="s">
        <v>15</v>
      </c>
      <c r="K59" s="7" t="s">
        <v>19</v>
      </c>
      <c r="L59" s="9"/>
      <c r="M59" s="7" t="s">
        <v>110</v>
      </c>
    </row>
    <row r="60" spans="1:13" ht="23.25" customHeight="1" x14ac:dyDescent="0.25">
      <c r="A60" s="7"/>
      <c r="B60" s="7"/>
      <c r="C60" s="7" t="s">
        <v>34</v>
      </c>
      <c r="D60" s="7" t="s">
        <v>35</v>
      </c>
      <c r="E60" s="8" t="s">
        <v>111</v>
      </c>
      <c r="F60" s="9">
        <v>571</v>
      </c>
      <c r="G60" s="9"/>
      <c r="H60" s="9"/>
      <c r="I60" s="10">
        <v>0</v>
      </c>
      <c r="J60" s="7" t="s">
        <v>15</v>
      </c>
      <c r="K60" s="7" t="s">
        <v>19</v>
      </c>
      <c r="L60" s="9"/>
      <c r="M60" s="7" t="s">
        <v>17</v>
      </c>
    </row>
    <row r="61" spans="1:13" ht="15" customHeight="1" x14ac:dyDescent="0.25">
      <c r="A61" s="3"/>
      <c r="B61" s="3" t="s">
        <v>112</v>
      </c>
      <c r="C61" s="3"/>
      <c r="D61" s="3"/>
      <c r="E61" s="20"/>
      <c r="F61" s="21"/>
      <c r="G61" s="21"/>
      <c r="H61" s="21">
        <f>H20+H40+H47</f>
        <v>597725.522</v>
      </c>
      <c r="I61" s="22"/>
      <c r="J61" s="3"/>
      <c r="K61" s="3"/>
      <c r="L61" s="21">
        <f>L20+L40+L47</f>
        <v>507725.522</v>
      </c>
      <c r="M61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zoomScaleNormal="100" workbookViewId="0"/>
  </sheetViews>
  <sheetFormatPr defaultColWidth="8.7109375" defaultRowHeight="15" x14ac:dyDescent="0.25"/>
  <cols>
    <col min="1" max="1" width="6" customWidth="1"/>
    <col min="2" max="2" width="60" customWidth="1"/>
    <col min="3" max="3" width="16" customWidth="1"/>
    <col min="4" max="4" width="14" customWidth="1"/>
    <col min="5" max="6" width="16" customWidth="1"/>
    <col min="7" max="7" width="14" customWidth="1"/>
    <col min="8" max="8" width="30" customWidth="1"/>
  </cols>
  <sheetData>
    <row r="1" spans="1:8" ht="15" customHeight="1" x14ac:dyDescent="0.25">
      <c r="A1" s="23" t="s">
        <v>113</v>
      </c>
    </row>
    <row r="3" spans="1:8" ht="30" customHeight="1" x14ac:dyDescent="0.25">
      <c r="A3" s="1" t="s">
        <v>114</v>
      </c>
      <c r="B3" s="1" t="s">
        <v>115</v>
      </c>
      <c r="C3" s="1" t="s">
        <v>116</v>
      </c>
      <c r="D3" s="1" t="s">
        <v>117</v>
      </c>
      <c r="E3" s="1" t="s">
        <v>118</v>
      </c>
      <c r="F3" s="1" t="s">
        <v>119</v>
      </c>
      <c r="G3" s="1" t="s">
        <v>120</v>
      </c>
      <c r="H3" s="1" t="s">
        <v>121</v>
      </c>
    </row>
    <row r="4" spans="1:8" ht="30" customHeight="1" x14ac:dyDescent="0.25">
      <c r="A4" s="24">
        <v>1</v>
      </c>
      <c r="B4" s="24" t="str">
        <f>BOM!E2</f>
        <v>ВРУ1-13-20 УХЛ4 — Вводная панель (2 ввода 315А,  без счетчик)</v>
      </c>
      <c r="C4" s="25">
        <f>BOM!L20</f>
        <v>242153.41199999998</v>
      </c>
      <c r="D4" s="25">
        <f>BOM!I19</f>
        <v>540</v>
      </c>
      <c r="E4" s="25">
        <f>BOM!H19</f>
        <v>54000</v>
      </c>
      <c r="F4" s="25">
        <f>BOM!H20</f>
        <v>296153.41200000001</v>
      </c>
      <c r="G4" s="26">
        <f>BOM!I2</f>
        <v>1</v>
      </c>
      <c r="H4" s="24" t="s">
        <v>122</v>
      </c>
    </row>
    <row r="5" spans="1:8" ht="30" customHeight="1" x14ac:dyDescent="0.25">
      <c r="A5" s="24">
        <v>2</v>
      </c>
      <c r="B5" s="24" t="str">
        <f>BOM!E21</f>
        <v>ВРУ1-47-00 УХЛ4 — Распределительная панель  без счетчик (8 линий: C1-C4, C6-C9)</v>
      </c>
      <c r="C5" s="25">
        <f>BOM!L40</f>
        <v>161605.55799999996</v>
      </c>
      <c r="D5" s="25">
        <f>BOM!I39</f>
        <v>360</v>
      </c>
      <c r="E5" s="25">
        <f>BOM!H39</f>
        <v>36000</v>
      </c>
      <c r="F5" s="25">
        <f>BOM!H40</f>
        <v>197605.55799999996</v>
      </c>
      <c r="G5" s="26">
        <f>BOM!I21</f>
        <v>1</v>
      </c>
      <c r="H5" s="24" t="s">
        <v>122</v>
      </c>
    </row>
    <row r="6" spans="1:8" ht="30" customHeight="1" x14ac:dyDescent="0.25">
      <c r="A6" s="24">
        <v>3</v>
      </c>
      <c r="B6" s="24" t="str">
        <f>BOM!E41</f>
        <v>Блок автоматического управления освещением на 14 групп (SF1...SF30)</v>
      </c>
      <c r="C6" s="25">
        <f>BOM!L47</f>
        <v>103966.552</v>
      </c>
      <c r="D6" s="25">
        <f>BOM!I46</f>
        <v>0</v>
      </c>
      <c r="E6" s="25">
        <f>BOM!H46</f>
        <v>0</v>
      </c>
      <c r="F6" s="25">
        <f>BOM!H47</f>
        <v>103966.552</v>
      </c>
      <c r="G6" s="26">
        <f>BOM!I41</f>
        <v>1</v>
      </c>
      <c r="H6" s="27" t="s">
        <v>123</v>
      </c>
    </row>
    <row r="7" spans="1:8" ht="15" customHeight="1" x14ac:dyDescent="0.25">
      <c r="A7" s="3"/>
      <c r="B7" s="3" t="s">
        <v>124</v>
      </c>
      <c r="C7" s="21">
        <f>SUM(C4:C6)</f>
        <v>507725.522</v>
      </c>
      <c r="D7" s="21">
        <f>SUM(D4:D6)</f>
        <v>900</v>
      </c>
      <c r="E7" s="21">
        <f>SUM(E4:E6)</f>
        <v>90000</v>
      </c>
      <c r="F7" s="21">
        <f>SUM(F4:F6)</f>
        <v>597725.522</v>
      </c>
      <c r="G7" s="3"/>
      <c r="H7" s="3"/>
    </row>
    <row r="9" spans="1:8" ht="15" customHeight="1" x14ac:dyDescent="0.25">
      <c r="A9" s="28"/>
      <c r="B9" s="28" t="s">
        <v>125</v>
      </c>
      <c r="C9" s="28"/>
      <c r="D9" s="29">
        <f>D7/60</f>
        <v>15</v>
      </c>
      <c r="E9" s="28"/>
      <c r="F9" s="28"/>
      <c r="G9" s="28"/>
      <c r="H9" s="28"/>
    </row>
    <row r="10" spans="1:8" ht="45" customHeight="1" x14ac:dyDescent="0.25">
      <c r="A10" s="28"/>
      <c r="B10" s="30" t="s">
        <v>126</v>
      </c>
      <c r="C10" s="28"/>
      <c r="D10" s="28"/>
      <c r="E10" s="28"/>
      <c r="F10" s="28"/>
      <c r="G10" s="28"/>
      <c r="H10" s="28"/>
    </row>
    <row r="11" spans="1:8" ht="45" customHeight="1" x14ac:dyDescent="0.25">
      <c r="A11" s="28"/>
      <c r="B11" s="30" t="s">
        <v>127</v>
      </c>
      <c r="C11" s="28"/>
      <c r="D11" s="28"/>
      <c r="E11" s="28"/>
      <c r="F11" s="28"/>
      <c r="G11" s="28"/>
      <c r="H11" s="2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2"/>
  <sheetViews>
    <sheetView tabSelected="1" zoomScaleNormal="100" workbookViewId="0">
      <selection activeCell="F2" sqref="F2"/>
    </sheetView>
  </sheetViews>
  <sheetFormatPr defaultColWidth="8.7109375" defaultRowHeight="15" x14ac:dyDescent="0.25"/>
  <cols>
    <col min="1" max="1" width="44" customWidth="1"/>
    <col min="2" max="2" width="14" customWidth="1"/>
    <col min="3" max="3" width="16" customWidth="1"/>
    <col min="4" max="4" width="14" customWidth="1"/>
    <col min="5" max="5" width="89" customWidth="1"/>
    <col min="6" max="6" width="95" customWidth="1"/>
  </cols>
  <sheetData>
    <row r="1" spans="1:11" ht="15" customHeight="1" x14ac:dyDescent="0.25">
      <c r="A1" s="31" t="s">
        <v>128</v>
      </c>
    </row>
    <row r="2" spans="1:11" ht="15" customHeight="1" x14ac:dyDescent="0.25">
      <c r="A2" s="32" t="s">
        <v>129</v>
      </c>
      <c r="E2" t="s">
        <v>241</v>
      </c>
      <c r="F2">
        <f>2.3*H20</f>
        <v>0</v>
      </c>
      <c r="G2">
        <f>0.7*F2</f>
        <v>0</v>
      </c>
    </row>
    <row r="3" spans="1:11" ht="15" customHeight="1" x14ac:dyDescent="0.25">
      <c r="A3" s="31" t="s">
        <v>130</v>
      </c>
      <c r="B3" s="33" t="s">
        <v>131</v>
      </c>
      <c r="D3" t="s">
        <v>219</v>
      </c>
      <c r="E3" t="s">
        <v>220</v>
      </c>
      <c r="F3">
        <v>155000</v>
      </c>
      <c r="G3">
        <f>0.6*F3</f>
        <v>93000</v>
      </c>
      <c r="K3" t="s">
        <v>221</v>
      </c>
    </row>
    <row r="4" spans="1:11" ht="15" customHeight="1" x14ac:dyDescent="0.25">
      <c r="A4" s="31" t="s">
        <v>132</v>
      </c>
      <c r="B4" s="34">
        <v>46233</v>
      </c>
      <c r="D4" t="s">
        <v>222</v>
      </c>
      <c r="E4" t="s">
        <v>223</v>
      </c>
      <c r="F4">
        <v>21950</v>
      </c>
      <c r="G4">
        <f>F4</f>
        <v>21950</v>
      </c>
      <c r="K4" t="s">
        <v>224</v>
      </c>
    </row>
    <row r="5" spans="1:11" ht="15" customHeight="1" x14ac:dyDescent="0.25">
      <c r="A5" s="31" t="s">
        <v>133</v>
      </c>
      <c r="B5" s="33" t="s">
        <v>19</v>
      </c>
    </row>
    <row r="6" spans="1:11" ht="15" customHeight="1" x14ac:dyDescent="0.25">
      <c r="A6" s="31" t="s">
        <v>134</v>
      </c>
      <c r="B6" s="33">
        <v>12</v>
      </c>
    </row>
    <row r="7" spans="1:11" ht="15" customHeight="1" x14ac:dyDescent="0.25">
      <c r="A7" s="31" t="s">
        <v>135</v>
      </c>
      <c r="B7" s="33">
        <v>18</v>
      </c>
      <c r="D7" t="s">
        <v>225</v>
      </c>
      <c r="E7" t="s">
        <v>226</v>
      </c>
      <c r="F7">
        <v>88000</v>
      </c>
      <c r="I7">
        <v>0</v>
      </c>
    </row>
    <row r="8" spans="1:11" ht="15" customHeight="1" x14ac:dyDescent="0.25">
      <c r="A8" s="31" t="s">
        <v>136</v>
      </c>
      <c r="B8" s="35"/>
      <c r="C8" s="28" t="s">
        <v>137</v>
      </c>
      <c r="F8">
        <v>6000</v>
      </c>
      <c r="G8">
        <f>F8</f>
        <v>6000</v>
      </c>
      <c r="K8" t="s">
        <v>224</v>
      </c>
    </row>
    <row r="9" spans="1:11" ht="15" customHeight="1" x14ac:dyDescent="0.25">
      <c r="A9" s="31" t="s">
        <v>138</v>
      </c>
      <c r="B9" s="35"/>
      <c r="C9" s="28" t="s">
        <v>139</v>
      </c>
    </row>
    <row r="10" spans="1:11" ht="15" customHeight="1" x14ac:dyDescent="0.25">
      <c r="A10" s="31" t="s">
        <v>140</v>
      </c>
      <c r="B10" s="36">
        <v>0.03</v>
      </c>
    </row>
    <row r="11" spans="1:11" ht="15" customHeight="1" x14ac:dyDescent="0.25">
      <c r="A11" s="31" t="s">
        <v>141</v>
      </c>
      <c r="B11" s="37">
        <v>100</v>
      </c>
      <c r="D11" t="s">
        <v>230</v>
      </c>
      <c r="E11" t="s">
        <v>231</v>
      </c>
      <c r="F11">
        <v>1297</v>
      </c>
      <c r="I11">
        <v>8</v>
      </c>
    </row>
    <row r="12" spans="1:11" ht="15" customHeight="1" x14ac:dyDescent="0.25">
      <c r="A12" s="31" t="s">
        <v>142</v>
      </c>
      <c r="B12" s="35">
        <v>1.1499999999999999</v>
      </c>
      <c r="D12" t="s">
        <v>41</v>
      </c>
      <c r="E12" t="s">
        <v>227</v>
      </c>
      <c r="F12">
        <v>5538</v>
      </c>
      <c r="I12">
        <v>1.5</v>
      </c>
    </row>
    <row r="13" spans="1:11" x14ac:dyDescent="0.25">
      <c r="I13">
        <v>4</v>
      </c>
    </row>
    <row r="14" spans="1:11" ht="15" customHeight="1" x14ac:dyDescent="0.25">
      <c r="A14" s="31" t="s">
        <v>143</v>
      </c>
    </row>
    <row r="15" spans="1:11" ht="15" customHeight="1" x14ac:dyDescent="0.25">
      <c r="A15" s="38" t="s">
        <v>144</v>
      </c>
      <c r="B15" s="38" t="s">
        <v>145</v>
      </c>
      <c r="C15" s="38" t="s">
        <v>146</v>
      </c>
      <c r="D15" s="38" t="s">
        <v>147</v>
      </c>
      <c r="E15" s="38" t="s">
        <v>148</v>
      </c>
      <c r="F15" s="38" t="s">
        <v>149</v>
      </c>
    </row>
    <row r="16" spans="1:11" ht="15" customHeight="1" x14ac:dyDescent="0.25">
      <c r="A16" s="7" t="s">
        <v>19</v>
      </c>
      <c r="B16" s="39">
        <v>0.6</v>
      </c>
      <c r="C16" s="40">
        <v>46186</v>
      </c>
      <c r="D16" s="41">
        <f t="shared" ref="D16:D21" si="0">ROUND(($B$4-C16)/30.44,1)</f>
        <v>1.5</v>
      </c>
      <c r="E16" s="7" t="str">
        <f t="shared" ref="E16:E20" si="1">IF(D16&gt;$B$7,"ЗАПРЕЩЕНО",IF(D16&gt;=$B$6,"ВНИМАНИЕ","АКТУАЛЬНО"))</f>
        <v>АКТУАЛЬНО</v>
      </c>
      <c r="F16" s="7" t="s">
        <v>150</v>
      </c>
    </row>
    <row r="17" spans="1:9" ht="15" customHeight="1" x14ac:dyDescent="0.25">
      <c r="A17" s="7" t="s">
        <v>26</v>
      </c>
      <c r="B17" s="39">
        <v>1</v>
      </c>
      <c r="C17" s="40">
        <v>46023</v>
      </c>
      <c r="D17" s="41">
        <f t="shared" si="0"/>
        <v>6.9</v>
      </c>
      <c r="E17" s="7" t="str">
        <f t="shared" si="1"/>
        <v>АКТУАЛЬНО</v>
      </c>
      <c r="F17" s="7" t="s">
        <v>151</v>
      </c>
    </row>
    <row r="18" spans="1:9" ht="15" customHeight="1" x14ac:dyDescent="0.25">
      <c r="A18" s="7" t="s">
        <v>16</v>
      </c>
      <c r="B18" s="39">
        <v>1</v>
      </c>
      <c r="C18" s="40">
        <v>45825</v>
      </c>
      <c r="D18" s="41">
        <f t="shared" si="0"/>
        <v>13.4</v>
      </c>
      <c r="E18" s="7" t="str">
        <f t="shared" si="1"/>
        <v>ВНИМАНИЕ</v>
      </c>
      <c r="F18" s="7" t="s">
        <v>152</v>
      </c>
    </row>
    <row r="19" spans="1:9" ht="15" customHeight="1" x14ac:dyDescent="0.25">
      <c r="A19" s="7" t="s">
        <v>44</v>
      </c>
      <c r="B19" s="39">
        <v>1</v>
      </c>
      <c r="C19" s="40">
        <v>45825</v>
      </c>
      <c r="D19" s="41">
        <f t="shared" si="0"/>
        <v>13.4</v>
      </c>
      <c r="E19" s="7" t="str">
        <f t="shared" si="1"/>
        <v>ВНИМАНИЕ</v>
      </c>
      <c r="F19" s="7">
        <v>9</v>
      </c>
      <c r="I19">
        <f>60*F19</f>
        <v>540</v>
      </c>
    </row>
    <row r="20" spans="1:9" ht="15" customHeight="1" x14ac:dyDescent="0.25">
      <c r="A20" s="7" t="s">
        <v>153</v>
      </c>
      <c r="B20" s="39">
        <v>0.3</v>
      </c>
      <c r="C20" s="40">
        <v>45962</v>
      </c>
      <c r="D20" s="41">
        <f t="shared" si="0"/>
        <v>8.9</v>
      </c>
      <c r="E20" s="7" t="str">
        <f t="shared" si="1"/>
        <v>АКТУАЛЬНО</v>
      </c>
      <c r="F20" s="7" t="s">
        <v>154</v>
      </c>
    </row>
    <row r="21" spans="1:9" ht="15" customHeight="1" x14ac:dyDescent="0.25">
      <c r="A21" s="7" t="s">
        <v>155</v>
      </c>
      <c r="B21" s="39">
        <v>0.6</v>
      </c>
      <c r="C21" s="40">
        <v>45839</v>
      </c>
      <c r="D21" s="41">
        <f t="shared" si="0"/>
        <v>12.9</v>
      </c>
      <c r="E21" s="7" t="s">
        <v>240</v>
      </c>
      <c r="F21" s="7">
        <f>2.3*H40</f>
        <v>0</v>
      </c>
      <c r="G21">
        <f>0.7*F21</f>
        <v>0</v>
      </c>
    </row>
    <row r="22" spans="1:9" ht="15" customHeight="1" x14ac:dyDescent="0.25">
      <c r="A22" s="7" t="s">
        <v>156</v>
      </c>
      <c r="B22" s="39">
        <v>1</v>
      </c>
      <c r="C22" s="40">
        <v>45931</v>
      </c>
      <c r="D22" s="41" t="s">
        <v>232</v>
      </c>
      <c r="E22" s="7" t="s">
        <v>242</v>
      </c>
      <c r="F22" s="7">
        <v>140000</v>
      </c>
      <c r="G22">
        <f>0.6*F22</f>
        <v>84000</v>
      </c>
    </row>
    <row r="23" spans="1:9" ht="15" customHeight="1" x14ac:dyDescent="0.25">
      <c r="A23" s="7" t="s">
        <v>157</v>
      </c>
      <c r="B23" s="39">
        <v>0.55000000000000004</v>
      </c>
      <c r="C23" s="40">
        <v>45692</v>
      </c>
      <c r="D23" s="41" t="s">
        <v>71</v>
      </c>
      <c r="E23" s="7" t="s">
        <v>239</v>
      </c>
      <c r="F23" s="7">
        <v>2038</v>
      </c>
      <c r="I23">
        <v>18</v>
      </c>
    </row>
    <row r="24" spans="1:9" ht="15" customHeight="1" x14ac:dyDescent="0.25">
      <c r="A24" s="7" t="s">
        <v>158</v>
      </c>
      <c r="B24" s="39">
        <v>1</v>
      </c>
      <c r="C24" s="40">
        <v>44866</v>
      </c>
      <c r="D24" s="41" t="s">
        <v>233</v>
      </c>
      <c r="E24" s="7" t="s">
        <v>234</v>
      </c>
      <c r="F24" s="7">
        <v>2225</v>
      </c>
    </row>
    <row r="25" spans="1:9" ht="15" customHeight="1" x14ac:dyDescent="0.25">
      <c r="A25" s="7" t="s">
        <v>159</v>
      </c>
      <c r="B25" s="39">
        <v>1</v>
      </c>
      <c r="C25" s="40">
        <v>44743</v>
      </c>
      <c r="D25" s="41" t="s">
        <v>235</v>
      </c>
      <c r="E25" s="7" t="s">
        <v>236</v>
      </c>
      <c r="F25" s="7">
        <v>2225</v>
      </c>
    </row>
    <row r="26" spans="1:9" ht="15" customHeight="1" x14ac:dyDescent="0.25">
      <c r="A26" s="7" t="s">
        <v>160</v>
      </c>
      <c r="B26" s="39">
        <v>1</v>
      </c>
      <c r="C26" s="40">
        <v>44614</v>
      </c>
      <c r="D26" s="41" t="s">
        <v>237</v>
      </c>
      <c r="E26" s="7" t="s">
        <v>238</v>
      </c>
      <c r="F26" s="7">
        <v>2210</v>
      </c>
    </row>
    <row r="28" spans="1:9" ht="15" customHeight="1" x14ac:dyDescent="0.25">
      <c r="A28" s="31" t="s">
        <v>161</v>
      </c>
    </row>
    <row r="29" spans="1:9" ht="15" customHeight="1" x14ac:dyDescent="0.25">
      <c r="A29" s="31" t="s">
        <v>135</v>
      </c>
      <c r="B29" s="33">
        <v>18</v>
      </c>
      <c r="D29" t="s">
        <v>228</v>
      </c>
      <c r="E29" t="s">
        <v>229</v>
      </c>
      <c r="F29">
        <v>36900</v>
      </c>
      <c r="I29">
        <v>0</v>
      </c>
    </row>
    <row r="30" spans="1:9" ht="15" customHeight="1" x14ac:dyDescent="0.25">
      <c r="A30" s="38" t="s">
        <v>162</v>
      </c>
      <c r="B30" s="38" t="s">
        <v>163</v>
      </c>
      <c r="C30" s="38" t="s">
        <v>164</v>
      </c>
    </row>
    <row r="31" spans="1:9" ht="15" customHeight="1" x14ac:dyDescent="0.25">
      <c r="A31" s="7" t="s">
        <v>166</v>
      </c>
      <c r="B31" s="39">
        <v>45</v>
      </c>
      <c r="C31" s="7" t="s">
        <v>165</v>
      </c>
      <c r="D31" t="s">
        <v>230</v>
      </c>
      <c r="E31" t="s">
        <v>231</v>
      </c>
      <c r="F31">
        <v>1297</v>
      </c>
      <c r="I31">
        <v>4</v>
      </c>
    </row>
    <row r="32" spans="1:9" ht="15" customHeight="1" x14ac:dyDescent="0.25">
      <c r="A32" s="7" t="s">
        <v>167</v>
      </c>
      <c r="B32" s="39">
        <v>30</v>
      </c>
      <c r="C32" s="7" t="s">
        <v>165</v>
      </c>
      <c r="D32" t="s">
        <v>41</v>
      </c>
      <c r="E32" t="s">
        <v>227</v>
      </c>
      <c r="F32">
        <v>5538</v>
      </c>
      <c r="I32">
        <v>1.2</v>
      </c>
    </row>
    <row r="33" spans="1:9" ht="15" customHeight="1" x14ac:dyDescent="0.25">
      <c r="A33" s="7" t="s">
        <v>168</v>
      </c>
      <c r="B33" s="39">
        <v>90</v>
      </c>
      <c r="C33" s="7" t="s">
        <v>165</v>
      </c>
      <c r="I33">
        <v>4</v>
      </c>
    </row>
    <row r="34" spans="1:9" ht="15" customHeight="1" x14ac:dyDescent="0.25">
      <c r="A34" s="7" t="s">
        <v>169</v>
      </c>
      <c r="B34" s="39">
        <v>60</v>
      </c>
      <c r="C34" s="7" t="s">
        <v>165</v>
      </c>
      <c r="I34">
        <v>0</v>
      </c>
    </row>
    <row r="35" spans="1:9" ht="15" customHeight="1" x14ac:dyDescent="0.25">
      <c r="A35" s="7" t="s">
        <v>170</v>
      </c>
      <c r="B35" s="39">
        <v>90</v>
      </c>
      <c r="C35" s="7" t="s">
        <v>165</v>
      </c>
      <c r="I35">
        <v>0</v>
      </c>
    </row>
    <row r="36" spans="1:9" ht="15" customHeight="1" x14ac:dyDescent="0.25">
      <c r="A36" s="7" t="s">
        <v>171</v>
      </c>
      <c r="B36" s="39">
        <v>10</v>
      </c>
      <c r="C36" s="7" t="s">
        <v>165</v>
      </c>
      <c r="I36">
        <v>0</v>
      </c>
    </row>
    <row r="37" spans="1:9" ht="15" customHeight="1" x14ac:dyDescent="0.25">
      <c r="A37" s="7" t="s">
        <v>172</v>
      </c>
      <c r="B37" s="39">
        <v>18</v>
      </c>
      <c r="C37" s="7" t="s">
        <v>165</v>
      </c>
      <c r="I37">
        <v>0</v>
      </c>
    </row>
    <row r="38" spans="1:9" ht="15" customHeight="1" x14ac:dyDescent="0.25">
      <c r="A38" s="7" t="s">
        <v>173</v>
      </c>
      <c r="B38" s="39">
        <v>30</v>
      </c>
      <c r="C38" s="7" t="s">
        <v>165</v>
      </c>
    </row>
    <row r="39" spans="1:9" ht="15" customHeight="1" x14ac:dyDescent="0.25">
      <c r="A39" s="7" t="s">
        <v>174</v>
      </c>
      <c r="B39" s="39">
        <v>20</v>
      </c>
      <c r="C39" s="7" t="s">
        <v>165</v>
      </c>
      <c r="F39">
        <v>6</v>
      </c>
      <c r="I39">
        <f>60*F39</f>
        <v>360</v>
      </c>
    </row>
    <row r="40" spans="1:9" ht="15" customHeight="1" x14ac:dyDescent="0.25">
      <c r="A40" s="7" t="s">
        <v>175</v>
      </c>
      <c r="B40" s="39">
        <v>12</v>
      </c>
      <c r="C40" s="7" t="s">
        <v>165</v>
      </c>
    </row>
    <row r="41" spans="1:9" ht="15" customHeight="1" x14ac:dyDescent="0.25">
      <c r="A41" s="7" t="s">
        <v>176</v>
      </c>
      <c r="B41" s="39">
        <v>2</v>
      </c>
      <c r="C41" s="7" t="s">
        <v>165</v>
      </c>
    </row>
    <row r="42" spans="1:9" ht="15" customHeight="1" x14ac:dyDescent="0.25">
      <c r="A42" s="7" t="s">
        <v>177</v>
      </c>
      <c r="B42" s="39">
        <v>15</v>
      </c>
      <c r="C42" s="7" t="s">
        <v>165</v>
      </c>
    </row>
    <row r="43" spans="1:9" ht="15" customHeight="1" x14ac:dyDescent="0.25">
      <c r="A43" s="7" t="s">
        <v>178</v>
      </c>
      <c r="B43" s="39">
        <v>90</v>
      </c>
      <c r="C43" s="7" t="s">
        <v>179</v>
      </c>
    </row>
    <row r="44" spans="1:9" ht="15" customHeight="1" x14ac:dyDescent="0.25">
      <c r="A44" s="7" t="s">
        <v>180</v>
      </c>
      <c r="B44" s="39">
        <v>4</v>
      </c>
      <c r="C44" s="7" t="s">
        <v>165</v>
      </c>
    </row>
    <row r="45" spans="1:9" ht="15" customHeight="1" x14ac:dyDescent="0.25">
      <c r="A45" s="7" t="s">
        <v>181</v>
      </c>
      <c r="B45" s="39">
        <v>5</v>
      </c>
      <c r="C45" s="7" t="s">
        <v>165</v>
      </c>
    </row>
    <row r="46" spans="1:9" ht="15" customHeight="1" x14ac:dyDescent="0.25">
      <c r="A46" s="7" t="s">
        <v>182</v>
      </c>
      <c r="B46" s="39">
        <v>20</v>
      </c>
      <c r="C46" s="7" t="s">
        <v>165</v>
      </c>
      <c r="I46">
        <f>60*F46</f>
        <v>0</v>
      </c>
    </row>
    <row r="47" spans="1:9" ht="15" customHeight="1" x14ac:dyDescent="0.25">
      <c r="A47" s="7" t="s">
        <v>183</v>
      </c>
      <c r="B47" s="39">
        <v>45</v>
      </c>
      <c r="C47" s="7" t="s">
        <v>184</v>
      </c>
    </row>
    <row r="48" spans="1:9" ht="15" customHeight="1" x14ac:dyDescent="0.25">
      <c r="A48" s="7" t="s">
        <v>185</v>
      </c>
      <c r="B48" s="39">
        <v>5</v>
      </c>
      <c r="C48" s="7" t="s">
        <v>184</v>
      </c>
    </row>
    <row r="49" spans="1:3" ht="15" customHeight="1" x14ac:dyDescent="0.25">
      <c r="A49" s="7" t="s">
        <v>186</v>
      </c>
      <c r="B49" s="39">
        <v>3</v>
      </c>
      <c r="C49" s="7" t="s">
        <v>165</v>
      </c>
    </row>
    <row r="51" spans="1:3" ht="15" customHeight="1" x14ac:dyDescent="0.25">
      <c r="A51" s="31" t="s">
        <v>187</v>
      </c>
    </row>
    <row r="52" spans="1:3" ht="15" customHeight="1" x14ac:dyDescent="0.25">
      <c r="A52" s="38" t="s">
        <v>114</v>
      </c>
      <c r="B52" s="38" t="s">
        <v>188</v>
      </c>
      <c r="C52" s="38" t="s">
        <v>189</v>
      </c>
    </row>
    <row r="53" spans="1:3" ht="30" customHeight="1" x14ac:dyDescent="0.25">
      <c r="A53" s="7">
        <v>1</v>
      </c>
      <c r="B53" s="16" t="s">
        <v>190</v>
      </c>
      <c r="C53" s="24" t="s">
        <v>191</v>
      </c>
    </row>
    <row r="54" spans="1:3" ht="30" customHeight="1" x14ac:dyDescent="0.25">
      <c r="A54" s="7">
        <v>2</v>
      </c>
      <c r="B54" s="16" t="s">
        <v>190</v>
      </c>
      <c r="C54" s="24" t="s">
        <v>192</v>
      </c>
    </row>
    <row r="55" spans="1:3" ht="30" customHeight="1" x14ac:dyDescent="0.25">
      <c r="A55" s="7">
        <v>3</v>
      </c>
      <c r="B55" s="16" t="s">
        <v>190</v>
      </c>
      <c r="C55" s="24" t="s">
        <v>193</v>
      </c>
    </row>
    <row r="56" spans="1:3" ht="30" customHeight="1" x14ac:dyDescent="0.25">
      <c r="A56" s="7">
        <v>4</v>
      </c>
      <c r="B56" s="16" t="s">
        <v>194</v>
      </c>
      <c r="C56" s="24" t="s">
        <v>195</v>
      </c>
    </row>
    <row r="57" spans="1:3" ht="30" customHeight="1" x14ac:dyDescent="0.25">
      <c r="A57" s="7">
        <v>5</v>
      </c>
      <c r="B57" s="2" t="s">
        <v>196</v>
      </c>
      <c r="C57" s="24" t="s">
        <v>197</v>
      </c>
    </row>
    <row r="58" spans="1:3" ht="30" customHeight="1" x14ac:dyDescent="0.25">
      <c r="A58" s="7">
        <v>6</v>
      </c>
      <c r="B58" s="2" t="s">
        <v>196</v>
      </c>
      <c r="C58" s="24" t="s">
        <v>198</v>
      </c>
    </row>
    <row r="59" spans="1:3" ht="30" customHeight="1" x14ac:dyDescent="0.25">
      <c r="A59" s="7">
        <v>7</v>
      </c>
      <c r="B59" s="2" t="s">
        <v>196</v>
      </c>
      <c r="C59" s="24" t="s">
        <v>199</v>
      </c>
    </row>
    <row r="60" spans="1:3" ht="30" customHeight="1" x14ac:dyDescent="0.25">
      <c r="A60" s="7">
        <v>8</v>
      </c>
      <c r="B60" s="2" t="s">
        <v>196</v>
      </c>
      <c r="C60" s="24" t="s">
        <v>200</v>
      </c>
    </row>
    <row r="61" spans="1:3" ht="30" customHeight="1" x14ac:dyDescent="0.25">
      <c r="A61" s="7">
        <v>9</v>
      </c>
      <c r="B61" s="2" t="s">
        <v>196</v>
      </c>
      <c r="C61" s="24" t="s">
        <v>201</v>
      </c>
    </row>
    <row r="62" spans="1:3" ht="30" customHeight="1" x14ac:dyDescent="0.25">
      <c r="A62" s="7">
        <v>10</v>
      </c>
      <c r="B62" s="2" t="s">
        <v>202</v>
      </c>
      <c r="C62" s="24" t="s">
        <v>203</v>
      </c>
    </row>
    <row r="63" spans="1:3" ht="30" customHeight="1" x14ac:dyDescent="0.25">
      <c r="A63" s="7">
        <v>11</v>
      </c>
      <c r="B63" s="16" t="s">
        <v>204</v>
      </c>
      <c r="C63" s="24" t="s">
        <v>205</v>
      </c>
    </row>
    <row r="64" spans="1:3" ht="30" customHeight="1" x14ac:dyDescent="0.25">
      <c r="A64" s="7">
        <v>12</v>
      </c>
      <c r="B64" s="16" t="s">
        <v>204</v>
      </c>
      <c r="C64" s="24" t="s">
        <v>206</v>
      </c>
    </row>
    <row r="65" spans="1:3" ht="30" customHeight="1" x14ac:dyDescent="0.25">
      <c r="A65" s="7">
        <v>13</v>
      </c>
      <c r="B65" s="16" t="s">
        <v>204</v>
      </c>
      <c r="C65" s="24" t="s">
        <v>207</v>
      </c>
    </row>
    <row r="66" spans="1:3" ht="30" customHeight="1" x14ac:dyDescent="0.25">
      <c r="A66" s="7">
        <v>14</v>
      </c>
      <c r="B66" s="16" t="s">
        <v>204</v>
      </c>
      <c r="C66" s="24" t="s">
        <v>208</v>
      </c>
    </row>
    <row r="67" spans="1:3" ht="30" customHeight="1" x14ac:dyDescent="0.25">
      <c r="A67" s="7">
        <v>15</v>
      </c>
      <c r="B67" s="2" t="s">
        <v>209</v>
      </c>
      <c r="C67" s="24" t="s">
        <v>210</v>
      </c>
    </row>
    <row r="68" spans="1:3" ht="30" customHeight="1" x14ac:dyDescent="0.25">
      <c r="A68" s="7">
        <v>16</v>
      </c>
      <c r="B68" s="2" t="s">
        <v>209</v>
      </c>
      <c r="C68" s="24" t="s">
        <v>211</v>
      </c>
    </row>
    <row r="69" spans="1:3" ht="30" customHeight="1" x14ac:dyDescent="0.25">
      <c r="A69" s="7">
        <v>17</v>
      </c>
      <c r="B69" s="2" t="s">
        <v>212</v>
      </c>
      <c r="C69" s="24" t="s">
        <v>213</v>
      </c>
    </row>
    <row r="70" spans="1:3" ht="30" customHeight="1" x14ac:dyDescent="0.25">
      <c r="A70" s="7">
        <v>18</v>
      </c>
      <c r="B70" s="2" t="s">
        <v>212</v>
      </c>
      <c r="C70" s="24" t="s">
        <v>214</v>
      </c>
    </row>
    <row r="71" spans="1:3" ht="30" customHeight="1" x14ac:dyDescent="0.25">
      <c r="A71" s="7">
        <v>19</v>
      </c>
      <c r="B71" s="2" t="s">
        <v>215</v>
      </c>
      <c r="C71" s="24" t="s">
        <v>216</v>
      </c>
    </row>
    <row r="72" spans="1:3" ht="30" customHeight="1" x14ac:dyDescent="0.25">
      <c r="A72" s="7">
        <v>20</v>
      </c>
      <c r="B72" s="2" t="s">
        <v>217</v>
      </c>
      <c r="C72" s="24" t="s">
        <v>218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BOM</vt:lpstr>
      <vt:lpstr>СВОД</vt:lpstr>
      <vt:lpstr>Kurallar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2026-07-30T11:33:46Z</dcterms:created>
  <dcterms:modified xsi:type="dcterms:W3CDTF">2026-08-03T12:12:36Z</dcterms:modified>
  <dc:language>en-US</dc:language>
</cp:coreProperties>
</file>