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8 astana poliklinik 200 pano\"/>
    </mc:Choice>
  </mc:AlternateContent>
  <xr:revisionPtr revIDLastSave="0" documentId="13_ncr:1_{768AC189-31F7-4E38-8CF0-1724288F5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G7" i="1" s="1"/>
  <c r="F5" i="1"/>
  <c r="G5" i="1" s="1"/>
  <c r="F6" i="1"/>
  <c r="G6" i="1" s="1"/>
  <c r="F8" i="1"/>
  <c r="H10" i="1"/>
  <c r="G10" i="1"/>
  <c r="E9" i="1"/>
  <c r="F9" i="1" s="1"/>
  <c r="G9" i="1" s="1"/>
  <c r="G11" i="1" s="1"/>
  <c r="E2" i="1" s="1"/>
  <c r="F2" i="1" s="1"/>
  <c r="G8" i="1"/>
  <c r="F4" i="1"/>
  <c r="G4" i="1" s="1"/>
  <c r="F3" i="1"/>
  <c r="G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G2" i="1" l="1"/>
  <c r="G12" i="1"/>
</calcChain>
</file>

<file path=xl/sharedStrings.xml><?xml version="1.0" encoding="utf-8"?>
<sst xmlns="http://schemas.openxmlformats.org/spreadsheetml/2006/main" count="50" uniqueCount="30">
  <si>
    <t>комплект</t>
  </si>
  <si>
    <t>TEKSAN</t>
  </si>
  <si>
    <t>korpus</t>
  </si>
  <si>
    <t xml:space="preserve"> ШТ. </t>
  </si>
  <si>
    <t>teksan f</t>
  </si>
  <si>
    <t>oto</t>
  </si>
  <si>
    <t>монтажный материал</t>
  </si>
  <si>
    <t>монтажная работа</t>
  </si>
  <si>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</si>
  <si>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</si>
  <si>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</si>
  <si>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</si>
  <si>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</si>
  <si>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</si>
  <si>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</si>
  <si>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</si>
  <si>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</si>
  <si>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Автоматический выключатель SE EZ9F34116 EASY 9 1П 16А С 4.5кА 230В</t>
  </si>
  <si>
    <t>Автоматический выключатель SE EZ9F34125 EASY 9 1П 25А С 4.5кА 230В</t>
  </si>
  <si>
    <t>Автоматический выключатель SE EZ9F34110 EASY 9 1П 10А С 4.5кА 230В</t>
  </si>
  <si>
    <t>dif</t>
  </si>
  <si>
    <t>schneider</t>
  </si>
  <si>
    <t>rele</t>
  </si>
  <si>
    <t>?</t>
  </si>
  <si>
    <t>Реле импульсное BIS-411, 16А F&amp;F</t>
  </si>
  <si>
    <t>711-03040</t>
  </si>
  <si>
    <t>Щит расп. x24, пластик., с/у, крышка белая, серия NEXUS (TEKLED ELECTRIC) 5</t>
  </si>
  <si>
    <t>42254 </t>
  </si>
  <si>
    <t>Дифференциальный автоматический выключатель SE EASY9 1P+N C 25А 30мА AC</t>
  </si>
  <si>
    <t>ЩР (260709 ast hst)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</si>
</sst>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164" fontId="2" fillId="3" borderId="1" xfId="1" applyNumberFormat="1" applyFont="1" applyFill="1" applyBorder="1" applyAlignment="1" applyProtection="1">
      <alignment horizontal="center" vertical="center"/>
    </xf>
    <xf numFmtId="165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 applyProtection="1">
      <alignment horizontal="center" vertical="center" wrapText="1"/>
    </xf>
    <xf numFmtId="164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1" applyNumberFormat="1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6" fillId="0" borderId="1" xfId="0" quotePrefix="1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4" fontId="8" fillId="4" borderId="1" xfId="1" applyNumberFormat="1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 applyProtection="1">
      <alignment horizontal="center" vertical="center" wrapText="1"/>
    </xf>
    <xf numFmtId="0" fontId="2" fillId="6" borderId="1" xfId="1" applyNumberFormat="1" applyFont="1" applyFill="1" applyBorder="1" applyAlignment="1" applyProtection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22" t="s">
        <v>8</v>
      </c>
      <c r="B1" s="22" t="s">
        <v>9</v>
      </c>
      <c r="C1" s="23" t="s">
        <v>10</v>
      </c>
      <c r="D1" s="22" t="s">
        <v>11</v>
      </c>
      <c r="E1" s="22" t="s">
        <v>12</v>
      </c>
      <c r="F1" s="22" t="s">
        <v>12</v>
      </c>
      <c r="G1" s="24" t="s">
        <v>13</v>
      </c>
      <c r="H1" s="25" t="s">
        <v>14</v>
      </c>
      <c r="I1" s="25" t="s">
        <v>15</v>
      </c>
      <c r="J1" s="25" t="s">
        <v>16</v>
      </c>
    </row>
    <row r="2" spans="1:11" ht="39.75" customHeight="1" x14ac:dyDescent="0.25">
      <c r="A2" s="1" t="str">
        <f>D2</f>
        <v>ЩР (260709 ast hst)</v>
      </c>
      <c r="B2" s="2"/>
      <c r="C2" s="3"/>
      <c r="D2" s="2" t="s">
        <v>29</v>
      </c>
      <c r="E2" s="4">
        <f ca="1">2.3*G11</f>
        <v>150417.69999999998</v>
      </c>
      <c r="F2" s="4">
        <f ca="1">0.65*E2</f>
        <v>97771.50499999999</v>
      </c>
      <c r="G2" s="5">
        <f ca="1">F2*H2</f>
        <v>19554300.999999996</v>
      </c>
      <c r="H2" s="6">
        <v>200</v>
      </c>
      <c r="I2" s="7" t="s">
        <v>0</v>
      </c>
      <c r="J2" s="2" t="s">
        <v>1</v>
      </c>
    </row>
    <row r="3" spans="1:11" ht="42.75" customHeight="1" x14ac:dyDescent="0.25">
      <c r="A3" s="8" t="str">
        <f>A2</f>
        <v>ЩР (260709 ast hst)</v>
      </c>
      <c r="B3" s="9" t="s">
        <v>2</v>
      </c>
      <c r="C3" s="10" t="s">
        <v>25</v>
      </c>
      <c r="D3" s="8" t="s">
        <v>26</v>
      </c>
      <c r="E3" s="9">
        <v>11400</v>
      </c>
      <c r="F3" s="11">
        <f>E3*0.6</f>
        <v>6840</v>
      </c>
      <c r="G3" s="11">
        <f>H3*F3</f>
        <v>6840</v>
      </c>
      <c r="H3" s="12">
        <v>1</v>
      </c>
      <c r="I3" s="13" t="s">
        <v>3</v>
      </c>
      <c r="J3" s="9" t="s">
        <v>4</v>
      </c>
    </row>
    <row r="4" spans="1:11" ht="37.5" customHeight="1" x14ac:dyDescent="0.25">
      <c r="A4" s="8" t="str">
        <f t="shared" ref="A4:A11" si="0">A3</f>
        <v>ЩР (260709 ast hst)</v>
      </c>
      <c r="B4" s="9" t="s">
        <v>20</v>
      </c>
      <c r="C4" s="10" t="s">
        <v>27</v>
      </c>
      <c r="D4" s="8" t="s">
        <v>28</v>
      </c>
      <c r="E4" s="26">
        <v>13600</v>
      </c>
      <c r="F4" s="11">
        <f>E4</f>
        <v>13600</v>
      </c>
      <c r="G4" s="11">
        <f>F4*H4</f>
        <v>13600</v>
      </c>
      <c r="H4" s="12">
        <v>1</v>
      </c>
      <c r="I4" s="13" t="s">
        <v>3</v>
      </c>
      <c r="J4" s="9" t="s">
        <v>21</v>
      </c>
    </row>
    <row r="5" spans="1:11" ht="21" customHeight="1" x14ac:dyDescent="0.25">
      <c r="A5" s="8" t="str">
        <f t="shared" si="0"/>
        <v>ЩР (260709 ast hst)</v>
      </c>
      <c r="B5" s="9" t="s">
        <v>5</v>
      </c>
      <c r="C5" s="27">
        <v>41954</v>
      </c>
      <c r="D5" s="8" t="s">
        <v>18</v>
      </c>
      <c r="E5" s="26">
        <v>1498</v>
      </c>
      <c r="F5" s="11">
        <f t="shared" ref="F5:F8" si="1">E5</f>
        <v>1498</v>
      </c>
      <c r="G5" s="11">
        <f t="shared" ref="G5" si="2">F5*H5</f>
        <v>1498</v>
      </c>
      <c r="H5" s="12">
        <v>1</v>
      </c>
      <c r="I5" s="13" t="s">
        <v>3</v>
      </c>
      <c r="J5" s="9" t="s">
        <v>21</v>
      </c>
    </row>
    <row r="6" spans="1:11" ht="21" customHeight="1" x14ac:dyDescent="0.25">
      <c r="A6" s="8" t="str">
        <f t="shared" si="0"/>
        <v>ЩР (260709 ast hst)</v>
      </c>
      <c r="B6" s="9" t="s">
        <v>5</v>
      </c>
      <c r="C6" s="27">
        <v>41954</v>
      </c>
      <c r="D6" s="8" t="s">
        <v>17</v>
      </c>
      <c r="E6" s="26">
        <v>1386</v>
      </c>
      <c r="F6" s="11">
        <f t="shared" si="1"/>
        <v>1386</v>
      </c>
      <c r="G6" s="11">
        <f t="shared" ref="G6:G8" si="3">F6*H6</f>
        <v>11088</v>
      </c>
      <c r="H6" s="12">
        <v>8</v>
      </c>
      <c r="I6" s="13" t="s">
        <v>3</v>
      </c>
      <c r="J6" s="9" t="s">
        <v>21</v>
      </c>
    </row>
    <row r="7" spans="1:11" ht="21" customHeight="1" x14ac:dyDescent="0.25">
      <c r="A7" s="8" t="str">
        <f t="shared" si="0"/>
        <v>ЩР (260709 ast hst)</v>
      </c>
      <c r="B7" s="9" t="s">
        <v>5</v>
      </c>
      <c r="C7" s="27">
        <v>41953</v>
      </c>
      <c r="D7" s="8" t="s">
        <v>19</v>
      </c>
      <c r="E7" s="26">
        <v>1431</v>
      </c>
      <c r="F7" s="11">
        <f>E7</f>
        <v>1431</v>
      </c>
      <c r="G7" s="11">
        <f>F7*H7</f>
        <v>4293</v>
      </c>
      <c r="H7" s="12">
        <v>3</v>
      </c>
      <c r="I7" s="13" t="s">
        <v>3</v>
      </c>
      <c r="J7" s="9" t="s">
        <v>21</v>
      </c>
    </row>
    <row r="8" spans="1:11" ht="21" customHeight="1" x14ac:dyDescent="0.25">
      <c r="A8" s="8" t="str">
        <f t="shared" si="0"/>
        <v>ЩР (260709 ast hst)</v>
      </c>
      <c r="B8" s="9" t="s">
        <v>22</v>
      </c>
      <c r="C8" s="10"/>
      <c r="D8" s="8" t="s">
        <v>24</v>
      </c>
      <c r="E8" s="26">
        <v>10080</v>
      </c>
      <c r="F8" s="11">
        <f t="shared" si="1"/>
        <v>10080</v>
      </c>
      <c r="G8" s="11">
        <f t="shared" si="3"/>
        <v>10080</v>
      </c>
      <c r="H8" s="12">
        <v>1</v>
      </c>
      <c r="I8" s="13" t="s">
        <v>3</v>
      </c>
      <c r="J8" s="9" t="s">
        <v>21</v>
      </c>
      <c r="K8" t="s">
        <v>23</v>
      </c>
    </row>
    <row r="9" spans="1:11" ht="24" customHeight="1" x14ac:dyDescent="0.25">
      <c r="A9" s="8" t="str">
        <f t="shared" si="0"/>
        <v>ЩР (260709 ast hst)</v>
      </c>
      <c r="B9" s="8" t="s">
        <v>6</v>
      </c>
      <c r="C9" s="14" t="s">
        <v>6</v>
      </c>
      <c r="D9" s="8" t="s">
        <v>6</v>
      </c>
      <c r="E9" s="8">
        <f ca="1">OFFSET(E9,1,2)</f>
        <v>9000</v>
      </c>
      <c r="F9" s="11">
        <f ca="1">E9</f>
        <v>9000</v>
      </c>
      <c r="G9" s="11">
        <f t="shared" ref="G9" ca="1" si="4">F9*H9</f>
        <v>9000</v>
      </c>
      <c r="H9" s="8">
        <v>1</v>
      </c>
      <c r="I9" s="8" t="s">
        <v>3</v>
      </c>
      <c r="J9" s="8" t="s">
        <v>6</v>
      </c>
    </row>
    <row r="10" spans="1:11" ht="21" customHeight="1" x14ac:dyDescent="0.25">
      <c r="A10" s="8" t="str">
        <f t="shared" si="0"/>
        <v>ЩР (260709 ast hst)</v>
      </c>
      <c r="B10" s="8" t="s">
        <v>7</v>
      </c>
      <c r="C10" s="14" t="s">
        <v>7</v>
      </c>
      <c r="D10" s="8" t="s">
        <v>7</v>
      </c>
      <c r="E10" s="8">
        <v>1.5</v>
      </c>
      <c r="F10" s="11">
        <v>100</v>
      </c>
      <c r="G10" s="11">
        <f>60*E10*F10</f>
        <v>9000</v>
      </c>
      <c r="H10" s="8">
        <f>60*E10</f>
        <v>90</v>
      </c>
      <c r="I10" s="8" t="s">
        <v>3</v>
      </c>
      <c r="J10" s="8" t="s">
        <v>7</v>
      </c>
    </row>
    <row r="11" spans="1:11" ht="30" customHeight="1" x14ac:dyDescent="0.25">
      <c r="A11" s="8" t="str">
        <f t="shared" si="0"/>
        <v>ЩР (260709 ast hst)</v>
      </c>
      <c r="B11" s="15"/>
      <c r="C11" s="16"/>
      <c r="D11" s="17"/>
      <c r="E11" s="18"/>
      <c r="F11" s="19"/>
      <c r="G11" s="20">
        <f ca="1">SUM(G3:G10)</f>
        <v>65399</v>
      </c>
      <c r="H11" s="16"/>
      <c r="I11" s="21"/>
      <c r="J11" s="16"/>
    </row>
    <row r="12" spans="1:11" x14ac:dyDescent="0.25">
      <c r="G12">
        <f ca="1">G11*1.4</f>
        <v>91558.599999999991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YUSUF KAPLAN</cp:lastModifiedBy>
  <dcterms:created xsi:type="dcterms:W3CDTF">2015-06-05T18:17:20Z</dcterms:created>
  <dcterms:modified xsi:type="dcterms:W3CDTF">2026-07-09T12:40:25Z</dcterms:modified>
</cp:coreProperties>
</file>