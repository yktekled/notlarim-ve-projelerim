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13 astana yda fabrika dastan bey schneider ile\"/>
    </mc:Choice>
  </mc:AlternateContent>
  <xr:revisionPtr revIDLastSave="0" documentId="8_{28F9B7AE-6154-4969-A032-F942881E009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Sayfa1!$A$1:$J$85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2" l="1"/>
  <c r="G81" i="2" s="1"/>
  <c r="F77" i="2"/>
  <c r="G77" i="2" s="1"/>
  <c r="F80" i="2"/>
  <c r="G80" i="2" s="1"/>
  <c r="F79" i="2"/>
  <c r="G79" i="2" s="1"/>
  <c r="F78" i="2"/>
  <c r="G78" i="2" s="1"/>
  <c r="F75" i="2"/>
  <c r="G75" i="2" s="1"/>
  <c r="H84" i="2"/>
  <c r="G84" i="2"/>
  <c r="E83" i="2"/>
  <c r="F83" i="2" s="1"/>
  <c r="G83" i="2" s="1"/>
  <c r="F82" i="2"/>
  <c r="G82" i="2" s="1"/>
  <c r="F76" i="2"/>
  <c r="G76" i="2" s="1"/>
  <c r="F74" i="2"/>
  <c r="G74" i="2" s="1"/>
  <c r="A73" i="2"/>
  <c r="F67" i="2"/>
  <c r="G67" i="2" s="1"/>
  <c r="F63" i="2"/>
  <c r="G63" i="2" s="1"/>
  <c r="F61" i="2"/>
  <c r="G61" i="2" s="1"/>
  <c r="H71" i="2"/>
  <c r="G71" i="2"/>
  <c r="E70" i="2"/>
  <c r="F70" i="2" s="1"/>
  <c r="G70" i="2" s="1"/>
  <c r="F69" i="2"/>
  <c r="G69" i="2" s="1"/>
  <c r="F68" i="2"/>
  <c r="G68" i="2" s="1"/>
  <c r="F66" i="2"/>
  <c r="G66" i="2" s="1"/>
  <c r="F65" i="2"/>
  <c r="G65" i="2" s="1"/>
  <c r="F64" i="2"/>
  <c r="G64" i="2" s="1"/>
  <c r="F62" i="2"/>
  <c r="G62" i="2" s="1"/>
  <c r="F60" i="2"/>
  <c r="G60" i="2" s="1"/>
  <c r="A59" i="2"/>
  <c r="F47" i="2"/>
  <c r="F50" i="2"/>
  <c r="G50" i="2" s="1"/>
  <c r="H57" i="2"/>
  <c r="G57" i="2"/>
  <c r="E56" i="2" s="1"/>
  <c r="F56" i="2" s="1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49" i="2"/>
  <c r="G49" i="2" s="1"/>
  <c r="F48" i="2"/>
  <c r="G48" i="2" s="1"/>
  <c r="G47" i="2"/>
  <c r="F46" i="2"/>
  <c r="G46" i="2" s="1"/>
  <c r="A45" i="2"/>
  <c r="F39" i="2"/>
  <c r="G39" i="2" s="1"/>
  <c r="H43" i="2"/>
  <c r="G43" i="2"/>
  <c r="E42" i="2" s="1"/>
  <c r="F42" i="2" s="1"/>
  <c r="G42" i="2" s="1"/>
  <c r="F41" i="2"/>
  <c r="G41" i="2" s="1"/>
  <c r="F40" i="2"/>
  <c r="G40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A30" i="2"/>
  <c r="H28" i="2"/>
  <c r="G28" i="2"/>
  <c r="E27" i="2" s="1"/>
  <c r="F27" i="2" s="1"/>
  <c r="G27" i="2" s="1"/>
  <c r="F26" i="2"/>
  <c r="G26" i="2" s="1"/>
  <c r="F25" i="2"/>
  <c r="G25" i="2" s="1"/>
  <c r="F24" i="2"/>
  <c r="G24" i="2" s="1"/>
  <c r="F23" i="2"/>
  <c r="G23" i="2" s="1"/>
  <c r="F22" i="2"/>
  <c r="F21" i="2"/>
  <c r="G21" i="2" s="1"/>
  <c r="F20" i="2"/>
  <c r="G20" i="2" s="1"/>
  <c r="F19" i="2"/>
  <c r="G19" i="2" s="1"/>
  <c r="F18" i="2"/>
  <c r="G18" i="2" s="1"/>
  <c r="F17" i="2"/>
  <c r="G17" i="2" s="1"/>
  <c r="A16" i="2"/>
  <c r="F4" i="2"/>
  <c r="G4" i="2" s="1"/>
  <c r="F12" i="2"/>
  <c r="G12" i="2" s="1"/>
  <c r="F11" i="2"/>
  <c r="G11" i="2" s="1"/>
  <c r="F6" i="2"/>
  <c r="G6" i="2" s="1"/>
  <c r="F9" i="2"/>
  <c r="G9" i="2" s="1"/>
  <c r="F7" i="2"/>
  <c r="G7" i="2" s="1"/>
  <c r="F8" i="2"/>
  <c r="G8" i="2" s="1"/>
  <c r="G14" i="2"/>
  <c r="E13" i="2" s="1"/>
  <c r="F3" i="2"/>
  <c r="F10" i="2"/>
  <c r="F5" i="2"/>
  <c r="A2" i="2"/>
  <c r="A4" i="2" s="1"/>
  <c r="A74" i="2" l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G85" i="2"/>
  <c r="A60" i="2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G72" i="2"/>
  <c r="G58" i="2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G44" i="2"/>
  <c r="A32" i="2"/>
  <c r="A31" i="2"/>
  <c r="A33" i="2" s="1"/>
  <c r="A34" i="2" s="1"/>
  <c r="A35" i="2" s="1"/>
  <c r="A36" i="2" s="1"/>
  <c r="A37" i="2" s="1"/>
  <c r="A38" i="2" s="1"/>
  <c r="A39" i="2" s="1"/>
  <c r="G29" i="2"/>
  <c r="A18" i="2"/>
  <c r="A17" i="2"/>
  <c r="A19" i="2" s="1"/>
  <c r="A20" i="2" s="1"/>
  <c r="A21" i="2" s="1"/>
  <c r="A22" i="2" s="1"/>
  <c r="A23" i="2" s="1"/>
  <c r="A24" i="2" s="1"/>
  <c r="F13" i="2"/>
  <c r="G10" i="2"/>
  <c r="G5" i="2"/>
  <c r="G3" i="2"/>
  <c r="A3" i="2"/>
  <c r="A5" i="2" s="1"/>
  <c r="A6" i="2" s="1"/>
  <c r="A7" i="2" s="1"/>
  <c r="A8" i="2" s="1"/>
  <c r="A9" i="2" s="1"/>
  <c r="A10" i="2" s="1"/>
  <c r="A40" i="2" l="1"/>
  <c r="A41" i="2" s="1"/>
  <c r="A42" i="2"/>
  <c r="A43" i="2" s="1"/>
  <c r="A44" i="2" s="1"/>
  <c r="A25" i="2"/>
  <c r="A26" i="2" s="1"/>
  <c r="A27" i="2"/>
  <c r="A28" i="2" s="1"/>
  <c r="A29" i="2" s="1"/>
  <c r="A11" i="2"/>
  <c r="A12" i="2" s="1"/>
  <c r="A13" i="2"/>
  <c r="A14" i="2" s="1"/>
  <c r="A15" i="2" s="1"/>
  <c r="H14" i="2" l="1"/>
  <c r="G13" i="2" l="1"/>
  <c r="G15" i="2" s="1"/>
</calcChain>
</file>

<file path=xl/sharedStrings.xml><?xml version="1.0" encoding="utf-8"?>
<sst xmlns="http://schemas.openxmlformats.org/spreadsheetml/2006/main" count="393" uniqueCount="82">
  <si>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</si>
  <si>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</si>
  <si>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</si>
  <si>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</si>
  <si>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</si>
  <si>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</si>
  <si>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</si>
  <si>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</si>
  <si>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</si>
  <si>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</si>
  <si>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</si>
  <si>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</si>
  <si>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</si>
  <si>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</si>
  <si>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</si>
  <si>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</si>
  <si>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</si>
  <si>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</si>
  <si>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296709</t>
  </si>
  <si>
    <t>Авт. выкл. NXB-63S 1P 10А 4.5kA х-ка C (R)</t>
  </si>
  <si>
    <t>296833</t>
  </si>
  <si>
    <t>Авт. выкл. NXB-63S 3P 63А 4.5kA х-ка C (R)</t>
  </si>
  <si>
    <t>dif</t>
  </si>
  <si>
    <t>539872</t>
  </si>
  <si>
    <t>Диф. авт. выкл. NXBLE-63YH 3P+N C40 30mA тип A, 6kA (R)</t>
  </si>
  <si>
    <t>pys</t>
  </si>
  <si>
    <t>bh</t>
  </si>
  <si>
    <t>rubilnik</t>
  </si>
  <si>
    <t>193186</t>
  </si>
  <si>
    <t>Выключатель нагрузки NXHB-125 3P 125A (R)</t>
  </si>
  <si>
    <t>296828</t>
  </si>
  <si>
    <t>Авт. выкл. NXB-63S 3P 20А 4.5kA х-ка C (R)</t>
  </si>
  <si>
    <t>193183</t>
  </si>
  <si>
    <t>Выключатель нагрузки NXHB-125 3P 63A (R)</t>
  </si>
  <si>
    <t>193180</t>
  </si>
  <si>
    <t>Выключатель нагрузки NXHB-125 3P 20A (R)</t>
  </si>
  <si>
    <t>515381</t>
  </si>
  <si>
    <t>Диф. авт. выкл. NXBLE-63YH 1P+N C16 30mA тип A, 6kA (R)</t>
  </si>
  <si>
    <t>515387</t>
  </si>
  <si>
    <t>Диф. авт. выкл. NXBLE-63YH 1P+N C20 30mA тип AC, 6kA (R)</t>
  </si>
  <si>
    <t>539847</t>
  </si>
  <si>
    <t>Диф. авт. выкл. NXBLE-63YH 3P+N C16 30mA тип AC, 6kA (R)</t>
  </si>
  <si>
    <t>296723</t>
  </si>
  <si>
    <t>Авт. выкл. NXB-63S 1P 16А 4.5kA х-ка D (R)</t>
  </si>
  <si>
    <t>256054</t>
  </si>
  <si>
    <t>Контактор модульный NCH8-20/20 20A 2НО AC220/230В 50Гц (R)</t>
  </si>
  <si>
    <t>contactor</t>
  </si>
  <si>
    <t>?</t>
  </si>
  <si>
    <t>ЩС-ФК1</t>
  </si>
  <si>
    <t>539865</t>
  </si>
  <si>
    <t>Диф. авт. выкл. NXBLE-63YH 3P+N C32 30mA тип AC, 6kA (R)</t>
  </si>
  <si>
    <t>256099</t>
  </si>
  <si>
    <t>Контактор модульный NCH8-40/40 40A 4НО AC220/230В 50Гц (R)</t>
  </si>
  <si>
    <t>256235</t>
  </si>
  <si>
    <t>Контактор модульный NCH8-25/20 25A 2НО AC220/230В 50Гц (R)</t>
  </si>
  <si>
    <t>ЩС-ФК2</t>
  </si>
  <si>
    <t>a</t>
  </si>
  <si>
    <t>515394</t>
  </si>
  <si>
    <t>Диф. авт. выкл. NXBLE-63YH 1P+N C25 30mA тип AC, 6kA (R)</t>
  </si>
  <si>
    <t>ЩС-ФК3</t>
  </si>
  <si>
    <t>816141</t>
  </si>
  <si>
    <t>Авт. выкл. NXB-125 3P 100A 10кА х-ка C (R)</t>
  </si>
  <si>
    <t>ЩС-ФК4</t>
  </si>
  <si>
    <t>816143</t>
  </si>
  <si>
    <t>Авт. выкл. NXB-125 3P 125A 10кА х-ка C (R)</t>
  </si>
  <si>
    <t>270100153_</t>
  </si>
  <si>
    <t>Рубильник ВР-32-35  В31250-250А на 1 направление (+6камер) UNIT (1/12)</t>
  </si>
  <si>
    <t>ЩС-КМ</t>
  </si>
  <si>
    <t>296831</t>
  </si>
  <si>
    <t>Авт. выкл. NXB-63S 3P 40А 4.5kA х-ка C (R)</t>
  </si>
  <si>
    <t>256085</t>
  </si>
  <si>
    <t>Контактор модульный NCH8-20/40 20A 4НО AC220/230В 50Гц (R)</t>
  </si>
  <si>
    <t>296704</t>
  </si>
  <si>
    <t>Авт. выкл. NXB-63S 1P C1А 4.5kA х-ка C (R)</t>
  </si>
  <si>
    <t>ЩО-ФК</t>
  </si>
  <si>
    <t>193166</t>
  </si>
  <si>
    <t>Выключатель нагрузки NXHB-125 1P 20A (R)</t>
  </si>
  <si>
    <t>714-15104</t>
  </si>
  <si>
    <t>Щит ЩРн-54 (540x440x120) S/U  IP54 (TS)</t>
  </si>
  <si>
    <t>714-15035</t>
  </si>
  <si>
    <t>Мет. Корпус ЩРН- 48 (660x310x120) IP54  (TS)</t>
  </si>
  <si>
    <t>Мет. Корпус ЩРН-72 (540x600x120) S/U IP54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</si>
</sst>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K85"/>
  <sheetViews>
    <sheetView tabSelected="1" zoomScale="115" zoomScaleNormal="115" workbookViewId="0">
      <pane ySplit="1" topLeftCell="A2" activePane="bottomLeft" state="frozen"/>
      <selection pane="bottomLeft" activeCell="E6" sqref="E6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</row>
    <row r="2" spans="1:11" ht="39.75" customHeight="1" x14ac:dyDescent="0.25">
      <c r="A2" s="5" t="str">
        <f>D2</f>
        <v>ЩС-ФК1</v>
      </c>
      <c r="B2" s="6"/>
      <c r="C2" s="7"/>
      <c r="D2" s="6" t="s">
        <v>48</v>
      </c>
      <c r="E2" s="8"/>
      <c r="F2" s="8"/>
      <c r="G2" s="9"/>
      <c r="H2" s="10">
        <v>1</v>
      </c>
      <c r="I2" s="11" t="s">
        <v>7</v>
      </c>
      <c r="J2" s="6" t="s">
        <v>9</v>
      </c>
    </row>
    <row r="3" spans="1:11" ht="21" customHeight="1" x14ac:dyDescent="0.25">
      <c r="A3" s="12" t="str">
        <f>A2</f>
        <v>ЩС-ФК1</v>
      </c>
      <c r="B3" s="13" t="s">
        <v>8</v>
      </c>
      <c r="C3" s="14" t="s">
        <v>77</v>
      </c>
      <c r="D3" s="12" t="s">
        <v>78</v>
      </c>
      <c r="E3" s="13">
        <v>17035</v>
      </c>
      <c r="F3" s="15">
        <f>E3*0.6</f>
        <v>10221</v>
      </c>
      <c r="G3" s="15">
        <f>H3*F3</f>
        <v>10221</v>
      </c>
      <c r="H3" s="16">
        <v>1</v>
      </c>
      <c r="I3" s="17" t="s">
        <v>13</v>
      </c>
      <c r="J3" s="13" t="s">
        <v>16</v>
      </c>
    </row>
    <row r="4" spans="1:11" ht="21" customHeight="1" x14ac:dyDescent="0.25">
      <c r="A4" s="12" t="str">
        <f>A2</f>
        <v>ЩС-ФК1</v>
      </c>
      <c r="B4" s="13" t="s">
        <v>26</v>
      </c>
      <c r="C4" s="14" t="s">
        <v>28</v>
      </c>
      <c r="D4" s="12" t="s">
        <v>29</v>
      </c>
      <c r="E4" s="13">
        <v>4886</v>
      </c>
      <c r="F4" s="15">
        <f t="shared" ref="F4" si="0">E4*0.6</f>
        <v>2931.6</v>
      </c>
      <c r="G4" s="15">
        <f t="shared" ref="G4" si="1">F4*H4</f>
        <v>2931.6</v>
      </c>
      <c r="H4" s="16">
        <v>1</v>
      </c>
      <c r="I4" s="17" t="s">
        <v>13</v>
      </c>
      <c r="J4" s="13" t="s">
        <v>17</v>
      </c>
    </row>
    <row r="5" spans="1:11" ht="21" customHeight="1" x14ac:dyDescent="0.25">
      <c r="A5" s="12" t="str">
        <f>A3</f>
        <v>ЩС-ФК1</v>
      </c>
      <c r="B5" s="13" t="s">
        <v>12</v>
      </c>
      <c r="C5" s="14" t="s">
        <v>20</v>
      </c>
      <c r="D5" s="12" t="s">
        <v>21</v>
      </c>
      <c r="E5" s="13">
        <v>3641</v>
      </c>
      <c r="F5" s="15">
        <f t="shared" ref="F5:F10" si="2">E5*0.6</f>
        <v>2184.6</v>
      </c>
      <c r="G5" s="15">
        <f t="shared" ref="G5:G10" si="3">F5*H5</f>
        <v>2184.6</v>
      </c>
      <c r="H5" s="16">
        <v>1</v>
      </c>
      <c r="I5" s="17" t="s">
        <v>13</v>
      </c>
      <c r="J5" s="13" t="s">
        <v>17</v>
      </c>
    </row>
    <row r="6" spans="1:11" ht="21" customHeight="1" x14ac:dyDescent="0.25">
      <c r="A6" s="12" t="str">
        <f t="shared" ref="A6:A15" si="4">A5</f>
        <v>ЩС-ФК1</v>
      </c>
      <c r="B6" s="13" t="s">
        <v>22</v>
      </c>
      <c r="C6" s="14" t="s">
        <v>49</v>
      </c>
      <c r="D6" s="12" t="s">
        <v>50</v>
      </c>
      <c r="E6" s="13">
        <v>8934</v>
      </c>
      <c r="F6" s="15">
        <f t="shared" si="2"/>
        <v>5360.4</v>
      </c>
      <c r="G6" s="15">
        <f t="shared" si="3"/>
        <v>5360.4</v>
      </c>
      <c r="H6" s="16">
        <v>1</v>
      </c>
      <c r="I6" s="17" t="s">
        <v>13</v>
      </c>
      <c r="J6" s="13" t="s">
        <v>17</v>
      </c>
    </row>
    <row r="7" spans="1:11" ht="21" customHeight="1" x14ac:dyDescent="0.25">
      <c r="A7" s="12" t="str">
        <f t="shared" si="4"/>
        <v>ЩС-ФК1</v>
      </c>
      <c r="B7" s="13" t="s">
        <v>22</v>
      </c>
      <c r="C7" s="14" t="s">
        <v>40</v>
      </c>
      <c r="D7" s="12" t="s">
        <v>41</v>
      </c>
      <c r="E7" s="13">
        <v>8352</v>
      </c>
      <c r="F7" s="15">
        <f t="shared" ref="F7" si="5">E7*0.6</f>
        <v>5011.2</v>
      </c>
      <c r="G7" s="15">
        <f t="shared" ref="G7" si="6">F7*H7</f>
        <v>10022.4</v>
      </c>
      <c r="H7" s="16">
        <v>2</v>
      </c>
      <c r="I7" s="17" t="s">
        <v>13</v>
      </c>
      <c r="J7" s="13" t="s">
        <v>17</v>
      </c>
      <c r="K7" t="s">
        <v>47</v>
      </c>
    </row>
    <row r="8" spans="1:11" ht="21" customHeight="1" x14ac:dyDescent="0.25">
      <c r="A8" s="12" t="str">
        <f t="shared" si="4"/>
        <v>ЩС-ФК1</v>
      </c>
      <c r="B8" s="13" t="s">
        <v>22</v>
      </c>
      <c r="C8" s="14" t="s">
        <v>36</v>
      </c>
      <c r="D8" s="12" t="s">
        <v>37</v>
      </c>
      <c r="E8" s="13">
        <v>5104</v>
      </c>
      <c r="F8" s="15">
        <f t="shared" si="2"/>
        <v>3062.4</v>
      </c>
      <c r="G8" s="15">
        <f t="shared" si="3"/>
        <v>24499.200000000001</v>
      </c>
      <c r="H8" s="16">
        <v>8</v>
      </c>
      <c r="I8" s="17" t="s">
        <v>13</v>
      </c>
      <c r="J8" s="13" t="s">
        <v>17</v>
      </c>
    </row>
    <row r="9" spans="1:11" ht="21" customHeight="1" x14ac:dyDescent="0.25">
      <c r="A9" s="12" t="str">
        <f t="shared" si="4"/>
        <v>ЩС-ФК1</v>
      </c>
      <c r="B9" s="13" t="s">
        <v>12</v>
      </c>
      <c r="C9" s="14" t="s">
        <v>42</v>
      </c>
      <c r="D9" s="12" t="s">
        <v>43</v>
      </c>
      <c r="E9" s="13">
        <v>1099</v>
      </c>
      <c r="F9" s="15">
        <f t="shared" si="2"/>
        <v>659.4</v>
      </c>
      <c r="G9" s="15">
        <f t="shared" si="3"/>
        <v>1318.8</v>
      </c>
      <c r="H9" s="16">
        <v>2</v>
      </c>
      <c r="I9" s="17" t="s">
        <v>13</v>
      </c>
      <c r="J9" s="13" t="s">
        <v>17</v>
      </c>
    </row>
    <row r="10" spans="1:11" ht="21" customHeight="1" x14ac:dyDescent="0.25">
      <c r="A10" s="12" t="str">
        <f t="shared" si="4"/>
        <v>ЩС-ФК1</v>
      </c>
      <c r="B10" s="13" t="s">
        <v>12</v>
      </c>
      <c r="C10" s="14" t="s">
        <v>18</v>
      </c>
      <c r="D10" s="12" t="s">
        <v>19</v>
      </c>
      <c r="E10" s="13">
        <v>783</v>
      </c>
      <c r="F10" s="15">
        <f t="shared" si="2"/>
        <v>469.79999999999995</v>
      </c>
      <c r="G10" s="15">
        <f t="shared" si="3"/>
        <v>3288.5999999999995</v>
      </c>
      <c r="H10" s="16">
        <v>7</v>
      </c>
      <c r="I10" s="17" t="s">
        <v>13</v>
      </c>
      <c r="J10" s="13" t="s">
        <v>17</v>
      </c>
    </row>
    <row r="11" spans="1:11" ht="21" customHeight="1" x14ac:dyDescent="0.25">
      <c r="A11" s="12" t="str">
        <f t="shared" ref="A11:A12" si="7">A10</f>
        <v>ЩС-ФК1</v>
      </c>
      <c r="B11" s="13" t="s">
        <v>46</v>
      </c>
      <c r="C11" s="14" t="s">
        <v>51</v>
      </c>
      <c r="D11" s="12" t="s">
        <v>52</v>
      </c>
      <c r="E11" s="13">
        <v>13919</v>
      </c>
      <c r="F11" s="15">
        <f t="shared" ref="F11:F12" si="8">E11*0.6</f>
        <v>8351.4</v>
      </c>
      <c r="G11" s="15">
        <f t="shared" ref="G11:G12" si="9">F11*H11</f>
        <v>8351.4</v>
      </c>
      <c r="H11" s="16">
        <v>1</v>
      </c>
      <c r="I11" s="17" t="s">
        <v>13</v>
      </c>
      <c r="J11" s="13" t="s">
        <v>17</v>
      </c>
    </row>
    <row r="12" spans="1:11" ht="21" customHeight="1" x14ac:dyDescent="0.25">
      <c r="A12" s="12" t="str">
        <f t="shared" si="7"/>
        <v>ЩС-ФК1</v>
      </c>
      <c r="B12" s="13" t="s">
        <v>46</v>
      </c>
      <c r="C12" s="14" t="s">
        <v>53</v>
      </c>
      <c r="D12" s="12" t="s">
        <v>54</v>
      </c>
      <c r="E12" s="13">
        <v>6032</v>
      </c>
      <c r="F12" s="15">
        <f t="shared" si="8"/>
        <v>3619.2</v>
      </c>
      <c r="G12" s="15">
        <f t="shared" si="9"/>
        <v>3619.2</v>
      </c>
      <c r="H12" s="16">
        <v>1</v>
      </c>
      <c r="I12" s="17" t="s">
        <v>13</v>
      </c>
      <c r="J12" s="13" t="s">
        <v>17</v>
      </c>
    </row>
    <row r="13" spans="1:11" ht="24" customHeight="1" x14ac:dyDescent="0.25">
      <c r="A13" s="12" t="str">
        <f>A10</f>
        <v>ЩС-ФК1</v>
      </c>
      <c r="B13" s="12" t="s">
        <v>10</v>
      </c>
      <c r="C13" s="18" t="s">
        <v>10</v>
      </c>
      <c r="D13" s="12" t="s">
        <v>10</v>
      </c>
      <c r="E13" s="12">
        <f ca="1">OFFSET(E13,1,2)</f>
        <v>0</v>
      </c>
      <c r="F13" s="15">
        <f ca="1">E13</f>
        <v>0</v>
      </c>
      <c r="G13" s="15">
        <f t="shared" ref="G13" ca="1" si="10">F13*H13</f>
        <v>0</v>
      </c>
      <c r="H13" s="12"/>
      <c r="I13" s="12" t="s">
        <v>13</v>
      </c>
      <c r="J13" s="12" t="s">
        <v>10</v>
      </c>
    </row>
    <row r="14" spans="1:11" ht="21" customHeight="1" x14ac:dyDescent="0.25">
      <c r="A14" s="12" t="str">
        <f t="shared" si="4"/>
        <v>ЩС-ФК1</v>
      </c>
      <c r="B14" s="12" t="s">
        <v>11</v>
      </c>
      <c r="C14" s="18" t="s">
        <v>11</v>
      </c>
      <c r="D14" s="12" t="s">
        <v>11</v>
      </c>
      <c r="E14" s="12"/>
      <c r="F14" s="15">
        <v>100</v>
      </c>
      <c r="G14" s="15">
        <f>60*E14*F14</f>
        <v>0</v>
      </c>
      <c r="H14" s="12">
        <f>60*E14</f>
        <v>0</v>
      </c>
      <c r="I14" s="12" t="s">
        <v>13</v>
      </c>
      <c r="J14" s="12" t="s">
        <v>11</v>
      </c>
    </row>
    <row r="15" spans="1:11" ht="30" customHeight="1" x14ac:dyDescent="0.25">
      <c r="A15" s="12" t="str">
        <f t="shared" si="4"/>
        <v>ЩС-ФК1</v>
      </c>
      <c r="B15" s="19"/>
      <c r="C15" s="20"/>
      <c r="D15" s="21"/>
      <c r="E15" s="23"/>
      <c r="F15" s="25"/>
      <c r="G15" s="24">
        <f ca="1">SUM(G3:G14)</f>
        <v>71797.2</v>
      </c>
      <c r="H15" s="20"/>
      <c r="I15" s="22"/>
      <c r="J15" s="20"/>
    </row>
    <row r="16" spans="1:11" ht="39.75" customHeight="1" x14ac:dyDescent="0.25">
      <c r="A16" s="5" t="str">
        <f>D16</f>
        <v>ЩС-ФК2</v>
      </c>
      <c r="B16" s="6"/>
      <c r="C16" s="7"/>
      <c r="D16" s="6" t="s">
        <v>55</v>
      </c>
      <c r="E16" s="8"/>
      <c r="F16" s="8"/>
      <c r="G16" s="9"/>
      <c r="H16" s="10">
        <v>1</v>
      </c>
      <c r="I16" s="11" t="s">
        <v>7</v>
      </c>
      <c r="J16" s="6" t="s">
        <v>9</v>
      </c>
      <c r="K16" t="s">
        <v>47</v>
      </c>
    </row>
    <row r="17" spans="1:11" ht="21" customHeight="1" x14ac:dyDescent="0.25">
      <c r="A17" s="12" t="str">
        <f>A16</f>
        <v>ЩС-ФК2</v>
      </c>
      <c r="B17" s="13" t="s">
        <v>8</v>
      </c>
      <c r="C17" s="14" t="s">
        <v>79</v>
      </c>
      <c r="D17" s="12" t="s">
        <v>80</v>
      </c>
      <c r="E17" s="13">
        <v>15950</v>
      </c>
      <c r="F17" s="15">
        <f>E17*0.6</f>
        <v>9570</v>
      </c>
      <c r="G17" s="15">
        <f>H17*F17</f>
        <v>9570</v>
      </c>
      <c r="H17" s="16">
        <v>1</v>
      </c>
      <c r="I17" s="17" t="s">
        <v>13</v>
      </c>
      <c r="J17" s="13" t="s">
        <v>16</v>
      </c>
    </row>
    <row r="18" spans="1:11" ht="21" customHeight="1" x14ac:dyDescent="0.25">
      <c r="A18" s="12" t="str">
        <f>A16</f>
        <v>ЩС-ФК2</v>
      </c>
      <c r="B18" s="13" t="s">
        <v>26</v>
      </c>
      <c r="C18" s="14" t="s">
        <v>28</v>
      </c>
      <c r="D18" s="12" t="s">
        <v>29</v>
      </c>
      <c r="E18" s="13">
        <v>4886</v>
      </c>
      <c r="F18" s="15">
        <f t="shared" ref="F18:F26" si="11">E18*0.6</f>
        <v>2931.6</v>
      </c>
      <c r="G18" s="15">
        <f t="shared" ref="G18:G27" si="12">F18*H18</f>
        <v>2931.6</v>
      </c>
      <c r="H18" s="16">
        <v>1</v>
      </c>
      <c r="I18" s="17" t="s">
        <v>13</v>
      </c>
      <c r="J18" s="13" t="s">
        <v>17</v>
      </c>
    </row>
    <row r="19" spans="1:11" ht="21" customHeight="1" x14ac:dyDescent="0.25">
      <c r="A19" s="12" t="str">
        <f>A17</f>
        <v>ЩС-ФК2</v>
      </c>
      <c r="B19" s="13" t="s">
        <v>12</v>
      </c>
      <c r="C19" s="14" t="s">
        <v>20</v>
      </c>
      <c r="D19" s="12" t="s">
        <v>21</v>
      </c>
      <c r="E19" s="13">
        <v>3641</v>
      </c>
      <c r="F19" s="15">
        <f t="shared" si="11"/>
        <v>2184.6</v>
      </c>
      <c r="G19" s="15">
        <f t="shared" si="12"/>
        <v>2184.6</v>
      </c>
      <c r="H19" s="16">
        <v>1</v>
      </c>
      <c r="I19" s="17" t="s">
        <v>13</v>
      </c>
      <c r="J19" s="13" t="s">
        <v>17</v>
      </c>
    </row>
    <row r="20" spans="1:11" ht="21" customHeight="1" x14ac:dyDescent="0.25">
      <c r="A20" s="12" t="str">
        <f t="shared" ref="A20:A26" si="13">A19</f>
        <v>ЩС-ФК2</v>
      </c>
      <c r="B20" s="13" t="s">
        <v>22</v>
      </c>
      <c r="C20" s="14" t="s">
        <v>49</v>
      </c>
      <c r="D20" s="12" t="s">
        <v>50</v>
      </c>
      <c r="E20" s="13">
        <v>8934</v>
      </c>
      <c r="F20" s="15">
        <f t="shared" si="11"/>
        <v>5360.4</v>
      </c>
      <c r="G20" s="15">
        <f t="shared" si="12"/>
        <v>5360.4</v>
      </c>
      <c r="H20" s="16">
        <v>1</v>
      </c>
      <c r="I20" s="17" t="s">
        <v>13</v>
      </c>
      <c r="J20" s="13" t="s">
        <v>17</v>
      </c>
    </row>
    <row r="21" spans="1:11" ht="21" customHeight="1" x14ac:dyDescent="0.25">
      <c r="A21" s="12" t="str">
        <f t="shared" si="13"/>
        <v>ЩС-ФК2</v>
      </c>
      <c r="B21" s="13" t="s">
        <v>22</v>
      </c>
      <c r="C21" s="14" t="s">
        <v>57</v>
      </c>
      <c r="D21" s="12" t="s">
        <v>58</v>
      </c>
      <c r="E21" s="13">
        <v>5069</v>
      </c>
      <c r="F21" s="15">
        <f t="shared" si="11"/>
        <v>3041.4</v>
      </c>
      <c r="G21" s="15">
        <f t="shared" si="12"/>
        <v>6082.8</v>
      </c>
      <c r="H21" s="16">
        <v>2</v>
      </c>
      <c r="I21" s="17" t="s">
        <v>13</v>
      </c>
      <c r="J21" s="13" t="s">
        <v>17</v>
      </c>
    </row>
    <row r="22" spans="1:11" ht="21" customHeight="1" x14ac:dyDescent="0.25">
      <c r="A22" s="12" t="str">
        <f t="shared" si="13"/>
        <v>ЩС-ФК2</v>
      </c>
      <c r="B22" s="13" t="s">
        <v>22</v>
      </c>
      <c r="C22" s="14" t="s">
        <v>36</v>
      </c>
      <c r="D22" s="12" t="s">
        <v>37</v>
      </c>
      <c r="E22" s="13">
        <v>5104</v>
      </c>
      <c r="F22" s="15">
        <f t="shared" si="11"/>
        <v>3062.4</v>
      </c>
      <c r="G22" s="15" t="s">
        <v>56</v>
      </c>
      <c r="H22" s="16">
        <v>10</v>
      </c>
      <c r="I22" s="17" t="s">
        <v>13</v>
      </c>
      <c r="J22" s="13" t="s">
        <v>17</v>
      </c>
    </row>
    <row r="23" spans="1:11" ht="21" customHeight="1" x14ac:dyDescent="0.25">
      <c r="A23" s="12" t="str">
        <f t="shared" si="13"/>
        <v>ЩС-ФК2</v>
      </c>
      <c r="B23" s="13" t="s">
        <v>12</v>
      </c>
      <c r="C23" s="14" t="s">
        <v>42</v>
      </c>
      <c r="D23" s="12" t="s">
        <v>43</v>
      </c>
      <c r="E23" s="13">
        <v>1099</v>
      </c>
      <c r="F23" s="15">
        <f t="shared" si="11"/>
        <v>659.4</v>
      </c>
      <c r="G23" s="15">
        <f t="shared" si="12"/>
        <v>659.4</v>
      </c>
      <c r="H23" s="16">
        <v>1</v>
      </c>
      <c r="I23" s="17" t="s">
        <v>13</v>
      </c>
      <c r="J23" s="13" t="s">
        <v>17</v>
      </c>
    </row>
    <row r="24" spans="1:11" ht="21" customHeight="1" x14ac:dyDescent="0.25">
      <c r="A24" s="12" t="str">
        <f t="shared" si="13"/>
        <v>ЩС-ФК2</v>
      </c>
      <c r="B24" s="13" t="s">
        <v>12</v>
      </c>
      <c r="C24" s="14" t="s">
        <v>18</v>
      </c>
      <c r="D24" s="12" t="s">
        <v>19</v>
      </c>
      <c r="E24" s="13">
        <v>783</v>
      </c>
      <c r="F24" s="15">
        <f t="shared" si="11"/>
        <v>469.79999999999995</v>
      </c>
      <c r="G24" s="15">
        <f t="shared" si="12"/>
        <v>1409.3999999999999</v>
      </c>
      <c r="H24" s="16">
        <v>3</v>
      </c>
      <c r="I24" s="17" t="s">
        <v>13</v>
      </c>
      <c r="J24" s="13" t="s">
        <v>17</v>
      </c>
    </row>
    <row r="25" spans="1:11" ht="21" customHeight="1" x14ac:dyDescent="0.25">
      <c r="A25" s="12" t="str">
        <f t="shared" si="13"/>
        <v>ЩС-ФК2</v>
      </c>
      <c r="B25" s="13" t="s">
        <v>46</v>
      </c>
      <c r="C25" s="14" t="s">
        <v>44</v>
      </c>
      <c r="D25" s="12" t="s">
        <v>45</v>
      </c>
      <c r="E25" s="13">
        <v>6145</v>
      </c>
      <c r="F25" s="15">
        <f t="shared" si="11"/>
        <v>3687</v>
      </c>
      <c r="G25" s="15">
        <f t="shared" si="12"/>
        <v>3687</v>
      </c>
      <c r="H25" s="16">
        <v>1</v>
      </c>
      <c r="I25" s="17" t="s">
        <v>13</v>
      </c>
      <c r="J25" s="13" t="s">
        <v>17</v>
      </c>
    </row>
    <row r="26" spans="1:11" ht="21" customHeight="1" x14ac:dyDescent="0.25">
      <c r="A26" s="12" t="str">
        <f t="shared" si="13"/>
        <v>ЩС-ФК2</v>
      </c>
      <c r="B26" s="13" t="s">
        <v>46</v>
      </c>
      <c r="C26" s="14" t="s">
        <v>53</v>
      </c>
      <c r="D26" s="12" t="s">
        <v>54</v>
      </c>
      <c r="E26" s="13">
        <v>6032</v>
      </c>
      <c r="F26" s="15">
        <f t="shared" si="11"/>
        <v>3619.2</v>
      </c>
      <c r="G26" s="15">
        <f t="shared" si="12"/>
        <v>7238.4</v>
      </c>
      <c r="H26" s="16">
        <v>2</v>
      </c>
      <c r="I26" s="17" t="s">
        <v>13</v>
      </c>
      <c r="J26" s="13" t="s">
        <v>17</v>
      </c>
    </row>
    <row r="27" spans="1:11" ht="24" customHeight="1" x14ac:dyDescent="0.25">
      <c r="A27" s="12" t="str">
        <f>A24</f>
        <v>ЩС-ФК2</v>
      </c>
      <c r="B27" s="12" t="s">
        <v>10</v>
      </c>
      <c r="C27" s="18" t="s">
        <v>10</v>
      </c>
      <c r="D27" s="12" t="s">
        <v>10</v>
      </c>
      <c r="E27" s="12">
        <f ca="1">OFFSET(E27,1,2)</f>
        <v>0</v>
      </c>
      <c r="F27" s="15">
        <f ca="1">E27</f>
        <v>0</v>
      </c>
      <c r="G27" s="15">
        <f t="shared" ca="1" si="12"/>
        <v>0</v>
      </c>
      <c r="H27" s="12"/>
      <c r="I27" s="12" t="s">
        <v>13</v>
      </c>
      <c r="J27" s="12" t="s">
        <v>10</v>
      </c>
    </row>
    <row r="28" spans="1:11" ht="21" customHeight="1" x14ac:dyDescent="0.25">
      <c r="A28" s="12" t="str">
        <f t="shared" ref="A28:A29" si="14">A27</f>
        <v>ЩС-ФК2</v>
      </c>
      <c r="B28" s="12" t="s">
        <v>11</v>
      </c>
      <c r="C28" s="18" t="s">
        <v>11</v>
      </c>
      <c r="D28" s="12" t="s">
        <v>11</v>
      </c>
      <c r="E28" s="12"/>
      <c r="F28" s="15">
        <v>100</v>
      </c>
      <c r="G28" s="15">
        <f>60*E28*F28</f>
        <v>0</v>
      </c>
      <c r="H28" s="12">
        <f>60*E28</f>
        <v>0</v>
      </c>
      <c r="I28" s="12" t="s">
        <v>13</v>
      </c>
      <c r="J28" s="12" t="s">
        <v>11</v>
      </c>
    </row>
    <row r="29" spans="1:11" ht="30" customHeight="1" x14ac:dyDescent="0.25">
      <c r="A29" s="12" t="str">
        <f t="shared" si="14"/>
        <v>ЩС-ФК2</v>
      </c>
      <c r="B29" s="19"/>
      <c r="C29" s="20"/>
      <c r="D29" s="21"/>
      <c r="E29" s="23"/>
      <c r="F29" s="25"/>
      <c r="G29" s="24">
        <f ca="1">SUM(G17:G28)</f>
        <v>39123.599999999999</v>
      </c>
      <c r="H29" s="20"/>
      <c r="I29" s="22"/>
      <c r="J29" s="20"/>
    </row>
    <row r="30" spans="1:11" ht="39.75" customHeight="1" x14ac:dyDescent="0.25">
      <c r="A30" s="5" t="str">
        <f>D30</f>
        <v>ЩС-ФК3</v>
      </c>
      <c r="B30" s="6"/>
      <c r="C30" s="7"/>
      <c r="D30" s="6" t="s">
        <v>59</v>
      </c>
      <c r="E30" s="8"/>
      <c r="F30" s="8"/>
      <c r="G30" s="9"/>
      <c r="H30" s="10">
        <v>1</v>
      </c>
      <c r="I30" s="11" t="s">
        <v>7</v>
      </c>
      <c r="J30" s="6" t="s">
        <v>9</v>
      </c>
      <c r="K30" t="s">
        <v>47</v>
      </c>
    </row>
    <row r="31" spans="1:11" ht="21" customHeight="1" x14ac:dyDescent="0.25">
      <c r="A31" s="12" t="str">
        <f>A30</f>
        <v>ЩС-ФК3</v>
      </c>
      <c r="B31" s="13" t="s">
        <v>8</v>
      </c>
      <c r="C31" s="14"/>
      <c r="D31" s="12" t="s">
        <v>81</v>
      </c>
      <c r="E31" s="13">
        <v>25000</v>
      </c>
      <c r="F31" s="15">
        <f>E31*0.6</f>
        <v>15000</v>
      </c>
      <c r="G31" s="15">
        <f>H31*F31</f>
        <v>15000</v>
      </c>
      <c r="H31" s="16">
        <v>1</v>
      </c>
      <c r="I31" s="17" t="s">
        <v>13</v>
      </c>
      <c r="J31" s="13" t="s">
        <v>16</v>
      </c>
    </row>
    <row r="32" spans="1:11" ht="21" customHeight="1" x14ac:dyDescent="0.25">
      <c r="A32" s="12" t="str">
        <f>A30</f>
        <v>ЩС-ФК3</v>
      </c>
      <c r="B32" s="13" t="s">
        <v>26</v>
      </c>
      <c r="C32" s="14" t="s">
        <v>28</v>
      </c>
      <c r="D32" s="12" t="s">
        <v>29</v>
      </c>
      <c r="E32" s="13">
        <v>4886</v>
      </c>
      <c r="F32" s="15">
        <f t="shared" ref="F32:F41" si="15">E32*0.6</f>
        <v>2931.6</v>
      </c>
      <c r="G32" s="15">
        <f t="shared" ref="G32:G36" si="16">F32*H32</f>
        <v>2931.6</v>
      </c>
      <c r="H32" s="16">
        <v>1</v>
      </c>
      <c r="I32" s="17" t="s">
        <v>13</v>
      </c>
      <c r="J32" s="13" t="s">
        <v>17</v>
      </c>
    </row>
    <row r="33" spans="1:11" ht="21" customHeight="1" x14ac:dyDescent="0.25">
      <c r="A33" s="12" t="str">
        <f>A31</f>
        <v>ЩС-ФК3</v>
      </c>
      <c r="B33" s="13" t="s">
        <v>12</v>
      </c>
      <c r="C33" s="14" t="s">
        <v>60</v>
      </c>
      <c r="D33" s="12" t="s">
        <v>61</v>
      </c>
      <c r="E33" s="13">
        <v>11015</v>
      </c>
      <c r="F33" s="15">
        <f t="shared" si="15"/>
        <v>6609</v>
      </c>
      <c r="G33" s="15">
        <f t="shared" si="16"/>
        <v>6609</v>
      </c>
      <c r="H33" s="16">
        <v>1</v>
      </c>
      <c r="I33" s="17" t="s">
        <v>13</v>
      </c>
      <c r="J33" s="13" t="s">
        <v>17</v>
      </c>
    </row>
    <row r="34" spans="1:11" ht="21" customHeight="1" x14ac:dyDescent="0.25">
      <c r="A34" s="12" t="str">
        <f t="shared" ref="A34:A41" si="17">A33</f>
        <v>ЩС-ФК3</v>
      </c>
      <c r="B34" s="13" t="s">
        <v>22</v>
      </c>
      <c r="C34" s="14" t="s">
        <v>23</v>
      </c>
      <c r="D34" s="12" t="s">
        <v>24</v>
      </c>
      <c r="E34" s="13">
        <v>11071</v>
      </c>
      <c r="F34" s="15">
        <f t="shared" si="15"/>
        <v>6642.5999999999995</v>
      </c>
      <c r="G34" s="15">
        <f t="shared" si="16"/>
        <v>13285.199999999999</v>
      </c>
      <c r="H34" s="16">
        <v>2</v>
      </c>
      <c r="I34" s="17" t="s">
        <v>13</v>
      </c>
      <c r="J34" s="13" t="s">
        <v>17</v>
      </c>
    </row>
    <row r="35" spans="1:11" ht="21" customHeight="1" x14ac:dyDescent="0.25">
      <c r="A35" s="12" t="str">
        <f t="shared" si="17"/>
        <v>ЩС-ФК3</v>
      </c>
      <c r="B35" s="13" t="s">
        <v>22</v>
      </c>
      <c r="C35" s="14" t="s">
        <v>57</v>
      </c>
      <c r="D35" s="12" t="s">
        <v>58</v>
      </c>
      <c r="E35" s="13">
        <v>5069</v>
      </c>
      <c r="F35" s="15">
        <f t="shared" si="15"/>
        <v>3041.4</v>
      </c>
      <c r="G35" s="15">
        <f t="shared" si="16"/>
        <v>6082.8</v>
      </c>
      <c r="H35" s="16">
        <v>2</v>
      </c>
      <c r="I35" s="17" t="s">
        <v>13</v>
      </c>
      <c r="J35" s="13" t="s">
        <v>17</v>
      </c>
    </row>
    <row r="36" spans="1:11" ht="21" customHeight="1" x14ac:dyDescent="0.25">
      <c r="A36" s="12" t="str">
        <f t="shared" si="17"/>
        <v>ЩС-ФК3</v>
      </c>
      <c r="B36" s="13" t="s">
        <v>22</v>
      </c>
      <c r="C36" s="14" t="s">
        <v>36</v>
      </c>
      <c r="D36" s="12" t="s">
        <v>37</v>
      </c>
      <c r="E36" s="13">
        <v>5104</v>
      </c>
      <c r="F36" s="15">
        <f t="shared" si="15"/>
        <v>3062.4</v>
      </c>
      <c r="G36" s="15">
        <f t="shared" si="16"/>
        <v>33686.400000000001</v>
      </c>
      <c r="H36" s="16">
        <v>11</v>
      </c>
      <c r="I36" s="17" t="s">
        <v>13</v>
      </c>
      <c r="J36" s="13" t="s">
        <v>17</v>
      </c>
    </row>
    <row r="37" spans="1:11" ht="21" customHeight="1" x14ac:dyDescent="0.25">
      <c r="A37" s="12" t="str">
        <f t="shared" si="17"/>
        <v>ЩС-ФК3</v>
      </c>
      <c r="B37" s="13" t="s">
        <v>12</v>
      </c>
      <c r="C37" s="14" t="s">
        <v>42</v>
      </c>
      <c r="D37" s="12" t="s">
        <v>43</v>
      </c>
      <c r="E37" s="13">
        <v>1099</v>
      </c>
      <c r="F37" s="15">
        <f t="shared" si="15"/>
        <v>659.4</v>
      </c>
      <c r="G37" s="15">
        <f t="shared" ref="G37:G42" si="18">F37*H37</f>
        <v>1318.8</v>
      </c>
      <c r="H37" s="16">
        <v>2</v>
      </c>
      <c r="I37" s="17" t="s">
        <v>13</v>
      </c>
      <c r="J37" s="13" t="s">
        <v>17</v>
      </c>
    </row>
    <row r="38" spans="1:11" ht="21" customHeight="1" x14ac:dyDescent="0.25">
      <c r="A38" s="12" t="str">
        <f t="shared" si="17"/>
        <v>ЩС-ФК3</v>
      </c>
      <c r="B38" s="13" t="s">
        <v>12</v>
      </c>
      <c r="C38" s="14" t="s">
        <v>18</v>
      </c>
      <c r="D38" s="12" t="s">
        <v>19</v>
      </c>
      <c r="E38" s="13">
        <v>783</v>
      </c>
      <c r="F38" s="15">
        <f t="shared" si="15"/>
        <v>469.79999999999995</v>
      </c>
      <c r="G38" s="15">
        <f t="shared" si="18"/>
        <v>1409.3999999999999</v>
      </c>
      <c r="H38" s="16">
        <v>3</v>
      </c>
      <c r="I38" s="17" t="s">
        <v>13</v>
      </c>
      <c r="J38" s="13" t="s">
        <v>17</v>
      </c>
    </row>
    <row r="39" spans="1:11" ht="21" customHeight="1" x14ac:dyDescent="0.25">
      <c r="A39" s="12" t="str">
        <f t="shared" si="17"/>
        <v>ЩС-ФК3</v>
      </c>
      <c r="B39" s="13" t="s">
        <v>46</v>
      </c>
      <c r="C39" s="14" t="s">
        <v>51</v>
      </c>
      <c r="D39" s="12" t="s">
        <v>52</v>
      </c>
      <c r="E39" s="13">
        <v>13919</v>
      </c>
      <c r="F39" s="15">
        <f t="shared" si="15"/>
        <v>8351.4</v>
      </c>
      <c r="G39" s="15">
        <f t="shared" si="18"/>
        <v>16702.8</v>
      </c>
      <c r="H39" s="16">
        <v>2</v>
      </c>
      <c r="I39" s="17" t="s">
        <v>13</v>
      </c>
      <c r="J39" s="13" t="s">
        <v>17</v>
      </c>
    </row>
    <row r="40" spans="1:11" ht="21" customHeight="1" x14ac:dyDescent="0.25">
      <c r="A40" s="12" t="str">
        <f>A38</f>
        <v>ЩС-ФК3</v>
      </c>
      <c r="B40" s="13" t="s">
        <v>46</v>
      </c>
      <c r="C40" s="14" t="s">
        <v>44</v>
      </c>
      <c r="D40" s="12" t="s">
        <v>45</v>
      </c>
      <c r="E40" s="13">
        <v>6145</v>
      </c>
      <c r="F40" s="15">
        <f t="shared" si="15"/>
        <v>3687</v>
      </c>
      <c r="G40" s="15">
        <f t="shared" si="18"/>
        <v>3687</v>
      </c>
      <c r="H40" s="16">
        <v>1</v>
      </c>
      <c r="I40" s="17" t="s">
        <v>13</v>
      </c>
      <c r="J40" s="13" t="s">
        <v>17</v>
      </c>
    </row>
    <row r="41" spans="1:11" ht="21" customHeight="1" x14ac:dyDescent="0.25">
      <c r="A41" s="12" t="str">
        <f t="shared" si="17"/>
        <v>ЩС-ФК3</v>
      </c>
      <c r="B41" s="13" t="s">
        <v>46</v>
      </c>
      <c r="C41" s="14" t="s">
        <v>53</v>
      </c>
      <c r="D41" s="12" t="s">
        <v>54</v>
      </c>
      <c r="E41" s="13">
        <v>6032</v>
      </c>
      <c r="F41" s="15">
        <f t="shared" si="15"/>
        <v>3619.2</v>
      </c>
      <c r="G41" s="15">
        <f t="shared" si="18"/>
        <v>7238.4</v>
      </c>
      <c r="H41" s="16">
        <v>2</v>
      </c>
      <c r="I41" s="17" t="s">
        <v>13</v>
      </c>
      <c r="J41" s="13" t="s">
        <v>17</v>
      </c>
    </row>
    <row r="42" spans="1:11" ht="24" customHeight="1" x14ac:dyDescent="0.25">
      <c r="A42" s="12" t="str">
        <f>A38</f>
        <v>ЩС-ФК3</v>
      </c>
      <c r="B42" s="12" t="s">
        <v>10</v>
      </c>
      <c r="C42" s="18" t="s">
        <v>10</v>
      </c>
      <c r="D42" s="12" t="s">
        <v>10</v>
      </c>
      <c r="E42" s="12">
        <f ca="1">OFFSET(E42,1,2)</f>
        <v>0</v>
      </c>
      <c r="F42" s="15">
        <f ca="1">E42</f>
        <v>0</v>
      </c>
      <c r="G42" s="15">
        <f t="shared" ca="1" si="18"/>
        <v>0</v>
      </c>
      <c r="H42" s="12"/>
      <c r="I42" s="12" t="s">
        <v>13</v>
      </c>
      <c r="J42" s="12" t="s">
        <v>10</v>
      </c>
    </row>
    <row r="43" spans="1:11" ht="21" customHeight="1" x14ac:dyDescent="0.25">
      <c r="A43" s="12" t="str">
        <f t="shared" ref="A43:A44" si="19">A42</f>
        <v>ЩС-ФК3</v>
      </c>
      <c r="B43" s="12" t="s">
        <v>11</v>
      </c>
      <c r="C43" s="18" t="s">
        <v>11</v>
      </c>
      <c r="D43" s="12" t="s">
        <v>11</v>
      </c>
      <c r="E43" s="12"/>
      <c r="F43" s="15">
        <v>100</v>
      </c>
      <c r="G43" s="15">
        <f>60*E43*F43</f>
        <v>0</v>
      </c>
      <c r="H43" s="12">
        <f>60*E43</f>
        <v>0</v>
      </c>
      <c r="I43" s="12" t="s">
        <v>13</v>
      </c>
      <c r="J43" s="12" t="s">
        <v>11</v>
      </c>
    </row>
    <row r="44" spans="1:11" ht="30" customHeight="1" x14ac:dyDescent="0.25">
      <c r="A44" s="12" t="str">
        <f t="shared" si="19"/>
        <v>ЩС-ФК3</v>
      </c>
      <c r="B44" s="19"/>
      <c r="C44" s="20"/>
      <c r="D44" s="21"/>
      <c r="E44" s="23"/>
      <c r="F44" s="25"/>
      <c r="G44" s="24">
        <f ca="1">SUM(G31:G43)</f>
        <v>107951.4</v>
      </c>
      <c r="H44" s="20"/>
      <c r="I44" s="22"/>
      <c r="J44" s="20"/>
    </row>
    <row r="45" spans="1:11" ht="39.75" customHeight="1" x14ac:dyDescent="0.25">
      <c r="A45" s="5" t="str">
        <f>D45</f>
        <v>ЩС-ФК4</v>
      </c>
      <c r="B45" s="6"/>
      <c r="C45" s="7"/>
      <c r="D45" s="6" t="s">
        <v>62</v>
      </c>
      <c r="E45" s="8"/>
      <c r="F45" s="8"/>
      <c r="G45" s="9"/>
      <c r="H45" s="10">
        <v>1</v>
      </c>
      <c r="I45" s="11" t="s">
        <v>7</v>
      </c>
      <c r="J45" s="6" t="s">
        <v>9</v>
      </c>
      <c r="K45" t="s">
        <v>47</v>
      </c>
    </row>
    <row r="46" spans="1:11" ht="21" customHeight="1" x14ac:dyDescent="0.25">
      <c r="A46" s="12" t="str">
        <f>A45</f>
        <v>ЩС-ФК4</v>
      </c>
      <c r="B46" s="13" t="s">
        <v>8</v>
      </c>
      <c r="C46" s="14"/>
      <c r="D46" s="12" t="s">
        <v>81</v>
      </c>
      <c r="E46" s="13">
        <v>25000</v>
      </c>
      <c r="F46" s="15">
        <f>E46*0.6</f>
        <v>15000</v>
      </c>
      <c r="G46" s="15">
        <f>H46*F46</f>
        <v>15000</v>
      </c>
      <c r="H46" s="16">
        <v>1</v>
      </c>
      <c r="I46" s="17" t="s">
        <v>13</v>
      </c>
      <c r="J46" s="13" t="s">
        <v>16</v>
      </c>
    </row>
    <row r="47" spans="1:11" ht="21" customHeight="1" x14ac:dyDescent="0.25">
      <c r="A47" s="12" t="str">
        <f t="shared" ref="A47:A58" si="20">A46</f>
        <v>ЩС-ФК4</v>
      </c>
      <c r="B47" s="13" t="s">
        <v>27</v>
      </c>
      <c r="C47" s="14" t="s">
        <v>65</v>
      </c>
      <c r="D47" s="12" t="s">
        <v>66</v>
      </c>
      <c r="E47" s="13">
        <v>10520</v>
      </c>
      <c r="F47" s="15">
        <f>E47</f>
        <v>10520</v>
      </c>
      <c r="G47" s="15">
        <f t="shared" ref="G47:G56" si="21">F47*H47</f>
        <v>10520</v>
      </c>
      <c r="H47" s="16">
        <v>1</v>
      </c>
      <c r="I47" s="17" t="s">
        <v>13</v>
      </c>
      <c r="J47" s="13" t="s">
        <v>25</v>
      </c>
    </row>
    <row r="48" spans="1:11" ht="21" customHeight="1" x14ac:dyDescent="0.25">
      <c r="A48" s="12" t="str">
        <f t="shared" si="20"/>
        <v>ЩС-ФК4</v>
      </c>
      <c r="B48" s="13" t="s">
        <v>12</v>
      </c>
      <c r="C48" s="14" t="s">
        <v>63</v>
      </c>
      <c r="D48" s="12" t="s">
        <v>64</v>
      </c>
      <c r="E48" s="13">
        <v>11788</v>
      </c>
      <c r="F48" s="15">
        <f t="shared" ref="F48:F55" si="22">E48*0.6</f>
        <v>7072.8</v>
      </c>
      <c r="G48" s="15">
        <f t="shared" si="21"/>
        <v>7072.8</v>
      </c>
      <c r="H48" s="16">
        <v>1</v>
      </c>
      <c r="I48" s="17" t="s">
        <v>13</v>
      </c>
      <c r="J48" s="13" t="s">
        <v>17</v>
      </c>
    </row>
    <row r="49" spans="1:11" ht="21" customHeight="1" x14ac:dyDescent="0.25">
      <c r="A49" s="12" t="str">
        <f t="shared" si="20"/>
        <v>ЩС-ФК4</v>
      </c>
      <c r="B49" s="13" t="s">
        <v>22</v>
      </c>
      <c r="C49" s="14" t="s">
        <v>23</v>
      </c>
      <c r="D49" s="12" t="s">
        <v>24</v>
      </c>
      <c r="E49" s="13">
        <v>11071</v>
      </c>
      <c r="F49" s="15">
        <f t="shared" si="22"/>
        <v>6642.5999999999995</v>
      </c>
      <c r="G49" s="15">
        <f t="shared" si="21"/>
        <v>13285.199999999999</v>
      </c>
      <c r="H49" s="16">
        <v>2</v>
      </c>
      <c r="I49" s="17" t="s">
        <v>13</v>
      </c>
      <c r="J49" s="13" t="s">
        <v>17</v>
      </c>
    </row>
    <row r="50" spans="1:11" ht="21" customHeight="1" x14ac:dyDescent="0.25">
      <c r="A50" s="12" t="str">
        <f t="shared" si="20"/>
        <v>ЩС-ФК4</v>
      </c>
      <c r="B50" s="13" t="s">
        <v>22</v>
      </c>
      <c r="C50" s="14" t="s">
        <v>40</v>
      </c>
      <c r="D50" s="12" t="s">
        <v>41</v>
      </c>
      <c r="E50" s="13">
        <v>8352</v>
      </c>
      <c r="F50" s="15">
        <f t="shared" si="22"/>
        <v>5011.2</v>
      </c>
      <c r="G50" s="15">
        <f t="shared" si="21"/>
        <v>15033.599999999999</v>
      </c>
      <c r="H50" s="16">
        <v>3</v>
      </c>
      <c r="I50" s="17" t="s">
        <v>13</v>
      </c>
      <c r="J50" s="13" t="s">
        <v>17</v>
      </c>
    </row>
    <row r="51" spans="1:11" ht="21" customHeight="1" x14ac:dyDescent="0.25">
      <c r="A51" s="12" t="str">
        <f t="shared" si="20"/>
        <v>ЩС-ФК4</v>
      </c>
      <c r="B51" s="13" t="s">
        <v>22</v>
      </c>
      <c r="C51" s="14" t="s">
        <v>36</v>
      </c>
      <c r="D51" s="12" t="s">
        <v>37</v>
      </c>
      <c r="E51" s="13">
        <v>5104</v>
      </c>
      <c r="F51" s="15">
        <f t="shared" si="22"/>
        <v>3062.4</v>
      </c>
      <c r="G51" s="15">
        <f t="shared" si="21"/>
        <v>24499.200000000001</v>
      </c>
      <c r="H51" s="16">
        <v>8</v>
      </c>
      <c r="I51" s="17" t="s">
        <v>13</v>
      </c>
      <c r="J51" s="13" t="s">
        <v>17</v>
      </c>
    </row>
    <row r="52" spans="1:11" ht="21" customHeight="1" x14ac:dyDescent="0.25">
      <c r="A52" s="12" t="str">
        <f t="shared" si="20"/>
        <v>ЩС-ФК4</v>
      </c>
      <c r="B52" s="13" t="s">
        <v>12</v>
      </c>
      <c r="C52" s="14" t="s">
        <v>42</v>
      </c>
      <c r="D52" s="12" t="s">
        <v>43</v>
      </c>
      <c r="E52" s="13">
        <v>1099</v>
      </c>
      <c r="F52" s="15">
        <f t="shared" si="22"/>
        <v>659.4</v>
      </c>
      <c r="G52" s="15">
        <f t="shared" si="21"/>
        <v>659.4</v>
      </c>
      <c r="H52" s="16">
        <v>1</v>
      </c>
      <c r="I52" s="17" t="s">
        <v>13</v>
      </c>
      <c r="J52" s="13" t="s">
        <v>17</v>
      </c>
    </row>
    <row r="53" spans="1:11" ht="21" customHeight="1" x14ac:dyDescent="0.25">
      <c r="A53" s="12" t="str">
        <f t="shared" si="20"/>
        <v>ЩС-ФК4</v>
      </c>
      <c r="B53" s="13" t="s">
        <v>12</v>
      </c>
      <c r="C53" s="14" t="s">
        <v>18</v>
      </c>
      <c r="D53" s="12" t="s">
        <v>19</v>
      </c>
      <c r="E53" s="13">
        <v>783</v>
      </c>
      <c r="F53" s="15">
        <f t="shared" si="22"/>
        <v>469.79999999999995</v>
      </c>
      <c r="G53" s="15">
        <f t="shared" si="21"/>
        <v>1409.3999999999999</v>
      </c>
      <c r="H53" s="16">
        <v>3</v>
      </c>
      <c r="I53" s="17" t="s">
        <v>13</v>
      </c>
      <c r="J53" s="13" t="s">
        <v>17</v>
      </c>
    </row>
    <row r="54" spans="1:11" ht="21" customHeight="1" x14ac:dyDescent="0.25">
      <c r="A54" s="12" t="str">
        <f t="shared" si="20"/>
        <v>ЩС-ФК4</v>
      </c>
      <c r="B54" s="13" t="s">
        <v>46</v>
      </c>
      <c r="C54" s="14" t="s">
        <v>51</v>
      </c>
      <c r="D54" s="12" t="s">
        <v>52</v>
      </c>
      <c r="E54" s="13">
        <v>13919</v>
      </c>
      <c r="F54" s="15">
        <f t="shared" si="22"/>
        <v>8351.4</v>
      </c>
      <c r="G54" s="15">
        <f t="shared" si="21"/>
        <v>16702.8</v>
      </c>
      <c r="H54" s="16">
        <v>2</v>
      </c>
      <c r="I54" s="17" t="s">
        <v>13</v>
      </c>
      <c r="J54" s="13" t="s">
        <v>17</v>
      </c>
    </row>
    <row r="55" spans="1:11" ht="21" customHeight="1" x14ac:dyDescent="0.25">
      <c r="A55" s="12" t="str">
        <f t="shared" si="20"/>
        <v>ЩС-ФК4</v>
      </c>
      <c r="B55" s="13" t="s">
        <v>46</v>
      </c>
      <c r="C55" s="14" t="s">
        <v>44</v>
      </c>
      <c r="D55" s="12" t="s">
        <v>45</v>
      </c>
      <c r="E55" s="13">
        <v>6145</v>
      </c>
      <c r="F55" s="15">
        <f t="shared" si="22"/>
        <v>3687</v>
      </c>
      <c r="G55" s="15">
        <f t="shared" si="21"/>
        <v>3687</v>
      </c>
      <c r="H55" s="16">
        <v>1</v>
      </c>
      <c r="I55" s="17" t="s">
        <v>13</v>
      </c>
      <c r="J55" s="13" t="s">
        <v>17</v>
      </c>
    </row>
    <row r="56" spans="1:11" ht="24" customHeight="1" x14ac:dyDescent="0.25">
      <c r="A56" s="12" t="str">
        <f t="shared" si="20"/>
        <v>ЩС-ФК4</v>
      </c>
      <c r="B56" s="12" t="s">
        <v>10</v>
      </c>
      <c r="C56" s="18" t="s">
        <v>10</v>
      </c>
      <c r="D56" s="12" t="s">
        <v>10</v>
      </c>
      <c r="E56" s="12">
        <f ca="1">OFFSET(E56,1,2)</f>
        <v>0</v>
      </c>
      <c r="F56" s="15">
        <f ca="1">E56</f>
        <v>0</v>
      </c>
      <c r="G56" s="15">
        <f t="shared" ca="1" si="21"/>
        <v>0</v>
      </c>
      <c r="H56" s="12"/>
      <c r="I56" s="12" t="s">
        <v>13</v>
      </c>
      <c r="J56" s="12" t="s">
        <v>10</v>
      </c>
    </row>
    <row r="57" spans="1:11" ht="21" customHeight="1" x14ac:dyDescent="0.25">
      <c r="A57" s="12" t="str">
        <f t="shared" si="20"/>
        <v>ЩС-ФК4</v>
      </c>
      <c r="B57" s="12" t="s">
        <v>11</v>
      </c>
      <c r="C57" s="18" t="s">
        <v>11</v>
      </c>
      <c r="D57" s="12" t="s">
        <v>11</v>
      </c>
      <c r="E57" s="12"/>
      <c r="F57" s="15">
        <v>100</v>
      </c>
      <c r="G57" s="15">
        <f>60*E57*F57</f>
        <v>0</v>
      </c>
      <c r="H57" s="12">
        <f>60*E57</f>
        <v>0</v>
      </c>
      <c r="I57" s="12" t="s">
        <v>13</v>
      </c>
      <c r="J57" s="12" t="s">
        <v>11</v>
      </c>
    </row>
    <row r="58" spans="1:11" ht="30" customHeight="1" x14ac:dyDescent="0.25">
      <c r="A58" s="12" t="str">
        <f t="shared" si="20"/>
        <v>ЩС-ФК4</v>
      </c>
      <c r="B58" s="19"/>
      <c r="C58" s="20"/>
      <c r="D58" s="21"/>
      <c r="E58" s="23"/>
      <c r="F58" s="25"/>
      <c r="G58" s="24">
        <f ca="1">SUM(G46:G57)</f>
        <v>107869.4</v>
      </c>
      <c r="H58" s="20"/>
      <c r="I58" s="22"/>
      <c r="J58" s="20"/>
    </row>
    <row r="59" spans="1:11" ht="39.75" customHeight="1" x14ac:dyDescent="0.25">
      <c r="A59" s="5" t="str">
        <f>D59</f>
        <v>ЩС-КМ</v>
      </c>
      <c r="B59" s="6"/>
      <c r="C59" s="7"/>
      <c r="D59" s="6" t="s">
        <v>67</v>
      </c>
      <c r="E59" s="8"/>
      <c r="F59" s="8"/>
      <c r="G59" s="9"/>
      <c r="H59" s="10">
        <v>1</v>
      </c>
      <c r="I59" s="11" t="s">
        <v>7</v>
      </c>
      <c r="J59" s="6" t="s">
        <v>9</v>
      </c>
      <c r="K59" t="s">
        <v>47</v>
      </c>
    </row>
    <row r="60" spans="1:11" ht="21" customHeight="1" x14ac:dyDescent="0.25">
      <c r="A60" s="12" t="str">
        <f>A59</f>
        <v>ЩС-КМ</v>
      </c>
      <c r="B60" s="13" t="s">
        <v>8</v>
      </c>
      <c r="C60" s="14" t="s">
        <v>77</v>
      </c>
      <c r="D60" s="12" t="s">
        <v>78</v>
      </c>
      <c r="E60" s="13">
        <v>17035</v>
      </c>
      <c r="F60" s="15">
        <f>E60*0.6</f>
        <v>10221</v>
      </c>
      <c r="G60" s="15">
        <f>H60*F60</f>
        <v>10221</v>
      </c>
      <c r="H60" s="16">
        <v>1</v>
      </c>
      <c r="I60" s="17" t="s">
        <v>13</v>
      </c>
      <c r="J60" s="13" t="s">
        <v>16</v>
      </c>
    </row>
    <row r="61" spans="1:11" ht="21" customHeight="1" x14ac:dyDescent="0.25">
      <c r="A61" s="12" t="str">
        <f t="shared" ref="A61:A72" si="23">A60</f>
        <v>ЩС-КМ</v>
      </c>
      <c r="B61" s="13" t="s">
        <v>26</v>
      </c>
      <c r="C61" s="14" t="s">
        <v>32</v>
      </c>
      <c r="D61" s="12" t="s">
        <v>33</v>
      </c>
      <c r="E61" s="13">
        <v>4217</v>
      </c>
      <c r="F61" s="15">
        <f t="shared" ref="F61" si="24">E61*0.6</f>
        <v>2530.1999999999998</v>
      </c>
      <c r="G61" s="15">
        <f t="shared" ref="G61" si="25">F61*H61</f>
        <v>2530.1999999999998</v>
      </c>
      <c r="H61" s="16">
        <v>1</v>
      </c>
      <c r="I61" s="17" t="s">
        <v>13</v>
      </c>
      <c r="J61" s="13" t="s">
        <v>17</v>
      </c>
    </row>
    <row r="62" spans="1:11" ht="21" customHeight="1" x14ac:dyDescent="0.25">
      <c r="A62" s="12" t="str">
        <f t="shared" si="23"/>
        <v>ЩС-КМ</v>
      </c>
      <c r="B62" s="13" t="s">
        <v>12</v>
      </c>
      <c r="C62" s="14" t="s">
        <v>68</v>
      </c>
      <c r="D62" s="12" t="s">
        <v>69</v>
      </c>
      <c r="E62" s="13">
        <v>2807</v>
      </c>
      <c r="F62" s="15">
        <f t="shared" ref="F62:F69" si="26">E62*0.6</f>
        <v>1684.2</v>
      </c>
      <c r="G62" s="15">
        <f t="shared" ref="G62:G70" si="27">F62*H62</f>
        <v>1684.2</v>
      </c>
      <c r="H62" s="16">
        <v>1</v>
      </c>
      <c r="I62" s="17" t="s">
        <v>13</v>
      </c>
      <c r="J62" s="13" t="s">
        <v>17</v>
      </c>
    </row>
    <row r="63" spans="1:11" ht="21" customHeight="1" x14ac:dyDescent="0.25">
      <c r="A63" s="12" t="str">
        <f t="shared" si="23"/>
        <v>ЩС-КМ</v>
      </c>
      <c r="B63" s="13" t="s">
        <v>22</v>
      </c>
      <c r="C63" s="14" t="s">
        <v>38</v>
      </c>
      <c r="D63" s="12" t="s">
        <v>39</v>
      </c>
      <c r="E63" s="13">
        <v>5632</v>
      </c>
      <c r="F63" s="15">
        <f t="shared" si="26"/>
        <v>3379.2</v>
      </c>
      <c r="G63" s="15">
        <f t="shared" si="27"/>
        <v>3379.2</v>
      </c>
      <c r="H63" s="16">
        <v>1</v>
      </c>
      <c r="I63" s="17" t="s">
        <v>13</v>
      </c>
      <c r="J63" s="13" t="s">
        <v>17</v>
      </c>
    </row>
    <row r="64" spans="1:11" ht="21" customHeight="1" x14ac:dyDescent="0.25">
      <c r="A64" s="12" t="str">
        <f t="shared" si="23"/>
        <v>ЩС-КМ</v>
      </c>
      <c r="B64" s="13" t="s">
        <v>22</v>
      </c>
      <c r="C64" s="14" t="s">
        <v>36</v>
      </c>
      <c r="D64" s="12" t="s">
        <v>37</v>
      </c>
      <c r="E64" s="13">
        <v>5104</v>
      </c>
      <c r="F64" s="15">
        <f t="shared" si="26"/>
        <v>3062.4</v>
      </c>
      <c r="G64" s="15">
        <f t="shared" si="27"/>
        <v>27561.600000000002</v>
      </c>
      <c r="H64" s="16">
        <v>9</v>
      </c>
      <c r="I64" s="17" t="s">
        <v>13</v>
      </c>
      <c r="J64" s="13" t="s">
        <v>17</v>
      </c>
    </row>
    <row r="65" spans="1:11" ht="21" customHeight="1" x14ac:dyDescent="0.25">
      <c r="A65" s="12" t="str">
        <f t="shared" si="23"/>
        <v>ЩС-КМ</v>
      </c>
      <c r="B65" s="13" t="s">
        <v>26</v>
      </c>
      <c r="C65" s="14" t="s">
        <v>34</v>
      </c>
      <c r="D65" s="12" t="s">
        <v>35</v>
      </c>
      <c r="E65" s="13">
        <v>3372</v>
      </c>
      <c r="F65" s="15">
        <f t="shared" si="26"/>
        <v>2023.1999999999998</v>
      </c>
      <c r="G65" s="15">
        <f t="shared" si="27"/>
        <v>2023.1999999999998</v>
      </c>
      <c r="H65" s="16">
        <v>1</v>
      </c>
      <c r="I65" s="17" t="s">
        <v>13</v>
      </c>
      <c r="J65" s="13" t="s">
        <v>17</v>
      </c>
    </row>
    <row r="66" spans="1:11" ht="21" customHeight="1" x14ac:dyDescent="0.25">
      <c r="A66" s="12" t="str">
        <f t="shared" si="23"/>
        <v>ЩС-КМ</v>
      </c>
      <c r="B66" s="13" t="s">
        <v>12</v>
      </c>
      <c r="C66" s="14" t="s">
        <v>18</v>
      </c>
      <c r="D66" s="12" t="s">
        <v>19</v>
      </c>
      <c r="E66" s="13">
        <v>783</v>
      </c>
      <c r="F66" s="15">
        <f t="shared" si="26"/>
        <v>469.79999999999995</v>
      </c>
      <c r="G66" s="15">
        <f t="shared" si="27"/>
        <v>6577.1999999999989</v>
      </c>
      <c r="H66" s="16">
        <v>14</v>
      </c>
      <c r="I66" s="17" t="s">
        <v>13</v>
      </c>
      <c r="J66" s="13" t="s">
        <v>17</v>
      </c>
    </row>
    <row r="67" spans="1:11" ht="21" customHeight="1" x14ac:dyDescent="0.25">
      <c r="A67" s="12" t="str">
        <f t="shared" si="23"/>
        <v>ЩС-КМ</v>
      </c>
      <c r="B67" s="13" t="s">
        <v>12</v>
      </c>
      <c r="C67" s="14" t="s">
        <v>72</v>
      </c>
      <c r="D67" s="12" t="s">
        <v>73</v>
      </c>
      <c r="E67" s="13">
        <v>1086</v>
      </c>
      <c r="F67" s="15">
        <f t="shared" ref="F67" si="28">E67*0.6</f>
        <v>651.6</v>
      </c>
      <c r="G67" s="15">
        <f t="shared" ref="G67" si="29">F67*H67</f>
        <v>651.6</v>
      </c>
      <c r="H67" s="16">
        <v>1</v>
      </c>
      <c r="I67" s="17" t="s">
        <v>13</v>
      </c>
      <c r="J67" s="13" t="s">
        <v>17</v>
      </c>
    </row>
    <row r="68" spans="1:11" ht="21" customHeight="1" x14ac:dyDescent="0.25">
      <c r="A68" s="12" t="str">
        <f t="shared" si="23"/>
        <v>ЩС-КМ</v>
      </c>
      <c r="B68" s="13" t="s">
        <v>46</v>
      </c>
      <c r="C68" s="14" t="s">
        <v>70</v>
      </c>
      <c r="D68" s="12" t="s">
        <v>71</v>
      </c>
      <c r="E68" s="13">
        <v>13575</v>
      </c>
      <c r="F68" s="15">
        <f t="shared" si="26"/>
        <v>8145</v>
      </c>
      <c r="G68" s="15">
        <f t="shared" si="27"/>
        <v>8145</v>
      </c>
      <c r="H68" s="16">
        <v>1</v>
      </c>
      <c r="I68" s="17" t="s">
        <v>13</v>
      </c>
      <c r="J68" s="13" t="s">
        <v>17</v>
      </c>
    </row>
    <row r="69" spans="1:11" ht="21" customHeight="1" x14ac:dyDescent="0.25">
      <c r="A69" s="12" t="str">
        <f t="shared" si="23"/>
        <v>ЩС-КМ</v>
      </c>
      <c r="B69" s="13" t="s">
        <v>46</v>
      </c>
      <c r="C69" s="14" t="s">
        <v>44</v>
      </c>
      <c r="D69" s="12" t="s">
        <v>45</v>
      </c>
      <c r="E69" s="13">
        <v>6145</v>
      </c>
      <c r="F69" s="15">
        <f t="shared" si="26"/>
        <v>3687</v>
      </c>
      <c r="G69" s="15">
        <f t="shared" si="27"/>
        <v>3687</v>
      </c>
      <c r="H69" s="16">
        <v>1</v>
      </c>
      <c r="I69" s="17" t="s">
        <v>13</v>
      </c>
      <c r="J69" s="13" t="s">
        <v>17</v>
      </c>
    </row>
    <row r="70" spans="1:11" ht="24" customHeight="1" x14ac:dyDescent="0.25">
      <c r="A70" s="12" t="str">
        <f t="shared" si="23"/>
        <v>ЩС-КМ</v>
      </c>
      <c r="B70" s="12" t="s">
        <v>10</v>
      </c>
      <c r="C70" s="18" t="s">
        <v>10</v>
      </c>
      <c r="D70" s="12" t="s">
        <v>10</v>
      </c>
      <c r="E70" s="12">
        <f ca="1">OFFSET(E70,1,2)</f>
        <v>0</v>
      </c>
      <c r="F70" s="15">
        <f ca="1">E70</f>
        <v>0</v>
      </c>
      <c r="G70" s="15">
        <f t="shared" ca="1" si="27"/>
        <v>0</v>
      </c>
      <c r="H70" s="12"/>
      <c r="I70" s="12" t="s">
        <v>13</v>
      </c>
      <c r="J70" s="12" t="s">
        <v>10</v>
      </c>
    </row>
    <row r="71" spans="1:11" ht="21" customHeight="1" x14ac:dyDescent="0.25">
      <c r="A71" s="12" t="str">
        <f t="shared" si="23"/>
        <v>ЩС-КМ</v>
      </c>
      <c r="B71" s="12" t="s">
        <v>11</v>
      </c>
      <c r="C71" s="18" t="s">
        <v>11</v>
      </c>
      <c r="D71" s="12" t="s">
        <v>11</v>
      </c>
      <c r="E71" s="12"/>
      <c r="F71" s="15">
        <v>100</v>
      </c>
      <c r="G71" s="15">
        <f>60*E71*F71</f>
        <v>0</v>
      </c>
      <c r="H71" s="12">
        <f>60*E71</f>
        <v>0</v>
      </c>
      <c r="I71" s="12" t="s">
        <v>13</v>
      </c>
      <c r="J71" s="12" t="s">
        <v>11</v>
      </c>
    </row>
    <row r="72" spans="1:11" ht="30" customHeight="1" x14ac:dyDescent="0.25">
      <c r="A72" s="12" t="str">
        <f t="shared" si="23"/>
        <v>ЩС-КМ</v>
      </c>
      <c r="B72" s="19"/>
      <c r="C72" s="20"/>
      <c r="D72" s="21"/>
      <c r="E72" s="23"/>
      <c r="F72" s="25"/>
      <c r="G72" s="24">
        <f ca="1">SUM(G60:G71)</f>
        <v>66460.2</v>
      </c>
      <c r="H72" s="20"/>
      <c r="I72" s="22"/>
      <c r="J72" s="20"/>
    </row>
    <row r="73" spans="1:11" ht="39.75" customHeight="1" x14ac:dyDescent="0.25">
      <c r="A73" s="5" t="str">
        <f>D73</f>
        <v>ЩО-ФК</v>
      </c>
      <c r="B73" s="6"/>
      <c r="C73" s="7"/>
      <c r="D73" s="6" t="s">
        <v>74</v>
      </c>
      <c r="E73" s="8"/>
      <c r="F73" s="8"/>
      <c r="G73" s="9"/>
      <c r="H73" s="10">
        <v>1</v>
      </c>
      <c r="I73" s="11" t="s">
        <v>7</v>
      </c>
      <c r="J73" s="6" t="s">
        <v>9</v>
      </c>
      <c r="K73" t="s">
        <v>47</v>
      </c>
    </row>
    <row r="74" spans="1:11" ht="21" customHeight="1" x14ac:dyDescent="0.25">
      <c r="A74" s="12" t="str">
        <f>A73</f>
        <v>ЩО-ФК</v>
      </c>
      <c r="B74" s="13" t="s">
        <v>8</v>
      </c>
      <c r="C74" s="14" t="s">
        <v>77</v>
      </c>
      <c r="D74" s="12" t="s">
        <v>78</v>
      </c>
      <c r="E74" s="13">
        <v>17035</v>
      </c>
      <c r="F74" s="15">
        <f>E74*0.6</f>
        <v>10221</v>
      </c>
      <c r="G74" s="15">
        <f>H74*F74</f>
        <v>10221</v>
      </c>
      <c r="H74" s="16">
        <v>1</v>
      </c>
      <c r="I74" s="17" t="s">
        <v>13</v>
      </c>
      <c r="J74" s="13" t="s">
        <v>16</v>
      </c>
    </row>
    <row r="75" spans="1:11" ht="21" customHeight="1" x14ac:dyDescent="0.25">
      <c r="A75" s="12" t="str">
        <f t="shared" ref="A75:A85" si="30">A74</f>
        <v>ЩО-ФК</v>
      </c>
      <c r="B75" s="13" t="s">
        <v>26</v>
      </c>
      <c r="C75" s="14" t="s">
        <v>32</v>
      </c>
      <c r="D75" s="12" t="s">
        <v>33</v>
      </c>
      <c r="E75" s="13">
        <v>4217</v>
      </c>
      <c r="F75" s="15">
        <f t="shared" ref="F75" si="31">E75*0.6</f>
        <v>2530.1999999999998</v>
      </c>
      <c r="G75" s="15">
        <f t="shared" ref="G75" si="32">F75*H75</f>
        <v>2530.1999999999998</v>
      </c>
      <c r="H75" s="16">
        <v>1</v>
      </c>
      <c r="I75" s="17" t="s">
        <v>13</v>
      </c>
      <c r="J75" s="13" t="s">
        <v>17</v>
      </c>
    </row>
    <row r="76" spans="1:11" ht="21" customHeight="1" x14ac:dyDescent="0.25">
      <c r="A76" s="12" t="str">
        <f t="shared" si="30"/>
        <v>ЩО-ФК</v>
      </c>
      <c r="B76" s="13" t="s">
        <v>12</v>
      </c>
      <c r="C76" s="14" t="s">
        <v>30</v>
      </c>
      <c r="D76" s="12" t="s">
        <v>31</v>
      </c>
      <c r="E76" s="13">
        <v>2499</v>
      </c>
      <c r="F76" s="15">
        <f t="shared" ref="F76:F82" si="33">E76*0.6</f>
        <v>1499.3999999999999</v>
      </c>
      <c r="G76" s="15">
        <f t="shared" ref="G76:G83" si="34">F76*H76</f>
        <v>1499.3999999999999</v>
      </c>
      <c r="H76" s="16">
        <v>1</v>
      </c>
      <c r="I76" s="17" t="s">
        <v>13</v>
      </c>
      <c r="J76" s="13" t="s">
        <v>17</v>
      </c>
    </row>
    <row r="77" spans="1:11" ht="21" customHeight="1" x14ac:dyDescent="0.25">
      <c r="A77" s="12" t="str">
        <f t="shared" si="30"/>
        <v>ЩО-ФК</v>
      </c>
      <c r="B77" s="13" t="s">
        <v>26</v>
      </c>
      <c r="C77" s="14" t="s">
        <v>34</v>
      </c>
      <c r="D77" s="12" t="s">
        <v>35</v>
      </c>
      <c r="E77" s="13">
        <v>3372</v>
      </c>
      <c r="F77" s="15">
        <f t="shared" si="33"/>
        <v>2023.1999999999998</v>
      </c>
      <c r="G77" s="15">
        <f t="shared" si="34"/>
        <v>4046.3999999999996</v>
      </c>
      <c r="H77" s="16">
        <v>2</v>
      </c>
      <c r="I77" s="17" t="s">
        <v>13</v>
      </c>
      <c r="J77" s="13" t="s">
        <v>17</v>
      </c>
    </row>
    <row r="78" spans="1:11" ht="21" customHeight="1" x14ac:dyDescent="0.25">
      <c r="A78" s="12" t="str">
        <f t="shared" si="30"/>
        <v>ЩО-ФК</v>
      </c>
      <c r="B78" s="13" t="s">
        <v>26</v>
      </c>
      <c r="C78" s="14" t="s">
        <v>75</v>
      </c>
      <c r="D78" s="12" t="s">
        <v>76</v>
      </c>
      <c r="E78" s="13">
        <v>1129</v>
      </c>
      <c r="F78" s="15">
        <f t="shared" si="33"/>
        <v>677.4</v>
      </c>
      <c r="G78" s="15">
        <f t="shared" si="34"/>
        <v>2032.1999999999998</v>
      </c>
      <c r="H78" s="16">
        <v>3</v>
      </c>
      <c r="I78" s="17" t="s">
        <v>13</v>
      </c>
      <c r="J78" s="13" t="s">
        <v>17</v>
      </c>
    </row>
    <row r="79" spans="1:11" ht="21" customHeight="1" x14ac:dyDescent="0.25">
      <c r="A79" s="12" t="str">
        <f t="shared" si="30"/>
        <v>ЩО-ФК</v>
      </c>
      <c r="B79" s="13" t="s">
        <v>12</v>
      </c>
      <c r="C79" s="14" t="s">
        <v>72</v>
      </c>
      <c r="D79" s="12" t="s">
        <v>73</v>
      </c>
      <c r="E79" s="13">
        <v>1086</v>
      </c>
      <c r="F79" s="15">
        <f t="shared" si="33"/>
        <v>651.6</v>
      </c>
      <c r="G79" s="15">
        <f t="shared" si="34"/>
        <v>3258</v>
      </c>
      <c r="H79" s="16">
        <v>5</v>
      </c>
      <c r="I79" s="17" t="s">
        <v>13</v>
      </c>
      <c r="J79" s="13" t="s">
        <v>17</v>
      </c>
    </row>
    <row r="80" spans="1:11" ht="21" customHeight="1" x14ac:dyDescent="0.25">
      <c r="A80" s="12" t="str">
        <f t="shared" si="30"/>
        <v>ЩО-ФК</v>
      </c>
      <c r="B80" s="13" t="s">
        <v>46</v>
      </c>
      <c r="C80" s="14" t="s">
        <v>70</v>
      </c>
      <c r="D80" s="12" t="s">
        <v>71</v>
      </c>
      <c r="E80" s="13">
        <v>13575</v>
      </c>
      <c r="F80" s="15">
        <f t="shared" si="33"/>
        <v>8145</v>
      </c>
      <c r="G80" s="15">
        <f t="shared" si="34"/>
        <v>16290</v>
      </c>
      <c r="H80" s="16">
        <v>2</v>
      </c>
      <c r="I80" s="17" t="s">
        <v>13</v>
      </c>
      <c r="J80" s="13" t="s">
        <v>17</v>
      </c>
    </row>
    <row r="81" spans="1:10" ht="21" customHeight="1" x14ac:dyDescent="0.25">
      <c r="A81" s="12" t="str">
        <f t="shared" si="30"/>
        <v>ЩО-ФК</v>
      </c>
      <c r="B81" s="13" t="s">
        <v>46</v>
      </c>
      <c r="C81" s="14" t="s">
        <v>44</v>
      </c>
      <c r="D81" s="12" t="s">
        <v>45</v>
      </c>
      <c r="E81" s="13">
        <v>6145</v>
      </c>
      <c r="F81" s="15">
        <f t="shared" ref="F81" si="35">E81*0.6</f>
        <v>3687</v>
      </c>
      <c r="G81" s="15">
        <f t="shared" ref="G81" si="36">F81*H81</f>
        <v>11061</v>
      </c>
      <c r="H81" s="16">
        <v>3</v>
      </c>
      <c r="I81" s="17" t="s">
        <v>13</v>
      </c>
      <c r="J81" s="13" t="s">
        <v>17</v>
      </c>
    </row>
    <row r="82" spans="1:10" ht="21" customHeight="1" x14ac:dyDescent="0.25">
      <c r="A82" s="12" t="str">
        <f t="shared" si="30"/>
        <v>ЩО-ФК</v>
      </c>
      <c r="B82" s="13" t="s">
        <v>12</v>
      </c>
      <c r="C82" s="14" t="s">
        <v>18</v>
      </c>
      <c r="D82" s="12" t="s">
        <v>19</v>
      </c>
      <c r="E82" s="13">
        <v>783</v>
      </c>
      <c r="F82" s="15">
        <f t="shared" si="33"/>
        <v>469.79999999999995</v>
      </c>
      <c r="G82" s="15">
        <f t="shared" si="34"/>
        <v>10805.4</v>
      </c>
      <c r="H82" s="16">
        <v>23</v>
      </c>
      <c r="I82" s="17" t="s">
        <v>13</v>
      </c>
      <c r="J82" s="13" t="s">
        <v>17</v>
      </c>
    </row>
    <row r="83" spans="1:10" ht="24" customHeight="1" x14ac:dyDescent="0.25">
      <c r="A83" s="12" t="str">
        <f t="shared" si="30"/>
        <v>ЩО-ФК</v>
      </c>
      <c r="B83" s="12" t="s">
        <v>10</v>
      </c>
      <c r="C83" s="18" t="s">
        <v>10</v>
      </c>
      <c r="D83" s="12" t="s">
        <v>10</v>
      </c>
      <c r="E83" s="12">
        <f ca="1">OFFSET(E83,1,2)</f>
        <v>0</v>
      </c>
      <c r="F83" s="15">
        <f ca="1">E83</f>
        <v>0</v>
      </c>
      <c r="G83" s="15">
        <f t="shared" ca="1" si="34"/>
        <v>0</v>
      </c>
      <c r="H83" s="12"/>
      <c r="I83" s="12" t="s">
        <v>13</v>
      </c>
      <c r="J83" s="12" t="s">
        <v>10</v>
      </c>
    </row>
    <row r="84" spans="1:10" ht="21" customHeight="1" x14ac:dyDescent="0.25">
      <c r="A84" s="12" t="str">
        <f t="shared" si="30"/>
        <v>ЩО-ФК</v>
      </c>
      <c r="B84" s="12" t="s">
        <v>11</v>
      </c>
      <c r="C84" s="18" t="s">
        <v>11</v>
      </c>
      <c r="D84" s="12" t="s">
        <v>11</v>
      </c>
      <c r="E84" s="12"/>
      <c r="F84" s="15">
        <v>100</v>
      </c>
      <c r="G84" s="15">
        <f>60*E84*F84</f>
        <v>0</v>
      </c>
      <c r="H84" s="12">
        <f>60*E84</f>
        <v>0</v>
      </c>
      <c r="I84" s="12" t="s">
        <v>13</v>
      </c>
      <c r="J84" s="12" t="s">
        <v>11</v>
      </c>
    </row>
    <row r="85" spans="1:10" ht="30" customHeight="1" x14ac:dyDescent="0.25">
      <c r="A85" s="12" t="str">
        <f t="shared" si="30"/>
        <v>ЩО-ФК</v>
      </c>
      <c r="B85" s="19"/>
      <c r="C85" s="20"/>
      <c r="D85" s="21"/>
      <c r="E85" s="23"/>
      <c r="F85" s="25"/>
      <c r="G85" s="24">
        <f ca="1">SUM(G74:G84)</f>
        <v>61743.6</v>
      </c>
      <c r="H85" s="20"/>
      <c r="I85" s="22"/>
      <c r="J85" s="20"/>
    </row>
  </sheetData>
  <autoFilter ref="A1:J85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2026-07-21T11:35:03Z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