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17 janet adpas\"/>
    </mc:Choice>
  </mc:AlternateContent>
  <xr:revisionPtr revIDLastSave="0" documentId="13_ncr:1_{59D9FDD2-433C-4B7F-99C5-E97D7C84B76C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BOM" sheetId="1" r:id="rId1"/>
    <sheet name="Sayfa1" sheetId="4" r:id="rId2"/>
    <sheet name="Sayfa2" sheetId="5" r:id="rId3"/>
    <sheet name="СВОД" sheetId="2" r:id="rId4"/>
    <sheet name="Kurallar" sheetId="3" r:id="rId5"/>
  </sheets>
  <definedNames>
    <definedName name="_xlnm._FilterDatabase" localSheetId="0" hidden="1">BOM!$A$1:$L$109</definedName>
    <definedName name="_xlnm._FilterDatabase" localSheetId="2" hidden="1">Sayfa2!$A$1:$I$7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5" l="1"/>
  <c r="D9" i="5" s="1"/>
  <c r="C8" i="5"/>
  <c r="D8" i="5" s="1"/>
  <c r="E8" i="5" l="1"/>
  <c r="D3" i="5"/>
  <c r="D4" i="5"/>
  <c r="D5" i="5"/>
  <c r="D6" i="5"/>
  <c r="D7" i="5"/>
  <c r="D2" i="5"/>
  <c r="I8" i="5" l="1"/>
  <c r="I9" i="5" s="1"/>
  <c r="I10" i="5" s="1"/>
  <c r="J3" i="5"/>
  <c r="C3" i="5" s="1"/>
  <c r="E3" i="5" s="1"/>
  <c r="J4" i="5"/>
  <c r="C4" i="5" s="1"/>
  <c r="E4" i="5" s="1"/>
  <c r="J5" i="5"/>
  <c r="C5" i="5" s="1"/>
  <c r="E5" i="5" s="1"/>
  <c r="J6" i="5"/>
  <c r="C6" i="5" s="1"/>
  <c r="E6" i="5" s="1"/>
  <c r="J7" i="5"/>
  <c r="C7" i="5" s="1"/>
  <c r="E7" i="5" s="1"/>
  <c r="J2" i="5"/>
  <c r="C2" i="5" s="1"/>
  <c r="E2" i="5" s="1"/>
  <c r="B88" i="1" l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71" i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54" i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36" i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H56" i="1"/>
  <c r="I56" i="1" s="1"/>
  <c r="H38" i="1"/>
  <c r="I38" i="1" s="1"/>
  <c r="C44" i="1"/>
  <c r="H44" i="1"/>
  <c r="I44" i="1" s="1"/>
  <c r="G2" i="4"/>
  <c r="H2" i="4" s="1"/>
  <c r="B2" i="4"/>
  <c r="G1" i="4"/>
  <c r="H1" i="4" s="1"/>
  <c r="B1" i="4"/>
  <c r="G7" i="2"/>
  <c r="G6" i="2"/>
  <c r="G5" i="2"/>
  <c r="G4" i="2"/>
  <c r="G3" i="2"/>
  <c r="G2" i="2"/>
  <c r="H107" i="1"/>
  <c r="I107" i="1" s="1"/>
  <c r="H106" i="1"/>
  <c r="I106" i="1" s="1"/>
  <c r="H105" i="1"/>
  <c r="I105" i="1" s="1"/>
  <c r="J102" i="1"/>
  <c r="G102" i="1" s="1"/>
  <c r="H102" i="1"/>
  <c r="C102" i="1"/>
  <c r="C101" i="1"/>
  <c r="H100" i="1"/>
  <c r="I100" i="1" s="1"/>
  <c r="C100" i="1"/>
  <c r="H99" i="1"/>
  <c r="I99" i="1" s="1"/>
  <c r="C99" i="1"/>
  <c r="H98" i="1"/>
  <c r="I98" i="1" s="1"/>
  <c r="C98" i="1"/>
  <c r="H97" i="1"/>
  <c r="I97" i="1" s="1"/>
  <c r="C97" i="1"/>
  <c r="H96" i="1"/>
  <c r="I96" i="1" s="1"/>
  <c r="C96" i="1"/>
  <c r="H95" i="1"/>
  <c r="I95" i="1" s="1"/>
  <c r="C95" i="1"/>
  <c r="H94" i="1"/>
  <c r="I94" i="1" s="1"/>
  <c r="C94" i="1"/>
  <c r="H93" i="1"/>
  <c r="I93" i="1" s="1"/>
  <c r="C93" i="1"/>
  <c r="H92" i="1"/>
  <c r="I92" i="1" s="1"/>
  <c r="C92" i="1"/>
  <c r="H91" i="1"/>
  <c r="I91" i="1" s="1"/>
  <c r="C91" i="1"/>
  <c r="H90" i="1"/>
  <c r="I90" i="1" s="1"/>
  <c r="C90" i="1"/>
  <c r="H89" i="1"/>
  <c r="I89" i="1" s="1"/>
  <c r="C89" i="1"/>
  <c r="C88" i="1"/>
  <c r="J86" i="1"/>
  <c r="G86" i="1" s="1"/>
  <c r="H86" i="1"/>
  <c r="C86" i="1"/>
  <c r="C85" i="1"/>
  <c r="H84" i="1"/>
  <c r="I84" i="1" s="1"/>
  <c r="C84" i="1"/>
  <c r="H83" i="1"/>
  <c r="I83" i="1" s="1"/>
  <c r="C83" i="1"/>
  <c r="H82" i="1"/>
  <c r="I82" i="1" s="1"/>
  <c r="C82" i="1"/>
  <c r="H81" i="1"/>
  <c r="I81" i="1" s="1"/>
  <c r="C81" i="1"/>
  <c r="H80" i="1"/>
  <c r="I80" i="1" s="1"/>
  <c r="C80" i="1"/>
  <c r="H79" i="1"/>
  <c r="I79" i="1" s="1"/>
  <c r="C79" i="1"/>
  <c r="H78" i="1"/>
  <c r="I78" i="1" s="1"/>
  <c r="C78" i="1"/>
  <c r="H77" i="1"/>
  <c r="I77" i="1" s="1"/>
  <c r="C77" i="1"/>
  <c r="H76" i="1"/>
  <c r="I76" i="1" s="1"/>
  <c r="C76" i="1"/>
  <c r="H75" i="1"/>
  <c r="I75" i="1" s="1"/>
  <c r="C75" i="1"/>
  <c r="H74" i="1"/>
  <c r="I74" i="1" s="1"/>
  <c r="C74" i="1"/>
  <c r="H73" i="1"/>
  <c r="I73" i="1" s="1"/>
  <c r="C73" i="1"/>
  <c r="H72" i="1"/>
  <c r="I72" i="1" s="1"/>
  <c r="C72" i="1"/>
  <c r="C71" i="1"/>
  <c r="J69" i="1"/>
  <c r="G69" i="1" s="1"/>
  <c r="H69" i="1"/>
  <c r="C69" i="1"/>
  <c r="C68" i="1"/>
  <c r="H67" i="1"/>
  <c r="I67" i="1" s="1"/>
  <c r="C67" i="1"/>
  <c r="H66" i="1"/>
  <c r="I66" i="1" s="1"/>
  <c r="C66" i="1"/>
  <c r="H65" i="1"/>
  <c r="I65" i="1" s="1"/>
  <c r="C65" i="1"/>
  <c r="H64" i="1"/>
  <c r="I64" i="1" s="1"/>
  <c r="C64" i="1"/>
  <c r="H63" i="1"/>
  <c r="I63" i="1" s="1"/>
  <c r="C63" i="1"/>
  <c r="H62" i="1"/>
  <c r="I62" i="1" s="1"/>
  <c r="C62" i="1"/>
  <c r="H61" i="1"/>
  <c r="I61" i="1" s="1"/>
  <c r="C61" i="1"/>
  <c r="H60" i="1"/>
  <c r="I60" i="1" s="1"/>
  <c r="C60" i="1"/>
  <c r="H59" i="1"/>
  <c r="I59" i="1" s="1"/>
  <c r="C59" i="1"/>
  <c r="H58" i="1"/>
  <c r="I58" i="1" s="1"/>
  <c r="C58" i="1"/>
  <c r="H57" i="1"/>
  <c r="I57" i="1" s="1"/>
  <c r="C57" i="1"/>
  <c r="C56" i="1"/>
  <c r="H55" i="1"/>
  <c r="I55" i="1" s="1"/>
  <c r="C55" i="1"/>
  <c r="C54" i="1"/>
  <c r="J52" i="1"/>
  <c r="G52" i="1" s="1"/>
  <c r="H52" i="1"/>
  <c r="C52" i="1"/>
  <c r="C51" i="1"/>
  <c r="H50" i="1"/>
  <c r="I50" i="1" s="1"/>
  <c r="C50" i="1"/>
  <c r="H49" i="1"/>
  <c r="I49" i="1" s="1"/>
  <c r="C49" i="1"/>
  <c r="H48" i="1"/>
  <c r="I48" i="1" s="1"/>
  <c r="C48" i="1"/>
  <c r="H47" i="1"/>
  <c r="I47" i="1" s="1"/>
  <c r="C47" i="1"/>
  <c r="H46" i="1"/>
  <c r="I46" i="1" s="1"/>
  <c r="C46" i="1"/>
  <c r="H45" i="1"/>
  <c r="I45" i="1" s="1"/>
  <c r="C45" i="1"/>
  <c r="H43" i="1"/>
  <c r="I43" i="1" s="1"/>
  <c r="C43" i="1"/>
  <c r="H42" i="1"/>
  <c r="I42" i="1" s="1"/>
  <c r="C42" i="1"/>
  <c r="H41" i="1"/>
  <c r="I41" i="1" s="1"/>
  <c r="C41" i="1"/>
  <c r="H40" i="1"/>
  <c r="I40" i="1" s="1"/>
  <c r="C40" i="1"/>
  <c r="H39" i="1"/>
  <c r="I39" i="1" s="1"/>
  <c r="C39" i="1"/>
  <c r="C38" i="1"/>
  <c r="H37" i="1"/>
  <c r="I37" i="1" s="1"/>
  <c r="C37" i="1"/>
  <c r="C36" i="1"/>
  <c r="J34" i="1"/>
  <c r="H34" i="1"/>
  <c r="G34" i="1"/>
  <c r="C34" i="1"/>
  <c r="C33" i="1"/>
  <c r="H32" i="1"/>
  <c r="I32" i="1" s="1"/>
  <c r="C32" i="1"/>
  <c r="H31" i="1"/>
  <c r="I31" i="1" s="1"/>
  <c r="C31" i="1"/>
  <c r="H30" i="1"/>
  <c r="I30" i="1" s="1"/>
  <c r="C30" i="1"/>
  <c r="H29" i="1"/>
  <c r="I29" i="1" s="1"/>
  <c r="C29" i="1"/>
  <c r="H28" i="1"/>
  <c r="I28" i="1" s="1"/>
  <c r="C28" i="1"/>
  <c r="H27" i="1"/>
  <c r="I27" i="1" s="1"/>
  <c r="C27" i="1"/>
  <c r="H26" i="1"/>
  <c r="I26" i="1" s="1"/>
  <c r="C26" i="1"/>
  <c r="H25" i="1"/>
  <c r="I25" i="1" s="1"/>
  <c r="C25" i="1"/>
  <c r="H24" i="1"/>
  <c r="I24" i="1" s="1"/>
  <c r="C24" i="1"/>
  <c r="H23" i="1"/>
  <c r="I23" i="1" s="1"/>
  <c r="C23" i="1"/>
  <c r="H22" i="1"/>
  <c r="I22" i="1" s="1"/>
  <c r="C22" i="1"/>
  <c r="H21" i="1"/>
  <c r="I21" i="1" s="1"/>
  <c r="C21" i="1"/>
  <c r="H20" i="1"/>
  <c r="I20" i="1" s="1"/>
  <c r="C20" i="1"/>
  <c r="C19" i="1"/>
  <c r="J17" i="1"/>
  <c r="G17" i="1" s="1"/>
  <c r="H17" i="1"/>
  <c r="C17" i="1"/>
  <c r="C16" i="1"/>
  <c r="H15" i="1"/>
  <c r="I15" i="1" s="1"/>
  <c r="C15" i="1"/>
  <c r="H14" i="1"/>
  <c r="I14" i="1" s="1"/>
  <c r="C14" i="1"/>
  <c r="H13" i="1"/>
  <c r="I13" i="1" s="1"/>
  <c r="C13" i="1"/>
  <c r="H12" i="1"/>
  <c r="I12" i="1" s="1"/>
  <c r="C12" i="1"/>
  <c r="H11" i="1"/>
  <c r="I11" i="1" s="1"/>
  <c r="C11" i="1"/>
  <c r="H10" i="1"/>
  <c r="I10" i="1" s="1"/>
  <c r="C10" i="1"/>
  <c r="H9" i="1"/>
  <c r="I9" i="1" s="1"/>
  <c r="C9" i="1"/>
  <c r="H8" i="1"/>
  <c r="I8" i="1" s="1"/>
  <c r="C8" i="1"/>
  <c r="H7" i="1"/>
  <c r="I7" i="1" s="1"/>
  <c r="C7" i="1"/>
  <c r="H6" i="1"/>
  <c r="I6" i="1" s="1"/>
  <c r="C6" i="1"/>
  <c r="H5" i="1"/>
  <c r="I5" i="1" s="1"/>
  <c r="C5" i="1"/>
  <c r="H4" i="1"/>
  <c r="I4" i="1" s="1"/>
  <c r="C4" i="1"/>
  <c r="H3" i="1"/>
  <c r="I3" i="1" s="1"/>
  <c r="C3" i="1"/>
  <c r="C2" i="1"/>
  <c r="I34" i="1" l="1"/>
  <c r="I17" i="1"/>
  <c r="I52" i="1"/>
  <c r="I86" i="1"/>
  <c r="I102" i="1"/>
  <c r="I69" i="1"/>
  <c r="H68" i="1"/>
  <c r="I68" i="1" s="1"/>
  <c r="I70" i="1" s="1"/>
  <c r="I5" i="2" s="1"/>
  <c r="J5" i="2" s="1"/>
  <c r="H33" i="1"/>
  <c r="I33" i="1" s="1"/>
  <c r="I35" i="1" s="1"/>
  <c r="I3" i="2" s="1"/>
  <c r="J3" i="2" s="1"/>
  <c r="H85" i="1"/>
  <c r="I85" i="1" s="1"/>
  <c r="I87" i="1" s="1"/>
  <c r="I6" i="2" s="1"/>
  <c r="J6" i="2" s="1"/>
  <c r="H16" i="1"/>
  <c r="I16" i="1" s="1"/>
  <c r="H51" i="1"/>
  <c r="I51" i="1" s="1"/>
  <c r="I53" i="1" s="1"/>
  <c r="I4" i="2" s="1"/>
  <c r="J4" i="2" s="1"/>
  <c r="H101" i="1"/>
  <c r="I101" i="1" s="1"/>
  <c r="I103" i="1" s="1"/>
  <c r="I7" i="2" s="1"/>
  <c r="J7" i="2" s="1"/>
  <c r="I18" i="1" l="1"/>
  <c r="I2" i="2" s="1"/>
  <c r="J2" i="2" s="1"/>
  <c r="J8" i="2" s="1"/>
</calcChain>
</file>

<file path=xl/sharedStrings.xml><?xml version="1.0" encoding="utf-8"?>
<sst xmlns="http://schemas.openxmlformats.org/spreadsheetml/2006/main" count="684" uniqueCount="253">
  <si>
    <t>ROW</t>
  </si>
  <si>
    <t>Наименование1</t>
  </si>
  <si>
    <t>Тип</t>
  </si>
  <si>
    <t>Артикул</t>
  </si>
  <si>
    <t>Номенклатура</t>
  </si>
  <si>
    <t>Цена (прайс)</t>
  </si>
  <si>
    <t>Цена нетто, KZT</t>
  </si>
  <si>
    <t>Сумма, KZT</t>
  </si>
  <si>
    <t>Кол-во</t>
  </si>
  <si>
    <t>Ед.изм.</t>
  </si>
  <si>
    <t>Завод</t>
  </si>
  <si>
    <t>pano</t>
  </si>
  <si>
    <t>Щит силовой ЩС-ФК1 (кухонное оборуд. и фанкойлы фудкорта), IP54</t>
  </si>
  <si>
    <t>комплект</t>
  </si>
  <si>
    <t>korpus</t>
  </si>
  <si>
    <t>714-15104</t>
  </si>
  <si>
    <t>Корпус металлический ЩРн-54 (540x440x120) IP54</t>
  </si>
  <si>
    <t>шт.</t>
  </si>
  <si>
    <t>TEKSAN</t>
  </si>
  <si>
    <t>OTO</t>
  </si>
  <si>
    <t>A9F74363</t>
  </si>
  <si>
    <t>Автоматический выключатель Acti9 iC60N 3P C63A, 6kA</t>
  </si>
  <si>
    <t>Schneider</t>
  </si>
  <si>
    <t>DİF</t>
  </si>
  <si>
    <t>A9DE3732</t>
  </si>
  <si>
    <t>Выключатель диф. тока (АВДТ) Acti9 iC60 3P+N C32A 30mA тип AC</t>
  </si>
  <si>
    <t>A9DE3716</t>
  </si>
  <si>
    <t>Выключатель диф. тока (АВДТ) Acti9 iC60 3P+N C16A 30mA тип AC</t>
  </si>
  <si>
    <t>A9D34616</t>
  </si>
  <si>
    <t>Выключатель диф. тока (АВДТ) Acti9 iC60 1P+N C16A 30mA тип AC</t>
  </si>
  <si>
    <t>EZ9F34313</t>
  </si>
  <si>
    <t>Автоматический выключатель Easy9 3P C13A, 4,5kA</t>
  </si>
  <si>
    <t>EZ9F34110</t>
  </si>
  <si>
    <t>Автоматический выключатель Easy9 1P C10A, 4,5kA</t>
  </si>
  <si>
    <t>kontaktör</t>
  </si>
  <si>
    <t>LOOBAR</t>
  </si>
  <si>
    <t>130200401_</t>
  </si>
  <si>
    <t>Шина "PE" земля ШНИ 6х9 12-К-З на DIN-рейку в изоляторе</t>
  </si>
  <si>
    <t>UNIT</t>
  </si>
  <si>
    <t>130200007_</t>
  </si>
  <si>
    <t>Шина "N" нулевая 6х9мм 14/2 (крепеж по краям)</t>
  </si>
  <si>
    <t>IEK</t>
  </si>
  <si>
    <t>montajный материал</t>
  </si>
  <si>
    <t>130200351_</t>
  </si>
  <si>
    <t>DIN-рейка оцинкованная 1000 мм</t>
  </si>
  <si>
    <t>м</t>
  </si>
  <si>
    <t>280100020_</t>
  </si>
  <si>
    <t>Кабель-канал перфорированный 40х40 (2 м)</t>
  </si>
  <si>
    <t>Монтажные материалы (клеммы, наконечники, провод ПВ3, маркировка, крепеж)</t>
  </si>
  <si>
    <t>компл.</t>
  </si>
  <si>
    <t>—</t>
  </si>
  <si>
    <t>montajная работа</t>
  </si>
  <si>
    <t>Сборка щита: монтаж аппаратов, ошиновка, маркировка, испытания</t>
  </si>
  <si>
    <t>мин</t>
  </si>
  <si>
    <t>Итого ЩС-ФК1</t>
  </si>
  <si>
    <t>ИТОГО по щиту ЩС-ФК1</t>
  </si>
  <si>
    <t>Щит силовой ЩС-ФК2 (кухонное оборуд. и фанкойлы фудкорта), IP54</t>
  </si>
  <si>
    <t>Корпус металлический ЩРн-48 (660x310x120) IP54</t>
  </si>
  <si>
    <t>A9D34625</t>
  </si>
  <si>
    <t>Выключатель диф. тока (АВДТ) Acti9 iC60 1P+N C25A 30mA тип AC</t>
  </si>
  <si>
    <t>EZ9F34116</t>
  </si>
  <si>
    <t>Автоматический выключатель Easy9 1P C16A, 4,5kA</t>
  </si>
  <si>
    <t>Итого ЩС-ФК2</t>
  </si>
  <si>
    <t>ИТОГО по щиту ЩС-ФК2</t>
  </si>
  <si>
    <t>Щит силовой ЩС-ФК3 (кухонное оборуд. и фанкойлы фудкорта), IP54</t>
  </si>
  <si>
    <t>714-15067</t>
  </si>
  <si>
    <t>Корпус металлический ЩРн-72 (540x600x120) IP31</t>
  </si>
  <si>
    <t>A9N18367</t>
  </si>
  <si>
    <t>Автоматический выключатель Acti9 C120N 3P C100A, 10kA</t>
  </si>
  <si>
    <t>A9DE3740</t>
  </si>
  <si>
    <t>Выключатель диф. тока (АВДТ) Acti9 iC60 3P+N C40A 30mA тип AC</t>
  </si>
  <si>
    <t>Итого ЩС-ФК3</t>
  </si>
  <si>
    <t>ИТОГО по щиту ЩС-ФК3</t>
  </si>
  <si>
    <t>Щит силовой ЩС-ФК4 (кухонное оборуд. и фанкойлы фудкорта), IP54</t>
  </si>
  <si>
    <t>A9N18369</t>
  </si>
  <si>
    <t>Автоматический выключатель Acti9 C120N 3P C125A, 10kA</t>
  </si>
  <si>
    <t>Итого ЩС-ФК4</t>
  </si>
  <si>
    <t>ИТОГО по щиту ЩС-ФК4</t>
  </si>
  <si>
    <t>Щит силовой ЩС-КМ (корейский магазин), IP54</t>
  </si>
  <si>
    <t>A9F74340</t>
  </si>
  <si>
    <t>Автоматический выключатель Acti9 iC60N 3P C40A, 6kA</t>
  </si>
  <si>
    <t>rubilnik</t>
  </si>
  <si>
    <t>A9S65363</t>
  </si>
  <si>
    <t>Выключатель нагрузки Acti9 iSW 3P 63A (проект: 20A)</t>
  </si>
  <si>
    <t>A9F73101</t>
  </si>
  <si>
    <t>Автоматический выключатель Acti9 iC60N 1P B1A, 6kA</t>
  </si>
  <si>
    <t>A9D34620</t>
  </si>
  <si>
    <t>Выключатель диф. тока (АВДТ) Acti9 iC60 1P+N C20A 30mA тип AC</t>
  </si>
  <si>
    <t>Итого ЩС-КМ</t>
  </si>
  <si>
    <t>ИТОГО по щиту ЩС-КМ</t>
  </si>
  <si>
    <t>Щит освещения ЩО-ФК (освещение фудкорта), IP54</t>
  </si>
  <si>
    <t>A9F74320</t>
  </si>
  <si>
    <t>Автоматический выключатель Acti9 iC60N 3P C20A, 6kA</t>
  </si>
  <si>
    <t>A9S65163</t>
  </si>
  <si>
    <t>Выключатель нагрузки Acti9 iSW 1P 63A (проект: 20A)</t>
  </si>
  <si>
    <t>Итого ЩО-ФК</t>
  </si>
  <si>
    <t>ИТОГО по щиту ЩО-ФК</t>
  </si>
  <si>
    <t>КОНТРОЛЬ</t>
  </si>
  <si>
    <t>НИЖЕ — позиции вне итога (Кол-во=0). Подтвердить и перенести в состав щита.</t>
  </si>
  <si>
    <t>К</t>
  </si>
  <si>
    <t>ЩС-ФК1..ЩО-ФК</t>
  </si>
  <si>
    <t>Klemens</t>
  </si>
  <si>
    <t>ЗНИ 2,5мм2</t>
  </si>
  <si>
    <t>Зажим наборный ЗНИ 2,5 мм² (JXB) серый — выходные/вводные клеммы</t>
  </si>
  <si>
    <t>ЗНИ 2,5мм2 синий</t>
  </si>
  <si>
    <t>Зажим наборный ЗНИ 2,5 мм² синий (N)</t>
  </si>
  <si>
    <t>ЗНИ 10PEN</t>
  </si>
  <si>
    <t>Зажим наборный ЗНИ 10 мм² PEN (земля)</t>
  </si>
  <si>
    <t>Ограничитель/торцевая заглушка для клеммника</t>
  </si>
  <si>
    <t>ЩС-ФК3, ЩС-ФК4</t>
  </si>
  <si>
    <t>ЩРн-72 в исполнении IP54 — в прайсе TEKSAN только IP31. Уточнить у поставщика.</t>
  </si>
  <si>
    <t>№</t>
  </si>
  <si>
    <t>Щит</t>
  </si>
  <si>
    <t>Наименование</t>
  </si>
  <si>
    <t>Корпус</t>
  </si>
  <si>
    <t>Модулей занято</t>
  </si>
  <si>
    <t>Модулей в корпусе</t>
  </si>
  <si>
    <t>Заполнение, %</t>
  </si>
  <si>
    <t>Кол-во щитов</t>
  </si>
  <si>
    <t>Цена за щит, KZT</t>
  </si>
  <si>
    <t>ЩС-ФК1</t>
  </si>
  <si>
    <t>ЩС-ФК2</t>
  </si>
  <si>
    <t>ЩС-ФК3</t>
  </si>
  <si>
    <t>ЩС-ФК4</t>
  </si>
  <si>
    <t>ЩС-КМ</t>
  </si>
  <si>
    <t>ЩО-ФК</t>
  </si>
  <si>
    <t>ИТОГО по проекту, KZT (без НДС)</t>
  </si>
  <si>
    <t>KURALLAR / PARAMETRELER — ADPAS Family Park Abu Dhabi Plaza (ЩС-ФК1..ФК4, ЩС-КМ, ЩО-ФК)</t>
  </si>
  <si>
    <t>Sarı hücreler = düzenlenebilir. BOM ve СВОД sayfaları bu hücrelere formülle bağlıdır.</t>
  </si>
  <si>
    <t>PARAMETRE</t>
  </si>
  <si>
    <t>DEĞER</t>
  </si>
  <si>
    <t>AÇIKLAMA</t>
  </si>
  <si>
    <t>KUR VE İSKONTO</t>
  </si>
  <si>
    <t>TL/KZT kuru</t>
  </si>
  <si>
    <t>Piyasa 05.08.2026 ~10,30-10,63. BOM günü güncellenmeli.</t>
  </si>
  <si>
    <t>Schneider iskonto katsayısı</t>
  </si>
  <si>
    <t>Liste TL x iskonto x TL/KZT = net KZT</t>
  </si>
  <si>
    <t>TEKSAN korpus katsayısı</t>
  </si>
  <si>
    <t>Kaztek listesi zaten net KZT</t>
  </si>
  <si>
    <t>EKT / IEK / UNIT katsayısı</t>
  </si>
  <si>
    <t>Liste net KZT</t>
  </si>
  <si>
    <t>Montaj malzemesi oranı</t>
  </si>
  <si>
    <t>Pano malzeme ara toplamının %'si</t>
  </si>
  <si>
    <t>İşçilik birim fiyat (KZT/dakika)</t>
  </si>
  <si>
    <t>Sütun G = bu hücre, Sütun I = dakika</t>
  </si>
  <si>
    <t>İŞÇİLİK ZAMAN NORMLARI (dakika)</t>
  </si>
  <si>
    <t>OTO 1P</t>
  </si>
  <si>
    <t>OTO 3P</t>
  </si>
  <si>
    <t>DİF 1P+N (2P)</t>
  </si>
  <si>
    <t>DİF 3P+N (4P)</t>
  </si>
  <si>
    <t>Kontaktör 1P</t>
  </si>
  <si>
    <t>Kontaktör 3P</t>
  </si>
  <si>
    <t>Ayırıcı iSW 1P</t>
  </si>
  <si>
    <t>Ayırıcı iSW 3P</t>
  </si>
  <si>
    <t>Bara (N/PE) adet başı</t>
  </si>
  <si>
    <t>DIN ray (dakika/m)</t>
  </si>
  <si>
    <t>Kablo kanalı (dakika/m)</t>
  </si>
  <si>
    <t>Korpus hazırlık - küçük (ЩРн-48/54)</t>
  </si>
  <si>
    <t>Korpus hazırlık - orta (ЩРн-72)</t>
  </si>
  <si>
    <t>Test/etiket/kontrol çarpanı</t>
  </si>
  <si>
    <t>MODÜL GENİŞLİKLERİ (modül)</t>
  </si>
  <si>
    <t>C120N 3P</t>
  </si>
  <si>
    <t>iSW 1P</t>
  </si>
  <si>
    <t>iSW 3P</t>
  </si>
  <si>
    <t>NOTLAR / KONTROL LİSTESİ</t>
  </si>
  <si>
    <t>KONU</t>
  </si>
  <si>
    <t>1</t>
  </si>
  <si>
    <t>SAYIM — ÇİFT KAYNAK</t>
  </si>
  <si>
    <t>Tek hat şemaları (лист 2-7) ve spesifikasyon СО (лист 1.1-1.3) ayrı ayrı sayıldı. BOM ŞEMA esas alınarak kuruldu.</t>
  </si>
  <si>
    <t>2</t>
  </si>
  <si>
    <t>ЩС-ФК1 — UYUŞMAZLIK</t>
  </si>
  <si>
    <t>СО'da АВДТ 2P C16 30mA = 10 ad. Şemada 2P C16 = 8 ad (QFD4,7,8,9,12,14,17,19) + 4P C16 30mA = 2 ad (QFD10, QFD11). BOM'a şema girildi. Projeciye teyit ettirilmeli.</t>
  </si>
  <si>
    <t>3</t>
  </si>
  <si>
    <t>ЩС-ФК3 — HATALI ARTİKÜL</t>
  </si>
  <si>
    <t>СО: 'iC60N C100A 3P — A9F79310'. iC60N serisinde 100A yok; A9F79310 = 3P C10A. Şemada giriş In&lt;=100A. BOM'a C120N 3P C100A (A9N18367) girildi.</t>
  </si>
  <si>
    <t>4</t>
  </si>
  <si>
    <t>ЩС-ФК2/ФК3/ФК4/ЩС-КМ/ЩО-ФК</t>
  </si>
  <si>
    <t>Şema ile СО birebir uyuşuyor. Düzeltme yapılmadı.</t>
  </si>
  <si>
    <t>5</t>
  </si>
  <si>
    <t>ARTİKÜL DÖNÜŞÜMÜ</t>
  </si>
  <si>
    <t>СО'daki artiküller Schneider RU kodudur; fiyat listesi Schneider TR (23.07.2025) olduğu için TR karşılıkları kullanıldı.</t>
  </si>
  <si>
    <t>A9F79363→A9F74363 | A9F79340→A9F74340 | A9F79320→A9F74320 | A9D52116→A9D34616 | A9D52225→A9D34625 | A9D07220→A9D34620 | A9D52432→A9DE3732 | A9C20531→A9C20731 | A9C22511→A9C22711</t>
  </si>
  <si>
    <t>6</t>
  </si>
  <si>
    <t>EZ9F34313 (Easy9 3P C13A)</t>
  </si>
  <si>
    <t>Schneider TR listesinde 3P C13A yok (10/16/20/25A var). Fiyat 10-25A bandından (1.081,00 TL) alındı. Sipariş öncesi teyit.</t>
  </si>
  <si>
    <t>7</t>
  </si>
  <si>
    <t>iSW 20A</t>
  </si>
  <si>
    <t>Schneider TR listesinde iSW yalnız 63A ve 125A. Fiyat A9S65363 (3P 63A) ve A9S65163 (1P 63A) üzerinden. Proje 20A istiyor — RU kodu A9S60320/A9S60120.</t>
  </si>
  <si>
    <t>8</t>
  </si>
  <si>
    <t>KORPUS</t>
  </si>
  <si>
    <t>Proje IEK TITAN 3 (MKM11-N-xx-54-Z) yazıyor. Fiyat TEKSAN eşdeğerinden alındı (Kaztek listesi 04.08.2026, güncel). Ölçüler: ЩРн-48 proje 670x330 / TEKSAN 660x310; ЩРн-72 proje 540x660 / TEKSAN 540x600.</t>
  </si>
  <si>
    <t>9</t>
  </si>
  <si>
    <t>ЩРн-72 IP54 YOK</t>
  </si>
  <si>
    <t>TEKSAN listesinde ЩРн-72 (540x600x120) yalnız IP31. Proje IP54 şart koşuyor. КОНТРОЛЬ satırına alındı — IP54 fiyatı gelince güncellenmeli.</t>
  </si>
  <si>
    <t>10</t>
  </si>
  <si>
    <t>MODÜL DOLULUK — KRİTİK</t>
  </si>
  <si>
    <t>ЩС-ФК1: 54/54 modül = %100. Korpus YETERSİZ, yedek yeri yok. ЩРн-72 (540x600x120) önerilir. ЩО-ФК: 49/54 = %91 — yedeksiz, ЩРн-72 önerilir. ЩС-ФК4: 61,5/72 = %85. ЩС-КМ: 45/54 = %83. ЩС-ФК2: 40/48 = %83. ЩС-ФК3: 56,5/72 = %78 (tek uygun pano). Detay: СВОД sayfası.</t>
  </si>
  <si>
    <t>10a</t>
  </si>
  <si>
    <t>MODÜL HESABI NOTU</t>
  </si>
  <si>
    <t>Kontaktör, N/PE bara ve DIN ray boşlukları hesaba dahildir; modül genişlikleri Kurallar üst tablosunda sarı hücrelerde.</t>
  </si>
  <si>
    <t>11</t>
  </si>
  <si>
    <t>KLEMENS</t>
  </si>
  <si>
    <t>СО'da çıkış/giriş klemensi yok, sadece PE шина var. Klemensler КОНТРОЛЬ bölümünde Кол-во=0 ile bekliyor; kablo kesitleri netleşince adetlendirilmeli.</t>
  </si>
  <si>
    <t>12</t>
  </si>
  <si>
    <t>N ШИНА</t>
  </si>
  <si>
    <t>СО'da yalnız PE шина listelenmiş. 1P gruplar için N barası zorunlu olduğundan her panoya 1 ad. N шина eklendi.</t>
  </si>
  <si>
    <t>13</t>
  </si>
  <si>
    <t>APS 24VDC KOMMENT</t>
  </si>
  <si>
    <t>Kiracı revizyon formu (14.07.2026, статус В): APS modülleri 24V; fankoyl tek hat şemalarına 230VAC/24VDC DIN besleme bloğu eklenmesi isteniyor. Bu BOM'da BP24 besleme bloğu YOK — rev.03 gelince eklenecek.</t>
  </si>
  <si>
    <t>14</t>
  </si>
  <si>
    <t>KAPSAM DIŞI</t>
  </si>
  <si>
    <t>Aydınlatma armatürleri, prizler, anahtarlar, BAP40-3,0 acil aydınlatma bloğu, kablolar (ВВГнг(A)-HF/FRHF, ПВ) ve gofre borular bu BOM'a DAHİL DEĞİL — pano dışı montaj malzemesidir.</t>
  </si>
  <si>
    <t>15</t>
  </si>
  <si>
    <t>FİYAT LİSTESİ YAŞLARI</t>
  </si>
  <si>
    <t>FİYAT LİSTESİ</t>
  </si>
  <si>
    <t>TARİH</t>
  </si>
  <si>
    <t>DURUM</t>
  </si>
  <si>
    <t>Schneider Electric (TL)</t>
  </si>
  <si>
    <t>23.07.2025</t>
  </si>
  <si>
    <t>UYARI — 12,5 ay. Kur ve liste güncellenmeli.</t>
  </si>
  <si>
    <t>TEKSAN korpus / Kaztek</t>
  </si>
  <si>
    <t>04.08.2026</t>
  </si>
  <si>
    <t>GÜNCEL</t>
  </si>
  <si>
    <t>EKT / IEK / UNIT (bara, DIN, kanal)</t>
  </si>
  <si>
    <t>17.06.2025</t>
  </si>
  <si>
    <t>UYARI — 13,6 ay.</t>
  </si>
  <si>
    <t>Klemsan</t>
  </si>
  <si>
    <t>11.2022</t>
  </si>
  <si>
    <t>YASAK — fiyatlandırmada kullanılamaz</t>
  </si>
  <si>
    <t>ONKA</t>
  </si>
  <si>
    <t>07.2022</t>
  </si>
  <si>
    <t>YASAK</t>
  </si>
  <si>
    <t>EKF</t>
  </si>
  <si>
    <t>22.02.2022</t>
  </si>
  <si>
    <t>Мет. Корпус ЩРН-72 (540x600x120) S/U IP31</t>
  </si>
  <si>
    <t>714-15040</t>
  </si>
  <si>
    <t>Мет. Корпус ЩРН- 48 (660x310x120) IP31  (TS)</t>
  </si>
  <si>
    <t>kaztek</t>
  </si>
  <si>
    <t>pys</t>
  </si>
  <si>
    <t>Контактор модульный SE A9C20834 iCT25A 4НО 220/240В АС 50ГЦ</t>
  </si>
  <si>
    <t>Контактор модульный SE A9C20532 iCT25A 2НО 220В АС</t>
  </si>
  <si>
    <t>Контактор модульный SE A9C22712 iCT16A 2НО 230/240В АС</t>
  </si>
  <si>
    <t>Контактор модульный SE A9C20844 iCT40A 4НО 220/240В АС 50ГЦ</t>
  </si>
  <si>
    <t>Автоматический выключатель SE A9N18367 C120N 3P 100A 10кА</t>
  </si>
  <si>
    <t>Автоматический выключатель SE A9N18369 C120N 3П 125A C 10кА</t>
  </si>
  <si>
    <t>malz</t>
  </si>
  <si>
    <t>Щит силовой ЩС-ФК2 (кухонное оборуд. и фанкойлы фудкорта)</t>
  </si>
  <si>
    <t>Щит силовой ЩС-ФК1 (кухонное оборуд. и фанкойлы фудкорта)</t>
  </si>
  <si>
    <t>Щит силовой ЩС-ФК3 (кухонное оборуд. и фанкойлы фудкорта)</t>
  </si>
  <si>
    <t>Щит силовой ЩС-ФК4 (кухонное оборуд. и фанкойлы фудкорта)</t>
  </si>
  <si>
    <t>Щит силовой ЩС-КМ (корейский магазин)</t>
  </si>
  <si>
    <t>Щит освещения ЩО-ФК (освещение фудкорта)</t>
  </si>
  <si>
    <t>tekled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</si>
</sst>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2"/>
      <name val="Arial"/>
      <family val="2"/>
      <charset val="204"/>
    </font>
    <font>
      <sz val="11"/>
      <name val="Arial"/>
      <family val="2"/>
      <charset val="204"/>
    </font>
    <font>
      <i/>
      <sz val="9"/>
      <name val="Arial"/>
      <family val="2"/>
      <charset val="204"/>
    </font>
    <font>
      <sz val="9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FFD966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3" fillId="0" borderId="1" xfId="0" applyFont="1" applyBorder="1"/>
    <xf numFmtId="4" fontId="3" fillId="0" borderId="1" xfId="0" applyNumberFormat="1" applyFont="1" applyBorder="1"/>
    <xf numFmtId="3" fontId="3" fillId="0" borderId="1" xfId="0" applyNumberFormat="1" applyFont="1" applyBorder="1"/>
    <xf numFmtId="0" fontId="2" fillId="4" borderId="1" xfId="0" applyFont="1" applyFill="1" applyBorder="1"/>
    <xf numFmtId="3" fontId="2" fillId="4" borderId="1" xfId="0" applyNumberFormat="1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4" fontId="3" fillId="5" borderId="1" xfId="0" applyNumberFormat="1" applyFont="1" applyFill="1" applyBorder="1"/>
    <xf numFmtId="3" fontId="3" fillId="5" borderId="1" xfId="0" applyNumberFormat="1" applyFont="1" applyFill="1" applyBorder="1"/>
    <xf numFmtId="0" fontId="2" fillId="2" borderId="1" xfId="0" applyFont="1" applyFill="1" applyBorder="1" applyAlignment="1">
      <alignment horizontal="center" wrapText="1"/>
    </xf>
    <xf numFmtId="9" fontId="3" fillId="5" borderId="1" xfId="0" applyNumberFormat="1" applyFont="1" applyFill="1" applyBorder="1"/>
    <xf numFmtId="9" fontId="3" fillId="0" borderId="1" xfId="0" applyNumberFormat="1" applyFont="1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2" borderId="1" xfId="0" applyFont="1" applyFill="1" applyBorder="1"/>
    <xf numFmtId="0" fontId="6" fillId="4" borderId="0" xfId="0" applyFont="1" applyFill="1"/>
    <xf numFmtId="0" fontId="6" fillId="0" borderId="1" xfId="0" applyFont="1" applyBorder="1"/>
    <xf numFmtId="0" fontId="6" fillId="3" borderId="1" xfId="0" applyFont="1" applyFill="1" applyBorder="1"/>
    <xf numFmtId="0" fontId="8" fillId="0" borderId="0" xfId="0" applyFont="1"/>
    <xf numFmtId="0" fontId="5" fillId="4" borderId="0" xfId="0" applyFont="1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3" fontId="2" fillId="5" borderId="1" xfId="0" applyNumberFormat="1" applyFont="1" applyFill="1" applyBorder="1"/>
    <xf numFmtId="3" fontId="0" fillId="0" borderId="0" xfId="0" applyNumberFormat="1"/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wrapText="1"/>
    </xf>
    <xf numFmtId="3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zoomScaleNormal="100" workbookViewId="0">
      <pane ySplit="1" topLeftCell="A2" activePane="bottomLeft" state="frozen"/>
      <selection pane="bottomLeft" activeCell="G122" sqref="G122"/>
    </sheetView>
  </sheetViews>
  <sheetFormatPr defaultColWidth="8.7109375" defaultRowHeight="15" x14ac:dyDescent="0.25"/>
  <cols>
    <col min="1" max="1" width="6" customWidth="1"/>
    <col min="2" max="2" width="19.7109375" customWidth="1"/>
    <col min="3" max="3" width="53.28515625" customWidth="1"/>
    <col min="4" max="4" width="14" customWidth="1"/>
    <col min="5" max="5" width="16" customWidth="1"/>
    <col min="6" max="6" width="68" customWidth="1"/>
    <col min="7" max="7" width="14" customWidth="1"/>
    <col min="8" max="9" width="16" customWidth="1"/>
    <col min="10" max="10" width="5.28515625" style="32" customWidth="1"/>
    <col min="11" max="11" width="10" style="32" customWidth="1"/>
    <col min="12" max="12" width="13" style="32" customWidth="1"/>
    <col min="13" max="13" width="10.5703125" style="39" customWidth="1"/>
  </cols>
  <sheetData>
    <row r="1" spans="1:13" ht="25.5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6" t="s">
        <v>7</v>
      </c>
    </row>
    <row r="2" spans="1:13" x14ac:dyDescent="0.25">
      <c r="A2" s="2">
        <v>1</v>
      </c>
      <c r="B2" s="2" t="str">
        <f>F2</f>
        <v>Щит силовой ЩС-ФК1 (кухонное оборуд. и фанкойлы фудкорта), IP54</v>
      </c>
      <c r="C2" s="3" t="str">
        <f t="shared" ref="C2:C17" si="0">F2</f>
        <v>Щит силовой ЩС-ФК1 (кухонное оборуд. и фанкойлы фудкорта), IP54</v>
      </c>
      <c r="D2" s="2" t="s">
        <v>11</v>
      </c>
      <c r="E2" s="2"/>
      <c r="F2" s="2" t="s">
        <v>12</v>
      </c>
      <c r="G2" s="2"/>
      <c r="H2" s="2"/>
      <c r="I2" s="2"/>
      <c r="J2" s="27">
        <v>2</v>
      </c>
      <c r="K2" s="27" t="s">
        <v>13</v>
      </c>
      <c r="L2" s="27"/>
      <c r="M2" s="37"/>
    </row>
    <row r="3" spans="1:13" x14ac:dyDescent="0.25">
      <c r="A3" s="4">
        <v>2</v>
      </c>
      <c r="B3" s="4" t="str">
        <f t="shared" ref="B3:B18" si="1">B2</f>
        <v>Щит силовой ЩС-ФК1 (кухонное оборуд. и фанкойлы фудкорта), IP54</v>
      </c>
      <c r="C3" s="4" t="str">
        <f t="shared" si="0"/>
        <v>Корпус металлический ЩРн-54 (540x440x120) IP54</v>
      </c>
      <c r="D3" s="4" t="s">
        <v>14</v>
      </c>
      <c r="E3" s="4" t="s">
        <v>15</v>
      </c>
      <c r="F3" s="33" t="s">
        <v>16</v>
      </c>
      <c r="G3" s="5">
        <v>40000</v>
      </c>
      <c r="H3" s="6">
        <f>G3*Kurallar!$B$8</f>
        <v>24000</v>
      </c>
      <c r="I3" s="6">
        <f t="shared" ref="I3:I17" si="2">H3*J3</f>
        <v>24000</v>
      </c>
      <c r="J3" s="28">
        <v>1</v>
      </c>
      <c r="K3" s="28" t="s">
        <v>17</v>
      </c>
      <c r="L3" s="34" t="s">
        <v>237</v>
      </c>
      <c r="M3" s="6">
        <v>24000</v>
      </c>
    </row>
    <row r="4" spans="1:13" x14ac:dyDescent="0.25">
      <c r="A4" s="4">
        <v>3</v>
      </c>
      <c r="B4" s="4" t="str">
        <f t="shared" si="1"/>
        <v>Щит силовой ЩС-ФК1 (кухонное оборуд. и фанкойлы фудкорта), IP54</v>
      </c>
      <c r="C4" s="4" t="str">
        <f t="shared" si="0"/>
        <v>Автоматический выключатель Acti9 iC60N 3P C63A, 6kA</v>
      </c>
      <c r="D4" s="4" t="s">
        <v>19</v>
      </c>
      <c r="E4" s="4" t="s">
        <v>20</v>
      </c>
      <c r="F4" s="4" t="s">
        <v>21</v>
      </c>
      <c r="G4" s="5">
        <v>240</v>
      </c>
      <c r="H4" s="6">
        <f>G4*Kurallar!$B$7*Kurallar!$B$6</f>
        <v>1512</v>
      </c>
      <c r="I4" s="6">
        <f t="shared" si="2"/>
        <v>1512</v>
      </c>
      <c r="J4" s="28">
        <v>1</v>
      </c>
      <c r="K4" s="28" t="s">
        <v>17</v>
      </c>
      <c r="L4" s="28" t="s">
        <v>22</v>
      </c>
      <c r="M4" s="6">
        <v>1512</v>
      </c>
    </row>
    <row r="5" spans="1:13" x14ac:dyDescent="0.25">
      <c r="A5" s="4">
        <v>4</v>
      </c>
      <c r="B5" s="4" t="str">
        <f t="shared" si="1"/>
        <v>Щит силовой ЩС-ФК1 (кухонное оборуд. и фанкойлы фудкорта), IP54</v>
      </c>
      <c r="C5" s="4" t="str">
        <f t="shared" si="0"/>
        <v>Выключатель диф. тока (АВДТ) Acti9 iC60 3P+N C32A 30mA тип AC</v>
      </c>
      <c r="D5" s="4" t="s">
        <v>23</v>
      </c>
      <c r="E5" s="4" t="s">
        <v>24</v>
      </c>
      <c r="F5" s="4" t="s">
        <v>25</v>
      </c>
      <c r="G5" s="5">
        <v>7726</v>
      </c>
      <c r="H5" s="6">
        <f>G5*Kurallar!$B$7*Kurallar!$B$6</f>
        <v>48673.799999999996</v>
      </c>
      <c r="I5" s="6">
        <f t="shared" si="2"/>
        <v>48673.799999999996</v>
      </c>
      <c r="J5" s="28">
        <v>1</v>
      </c>
      <c r="K5" s="28" t="s">
        <v>17</v>
      </c>
      <c r="L5" s="28" t="s">
        <v>22</v>
      </c>
      <c r="M5" s="6">
        <v>48673.799999999996</v>
      </c>
    </row>
    <row r="6" spans="1:13" x14ac:dyDescent="0.25">
      <c r="A6" s="4">
        <v>5</v>
      </c>
      <c r="B6" s="4" t="str">
        <f t="shared" si="1"/>
        <v>Щит силовой ЩС-ФК1 (кухонное оборуд. и фанкойлы фудкорта), IP54</v>
      </c>
      <c r="C6" s="4" t="str">
        <f t="shared" si="0"/>
        <v>Выключатель диф. тока (АВДТ) Acti9 iC60 3P+N C16A 30mA тип AC</v>
      </c>
      <c r="D6" s="4" t="s">
        <v>23</v>
      </c>
      <c r="E6" s="4" t="s">
        <v>26</v>
      </c>
      <c r="F6" s="4" t="s">
        <v>27</v>
      </c>
      <c r="G6" s="5">
        <v>7318</v>
      </c>
      <c r="H6" s="6">
        <f>G6*Kurallar!$B$7*Kurallar!$B$6</f>
        <v>46103.4</v>
      </c>
      <c r="I6" s="6">
        <f t="shared" si="2"/>
        <v>92206.8</v>
      </c>
      <c r="J6" s="28">
        <v>2</v>
      </c>
      <c r="K6" s="28" t="s">
        <v>17</v>
      </c>
      <c r="L6" s="28" t="s">
        <v>22</v>
      </c>
      <c r="M6" s="6">
        <v>92206.8</v>
      </c>
    </row>
    <row r="7" spans="1:13" x14ac:dyDescent="0.25">
      <c r="A7" s="4">
        <v>6</v>
      </c>
      <c r="B7" s="4" t="str">
        <f t="shared" si="1"/>
        <v>Щит силовой ЩС-ФК1 (кухонное оборуд. и фанкойлы фудкорта), IP54</v>
      </c>
      <c r="C7" s="4" t="str">
        <f t="shared" si="0"/>
        <v>Выключатель диф. тока (АВДТ) Acti9 iC60 1P+N C16A 30mA тип AC</v>
      </c>
      <c r="D7" s="4" t="s">
        <v>23</v>
      </c>
      <c r="E7" s="4" t="s">
        <v>28</v>
      </c>
      <c r="F7" s="4" t="s">
        <v>29</v>
      </c>
      <c r="G7" s="5">
        <v>3995</v>
      </c>
      <c r="H7" s="6">
        <f>G7*Kurallar!$B$7*Kurallar!$B$6</f>
        <v>25168.5</v>
      </c>
      <c r="I7" s="6">
        <f t="shared" si="2"/>
        <v>201348</v>
      </c>
      <c r="J7" s="28">
        <v>8</v>
      </c>
      <c r="K7" s="28" t="s">
        <v>17</v>
      </c>
      <c r="L7" s="28" t="s">
        <v>22</v>
      </c>
      <c r="M7" s="6">
        <v>201348</v>
      </c>
    </row>
    <row r="8" spans="1:13" x14ac:dyDescent="0.25">
      <c r="A8" s="4">
        <v>7</v>
      </c>
      <c r="B8" s="4" t="str">
        <f t="shared" si="1"/>
        <v>Щит силовой ЩС-ФК1 (кухонное оборуд. и фанкойлы фудкорта), IP54</v>
      </c>
      <c r="C8" s="4" t="str">
        <f t="shared" si="0"/>
        <v>Автоматический выключатель Easy9 3P C13A, 4,5kA</v>
      </c>
      <c r="D8" s="4" t="s">
        <v>19</v>
      </c>
      <c r="E8" s="4" t="s">
        <v>30</v>
      </c>
      <c r="F8" s="4" t="s">
        <v>31</v>
      </c>
      <c r="G8" s="5">
        <v>1081</v>
      </c>
      <c r="H8" s="6">
        <f>G8*Kurallar!$B$7*Kurallar!$B$6</f>
        <v>6810.3</v>
      </c>
      <c r="I8" s="6">
        <f t="shared" si="2"/>
        <v>13620.6</v>
      </c>
      <c r="J8" s="28">
        <v>2</v>
      </c>
      <c r="K8" s="28" t="s">
        <v>17</v>
      </c>
      <c r="L8" s="28" t="s">
        <v>22</v>
      </c>
      <c r="M8" s="6">
        <v>13620.6</v>
      </c>
    </row>
    <row r="9" spans="1:13" x14ac:dyDescent="0.25">
      <c r="A9" s="4">
        <v>8</v>
      </c>
      <c r="B9" s="4" t="str">
        <f t="shared" si="1"/>
        <v>Щит силовой ЩС-ФК1 (кухонное оборуд. и фанкойлы фудкорта), IP54</v>
      </c>
      <c r="C9" s="4" t="str">
        <f t="shared" si="0"/>
        <v>Автоматический выключатель Easy9 1P C10A, 4,5kA</v>
      </c>
      <c r="D9" s="4" t="s">
        <v>19</v>
      </c>
      <c r="E9" s="4" t="s">
        <v>32</v>
      </c>
      <c r="F9" s="4" t="s">
        <v>33</v>
      </c>
      <c r="G9" s="5">
        <v>250</v>
      </c>
      <c r="H9" s="6">
        <f>G9*Kurallar!$B$7*Kurallar!$B$6</f>
        <v>1575</v>
      </c>
      <c r="I9" s="6">
        <f t="shared" si="2"/>
        <v>11025</v>
      </c>
      <c r="J9" s="28">
        <v>7</v>
      </c>
      <c r="K9" s="28" t="s">
        <v>17</v>
      </c>
      <c r="L9" s="28" t="s">
        <v>22</v>
      </c>
      <c r="M9" s="6">
        <v>11025</v>
      </c>
    </row>
    <row r="10" spans="1:13" x14ac:dyDescent="0.25">
      <c r="A10" s="4">
        <v>9</v>
      </c>
      <c r="B10" s="4" t="str">
        <f t="shared" si="1"/>
        <v>Щит силовой ЩС-ФК1 (кухонное оборуд. и фанкойлы фудкорта), IP54</v>
      </c>
      <c r="C10" s="4" t="str">
        <f t="shared" si="0"/>
        <v>Контактор модульный SE A9C20844 iCT40A 4НО 220/240В АС 50ГЦ</v>
      </c>
      <c r="D10" s="4" t="s">
        <v>34</v>
      </c>
      <c r="E10" s="4">
        <v>54139</v>
      </c>
      <c r="F10" s="4" t="s">
        <v>242</v>
      </c>
      <c r="G10" s="5">
        <v>4500</v>
      </c>
      <c r="H10" s="6">
        <f>G10*Kurallar!$B$7*Kurallar!$B$6</f>
        <v>28350</v>
      </c>
      <c r="I10" s="6">
        <f t="shared" si="2"/>
        <v>28350</v>
      </c>
      <c r="J10" s="28">
        <v>1</v>
      </c>
      <c r="K10" s="28" t="s">
        <v>17</v>
      </c>
      <c r="L10" s="28" t="s">
        <v>22</v>
      </c>
      <c r="M10" s="6">
        <v>28350</v>
      </c>
    </row>
    <row r="11" spans="1:13" x14ac:dyDescent="0.25">
      <c r="A11" s="4">
        <v>10</v>
      </c>
      <c r="B11" s="4" t="str">
        <f t="shared" si="1"/>
        <v>Щит силовой ЩС-ФК1 (кухонное оборуд. и фанкойлы фудкорта), IP54</v>
      </c>
      <c r="C11" s="4" t="str">
        <f t="shared" si="0"/>
        <v>Контактор модульный SE A9C20532 iCT25A 2НО 220В АС</v>
      </c>
      <c r="D11" s="4" t="s">
        <v>34</v>
      </c>
      <c r="E11" s="4">
        <v>78061</v>
      </c>
      <c r="F11" s="4" t="s">
        <v>240</v>
      </c>
      <c r="G11" s="5">
        <v>1850</v>
      </c>
      <c r="H11" s="6">
        <f>G11*Kurallar!$B$7*Kurallar!$B$6</f>
        <v>11655</v>
      </c>
      <c r="I11" s="6">
        <f t="shared" si="2"/>
        <v>11655</v>
      </c>
      <c r="J11" s="28">
        <v>1</v>
      </c>
      <c r="K11" s="28" t="s">
        <v>17</v>
      </c>
      <c r="L11" s="28" t="s">
        <v>22</v>
      </c>
      <c r="M11" s="6">
        <v>11655</v>
      </c>
    </row>
    <row r="12" spans="1:13" x14ac:dyDescent="0.25">
      <c r="A12" s="4">
        <v>11</v>
      </c>
      <c r="B12" s="4" t="str">
        <f t="shared" si="1"/>
        <v>Щит силовой ЩС-ФК1 (кухонное оборуд. и фанкойлы фудкорта), IP54</v>
      </c>
      <c r="C12" s="4" t="str">
        <f t="shared" si="0"/>
        <v>Шина "PE" земля ШНИ 6х9 12-К-З на DIN-рейку в изоляторе</v>
      </c>
      <c r="D12" s="4" t="s">
        <v>35</v>
      </c>
      <c r="E12" s="4" t="s">
        <v>36</v>
      </c>
      <c r="F12" s="4" t="s">
        <v>37</v>
      </c>
      <c r="G12" s="5">
        <v>547</v>
      </c>
      <c r="H12" s="6">
        <f>G12*Kurallar!$B$9</f>
        <v>547</v>
      </c>
      <c r="I12" s="6">
        <f t="shared" si="2"/>
        <v>547</v>
      </c>
      <c r="J12" s="28">
        <v>1</v>
      </c>
      <c r="K12" s="28" t="s">
        <v>17</v>
      </c>
      <c r="L12" s="28" t="s">
        <v>38</v>
      </c>
      <c r="M12" s="6">
        <v>547</v>
      </c>
    </row>
    <row r="13" spans="1:13" x14ac:dyDescent="0.25">
      <c r="A13" s="4">
        <v>12</v>
      </c>
      <c r="B13" s="4" t="str">
        <f t="shared" si="1"/>
        <v>Щит силовой ЩС-ФК1 (кухонное оборуд. и фанкойлы фудкорта), IP54</v>
      </c>
      <c r="C13" s="4" t="str">
        <f t="shared" si="0"/>
        <v>Шина "N" нулевая 6х9мм 14/2 (крепеж по краям)</v>
      </c>
      <c r="D13" s="4" t="s">
        <v>35</v>
      </c>
      <c r="E13" s="4" t="s">
        <v>39</v>
      </c>
      <c r="F13" s="4" t="s">
        <v>40</v>
      </c>
      <c r="G13" s="5">
        <v>494</v>
      </c>
      <c r="H13" s="6">
        <f>G13*Kurallar!$B$9</f>
        <v>494</v>
      </c>
      <c r="I13" s="6">
        <f t="shared" si="2"/>
        <v>494</v>
      </c>
      <c r="J13" s="28">
        <v>1</v>
      </c>
      <c r="K13" s="28" t="s">
        <v>17</v>
      </c>
      <c r="L13" s="28" t="s">
        <v>41</v>
      </c>
      <c r="M13" s="6">
        <v>494</v>
      </c>
    </row>
    <row r="14" spans="1:13" x14ac:dyDescent="0.25">
      <c r="A14" s="4">
        <v>13</v>
      </c>
      <c r="B14" s="4" t="str">
        <f t="shared" si="1"/>
        <v>Щит силовой ЩС-ФК1 (кухонное оборуд. и фанкойлы фудкорта), IP54</v>
      </c>
      <c r="C14" s="4" t="str">
        <f t="shared" si="0"/>
        <v>DIN-рейка оцинкованная 1000 мм</v>
      </c>
      <c r="D14" s="4" t="s">
        <v>42</v>
      </c>
      <c r="E14" s="4" t="s">
        <v>43</v>
      </c>
      <c r="F14" s="4" t="s">
        <v>44</v>
      </c>
      <c r="G14" s="5">
        <v>549</v>
      </c>
      <c r="H14" s="6">
        <f>G14*Kurallar!$B$9</f>
        <v>549</v>
      </c>
      <c r="I14" s="6">
        <f t="shared" si="2"/>
        <v>1647</v>
      </c>
      <c r="J14" s="28">
        <v>3</v>
      </c>
      <c r="K14" s="28" t="s">
        <v>45</v>
      </c>
      <c r="L14" s="28" t="s">
        <v>38</v>
      </c>
      <c r="M14" s="6">
        <v>1647</v>
      </c>
    </row>
    <row r="15" spans="1:13" x14ac:dyDescent="0.25">
      <c r="A15" s="4">
        <v>14</v>
      </c>
      <c r="B15" s="4" t="str">
        <f t="shared" si="1"/>
        <v>Щит силовой ЩС-ФК1 (кухонное оборуд. и фанкойлы фудкорта), IP54</v>
      </c>
      <c r="C15" s="4" t="str">
        <f t="shared" si="0"/>
        <v>Кабель-канал перфорированный 40х40 (2 м)</v>
      </c>
      <c r="D15" s="4" t="s">
        <v>42</v>
      </c>
      <c r="E15" s="4" t="s">
        <v>46</v>
      </c>
      <c r="F15" s="4" t="s">
        <v>47</v>
      </c>
      <c r="G15" s="5">
        <v>1486</v>
      </c>
      <c r="H15" s="6">
        <f>G15*Kurallar!$B$9</f>
        <v>1486</v>
      </c>
      <c r="I15" s="6">
        <f t="shared" si="2"/>
        <v>2972</v>
      </c>
      <c r="J15" s="28">
        <v>2</v>
      </c>
      <c r="K15" s="28" t="s">
        <v>17</v>
      </c>
      <c r="L15" s="28" t="s">
        <v>41</v>
      </c>
      <c r="M15" s="6">
        <v>2972</v>
      </c>
    </row>
    <row r="16" spans="1:13" x14ac:dyDescent="0.25">
      <c r="A16" s="4">
        <v>15</v>
      </c>
      <c r="B16" s="4" t="str">
        <f t="shared" si="1"/>
        <v>Щит силовой ЩС-ФК1 (кухонное оборуд. и фанкойлы фудкорта), IP54</v>
      </c>
      <c r="C16" s="4" t="str">
        <f t="shared" si="0"/>
        <v>Монтажные материалы (клеммы, наконечники, провод ПВ3, маркировка, крепеж)</v>
      </c>
      <c r="D16" s="4" t="s">
        <v>42</v>
      </c>
      <c r="E16" s="4"/>
      <c r="F16" s="4" t="s">
        <v>48</v>
      </c>
      <c r="G16" s="4"/>
      <c r="H16" s="6">
        <f>SUM(I3:I15)*Kurallar!$B$10</f>
        <v>13141.535999999998</v>
      </c>
      <c r="I16" s="6">
        <f t="shared" si="2"/>
        <v>13141.535999999998</v>
      </c>
      <c r="J16" s="28">
        <v>1</v>
      </c>
      <c r="K16" s="28" t="s">
        <v>49</v>
      </c>
      <c r="L16" s="28" t="s">
        <v>50</v>
      </c>
      <c r="M16" s="6">
        <v>13141.535999999998</v>
      </c>
    </row>
    <row r="17" spans="1:13" x14ac:dyDescent="0.25">
      <c r="A17" s="4">
        <v>16</v>
      </c>
      <c r="B17" s="4" t="str">
        <f t="shared" si="1"/>
        <v>Щит силовой ЩС-ФК1 (кухонное оборуд. и фанкойлы фудкорта), IP54</v>
      </c>
      <c r="C17" s="4" t="str">
        <f t="shared" si="0"/>
        <v>Сборка щита: монтаж аппаратов, ошиновка, маркировка, испытания</v>
      </c>
      <c r="D17" s="4" t="s">
        <v>51</v>
      </c>
      <c r="E17" s="4"/>
      <c r="F17" s="4" t="s">
        <v>52</v>
      </c>
      <c r="G17" s="5">
        <f>J17/60</f>
        <v>2.6666666666666665</v>
      </c>
      <c r="H17" s="6">
        <f>Kurallar!$B$11</f>
        <v>100</v>
      </c>
      <c r="I17" s="6">
        <f t="shared" si="2"/>
        <v>16000</v>
      </c>
      <c r="J17" s="28">
        <f>ROUND((Kurallar!$B$29*1+Kurallar!$B$32*1+Kurallar!$B$32*2+Kurallar!$B$31*8+Kurallar!$B$29*2+Kurallar!$B$28*7+Kurallar!$B$34*1+Kurallar!$B$33*1+Kurallar!$B$21*1+Kurallar!$B$21*1+Kurallar!$B$22*3+Kurallar!$B$23*4+Kurallar!$B$24)*Kurallar!$B$26,0)</f>
        <v>160</v>
      </c>
      <c r="K17" s="28" t="s">
        <v>53</v>
      </c>
      <c r="L17" s="28" t="s">
        <v>50</v>
      </c>
      <c r="M17" s="6">
        <v>16000</v>
      </c>
    </row>
    <row r="18" spans="1:13" x14ac:dyDescent="0.25">
      <c r="A18" s="7">
        <v>17</v>
      </c>
      <c r="B18" s="7" t="str">
        <f t="shared" si="1"/>
        <v>Щит силовой ЩС-ФК1 (кухонное оборуд. и фанкойлы фудкорта), IP54</v>
      </c>
      <c r="C18" s="7" t="s">
        <v>54</v>
      </c>
      <c r="D18" s="7"/>
      <c r="E18" s="7"/>
      <c r="F18" s="7" t="s">
        <v>55</v>
      </c>
      <c r="G18" s="7"/>
      <c r="H18" s="7"/>
      <c r="I18" s="8">
        <f>SUBTOTAL(9,I3:I17)</f>
        <v>467192.73599999998</v>
      </c>
      <c r="J18" s="29"/>
      <c r="K18" s="29"/>
      <c r="L18" s="29"/>
      <c r="M18" s="8">
        <v>467192.73599999998</v>
      </c>
    </row>
    <row r="19" spans="1:13" x14ac:dyDescent="0.25">
      <c r="A19" s="2">
        <v>18</v>
      </c>
      <c r="B19" s="2" t="str">
        <f>F19</f>
        <v>Щит силовой ЩС-ФК2 (кухонное оборуд. и фанкойлы фудкорта), IP54</v>
      </c>
      <c r="C19" s="3" t="str">
        <f t="shared" ref="C19:C34" si="3">F19</f>
        <v>Щит силовой ЩС-ФК2 (кухонное оборуд. и фанкойлы фудкорта), IP54</v>
      </c>
      <c r="D19" s="2" t="s">
        <v>11</v>
      </c>
      <c r="E19" s="2"/>
      <c r="F19" s="2" t="s">
        <v>56</v>
      </c>
      <c r="G19" s="2"/>
      <c r="H19" s="2"/>
      <c r="I19" s="2"/>
      <c r="J19" s="27">
        <v>2</v>
      </c>
      <c r="K19" s="27" t="s">
        <v>13</v>
      </c>
      <c r="L19" s="27"/>
      <c r="M19" s="37"/>
    </row>
    <row r="20" spans="1:13" x14ac:dyDescent="0.25">
      <c r="A20" s="4">
        <v>19</v>
      </c>
      <c r="B20" s="4" t="str">
        <f t="shared" ref="B20:B35" si="4">B19</f>
        <v>Щит силовой ЩС-ФК2 (кухонное оборуд. и фанкойлы фудкорта), IP54</v>
      </c>
      <c r="C20" s="4" t="str">
        <f t="shared" si="3"/>
        <v>Мет. Корпус ЩРН- 48 (660x310x120) IP31  (TS)</v>
      </c>
      <c r="D20" s="4" t="s">
        <v>14</v>
      </c>
      <c r="E20" s="4" t="s">
        <v>235</v>
      </c>
      <c r="F20" s="33" t="s">
        <v>236</v>
      </c>
      <c r="G20" s="5">
        <v>40000</v>
      </c>
      <c r="H20" s="6">
        <f>G20*Kurallar!$B$8</f>
        <v>24000</v>
      </c>
      <c r="I20" s="6">
        <f t="shared" ref="I20:I34" si="5">H20*J20</f>
        <v>24000</v>
      </c>
      <c r="J20" s="28">
        <v>1</v>
      </c>
      <c r="K20" s="28" t="s">
        <v>17</v>
      </c>
      <c r="L20" s="34" t="s">
        <v>237</v>
      </c>
      <c r="M20" s="6">
        <v>24000</v>
      </c>
    </row>
    <row r="21" spans="1:13" x14ac:dyDescent="0.25">
      <c r="A21" s="4">
        <v>20</v>
      </c>
      <c r="B21" s="4" t="str">
        <f t="shared" si="4"/>
        <v>Щит силовой ЩС-ФК2 (кухонное оборуд. и фанкойлы фудкорта), IP54</v>
      </c>
      <c r="C21" s="4" t="str">
        <f t="shared" si="3"/>
        <v>Автоматический выключатель Acti9 iC60N 3P C63A, 6kA</v>
      </c>
      <c r="D21" s="4" t="s">
        <v>19</v>
      </c>
      <c r="E21" s="4" t="s">
        <v>20</v>
      </c>
      <c r="F21" s="4" t="s">
        <v>21</v>
      </c>
      <c r="G21" s="5">
        <v>4200</v>
      </c>
      <c r="H21" s="6">
        <f>G21*Kurallar!$B$7*Kurallar!$B$6</f>
        <v>26460</v>
      </c>
      <c r="I21" s="6">
        <f t="shared" si="5"/>
        <v>26460</v>
      </c>
      <c r="J21" s="28">
        <v>1</v>
      </c>
      <c r="K21" s="28" t="s">
        <v>17</v>
      </c>
      <c r="L21" s="28" t="s">
        <v>22</v>
      </c>
      <c r="M21" s="6">
        <v>26460</v>
      </c>
    </row>
    <row r="22" spans="1:13" x14ac:dyDescent="0.25">
      <c r="A22" s="4">
        <v>21</v>
      </c>
      <c r="B22" s="4" t="str">
        <f t="shared" si="4"/>
        <v>Щит силовой ЩС-ФК2 (кухонное оборуд. и фанкойлы фудкорта), IP54</v>
      </c>
      <c r="C22" s="4" t="str">
        <f t="shared" si="3"/>
        <v>Выключатель диф. тока (АВДТ) Acti9 iC60 3P+N C32A 30mA тип AC</v>
      </c>
      <c r="D22" s="4" t="s">
        <v>23</v>
      </c>
      <c r="E22" s="4" t="s">
        <v>24</v>
      </c>
      <c r="F22" s="4" t="s">
        <v>25</v>
      </c>
      <c r="G22" s="5">
        <v>7726</v>
      </c>
      <c r="H22" s="6">
        <f>G22*Kurallar!$B$7*Kurallar!$B$6</f>
        <v>48673.799999999996</v>
      </c>
      <c r="I22" s="6">
        <f t="shared" si="5"/>
        <v>48673.799999999996</v>
      </c>
      <c r="J22" s="28">
        <v>1</v>
      </c>
      <c r="K22" s="28" t="s">
        <v>17</v>
      </c>
      <c r="L22" s="28" t="s">
        <v>22</v>
      </c>
      <c r="M22" s="6">
        <v>48673.799999999996</v>
      </c>
    </row>
    <row r="23" spans="1:13" x14ac:dyDescent="0.25">
      <c r="A23" s="4">
        <v>22</v>
      </c>
      <c r="B23" s="4" t="str">
        <f t="shared" si="4"/>
        <v>Щит силовой ЩС-ФК2 (кухонное оборуд. и фанкойлы фудкорта), IP54</v>
      </c>
      <c r="C23" s="4" t="str">
        <f t="shared" si="3"/>
        <v>Выключатель диф. тока (АВДТ) Acti9 iC60 1P+N C25A 30mA тип AC</v>
      </c>
      <c r="D23" s="4" t="s">
        <v>23</v>
      </c>
      <c r="E23" s="4" t="s">
        <v>58</v>
      </c>
      <c r="F23" s="4" t="s">
        <v>59</v>
      </c>
      <c r="G23" s="5">
        <v>4200</v>
      </c>
      <c r="H23" s="6">
        <f>G23*Kurallar!$B$7*Kurallar!$B$6</f>
        <v>26460</v>
      </c>
      <c r="I23" s="6">
        <f t="shared" si="5"/>
        <v>52920</v>
      </c>
      <c r="J23" s="28">
        <v>2</v>
      </c>
      <c r="K23" s="28" t="s">
        <v>17</v>
      </c>
      <c r="L23" s="28" t="s">
        <v>22</v>
      </c>
      <c r="M23" s="6">
        <v>52920</v>
      </c>
    </row>
    <row r="24" spans="1:13" x14ac:dyDescent="0.25">
      <c r="A24" s="4">
        <v>23</v>
      </c>
      <c r="B24" s="4" t="str">
        <f t="shared" si="4"/>
        <v>Щит силовой ЩС-ФК2 (кухонное оборуд. и фанкойлы фудкорта), IP54</v>
      </c>
      <c r="C24" s="4" t="str">
        <f t="shared" si="3"/>
        <v>Выключатель диф. тока (АВДТ) Acti9 iC60 1P+N C16A 30mA тип AC</v>
      </c>
      <c r="D24" s="4" t="s">
        <v>23</v>
      </c>
      <c r="E24" s="4" t="s">
        <v>28</v>
      </c>
      <c r="F24" s="4" t="s">
        <v>29</v>
      </c>
      <c r="G24" s="5">
        <v>3995</v>
      </c>
      <c r="H24" s="6">
        <f>G24*Kurallar!$B$7*Kurallar!$B$6</f>
        <v>25168.5</v>
      </c>
      <c r="I24" s="6">
        <f t="shared" si="5"/>
        <v>251685</v>
      </c>
      <c r="J24" s="28">
        <v>10</v>
      </c>
      <c r="K24" s="28" t="s">
        <v>17</v>
      </c>
      <c r="L24" s="28" t="s">
        <v>22</v>
      </c>
      <c r="M24" s="6">
        <v>251685</v>
      </c>
    </row>
    <row r="25" spans="1:13" x14ac:dyDescent="0.25">
      <c r="A25" s="4">
        <v>24</v>
      </c>
      <c r="B25" s="4" t="str">
        <f t="shared" si="4"/>
        <v>Щит силовой ЩС-ФК2 (кухонное оборуд. и фанкойлы фудкорта), IP54</v>
      </c>
      <c r="C25" s="4" t="str">
        <f t="shared" si="3"/>
        <v>Автоматический выключатель Easy9 1P C16A, 4,5kA</v>
      </c>
      <c r="D25" s="4" t="s">
        <v>19</v>
      </c>
      <c r="E25" s="4" t="s">
        <v>60</v>
      </c>
      <c r="F25" s="4" t="s">
        <v>61</v>
      </c>
      <c r="G25" s="5">
        <v>250</v>
      </c>
      <c r="H25" s="6">
        <f>G25*Kurallar!$B$7*Kurallar!$B$6</f>
        <v>1575</v>
      </c>
      <c r="I25" s="6">
        <f t="shared" si="5"/>
        <v>1575</v>
      </c>
      <c r="J25" s="28">
        <v>1</v>
      </c>
      <c r="K25" s="28" t="s">
        <v>17</v>
      </c>
      <c r="L25" s="28" t="s">
        <v>22</v>
      </c>
      <c r="M25" s="6">
        <v>1575</v>
      </c>
    </row>
    <row r="26" spans="1:13" x14ac:dyDescent="0.25">
      <c r="A26" s="4">
        <v>25</v>
      </c>
      <c r="B26" s="4" t="str">
        <f t="shared" si="4"/>
        <v>Щит силовой ЩС-ФК2 (кухонное оборуд. и фанкойлы фудкорта), IP54</v>
      </c>
      <c r="C26" s="4" t="str">
        <f t="shared" si="3"/>
        <v>Автоматический выключатель Easy9 1P C10A, 4,5kA</v>
      </c>
      <c r="D26" s="4" t="s">
        <v>19</v>
      </c>
      <c r="E26" s="4" t="s">
        <v>32</v>
      </c>
      <c r="F26" s="4" t="s">
        <v>33</v>
      </c>
      <c r="G26" s="5">
        <v>250</v>
      </c>
      <c r="H26" s="6">
        <f>G26*Kurallar!$B$7*Kurallar!$B$6</f>
        <v>1575</v>
      </c>
      <c r="I26" s="6">
        <f t="shared" si="5"/>
        <v>4725</v>
      </c>
      <c r="J26" s="28">
        <v>3</v>
      </c>
      <c r="K26" s="28" t="s">
        <v>17</v>
      </c>
      <c r="L26" s="28" t="s">
        <v>22</v>
      </c>
      <c r="M26" s="6">
        <v>4725</v>
      </c>
    </row>
    <row r="27" spans="1:13" x14ac:dyDescent="0.25">
      <c r="A27" s="4">
        <v>26</v>
      </c>
      <c r="B27" s="4" t="str">
        <f t="shared" si="4"/>
        <v>Щит силовой ЩС-ФК2 (кухонное оборуд. и фанкойлы фудкорта), IP54</v>
      </c>
      <c r="C27" s="4" t="str">
        <f t="shared" si="3"/>
        <v>Контактор модульный SE A9C20532 iCT25A 2НО 220В АС</v>
      </c>
      <c r="D27" s="4" t="s">
        <v>34</v>
      </c>
      <c r="E27" s="4">
        <v>78061</v>
      </c>
      <c r="F27" s="4" t="s">
        <v>240</v>
      </c>
      <c r="G27" s="5">
        <v>1850</v>
      </c>
      <c r="H27" s="6">
        <f>G27*Kurallar!$B$7*Kurallar!$B$6</f>
        <v>11655</v>
      </c>
      <c r="I27" s="6">
        <f t="shared" si="5"/>
        <v>23310</v>
      </c>
      <c r="J27" s="28">
        <v>2</v>
      </c>
      <c r="K27" s="28" t="s">
        <v>17</v>
      </c>
      <c r="L27" s="28" t="s">
        <v>22</v>
      </c>
      <c r="M27" s="6">
        <v>23310</v>
      </c>
    </row>
    <row r="28" spans="1:13" x14ac:dyDescent="0.25">
      <c r="A28" s="4">
        <v>27</v>
      </c>
      <c r="B28" s="4" t="str">
        <f t="shared" si="4"/>
        <v>Щит силовой ЩС-ФК2 (кухонное оборуд. и фанкойлы фудкорта), IP54</v>
      </c>
      <c r="C28" s="4" t="str">
        <f t="shared" si="3"/>
        <v>Контактор модульный SE A9C22712 iCT16A 2НО 230/240В АС</v>
      </c>
      <c r="D28" s="4" t="s">
        <v>34</v>
      </c>
      <c r="E28" s="4">
        <v>74552</v>
      </c>
      <c r="F28" s="4" t="s">
        <v>241</v>
      </c>
      <c r="G28" s="5">
        <v>1850</v>
      </c>
      <c r="H28" s="6">
        <f>G28*Kurallar!$B$7*Kurallar!$B$6</f>
        <v>11655</v>
      </c>
      <c r="I28" s="6">
        <f t="shared" si="5"/>
        <v>11655</v>
      </c>
      <c r="J28" s="28">
        <v>1</v>
      </c>
      <c r="K28" s="28" t="s">
        <v>17</v>
      </c>
      <c r="L28" s="28" t="s">
        <v>22</v>
      </c>
      <c r="M28" s="6">
        <v>11655</v>
      </c>
    </row>
    <row r="29" spans="1:13" x14ac:dyDescent="0.25">
      <c r="A29" s="4">
        <v>28</v>
      </c>
      <c r="B29" s="4" t="str">
        <f t="shared" si="4"/>
        <v>Щит силовой ЩС-ФК2 (кухонное оборуд. и фанкойлы фудкорта), IP54</v>
      </c>
      <c r="C29" s="4" t="str">
        <f t="shared" si="3"/>
        <v>Шина "PE" земля ШНИ 6х9 12-К-З на DIN-рейку в изоляторе</v>
      </c>
      <c r="D29" s="4" t="s">
        <v>35</v>
      </c>
      <c r="E29" s="4" t="s">
        <v>36</v>
      </c>
      <c r="F29" s="4" t="s">
        <v>37</v>
      </c>
      <c r="G29" s="5">
        <v>547</v>
      </c>
      <c r="H29" s="6">
        <f>G29*Kurallar!$B$9</f>
        <v>547</v>
      </c>
      <c r="I29" s="6">
        <f t="shared" si="5"/>
        <v>547</v>
      </c>
      <c r="J29" s="28">
        <v>1</v>
      </c>
      <c r="K29" s="28" t="s">
        <v>17</v>
      </c>
      <c r="L29" s="28" t="s">
        <v>38</v>
      </c>
      <c r="M29" s="6">
        <v>547</v>
      </c>
    </row>
    <row r="30" spans="1:13" x14ac:dyDescent="0.25">
      <c r="A30" s="4">
        <v>29</v>
      </c>
      <c r="B30" s="4" t="str">
        <f t="shared" si="4"/>
        <v>Щит силовой ЩС-ФК2 (кухонное оборуд. и фанкойлы фудкорта), IP54</v>
      </c>
      <c r="C30" s="4" t="str">
        <f t="shared" si="3"/>
        <v>Шина "N" нулевая 6х9мм 14/2 (крепеж по краям)</v>
      </c>
      <c r="D30" s="4" t="s">
        <v>35</v>
      </c>
      <c r="E30" s="4" t="s">
        <v>39</v>
      </c>
      <c r="F30" s="4" t="s">
        <v>40</v>
      </c>
      <c r="G30" s="5">
        <v>494</v>
      </c>
      <c r="H30" s="6">
        <f>G30*Kurallar!$B$9</f>
        <v>494</v>
      </c>
      <c r="I30" s="6">
        <f t="shared" si="5"/>
        <v>494</v>
      </c>
      <c r="J30" s="28">
        <v>1</v>
      </c>
      <c r="K30" s="28" t="s">
        <v>17</v>
      </c>
      <c r="L30" s="28" t="s">
        <v>41</v>
      </c>
      <c r="M30" s="6">
        <v>494</v>
      </c>
    </row>
    <row r="31" spans="1:13" x14ac:dyDescent="0.25">
      <c r="A31" s="4">
        <v>30</v>
      </c>
      <c r="B31" s="4" t="str">
        <f t="shared" si="4"/>
        <v>Щит силовой ЩС-ФК2 (кухонное оборуд. и фанкойлы фудкорта), IP54</v>
      </c>
      <c r="C31" s="4" t="str">
        <f t="shared" si="3"/>
        <v>DIN-рейка оцинкованная 1000 мм</v>
      </c>
      <c r="D31" s="4" t="s">
        <v>42</v>
      </c>
      <c r="E31" s="4" t="s">
        <v>43</v>
      </c>
      <c r="F31" s="4" t="s">
        <v>44</v>
      </c>
      <c r="G31" s="5">
        <v>549</v>
      </c>
      <c r="H31" s="6">
        <f>G31*Kurallar!$B$9</f>
        <v>549</v>
      </c>
      <c r="I31" s="6">
        <f t="shared" si="5"/>
        <v>2196</v>
      </c>
      <c r="J31" s="28">
        <v>4</v>
      </c>
      <c r="K31" s="28" t="s">
        <v>45</v>
      </c>
      <c r="L31" s="28" t="s">
        <v>38</v>
      </c>
      <c r="M31" s="6">
        <v>2196</v>
      </c>
    </row>
    <row r="32" spans="1:13" x14ac:dyDescent="0.25">
      <c r="A32" s="4">
        <v>31</v>
      </c>
      <c r="B32" s="4" t="str">
        <f t="shared" si="4"/>
        <v>Щит силовой ЩС-ФК2 (кухонное оборуд. и фанкойлы фудкорта), IP54</v>
      </c>
      <c r="C32" s="4" t="str">
        <f t="shared" si="3"/>
        <v>Кабель-канал перфорированный 40х40 (2 м)</v>
      </c>
      <c r="D32" s="4" t="s">
        <v>42</v>
      </c>
      <c r="E32" s="4" t="s">
        <v>46</v>
      </c>
      <c r="F32" s="4" t="s">
        <v>47</v>
      </c>
      <c r="G32" s="5">
        <v>1486</v>
      </c>
      <c r="H32" s="6">
        <f>G32*Kurallar!$B$9</f>
        <v>1486</v>
      </c>
      <c r="I32" s="6">
        <f t="shared" si="5"/>
        <v>2972</v>
      </c>
      <c r="J32" s="28">
        <v>2</v>
      </c>
      <c r="K32" s="28" t="s">
        <v>17</v>
      </c>
      <c r="L32" s="28" t="s">
        <v>41</v>
      </c>
      <c r="M32" s="6">
        <v>2972</v>
      </c>
    </row>
    <row r="33" spans="1:13" x14ac:dyDescent="0.25">
      <c r="A33" s="4">
        <v>32</v>
      </c>
      <c r="B33" s="4" t="str">
        <f t="shared" si="4"/>
        <v>Щит силовой ЩС-ФК2 (кухонное оборуд. и фанкойлы фудкорта), IP54</v>
      </c>
      <c r="C33" s="4" t="str">
        <f t="shared" si="3"/>
        <v>Монтажные материалы (клеммы, наконечники, провод ПВ3, маркировка, крепеж)</v>
      </c>
      <c r="D33" s="4" t="s">
        <v>42</v>
      </c>
      <c r="E33" s="4"/>
      <c r="F33" s="4" t="s">
        <v>48</v>
      </c>
      <c r="G33" s="4"/>
      <c r="H33" s="6">
        <f>SUM(I20:I32)*Kurallar!$B$10</f>
        <v>13536.384</v>
      </c>
      <c r="I33" s="6">
        <f t="shared" si="5"/>
        <v>13536.384</v>
      </c>
      <c r="J33" s="28">
        <v>1</v>
      </c>
      <c r="K33" s="28" t="s">
        <v>49</v>
      </c>
      <c r="L33" s="28" t="s">
        <v>50</v>
      </c>
      <c r="M33" s="6">
        <v>13536.384</v>
      </c>
    </row>
    <row r="34" spans="1:13" x14ac:dyDescent="0.25">
      <c r="A34" s="4">
        <v>33</v>
      </c>
      <c r="B34" s="4" t="str">
        <f t="shared" si="4"/>
        <v>Щит силовой ЩС-ФК2 (кухонное оборуд. и фанкойлы фудкорта), IP54</v>
      </c>
      <c r="C34" s="4" t="str">
        <f t="shared" si="3"/>
        <v>Сборка щита: монтаж аппаратов, ошиновка, маркировка, испытания</v>
      </c>
      <c r="D34" s="4" t="s">
        <v>51</v>
      </c>
      <c r="E34" s="4"/>
      <c r="F34" s="4" t="s">
        <v>52</v>
      </c>
      <c r="G34" s="5">
        <f>J34/60</f>
        <v>2.5</v>
      </c>
      <c r="H34" s="6">
        <f>Kurallar!$B$11</f>
        <v>100</v>
      </c>
      <c r="I34" s="6">
        <f t="shared" si="5"/>
        <v>15000</v>
      </c>
      <c r="J34" s="28">
        <f>ROUND((Kurallar!$B$29*1+Kurallar!$B$32*1+Kurallar!$B$31*2+Kurallar!$B$31*10+Kurallar!$B$28*1+Kurallar!$B$28*3+Kurallar!$B$33*2+Kurallar!$B$33*1+Kurallar!$B$21*1+Kurallar!$B$21*1+Kurallar!$B$22*4+Kurallar!$B$23*4+Kurallar!$B$24)*Kurallar!$B$26,0)</f>
        <v>150</v>
      </c>
      <c r="K34" s="28" t="s">
        <v>53</v>
      </c>
      <c r="L34" s="28" t="s">
        <v>50</v>
      </c>
      <c r="M34" s="6">
        <v>15000</v>
      </c>
    </row>
    <row r="35" spans="1:13" x14ac:dyDescent="0.25">
      <c r="A35" s="7">
        <v>34</v>
      </c>
      <c r="B35" s="7" t="str">
        <f t="shared" si="4"/>
        <v>Щит силовой ЩС-ФК2 (кухонное оборуд. и фанкойлы фудкорта), IP54</v>
      </c>
      <c r="C35" s="7" t="s">
        <v>62</v>
      </c>
      <c r="D35" s="7"/>
      <c r="E35" s="7"/>
      <c r="F35" s="7" t="s">
        <v>63</v>
      </c>
      <c r="G35" s="7"/>
      <c r="H35" s="7"/>
      <c r="I35" s="8">
        <f>SUBTOTAL(9,I20:I34)</f>
        <v>479749.18400000001</v>
      </c>
      <c r="J35" s="29"/>
      <c r="K35" s="29"/>
      <c r="L35" s="29"/>
      <c r="M35" s="8">
        <v>479749.18400000001</v>
      </c>
    </row>
    <row r="36" spans="1:13" x14ac:dyDescent="0.25">
      <c r="A36" s="2">
        <v>35</v>
      </c>
      <c r="B36" s="2" t="str">
        <f>F36</f>
        <v>Щит силовой ЩС-ФК3 (кухонное оборуд. и фанкойлы фудкорта), IP54</v>
      </c>
      <c r="C36" s="3" t="str">
        <f t="shared" ref="C36:C52" si="6">F36</f>
        <v>Щит силовой ЩС-ФК3 (кухонное оборуд. и фанкойлы фудкорта), IP54</v>
      </c>
      <c r="D36" s="2" t="s">
        <v>11</v>
      </c>
      <c r="E36" s="2"/>
      <c r="F36" s="2" t="s">
        <v>64</v>
      </c>
      <c r="G36" s="2"/>
      <c r="H36" s="2"/>
      <c r="I36" s="2"/>
      <c r="J36" s="27">
        <v>2</v>
      </c>
      <c r="K36" s="27" t="s">
        <v>13</v>
      </c>
      <c r="L36" s="27"/>
      <c r="M36" s="37"/>
    </row>
    <row r="37" spans="1:13" x14ac:dyDescent="0.25">
      <c r="A37" s="4">
        <v>36</v>
      </c>
      <c r="B37" s="4" t="str">
        <f t="shared" ref="B37:B53" si="7">B36</f>
        <v>Щит силовой ЩС-ФК3 (кухонное оборуд. и фанкойлы фудкорта), IP54</v>
      </c>
      <c r="C37" s="4" t="str">
        <f t="shared" si="6"/>
        <v>Мет. Корпус ЩРН-72 (540x600x120) S/U IP31</v>
      </c>
      <c r="D37" s="4" t="s">
        <v>14</v>
      </c>
      <c r="E37" s="4" t="s">
        <v>65</v>
      </c>
      <c r="F37" s="33" t="s">
        <v>234</v>
      </c>
      <c r="G37" s="5">
        <v>40000</v>
      </c>
      <c r="H37" s="6">
        <f>G37*Kurallar!$B$8</f>
        <v>24000</v>
      </c>
      <c r="I37" s="6">
        <f t="shared" ref="I37:I52" si="8">H37*J37</f>
        <v>24000</v>
      </c>
      <c r="J37" s="28">
        <v>1</v>
      </c>
      <c r="K37" s="28" t="s">
        <v>17</v>
      </c>
      <c r="L37" s="34" t="s">
        <v>237</v>
      </c>
      <c r="M37" s="6">
        <v>24000</v>
      </c>
    </row>
    <row r="38" spans="1:13" x14ac:dyDescent="0.25">
      <c r="A38" s="4">
        <v>37</v>
      </c>
      <c r="B38" s="4" t="str">
        <f t="shared" si="7"/>
        <v>Щит силовой ЩС-ФК3 (кухонное оборуд. и фанкойлы фудкорта), IP54</v>
      </c>
      <c r="C38" s="4" t="str">
        <f t="shared" si="6"/>
        <v>Автоматический выключатель SE A9N18367 C120N 3P 100A 10кА</v>
      </c>
      <c r="D38" s="4" t="s">
        <v>19</v>
      </c>
      <c r="E38" s="4">
        <v>68644</v>
      </c>
      <c r="F38" s="4" t="s">
        <v>243</v>
      </c>
      <c r="G38" s="5">
        <v>7800</v>
      </c>
      <c r="H38" s="6">
        <f>G38*Kurallar!$B$7*Kurallar!$B$6</f>
        <v>49140</v>
      </c>
      <c r="I38" s="6">
        <f t="shared" si="8"/>
        <v>49140</v>
      </c>
      <c r="J38" s="28">
        <v>1</v>
      </c>
      <c r="K38" s="28" t="s">
        <v>17</v>
      </c>
      <c r="L38" s="28" t="s">
        <v>22</v>
      </c>
      <c r="M38" s="6">
        <v>49140</v>
      </c>
    </row>
    <row r="39" spans="1:13" x14ac:dyDescent="0.25">
      <c r="A39" s="4">
        <v>38</v>
      </c>
      <c r="B39" s="4" t="str">
        <f t="shared" si="7"/>
        <v>Щит силовой ЩС-ФК3 (кухонное оборуд. и фанкойлы фудкорта), IP54</v>
      </c>
      <c r="C39" s="4" t="str">
        <f t="shared" si="6"/>
        <v>Выключатель диф. тока (АВДТ) Acti9 iC60 3P+N C32A 30mA тип AC</v>
      </c>
      <c r="D39" s="4" t="s">
        <v>23</v>
      </c>
      <c r="E39" s="4" t="s">
        <v>24</v>
      </c>
      <c r="F39" s="33" t="s">
        <v>25</v>
      </c>
      <c r="G39" s="5">
        <v>7726</v>
      </c>
      <c r="H39" s="6">
        <f>G39*Kurallar!$B$7*Kurallar!$B$6</f>
        <v>48673.799999999996</v>
      </c>
      <c r="I39" s="6">
        <f t="shared" si="8"/>
        <v>48673.799999999996</v>
      </c>
      <c r="J39" s="28">
        <v>1</v>
      </c>
      <c r="K39" s="28" t="s">
        <v>17</v>
      </c>
      <c r="L39" s="28" t="s">
        <v>22</v>
      </c>
      <c r="M39" s="6">
        <v>48673.799999999996</v>
      </c>
    </row>
    <row r="40" spans="1:13" x14ac:dyDescent="0.25">
      <c r="A40" s="4">
        <v>39</v>
      </c>
      <c r="B40" s="4" t="str">
        <f t="shared" si="7"/>
        <v>Щит силовой ЩС-ФК3 (кухонное оборуд. и фанкойлы фудкорта), IP54</v>
      </c>
      <c r="C40" s="4" t="str">
        <f t="shared" si="6"/>
        <v>Выключатель диф. тока (АВДТ) Acti9 iC60 1P+N C25A 30mA тип AC</v>
      </c>
      <c r="D40" s="4" t="s">
        <v>23</v>
      </c>
      <c r="E40" s="4" t="s">
        <v>58</v>
      </c>
      <c r="F40" s="4" t="s">
        <v>59</v>
      </c>
      <c r="G40" s="5">
        <v>4200</v>
      </c>
      <c r="H40" s="6">
        <f>G40*Kurallar!$B$7*Kurallar!$B$6</f>
        <v>26460</v>
      </c>
      <c r="I40" s="6">
        <f t="shared" si="8"/>
        <v>52920</v>
      </c>
      <c r="J40" s="28">
        <v>2</v>
      </c>
      <c r="K40" s="28" t="s">
        <v>17</v>
      </c>
      <c r="L40" s="28" t="s">
        <v>22</v>
      </c>
      <c r="M40" s="6">
        <v>52920</v>
      </c>
    </row>
    <row r="41" spans="1:13" x14ac:dyDescent="0.25">
      <c r="A41" s="4">
        <v>40</v>
      </c>
      <c r="B41" s="4" t="str">
        <f t="shared" si="7"/>
        <v>Щит силовой ЩС-ФК3 (кухонное оборуд. и фанкойлы фудкорта), IP54</v>
      </c>
      <c r="C41" s="4" t="str">
        <f t="shared" si="6"/>
        <v>Выключатель диф. тока (АВДТ) Acti9 iC60 1P+N C16A 30mA тип AC</v>
      </c>
      <c r="D41" s="4" t="s">
        <v>23</v>
      </c>
      <c r="E41" s="4" t="s">
        <v>28</v>
      </c>
      <c r="F41" s="4" t="s">
        <v>29</v>
      </c>
      <c r="G41" s="5">
        <v>3995</v>
      </c>
      <c r="H41" s="6">
        <f>G41*Kurallar!$B$7*Kurallar!$B$6</f>
        <v>25168.5</v>
      </c>
      <c r="I41" s="6">
        <f t="shared" si="8"/>
        <v>251685</v>
      </c>
      <c r="J41" s="28">
        <v>10</v>
      </c>
      <c r="K41" s="28" t="s">
        <v>17</v>
      </c>
      <c r="L41" s="28" t="s">
        <v>22</v>
      </c>
      <c r="M41" s="6">
        <v>251685</v>
      </c>
    </row>
    <row r="42" spans="1:13" x14ac:dyDescent="0.25">
      <c r="A42" s="4">
        <v>41</v>
      </c>
      <c r="B42" s="4" t="str">
        <f t="shared" si="7"/>
        <v>Щит силовой ЩС-ФК3 (кухонное оборуд. и фанкойлы фудкорта), IP54</v>
      </c>
      <c r="C42" s="4" t="str">
        <f t="shared" si="6"/>
        <v>Автоматический выключатель Easy9 1P C16A, 4,5kA</v>
      </c>
      <c r="D42" s="4" t="s">
        <v>19</v>
      </c>
      <c r="E42" s="4" t="s">
        <v>60</v>
      </c>
      <c r="F42" s="4" t="s">
        <v>61</v>
      </c>
      <c r="G42" s="5">
        <v>250</v>
      </c>
      <c r="H42" s="6">
        <f>G42*Kurallar!$B$7*Kurallar!$B$6</f>
        <v>1575</v>
      </c>
      <c r="I42" s="6">
        <f t="shared" si="8"/>
        <v>1575</v>
      </c>
      <c r="J42" s="28">
        <v>1</v>
      </c>
      <c r="K42" s="28" t="s">
        <v>17</v>
      </c>
      <c r="L42" s="28" t="s">
        <v>22</v>
      </c>
      <c r="M42" s="6">
        <v>1575</v>
      </c>
    </row>
    <row r="43" spans="1:13" x14ac:dyDescent="0.25">
      <c r="A43" s="4">
        <v>42</v>
      </c>
      <c r="B43" s="4" t="str">
        <f t="shared" si="7"/>
        <v>Щит силовой ЩС-ФК3 (кухонное оборуд. и фанкойлы фудкорта), IP54</v>
      </c>
      <c r="C43" s="4" t="str">
        <f t="shared" si="6"/>
        <v>Автоматический выключатель Easy9 1P C10A, 4,5kA</v>
      </c>
      <c r="D43" s="4" t="s">
        <v>19</v>
      </c>
      <c r="E43" s="4" t="s">
        <v>32</v>
      </c>
      <c r="F43" s="4" t="s">
        <v>33</v>
      </c>
      <c r="G43" s="5">
        <v>250</v>
      </c>
      <c r="H43" s="6">
        <f>G43*Kurallar!$B$7*Kurallar!$B$6</f>
        <v>1575</v>
      </c>
      <c r="I43" s="6">
        <f t="shared" si="8"/>
        <v>4725</v>
      </c>
      <c r="J43" s="28">
        <v>3</v>
      </c>
      <c r="K43" s="28" t="s">
        <v>17</v>
      </c>
      <c r="L43" s="28" t="s">
        <v>22</v>
      </c>
      <c r="M43" s="6">
        <v>4725</v>
      </c>
    </row>
    <row r="44" spans="1:13" x14ac:dyDescent="0.25">
      <c r="A44" s="4">
        <v>43</v>
      </c>
      <c r="B44" s="4" t="str">
        <f t="shared" si="7"/>
        <v>Щит силовой ЩС-ФК3 (кухонное оборуд. и фанкойлы фудкорта), IP54</v>
      </c>
      <c r="C44" s="4" t="str">
        <f t="shared" si="6"/>
        <v>Контактор модульный SE A9C20844 iCT40A 4НО 220/240В АС 50ГЦ</v>
      </c>
      <c r="D44" s="4" t="s">
        <v>34</v>
      </c>
      <c r="E44" s="4">
        <v>54139</v>
      </c>
      <c r="F44" s="4" t="s">
        <v>242</v>
      </c>
      <c r="G44" s="5">
        <v>4500</v>
      </c>
      <c r="H44" s="6">
        <f>G44*Kurallar!$B$7*Kurallar!$B$6</f>
        <v>28350</v>
      </c>
      <c r="I44" s="6">
        <f t="shared" si="8"/>
        <v>56700</v>
      </c>
      <c r="J44" s="28">
        <v>2</v>
      </c>
      <c r="K44" s="28" t="s">
        <v>17</v>
      </c>
      <c r="L44" s="28" t="s">
        <v>22</v>
      </c>
      <c r="M44" s="6">
        <v>56700</v>
      </c>
    </row>
    <row r="45" spans="1:13" x14ac:dyDescent="0.25">
      <c r="A45" s="4">
        <v>44</v>
      </c>
      <c r="B45" s="4" t="str">
        <f t="shared" si="7"/>
        <v>Щит силовой ЩС-ФК3 (кухонное оборуд. и фанкойлы фудкорта), IP54</v>
      </c>
      <c r="C45" s="4" t="str">
        <f t="shared" si="6"/>
        <v>Контактор модульный SE A9C20532 iCT25A 2НО 220В АС</v>
      </c>
      <c r="D45" s="4" t="s">
        <v>34</v>
      </c>
      <c r="E45" s="4">
        <v>78061</v>
      </c>
      <c r="F45" s="4" t="s">
        <v>240</v>
      </c>
      <c r="G45" s="5">
        <v>1850</v>
      </c>
      <c r="H45" s="6">
        <f>G45*Kurallar!$B$7*Kurallar!$B$6</f>
        <v>11655</v>
      </c>
      <c r="I45" s="6">
        <f t="shared" si="8"/>
        <v>23310</v>
      </c>
      <c r="J45" s="28">
        <v>2</v>
      </c>
      <c r="K45" s="28" t="s">
        <v>17</v>
      </c>
      <c r="L45" s="28" t="s">
        <v>22</v>
      </c>
      <c r="M45" s="6">
        <v>23310</v>
      </c>
    </row>
    <row r="46" spans="1:13" x14ac:dyDescent="0.25">
      <c r="A46" s="4">
        <v>45</v>
      </c>
      <c r="B46" s="4" t="str">
        <f t="shared" si="7"/>
        <v>Щит силовой ЩС-ФК3 (кухонное оборуд. и фанкойлы фудкорта), IP54</v>
      </c>
      <c r="C46" s="4" t="str">
        <f t="shared" si="6"/>
        <v>Контактор модульный SE A9C22712 iCT16A 2НО 230/240В АС</v>
      </c>
      <c r="D46" s="4" t="s">
        <v>34</v>
      </c>
      <c r="E46" s="4">
        <v>74552</v>
      </c>
      <c r="F46" s="4" t="s">
        <v>241</v>
      </c>
      <c r="G46" s="5">
        <v>1850</v>
      </c>
      <c r="H46" s="6">
        <f>G46*Kurallar!$B$7*Kurallar!$B$6</f>
        <v>11655</v>
      </c>
      <c r="I46" s="6">
        <f t="shared" si="8"/>
        <v>11655</v>
      </c>
      <c r="J46" s="28">
        <v>1</v>
      </c>
      <c r="K46" s="28" t="s">
        <v>17</v>
      </c>
      <c r="L46" s="28" t="s">
        <v>22</v>
      </c>
      <c r="M46" s="6">
        <v>11655</v>
      </c>
    </row>
    <row r="47" spans="1:13" x14ac:dyDescent="0.25">
      <c r="A47" s="4">
        <v>46</v>
      </c>
      <c r="B47" s="4" t="str">
        <f t="shared" si="7"/>
        <v>Щит силовой ЩС-ФК3 (кухонное оборуд. и фанкойлы фудкорта), IP54</v>
      </c>
      <c r="C47" s="4" t="str">
        <f t="shared" si="6"/>
        <v>Шина "PE" земля ШНИ 6х9 12-К-З на DIN-рейку в изоляторе</v>
      </c>
      <c r="D47" s="4" t="s">
        <v>35</v>
      </c>
      <c r="E47" s="4" t="s">
        <v>36</v>
      </c>
      <c r="F47" s="4" t="s">
        <v>37</v>
      </c>
      <c r="G47" s="5">
        <v>547</v>
      </c>
      <c r="H47" s="6">
        <f>G47*Kurallar!$B$9</f>
        <v>547</v>
      </c>
      <c r="I47" s="6">
        <f t="shared" si="8"/>
        <v>547</v>
      </c>
      <c r="J47" s="28">
        <v>1</v>
      </c>
      <c r="K47" s="28" t="s">
        <v>17</v>
      </c>
      <c r="L47" s="28" t="s">
        <v>38</v>
      </c>
      <c r="M47" s="6">
        <v>547</v>
      </c>
    </row>
    <row r="48" spans="1:13" x14ac:dyDescent="0.25">
      <c r="A48" s="4">
        <v>47</v>
      </c>
      <c r="B48" s="4" t="str">
        <f t="shared" si="7"/>
        <v>Щит силовой ЩС-ФК3 (кухонное оборуд. и фанкойлы фудкорта), IP54</v>
      </c>
      <c r="C48" s="4" t="str">
        <f t="shared" si="6"/>
        <v>Шина "N" нулевая 6х9мм 14/2 (крепеж по краям)</v>
      </c>
      <c r="D48" s="4" t="s">
        <v>35</v>
      </c>
      <c r="E48" s="4" t="s">
        <v>39</v>
      </c>
      <c r="F48" s="4" t="s">
        <v>40</v>
      </c>
      <c r="G48" s="5">
        <v>494</v>
      </c>
      <c r="H48" s="6">
        <f>G48*Kurallar!$B$9</f>
        <v>494</v>
      </c>
      <c r="I48" s="6">
        <f t="shared" si="8"/>
        <v>494</v>
      </c>
      <c r="J48" s="28">
        <v>1</v>
      </c>
      <c r="K48" s="28" t="s">
        <v>17</v>
      </c>
      <c r="L48" s="28" t="s">
        <v>41</v>
      </c>
      <c r="M48" s="6">
        <v>494</v>
      </c>
    </row>
    <row r="49" spans="1:13" x14ac:dyDescent="0.25">
      <c r="A49" s="4">
        <v>48</v>
      </c>
      <c r="B49" s="4" t="str">
        <f t="shared" si="7"/>
        <v>Щит силовой ЩС-ФК3 (кухонное оборуд. и фанкойлы фудкорта), IP54</v>
      </c>
      <c r="C49" s="4" t="str">
        <f t="shared" si="6"/>
        <v>DIN-рейка оцинкованная 1000 мм</v>
      </c>
      <c r="D49" s="4" t="s">
        <v>42</v>
      </c>
      <c r="E49" s="4" t="s">
        <v>43</v>
      </c>
      <c r="F49" s="4" t="s">
        <v>44</v>
      </c>
      <c r="G49" s="5">
        <v>549</v>
      </c>
      <c r="H49" s="6">
        <f>G49*Kurallar!$B$9</f>
        <v>549</v>
      </c>
      <c r="I49" s="6">
        <f t="shared" si="8"/>
        <v>2196</v>
      </c>
      <c r="J49" s="28">
        <v>4</v>
      </c>
      <c r="K49" s="28" t="s">
        <v>45</v>
      </c>
      <c r="L49" s="28" t="s">
        <v>38</v>
      </c>
      <c r="M49" s="6">
        <v>2196</v>
      </c>
    </row>
    <row r="50" spans="1:13" x14ac:dyDescent="0.25">
      <c r="A50" s="4">
        <v>49</v>
      </c>
      <c r="B50" s="4" t="str">
        <f t="shared" si="7"/>
        <v>Щит силовой ЩС-ФК3 (кухонное оборуд. и фанкойлы фудкорта), IP54</v>
      </c>
      <c r="C50" s="4" t="str">
        <f t="shared" si="6"/>
        <v>Кабель-канал перфорированный 40х40 (2 м)</v>
      </c>
      <c r="D50" s="4" t="s">
        <v>42</v>
      </c>
      <c r="E50" s="4" t="s">
        <v>46</v>
      </c>
      <c r="F50" s="4" t="s">
        <v>47</v>
      </c>
      <c r="G50" s="5">
        <v>1486</v>
      </c>
      <c r="H50" s="6">
        <f>G50*Kurallar!$B$9</f>
        <v>1486</v>
      </c>
      <c r="I50" s="6">
        <f t="shared" si="8"/>
        <v>4458</v>
      </c>
      <c r="J50" s="28">
        <v>3</v>
      </c>
      <c r="K50" s="28" t="s">
        <v>17</v>
      </c>
      <c r="L50" s="28" t="s">
        <v>41</v>
      </c>
      <c r="M50" s="6">
        <v>4458</v>
      </c>
    </row>
    <row r="51" spans="1:13" x14ac:dyDescent="0.25">
      <c r="A51" s="4">
        <v>50</v>
      </c>
      <c r="B51" s="4" t="str">
        <f t="shared" si="7"/>
        <v>Щит силовой ЩС-ФК3 (кухонное оборуд. и фанкойлы фудкорта), IP54</v>
      </c>
      <c r="C51" s="4" t="str">
        <f t="shared" si="6"/>
        <v>Монтажные материалы (клеммы, наконечники, провод ПВ3, маркировка, крепеж)</v>
      </c>
      <c r="D51" s="4" t="s">
        <v>42</v>
      </c>
      <c r="E51" s="4"/>
      <c r="F51" s="4" t="s">
        <v>48</v>
      </c>
      <c r="G51" s="4"/>
      <c r="H51" s="6">
        <f>SUM(I37:I50)*Kurallar!$B$10</f>
        <v>15962.364000000001</v>
      </c>
      <c r="I51" s="6">
        <f t="shared" si="8"/>
        <v>15962.364000000001</v>
      </c>
      <c r="J51" s="28">
        <v>1</v>
      </c>
      <c r="K51" s="28" t="s">
        <v>49</v>
      </c>
      <c r="L51" s="28" t="s">
        <v>50</v>
      </c>
      <c r="M51" s="6">
        <v>15962.364000000001</v>
      </c>
    </row>
    <row r="52" spans="1:13" x14ac:dyDescent="0.25">
      <c r="A52" s="4">
        <v>51</v>
      </c>
      <c r="B52" s="4" t="str">
        <f t="shared" si="7"/>
        <v>Щит силовой ЩС-ФК3 (кухонное оборуд. и фанкойлы фудкорта), IP54</v>
      </c>
      <c r="C52" s="4" t="str">
        <f t="shared" si="6"/>
        <v>Сборка щита: монтаж аппаратов, ошиновка, маркировка, испытания</v>
      </c>
      <c r="D52" s="4" t="s">
        <v>51</v>
      </c>
      <c r="E52" s="4"/>
      <c r="F52" s="4" t="s">
        <v>52</v>
      </c>
      <c r="G52" s="5">
        <f>J52/60</f>
        <v>3.2666666666666666</v>
      </c>
      <c r="H52" s="6">
        <f>Kurallar!$B$11</f>
        <v>100</v>
      </c>
      <c r="I52" s="6">
        <f t="shared" si="8"/>
        <v>19600</v>
      </c>
      <c r="J52" s="28">
        <f>ROUND((Kurallar!$B$29*1+Kurallar!$B$32*2+Kurallar!$B$31*2+Kurallar!$B$31*11+Kurallar!$B$28*2+Kurallar!$B$28*3+Kurallar!$B$34*2+Kurallar!$B$33*2+Kurallar!$B$33*1+Kurallar!$B$21*1+Kurallar!$B$21*1+Kurallar!$B$22*4+Kurallar!$B$23*6+Kurallar!$B$25)*Kurallar!$B$26,0)</f>
        <v>196</v>
      </c>
      <c r="K52" s="28" t="s">
        <v>53</v>
      </c>
      <c r="L52" s="28" t="s">
        <v>50</v>
      </c>
      <c r="M52" s="6">
        <v>19600</v>
      </c>
    </row>
    <row r="53" spans="1:13" x14ac:dyDescent="0.25">
      <c r="A53" s="7">
        <v>52</v>
      </c>
      <c r="B53" s="7" t="str">
        <f t="shared" si="7"/>
        <v>Щит силовой ЩС-ФК3 (кухонное оборуд. и фанкойлы фудкорта), IP54</v>
      </c>
      <c r="C53" s="7" t="s">
        <v>71</v>
      </c>
      <c r="D53" s="7"/>
      <c r="E53" s="7"/>
      <c r="F53" s="7" t="s">
        <v>72</v>
      </c>
      <c r="G53" s="7"/>
      <c r="H53" s="7"/>
      <c r="I53" s="8">
        <f>SUBTOTAL(9,I37:I52)</f>
        <v>567641.16400000011</v>
      </c>
      <c r="J53" s="29"/>
      <c r="K53" s="29"/>
      <c r="L53" s="29"/>
      <c r="M53" s="8">
        <v>567641.16400000011</v>
      </c>
    </row>
    <row r="54" spans="1:13" x14ac:dyDescent="0.25">
      <c r="A54" s="2">
        <v>53</v>
      </c>
      <c r="B54" s="2" t="str">
        <f>F54</f>
        <v>Щит силовой ЩС-ФК4 (кухонное оборуд. и фанкойлы фудкорта), IP54</v>
      </c>
      <c r="C54" s="3" t="str">
        <f t="shared" ref="C54:C69" si="9">F54</f>
        <v>Щит силовой ЩС-ФК4 (кухонное оборуд. и фанкойлы фудкорта), IP54</v>
      </c>
      <c r="D54" s="2" t="s">
        <v>11</v>
      </c>
      <c r="E54" s="2"/>
      <c r="F54" s="2" t="s">
        <v>73</v>
      </c>
      <c r="G54" s="2"/>
      <c r="H54" s="2"/>
      <c r="I54" s="2"/>
      <c r="J54" s="27">
        <v>2</v>
      </c>
      <c r="K54" s="27" t="s">
        <v>13</v>
      </c>
      <c r="L54" s="27"/>
      <c r="M54" s="37"/>
    </row>
    <row r="55" spans="1:13" x14ac:dyDescent="0.25">
      <c r="A55" s="4">
        <v>54</v>
      </c>
      <c r="B55" s="4" t="str">
        <f t="shared" ref="B55:B70" si="10">B54</f>
        <v>Щит силовой ЩС-ФК4 (кухонное оборуд. и фанкойлы фудкорта), IP54</v>
      </c>
      <c r="C55" s="4" t="str">
        <f t="shared" si="9"/>
        <v>Мет. Корпус ЩРН-72 (540x600x120) S/U IP31</v>
      </c>
      <c r="D55" s="4" t="s">
        <v>14</v>
      </c>
      <c r="E55" s="4" t="s">
        <v>65</v>
      </c>
      <c r="F55" s="33" t="s">
        <v>234</v>
      </c>
      <c r="G55" s="5">
        <v>40000</v>
      </c>
      <c r="H55" s="6">
        <f>G55*Kurallar!$B$8</f>
        <v>24000</v>
      </c>
      <c r="I55" s="6">
        <f>H55*J55</f>
        <v>24000</v>
      </c>
      <c r="J55" s="28">
        <v>1</v>
      </c>
      <c r="K55" s="28" t="s">
        <v>17</v>
      </c>
      <c r="L55" s="34" t="s">
        <v>237</v>
      </c>
      <c r="M55" s="6">
        <v>24000</v>
      </c>
    </row>
    <row r="56" spans="1:13" x14ac:dyDescent="0.25">
      <c r="A56" s="4">
        <v>55</v>
      </c>
      <c r="B56" s="4" t="str">
        <f t="shared" si="10"/>
        <v>Щит силовой ЩС-ФК4 (кухонное оборуд. и фанкойлы фудкорта), IP54</v>
      </c>
      <c r="C56" s="4" t="str">
        <f t="shared" si="9"/>
        <v>Автоматический выключатель SE A9N18369 C120N 3П 125A C 10кА</v>
      </c>
      <c r="D56" s="4" t="s">
        <v>19</v>
      </c>
      <c r="E56" s="4">
        <v>54150</v>
      </c>
      <c r="F56" s="4" t="s">
        <v>244</v>
      </c>
      <c r="G56" s="5">
        <v>12980</v>
      </c>
      <c r="H56" s="6">
        <f>G56*Kurallar!$B$7*Kurallar!$B$6</f>
        <v>81774</v>
      </c>
      <c r="I56" s="6">
        <f t="shared" ref="I56" si="11">H56*J56</f>
        <v>81774</v>
      </c>
      <c r="J56" s="28">
        <v>1</v>
      </c>
      <c r="K56" s="28" t="s">
        <v>17</v>
      </c>
      <c r="L56" s="28" t="s">
        <v>22</v>
      </c>
      <c r="M56" s="6">
        <v>81774</v>
      </c>
    </row>
    <row r="57" spans="1:13" x14ac:dyDescent="0.25">
      <c r="A57" s="4">
        <v>56</v>
      </c>
      <c r="B57" s="4" t="str">
        <f t="shared" si="10"/>
        <v>Щит силовой ЩС-ФК4 (кухонное оборуд. и фанкойлы фудкорта), IP54</v>
      </c>
      <c r="C57" s="4" t="str">
        <f t="shared" si="9"/>
        <v>Выключатель диф. тока (АВДТ) Acti9 iC60 3P+N C40A 30mA тип AC</v>
      </c>
      <c r="D57" s="4" t="s">
        <v>23</v>
      </c>
      <c r="E57" s="4" t="s">
        <v>69</v>
      </c>
      <c r="F57" s="4" t="s">
        <v>70</v>
      </c>
      <c r="G57" s="5">
        <v>7726</v>
      </c>
      <c r="H57" s="6">
        <f>G57*Kurallar!$B$7*Kurallar!$B$6</f>
        <v>48673.799999999996</v>
      </c>
      <c r="I57" s="6">
        <f t="shared" ref="I57:I69" si="12">H57*J57</f>
        <v>97347.599999999991</v>
      </c>
      <c r="J57" s="28">
        <v>2</v>
      </c>
      <c r="K57" s="28" t="s">
        <v>17</v>
      </c>
      <c r="L57" s="28" t="s">
        <v>22</v>
      </c>
      <c r="M57" s="6">
        <v>97347.599999999991</v>
      </c>
    </row>
    <row r="58" spans="1:13" x14ac:dyDescent="0.25">
      <c r="A58" s="4">
        <v>57</v>
      </c>
      <c r="B58" s="4" t="str">
        <f t="shared" si="10"/>
        <v>Щит силовой ЩС-ФК4 (кухонное оборуд. и фанкойлы фудкорта), IP54</v>
      </c>
      <c r="C58" s="4" t="str">
        <f t="shared" si="9"/>
        <v>Выключатель диф. тока (АВДТ) Acti9 iC60 3P+N C16A 30mA тип AC</v>
      </c>
      <c r="D58" s="4" t="s">
        <v>23</v>
      </c>
      <c r="E58" s="4" t="s">
        <v>26</v>
      </c>
      <c r="F58" s="4" t="s">
        <v>27</v>
      </c>
      <c r="G58" s="5">
        <v>7318</v>
      </c>
      <c r="H58" s="6">
        <f>G58*Kurallar!$B$7*Kurallar!$B$6</f>
        <v>46103.4</v>
      </c>
      <c r="I58" s="6">
        <f t="shared" si="12"/>
        <v>138310.20000000001</v>
      </c>
      <c r="J58" s="28">
        <v>3</v>
      </c>
      <c r="K58" s="28" t="s">
        <v>17</v>
      </c>
      <c r="L58" s="28" t="s">
        <v>22</v>
      </c>
      <c r="M58" s="6">
        <v>138310.20000000001</v>
      </c>
    </row>
    <row r="59" spans="1:13" x14ac:dyDescent="0.25">
      <c r="A59" s="4">
        <v>58</v>
      </c>
      <c r="B59" s="4" t="str">
        <f t="shared" si="10"/>
        <v>Щит силовой ЩС-ФК4 (кухонное оборуд. и фанкойлы фудкорта), IP54</v>
      </c>
      <c r="C59" s="4" t="str">
        <f t="shared" si="9"/>
        <v>Выключатель диф. тока (АВДТ) Acti9 iC60 1P+N C16A 30mA тип AC</v>
      </c>
      <c r="D59" s="4" t="s">
        <v>23</v>
      </c>
      <c r="E59" s="4" t="s">
        <v>28</v>
      </c>
      <c r="F59" s="4" t="s">
        <v>29</v>
      </c>
      <c r="G59" s="5">
        <v>3995</v>
      </c>
      <c r="H59" s="6">
        <f>G59*Kurallar!$B$7*Kurallar!$B$6</f>
        <v>25168.5</v>
      </c>
      <c r="I59" s="6">
        <f t="shared" si="12"/>
        <v>201348</v>
      </c>
      <c r="J59" s="28">
        <v>8</v>
      </c>
      <c r="K59" s="28" t="s">
        <v>17</v>
      </c>
      <c r="L59" s="28" t="s">
        <v>22</v>
      </c>
      <c r="M59" s="6">
        <v>201348</v>
      </c>
    </row>
    <row r="60" spans="1:13" x14ac:dyDescent="0.25">
      <c r="A60" s="4">
        <v>59</v>
      </c>
      <c r="B60" s="4" t="str">
        <f t="shared" si="10"/>
        <v>Щит силовой ЩС-ФК4 (кухонное оборуд. и фанкойлы фудкорта), IP54</v>
      </c>
      <c r="C60" s="4" t="str">
        <f t="shared" si="9"/>
        <v>Автоматический выключатель Easy9 1P C16A, 4,5kA</v>
      </c>
      <c r="D60" s="4" t="s">
        <v>19</v>
      </c>
      <c r="E60" s="4" t="s">
        <v>60</v>
      </c>
      <c r="F60" s="4" t="s">
        <v>61</v>
      </c>
      <c r="G60" s="5">
        <v>250</v>
      </c>
      <c r="H60" s="6">
        <f>G60*Kurallar!$B$7*Kurallar!$B$6</f>
        <v>1575</v>
      </c>
      <c r="I60" s="6">
        <f t="shared" si="12"/>
        <v>1575</v>
      </c>
      <c r="J60" s="28">
        <v>1</v>
      </c>
      <c r="K60" s="28" t="s">
        <v>17</v>
      </c>
      <c r="L60" s="28" t="s">
        <v>22</v>
      </c>
      <c r="M60" s="6">
        <v>1575</v>
      </c>
    </row>
    <row r="61" spans="1:13" x14ac:dyDescent="0.25">
      <c r="A61" s="4">
        <v>60</v>
      </c>
      <c r="B61" s="4" t="str">
        <f t="shared" si="10"/>
        <v>Щит силовой ЩС-ФК4 (кухонное оборуд. и фанкойлы фудкорта), IP54</v>
      </c>
      <c r="C61" s="4" t="str">
        <f t="shared" si="9"/>
        <v>Автоматический выключатель Easy9 1P C10A, 4,5kA</v>
      </c>
      <c r="D61" s="4" t="s">
        <v>19</v>
      </c>
      <c r="E61" s="4" t="s">
        <v>32</v>
      </c>
      <c r="F61" s="4" t="s">
        <v>33</v>
      </c>
      <c r="G61" s="5">
        <v>250</v>
      </c>
      <c r="H61" s="6">
        <f>G61*Kurallar!$B$7*Kurallar!$B$6</f>
        <v>1575</v>
      </c>
      <c r="I61" s="6">
        <f t="shared" si="12"/>
        <v>4725</v>
      </c>
      <c r="J61" s="28">
        <v>3</v>
      </c>
      <c r="K61" s="28" t="s">
        <v>17</v>
      </c>
      <c r="L61" s="28" t="s">
        <v>22</v>
      </c>
      <c r="M61" s="6">
        <v>4725</v>
      </c>
    </row>
    <row r="62" spans="1:13" x14ac:dyDescent="0.25">
      <c r="A62" s="4">
        <v>61</v>
      </c>
      <c r="B62" s="4" t="str">
        <f t="shared" si="10"/>
        <v>Щит силовой ЩС-ФК4 (кухонное оборуд. и фанкойлы фудкорта), IP54</v>
      </c>
      <c r="C62" s="4" t="str">
        <f t="shared" si="9"/>
        <v>Контактор модульный SE A9C20844 iCT40A 4НО 220/240В АС 50ГЦ</v>
      </c>
      <c r="D62" s="4" t="s">
        <v>34</v>
      </c>
      <c r="E62" s="4">
        <v>54139</v>
      </c>
      <c r="F62" s="4" t="s">
        <v>242</v>
      </c>
      <c r="G62" s="5">
        <v>4500</v>
      </c>
      <c r="H62" s="6">
        <f>G62*Kurallar!$B$7*Kurallar!$B$6</f>
        <v>28350</v>
      </c>
      <c r="I62" s="6">
        <f t="shared" si="12"/>
        <v>56700</v>
      </c>
      <c r="J62" s="28">
        <v>2</v>
      </c>
      <c r="K62" s="28" t="s">
        <v>17</v>
      </c>
      <c r="L62" s="28" t="s">
        <v>22</v>
      </c>
      <c r="M62" s="6">
        <v>56700</v>
      </c>
    </row>
    <row r="63" spans="1:13" x14ac:dyDescent="0.25">
      <c r="A63" s="4">
        <v>62</v>
      </c>
      <c r="B63" s="4" t="str">
        <f t="shared" si="10"/>
        <v>Щит силовой ЩС-ФК4 (кухонное оборуд. и фанкойлы фудкорта), IP54</v>
      </c>
      <c r="C63" s="4" t="str">
        <f t="shared" si="9"/>
        <v>Контактор модульный SE A9C22712 iCT16A 2НО 230/240В АС</v>
      </c>
      <c r="D63" s="4" t="s">
        <v>34</v>
      </c>
      <c r="E63" s="4">
        <v>74552</v>
      </c>
      <c r="F63" s="4" t="s">
        <v>241</v>
      </c>
      <c r="G63" s="5">
        <v>1850</v>
      </c>
      <c r="H63" s="6">
        <f>G63*Kurallar!$B$7*Kurallar!$B$6</f>
        <v>11655</v>
      </c>
      <c r="I63" s="6">
        <f t="shared" si="12"/>
        <v>11655</v>
      </c>
      <c r="J63" s="28">
        <v>1</v>
      </c>
      <c r="K63" s="28" t="s">
        <v>17</v>
      </c>
      <c r="L63" s="28" t="s">
        <v>22</v>
      </c>
      <c r="M63" s="6">
        <v>11655</v>
      </c>
    </row>
    <row r="64" spans="1:13" x14ac:dyDescent="0.25">
      <c r="A64" s="4">
        <v>63</v>
      </c>
      <c r="B64" s="4" t="str">
        <f t="shared" si="10"/>
        <v>Щит силовой ЩС-ФК4 (кухонное оборуд. и фанкойлы фудкорта), IP54</v>
      </c>
      <c r="C64" s="4" t="str">
        <f t="shared" si="9"/>
        <v>Шина "PE" земля ШНИ 6х9 12-К-З на DIN-рейку в изоляторе</v>
      </c>
      <c r="D64" s="4" t="s">
        <v>35</v>
      </c>
      <c r="E64" s="4" t="s">
        <v>36</v>
      </c>
      <c r="F64" s="4" t="s">
        <v>37</v>
      </c>
      <c r="G64" s="5">
        <v>547</v>
      </c>
      <c r="H64" s="6">
        <f>G64*Kurallar!$B$9</f>
        <v>547</v>
      </c>
      <c r="I64" s="6">
        <f t="shared" si="12"/>
        <v>547</v>
      </c>
      <c r="J64" s="28">
        <v>1</v>
      </c>
      <c r="K64" s="28" t="s">
        <v>17</v>
      </c>
      <c r="L64" s="28" t="s">
        <v>38</v>
      </c>
      <c r="M64" s="6">
        <v>547</v>
      </c>
    </row>
    <row r="65" spans="1:13" x14ac:dyDescent="0.25">
      <c r="A65" s="4">
        <v>64</v>
      </c>
      <c r="B65" s="4" t="str">
        <f t="shared" si="10"/>
        <v>Щит силовой ЩС-ФК4 (кухонное оборуд. и фанкойлы фудкорта), IP54</v>
      </c>
      <c r="C65" s="4" t="str">
        <f t="shared" si="9"/>
        <v>Шина "N" нулевая 6х9мм 14/2 (крепеж по краям)</v>
      </c>
      <c r="D65" s="4" t="s">
        <v>35</v>
      </c>
      <c r="E65" s="4" t="s">
        <v>39</v>
      </c>
      <c r="F65" s="4" t="s">
        <v>40</v>
      </c>
      <c r="G65" s="5">
        <v>494</v>
      </c>
      <c r="H65" s="6">
        <f>G65*Kurallar!$B$9</f>
        <v>494</v>
      </c>
      <c r="I65" s="6">
        <f t="shared" si="12"/>
        <v>494</v>
      </c>
      <c r="J65" s="28">
        <v>1</v>
      </c>
      <c r="K65" s="28" t="s">
        <v>17</v>
      </c>
      <c r="L65" s="28" t="s">
        <v>41</v>
      </c>
      <c r="M65" s="6">
        <v>494</v>
      </c>
    </row>
    <row r="66" spans="1:13" x14ac:dyDescent="0.25">
      <c r="A66" s="4">
        <v>65</v>
      </c>
      <c r="B66" s="4" t="str">
        <f t="shared" si="10"/>
        <v>Щит силовой ЩС-ФК4 (кухонное оборуд. и фанкойлы фудкорта), IP54</v>
      </c>
      <c r="C66" s="4" t="str">
        <f t="shared" si="9"/>
        <v>DIN-рейка оцинкованная 1000 мм</v>
      </c>
      <c r="D66" s="4" t="s">
        <v>42</v>
      </c>
      <c r="E66" s="4" t="s">
        <v>43</v>
      </c>
      <c r="F66" s="4" t="s">
        <v>44</v>
      </c>
      <c r="G66" s="5">
        <v>549</v>
      </c>
      <c r="H66" s="6">
        <f>G66*Kurallar!$B$9</f>
        <v>549</v>
      </c>
      <c r="I66" s="6">
        <f t="shared" si="12"/>
        <v>2196</v>
      </c>
      <c r="J66" s="28">
        <v>4</v>
      </c>
      <c r="K66" s="28" t="s">
        <v>45</v>
      </c>
      <c r="L66" s="28" t="s">
        <v>38</v>
      </c>
      <c r="M66" s="6">
        <v>2196</v>
      </c>
    </row>
    <row r="67" spans="1:13" x14ac:dyDescent="0.25">
      <c r="A67" s="4">
        <v>66</v>
      </c>
      <c r="B67" s="4" t="str">
        <f t="shared" si="10"/>
        <v>Щит силовой ЩС-ФК4 (кухонное оборуд. и фанкойлы фудкорта), IP54</v>
      </c>
      <c r="C67" s="4" t="str">
        <f t="shared" si="9"/>
        <v>Кабель-канал перфорированный 40х40 (2 м)</v>
      </c>
      <c r="D67" s="4" t="s">
        <v>42</v>
      </c>
      <c r="E67" s="4" t="s">
        <v>46</v>
      </c>
      <c r="F67" s="4" t="s">
        <v>47</v>
      </c>
      <c r="G67" s="5">
        <v>1486</v>
      </c>
      <c r="H67" s="6">
        <f>G67*Kurallar!$B$9</f>
        <v>1486</v>
      </c>
      <c r="I67" s="6">
        <f t="shared" si="12"/>
        <v>4458</v>
      </c>
      <c r="J67" s="28">
        <v>3</v>
      </c>
      <c r="K67" s="28" t="s">
        <v>17</v>
      </c>
      <c r="L67" s="28" t="s">
        <v>41</v>
      </c>
      <c r="M67" s="6">
        <v>4458</v>
      </c>
    </row>
    <row r="68" spans="1:13" x14ac:dyDescent="0.25">
      <c r="A68" s="4">
        <v>67</v>
      </c>
      <c r="B68" s="4" t="str">
        <f t="shared" si="10"/>
        <v>Щит силовой ЩС-ФК4 (кухонное оборуд. и фанкойлы фудкорта), IP54</v>
      </c>
      <c r="C68" s="4" t="str">
        <f t="shared" si="9"/>
        <v>Монтажные материалы (клеммы, наконечники, провод ПВ3, маркировка, крепеж)</v>
      </c>
      <c r="D68" s="4" t="s">
        <v>42</v>
      </c>
      <c r="E68" s="4"/>
      <c r="F68" s="4" t="s">
        <v>48</v>
      </c>
      <c r="G68" s="4"/>
      <c r="H68" s="6">
        <f>SUM(I55:I67)*Kurallar!$B$10</f>
        <v>18753.894</v>
      </c>
      <c r="I68" s="6">
        <f t="shared" si="12"/>
        <v>18753.894</v>
      </c>
      <c r="J68" s="28">
        <v>1</v>
      </c>
      <c r="K68" s="28" t="s">
        <v>49</v>
      </c>
      <c r="L68" s="28" t="s">
        <v>50</v>
      </c>
      <c r="M68" s="6">
        <v>18753.894</v>
      </c>
    </row>
    <row r="69" spans="1:13" x14ac:dyDescent="0.25">
      <c r="A69" s="4">
        <v>68</v>
      </c>
      <c r="B69" s="4" t="str">
        <f t="shared" si="10"/>
        <v>Щит силовой ЩС-ФК4 (кухонное оборуд. и фанкойлы фудкорта), IP54</v>
      </c>
      <c r="C69" s="4" t="str">
        <f t="shared" si="9"/>
        <v>Сборка щита: монтаж аппаратов, ошиновка, маркировка, испытания</v>
      </c>
      <c r="D69" s="4" t="s">
        <v>51</v>
      </c>
      <c r="E69" s="4"/>
      <c r="F69" s="4" t="s">
        <v>52</v>
      </c>
      <c r="G69" s="5">
        <f>J69/60</f>
        <v>3.35</v>
      </c>
      <c r="H69" s="6">
        <f>Kurallar!$B$11</f>
        <v>100</v>
      </c>
      <c r="I69" s="6">
        <f t="shared" si="12"/>
        <v>20100</v>
      </c>
      <c r="J69" s="28">
        <f>ROUND((Kurallar!$B$29*1+Kurallar!$B$32*2+Kurallar!$B$32*3+Kurallar!$B$31*8+Kurallar!$B$28*1+Kurallar!$B$28*3+Kurallar!$B$34*2+Kurallar!$B$33*1+Kurallar!$B$21*1+Kurallar!$B$21*1+Kurallar!$B$22*4+Kurallar!$B$23*6+Kurallar!$B$25)*Kurallar!$B$26,0)</f>
        <v>201</v>
      </c>
      <c r="K69" s="28" t="s">
        <v>53</v>
      </c>
      <c r="L69" s="28" t="s">
        <v>50</v>
      </c>
      <c r="M69" s="6">
        <v>20100</v>
      </c>
    </row>
    <row r="70" spans="1:13" x14ac:dyDescent="0.25">
      <c r="A70" s="7">
        <v>69</v>
      </c>
      <c r="B70" s="7" t="str">
        <f t="shared" si="10"/>
        <v>Щит силовой ЩС-ФК4 (кухонное оборуд. и фанкойлы фудкорта), IP54</v>
      </c>
      <c r="C70" s="7" t="s">
        <v>76</v>
      </c>
      <c r="D70" s="7"/>
      <c r="E70" s="7"/>
      <c r="F70" s="7" t="s">
        <v>77</v>
      </c>
      <c r="G70" s="7"/>
      <c r="H70" s="7"/>
      <c r="I70" s="8">
        <f>SUBTOTAL(9,I55:I69)</f>
        <v>663983.69400000002</v>
      </c>
      <c r="J70" s="29"/>
      <c r="K70" s="29"/>
      <c r="L70" s="29"/>
      <c r="M70" s="8">
        <v>663983.69400000002</v>
      </c>
    </row>
    <row r="71" spans="1:13" x14ac:dyDescent="0.25">
      <c r="A71" s="2">
        <v>70</v>
      </c>
      <c r="B71" s="2" t="str">
        <f>F71</f>
        <v>Щит силовой ЩС-КМ (корейский магазин), IP54</v>
      </c>
      <c r="C71" s="3" t="str">
        <f t="shared" ref="C71:C86" si="13">F71</f>
        <v>Щит силовой ЩС-КМ (корейский магазин), IP54</v>
      </c>
      <c r="D71" s="2" t="s">
        <v>11</v>
      </c>
      <c r="E71" s="2"/>
      <c r="F71" s="2" t="s">
        <v>78</v>
      </c>
      <c r="G71" s="2"/>
      <c r="H71" s="2"/>
      <c r="I71" s="2"/>
      <c r="J71" s="27">
        <v>2</v>
      </c>
      <c r="K71" s="27" t="s">
        <v>13</v>
      </c>
      <c r="L71" s="27"/>
      <c r="M71" s="37"/>
    </row>
    <row r="72" spans="1:13" x14ac:dyDescent="0.25">
      <c r="A72" s="4">
        <v>71</v>
      </c>
      <c r="B72" s="4" t="str">
        <f t="shared" ref="B72:B87" si="14">B71</f>
        <v>Щит силовой ЩС-КМ (корейский магазин), IP54</v>
      </c>
      <c r="C72" s="4" t="str">
        <f t="shared" si="13"/>
        <v>Корпус металлический ЩРн-54 (540x440x120) IP54</v>
      </c>
      <c r="D72" s="4" t="s">
        <v>14</v>
      </c>
      <c r="E72" s="4" t="s">
        <v>15</v>
      </c>
      <c r="F72" s="4" t="s">
        <v>16</v>
      </c>
      <c r="G72" s="5">
        <v>40000</v>
      </c>
      <c r="H72" s="6">
        <f>G72*Kurallar!$B$8</f>
        <v>24000</v>
      </c>
      <c r="I72" s="6">
        <f t="shared" ref="I72:I86" si="15">H72*J72</f>
        <v>24000</v>
      </c>
      <c r="J72" s="28">
        <v>1</v>
      </c>
      <c r="K72" s="28" t="s">
        <v>17</v>
      </c>
      <c r="L72" s="34" t="s">
        <v>237</v>
      </c>
      <c r="M72" s="6">
        <v>24000</v>
      </c>
    </row>
    <row r="73" spans="1:13" x14ac:dyDescent="0.25">
      <c r="A73" s="4">
        <v>72</v>
      </c>
      <c r="B73" s="4" t="str">
        <f t="shared" si="14"/>
        <v>Щит силовой ЩС-КМ (корейский магазин), IP54</v>
      </c>
      <c r="C73" s="4" t="str">
        <f t="shared" si="13"/>
        <v>Автоматический выключатель Acti9 iC60N 3P C40A, 6kA</v>
      </c>
      <c r="D73" s="4" t="s">
        <v>19</v>
      </c>
      <c r="E73" s="4" t="s">
        <v>79</v>
      </c>
      <c r="F73" s="4" t="s">
        <v>80</v>
      </c>
      <c r="G73" s="5">
        <v>2350</v>
      </c>
      <c r="H73" s="6">
        <f>G73*Kurallar!$B$7*Kurallar!$B$6</f>
        <v>14805</v>
      </c>
      <c r="I73" s="6">
        <f t="shared" si="15"/>
        <v>14805</v>
      </c>
      <c r="J73" s="28">
        <v>1</v>
      </c>
      <c r="K73" s="28" t="s">
        <v>17</v>
      </c>
      <c r="L73" s="28" t="s">
        <v>22</v>
      </c>
      <c r="M73" s="6">
        <v>14805</v>
      </c>
    </row>
    <row r="74" spans="1:13" x14ac:dyDescent="0.25">
      <c r="A74" s="4">
        <v>73</v>
      </c>
      <c r="B74" s="4" t="str">
        <f t="shared" si="14"/>
        <v>Щит силовой ЩС-КМ (корейский магазин), IP54</v>
      </c>
      <c r="C74" s="4" t="str">
        <f t="shared" si="13"/>
        <v>Выключатель нагрузки Acti9 iSW 3P 63A (проект: 20A)</v>
      </c>
      <c r="D74" s="4" t="s">
        <v>81</v>
      </c>
      <c r="E74" s="4" t="s">
        <v>82</v>
      </c>
      <c r="F74" s="4" t="s">
        <v>83</v>
      </c>
      <c r="G74" s="5">
        <v>2312</v>
      </c>
      <c r="H74" s="6">
        <f>G74*Kurallar!$B$7*Kurallar!$B$6</f>
        <v>14565.6</v>
      </c>
      <c r="I74" s="6">
        <f t="shared" si="15"/>
        <v>14565.6</v>
      </c>
      <c r="J74" s="28">
        <v>1</v>
      </c>
      <c r="K74" s="28" t="s">
        <v>17</v>
      </c>
      <c r="L74" s="28" t="s">
        <v>22</v>
      </c>
      <c r="M74" s="6">
        <v>14565.6</v>
      </c>
    </row>
    <row r="75" spans="1:13" x14ac:dyDescent="0.25">
      <c r="A75" s="4">
        <v>74</v>
      </c>
      <c r="B75" s="4" t="str">
        <f t="shared" si="14"/>
        <v>Щит силовой ЩС-КМ (корейский магазин), IP54</v>
      </c>
      <c r="C75" s="4" t="str">
        <f t="shared" si="13"/>
        <v>Автоматический выключатель Acti9 iC60N 1P B1A, 6kA</v>
      </c>
      <c r="D75" s="4" t="s">
        <v>19</v>
      </c>
      <c r="E75" s="4" t="s">
        <v>84</v>
      </c>
      <c r="F75" s="4" t="s">
        <v>85</v>
      </c>
      <c r="G75" s="5">
        <v>2100</v>
      </c>
      <c r="H75" s="6">
        <f>G75*Kurallar!$B$7*Kurallar!$B$6</f>
        <v>13230</v>
      </c>
      <c r="I75" s="6">
        <f t="shared" si="15"/>
        <v>13230</v>
      </c>
      <c r="J75" s="28">
        <v>1</v>
      </c>
      <c r="K75" s="28" t="s">
        <v>17</v>
      </c>
      <c r="L75" s="28" t="s">
        <v>22</v>
      </c>
      <c r="M75" s="6">
        <v>13230</v>
      </c>
    </row>
    <row r="76" spans="1:13" x14ac:dyDescent="0.25">
      <c r="A76" s="4">
        <v>75</v>
      </c>
      <c r="B76" s="4" t="str">
        <f t="shared" si="14"/>
        <v>Щит силовой ЩС-КМ (корейский магазин), IP54</v>
      </c>
      <c r="C76" s="4" t="str">
        <f t="shared" si="13"/>
        <v>Выключатель диф. тока (АВДТ) Acti9 iC60 1P+N C20A 30mA тип AC</v>
      </c>
      <c r="D76" s="4" t="s">
        <v>23</v>
      </c>
      <c r="E76" s="4" t="s">
        <v>86</v>
      </c>
      <c r="F76" s="4" t="s">
        <v>87</v>
      </c>
      <c r="G76" s="5">
        <v>4200</v>
      </c>
      <c r="H76" s="6">
        <f>G76*Kurallar!$B$7*Kurallar!$B$6</f>
        <v>26460</v>
      </c>
      <c r="I76" s="6">
        <f t="shared" si="15"/>
        <v>26460</v>
      </c>
      <c r="J76" s="28">
        <v>1</v>
      </c>
      <c r="K76" s="28" t="s">
        <v>17</v>
      </c>
      <c r="L76" s="28" t="s">
        <v>22</v>
      </c>
      <c r="M76" s="6">
        <v>26460</v>
      </c>
    </row>
    <row r="77" spans="1:13" x14ac:dyDescent="0.25">
      <c r="A77" s="4">
        <v>76</v>
      </c>
      <c r="B77" s="4" t="str">
        <f t="shared" si="14"/>
        <v>Щит силовой ЩС-КМ (корейский магазин), IP54</v>
      </c>
      <c r="C77" s="4" t="str">
        <f t="shared" si="13"/>
        <v>Выключатель диф. тока (АВДТ) Acti9 iC60 1P+N C16A 30mA тип AC</v>
      </c>
      <c r="D77" s="4" t="s">
        <v>23</v>
      </c>
      <c r="E77" s="4" t="s">
        <v>28</v>
      </c>
      <c r="F77" s="4" t="s">
        <v>29</v>
      </c>
      <c r="G77" s="5">
        <v>3995</v>
      </c>
      <c r="H77" s="6">
        <f>G77*Kurallar!$B$7*Kurallar!$B$6</f>
        <v>25168.5</v>
      </c>
      <c r="I77" s="6">
        <f t="shared" si="15"/>
        <v>226516.5</v>
      </c>
      <c r="J77" s="28">
        <v>9</v>
      </c>
      <c r="K77" s="28" t="s">
        <v>17</v>
      </c>
      <c r="L77" s="28" t="s">
        <v>22</v>
      </c>
      <c r="M77" s="6">
        <v>226516.5</v>
      </c>
    </row>
    <row r="78" spans="1:13" x14ac:dyDescent="0.25">
      <c r="A78" s="4">
        <v>77</v>
      </c>
      <c r="B78" s="4" t="str">
        <f t="shared" si="14"/>
        <v>Щит силовой ЩС-КМ (корейский магазин), IP54</v>
      </c>
      <c r="C78" s="4" t="str">
        <f t="shared" si="13"/>
        <v>Автоматический выключатель Easy9 1P C10A, 4,5kA</v>
      </c>
      <c r="D78" s="4" t="s">
        <v>19</v>
      </c>
      <c r="E78" s="4" t="s">
        <v>32</v>
      </c>
      <c r="F78" s="4" t="s">
        <v>33</v>
      </c>
      <c r="G78" s="5">
        <v>250</v>
      </c>
      <c r="H78" s="6">
        <f>G78*Kurallar!$B$7*Kurallar!$B$6</f>
        <v>1575</v>
      </c>
      <c r="I78" s="6">
        <f t="shared" si="15"/>
        <v>22050</v>
      </c>
      <c r="J78" s="28">
        <v>14</v>
      </c>
      <c r="K78" s="28" t="s">
        <v>17</v>
      </c>
      <c r="L78" s="28" t="s">
        <v>22</v>
      </c>
      <c r="M78" s="6">
        <v>22050</v>
      </c>
    </row>
    <row r="79" spans="1:13" x14ac:dyDescent="0.25">
      <c r="A79" s="4">
        <v>78</v>
      </c>
      <c r="B79" s="4" t="str">
        <f t="shared" si="14"/>
        <v>Щит силовой ЩС-КМ (корейский магазин), IP54</v>
      </c>
      <c r="C79" s="4" t="str">
        <f t="shared" si="13"/>
        <v>Контактор модульный SE A9C20834 iCT25A 4НО 220/240В АС 50ГЦ</v>
      </c>
      <c r="D79" s="4" t="s">
        <v>34</v>
      </c>
      <c r="E79" s="4">
        <v>54138</v>
      </c>
      <c r="F79" s="4" t="s">
        <v>239</v>
      </c>
      <c r="G79" s="5">
        <v>2750</v>
      </c>
      <c r="H79" s="6">
        <f>G79*Kurallar!$B$7*Kurallar!$B$6</f>
        <v>17325</v>
      </c>
      <c r="I79" s="6">
        <f t="shared" si="15"/>
        <v>17325</v>
      </c>
      <c r="J79" s="28">
        <v>1</v>
      </c>
      <c r="K79" s="28" t="s">
        <v>17</v>
      </c>
      <c r="L79" s="28" t="s">
        <v>22</v>
      </c>
      <c r="M79" s="6">
        <v>17325</v>
      </c>
    </row>
    <row r="80" spans="1:13" x14ac:dyDescent="0.25">
      <c r="A80" s="4">
        <v>79</v>
      </c>
      <c r="B80" s="4" t="str">
        <f t="shared" si="14"/>
        <v>Щит силовой ЩС-КМ (корейский магазин), IP54</v>
      </c>
      <c r="C80" s="4" t="str">
        <f t="shared" si="13"/>
        <v>Контактор модульный SE A9C22712 iCT16A 2НО 230/240В АС</v>
      </c>
      <c r="D80" s="4" t="s">
        <v>34</v>
      </c>
      <c r="E80" s="4">
        <v>74552</v>
      </c>
      <c r="F80" s="4" t="s">
        <v>241</v>
      </c>
      <c r="G80" s="5">
        <v>1850</v>
      </c>
      <c r="H80" s="6">
        <f>G80*Kurallar!$B$7*Kurallar!$B$6</f>
        <v>11655</v>
      </c>
      <c r="I80" s="6">
        <f t="shared" si="15"/>
        <v>11655</v>
      </c>
      <c r="J80" s="28">
        <v>1</v>
      </c>
      <c r="K80" s="28" t="s">
        <v>17</v>
      </c>
      <c r="L80" s="28" t="s">
        <v>22</v>
      </c>
      <c r="M80" s="6">
        <v>11655</v>
      </c>
    </row>
    <row r="81" spans="1:13" x14ac:dyDescent="0.25">
      <c r="A81" s="4">
        <v>80</v>
      </c>
      <c r="B81" s="4" t="str">
        <f t="shared" si="14"/>
        <v>Щит силовой ЩС-КМ (корейский магазин), IP54</v>
      </c>
      <c r="C81" s="4" t="str">
        <f t="shared" si="13"/>
        <v>Шина "PE" земля ШНИ 6х9 12-К-З на DIN-рейку в изоляторе</v>
      </c>
      <c r="D81" s="4" t="s">
        <v>35</v>
      </c>
      <c r="E81" s="4" t="s">
        <v>36</v>
      </c>
      <c r="F81" s="4" t="s">
        <v>37</v>
      </c>
      <c r="G81" s="5">
        <v>547</v>
      </c>
      <c r="H81" s="6">
        <f>G81*Kurallar!$B$9</f>
        <v>547</v>
      </c>
      <c r="I81" s="6">
        <f t="shared" si="15"/>
        <v>547</v>
      </c>
      <c r="J81" s="28">
        <v>1</v>
      </c>
      <c r="K81" s="28" t="s">
        <v>17</v>
      </c>
      <c r="L81" s="28" t="s">
        <v>38</v>
      </c>
      <c r="M81" s="6">
        <v>547</v>
      </c>
    </row>
    <row r="82" spans="1:13" x14ac:dyDescent="0.25">
      <c r="A82" s="4">
        <v>81</v>
      </c>
      <c r="B82" s="4" t="str">
        <f t="shared" si="14"/>
        <v>Щит силовой ЩС-КМ (корейский магазин), IP54</v>
      </c>
      <c r="C82" s="4" t="str">
        <f t="shared" si="13"/>
        <v>Шина "N" нулевая 6х9мм 14/2 (крепеж по краям)</v>
      </c>
      <c r="D82" s="4" t="s">
        <v>35</v>
      </c>
      <c r="E82" s="4" t="s">
        <v>39</v>
      </c>
      <c r="F82" s="4" t="s">
        <v>40</v>
      </c>
      <c r="G82" s="5">
        <v>494</v>
      </c>
      <c r="H82" s="6">
        <f>G82*Kurallar!$B$9</f>
        <v>494</v>
      </c>
      <c r="I82" s="6">
        <f t="shared" si="15"/>
        <v>494</v>
      </c>
      <c r="J82" s="28">
        <v>1</v>
      </c>
      <c r="K82" s="28" t="s">
        <v>17</v>
      </c>
      <c r="L82" s="28" t="s">
        <v>41</v>
      </c>
      <c r="M82" s="6">
        <v>494</v>
      </c>
    </row>
    <row r="83" spans="1:13" x14ac:dyDescent="0.25">
      <c r="A83" s="4">
        <v>82</v>
      </c>
      <c r="B83" s="4" t="str">
        <f t="shared" si="14"/>
        <v>Щит силовой ЩС-КМ (корейский магазин), IP54</v>
      </c>
      <c r="C83" s="4" t="str">
        <f t="shared" si="13"/>
        <v>DIN-рейка оцинкованная 1000 мм</v>
      </c>
      <c r="D83" s="4" t="s">
        <v>42</v>
      </c>
      <c r="E83" s="4" t="s">
        <v>43</v>
      </c>
      <c r="F83" s="4" t="s">
        <v>44</v>
      </c>
      <c r="G83" s="5">
        <v>549</v>
      </c>
      <c r="H83" s="6">
        <f>G83*Kurallar!$B$9</f>
        <v>549</v>
      </c>
      <c r="I83" s="6">
        <f t="shared" si="15"/>
        <v>1647</v>
      </c>
      <c r="J83" s="28">
        <v>3</v>
      </c>
      <c r="K83" s="28" t="s">
        <v>45</v>
      </c>
      <c r="L83" s="28" t="s">
        <v>38</v>
      </c>
      <c r="M83" s="6">
        <v>1647</v>
      </c>
    </row>
    <row r="84" spans="1:13" x14ac:dyDescent="0.25">
      <c r="A84" s="4">
        <v>83</v>
      </c>
      <c r="B84" s="4" t="str">
        <f t="shared" si="14"/>
        <v>Щит силовой ЩС-КМ (корейский магазин), IP54</v>
      </c>
      <c r="C84" s="4" t="str">
        <f t="shared" si="13"/>
        <v>Кабель-канал перфорированный 40х40 (2 м)</v>
      </c>
      <c r="D84" s="4" t="s">
        <v>42</v>
      </c>
      <c r="E84" s="4" t="s">
        <v>46</v>
      </c>
      <c r="F84" s="4" t="s">
        <v>47</v>
      </c>
      <c r="G84" s="5">
        <v>1486</v>
      </c>
      <c r="H84" s="6">
        <f>G84*Kurallar!$B$9</f>
        <v>1486</v>
      </c>
      <c r="I84" s="6">
        <f t="shared" si="15"/>
        <v>2972</v>
      </c>
      <c r="J84" s="28">
        <v>2</v>
      </c>
      <c r="K84" s="28" t="s">
        <v>17</v>
      </c>
      <c r="L84" s="28" t="s">
        <v>41</v>
      </c>
      <c r="M84" s="6">
        <v>2972</v>
      </c>
    </row>
    <row r="85" spans="1:13" x14ac:dyDescent="0.25">
      <c r="A85" s="4">
        <v>84</v>
      </c>
      <c r="B85" s="4" t="str">
        <f t="shared" si="14"/>
        <v>Щит силовой ЩС-КМ (корейский магазин), IP54</v>
      </c>
      <c r="C85" s="4" t="str">
        <f t="shared" si="13"/>
        <v>Монтажные материалы (клеммы, наконечники, провод ПВ3, маркировка, крепеж)</v>
      </c>
      <c r="D85" s="4" t="s">
        <v>42</v>
      </c>
      <c r="E85" s="4"/>
      <c r="F85" s="4" t="s">
        <v>48</v>
      </c>
      <c r="G85" s="4"/>
      <c r="H85" s="6">
        <f>SUM(I72:I84)*Kurallar!$B$10</f>
        <v>11288.012999999999</v>
      </c>
      <c r="I85" s="6">
        <f t="shared" si="15"/>
        <v>11288.012999999999</v>
      </c>
      <c r="J85" s="28">
        <v>1</v>
      </c>
      <c r="K85" s="28" t="s">
        <v>49</v>
      </c>
      <c r="L85" s="28" t="s">
        <v>50</v>
      </c>
      <c r="M85" s="6">
        <v>11288.012999999999</v>
      </c>
    </row>
    <row r="86" spans="1:13" x14ac:dyDescent="0.25">
      <c r="A86" s="4">
        <v>85</v>
      </c>
      <c r="B86" s="4" t="str">
        <f t="shared" si="14"/>
        <v>Щит силовой ЩС-КМ (корейский магазин), IP54</v>
      </c>
      <c r="C86" s="4" t="str">
        <f t="shared" si="13"/>
        <v>Сборка щита: монтаж аппаратов, ошиновка, маркировка, испытания</v>
      </c>
      <c r="D86" s="4" t="s">
        <v>51</v>
      </c>
      <c r="E86" s="4"/>
      <c r="F86" s="4" t="s">
        <v>52</v>
      </c>
      <c r="G86" s="5">
        <f>J86/60</f>
        <v>2.7833333333333332</v>
      </c>
      <c r="H86" s="6">
        <f>Kurallar!$B$11</f>
        <v>100</v>
      </c>
      <c r="I86" s="6">
        <f t="shared" si="15"/>
        <v>16700</v>
      </c>
      <c r="J86" s="28">
        <f>ROUND((Kurallar!$B$29*1+Kurallar!$B$20*1+Kurallar!$B$28*1+Kurallar!$B$31*1+Kurallar!$B$31*9+Kurallar!$B$28*14+Kurallar!$B$34*1+Kurallar!$B$33*1+Kurallar!$B$21*1+Kurallar!$B$21*1+Kurallar!$B$22*3+Kurallar!$B$23*4+Kurallar!$B$24)*Kurallar!$B$26,0)</f>
        <v>167</v>
      </c>
      <c r="K86" s="28" t="s">
        <v>53</v>
      </c>
      <c r="L86" s="28" t="s">
        <v>50</v>
      </c>
      <c r="M86" s="6">
        <v>16700</v>
      </c>
    </row>
    <row r="87" spans="1:13" x14ac:dyDescent="0.25">
      <c r="A87" s="7">
        <v>86</v>
      </c>
      <c r="B87" s="7" t="str">
        <f t="shared" si="14"/>
        <v>Щит силовой ЩС-КМ (корейский магазин), IP54</v>
      </c>
      <c r="C87" s="7" t="s">
        <v>88</v>
      </c>
      <c r="D87" s="7"/>
      <c r="E87" s="7"/>
      <c r="F87" s="7" t="s">
        <v>89</v>
      </c>
      <c r="G87" s="7"/>
      <c r="H87" s="7"/>
      <c r="I87" s="8">
        <f>SUBTOTAL(9,I72:I86)</f>
        <v>404255.11299999995</v>
      </c>
      <c r="J87" s="29"/>
      <c r="K87" s="29"/>
      <c r="L87" s="29"/>
      <c r="M87" s="8">
        <v>404255.11299999995</v>
      </c>
    </row>
    <row r="88" spans="1:13" x14ac:dyDescent="0.25">
      <c r="A88" s="2">
        <v>87</v>
      </c>
      <c r="B88" s="2" t="str">
        <f>F88</f>
        <v>Щит освещения ЩО-ФК (освещение фудкорта), IP54</v>
      </c>
      <c r="C88" s="3" t="str">
        <f t="shared" ref="C88:C102" si="16">F88</f>
        <v>Щит освещения ЩО-ФК (освещение фудкорта), IP54</v>
      </c>
      <c r="D88" s="2" t="s">
        <v>11</v>
      </c>
      <c r="E88" s="2"/>
      <c r="F88" s="2" t="s">
        <v>90</v>
      </c>
      <c r="G88" s="2"/>
      <c r="H88" s="2"/>
      <c r="I88" s="2"/>
      <c r="J88" s="27">
        <v>2</v>
      </c>
      <c r="K88" s="27" t="s">
        <v>13</v>
      </c>
      <c r="L88" s="27"/>
      <c r="M88" s="37"/>
    </row>
    <row r="89" spans="1:13" x14ac:dyDescent="0.25">
      <c r="A89" s="4">
        <v>88</v>
      </c>
      <c r="B89" s="4" t="str">
        <f t="shared" ref="B89:B103" si="17">B88</f>
        <v>Щит освещения ЩО-ФК (освещение фудкорта), IP54</v>
      </c>
      <c r="C89" s="4" t="str">
        <f t="shared" si="16"/>
        <v>Корпус металлический ЩРн-54 (540x440x120) IP54</v>
      </c>
      <c r="D89" s="4" t="s">
        <v>14</v>
      </c>
      <c r="E89" s="4" t="s">
        <v>15</v>
      </c>
      <c r="F89" s="4" t="s">
        <v>16</v>
      </c>
      <c r="G89" s="5">
        <v>40000</v>
      </c>
      <c r="H89" s="6">
        <f>G89*Kurallar!$B$8</f>
        <v>24000</v>
      </c>
      <c r="I89" s="6">
        <f t="shared" ref="I89:I102" si="18">H89*J89</f>
        <v>24000</v>
      </c>
      <c r="J89" s="28">
        <v>1</v>
      </c>
      <c r="K89" s="28" t="s">
        <v>17</v>
      </c>
      <c r="L89" s="34" t="s">
        <v>237</v>
      </c>
      <c r="M89" s="6">
        <v>24000</v>
      </c>
    </row>
    <row r="90" spans="1:13" x14ac:dyDescent="0.25">
      <c r="A90" s="4">
        <v>89</v>
      </c>
      <c r="B90" s="4" t="str">
        <f t="shared" si="17"/>
        <v>Щит освещения ЩО-ФК (освещение фудкорта), IP54</v>
      </c>
      <c r="C90" s="4" t="str">
        <f t="shared" si="16"/>
        <v>Автоматический выключатель Acti9 iC60N 3P C20A, 6kA</v>
      </c>
      <c r="D90" s="4" t="s">
        <v>19</v>
      </c>
      <c r="E90" s="4" t="s">
        <v>91</v>
      </c>
      <c r="F90" s="4" t="s">
        <v>92</v>
      </c>
      <c r="G90" s="5">
        <v>2420</v>
      </c>
      <c r="H90" s="6">
        <f>G90*Kurallar!$B$7*Kurallar!$B$6</f>
        <v>15246</v>
      </c>
      <c r="I90" s="6">
        <f t="shared" si="18"/>
        <v>15246</v>
      </c>
      <c r="J90" s="28">
        <v>1</v>
      </c>
      <c r="K90" s="28" t="s">
        <v>17</v>
      </c>
      <c r="L90" s="28" t="s">
        <v>22</v>
      </c>
      <c r="M90" s="6">
        <v>15246</v>
      </c>
    </row>
    <row r="91" spans="1:13" x14ac:dyDescent="0.25">
      <c r="A91" s="4">
        <v>90</v>
      </c>
      <c r="B91" s="4" t="str">
        <f t="shared" si="17"/>
        <v>Щит освещения ЩО-ФК (освещение фудкорта), IP54</v>
      </c>
      <c r="C91" s="4" t="str">
        <f t="shared" si="16"/>
        <v>Автоматический выключатель Acti9 iC60N 1P B1A, 6kA</v>
      </c>
      <c r="D91" s="4" t="s">
        <v>19</v>
      </c>
      <c r="E91" s="4" t="s">
        <v>84</v>
      </c>
      <c r="F91" s="4" t="s">
        <v>85</v>
      </c>
      <c r="G91" s="5">
        <v>2100</v>
      </c>
      <c r="H91" s="6">
        <f>G91*Kurallar!$B$7*Kurallar!$B$6</f>
        <v>13230</v>
      </c>
      <c r="I91" s="6">
        <f t="shared" si="18"/>
        <v>66150</v>
      </c>
      <c r="J91" s="28">
        <v>5</v>
      </c>
      <c r="K91" s="28" t="s">
        <v>17</v>
      </c>
      <c r="L91" s="28" t="s">
        <v>22</v>
      </c>
      <c r="M91" s="6">
        <v>66150</v>
      </c>
    </row>
    <row r="92" spans="1:13" x14ac:dyDescent="0.25">
      <c r="A92" s="4">
        <v>91</v>
      </c>
      <c r="B92" s="4" t="str">
        <f t="shared" si="17"/>
        <v>Щит освещения ЩО-ФК (освещение фудкорта), IP54</v>
      </c>
      <c r="C92" s="4" t="str">
        <f t="shared" si="16"/>
        <v>Автоматический выключатель Easy9 1P C10A, 4,5kA</v>
      </c>
      <c r="D92" s="4" t="s">
        <v>19</v>
      </c>
      <c r="E92" s="4" t="s">
        <v>32</v>
      </c>
      <c r="F92" s="4" t="s">
        <v>33</v>
      </c>
      <c r="G92" s="5">
        <v>250</v>
      </c>
      <c r="H92" s="6">
        <f>G92*Kurallar!$B$7*Kurallar!$B$6</f>
        <v>1575</v>
      </c>
      <c r="I92" s="6">
        <f t="shared" si="18"/>
        <v>36225</v>
      </c>
      <c r="J92" s="28">
        <v>23</v>
      </c>
      <c r="K92" s="28" t="s">
        <v>17</v>
      </c>
      <c r="L92" s="28" t="s">
        <v>22</v>
      </c>
      <c r="M92" s="6">
        <v>36225</v>
      </c>
    </row>
    <row r="93" spans="1:13" x14ac:dyDescent="0.25">
      <c r="A93" s="4">
        <v>92</v>
      </c>
      <c r="B93" s="4" t="str">
        <f t="shared" si="17"/>
        <v>Щит освещения ЩО-ФК (освещение фудкорта), IP54</v>
      </c>
      <c r="C93" s="4" t="str">
        <f t="shared" si="16"/>
        <v>Контактор модульный SE A9C20834 iCT25A 4НО 220/240В АС 50ГЦ</v>
      </c>
      <c r="D93" s="4" t="s">
        <v>34</v>
      </c>
      <c r="E93" s="4">
        <v>54138</v>
      </c>
      <c r="F93" s="4" t="s">
        <v>239</v>
      </c>
      <c r="G93" s="5">
        <v>2750</v>
      </c>
      <c r="H93" s="6">
        <f>G93*Kurallar!$B$7*Kurallar!$B$6</f>
        <v>17325</v>
      </c>
      <c r="I93" s="6">
        <f t="shared" si="18"/>
        <v>34650</v>
      </c>
      <c r="J93" s="28">
        <v>2</v>
      </c>
      <c r="K93" s="28" t="s">
        <v>17</v>
      </c>
      <c r="L93" s="28" t="s">
        <v>22</v>
      </c>
      <c r="M93" s="6">
        <v>34650</v>
      </c>
    </row>
    <row r="94" spans="1:13" x14ac:dyDescent="0.25">
      <c r="A94" s="4">
        <v>93</v>
      </c>
      <c r="B94" s="4" t="str">
        <f t="shared" si="17"/>
        <v>Щит освещения ЩО-ФК (освещение фудкорта), IP54</v>
      </c>
      <c r="C94" s="4" t="str">
        <f t="shared" si="16"/>
        <v>Контактор модульный SE A9C22712 iCT16A 2НО 230/240В АС</v>
      </c>
      <c r="D94" s="4" t="s">
        <v>34</v>
      </c>
      <c r="E94" s="4">
        <v>74552</v>
      </c>
      <c r="F94" s="4" t="s">
        <v>241</v>
      </c>
      <c r="G94" s="5">
        <v>1850</v>
      </c>
      <c r="H94" s="6">
        <f>G94*Kurallar!$B$7*Kurallar!$B$6</f>
        <v>11655</v>
      </c>
      <c r="I94" s="6">
        <f t="shared" si="18"/>
        <v>34965</v>
      </c>
      <c r="J94" s="28">
        <v>3</v>
      </c>
      <c r="K94" s="28" t="s">
        <v>17</v>
      </c>
      <c r="L94" s="28" t="s">
        <v>22</v>
      </c>
      <c r="M94" s="6">
        <v>34965</v>
      </c>
    </row>
    <row r="95" spans="1:13" x14ac:dyDescent="0.25">
      <c r="A95" s="4">
        <v>94</v>
      </c>
      <c r="B95" s="4" t="str">
        <f t="shared" si="17"/>
        <v>Щит освещения ЩО-ФК (освещение фудкорта), IP54</v>
      </c>
      <c r="C95" s="4" t="str">
        <f t="shared" si="16"/>
        <v>Выключатель нагрузки Acti9 iSW 3P 63A (проект: 20A)</v>
      </c>
      <c r="D95" s="4" t="s">
        <v>81</v>
      </c>
      <c r="E95" s="4" t="s">
        <v>82</v>
      </c>
      <c r="F95" s="4" t="s">
        <v>83</v>
      </c>
      <c r="G95" s="5">
        <v>2312</v>
      </c>
      <c r="H95" s="6">
        <f>G95*Kurallar!$B$7*Kurallar!$B$6</f>
        <v>14565.6</v>
      </c>
      <c r="I95" s="6">
        <f t="shared" si="18"/>
        <v>29131.200000000001</v>
      </c>
      <c r="J95" s="28">
        <v>2</v>
      </c>
      <c r="K95" s="28" t="s">
        <v>17</v>
      </c>
      <c r="L95" s="28" t="s">
        <v>22</v>
      </c>
      <c r="M95" s="6">
        <v>29131.200000000001</v>
      </c>
    </row>
    <row r="96" spans="1:13" x14ac:dyDescent="0.25">
      <c r="A96" s="4">
        <v>95</v>
      </c>
      <c r="B96" s="4" t="str">
        <f t="shared" si="17"/>
        <v>Щит освещения ЩО-ФК (освещение фудкорта), IP54</v>
      </c>
      <c r="C96" s="4" t="str">
        <f t="shared" si="16"/>
        <v>Выключатель нагрузки Acti9 iSW 1P 63A (проект: 20A)</v>
      </c>
      <c r="D96" s="4" t="s">
        <v>81</v>
      </c>
      <c r="E96" s="4" t="s">
        <v>93</v>
      </c>
      <c r="F96" s="4" t="s">
        <v>94</v>
      </c>
      <c r="G96" s="5">
        <v>705.9</v>
      </c>
      <c r="H96" s="6">
        <f>G96*Kurallar!$B$7*Kurallar!$B$6</f>
        <v>4447.17</v>
      </c>
      <c r="I96" s="6">
        <f t="shared" si="18"/>
        <v>13341.51</v>
      </c>
      <c r="J96" s="28">
        <v>3</v>
      </c>
      <c r="K96" s="28" t="s">
        <v>17</v>
      </c>
      <c r="L96" s="28" t="s">
        <v>22</v>
      </c>
      <c r="M96" s="6">
        <v>13341.51</v>
      </c>
    </row>
    <row r="97" spans="1:13" x14ac:dyDescent="0.25">
      <c r="A97" s="4">
        <v>96</v>
      </c>
      <c r="B97" s="4" t="str">
        <f t="shared" si="17"/>
        <v>Щит освещения ЩО-ФК (освещение фудкорта), IP54</v>
      </c>
      <c r="C97" s="4" t="str">
        <f t="shared" si="16"/>
        <v>Шина "PE" земля ШНИ 6х9 12-К-З на DIN-рейку в изоляторе</v>
      </c>
      <c r="D97" s="4" t="s">
        <v>35</v>
      </c>
      <c r="E97" s="4" t="s">
        <v>36</v>
      </c>
      <c r="F97" s="4" t="s">
        <v>37</v>
      </c>
      <c r="G97" s="5">
        <v>547</v>
      </c>
      <c r="H97" s="6">
        <f>G97*Kurallar!$B$9</f>
        <v>547</v>
      </c>
      <c r="I97" s="6">
        <f t="shared" si="18"/>
        <v>547</v>
      </c>
      <c r="J97" s="28">
        <v>1</v>
      </c>
      <c r="K97" s="28" t="s">
        <v>17</v>
      </c>
      <c r="L97" s="28" t="s">
        <v>38</v>
      </c>
      <c r="M97" s="6">
        <v>547</v>
      </c>
    </row>
    <row r="98" spans="1:13" x14ac:dyDescent="0.25">
      <c r="A98" s="4">
        <v>97</v>
      </c>
      <c r="B98" s="4" t="str">
        <f t="shared" si="17"/>
        <v>Щит освещения ЩО-ФК (освещение фудкорта), IP54</v>
      </c>
      <c r="C98" s="4" t="str">
        <f t="shared" si="16"/>
        <v>Шина "N" нулевая 6х9мм 14/2 (крепеж по краям)</v>
      </c>
      <c r="D98" s="4" t="s">
        <v>35</v>
      </c>
      <c r="E98" s="4" t="s">
        <v>39</v>
      </c>
      <c r="F98" s="4" t="s">
        <v>40</v>
      </c>
      <c r="G98" s="5">
        <v>494</v>
      </c>
      <c r="H98" s="6">
        <f>G98*Kurallar!$B$9</f>
        <v>494</v>
      </c>
      <c r="I98" s="6">
        <f t="shared" si="18"/>
        <v>494</v>
      </c>
      <c r="J98" s="28">
        <v>1</v>
      </c>
      <c r="K98" s="28" t="s">
        <v>17</v>
      </c>
      <c r="L98" s="28" t="s">
        <v>41</v>
      </c>
      <c r="M98" s="6">
        <v>494</v>
      </c>
    </row>
    <row r="99" spans="1:13" x14ac:dyDescent="0.25">
      <c r="A99" s="4">
        <v>98</v>
      </c>
      <c r="B99" s="4" t="str">
        <f t="shared" si="17"/>
        <v>Щит освещения ЩО-ФК (освещение фудкорта), IP54</v>
      </c>
      <c r="C99" s="4" t="str">
        <f t="shared" si="16"/>
        <v>DIN-рейка оцинкованная 1000 мм</v>
      </c>
      <c r="D99" s="4" t="s">
        <v>42</v>
      </c>
      <c r="E99" s="4" t="s">
        <v>43</v>
      </c>
      <c r="F99" s="4" t="s">
        <v>44</v>
      </c>
      <c r="G99" s="5">
        <v>549</v>
      </c>
      <c r="H99" s="6">
        <f>G99*Kurallar!$B$9</f>
        <v>549</v>
      </c>
      <c r="I99" s="6">
        <f t="shared" si="18"/>
        <v>1647</v>
      </c>
      <c r="J99" s="28">
        <v>3</v>
      </c>
      <c r="K99" s="28" t="s">
        <v>45</v>
      </c>
      <c r="L99" s="28" t="s">
        <v>38</v>
      </c>
      <c r="M99" s="6">
        <v>1647</v>
      </c>
    </row>
    <row r="100" spans="1:13" x14ac:dyDescent="0.25">
      <c r="A100" s="4">
        <v>99</v>
      </c>
      <c r="B100" s="4" t="str">
        <f t="shared" si="17"/>
        <v>Щит освещения ЩО-ФК (освещение фудкорта), IP54</v>
      </c>
      <c r="C100" s="4" t="str">
        <f t="shared" si="16"/>
        <v>Кабель-канал перфорированный 40х40 (2 м)</v>
      </c>
      <c r="D100" s="4" t="s">
        <v>42</v>
      </c>
      <c r="E100" s="4" t="s">
        <v>46</v>
      </c>
      <c r="F100" s="4" t="s">
        <v>47</v>
      </c>
      <c r="G100" s="5">
        <v>1486</v>
      </c>
      <c r="H100" s="6">
        <f>G100*Kurallar!$B$9</f>
        <v>1486</v>
      </c>
      <c r="I100" s="6">
        <f t="shared" si="18"/>
        <v>2972</v>
      </c>
      <c r="J100" s="28">
        <v>2</v>
      </c>
      <c r="K100" s="28" t="s">
        <v>17</v>
      </c>
      <c r="L100" s="28" t="s">
        <v>41</v>
      </c>
      <c r="M100" s="6">
        <v>2972</v>
      </c>
    </row>
    <row r="101" spans="1:13" x14ac:dyDescent="0.25">
      <c r="A101" s="4">
        <v>100</v>
      </c>
      <c r="B101" s="4" t="str">
        <f t="shared" si="17"/>
        <v>Щит освещения ЩО-ФК (освещение фудкорта), IP54</v>
      </c>
      <c r="C101" s="4" t="str">
        <f t="shared" si="16"/>
        <v>Монтажные материалы (клеммы, наконечники, провод ПВ3, маркировка, крепеж)</v>
      </c>
      <c r="D101" s="4" t="s">
        <v>42</v>
      </c>
      <c r="E101" s="4"/>
      <c r="F101" s="4" t="s">
        <v>48</v>
      </c>
      <c r="G101" s="4"/>
      <c r="H101" s="6">
        <f>SUM(I89:I100)*Kurallar!$B$10</f>
        <v>7781.0613000000003</v>
      </c>
      <c r="I101" s="6">
        <f t="shared" si="18"/>
        <v>7781.0613000000003</v>
      </c>
      <c r="J101" s="28">
        <v>1</v>
      </c>
      <c r="K101" s="28" t="s">
        <v>49</v>
      </c>
      <c r="L101" s="28" t="s">
        <v>50</v>
      </c>
      <c r="M101" s="6">
        <v>7781.0613000000003</v>
      </c>
    </row>
    <row r="102" spans="1:13" x14ac:dyDescent="0.25">
      <c r="A102" s="4">
        <v>101</v>
      </c>
      <c r="B102" s="4" t="str">
        <f t="shared" si="17"/>
        <v>Щит освещения ЩО-ФК (освещение фудкорта), IP54</v>
      </c>
      <c r="C102" s="4" t="str">
        <f t="shared" si="16"/>
        <v>Сборка щита: монтаж аппаратов, ошиновка, маркировка, испытания</v>
      </c>
      <c r="D102" s="4" t="s">
        <v>51</v>
      </c>
      <c r="E102" s="4"/>
      <c r="F102" s="4" t="s">
        <v>52</v>
      </c>
      <c r="G102" s="5">
        <f>J102/60</f>
        <v>3.6666666666666665</v>
      </c>
      <c r="H102" s="6">
        <f>Kurallar!$B$11</f>
        <v>100</v>
      </c>
      <c r="I102" s="6">
        <f t="shared" si="18"/>
        <v>22000</v>
      </c>
      <c r="J102" s="28">
        <f>ROUND((Kurallar!$B$29*1+Kurallar!$B$28*5+Kurallar!$B$28*23+Kurallar!$B$34*2+Kurallar!$B$33*3+Kurallar!$B$20*2+Kurallar!$B$19*3+Kurallar!$B$21*1+Kurallar!$B$21*1+Kurallar!$B$22*3+Kurallar!$B$23*4+Kurallar!$B$24)*Kurallar!$B$26,0)</f>
        <v>220</v>
      </c>
      <c r="K102" s="28" t="s">
        <v>53</v>
      </c>
      <c r="L102" s="28" t="s">
        <v>50</v>
      </c>
      <c r="M102" s="6">
        <v>22000</v>
      </c>
    </row>
    <row r="103" spans="1:13" x14ac:dyDescent="0.25">
      <c r="A103" s="7">
        <v>102</v>
      </c>
      <c r="B103" s="7" t="str">
        <f t="shared" si="17"/>
        <v>Щит освещения ЩО-ФК (освещение фудкорта), IP54</v>
      </c>
      <c r="C103" s="7" t="s">
        <v>95</v>
      </c>
      <c r="D103" s="7"/>
      <c r="E103" s="7"/>
      <c r="F103" s="7" t="s">
        <v>96</v>
      </c>
      <c r="G103" s="7"/>
      <c r="H103" s="7"/>
      <c r="I103" s="8">
        <f>SUBTOTAL(9,I89:I102)</f>
        <v>289149.77130000002</v>
      </c>
      <c r="J103" s="29"/>
      <c r="K103" s="29"/>
      <c r="L103" s="29"/>
      <c r="M103" s="8">
        <v>289149.77130000002</v>
      </c>
    </row>
    <row r="104" spans="1:13" x14ac:dyDescent="0.25">
      <c r="A104" s="9"/>
      <c r="B104" s="9"/>
      <c r="C104" s="9" t="s">
        <v>97</v>
      </c>
      <c r="D104" s="9"/>
      <c r="E104" s="9"/>
      <c r="F104" s="9" t="s">
        <v>98</v>
      </c>
      <c r="G104" s="9"/>
      <c r="H104" s="9"/>
      <c r="I104" s="9"/>
      <c r="J104" s="30"/>
      <c r="K104" s="30"/>
      <c r="L104" s="30"/>
      <c r="M104" s="38"/>
    </row>
    <row r="105" spans="1:13" x14ac:dyDescent="0.25">
      <c r="A105" s="10" t="s">
        <v>99</v>
      </c>
      <c r="B105" s="10"/>
      <c r="C105" s="10" t="s">
        <v>100</v>
      </c>
      <c r="D105" s="10" t="s">
        <v>101</v>
      </c>
      <c r="E105" s="10" t="s">
        <v>102</v>
      </c>
      <c r="F105" s="10" t="s">
        <v>103</v>
      </c>
      <c r="G105" s="11">
        <v>93</v>
      </c>
      <c r="H105" s="12">
        <f>G105*Kurallar!$B$9</f>
        <v>93</v>
      </c>
      <c r="I105" s="12">
        <f>H105*J105</f>
        <v>0</v>
      </c>
      <c r="J105" s="31">
        <v>0</v>
      </c>
      <c r="K105" s="31" t="s">
        <v>17</v>
      </c>
      <c r="L105" s="35" t="s">
        <v>238</v>
      </c>
      <c r="M105" s="12">
        <v>0</v>
      </c>
    </row>
    <row r="106" spans="1:13" x14ac:dyDescent="0.25">
      <c r="A106" s="10" t="s">
        <v>99</v>
      </c>
      <c r="B106" s="10"/>
      <c r="C106" s="10" t="s">
        <v>100</v>
      </c>
      <c r="D106" s="10" t="s">
        <v>101</v>
      </c>
      <c r="E106" s="10" t="s">
        <v>104</v>
      </c>
      <c r="F106" s="10" t="s">
        <v>105</v>
      </c>
      <c r="G106" s="11">
        <v>93</v>
      </c>
      <c r="H106" s="12">
        <f>G106*Kurallar!$B$9</f>
        <v>93</v>
      </c>
      <c r="I106" s="12">
        <f>H106*J106</f>
        <v>0</v>
      </c>
      <c r="J106" s="31">
        <v>0</v>
      </c>
      <c r="K106" s="31" t="s">
        <v>17</v>
      </c>
      <c r="L106" s="35" t="s">
        <v>238</v>
      </c>
      <c r="M106" s="12">
        <v>0</v>
      </c>
    </row>
    <row r="107" spans="1:13" x14ac:dyDescent="0.25">
      <c r="A107" s="10" t="s">
        <v>99</v>
      </c>
      <c r="B107" s="10"/>
      <c r="C107" s="10" t="s">
        <v>100</v>
      </c>
      <c r="D107" s="10" t="s">
        <v>101</v>
      </c>
      <c r="E107" s="10" t="s">
        <v>106</v>
      </c>
      <c r="F107" s="10" t="s">
        <v>107</v>
      </c>
      <c r="G107" s="11">
        <v>155</v>
      </c>
      <c r="H107" s="12">
        <f>G107*Kurallar!$B$9</f>
        <v>155</v>
      </c>
      <c r="I107" s="12">
        <f>H107*J107</f>
        <v>0</v>
      </c>
      <c r="J107" s="31">
        <v>0</v>
      </c>
      <c r="K107" s="31" t="s">
        <v>17</v>
      </c>
      <c r="L107" s="35" t="s">
        <v>238</v>
      </c>
      <c r="M107" s="12">
        <v>0</v>
      </c>
    </row>
    <row r="108" spans="1:13" x14ac:dyDescent="0.25">
      <c r="A108" s="10" t="s">
        <v>99</v>
      </c>
      <c r="B108" s="10"/>
      <c r="C108" s="10" t="s">
        <v>100</v>
      </c>
      <c r="D108" s="10" t="s">
        <v>42</v>
      </c>
      <c r="E108" s="10" t="s">
        <v>50</v>
      </c>
      <c r="F108" s="10" t="s">
        <v>108</v>
      </c>
      <c r="G108" s="11"/>
      <c r="H108" s="12"/>
      <c r="I108" s="12"/>
      <c r="J108" s="31">
        <v>0</v>
      </c>
      <c r="K108" s="31" t="s">
        <v>17</v>
      </c>
      <c r="L108" s="31" t="s">
        <v>38</v>
      </c>
      <c r="M108" s="12"/>
    </row>
    <row r="109" spans="1:13" x14ac:dyDescent="0.25">
      <c r="A109" s="10" t="s">
        <v>99</v>
      </c>
      <c r="B109" s="10"/>
      <c r="C109" s="10" t="s">
        <v>109</v>
      </c>
      <c r="D109" s="10" t="s">
        <v>14</v>
      </c>
      <c r="E109" s="10" t="s">
        <v>65</v>
      </c>
      <c r="F109" s="10" t="s">
        <v>110</v>
      </c>
      <c r="G109" s="11"/>
      <c r="H109" s="12"/>
      <c r="I109" s="12"/>
      <c r="J109" s="31">
        <v>0</v>
      </c>
      <c r="K109" s="31" t="s">
        <v>17</v>
      </c>
      <c r="L109" s="31" t="s">
        <v>18</v>
      </c>
      <c r="M109" s="12"/>
    </row>
  </sheetData>
  <autoFilter ref="A1:L109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4032-83A3-4187-A298-859FE73E55C0}">
  <dimension ref="A1:K2"/>
  <sheetViews>
    <sheetView workbookViewId="0">
      <selection activeCell="D2" sqref="D2:K2"/>
    </sheetView>
  </sheetViews>
  <sheetFormatPr defaultRowHeight="15" x14ac:dyDescent="0.25"/>
  <cols>
    <col min="5" max="5" width="50.7109375" customWidth="1"/>
  </cols>
  <sheetData>
    <row r="1" spans="1:11" x14ac:dyDescent="0.25">
      <c r="A1" s="4">
        <v>37</v>
      </c>
      <c r="B1" s="4" t="str">
        <f t="shared" ref="B1:B2" si="0">E1</f>
        <v>Автоматический выключатель Acti9 C120N 3P C100A, 10kA</v>
      </c>
      <c r="C1" s="4" t="s">
        <v>19</v>
      </c>
      <c r="D1" s="4" t="s">
        <v>67</v>
      </c>
      <c r="E1" s="4" t="s">
        <v>68</v>
      </c>
      <c r="F1" s="5">
        <v>8710</v>
      </c>
      <c r="G1" s="6">
        <f>F1*Kurallar!$B$7*Kurallar!$B$6</f>
        <v>54873</v>
      </c>
      <c r="H1" s="6">
        <f t="shared" ref="H1:H2" si="1">G1*I1</f>
        <v>54873</v>
      </c>
      <c r="I1" s="28">
        <v>1</v>
      </c>
      <c r="J1" s="28" t="s">
        <v>17</v>
      </c>
      <c r="K1" s="28" t="s">
        <v>22</v>
      </c>
    </row>
    <row r="2" spans="1:11" x14ac:dyDescent="0.25">
      <c r="A2" s="4">
        <v>55</v>
      </c>
      <c r="B2" s="4" t="str">
        <f t="shared" si="0"/>
        <v>Автоматический выключатель Acti9 C120N 3P C125A, 10kA</v>
      </c>
      <c r="C2" s="4" t="s">
        <v>19</v>
      </c>
      <c r="D2" s="4" t="s">
        <v>74</v>
      </c>
      <c r="E2" s="4" t="s">
        <v>75</v>
      </c>
      <c r="F2" s="5">
        <v>9358</v>
      </c>
      <c r="G2" s="6">
        <f>F2*Kurallar!$B$7*Kurallar!$B$6</f>
        <v>58955.4</v>
      </c>
      <c r="H2" s="6">
        <f t="shared" si="1"/>
        <v>58955.4</v>
      </c>
      <c r="I2" s="28">
        <v>1</v>
      </c>
      <c r="J2" s="28" t="s">
        <v>17</v>
      </c>
      <c r="K2" s="2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CBD4-6E69-4C84-A2FF-1B08378BD6FC}">
  <dimension ref="A1:J10"/>
  <sheetViews>
    <sheetView tabSelected="1" workbookViewId="0">
      <selection activeCell="C10" sqref="C10"/>
    </sheetView>
  </sheetViews>
  <sheetFormatPr defaultRowHeight="15" x14ac:dyDescent="0.25"/>
  <cols>
    <col min="2" max="2" width="63.140625" customWidth="1"/>
    <col min="3" max="5" width="13" style="39" customWidth="1"/>
    <col min="6" max="10" width="9.140625" style="39"/>
  </cols>
  <sheetData>
    <row r="1" spans="1:10" ht="25.5" x14ac:dyDescent="0.25">
      <c r="A1" s="1" t="s">
        <v>3</v>
      </c>
      <c r="B1" s="1" t="s">
        <v>4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6" t="s">
        <v>245</v>
      </c>
      <c r="J1" s="39">
        <v>2.2999999999999998</v>
      </c>
    </row>
    <row r="2" spans="1:10" ht="26.25" x14ac:dyDescent="0.25">
      <c r="A2" s="2"/>
      <c r="B2" s="2" t="s">
        <v>247</v>
      </c>
      <c r="C2" s="37">
        <f>ROUNDUP(J2,-3)</f>
        <v>1075000</v>
      </c>
      <c r="D2" s="37">
        <f>C2*0.7</f>
        <v>752500</v>
      </c>
      <c r="E2" s="37">
        <f>D2*F2</f>
        <v>1505000</v>
      </c>
      <c r="F2" s="40">
        <v>2</v>
      </c>
      <c r="G2" s="40" t="s">
        <v>13</v>
      </c>
      <c r="H2" s="41" t="s">
        <v>252</v>
      </c>
      <c r="I2" s="8">
        <v>467192.73599999998</v>
      </c>
      <c r="J2" s="39">
        <f>2.3*I2</f>
        <v>1074543.2927999999</v>
      </c>
    </row>
    <row r="3" spans="1:10" ht="26.25" x14ac:dyDescent="0.25">
      <c r="A3" s="2"/>
      <c r="B3" s="2" t="s">
        <v>246</v>
      </c>
      <c r="C3" s="37">
        <f t="shared" ref="C3:C7" si="0">ROUNDUP(J3,-3)</f>
        <v>1104000</v>
      </c>
      <c r="D3" s="37">
        <f t="shared" ref="D3:D9" si="1">C3*0.7</f>
        <v>772800</v>
      </c>
      <c r="E3" s="37">
        <f t="shared" ref="E3:E7" si="2">D3*F3</f>
        <v>1545600</v>
      </c>
      <c r="F3" s="40">
        <v>2</v>
      </c>
      <c r="G3" s="40" t="s">
        <v>13</v>
      </c>
      <c r="H3" s="41" t="s">
        <v>252</v>
      </c>
      <c r="I3" s="8">
        <v>479749.18400000001</v>
      </c>
      <c r="J3" s="39">
        <f t="shared" ref="J3:J7" si="3">2.3*I3</f>
        <v>1103423.1232</v>
      </c>
    </row>
    <row r="4" spans="1:10" ht="26.25" x14ac:dyDescent="0.25">
      <c r="A4" s="2"/>
      <c r="B4" s="2" t="s">
        <v>248</v>
      </c>
      <c r="C4" s="37">
        <f t="shared" si="0"/>
        <v>1306000</v>
      </c>
      <c r="D4" s="37">
        <f t="shared" si="1"/>
        <v>914200</v>
      </c>
      <c r="E4" s="37">
        <f t="shared" si="2"/>
        <v>1828400</v>
      </c>
      <c r="F4" s="40">
        <v>2</v>
      </c>
      <c r="G4" s="40" t="s">
        <v>13</v>
      </c>
      <c r="H4" s="41" t="s">
        <v>252</v>
      </c>
      <c r="I4" s="8">
        <v>567641.16400000011</v>
      </c>
      <c r="J4" s="39">
        <f t="shared" si="3"/>
        <v>1305574.6772</v>
      </c>
    </row>
    <row r="5" spans="1:10" ht="26.25" x14ac:dyDescent="0.25">
      <c r="A5" s="2"/>
      <c r="B5" s="2" t="s">
        <v>249</v>
      </c>
      <c r="C5" s="37">
        <f t="shared" si="0"/>
        <v>1528000</v>
      </c>
      <c r="D5" s="37">
        <f t="shared" si="1"/>
        <v>1069600</v>
      </c>
      <c r="E5" s="37">
        <f t="shared" si="2"/>
        <v>2139200</v>
      </c>
      <c r="F5" s="40">
        <v>2</v>
      </c>
      <c r="G5" s="40" t="s">
        <v>13</v>
      </c>
      <c r="H5" s="41" t="s">
        <v>252</v>
      </c>
      <c r="I5" s="8">
        <v>663983.69400000002</v>
      </c>
      <c r="J5" s="39">
        <f t="shared" si="3"/>
        <v>1527162.4961999999</v>
      </c>
    </row>
    <row r="6" spans="1:10" ht="26.25" x14ac:dyDescent="0.25">
      <c r="A6" s="2"/>
      <c r="B6" s="2" t="s">
        <v>250</v>
      </c>
      <c r="C6" s="37">
        <f t="shared" si="0"/>
        <v>930000</v>
      </c>
      <c r="D6" s="37">
        <f t="shared" si="1"/>
        <v>651000</v>
      </c>
      <c r="E6" s="37">
        <f t="shared" si="2"/>
        <v>1302000</v>
      </c>
      <c r="F6" s="40">
        <v>2</v>
      </c>
      <c r="G6" s="40" t="s">
        <v>13</v>
      </c>
      <c r="H6" s="41" t="s">
        <v>252</v>
      </c>
      <c r="I6" s="8">
        <v>404255.11299999995</v>
      </c>
      <c r="J6" s="39">
        <f t="shared" si="3"/>
        <v>929786.75989999983</v>
      </c>
    </row>
    <row r="7" spans="1:10" ht="26.25" x14ac:dyDescent="0.25">
      <c r="A7" s="2"/>
      <c r="B7" s="2" t="s">
        <v>251</v>
      </c>
      <c r="C7" s="37">
        <f t="shared" si="0"/>
        <v>666000</v>
      </c>
      <c r="D7" s="37">
        <f t="shared" si="1"/>
        <v>466199.99999999994</v>
      </c>
      <c r="E7" s="37">
        <f t="shared" si="2"/>
        <v>932399.99999999988</v>
      </c>
      <c r="F7" s="40">
        <v>2</v>
      </c>
      <c r="G7" s="40" t="s">
        <v>13</v>
      </c>
      <c r="H7" s="41" t="s">
        <v>252</v>
      </c>
      <c r="I7" s="8">
        <v>289149.77130000002</v>
      </c>
      <c r="J7" s="39">
        <f t="shared" si="3"/>
        <v>665044.47398999997</v>
      </c>
    </row>
    <row r="8" spans="1:10" x14ac:dyDescent="0.25">
      <c r="C8" s="39">
        <f>SUM(C2:C7)</f>
        <v>6609000</v>
      </c>
      <c r="D8" s="39">
        <f t="shared" si="1"/>
        <v>4626300</v>
      </c>
      <c r="E8" s="42">
        <f>SUM(E2:E7)</f>
        <v>9252600</v>
      </c>
      <c r="I8" s="39">
        <f>SUM(I2:I7)</f>
        <v>2871971.6623</v>
      </c>
    </row>
    <row r="9" spans="1:10" x14ac:dyDescent="0.25">
      <c r="C9" s="39">
        <f>2*C8</f>
        <v>13218000</v>
      </c>
      <c r="D9" s="39">
        <f t="shared" si="1"/>
        <v>9252600</v>
      </c>
      <c r="I9" s="39">
        <f>1.16*I8</f>
        <v>3331487.1282679997</v>
      </c>
    </row>
    <row r="10" spans="1:10" x14ac:dyDescent="0.25">
      <c r="I10" s="39">
        <f>1.4*I9</f>
        <v>4664081.9795751991</v>
      </c>
    </row>
  </sheetData>
  <autoFilter ref="A1:I7" xr:uid="{6F4FCBD4-6E69-4C84-A2FF-1B08378BD6F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zoomScaleNormal="100" workbookViewId="0"/>
  </sheetViews>
  <sheetFormatPr defaultColWidth="8.7109375" defaultRowHeight="15" x14ac:dyDescent="0.25"/>
  <cols>
    <col min="1" max="1" width="5" customWidth="1"/>
    <col min="2" max="2" width="12" customWidth="1"/>
    <col min="3" max="3" width="56" customWidth="1"/>
    <col min="4" max="4" width="34" customWidth="1"/>
    <col min="5" max="6" width="15" customWidth="1"/>
    <col min="7" max="7" width="13" customWidth="1"/>
    <col min="8" max="8" width="12" customWidth="1"/>
    <col min="9" max="10" width="18" customWidth="1"/>
  </cols>
  <sheetData>
    <row r="1" spans="1:10" ht="26.25" x14ac:dyDescent="0.25">
      <c r="A1" s="13" t="s">
        <v>111</v>
      </c>
      <c r="B1" s="13" t="s">
        <v>112</v>
      </c>
      <c r="C1" s="13" t="s">
        <v>113</v>
      </c>
      <c r="D1" s="13" t="s">
        <v>114</v>
      </c>
      <c r="E1" s="13" t="s">
        <v>115</v>
      </c>
      <c r="F1" s="13" t="s">
        <v>116</v>
      </c>
      <c r="G1" s="13" t="s">
        <v>117</v>
      </c>
      <c r="H1" s="13" t="s">
        <v>118</v>
      </c>
      <c r="I1" s="13" t="s">
        <v>119</v>
      </c>
      <c r="J1" s="13" t="s">
        <v>7</v>
      </c>
    </row>
    <row r="2" spans="1:10" x14ac:dyDescent="0.25">
      <c r="A2" s="4">
        <v>1</v>
      </c>
      <c r="B2" s="4" t="s">
        <v>120</v>
      </c>
      <c r="C2" s="4" t="s">
        <v>12</v>
      </c>
      <c r="D2" s="4" t="s">
        <v>16</v>
      </c>
      <c r="E2" s="4">
        <v>54</v>
      </c>
      <c r="F2" s="4">
        <v>54</v>
      </c>
      <c r="G2" s="14">
        <f t="shared" ref="G2:G7" si="0">E2/F2</f>
        <v>1</v>
      </c>
      <c r="H2" s="4">
        <v>1</v>
      </c>
      <c r="I2" s="6">
        <f>BOM!I18</f>
        <v>467192.73599999998</v>
      </c>
      <c r="J2" s="6">
        <f t="shared" ref="J2:J7" si="1">I2*H2</f>
        <v>467192.73599999998</v>
      </c>
    </row>
    <row r="3" spans="1:10" x14ac:dyDescent="0.25">
      <c r="A3" s="4">
        <v>2</v>
      </c>
      <c r="B3" s="4" t="s">
        <v>121</v>
      </c>
      <c r="C3" s="4" t="s">
        <v>56</v>
      </c>
      <c r="D3" s="4" t="s">
        <v>57</v>
      </c>
      <c r="E3" s="4">
        <v>40</v>
      </c>
      <c r="F3" s="4">
        <v>48</v>
      </c>
      <c r="G3" s="14">
        <f t="shared" si="0"/>
        <v>0.83333333333333337</v>
      </c>
      <c r="H3" s="4">
        <v>1</v>
      </c>
      <c r="I3" s="6">
        <f>BOM!I35</f>
        <v>479749.18400000001</v>
      </c>
      <c r="J3" s="6">
        <f t="shared" si="1"/>
        <v>479749.18400000001</v>
      </c>
    </row>
    <row r="4" spans="1:10" x14ac:dyDescent="0.25">
      <c r="A4" s="4">
        <v>3</v>
      </c>
      <c r="B4" s="4" t="s">
        <v>122</v>
      </c>
      <c r="C4" s="4" t="s">
        <v>64</v>
      </c>
      <c r="D4" s="4" t="s">
        <v>66</v>
      </c>
      <c r="E4" s="4">
        <v>56.5</v>
      </c>
      <c r="F4" s="4">
        <v>72</v>
      </c>
      <c r="G4" s="15">
        <f t="shared" si="0"/>
        <v>0.78472222222222221</v>
      </c>
      <c r="H4" s="4">
        <v>1</v>
      </c>
      <c r="I4" s="6">
        <f>BOM!I53</f>
        <v>567641.16400000011</v>
      </c>
      <c r="J4" s="6">
        <f t="shared" si="1"/>
        <v>567641.16400000011</v>
      </c>
    </row>
    <row r="5" spans="1:10" x14ac:dyDescent="0.25">
      <c r="A5" s="4">
        <v>4</v>
      </c>
      <c r="B5" s="4" t="s">
        <v>123</v>
      </c>
      <c r="C5" s="4" t="s">
        <v>73</v>
      </c>
      <c r="D5" s="4" t="s">
        <v>66</v>
      </c>
      <c r="E5" s="4">
        <v>61.5</v>
      </c>
      <c r="F5" s="4">
        <v>72</v>
      </c>
      <c r="G5" s="14">
        <f t="shared" si="0"/>
        <v>0.85416666666666663</v>
      </c>
      <c r="H5" s="4">
        <v>1</v>
      </c>
      <c r="I5" s="6">
        <f>BOM!I70</f>
        <v>663983.69400000002</v>
      </c>
      <c r="J5" s="6">
        <f t="shared" si="1"/>
        <v>663983.69400000002</v>
      </c>
    </row>
    <row r="6" spans="1:10" x14ac:dyDescent="0.25">
      <c r="A6" s="4">
        <v>5</v>
      </c>
      <c r="B6" s="4" t="s">
        <v>124</v>
      </c>
      <c r="C6" s="4" t="s">
        <v>78</v>
      </c>
      <c r="D6" s="4" t="s">
        <v>16</v>
      </c>
      <c r="E6" s="4">
        <v>45</v>
      </c>
      <c r="F6" s="4">
        <v>54</v>
      </c>
      <c r="G6" s="14">
        <f t="shared" si="0"/>
        <v>0.83333333333333337</v>
      </c>
      <c r="H6" s="4">
        <v>1</v>
      </c>
      <c r="I6" s="6">
        <f>BOM!I87</f>
        <v>404255.11299999995</v>
      </c>
      <c r="J6" s="6">
        <f t="shared" si="1"/>
        <v>404255.11299999995</v>
      </c>
    </row>
    <row r="7" spans="1:10" x14ac:dyDescent="0.25">
      <c r="A7" s="4">
        <v>6</v>
      </c>
      <c r="B7" s="4" t="s">
        <v>125</v>
      </c>
      <c r="C7" s="4" t="s">
        <v>90</v>
      </c>
      <c r="D7" s="4" t="s">
        <v>16</v>
      </c>
      <c r="E7" s="4">
        <v>49</v>
      </c>
      <c r="F7" s="4">
        <v>54</v>
      </c>
      <c r="G7" s="14">
        <f t="shared" si="0"/>
        <v>0.90740740740740744</v>
      </c>
      <c r="H7" s="4">
        <v>1</v>
      </c>
      <c r="I7" s="6">
        <f>BOM!I103</f>
        <v>289149.77130000002</v>
      </c>
      <c r="J7" s="6">
        <f t="shared" si="1"/>
        <v>289149.77130000002</v>
      </c>
    </row>
    <row r="8" spans="1:10" x14ac:dyDescent="0.25">
      <c r="A8" s="16"/>
      <c r="B8" s="16"/>
      <c r="C8" s="16" t="s">
        <v>126</v>
      </c>
      <c r="D8" s="16"/>
      <c r="E8" s="16"/>
      <c r="F8" s="16"/>
      <c r="G8" s="16"/>
      <c r="H8" s="16"/>
      <c r="I8" s="16"/>
      <c r="J8" s="17">
        <f>SUBTOTAL(9,J2:J7)</f>
        <v>2871971.6623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2"/>
  <sheetViews>
    <sheetView zoomScaleNormal="100" workbookViewId="0">
      <selection activeCell="B9" sqref="B9"/>
    </sheetView>
  </sheetViews>
  <sheetFormatPr defaultColWidth="8.7109375" defaultRowHeight="15" x14ac:dyDescent="0.25"/>
  <cols>
    <col min="1" max="1" width="40" customWidth="1"/>
    <col min="2" max="2" width="24" customWidth="1"/>
    <col min="3" max="3" width="130" customWidth="1"/>
  </cols>
  <sheetData>
    <row r="1" spans="1:3" ht="15.75" x14ac:dyDescent="0.25">
      <c r="A1" s="18" t="s">
        <v>127</v>
      </c>
      <c r="B1" s="19"/>
      <c r="C1" s="19"/>
    </row>
    <row r="2" spans="1:3" x14ac:dyDescent="0.25">
      <c r="A2" s="20" t="s">
        <v>128</v>
      </c>
      <c r="B2" s="19"/>
      <c r="C2" s="19"/>
    </row>
    <row r="3" spans="1:3" x14ac:dyDescent="0.25">
      <c r="A3" s="19"/>
      <c r="B3" s="19"/>
      <c r="C3" s="19"/>
    </row>
    <row r="4" spans="1:3" x14ac:dyDescent="0.25">
      <c r="A4" s="21" t="s">
        <v>129</v>
      </c>
      <c r="B4" s="21" t="s">
        <v>130</v>
      </c>
      <c r="C4" s="21" t="s">
        <v>131</v>
      </c>
    </row>
    <row r="5" spans="1:3" x14ac:dyDescent="0.25">
      <c r="A5" s="16" t="s">
        <v>132</v>
      </c>
      <c r="B5" s="22"/>
      <c r="C5" s="22"/>
    </row>
    <row r="6" spans="1:3" x14ac:dyDescent="0.25">
      <c r="A6" s="23" t="s">
        <v>133</v>
      </c>
      <c r="B6" s="24">
        <v>10.5</v>
      </c>
      <c r="C6" s="25" t="s">
        <v>134</v>
      </c>
    </row>
    <row r="7" spans="1:3" x14ac:dyDescent="0.25">
      <c r="A7" s="23" t="s">
        <v>135</v>
      </c>
      <c r="B7" s="24">
        <v>0.6</v>
      </c>
      <c r="C7" s="25" t="s">
        <v>136</v>
      </c>
    </row>
    <row r="8" spans="1:3" x14ac:dyDescent="0.25">
      <c r="A8" s="23" t="s">
        <v>137</v>
      </c>
      <c r="B8" s="24">
        <v>0.6</v>
      </c>
      <c r="C8" s="25" t="s">
        <v>138</v>
      </c>
    </row>
    <row r="9" spans="1:3" x14ac:dyDescent="0.25">
      <c r="A9" s="23" t="s">
        <v>139</v>
      </c>
      <c r="B9" s="24">
        <v>1</v>
      </c>
      <c r="C9" s="25" t="s">
        <v>140</v>
      </c>
    </row>
    <row r="10" spans="1:3" x14ac:dyDescent="0.25">
      <c r="A10" s="23" t="s">
        <v>141</v>
      </c>
      <c r="B10" s="24">
        <v>0.03</v>
      </c>
      <c r="C10" s="25" t="s">
        <v>142</v>
      </c>
    </row>
    <row r="11" spans="1:3" x14ac:dyDescent="0.25">
      <c r="A11" s="23" t="s">
        <v>143</v>
      </c>
      <c r="B11" s="24">
        <v>100</v>
      </c>
      <c r="C11" s="25" t="s">
        <v>144</v>
      </c>
    </row>
    <row r="12" spans="1:3" x14ac:dyDescent="0.25">
      <c r="A12" s="16" t="s">
        <v>145</v>
      </c>
      <c r="B12" s="22"/>
      <c r="C12" s="22"/>
    </row>
    <row r="13" spans="1:3" x14ac:dyDescent="0.25">
      <c r="A13" s="23" t="s">
        <v>146</v>
      </c>
      <c r="B13" s="24">
        <v>10</v>
      </c>
      <c r="C13" s="19"/>
    </row>
    <row r="14" spans="1:3" x14ac:dyDescent="0.25">
      <c r="A14" s="23" t="s">
        <v>147</v>
      </c>
      <c r="B14" s="24">
        <v>18</v>
      </c>
      <c r="C14" s="19"/>
    </row>
    <row r="15" spans="1:3" x14ac:dyDescent="0.25">
      <c r="A15" s="23" t="s">
        <v>148</v>
      </c>
      <c r="B15" s="24">
        <v>14</v>
      </c>
      <c r="C15" s="19"/>
    </row>
    <row r="16" spans="1:3" x14ac:dyDescent="0.25">
      <c r="A16" s="23" t="s">
        <v>149</v>
      </c>
      <c r="B16" s="24">
        <v>22</v>
      </c>
      <c r="C16" s="19"/>
    </row>
    <row r="17" spans="1:3" x14ac:dyDescent="0.25">
      <c r="A17" s="23" t="s">
        <v>150</v>
      </c>
      <c r="B17" s="24">
        <v>15</v>
      </c>
      <c r="C17" s="19"/>
    </row>
    <row r="18" spans="1:3" x14ac:dyDescent="0.25">
      <c r="A18" s="23" t="s">
        <v>151</v>
      </c>
      <c r="B18" s="24">
        <v>20</v>
      </c>
      <c r="C18" s="19"/>
    </row>
    <row r="19" spans="1:3" x14ac:dyDescent="0.25">
      <c r="A19" s="23" t="s">
        <v>152</v>
      </c>
      <c r="B19" s="24">
        <v>10</v>
      </c>
      <c r="C19" s="19"/>
    </row>
    <row r="20" spans="1:3" x14ac:dyDescent="0.25">
      <c r="A20" s="23" t="s">
        <v>153</v>
      </c>
      <c r="B20" s="24">
        <v>18</v>
      </c>
      <c r="C20" s="19"/>
    </row>
    <row r="21" spans="1:3" x14ac:dyDescent="0.25">
      <c r="A21" s="23" t="s">
        <v>154</v>
      </c>
      <c r="B21" s="24">
        <v>10</v>
      </c>
      <c r="C21" s="19"/>
    </row>
    <row r="22" spans="1:3" x14ac:dyDescent="0.25">
      <c r="A22" s="23" t="s">
        <v>155</v>
      </c>
      <c r="B22" s="24">
        <v>5</v>
      </c>
      <c r="C22" s="19"/>
    </row>
    <row r="23" spans="1:3" x14ac:dyDescent="0.25">
      <c r="A23" s="23" t="s">
        <v>156</v>
      </c>
      <c r="B23" s="24">
        <v>5</v>
      </c>
      <c r="C23" s="19"/>
    </row>
    <row r="24" spans="1:3" x14ac:dyDescent="0.25">
      <c r="A24" s="23" t="s">
        <v>157</v>
      </c>
      <c r="B24" s="24">
        <v>30</v>
      </c>
      <c r="C24" s="19"/>
    </row>
    <row r="25" spans="1:3" x14ac:dyDescent="0.25">
      <c r="A25" s="23" t="s">
        <v>158</v>
      </c>
      <c r="B25" s="24">
        <v>45</v>
      </c>
      <c r="C25" s="19"/>
    </row>
    <row r="26" spans="1:3" x14ac:dyDescent="0.25">
      <c r="A26" s="23" t="s">
        <v>159</v>
      </c>
      <c r="B26" s="24">
        <v>1.1499999999999999</v>
      </c>
      <c r="C26" s="19"/>
    </row>
    <row r="27" spans="1:3" x14ac:dyDescent="0.25">
      <c r="A27" s="16" t="s">
        <v>160</v>
      </c>
      <c r="B27" s="22"/>
      <c r="C27" s="22"/>
    </row>
    <row r="28" spans="1:3" x14ac:dyDescent="0.25">
      <c r="A28" s="23" t="s">
        <v>146</v>
      </c>
      <c r="B28" s="24">
        <v>1</v>
      </c>
      <c r="C28" s="19"/>
    </row>
    <row r="29" spans="1:3" x14ac:dyDescent="0.25">
      <c r="A29" s="23" t="s">
        <v>147</v>
      </c>
      <c r="B29" s="24">
        <v>3</v>
      </c>
      <c r="C29" s="19"/>
    </row>
    <row r="30" spans="1:3" x14ac:dyDescent="0.25">
      <c r="A30" s="23" t="s">
        <v>161</v>
      </c>
      <c r="B30" s="24">
        <v>4.5</v>
      </c>
      <c r="C30" s="19"/>
    </row>
    <row r="31" spans="1:3" x14ac:dyDescent="0.25">
      <c r="A31" s="23" t="s">
        <v>148</v>
      </c>
      <c r="B31" s="24">
        <v>2</v>
      </c>
      <c r="C31" s="19"/>
    </row>
    <row r="32" spans="1:3" x14ac:dyDescent="0.25">
      <c r="A32" s="23" t="s">
        <v>149</v>
      </c>
      <c r="B32" s="24">
        <v>6</v>
      </c>
      <c r="C32" s="19"/>
    </row>
    <row r="33" spans="1:3" x14ac:dyDescent="0.25">
      <c r="A33" s="23" t="s">
        <v>150</v>
      </c>
      <c r="B33" s="24">
        <v>1</v>
      </c>
      <c r="C33" s="19"/>
    </row>
    <row r="34" spans="1:3" x14ac:dyDescent="0.25">
      <c r="A34" s="23" t="s">
        <v>151</v>
      </c>
      <c r="B34" s="24">
        <v>3</v>
      </c>
      <c r="C34" s="19"/>
    </row>
    <row r="35" spans="1:3" x14ac:dyDescent="0.25">
      <c r="A35" s="23" t="s">
        <v>162</v>
      </c>
      <c r="B35" s="24">
        <v>1</v>
      </c>
      <c r="C35" s="19"/>
    </row>
    <row r="36" spans="1:3" x14ac:dyDescent="0.25">
      <c r="A36" s="23" t="s">
        <v>163</v>
      </c>
      <c r="B36" s="24">
        <v>3</v>
      </c>
      <c r="C36" s="19"/>
    </row>
    <row r="37" spans="1:3" x14ac:dyDescent="0.25">
      <c r="A37" s="19"/>
      <c r="B37" s="19"/>
      <c r="C37" s="19"/>
    </row>
    <row r="38" spans="1:3" x14ac:dyDescent="0.25">
      <c r="A38" s="19"/>
      <c r="B38" s="19"/>
      <c r="C38" s="19"/>
    </row>
    <row r="39" spans="1:3" x14ac:dyDescent="0.25">
      <c r="A39" s="19"/>
      <c r="B39" s="19"/>
      <c r="C39" s="19"/>
    </row>
    <row r="40" spans="1:3" x14ac:dyDescent="0.25">
      <c r="A40" s="19"/>
      <c r="B40" s="19"/>
      <c r="C40" s="19"/>
    </row>
    <row r="41" spans="1:3" x14ac:dyDescent="0.25">
      <c r="A41" s="19"/>
      <c r="B41" s="19"/>
      <c r="C41" s="19"/>
    </row>
    <row r="42" spans="1:3" x14ac:dyDescent="0.25">
      <c r="A42" s="19"/>
      <c r="B42" s="19"/>
      <c r="C42" s="19"/>
    </row>
    <row r="43" spans="1:3" x14ac:dyDescent="0.25">
      <c r="A43" s="19"/>
      <c r="B43" s="19"/>
      <c r="C43" s="19"/>
    </row>
    <row r="44" spans="1:3" x14ac:dyDescent="0.25">
      <c r="A44" s="19"/>
      <c r="B44" s="19"/>
      <c r="C44" s="19"/>
    </row>
    <row r="45" spans="1:3" ht="15.75" x14ac:dyDescent="0.25">
      <c r="A45" s="26" t="s">
        <v>164</v>
      </c>
      <c r="B45" s="19"/>
      <c r="C45" s="19"/>
    </row>
    <row r="46" spans="1:3" x14ac:dyDescent="0.25">
      <c r="A46" s="19"/>
      <c r="B46" s="19"/>
      <c r="C46" s="19"/>
    </row>
    <row r="47" spans="1:3" x14ac:dyDescent="0.25">
      <c r="A47" s="21" t="s">
        <v>111</v>
      </c>
      <c r="B47" s="21" t="s">
        <v>165</v>
      </c>
      <c r="C47" s="21" t="s">
        <v>131</v>
      </c>
    </row>
    <row r="48" spans="1:3" x14ac:dyDescent="0.25">
      <c r="A48" s="4" t="s">
        <v>166</v>
      </c>
      <c r="B48" s="2" t="s">
        <v>167</v>
      </c>
      <c r="C48" s="4" t="s">
        <v>168</v>
      </c>
    </row>
    <row r="49" spans="1:3" x14ac:dyDescent="0.25">
      <c r="A49" s="4" t="s">
        <v>169</v>
      </c>
      <c r="B49" s="2" t="s">
        <v>170</v>
      </c>
      <c r="C49" s="4" t="s">
        <v>171</v>
      </c>
    </row>
    <row r="50" spans="1:3" x14ac:dyDescent="0.25">
      <c r="A50" s="4" t="s">
        <v>172</v>
      </c>
      <c r="B50" s="2" t="s">
        <v>173</v>
      </c>
      <c r="C50" s="4" t="s">
        <v>174</v>
      </c>
    </row>
    <row r="51" spans="1:3" x14ac:dyDescent="0.25">
      <c r="A51" s="4" t="s">
        <v>175</v>
      </c>
      <c r="B51" s="2" t="s">
        <v>176</v>
      </c>
      <c r="C51" s="4" t="s">
        <v>177</v>
      </c>
    </row>
    <row r="52" spans="1:3" x14ac:dyDescent="0.25">
      <c r="A52" s="4" t="s">
        <v>178</v>
      </c>
      <c r="B52" s="2" t="s">
        <v>179</v>
      </c>
      <c r="C52" s="4" t="s">
        <v>180</v>
      </c>
    </row>
    <row r="53" spans="1:3" x14ac:dyDescent="0.25">
      <c r="A53" s="4"/>
      <c r="B53" s="2"/>
      <c r="C53" s="4" t="s">
        <v>181</v>
      </c>
    </row>
    <row r="54" spans="1:3" x14ac:dyDescent="0.25">
      <c r="A54" s="4" t="s">
        <v>182</v>
      </c>
      <c r="B54" s="2" t="s">
        <v>183</v>
      </c>
      <c r="C54" s="4" t="s">
        <v>184</v>
      </c>
    </row>
    <row r="55" spans="1:3" x14ac:dyDescent="0.25">
      <c r="A55" s="4" t="s">
        <v>185</v>
      </c>
      <c r="B55" s="2" t="s">
        <v>186</v>
      </c>
      <c r="C55" s="4" t="s">
        <v>187</v>
      </c>
    </row>
    <row r="56" spans="1:3" x14ac:dyDescent="0.25">
      <c r="A56" s="4" t="s">
        <v>188</v>
      </c>
      <c r="B56" s="2" t="s">
        <v>189</v>
      </c>
      <c r="C56" s="4" t="s">
        <v>190</v>
      </c>
    </row>
    <row r="57" spans="1:3" x14ac:dyDescent="0.25">
      <c r="A57" s="4" t="s">
        <v>191</v>
      </c>
      <c r="B57" s="2" t="s">
        <v>192</v>
      </c>
      <c r="C57" s="4" t="s">
        <v>193</v>
      </c>
    </row>
    <row r="58" spans="1:3" x14ac:dyDescent="0.25">
      <c r="A58" s="4" t="s">
        <v>194</v>
      </c>
      <c r="B58" s="2" t="s">
        <v>195</v>
      </c>
      <c r="C58" s="4" t="s">
        <v>196</v>
      </c>
    </row>
    <row r="59" spans="1:3" x14ac:dyDescent="0.25">
      <c r="A59" s="4" t="s">
        <v>197</v>
      </c>
      <c r="B59" s="2" t="s">
        <v>198</v>
      </c>
      <c r="C59" s="4" t="s">
        <v>199</v>
      </c>
    </row>
    <row r="60" spans="1:3" x14ac:dyDescent="0.25">
      <c r="A60" s="4" t="s">
        <v>200</v>
      </c>
      <c r="B60" s="2" t="s">
        <v>201</v>
      </c>
      <c r="C60" s="4" t="s">
        <v>202</v>
      </c>
    </row>
    <row r="61" spans="1:3" x14ac:dyDescent="0.25">
      <c r="A61" s="4" t="s">
        <v>203</v>
      </c>
      <c r="B61" s="2" t="s">
        <v>204</v>
      </c>
      <c r="C61" s="4" t="s">
        <v>205</v>
      </c>
    </row>
    <row r="62" spans="1:3" x14ac:dyDescent="0.25">
      <c r="A62" s="4" t="s">
        <v>206</v>
      </c>
      <c r="B62" s="2" t="s">
        <v>207</v>
      </c>
      <c r="C62" s="4" t="s">
        <v>208</v>
      </c>
    </row>
    <row r="63" spans="1:3" x14ac:dyDescent="0.25">
      <c r="A63" s="4" t="s">
        <v>209</v>
      </c>
      <c r="B63" s="2" t="s">
        <v>210</v>
      </c>
      <c r="C63" s="4" t="s">
        <v>211</v>
      </c>
    </row>
    <row r="64" spans="1:3" x14ac:dyDescent="0.25">
      <c r="A64" s="4" t="s">
        <v>212</v>
      </c>
      <c r="B64" s="2" t="s">
        <v>213</v>
      </c>
      <c r="C64" s="4"/>
    </row>
    <row r="65" spans="1:3" x14ac:dyDescent="0.25">
      <c r="A65" s="19"/>
      <c r="B65" s="19"/>
      <c r="C65" s="19"/>
    </row>
    <row r="66" spans="1:3" x14ac:dyDescent="0.25">
      <c r="A66" s="21" t="s">
        <v>214</v>
      </c>
      <c r="B66" s="21" t="s">
        <v>215</v>
      </c>
      <c r="C66" s="21" t="s">
        <v>216</v>
      </c>
    </row>
    <row r="67" spans="1:3" x14ac:dyDescent="0.25">
      <c r="A67" s="4" t="s">
        <v>217</v>
      </c>
      <c r="B67" s="4" t="s">
        <v>218</v>
      </c>
      <c r="C67" s="4" t="s">
        <v>219</v>
      </c>
    </row>
    <row r="68" spans="1:3" x14ac:dyDescent="0.25">
      <c r="A68" s="4" t="s">
        <v>220</v>
      </c>
      <c r="B68" s="4" t="s">
        <v>221</v>
      </c>
      <c r="C68" s="4" t="s">
        <v>222</v>
      </c>
    </row>
    <row r="69" spans="1:3" x14ac:dyDescent="0.25">
      <c r="A69" s="4" t="s">
        <v>223</v>
      </c>
      <c r="B69" s="4" t="s">
        <v>224</v>
      </c>
      <c r="C69" s="4" t="s">
        <v>225</v>
      </c>
    </row>
    <row r="70" spans="1:3" x14ac:dyDescent="0.25">
      <c r="A70" s="4" t="s">
        <v>226</v>
      </c>
      <c r="B70" s="4" t="s">
        <v>227</v>
      </c>
      <c r="C70" s="4" t="s">
        <v>228</v>
      </c>
    </row>
    <row r="71" spans="1:3" x14ac:dyDescent="0.25">
      <c r="A71" s="4" t="s">
        <v>229</v>
      </c>
      <c r="B71" s="4" t="s">
        <v>230</v>
      </c>
      <c r="C71" s="4" t="s">
        <v>231</v>
      </c>
    </row>
    <row r="72" spans="1:3" x14ac:dyDescent="0.25">
      <c r="A72" s="4" t="s">
        <v>232</v>
      </c>
      <c r="B72" s="4" t="s">
        <v>233</v>
      </c>
      <c r="C72" s="4" t="s">
        <v>231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BOM</vt:lpstr>
      <vt:lpstr>Sayfa1</vt:lpstr>
      <vt:lpstr>Sayfa2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2026-08-05T11:24:12Z</dcterms:created>
  <dcterms:modified xsi:type="dcterms:W3CDTF">2026-08-06T14:27:55Z</dcterms:modified>
  <dc:language>en-US</dc:language>
</cp:coreProperties>
</file>