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7 janet adpas\"/>
    </mc:Choice>
  </mc:AlternateContent>
  <xr:revisionPtr revIDLastSave="0" documentId="13_ncr:1_{DCA75218-4218-43CA-8212-4338135E73E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2" sheetId="5" r:id="rId1"/>
  </sheets>
  <definedNames>
    <definedName name="_xlnm._FilterDatabase" localSheetId="0">Sayfa2!$A$1:$G$7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2" i="5"/>
  <c r="G8" i="5" l="1"/>
</calcChain>
</file>

<file path=xl/sharedStrings.xml><?xml version="1.0" encoding="utf-8"?>
<sst xmlns="http://schemas.openxmlformats.org/spreadsheetml/2006/main" count="25" uniqueCount="15">
  <si>
    <t>Артикул</t>
  </si>
  <si>
    <t>Номенклатура</t>
  </si>
  <si>
    <t>Цена (прайс)</t>
  </si>
  <si>
    <t>Сумма, KZT</t>
  </si>
  <si>
    <t>Кол-во</t>
  </si>
  <si>
    <t>Ед.изм.</t>
  </si>
  <si>
    <t>Завод</t>
  </si>
  <si>
    <t>комплект</t>
  </si>
  <si>
    <t>Щит силовой ЩС-ФК2 (кухонное оборуд. и фанкойлы фудкорта)</t>
  </si>
  <si>
    <t>Щит силовой ЩС-ФК1 (кухонное оборуд. и фанкойлы фудкорта)</t>
  </si>
  <si>
    <t>Щит силовой ЩС-ФК3 (кухонное оборуд. и фанкойлы фудкорта)</t>
  </si>
  <si>
    <t>Щит силовой ЩС-ФК4 (кухонное оборуд. и фанкойлы фудкорта)</t>
  </si>
  <si>
    <t>Щит силовой ЩС-КМ (корейский магазин)</t>
  </si>
  <si>
    <t>Щит освещения ЩО-ФК (освещение фудкорта)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</si>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</sst>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CBD4-6E69-4C84-A2FF-1B08378BD6FC}">
  <dimension ref="A1:G8"/>
  <sheetViews>
    <sheetView tabSelected="1" zoomScale="145" zoomScaleNormal="145" workbookViewId="0">
      <selection activeCell="K2" sqref="K2"/>
    </sheetView>
  </sheetViews>
  <sheetFormatPr defaultRowHeight="15" x14ac:dyDescent="0.25"/>
  <cols>
    <col min="2" max="2" width="63.140625" style="5" customWidth="1"/>
    <col min="3" max="4" width="9.140625" style="7"/>
    <col min="5" max="5" width="10.7109375" style="7" customWidth="1"/>
    <col min="6" max="7" width="13" style="4" customWidth="1"/>
  </cols>
  <sheetData>
    <row r="1" spans="1:7" ht="25.5" x14ac:dyDescent="0.25">
      <c r="A1" s="1" t="s">
        <v>0</v>
      </c>
      <c r="B1" s="1" t="s">
        <v>1</v>
      </c>
      <c r="C1" s="3" t="s">
        <v>4</v>
      </c>
      <c r="D1" s="3" t="s">
        <v>5</v>
      </c>
      <c r="E1" s="3" t="s">
        <v>6</v>
      </c>
      <c r="F1" s="3" t="s">
        <v>2</v>
      </c>
      <c r="G1" s="3" t="s">
        <v>3</v>
      </c>
    </row>
    <row r="2" spans="1:7" ht="22.5" x14ac:dyDescent="0.25">
      <c r="A2" s="2"/>
      <c r="B2" s="9" t="s">
        <v>9</v>
      </c>
      <c r="C2" s="10">
        <v>2</v>
      </c>
      <c r="D2" s="10" t="s">
        <v>7</v>
      </c>
      <c r="E2" s="8" t="s">
        <v>14</v>
      </c>
      <c r="F2" s="11">
        <v>1056000</v>
      </c>
      <c r="G2" s="11">
        <f t="shared" ref="G2:G7" si="0">F2*C2</f>
        <v>2112000</v>
      </c>
    </row>
    <row r="3" spans="1:7" ht="22.5" x14ac:dyDescent="0.25">
      <c r="A3" s="2"/>
      <c r="B3" s="9" t="s">
        <v>8</v>
      </c>
      <c r="C3" s="10">
        <v>2</v>
      </c>
      <c r="D3" s="10" t="s">
        <v>7</v>
      </c>
      <c r="E3" s="8" t="s">
        <v>14</v>
      </c>
      <c r="F3" s="11">
        <v>1075000</v>
      </c>
      <c r="G3" s="11">
        <f t="shared" si="0"/>
        <v>2150000</v>
      </c>
    </row>
    <row r="4" spans="1:7" ht="22.5" x14ac:dyDescent="0.25">
      <c r="A4" s="2"/>
      <c r="B4" s="9" t="s">
        <v>10</v>
      </c>
      <c r="C4" s="10">
        <v>2</v>
      </c>
      <c r="D4" s="10" t="s">
        <v>7</v>
      </c>
      <c r="E4" s="8" t="s">
        <v>14</v>
      </c>
      <c r="F4" s="11">
        <v>1290000</v>
      </c>
      <c r="G4" s="11">
        <f t="shared" si="0"/>
        <v>2580000</v>
      </c>
    </row>
    <row r="5" spans="1:7" ht="22.5" x14ac:dyDescent="0.25">
      <c r="A5" s="2"/>
      <c r="B5" s="9" t="s">
        <v>11</v>
      </c>
      <c r="C5" s="10">
        <v>2</v>
      </c>
      <c r="D5" s="10" t="s">
        <v>7</v>
      </c>
      <c r="E5" s="8" t="s">
        <v>14</v>
      </c>
      <c r="F5" s="11">
        <v>1511000</v>
      </c>
      <c r="G5" s="11">
        <f t="shared" si="0"/>
        <v>3022000</v>
      </c>
    </row>
    <row r="6" spans="1:7" ht="22.5" x14ac:dyDescent="0.25">
      <c r="A6" s="2"/>
      <c r="B6" s="9" t="s">
        <v>12</v>
      </c>
      <c r="C6" s="10">
        <v>2</v>
      </c>
      <c r="D6" s="10" t="s">
        <v>7</v>
      </c>
      <c r="E6" s="8" t="s">
        <v>14</v>
      </c>
      <c r="F6" s="11">
        <v>911000</v>
      </c>
      <c r="G6" s="11">
        <f t="shared" si="0"/>
        <v>1822000</v>
      </c>
    </row>
    <row r="7" spans="1:7" ht="22.5" x14ac:dyDescent="0.25">
      <c r="A7" s="2"/>
      <c r="B7" s="9" t="s">
        <v>13</v>
      </c>
      <c r="C7" s="10">
        <v>2</v>
      </c>
      <c r="D7" s="10" t="s">
        <v>7</v>
      </c>
      <c r="E7" s="8" t="s">
        <v>14</v>
      </c>
      <c r="F7" s="11">
        <v>646000</v>
      </c>
      <c r="G7" s="11">
        <f t="shared" si="0"/>
        <v>1292000</v>
      </c>
    </row>
    <row r="8" spans="1:7" ht="15.75" x14ac:dyDescent="0.25">
      <c r="G8" s="6">
        <f>SUM(G2:G7)</f>
        <v>12978000</v>
      </c>
    </row>
  </sheetData>
  <autoFilter ref="A1:G7" xr:uid="{6F4FCBD4-6E69-4C84-A2FF-1B08378BD6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2026-08-05T11:24:12Z</dcterms:created>
  <dcterms:modified xsi:type="dcterms:W3CDTF">2026-08-06T14:24:15Z</dcterms:modified>
  <dc:language>en-US</dc:language>
</cp:coreProperties>
</file>