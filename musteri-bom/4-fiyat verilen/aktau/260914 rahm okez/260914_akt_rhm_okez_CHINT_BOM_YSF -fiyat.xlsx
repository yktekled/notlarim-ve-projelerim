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914 rahm okez\"/>
    </mc:Choice>
  </mc:AlternateContent>
  <xr:revisionPtr revIDLastSave="0" documentId="13_ncr:1_{E229D89B-0181-4C95-9D42-C9C431C43CA4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KLIF" sheetId="5" r:id="rId1"/>
  </sheets>
  <definedNames>
    <definedName name="ALUM_KG_KZT">#REF!</definedName>
    <definedName name="ALUM_KG_USD">#REF!</definedName>
    <definedName name="BAKIR_KG_KZT">#REF!</definedName>
    <definedName name="BAKIR_KG_USD">#REF!</definedName>
    <definedName name="BARA_AL_A">#REF!</definedName>
    <definedName name="BARA_AL_KGM">#REF!</definedName>
    <definedName name="BARA_ART">#REF!</definedName>
    <definedName name="BARA_BOY_M">#REF!</definedName>
    <definedName name="BARA_CU_A">#REF!</definedName>
    <definedName name="BARA_DERATING">#REF!</definedName>
    <definedName name="BARA_FIRE">#REF!</definedName>
    <definedName name="BARA_KGM">#REF!</definedName>
    <definedName name="BARA_KOPRU_M">#REF!</definedName>
    <definedName name="BARA_N_ORANI">#REF!</definedName>
    <definedName name="BARA_PE_ORANI">#REF!</definedName>
    <definedName name="BARA_TABLO">#REF!</definedName>
    <definedName name="DINRAY_FIRE">#REF!</definedName>
    <definedName name="DURUM_LIST">#REF!</definedName>
    <definedName name="FIYAT_ACK">#REF!</definedName>
    <definedName name="FIYAT_ART">#REF!</definedName>
    <definedName name="FIYAT_KOD">#REF!</definedName>
    <definedName name="FIYAT_LISTE">#REF!</definedName>
    <definedName name="FIYAT_MARKA">#REF!</definedName>
    <definedName name="FIYAT_MODUL">#REF!</definedName>
    <definedName name="FIYAT_NET">#REF!</definedName>
    <definedName name="GARANTI">#REF!</definedName>
    <definedName name="ISCILIK_CARPANI">#REF!</definedName>
    <definedName name="ISCILIK_DK_UCRETI">#REF!</definedName>
    <definedName name="ISCILIK_SAAT_UCRETI">#REF!</definedName>
    <definedName name="ISKONTO">#REF!</definedName>
    <definedName name="KABLO_FIRE">#REF!</definedName>
    <definedName name="KABLO_M_MCCB">#REF!</definedName>
    <definedName name="KABLO_M_MODULER">#REF!</definedName>
    <definedName name="KANAL_FIRE">#REF!</definedName>
    <definedName name="KAR_ORANI">#REF!</definedName>
    <definedName name="KLEMENS_YEDEK">#REF!</definedName>
    <definedName name="KORPUS_KULLANILABILIR_ORAN">#REF!</definedName>
    <definedName name="KORPUS_YEDEK_ORANI">#REF!</definedName>
    <definedName name="KUR_AD">#REF!</definedName>
    <definedName name="KUR_DEG">#REF!</definedName>
    <definedName name="MARKA_AD">#REF!</definedName>
    <definedName name="MARKA_KAT">#REF!</definedName>
    <definedName name="MARKA_PARA">#REF!</definedName>
    <definedName name="MARKA_TIP">#REF!</definedName>
    <definedName name="MODUL_GENISLIK_MM">#REF!</definedName>
    <definedName name="MONTAJ_SARF_DK_KZT">#REF!</definedName>
    <definedName name="NDS_ORANI">#REF!</definedName>
    <definedName name="NORM_AD">#REF!</definedName>
    <definedName name="NORM_DK">#REF!</definedName>
    <definedName name="ODEME_SARTI">#REF!</definedName>
    <definedName name="SC1_DERINLIK_MM">#REF!</definedName>
    <definedName name="SC1_GENISLIK_MM">#REF!</definedName>
    <definedName name="SC1_YUKSEKLIK_MM">#REF!</definedName>
    <definedName name="SIRA_YUKSEKLIK_MM">#REF!</definedName>
    <definedName name="TARAK_MOD_ADET">#REF!</definedName>
    <definedName name="TEKLIF_GECERLILIK">#REF!</definedName>
    <definedName name="URETIM_SURESI">#REF!</definedName>
    <definedName name="USD_KZT">#REF!</definedName>
    <definedName name="YAUO_DERINLIK_MM">#REF!</definedName>
    <definedName name="YAUO_GENISLIK_MM">#REF!</definedName>
    <definedName name="YAUO_YUKSEKLIK_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5" l="1"/>
  <c r="F12" i="5"/>
  <c r="F15" i="5" l="1"/>
</calcChain>
</file>

<file path=xl/sharedStrings.xml><?xml version="1.0" encoding="utf-8"?>
<sst xmlns="http://schemas.openxmlformats.org/spreadsheetml/2006/main" count="28" uniqueCount="27">
  <si>
    <t>KZT</t>
  </si>
  <si>
    <t>компл</t>
  </si>
  <si>
    <t>Ед.изм</t>
  </si>
  <si>
    <t>KOMMERCHESKOE PREDLOZHENIE / TEKLİF</t>
  </si>
  <si>
    <t>Teklif No</t>
  </si>
  <si>
    <t>260914-AKT-RHM-OKEZ-01</t>
  </si>
  <si>
    <t>Tarih</t>
  </si>
  <si>
    <t>2026-09-14</t>
  </si>
  <si>
    <t>Geçerlilik</t>
  </si>
  <si>
    <t>Müşteri</t>
  </si>
  <si>
    <t>ТОО «Construction NS» (loyiha) / Заказчик</t>
  </si>
  <si>
    <t>Proje</t>
  </si>
  <si>
    <t>Строительство ВЛ 0,4кВ месторождения Елемес Северо-Западный — ОК/EZ/04/11/25/2-ЭС</t>
  </si>
  <si>
    <t>Para birimi</t>
  </si>
  <si>
    <t>№</t>
  </si>
  <si>
    <t>Наименование</t>
  </si>
  <si>
    <t>Кол-во</t>
  </si>
  <si>
    <t>Цена за ед. (KZT)</t>
  </si>
  <si>
    <t>Сумма (KZT)</t>
  </si>
  <si>
    <t>ЩС-1 (ВРУ) — IP31, вводной рубильник 250А, 8 отх. автоматов, медные шины</t>
  </si>
  <si>
    <t>ЯУО — Ящик управления наружным освещением (фотореле+таймер+контактор)</t>
  </si>
  <si>
    <t>Итого</t>
  </si>
  <si>
    <t>Срок изготовления</t>
  </si>
  <si>
    <t>Условия оплаты</t>
  </si>
  <si>
    <t>Гарантия</t>
  </si>
  <si>
    <t>30 gün</t>
  </si>
  <si>
    <t>12 mesiat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</si>
</sst>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name val="Cambria"/>
      <family val="1"/>
      <charset val="204"/>
    </font>
    <font>
      <b/>
      <sz val="11"/>
      <color rgb="FFFFFFFF"/>
      <name val="Cambria"/>
      <family val="1"/>
      <charset val="204"/>
    </font>
    <font>
      <b/>
      <sz val="11"/>
      <name val="Cambria"/>
      <family val="1"/>
      <charset val="204"/>
    </font>
    <font>
      <b/>
      <sz val="11"/>
      <color rgb="FFC00000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1" xfId="0" applyBorder="1"/>
    <xf numFmtId="0" fontId="4" fillId="0" borderId="0" xfId="0" applyFont="1"/>
    <xf numFmtId="3" fontId="0" fillId="0" borderId="0" xfId="0" applyNumberFormat="1"/>
    <xf numFmtId="3" fontId="2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/>
    <xf numFmtId="3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CE4D6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F19"/>
  <sheetViews>
    <sheetView showGridLines="0" tabSelected="1" zoomScale="90" zoomScaleNormal="90" workbookViewId="0">
      <selection activeCell="U19" sqref="U19"/>
    </sheetView>
  </sheetViews>
  <sheetFormatPr defaultColWidth="8.7109375" defaultRowHeight="15" x14ac:dyDescent="0.25"/>
  <cols>
    <col min="1" max="1" width="6" customWidth="1"/>
    <col min="2" max="2" width="46" customWidth="1"/>
    <col min="3" max="3" width="9" customWidth="1"/>
    <col min="4" max="4" width="10" customWidth="1"/>
    <col min="5" max="6" width="16" style="6" customWidth="1"/>
  </cols>
  <sheetData>
    <row r="1" spans="1:6" ht="18" x14ac:dyDescent="0.25">
      <c r="A1" s="1" t="s">
        <v>3</v>
      </c>
    </row>
    <row r="2" spans="1:6" x14ac:dyDescent="0.25">
      <c r="A2" s="5"/>
    </row>
    <row r="4" spans="1:6" x14ac:dyDescent="0.25">
      <c r="A4" s="3" t="s">
        <v>4</v>
      </c>
      <c r="B4" t="s">
        <v>5</v>
      </c>
    </row>
    <row r="5" spans="1:6" x14ac:dyDescent="0.25">
      <c r="A5" s="3" t="s">
        <v>6</v>
      </c>
      <c r="B5" t="s">
        <v>7</v>
      </c>
    </row>
    <row r="6" spans="1:6" x14ac:dyDescent="0.25">
      <c r="A6" s="3" t="s">
        <v>8</v>
      </c>
      <c r="B6" t="s">
        <v>25</v>
      </c>
    </row>
    <row r="7" spans="1:6" x14ac:dyDescent="0.25">
      <c r="A7" s="3" t="s">
        <v>9</v>
      </c>
      <c r="B7" t="s">
        <v>10</v>
      </c>
    </row>
    <row r="8" spans="1:6" x14ac:dyDescent="0.25">
      <c r="A8" s="3" t="s">
        <v>11</v>
      </c>
      <c r="B8" t="s">
        <v>12</v>
      </c>
    </row>
    <row r="9" spans="1:6" x14ac:dyDescent="0.25">
      <c r="A9" s="3" t="s">
        <v>13</v>
      </c>
      <c r="B9" t="s">
        <v>0</v>
      </c>
    </row>
    <row r="11" spans="1:6" ht="28.5" x14ac:dyDescent="0.25">
      <c r="A11" s="2" t="s">
        <v>14</v>
      </c>
      <c r="B11" s="2" t="s">
        <v>15</v>
      </c>
      <c r="C11" s="2" t="s">
        <v>16</v>
      </c>
      <c r="D11" s="2" t="s">
        <v>2</v>
      </c>
      <c r="E11" s="7" t="s">
        <v>17</v>
      </c>
      <c r="F11" s="7" t="s">
        <v>18</v>
      </c>
    </row>
    <row r="12" spans="1:6" x14ac:dyDescent="0.25">
      <c r="A12" s="4">
        <v>1</v>
      </c>
      <c r="B12" s="4" t="s">
        <v>19</v>
      </c>
      <c r="C12" s="4">
        <v>1</v>
      </c>
      <c r="D12" s="4" t="s">
        <v>1</v>
      </c>
      <c r="E12" s="8">
        <v>455776.35969791654</v>
      </c>
      <c r="F12" s="8">
        <f>E12*C12</f>
        <v>455776.35969791654</v>
      </c>
    </row>
    <row r="13" spans="1:6" x14ac:dyDescent="0.25">
      <c r="A13" s="4">
        <v>2</v>
      </c>
      <c r="B13" s="4" t="s">
        <v>20</v>
      </c>
      <c r="C13" s="4">
        <v>10</v>
      </c>
      <c r="D13" s="4" t="s">
        <v>1</v>
      </c>
      <c r="E13" s="8">
        <v>74693.041666666657</v>
      </c>
      <c r="F13" s="8">
        <f t="shared" ref="F13" si="0">E13*C13</f>
        <v>746930.41666666651</v>
      </c>
    </row>
    <row r="15" spans="1:6" x14ac:dyDescent="0.25">
      <c r="B15" s="3" t="s">
        <v>21</v>
      </c>
      <c r="F15" s="9">
        <f>SUM(F12:F13)</f>
        <v>1202706.7763645831</v>
      </c>
    </row>
    <row r="17" spans="2:6" x14ac:dyDescent="0.25">
      <c r="B17" s="3" t="s">
        <v>22</v>
      </c>
      <c r="F17" s="6">
        <v>25</v>
      </c>
    </row>
    <row r="18" spans="2:6" x14ac:dyDescent="0.25">
      <c r="B18" s="3" t="s">
        <v>23</v>
      </c>
      <c r="F18" s="6">
        <v>100</v>
      </c>
    </row>
    <row r="19" spans="2:6" x14ac:dyDescent="0.25">
      <c r="B19" s="3" t="s">
        <v>24</v>
      </c>
      <c r="F19" s="6" t="s">
        <v>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TEKLIF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2026-09-14T09:51:01Z</dcterms:created>
  <dcterms:modified xsi:type="dcterms:W3CDTF">2026-09-14T13:22:07Z</dcterms:modified>
  <dc:language>en-US</dc:language>
</cp:coreProperties>
</file>