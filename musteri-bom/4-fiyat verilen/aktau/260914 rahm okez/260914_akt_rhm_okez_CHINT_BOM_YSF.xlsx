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4 rahm okez\"/>
    </mc:Choice>
  </mc:AlternateContent>
  <xr:revisionPtr revIDLastSave="0" documentId="13_ncr:1_{D629D3DB-9E1B-4A4E-8693-B148B4A99BD2}" xr6:coauthVersionLast="47" xr6:coauthVersionMax="47" xr10:uidLastSave="{00000000-0000-0000-0000-000000000000}"/>
  <bookViews>
    <workbookView xWindow="-110" yWindow="-110" windowWidth="25820" windowHeight="13900" tabRatio="500" activeTab="1" xr2:uid="{00000000-000D-0000-FFFF-FFFF00000000}"/>
  </bookViews>
  <sheets>
    <sheet name="KURALLAR" sheetId="1" r:id="rId1"/>
    <sheet name="FIYAT" sheetId="2" r:id="rId2"/>
    <sheet name="BOM" sheetId="3" r:id="rId3"/>
    <sheet name="OZET" sheetId="4" r:id="rId4"/>
    <sheet name="TEKLIF" sheetId="5" r:id="rId5"/>
  </sheets>
  <definedNames>
    <definedName name="_xlnm._FilterDatabase" localSheetId="2" hidden="1">BOM!$A$1:$S$49</definedName>
    <definedName name="_xlnm._FilterDatabase" localSheetId="1" hidden="1">FIYAT!$A$1:$R$32</definedName>
    <definedName name="ALUM_KG_KZT">KURALLAR!$B$148</definedName>
    <definedName name="ALUM_KG_USD">KURALLAR!$B$145</definedName>
    <definedName name="BAKIR_KG_KZT">KURALLAR!$B$147</definedName>
    <definedName name="BAKIR_KG_USD">KURALLAR!$B$144</definedName>
    <definedName name="BARA_AL_A">KURALLAR!$I$152:$I$214</definedName>
    <definedName name="BARA_AL_KGM">KURALLAR!$H$152:$H$214</definedName>
    <definedName name="BARA_ART">KURALLAR!$A$152:$A$214</definedName>
    <definedName name="BARA_BOY_M">KURALLAR!$B$116</definedName>
    <definedName name="BARA_CU_A">KURALLAR!$F$152:$F$214</definedName>
    <definedName name="BARA_DERATING">KURALLAR!$B$111</definedName>
    <definedName name="BARA_FIRE">KURALLAR!$B$112</definedName>
    <definedName name="BARA_KGM">KURALLAR!$E$152:$E$214</definedName>
    <definedName name="BARA_KOPRU_M">KURALLAR!$B$115</definedName>
    <definedName name="BARA_N_ORANI">KURALLAR!$B$113</definedName>
    <definedName name="BARA_PE_ORANI">KURALLAR!$B$114</definedName>
    <definedName name="BARA_TABLO">KURALLAR!$A$152:$J$214</definedName>
    <definedName name="DINRAY_FIRE">KURALLAR!$B$120</definedName>
    <definedName name="DURUM_LIST">KURALLAR!$A$218:$A$227</definedName>
    <definedName name="FIYAT_ACK">FIYAT!$D$2:$D$32</definedName>
    <definedName name="FIYAT_ART">FIYAT!$R$2:$R$32</definedName>
    <definedName name="FIYAT_KOD">FIYAT!$C$2:$C$32</definedName>
    <definedName name="FIYAT_LISTE">FIYAT!$E$2:$E$32</definedName>
    <definedName name="FIYAT_MARKA">FIYAT!$J$2:$J$32</definedName>
    <definedName name="FIYAT_MODUL">FIYAT!$Q$2:$Q$32</definedName>
    <definedName name="FIYAT_NET">FIYAT!$F$2:$F$32</definedName>
    <definedName name="GARANTI">KURALLAR!$B$141</definedName>
    <definedName name="ISCILIK_CARPANI">KURALLAR!$B$33</definedName>
    <definedName name="ISCILIK_DK_UCRETI">KURALLAR!$B$31</definedName>
    <definedName name="ISCILIK_SAAT_UCRETI">KURALLAR!$B$30</definedName>
    <definedName name="ISKONTO">KURALLAR!$B$136</definedName>
    <definedName name="KABLO_FIRE">KURALLAR!$B$117</definedName>
    <definedName name="KABLO_M_MCCB">KURALLAR!$B$119</definedName>
    <definedName name="KABLO_M_MODULER">KURALLAR!$B$118</definedName>
    <definedName name="KANAL_FIRE">KURALLAR!$B$121</definedName>
    <definedName name="KAR_ORANI">KURALLAR!$B$135</definedName>
    <definedName name="KLEMENS_YEDEK">KURALLAR!$B$122</definedName>
    <definedName name="KORPUS_KULLANILABILIR_ORAN">KURALLAR!$B$126</definedName>
    <definedName name="KORPUS_YEDEK_ORANI">KURALLAR!$B$127</definedName>
    <definedName name="KUR_AD">KURALLAR!$A$5:$A$8</definedName>
    <definedName name="KUR_DEG">KURALLAR!$B$5:$B$8</definedName>
    <definedName name="MARKA_AD">KURALLAR!$A$12:$A$27</definedName>
    <definedName name="MARKA_KAT">KURALLAR!$E$12:$E$27</definedName>
    <definedName name="MARKA_PARA">KURALLAR!$B$12:$B$27</definedName>
    <definedName name="MARKA_TIP">KURALLAR!$F$12:$F$27</definedName>
    <definedName name="MODUL_GENISLIK_MM">KURALLAR!$B$124</definedName>
    <definedName name="MONTAJ_SARF_DK_KZT">KURALLAR!$B$32</definedName>
    <definedName name="NDS_ORANI">KURALLAR!$B$137</definedName>
    <definedName name="NORM_AD">KURALLAR!$A$37:$A$72</definedName>
    <definedName name="NORM_DK">KURALLAR!$B$37:$B$72</definedName>
    <definedName name="ODEME_SARTI">KURALLAR!$B$140</definedName>
    <definedName name="SC1_DERINLIK_MM">KURALLAR!$D$131</definedName>
    <definedName name="SC1_GENISLIK_MM">KURALLAR!$B$131</definedName>
    <definedName name="SC1_YUKSEKLIK_MM">KURALLAR!$C$131</definedName>
    <definedName name="SIRA_YUKSEKLIK_MM">KURALLAR!$B$125</definedName>
    <definedName name="TARAK_MOD_ADET">KURALLAR!$B$123</definedName>
    <definedName name="TEKLIF_GECERLILIK">KURALLAR!$B$138</definedName>
    <definedName name="URETIM_SURESI">KURALLAR!$B$139</definedName>
    <definedName name="USD_KZT">KURALLAR!$B$146</definedName>
    <definedName name="YAUO_DERINLIK_MM">KURALLAR!$D$132</definedName>
    <definedName name="YAUO_GENISLIK_MM">KURALLAR!$B$132</definedName>
    <definedName name="YAUO_YUKSEKLIK_MM">KURALLAR!$C$132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9" i="3" l="1"/>
  <c r="E3" i="3"/>
  <c r="F24" i="5" l="1"/>
  <c r="F23" i="5"/>
  <c r="F22" i="5"/>
  <c r="C14" i="5"/>
  <c r="C13" i="5"/>
  <c r="C12" i="5"/>
  <c r="B6" i="5"/>
  <c r="A2" i="5"/>
  <c r="I47" i="3"/>
  <c r="S47" i="3" s="1"/>
  <c r="F47" i="3"/>
  <c r="E47" i="3"/>
  <c r="B47" i="3" s="1"/>
  <c r="D47" i="3"/>
  <c r="S46" i="3"/>
  <c r="F46" i="3"/>
  <c r="D46" i="3"/>
  <c r="B46" i="3"/>
  <c r="S45" i="3"/>
  <c r="F45" i="3"/>
  <c r="D45" i="3"/>
  <c r="B45" i="3"/>
  <c r="S44" i="3"/>
  <c r="R44" i="3"/>
  <c r="F44" i="3"/>
  <c r="D44" i="3"/>
  <c r="B44" i="3"/>
  <c r="F40" i="3"/>
  <c r="D40" i="3"/>
  <c r="B40" i="3"/>
  <c r="F39" i="3"/>
  <c r="D39" i="3"/>
  <c r="B39" i="3"/>
  <c r="S38" i="3"/>
  <c r="F38" i="3"/>
  <c r="E38" i="3"/>
  <c r="B38" i="3" s="1"/>
  <c r="D38" i="3"/>
  <c r="S37" i="3"/>
  <c r="R37" i="3"/>
  <c r="E37" i="3"/>
  <c r="B37" i="3" s="1"/>
  <c r="D37" i="3"/>
  <c r="S36" i="3"/>
  <c r="F36" i="3"/>
  <c r="D36" i="3"/>
  <c r="B36" i="3"/>
  <c r="S35" i="3"/>
  <c r="R35" i="3"/>
  <c r="F35" i="3"/>
  <c r="E35" i="3"/>
  <c r="B35" i="3" s="1"/>
  <c r="D35" i="3"/>
  <c r="S34" i="3"/>
  <c r="R34" i="3"/>
  <c r="F34" i="3"/>
  <c r="D34" i="3"/>
  <c r="B34" i="3"/>
  <c r="S33" i="3"/>
  <c r="R33" i="3"/>
  <c r="F33" i="3"/>
  <c r="D33" i="3"/>
  <c r="B33" i="3"/>
  <c r="S32" i="3"/>
  <c r="R32" i="3"/>
  <c r="F32" i="3"/>
  <c r="D32" i="3"/>
  <c r="B32" i="3"/>
  <c r="S31" i="3"/>
  <c r="R31" i="3"/>
  <c r="F31" i="3"/>
  <c r="D31" i="3"/>
  <c r="B31" i="3"/>
  <c r="S30" i="3"/>
  <c r="R30" i="3"/>
  <c r="F30" i="3"/>
  <c r="D30" i="3"/>
  <c r="B30" i="3"/>
  <c r="S29" i="3"/>
  <c r="R29" i="3"/>
  <c r="F29" i="3"/>
  <c r="D29" i="3"/>
  <c r="B29" i="3"/>
  <c r="S28" i="3"/>
  <c r="R28" i="3"/>
  <c r="F28" i="3"/>
  <c r="D28" i="3"/>
  <c r="B28" i="3"/>
  <c r="S27" i="3"/>
  <c r="R27" i="3"/>
  <c r="F27" i="3"/>
  <c r="D27" i="3"/>
  <c r="B27" i="3"/>
  <c r="S26" i="3"/>
  <c r="R26" i="3"/>
  <c r="F26" i="3"/>
  <c r="D26" i="3"/>
  <c r="B26" i="3"/>
  <c r="S25" i="3"/>
  <c r="R25" i="3"/>
  <c r="F25" i="3"/>
  <c r="D25" i="3"/>
  <c r="B25" i="3"/>
  <c r="S24" i="3"/>
  <c r="R24" i="3"/>
  <c r="F24" i="3"/>
  <c r="D24" i="3"/>
  <c r="B24" i="3"/>
  <c r="S23" i="3"/>
  <c r="R23" i="3"/>
  <c r="B23" i="3"/>
  <c r="F19" i="3"/>
  <c r="D19" i="3"/>
  <c r="B19" i="3"/>
  <c r="F18" i="3"/>
  <c r="D18" i="3"/>
  <c r="B18" i="3"/>
  <c r="S17" i="3"/>
  <c r="R17" i="3"/>
  <c r="F17" i="3"/>
  <c r="D17" i="3"/>
  <c r="B17" i="3"/>
  <c r="S16" i="3"/>
  <c r="R16" i="3"/>
  <c r="F16" i="3"/>
  <c r="D16" i="3"/>
  <c r="B16" i="3"/>
  <c r="S15" i="3"/>
  <c r="R15" i="3"/>
  <c r="F15" i="3"/>
  <c r="D15" i="3"/>
  <c r="B15" i="3"/>
  <c r="S14" i="3"/>
  <c r="R14" i="3"/>
  <c r="F14" i="3"/>
  <c r="E14" i="3"/>
  <c r="B14" i="3" s="1"/>
  <c r="D14" i="3"/>
  <c r="S13" i="3"/>
  <c r="R13" i="3"/>
  <c r="F13" i="3"/>
  <c r="D13" i="3"/>
  <c r="B13" i="3"/>
  <c r="S12" i="3"/>
  <c r="R12" i="3"/>
  <c r="F12" i="3"/>
  <c r="D12" i="3"/>
  <c r="B12" i="3"/>
  <c r="S11" i="3"/>
  <c r="R11" i="3"/>
  <c r="F11" i="3"/>
  <c r="D11" i="3"/>
  <c r="B11" i="3"/>
  <c r="I10" i="3"/>
  <c r="S10" i="3" s="1"/>
  <c r="F10" i="3"/>
  <c r="D10" i="3"/>
  <c r="B10" i="3"/>
  <c r="I9" i="3"/>
  <c r="F9" i="3"/>
  <c r="D9" i="3"/>
  <c r="B9" i="3"/>
  <c r="I8" i="3"/>
  <c r="S8" i="3" s="1"/>
  <c r="F8" i="3"/>
  <c r="D8" i="3"/>
  <c r="B8" i="3"/>
  <c r="S7" i="3"/>
  <c r="R7" i="3"/>
  <c r="F7" i="3"/>
  <c r="D7" i="3"/>
  <c r="B7" i="3"/>
  <c r="S6" i="3"/>
  <c r="R6" i="3"/>
  <c r="F6" i="3"/>
  <c r="D6" i="3"/>
  <c r="B6" i="3"/>
  <c r="S5" i="3"/>
  <c r="R5" i="3"/>
  <c r="F5" i="3"/>
  <c r="D5" i="3"/>
  <c r="B5" i="3"/>
  <c r="S4" i="3"/>
  <c r="R4" i="3"/>
  <c r="B4" i="3"/>
  <c r="S3" i="3"/>
  <c r="R3" i="3"/>
  <c r="F3" i="3"/>
  <c r="B3" i="3"/>
  <c r="D3" i="3"/>
  <c r="F32" i="2"/>
  <c r="G19" i="3" s="1"/>
  <c r="K31" i="2"/>
  <c r="F31" i="2"/>
  <c r="G39" i="3" s="1"/>
  <c r="G30" i="2"/>
  <c r="F30" i="2"/>
  <c r="G38" i="3" s="1"/>
  <c r="H38" i="3" s="1"/>
  <c r="L38" i="3" s="1"/>
  <c r="G29" i="2"/>
  <c r="F29" i="2"/>
  <c r="F28" i="2"/>
  <c r="K27" i="2"/>
  <c r="G26" i="2"/>
  <c r="K25" i="2"/>
  <c r="G25" i="2"/>
  <c r="G24" i="2"/>
  <c r="G23" i="2"/>
  <c r="K22" i="2"/>
  <c r="G22" i="2"/>
  <c r="G21" i="2"/>
  <c r="G20" i="2"/>
  <c r="G18" i="2"/>
  <c r="K17" i="2"/>
  <c r="G17" i="2"/>
  <c r="G16" i="2"/>
  <c r="G15" i="2"/>
  <c r="K14" i="2"/>
  <c r="G14" i="2"/>
  <c r="F14" i="2"/>
  <c r="G30" i="3" s="1"/>
  <c r="H30" i="3" s="1"/>
  <c r="L30" i="3" s="1"/>
  <c r="G13" i="2"/>
  <c r="G12" i="2"/>
  <c r="K11" i="2"/>
  <c r="G11" i="2"/>
  <c r="F11" i="2"/>
  <c r="G27" i="3" s="1"/>
  <c r="H27" i="3" s="1"/>
  <c r="L27" i="3" s="1"/>
  <c r="G10" i="2"/>
  <c r="G9" i="2"/>
  <c r="K8" i="2"/>
  <c r="G8" i="2"/>
  <c r="F8" i="2"/>
  <c r="G25" i="3" s="1"/>
  <c r="H25" i="3" s="1"/>
  <c r="L25" i="3" s="1"/>
  <c r="G7" i="2"/>
  <c r="G6" i="2"/>
  <c r="K5" i="2"/>
  <c r="G5" i="2"/>
  <c r="F5" i="2"/>
  <c r="G6" i="3" s="1"/>
  <c r="H6" i="3" s="1"/>
  <c r="L6" i="3" s="1"/>
  <c r="G4" i="2"/>
  <c r="G3" i="2"/>
  <c r="G2" i="2"/>
  <c r="B147" i="1"/>
  <c r="F27" i="2" s="1"/>
  <c r="B146" i="1"/>
  <c r="B148" i="1" s="1"/>
  <c r="B31" i="1"/>
  <c r="E27" i="1"/>
  <c r="K32" i="2" s="1"/>
  <c r="E26" i="1"/>
  <c r="E25" i="1"/>
  <c r="E24" i="1"/>
  <c r="E23" i="1"/>
  <c r="E22" i="1"/>
  <c r="F2" i="2" s="1"/>
  <c r="E21" i="1"/>
  <c r="E20" i="1"/>
  <c r="F25" i="2" s="1"/>
  <c r="E19" i="1"/>
  <c r="E18" i="1"/>
  <c r="E17" i="1"/>
  <c r="E16" i="1"/>
  <c r="E15" i="1"/>
  <c r="K16" i="2" s="1"/>
  <c r="E14" i="1"/>
  <c r="E13" i="1"/>
  <c r="E12" i="1"/>
  <c r="Q4" i="4"/>
  <c r="P4" i="4"/>
  <c r="O4" i="4"/>
  <c r="Q3" i="4"/>
  <c r="P3" i="4"/>
  <c r="O3" i="4"/>
  <c r="I3" i="4"/>
  <c r="Q2" i="4"/>
  <c r="P2" i="4"/>
  <c r="O2" i="4"/>
  <c r="I2" i="4"/>
  <c r="H29" i="2" l="1"/>
  <c r="G40" i="3"/>
  <c r="H8" i="2"/>
  <c r="H5" i="2"/>
  <c r="H11" i="2"/>
  <c r="H28" i="2"/>
  <c r="H14" i="2"/>
  <c r="H30" i="2"/>
  <c r="G37" i="3"/>
  <c r="H37" i="3" s="1"/>
  <c r="L37" i="3" s="1"/>
  <c r="G27" i="2"/>
  <c r="H27" i="2" s="1"/>
  <c r="H3" i="4"/>
  <c r="J3" i="4" s="1"/>
  <c r="K3" i="4" s="1"/>
  <c r="R10" i="3"/>
  <c r="L2" i="4"/>
  <c r="M2" i="4" s="1"/>
  <c r="R8" i="3"/>
  <c r="Q6" i="4"/>
  <c r="O6" i="4"/>
  <c r="C8" i="4" s="1"/>
  <c r="P6" i="4"/>
  <c r="G3" i="3"/>
  <c r="H3" i="3" s="1"/>
  <c r="H2" i="2"/>
  <c r="G36" i="3"/>
  <c r="H36" i="3" s="1"/>
  <c r="L36" i="3" s="1"/>
  <c r="H25" i="2"/>
  <c r="G9" i="3"/>
  <c r="H9" i="3" s="1"/>
  <c r="L9" i="3" s="1"/>
  <c r="G10" i="3"/>
  <c r="H10" i="3" s="1"/>
  <c r="L10" i="3" s="1"/>
  <c r="G8" i="3"/>
  <c r="H8" i="3" s="1"/>
  <c r="L8" i="3" s="1"/>
  <c r="K2" i="2"/>
  <c r="K28" i="2"/>
  <c r="F3" i="2"/>
  <c r="F6" i="2"/>
  <c r="F9" i="2"/>
  <c r="F12" i="2"/>
  <c r="F15" i="2"/>
  <c r="F18" i="2"/>
  <c r="F20" i="2"/>
  <c r="F23" i="2"/>
  <c r="F26" i="2"/>
  <c r="G46" i="3"/>
  <c r="H46" i="3" s="1"/>
  <c r="L46" i="3" s="1"/>
  <c r="E4" i="4" s="1"/>
  <c r="R9" i="3"/>
  <c r="G18" i="3"/>
  <c r="S9" i="3"/>
  <c r="K6" i="2"/>
  <c r="K12" i="2"/>
  <c r="K15" i="2"/>
  <c r="K20" i="2"/>
  <c r="K23" i="2"/>
  <c r="K26" i="2"/>
  <c r="K29" i="2"/>
  <c r="K3" i="2"/>
  <c r="K9" i="2"/>
  <c r="K18" i="2"/>
  <c r="F4" i="2"/>
  <c r="F7" i="2"/>
  <c r="F10" i="2"/>
  <c r="F13" i="2"/>
  <c r="F16" i="2"/>
  <c r="F19" i="2"/>
  <c r="F21" i="2"/>
  <c r="F24" i="2"/>
  <c r="G45" i="3"/>
  <c r="H45" i="3" s="1"/>
  <c r="L45" i="3" s="1"/>
  <c r="K4" i="2"/>
  <c r="K7" i="2"/>
  <c r="K10" i="2"/>
  <c r="K13" i="2"/>
  <c r="K19" i="2"/>
  <c r="K21" i="2"/>
  <c r="K24" i="2"/>
  <c r="K30" i="2"/>
  <c r="F17" i="2"/>
  <c r="F22" i="2"/>
  <c r="G47" i="3"/>
  <c r="H47" i="3" s="1"/>
  <c r="L47" i="3" s="1"/>
  <c r="S39" i="3" l="1"/>
  <c r="C9" i="4"/>
  <c r="N2" i="4"/>
  <c r="G19" i="2"/>
  <c r="H19" i="2" s="1"/>
  <c r="H23" i="2"/>
  <c r="G15" i="3"/>
  <c r="H15" i="3" s="1"/>
  <c r="L15" i="3" s="1"/>
  <c r="G16" i="3"/>
  <c r="H16" i="3" s="1"/>
  <c r="L16" i="3" s="1"/>
  <c r="H24" i="2"/>
  <c r="G23" i="3"/>
  <c r="H23" i="3" s="1"/>
  <c r="H26" i="2"/>
  <c r="H16" i="2"/>
  <c r="G33" i="3"/>
  <c r="H33" i="3" s="1"/>
  <c r="L33" i="3" s="1"/>
  <c r="G11" i="3"/>
  <c r="H11" i="3" s="1"/>
  <c r="L11" i="3" s="1"/>
  <c r="H20" i="2"/>
  <c r="H17" i="2"/>
  <c r="G34" i="3"/>
  <c r="H34" i="3" s="1"/>
  <c r="L34" i="3" s="1"/>
  <c r="G29" i="3"/>
  <c r="H29" i="3" s="1"/>
  <c r="L29" i="3" s="1"/>
  <c r="H13" i="2"/>
  <c r="G35" i="3"/>
  <c r="H35" i="3" s="1"/>
  <c r="L35" i="3" s="1"/>
  <c r="G17" i="3"/>
  <c r="H17" i="3" s="1"/>
  <c r="L17" i="3" s="1"/>
  <c r="H18" i="2"/>
  <c r="G26" i="3"/>
  <c r="H26" i="3" s="1"/>
  <c r="L26" i="3" s="1"/>
  <c r="H10" i="2"/>
  <c r="G32" i="3"/>
  <c r="H32" i="3" s="1"/>
  <c r="L32" i="3" s="1"/>
  <c r="H15" i="2"/>
  <c r="G31" i="3"/>
  <c r="H31" i="3" s="1"/>
  <c r="L31" i="3" s="1"/>
  <c r="H22" i="2"/>
  <c r="G14" i="3"/>
  <c r="H14" i="3" s="1"/>
  <c r="L14" i="3" s="1"/>
  <c r="G13" i="3"/>
  <c r="H13" i="3" s="1"/>
  <c r="L13" i="3" s="1"/>
  <c r="H21" i="2"/>
  <c r="G12" i="3"/>
  <c r="H12" i="3" s="1"/>
  <c r="L12" i="3" s="1"/>
  <c r="H7" i="2"/>
  <c r="G24" i="3"/>
  <c r="H24" i="3" s="1"/>
  <c r="L24" i="3" s="1"/>
  <c r="H12" i="2"/>
  <c r="G28" i="3"/>
  <c r="H28" i="3" s="1"/>
  <c r="L28" i="3" s="1"/>
  <c r="H4" i="2"/>
  <c r="G5" i="3"/>
  <c r="H5" i="3" s="1"/>
  <c r="L5" i="3" s="1"/>
  <c r="G44" i="3"/>
  <c r="H44" i="3" s="1"/>
  <c r="H9" i="2"/>
  <c r="H2" i="4"/>
  <c r="J2" i="4" s="1"/>
  <c r="K2" i="4" s="1"/>
  <c r="G7" i="3"/>
  <c r="H7" i="3" s="1"/>
  <c r="L7" i="3" s="1"/>
  <c r="H6" i="2"/>
  <c r="G4" i="3"/>
  <c r="H4" i="3" s="1"/>
  <c r="L4" i="3" s="1"/>
  <c r="H3" i="2"/>
  <c r="L3" i="3"/>
  <c r="H39" i="3" l="1"/>
  <c r="L39" i="3" s="1"/>
  <c r="E3" i="4" s="1"/>
  <c r="I40" i="3"/>
  <c r="S40" i="3" s="1"/>
  <c r="L23" i="3"/>
  <c r="H48" i="3"/>
  <c r="L44" i="3"/>
  <c r="L48" i="3" s="1"/>
  <c r="D4" i="4" s="1"/>
  <c r="F4" i="4" s="1"/>
  <c r="G28" i="2"/>
  <c r="I18" i="3"/>
  <c r="H40" i="3" l="1"/>
  <c r="L40" i="3" s="1"/>
  <c r="L41" i="3" s="1"/>
  <c r="D3" i="4" s="1"/>
  <c r="F3" i="4" s="1"/>
  <c r="G4" i="4"/>
  <c r="E14" i="5"/>
  <c r="F14" i="5" s="1"/>
  <c r="G31" i="2"/>
  <c r="H31" i="2" s="1"/>
  <c r="S18" i="3"/>
  <c r="I19" i="3"/>
  <c r="H18" i="3"/>
  <c r="L18" i="3" s="1"/>
  <c r="H41" i="3" l="1"/>
  <c r="E2" i="4"/>
  <c r="S19" i="3"/>
  <c r="G32" i="2"/>
  <c r="H32" i="2" s="1"/>
  <c r="H19" i="3"/>
  <c r="L19" i="3" s="1"/>
  <c r="L20" i="3" s="1"/>
  <c r="E13" i="5"/>
  <c r="F13" i="5" s="1"/>
  <c r="G3" i="4"/>
  <c r="D2" i="4" l="1"/>
  <c r="F2" i="4" s="1"/>
  <c r="G2" i="4" s="1"/>
  <c r="G6" i="4" s="1"/>
  <c r="H20" i="3"/>
  <c r="E12" i="5" l="1"/>
  <c r="F12" i="5" s="1"/>
  <c r="F16" i="5" s="1"/>
  <c r="F17" i="5" s="1"/>
  <c r="F18" i="5" s="1"/>
  <c r="F19" i="5" l="1"/>
  <c r="F20" i="5" s="1"/>
</calcChain>
</file>

<file path=xl/sharedStrings.xml><?xml version="1.0" encoding="utf-8"?>
<sst xmlns="http://schemas.openxmlformats.org/spreadsheetml/2006/main" count="1183" uniqueCount="583">
  <si>
    <t>KURALLAR — YSF HICH / 260914 AKT RHM OKEZ</t>
  </si>
  <si>
    <t>BLOK 1 — KUR TABLOSU</t>
  </si>
  <si>
    <t>PARA</t>
  </si>
  <si>
    <t>KZT</t>
  </si>
  <si>
    <t>TARIH</t>
  </si>
  <si>
    <t>USD</t>
  </si>
  <si>
    <t>2026-08-27 (kur.py)</t>
  </si>
  <si>
    <t>EUR</t>
  </si>
  <si>
    <t>TRY</t>
  </si>
  <si>
    <t>BLOK 2 — MARKA KURAL TABLOSU</t>
  </si>
  <si>
    <t>MARKA</t>
  </si>
  <si>
    <t>KATSAYI1</t>
  </si>
  <si>
    <t>KATSAYI2</t>
  </si>
  <si>
    <t>TOPLAM</t>
  </si>
  <si>
    <t>GIRDI_TIPI</t>
  </si>
  <si>
    <t>NOT</t>
  </si>
  <si>
    <t>ABB</t>
  </si>
  <si>
    <t>LISTE</t>
  </si>
  <si>
    <t>1.35 x 0.30 standart</t>
  </si>
  <si>
    <t>ABB-ACIK</t>
  </si>
  <si>
    <t>1.35 x 0.23 ayar sahali/acik tip</t>
  </si>
  <si>
    <t>SCHNEIDER</t>
  </si>
  <si>
    <t>CHINT</t>
  </si>
  <si>
    <t>ana marka - bu proje</t>
  </si>
  <si>
    <t>CNC</t>
  </si>
  <si>
    <t>liste 2025-02-04, 18 aydan eski - guvenilmez</t>
  </si>
  <si>
    <t>LEGRAND</t>
  </si>
  <si>
    <t>iskonto teyitsiz</t>
  </si>
  <si>
    <t>IEK</t>
  </si>
  <si>
    <t>EKT birlesik listesi icinde</t>
  </si>
  <si>
    <t>EKF</t>
  </si>
  <si>
    <t>EKT</t>
  </si>
  <si>
    <t>SAIMAN</t>
  </si>
  <si>
    <t>KAZTEK</t>
  </si>
  <si>
    <t>korpus</t>
  </si>
  <si>
    <t>HARMONY</t>
  </si>
  <si>
    <t>BAKIR-BARA</t>
  </si>
  <si>
    <t>NET</t>
  </si>
  <si>
    <t>kg fiyatindan hesaplanir</t>
  </si>
  <si>
    <t>ALUM-BARA</t>
  </si>
  <si>
    <t>MUADIL-NET</t>
  </si>
  <si>
    <t>ISCILIK</t>
  </si>
  <si>
    <t>BLOK 3 — ISCILIK</t>
  </si>
  <si>
    <t>ISCILIK_SAAT_UCRETI (KZT/saat)</t>
  </si>
  <si>
    <t>ORNEK DEGER - kendi atolye oranınla degistir</t>
  </si>
  <si>
    <t>ISCILIK_DK_UCRETI (KZT/dk)</t>
  </si>
  <si>
    <t>MONTAJ_SARF_DK_KZT</t>
  </si>
  <si>
    <t>ORNEK DEGER - montaj sarf malzemesi/dk</t>
  </si>
  <si>
    <t>ISCILIK_CARPANI</t>
  </si>
  <si>
    <t>TEST_ETIKET_CARPANI</t>
  </si>
  <si>
    <t>NORM_ANAHTAR</t>
  </si>
  <si>
    <t>DK/BIRIM</t>
  </si>
  <si>
    <t>ACIKLAMA</t>
  </si>
  <si>
    <t>MCB_1P</t>
  </si>
  <si>
    <t>modüler 1P koruma</t>
  </si>
  <si>
    <t>MCB_2P</t>
  </si>
  <si>
    <t>modüler 2P</t>
  </si>
  <si>
    <t>MCB_3P</t>
  </si>
  <si>
    <t>modüler 3P</t>
  </si>
  <si>
    <t>MCB_4P</t>
  </si>
  <si>
    <t>modüler 4P</t>
  </si>
  <si>
    <t>DIF_1PN</t>
  </si>
  <si>
    <t>AVDT 1P+N</t>
  </si>
  <si>
    <t>DIF_3PN</t>
  </si>
  <si>
    <t>AVDT 3P+N</t>
  </si>
  <si>
    <t>UZO_2P</t>
  </si>
  <si>
    <t>kaçak akım rölesi 2P</t>
  </si>
  <si>
    <t>UZO_4P</t>
  </si>
  <si>
    <t>kaçak akım rölesi 4P</t>
  </si>
  <si>
    <t>MCCB_KUCUK</t>
  </si>
  <si>
    <t>MCCB &lt;=250A</t>
  </si>
  <si>
    <t>MCCB_BUYUK</t>
  </si>
  <si>
    <t>MCCB 315-630A</t>
  </si>
  <si>
    <t>MCCB_ANA</t>
  </si>
  <si>
    <t>MCCB ana giriş / rubilnik &gt;=250A</t>
  </si>
  <si>
    <t>RUBILNIK</t>
  </si>
  <si>
    <t>yük ayırıcı/rubilnik montaj+bağlantı</t>
  </si>
  <si>
    <t>SIGORTA_YUVASI</t>
  </si>
  <si>
    <t>sigorta yuvası (komplekt)</t>
  </si>
  <si>
    <t>SAYAC_AT</t>
  </si>
  <si>
    <t>sayaç + akım trafosu</t>
  </si>
  <si>
    <t>OPN_SPD</t>
  </si>
  <si>
    <t>parafudr/SPD</t>
  </si>
  <si>
    <t>KONTAKTOR</t>
  </si>
  <si>
    <t>kontaktör</t>
  </si>
  <si>
    <t>TERMIK</t>
  </si>
  <si>
    <t>termik röle</t>
  </si>
  <si>
    <t>ROLE</t>
  </si>
  <si>
    <t>ara röle/impuls röle</t>
  </si>
  <si>
    <t>ZAMAN_ROLESI</t>
  </si>
  <si>
    <t>zaman rölesi/timer</t>
  </si>
  <si>
    <t>LAMBA_BUTON</t>
  </si>
  <si>
    <t>sinyal lamba / buton / selektör (adet)</t>
  </si>
  <si>
    <t>KLEMENS</t>
  </si>
  <si>
    <t>klemens (adet)</t>
  </si>
  <si>
    <t>TARAK_BARA</t>
  </si>
  <si>
    <t>tarak bara/loobar (adet)</t>
  </si>
  <si>
    <t>BARA_M</t>
  </si>
  <si>
    <t>bakır bara (dk/m)</t>
  </si>
  <si>
    <t>IZOLATOR_BARA</t>
  </si>
  <si>
    <t>bara izolatörü</t>
  </si>
  <si>
    <t>CIVATA_TAKIMI</t>
  </si>
  <si>
    <t>cıvata+rondela+somun takımı</t>
  </si>
  <si>
    <t>DINRAY_M</t>
  </si>
  <si>
    <t>DIN ray (dk/m)</t>
  </si>
  <si>
    <t>KANAL_M</t>
  </si>
  <si>
    <t>kablo kanalı (dk/m)</t>
  </si>
  <si>
    <t>KABLO_IC_M</t>
  </si>
  <si>
    <t>pano içi kablo (dk/m)</t>
  </si>
  <si>
    <t>PABUC_YUKSUK</t>
  </si>
  <si>
    <t>pabuç/yüksük (adet)</t>
  </si>
  <si>
    <t>KORPUS_KUCUK</t>
  </si>
  <si>
    <t>korpus montaj - küçük</t>
  </si>
  <si>
    <t>KORPUS_ORTA</t>
  </si>
  <si>
    <t>korpus montaj - orta</t>
  </si>
  <si>
    <t>KORPUS_AYAKLI</t>
  </si>
  <si>
    <t>korpus montaj - ayaklı/büyük</t>
  </si>
  <si>
    <t>ETIKET_SET</t>
  </si>
  <si>
    <t>etiket/şema cebi seti</t>
  </si>
  <si>
    <t>SABIT_HAZIRLIK</t>
  </si>
  <si>
    <t>pano başı sabit hazırlık</t>
  </si>
  <si>
    <t>SABIT_TEST</t>
  </si>
  <si>
    <t>pano başı sabit test</t>
  </si>
  <si>
    <t>SABIT_AMBALAJ</t>
  </si>
  <si>
    <t>pano başı sabit ambalaj</t>
  </si>
  <si>
    <t>BLOK 4 — FIYAT LISTESI YAS DENETIMI</t>
  </si>
  <si>
    <t>DOSYA</t>
  </si>
  <si>
    <t>YAS_AY</t>
  </si>
  <si>
    <t>DURUM</t>
  </si>
  <si>
    <t>260827_chint_price...xlsx</t>
  </si>
  <si>
    <t>2026-08-27</t>
  </si>
  <si>
    <t>ok</t>
  </si>
  <si>
    <t>2607_15_Kaztek_pano_fiyat_listesi.XLSX</t>
  </si>
  <si>
    <t>2026-07-15</t>
  </si>
  <si>
    <t>EKT/IEK</t>
  </si>
  <si>
    <t>birlesik.csv (EKT bloğu - kaynak tarihi karışık)</t>
  </si>
  <si>
    <t>bilinmiyor</t>
  </si>
  <si>
    <t>TEYIT ET</t>
  </si>
  <si>
    <t>260602_ABB_Elektrifikasyon...pdf</t>
  </si>
  <si>
    <t>2025-11-01</t>
  </si>
  <si>
    <t>BLOK 5 — RISK KAYDI</t>
  </si>
  <si>
    <t>SATIR</t>
  </si>
  <si>
    <t>PANO</t>
  </si>
  <si>
    <t>ARTIKUL/KALEM</t>
  </si>
  <si>
    <t>AKSIYON</t>
  </si>
  <si>
    <t>ЩС-1</t>
  </si>
  <si>
    <t>KAZTEK-SC1-KORPUS</t>
  </si>
  <si>
    <t>VARSAYIM</t>
  </si>
  <si>
    <t>Korpus ölçüsü şemada yok, 700x300x150 IP31 (ЩРВ) seçildi</t>
  </si>
  <si>
    <t>Saha/mühendis onayı</t>
  </si>
  <si>
    <t>CHINT-NH40-250-3P (QS1)</t>
  </si>
  <si>
    <t>CIHAZ_BELIRSIZ</t>
  </si>
  <si>
    <t>Şemada QS1 rubilnik sembolü; proje spesifikasyonu '250A otomatik sigorta' yazıyor - çelişki</t>
  </si>
  <si>
    <t>Tasarımcıya sor, gerekirse MCCB'ye çevir</t>
  </si>
  <si>
    <t>Sayaç + parafudr (100A üstü kural)</t>
  </si>
  <si>
    <t>KONTROL</t>
  </si>
  <si>
    <t>Otomatik tamamlama kuralı &gt;100A ana panoda sayaç+SPD ister; şemada ТА/счетчик/ОПН yok, AVR sonrası dağıtım panosu</t>
  </si>
  <si>
    <t>BOM'a dahil edilmedi - gerekirse ayrı revizyon</t>
  </si>
  <si>
    <t>EKT-TMLUG-35 / EKT-TMLUG-150</t>
  </si>
  <si>
    <t>8 çıkışın kablo kesiti 25-70mm² arası değişken, tek temsili pabuç tipiyle sayıldı</t>
  </si>
  <si>
    <t>Gerçek kesitlere göre ayrıştır</t>
  </si>
  <si>
    <t>EKT-DIN-TH35</t>
  </si>
  <si>
    <t>FIYAT_YOK</t>
  </si>
  <si>
    <t>DIN rayı TH35 (metrajlı) birlesik.csv'de yok</t>
  </si>
  <si>
    <t>Fiyat listesine ekle</t>
  </si>
  <si>
    <t>EKT-LOTOK-PERF-50X50 / KAPAK</t>
  </si>
  <si>
    <t>MUADIL_ONAY</t>
  </si>
  <si>
    <t>Perforeli metal lоток - plastik kanalın muadili değil (kalıcı kural)</t>
  </si>
  <si>
    <t>MÜHENDİS ONAYI GEREKLİ</t>
  </si>
  <si>
    <t>EKT-SINASI-N-PE (PE satırı)</t>
  </si>
  <si>
    <t>MUADIL</t>
  </si>
  <si>
    <t>Özel ГЗШ/PE barası bulunamadı, izoleli N barası tipi PE için de kullanıldı</t>
  </si>
  <si>
    <t>-</t>
  </si>
  <si>
    <t>EKT-BOLT-M8-SET</t>
  </si>
  <si>
    <t>72 adet = 9 bağlantı (1 giriş+8 çıkış) × 4 iletken × 2 takım</t>
  </si>
  <si>
    <t>ЯУО</t>
  </si>
  <si>
    <t>KAZTEK-YAUO-KORPUS</t>
  </si>
  <si>
    <t>Korpus ölçüsü şemada yok, 550x320x120 seçildi</t>
  </si>
  <si>
    <t>CHINT-NXB63-1P-1A (QF2)</t>
  </si>
  <si>
    <t>1A çok düşük kademe, kumanda/timer devresi koruması varsayıldı</t>
  </si>
  <si>
    <t>Teyit gerekli</t>
  </si>
  <si>
    <t>CHINT-NXC09-220V (KM1)</t>
  </si>
  <si>
    <t>Aydınlatma yük akımı şemada yok, en küçük gövde (9A) varsayıldı</t>
  </si>
  <si>
    <t>Gerçek yükle teyit</t>
  </si>
  <si>
    <t>CHINT-NXR12-4-6A (KK1)</t>
  </si>
  <si>
    <t>Termik röle aralığı (4-6A) varsayıldı</t>
  </si>
  <si>
    <t>CHINT-NP2-BD33-3POZ (SA1/SA2)</t>
  </si>
  <si>
    <t>Kontak sayısı (2NO) kumanda şemasına göre teyit edilmeli</t>
  </si>
  <si>
    <t>EKT-FR7E-FOTORELE</t>
  </si>
  <si>
    <t>FR1 (fotoröle) + BL1 (fotodatçik) birleşik üründe - CHINT'te eşdeğeri yok</t>
  </si>
  <si>
    <t>EKT-KBL-PUGV-1.5</t>
  </si>
  <si>
    <t>1,5mm² ПуГВ kumanda kablosu birlesik.csv'de yok (sadece 25mm² üstü var)</t>
  </si>
  <si>
    <t>EKT-KLEMENS-2.5MM (10 ad)</t>
  </si>
  <si>
    <t>Klemens adedi hesapla varsayıldı (giriş+çıkış+BL1+yedek)</t>
  </si>
  <si>
    <t>QF5</t>
  </si>
  <si>
    <t>CHINT-NXB63-3P-10A</t>
  </si>
  <si>
    <t>Kutup sayısı (3P) şemada/spec'te yazmıyor, ЯУО girişi 3P olduğundan 3P varsayıldı</t>
  </si>
  <si>
    <t>İşçilik (15 dk/adet)</t>
  </si>
  <si>
    <t>Tam pano montaj normu değil, mevcut panoya tekil breaker montajı için sabit 15dk varsayıldı</t>
  </si>
  <si>
    <t>GENEL</t>
  </si>
  <si>
    <t>KUR (USD/EUR/TRY)</t>
  </si>
  <si>
    <t>Bu oturumda güncel kur verilmedi, kur.py'nin son bilinen değerleri (2026-08-27) kullanıldı - damga: KUR VARSAYIM</t>
  </si>
  <si>
    <t>Güncel kur ile teyit et</t>
  </si>
  <si>
    <t>KAR_ORANI / ISCILIK_SAAT_UCRETI / MONTAJ_SARF_DK_KZT</t>
  </si>
  <si>
    <t>Örnek değerler girildi (kâr %25, işçilik 3500 KZT/saat, sarf 50 KZT/dk)</t>
  </si>
  <si>
    <t>Kendi atölye/ticari değerlerinle değiştir (KURALLAR sarı hücreler)</t>
  </si>
  <si>
    <t>EKT/IEK fiyat kaynağı</t>
  </si>
  <si>
    <t>birlesik.csv içindeki EKT bloklarının liste tarihi netleştirilemedi</t>
  </si>
  <si>
    <t>kaynaklar.csv ile teyit et, BLOK4'ü güncelle</t>
  </si>
  <si>
    <t>Saha besleme kabloları (АВБбШв)</t>
  </si>
  <si>
    <t>KAPSAM_DISI</t>
  </si>
  <si>
    <t>Н-ВРУ, Н-Н1...Н-Н7, Н-К-1 besleme kabloları bu BOM kapsamı dışında - sadece pano içi malzeme verildi</t>
  </si>
  <si>
    <t>BLOK 6 — OTOMATIK TAMAMLAMA PARAMETRELERI</t>
  </si>
  <si>
    <t>BARA_DERATING</t>
  </si>
  <si>
    <t>BARA_FIRE</t>
  </si>
  <si>
    <t>BARA_N_ORANI</t>
  </si>
  <si>
    <t>BARA_PE_ORANI</t>
  </si>
  <si>
    <t>BARA_KOPRU_M</t>
  </si>
  <si>
    <t>BARA_BOY_M</t>
  </si>
  <si>
    <t>KABLO_FIRE</t>
  </si>
  <si>
    <t>KABLO_M_MODULER</t>
  </si>
  <si>
    <t>KABLO_M_MCCB</t>
  </si>
  <si>
    <t>DINRAY_FIRE</t>
  </si>
  <si>
    <t>KANAL_FIRE</t>
  </si>
  <si>
    <t>KLEMENS_YEDEK</t>
  </si>
  <si>
    <t>TARAK_MOD_ADET</t>
  </si>
  <si>
    <t>MODUL_GENISLIK_MM</t>
  </si>
  <si>
    <t>SIRA_YUKSEKLIK_MM</t>
  </si>
  <si>
    <t>KORPUS_KULLANILABILIR_ORAN</t>
  </si>
  <si>
    <t>KORPUS_YEDEK_ORANI</t>
  </si>
  <si>
    <t>KUMANDA_MCB_TIP</t>
  </si>
  <si>
    <t>1P 6A C 4.5kA</t>
  </si>
  <si>
    <t>GENISLIK_MM</t>
  </si>
  <si>
    <t>YUKSEKLIK_MM</t>
  </si>
  <si>
    <t>DERINLIK_MM</t>
  </si>
  <si>
    <t>TIP</t>
  </si>
  <si>
    <t>SC1</t>
  </si>
  <si>
    <t>duvar (ayaksiz)</t>
  </si>
  <si>
    <t>YAUO</t>
  </si>
  <si>
    <t>BLOK 7 — TICARI</t>
  </si>
  <si>
    <t>KAR_ORANI</t>
  </si>
  <si>
    <t>ISKONTO</t>
  </si>
  <si>
    <t>NDS_ORANI</t>
  </si>
  <si>
    <t>TEKLIF_GECERLILIK</t>
  </si>
  <si>
    <t>URETIM_SURESI</t>
  </si>
  <si>
    <t>ODEME_SARTI</t>
  </si>
  <si>
    <t>50% avans, 50% teslimatta</t>
  </si>
  <si>
    <t>GARANTI</t>
  </si>
  <si>
    <t>12 ay</t>
  </si>
  <si>
    <t>BLOK 8 — METAL FIYATI</t>
  </si>
  <si>
    <t>BAKIR_KG_USD</t>
  </si>
  <si>
    <t>comex - kur.py referansi</t>
  </si>
  <si>
    <t>ALUM_KG_USD</t>
  </si>
  <si>
    <t>USD_KZT (BLOK1'den)</t>
  </si>
  <si>
    <t>BAKIR_KG_KZT</t>
  </si>
  <si>
    <t>ALUM_KG_KZT</t>
  </si>
  <si>
    <t>BLOK 9 — BARA TABLOSU (BARA_TABLO)</t>
  </si>
  <si>
    <t>ARTIKUL(txw)</t>
  </si>
  <si>
    <t>Kalinlik</t>
  </si>
  <si>
    <t>Genislik</t>
  </si>
  <si>
    <t>Kesit mm2</t>
  </si>
  <si>
    <t>Cu kg/m</t>
  </si>
  <si>
    <t>Cu A</t>
  </si>
  <si>
    <t>Cu 2||A</t>
  </si>
  <si>
    <t>Al kg/m</t>
  </si>
  <si>
    <t>Al A</t>
  </si>
  <si>
    <t>Al 2||A</t>
  </si>
  <si>
    <t>3X15</t>
  </si>
  <si>
    <t>3X20</t>
  </si>
  <si>
    <t>3X25</t>
  </si>
  <si>
    <t>3X30</t>
  </si>
  <si>
    <t>3X40</t>
  </si>
  <si>
    <t>3X50</t>
  </si>
  <si>
    <t>3X60</t>
  </si>
  <si>
    <t>3X80</t>
  </si>
  <si>
    <t>3X100</t>
  </si>
  <si>
    <t>4X15</t>
  </si>
  <si>
    <t>4X20</t>
  </si>
  <si>
    <t>4X25</t>
  </si>
  <si>
    <t>4X30</t>
  </si>
  <si>
    <t>4X40</t>
  </si>
  <si>
    <t>4X50</t>
  </si>
  <si>
    <t>4X60</t>
  </si>
  <si>
    <t>4X80</t>
  </si>
  <si>
    <t>4X100</t>
  </si>
  <si>
    <t>5X15</t>
  </si>
  <si>
    <t>5X20</t>
  </si>
  <si>
    <t>5X25</t>
  </si>
  <si>
    <t>5X30</t>
  </si>
  <si>
    <t>5X40</t>
  </si>
  <si>
    <t>5X50</t>
  </si>
  <si>
    <t>5X60</t>
  </si>
  <si>
    <t>5X80</t>
  </si>
  <si>
    <t>5X100</t>
  </si>
  <si>
    <t>6X15</t>
  </si>
  <si>
    <t>6X20</t>
  </si>
  <si>
    <t>6X25</t>
  </si>
  <si>
    <t>6X30</t>
  </si>
  <si>
    <t>6X40</t>
  </si>
  <si>
    <t>6X50</t>
  </si>
  <si>
    <t>6X60</t>
  </si>
  <si>
    <t>6X80</t>
  </si>
  <si>
    <t>6X100</t>
  </si>
  <si>
    <t>8X15</t>
  </si>
  <si>
    <t>8X20</t>
  </si>
  <si>
    <t>8X25</t>
  </si>
  <si>
    <t>8X30</t>
  </si>
  <si>
    <t>8X40</t>
  </si>
  <si>
    <t>8X50</t>
  </si>
  <si>
    <t>8X60</t>
  </si>
  <si>
    <t>8X80</t>
  </si>
  <si>
    <t>8X100</t>
  </si>
  <si>
    <t>10X15</t>
  </si>
  <si>
    <t>10X20</t>
  </si>
  <si>
    <t>10X25</t>
  </si>
  <si>
    <t>10X30</t>
  </si>
  <si>
    <t>10X40</t>
  </si>
  <si>
    <t>10X50</t>
  </si>
  <si>
    <t>10X60</t>
  </si>
  <si>
    <t>10X80</t>
  </si>
  <si>
    <t>10X100</t>
  </si>
  <si>
    <t>12X15</t>
  </si>
  <si>
    <t>12X20</t>
  </si>
  <si>
    <t>12X25</t>
  </si>
  <si>
    <t>12X30</t>
  </si>
  <si>
    <t>12X40</t>
  </si>
  <si>
    <t>12X50</t>
  </si>
  <si>
    <t>12X60</t>
  </si>
  <si>
    <t>12X80</t>
  </si>
  <si>
    <t>12X100</t>
  </si>
  <si>
    <t>DURUM_LIST</t>
  </si>
  <si>
    <t>OK</t>
  </si>
  <si>
    <t>OKUNAMADI</t>
  </si>
  <si>
    <t>FIYAT_ESKI</t>
  </si>
  <si>
    <t>SIRA</t>
  </si>
  <si>
    <t>ARTIKUL</t>
  </si>
  <si>
    <t>LISTE_FIYAT</t>
  </si>
  <si>
    <t>NET_KZT</t>
  </si>
  <si>
    <t>TOPLAM_ADET</t>
  </si>
  <si>
    <t>TOPLAM_TUTAR</t>
  </si>
  <si>
    <t>KATSAYI</t>
  </si>
  <si>
    <t>BIRIM</t>
  </si>
  <si>
    <t>KAYNAK</t>
  </si>
  <si>
    <t>PANO(LAR)</t>
  </si>
  <si>
    <t>MODUL</t>
  </si>
  <si>
    <t>KOD</t>
  </si>
  <si>
    <t>шт</t>
  </si>
  <si>
    <t>KAZTEK2607</t>
  </si>
  <si>
    <t>Korpus olcusu semada verilmedi, modul hesabina gore secildi - KONTROL (govde tipi ЩРВ/ЩРН teyidi de gerekli)</t>
  </si>
  <si>
    <t>CHINT2608</t>
  </si>
  <si>
    <t>Semada QS1 rubilnik sembolu; proje spesifikasyon tablosunda '250A otomatik sigorta' yaziyor - celiski, muhendis teyidi gerekli</t>
  </si>
  <si>
    <t>CHINT-NH40-250-3P</t>
  </si>
  <si>
    <t>oto</t>
  </si>
  <si>
    <t>CHINT-NXB63-3P-63A</t>
  </si>
  <si>
    <t>CHINT-NXB63-3P-40A</t>
  </si>
  <si>
    <t>CHINT-NXB63-3P-32A</t>
  </si>
  <si>
    <t>814168</t>
  </si>
  <si>
    <t>Авт. выкл. NXB-63 3P 6A 6кА х-ка C</t>
  </si>
  <si>
    <t>CHINT-NXB63-3P-6A</t>
  </si>
  <si>
    <t>814008</t>
  </si>
  <si>
    <t>Авт. выкл. NXB-63 1P 1A 6кА х-ка C</t>
  </si>
  <si>
    <t>1A cok dusuk kademe - QF2 kumanda/zaman rolesi devresi korumasi varsayildi, teyit gerekli</t>
  </si>
  <si>
    <t>CHINT-NXB63-1P-1A</t>
  </si>
  <si>
    <t>814169</t>
  </si>
  <si>
    <t>Авт. выкл. NXB-63 3P 10A 6кА х-ка C</t>
  </si>
  <si>
    <t>Mevcut kuyu panosuna QF5 olarak monte edilecek (yeni pano degil); kutup sayisi (3P) semada yazmiyor, ЯУО girisi 3P oldugu icin 3P varsayildi</t>
  </si>
  <si>
    <t>kontaktor</t>
  </si>
  <si>
    <t>836704</t>
  </si>
  <si>
    <t>Контактор NXC-09 9A 220В/АС3 1НО+1НЗ (KM1)</t>
  </si>
  <si>
    <t>Aydinlatma yuku akimi semada verilmemis, en kucuk govde NXC-09 (9A) varsayildi</t>
  </si>
  <si>
    <t>CHINT-NXC09-220V</t>
  </si>
  <si>
    <t>termik</t>
  </si>
  <si>
    <t>837101</t>
  </si>
  <si>
    <t>Тепловое реле NXR-12 4-6A (KK1)</t>
  </si>
  <si>
    <t>Yuk akimi belirsiz, orta aralik (4-6A) varsayildi - gercek yuk akimina gore degistirilmeli</t>
  </si>
  <si>
    <t>CHINT-NXR12-4-6A</t>
  </si>
  <si>
    <t>buton</t>
  </si>
  <si>
    <t>574843</t>
  </si>
  <si>
    <t>Кнопка управления NP2-BA42 без подсветки красная 1НЗ (SB1 Стоп)</t>
  </si>
  <si>
    <t>CHINT-NP2-BA42-KIRMIZI</t>
  </si>
  <si>
    <t>573763</t>
  </si>
  <si>
    <t>Кнопка управления NP2-BA35 зеленая 1НЗ+1НО (SB2 Пуск)</t>
  </si>
  <si>
    <t>CHINT-NP2-BA35-YESIL</t>
  </si>
  <si>
    <t>lamb</t>
  </si>
  <si>
    <t>593075</t>
  </si>
  <si>
    <t>Индикатор ND16-22D/2 красный AC/DC230В (HLR1)</t>
  </si>
  <si>
    <t>CHINT-ND16-22D-KIRMIZI</t>
  </si>
  <si>
    <t>574849</t>
  </si>
  <si>
    <t>Переключатель NP2-BD33 3 положения с фиксацией 2НО (SA1/SA2)</t>
  </si>
  <si>
    <t>Kontak sayisi (2NO) semadaki tam kumanda mantigina gore teyit edilmeli</t>
  </si>
  <si>
    <t>CHINT-NP2-BD33-3POZ</t>
  </si>
  <si>
    <t>role</t>
  </si>
  <si>
    <t>310024</t>
  </si>
  <si>
    <t>Таймер электронный NKG3 AC230В (KT1)</t>
  </si>
  <si>
    <t>CHINT-NKG3-TIMER</t>
  </si>
  <si>
    <t>130300434</t>
  </si>
  <si>
    <t>Фотореле ФР-7Е с выносн. фотоэлементом 220В 8А 2НО (FR1+BL1 birlikte)</t>
  </si>
  <si>
    <t>EKT-birlesik</t>
  </si>
  <si>
    <t>FR1 (fotorole) + BL1 (fotodatcik) tek urunde birlesik - CHINT'te esdegeri yok, cift sayim onlemek icin tek satir</t>
  </si>
  <si>
    <t>klemens</t>
  </si>
  <si>
    <t>030300417</t>
  </si>
  <si>
    <t>Клемма проходная (0,08-2,5мм 32А)</t>
  </si>
  <si>
    <t>ЩС-1, ЯУО</t>
  </si>
  <si>
    <t>EKT-KLEMENS-2.5MM</t>
  </si>
  <si>
    <t>kanal</t>
  </si>
  <si>
    <t>м</t>
  </si>
  <si>
    <t>Kalici kural: kablo kanali her zaman perforeli metal lotok - plastik kapakli kanalin muadili degil, MUHENDIS ONAYI GEREKLI</t>
  </si>
  <si>
    <t>EKT-LOTOK-PERF-50X50</t>
  </si>
  <si>
    <t>izolator</t>
  </si>
  <si>
    <t>YIS42-3-200</t>
  </si>
  <si>
    <t>Изолятор шинный плоский ИШП 3P (5 и 15-10-30мм)</t>
  </si>
  <si>
    <t>EKT-IZOLATOR-YIS42</t>
  </si>
  <si>
    <t>bara</t>
  </si>
  <si>
    <t>130200362</t>
  </si>
  <si>
    <t>Шина "N" нулевая 8х12мм комб. с изол. ШНИ 12-КС-С</t>
  </si>
  <si>
    <t>Ozel GZS/PE barasi bulunamadi, izoleli notr-toprak barasi tipi PE icin de kullanildi</t>
  </si>
  <si>
    <t>EKT-SINASI-N-PE</t>
  </si>
  <si>
    <t>aksesuar</t>
  </si>
  <si>
    <t>3158640</t>
  </si>
  <si>
    <t>Комплект Болт+Шайба+Гайка M8x30мм</t>
  </si>
  <si>
    <t>pabuc</t>
  </si>
  <si>
    <t>260100132</t>
  </si>
  <si>
    <t>Наконечник медный луженый ТМЛ 35-10-9</t>
  </si>
  <si>
    <t>8 cikis kablosu (25-70mm2 araligi) icin temsili kesit, gercek kablo kesitine gore revize edilmeli</t>
  </si>
  <si>
    <t>EKT-TMLUG-35</t>
  </si>
  <si>
    <t>260100141</t>
  </si>
  <si>
    <t>Наконечник медный луженый ТМЛ 150-16-19</t>
  </si>
  <si>
    <t>Giris kablosu (H-VRU, AVBbShV-4x120mm2) icin temsili kesit</t>
  </si>
  <si>
    <t>EKT-TMLUG-150</t>
  </si>
  <si>
    <t>311100817</t>
  </si>
  <si>
    <t>Наконечник НШВИ 1,5-8 изолированный (100шт/пак.)</t>
  </si>
  <si>
    <t>пак(100шт)</t>
  </si>
  <si>
    <t>Fiyat 100'luk paket icin - BOM adedi paket kesri olarak yazildi</t>
  </si>
  <si>
    <t>EKT-NSHVI-1.5-PAKET</t>
  </si>
  <si>
    <t>713-09053</t>
  </si>
  <si>
    <t>Щит мет.ЩРв-36 (550х320х120)</t>
  </si>
  <si>
    <t>Korpus olcusu semada verilmedi, dogru panel + kapak uzeri cihazlarina gore secildi - KONTROL</t>
  </si>
  <si>
    <t>(hesap - katalog degil)</t>
  </si>
  <si>
    <t>Шина медная 3х25мм (Cu, m basi)</t>
  </si>
  <si>
    <t>metal fiyati (BLOK 8)</t>
  </si>
  <si>
    <t>Fiyat BARA_TABLO kg/m x BAKIR_KG_KZT formulunden gelir, fiyat listesinde aranmaz</t>
  </si>
  <si>
    <t>BARA-CU-3X25</t>
  </si>
  <si>
    <t>din</t>
  </si>
  <si>
    <t>DIN rayi TH35 (35x7,5mm delikli celik)</t>
  </si>
  <si>
    <t>birlesik.csv'de metrajli DIN TH35 rayi bulunamadi, fiyat listesine eklenmeli</t>
  </si>
  <si>
    <t>kablo</t>
  </si>
  <si>
    <t>ПуГВ 1х1,5 kumanda kablosu</t>
  </si>
  <si>
    <t>birlesik.csv'de kucuk kesitli (1,5mm2) ПуГВ bulunamadi (sadece 25-95mm2 mevcut), fiyat listesine eklenmeli</t>
  </si>
  <si>
    <t>монтажный материал</t>
  </si>
  <si>
    <t>Montaj sarf malzemesi (vida, dubel, spiral, kablo bagi)</t>
  </si>
  <si>
    <t>компл</t>
  </si>
  <si>
    <t>Sabit paket fiyati fiyat listesinde yok, atolye sarf ortalamasi girilmeli</t>
  </si>
  <si>
    <t>QF5, ЩС-1, ЯУО</t>
  </si>
  <si>
    <t>MONTAJ-MALZEME</t>
  </si>
  <si>
    <t>монтажная работа</t>
  </si>
  <si>
    <t>Iscilik (montaj+kablaj+test)</t>
  </si>
  <si>
    <t>dk</t>
  </si>
  <si>
    <t>KURALLAR BLOK3</t>
  </si>
  <si>
    <t>ISCILIK-MONTAJ</t>
  </si>
  <si>
    <t>Montaj sarf malzemesi (dakika bazli)</t>
  </si>
  <si>
    <t>MONTAJ-SARF-DK</t>
  </si>
  <si>
    <t>ROW</t>
  </si>
  <si>
    <t>Наименование1</t>
  </si>
  <si>
    <t>Тип</t>
  </si>
  <si>
    <t>Артикул</t>
  </si>
  <si>
    <t>Номенклатура</t>
  </si>
  <si>
    <t>Цена</t>
  </si>
  <si>
    <t>net</t>
  </si>
  <si>
    <t>H</t>
  </si>
  <si>
    <t>Qty</t>
  </si>
  <si>
    <t>Ед.изм</t>
  </si>
  <si>
    <t>Завод</t>
  </si>
  <si>
    <t>tutar</t>
  </si>
  <si>
    <t>ANAHTAR</t>
  </si>
  <si>
    <t>ISCILIK_DK</t>
  </si>
  <si>
    <t>ЩС-1 (ВРУ) — Однолинейная схема ВРУ / Елемес СЗ, 1 компл</t>
  </si>
  <si>
    <t>QF1,QF2,QF3,QF6 — Авт.выкл. NXB-63 3P 63A C</t>
  </si>
  <si>
    <t>QF5 — Авт.выкл. NXB-63 3P 40A C</t>
  </si>
  <si>
    <t>QF4,QF7,QF8 — Авт.выкл. NXB-63 3P 32A C</t>
  </si>
  <si>
    <t>Bakır bara 3х25мм — L1,L2,L3 (faz)</t>
  </si>
  <si>
    <t>In=250A(QS1), gerekli≥In/derating=294A → 3x25(300A) secildi. L=(0.70-0.10)x3xFIRE(1.15)</t>
  </si>
  <si>
    <t>Bakır bara 3х25мм — N (notr, ВРУ tam kesit)</t>
  </si>
  <si>
    <t>N=fazin %100'u (ВРУ/harmonik kural), L=(0.70-0.10)x1.00xFIRE</t>
  </si>
  <si>
    <t>Bakır bara 3х25мм — PE (topraklama, min 3x25)</t>
  </si>
  <si>
    <t>PE=fazin %50'si, L=(0.70-0.10)x0.50xFIRE</t>
  </si>
  <si>
    <t>Bara izolatoru ИШП 3P</t>
  </si>
  <si>
    <t>Izoleli notr barasi (N)</t>
  </si>
  <si>
    <t>Topraklama barasi (PE / ГЗШ yerine)</t>
  </si>
  <si>
    <t>Ozel ГЗШ urunu bulunamadi, N barasi tipi PE icin de kullanildi - MUADIL</t>
  </si>
  <si>
    <t>9 baglanti noktasi (1 giris+8 cikis) x 4 iletken(L1,L2,L3,N) x 2 takim = 72</t>
  </si>
  <si>
    <t>Kablo pabucu — cikis kablolari (25-70мм2, temsili)</t>
  </si>
  <si>
    <t>8 cikis x 4 iletken = 32 uc. Gercek kesitler: 4x50,4x50,4x70,4x25,4x50,4x70,4x50,4x50 mm2 - tek kesit ile temsil edildi, KONTROL</t>
  </si>
  <si>
    <t>Kablo pabucu — giris kablosu (АВБбШв-4х120мм2)</t>
  </si>
  <si>
    <t>1 giris x 4 iletken = 4 uc</t>
  </si>
  <si>
    <t>Yedek/test klemensi</t>
  </si>
  <si>
    <t>KLEMENS_YEDEK min 4 adet</t>
  </si>
  <si>
    <t>Iscilik — montaj+kablaj+test (dk bazli, KURALLAR BLOK3)</t>
  </si>
  <si>
    <t>Montaj sarf malzemesi (dk bazli)</t>
  </si>
  <si>
    <t>Toplam ЩС-1 (ВРУ)</t>
  </si>
  <si>
    <t>ЯУО — Ящик управления освещением (наружное освещение), 1 компл</t>
  </si>
  <si>
    <t>OZET'te 10 komplekt olarak carpilir</t>
  </si>
  <si>
    <t>QF1 — Авт.выкл. 3P 6A C (giris)</t>
  </si>
  <si>
    <t>QF2 — Авт.выкл. 1P 1A C</t>
  </si>
  <si>
    <t>KM1 — Контактор NXC-09 9A</t>
  </si>
  <si>
    <t>KK1 — Тепловое реле NXR-12 4-6A</t>
  </si>
  <si>
    <t>SB1 — Кнопка «Стоп» красная 1НЗ</t>
  </si>
  <si>
    <t>SB2 — Кнопка «Пуск» зеленая 1НЗ+1НО</t>
  </si>
  <si>
    <t>HLR1 — Лампа сигнальная красная</t>
  </si>
  <si>
    <t>SA1 — Переключатель «Местн-0-Дист» 3 полож.</t>
  </si>
  <si>
    <t>SA2 — Переключатель «ПР-0-ФР» 3 полож.</t>
  </si>
  <si>
    <t>KT1 — Таймер цифровой NKG3</t>
  </si>
  <si>
    <t>FR1+BL1 — Фотореле с выносным фотоэлементом</t>
  </si>
  <si>
    <t>Giris(4)+cikis aydinlatma hatti(2)+BL1 uzak sensor(2)+yedek(2)=10, KLEMENS_YEDEK dahil - hesap</t>
  </si>
  <si>
    <t>Yuksuk НШВИ 1,5-8 (20 adet, 100'luk paketten)</t>
  </si>
  <si>
    <t>~20 uc x 1,5mm2, paketin 0,2'si. Iscilik PABUC_YUKSUK normuna dahil edilmedi (kalem kucuk, genel montaj isciligi icinde)</t>
  </si>
  <si>
    <t>Kumanda kablaji temsili metraj (kontaktor-buton-lamba-selektor-timer-fotorole arasi), FIYAT_YOK - kesit kucuk, listede yok</t>
  </si>
  <si>
    <t>Iscilik — montaj+kablaj+test (dk bazli)</t>
  </si>
  <si>
    <t>Toplam ЯУО (1 компл)</t>
  </si>
  <si>
    <t>QF5 — Mevcut kuyu щитine montaj (10 adet), yeni korpus YOK</t>
  </si>
  <si>
    <t>OZET'te 10 adet olarak carpilir</t>
  </si>
  <si>
    <t>QF5 — mevcut ЩС/kuyu panosuna monte, ЯУО besleme hattini korur</t>
  </si>
  <si>
    <t>Not 2: 'скважинах существующий щитte 10A otomatik sigorta kur'. Kutup sayisi (3P) semada acik degil, ЯУО girisi 3P oldugundan 3P varsayildi</t>
  </si>
  <si>
    <t>Montaj sarf malzemesi (mevcut pano icine)</t>
  </si>
  <si>
    <t>Iscilik — mevcut panoya QF5 montaj+baglanti+test (tam pano montaji degil)</t>
  </si>
  <si>
    <t>Sabit hazirlik/test/ambalaj normlari uygulanmadi (yeni korpus yok), 15 dk/adet varsayildi - KONTROL</t>
  </si>
  <si>
    <t>Toplam QF5 montaj (1 adet)</t>
  </si>
  <si>
    <t>ADET</t>
  </si>
  <si>
    <t>MALZEME</t>
  </si>
  <si>
    <t>KAPASITE</t>
  </si>
  <si>
    <t>DOLULUK%</t>
  </si>
  <si>
    <t>YEDEK%</t>
  </si>
  <si>
    <t>BARA m</t>
  </si>
  <si>
    <t>BARA kg</t>
  </si>
  <si>
    <t>BARA TUTARI</t>
  </si>
  <si>
    <t>ЩС-1 (ВРУ)</t>
  </si>
  <si>
    <t>ЯУО (х10)</t>
  </si>
  <si>
    <t>QF5 montaj (х10)</t>
  </si>
  <si>
    <t>GENEL TOPLAM</t>
  </si>
  <si>
    <t>DURUM DAMGASI</t>
  </si>
  <si>
    <t>Etkilenen kalem (FIYAT_YOK+MUADIL+VARSAYIM)</t>
  </si>
  <si>
    <t>KOMMERCHESKOE PREDLOZHENIE / TEKLİF</t>
  </si>
  <si>
    <t>Teklif No</t>
  </si>
  <si>
    <t>260914-AKT-RHM-OKEZ-01</t>
  </si>
  <si>
    <t>Tarih</t>
  </si>
  <si>
    <t>2026-09-14</t>
  </si>
  <si>
    <t>Geçerlilik</t>
  </si>
  <si>
    <t>Müşteri</t>
  </si>
  <si>
    <t>ТОО «Construction NS» (loyiha) / Заказчик</t>
  </si>
  <si>
    <t>Proje</t>
  </si>
  <si>
    <t>Строительство ВЛ 0,4кВ месторождения Елемес Северо-Западный — ОК/EZ/04/11/25/2-ЭС</t>
  </si>
  <si>
    <t>Para birimi</t>
  </si>
  <si>
    <t>№</t>
  </si>
  <si>
    <t>Наименование</t>
  </si>
  <si>
    <t>Кол-во</t>
  </si>
  <si>
    <t>Цена за ед. (KZT)</t>
  </si>
  <si>
    <t>Сумма (KZT)</t>
  </si>
  <si>
    <t>ЩС-1 (ВРУ) — IP31, вводной рубильник 250А, 8 отх. автоматов, медные шины</t>
  </si>
  <si>
    <t>ЯУО — Ящик управления наружным освещением (фотореле+таймер+контактор)</t>
  </si>
  <si>
    <t>Монтаж QF5 10А в существующие щиты скважин (10 шт.)</t>
  </si>
  <si>
    <t>Итого</t>
  </si>
  <si>
    <t>Скидка (ISKONTO)</t>
  </si>
  <si>
    <t>Итого со скидкой</t>
  </si>
  <si>
    <t>НДС (NDS_ORANI)</t>
  </si>
  <si>
    <t>Всего с НДС</t>
  </si>
  <si>
    <t>Срок изготовления</t>
  </si>
  <si>
    <t>Условия оплаты</t>
  </si>
  <si>
    <t>Гарантия</t>
  </si>
  <si>
    <t>mccb</t>
  </si>
  <si>
    <t>719-15437</t>
  </si>
  <si>
    <t>Мет.Корпус Щит (1600x600x400+10см база)</t>
  </si>
  <si>
    <t>280100020_</t>
  </si>
  <si>
    <t xml:space="preserve">                Кабель.канал перф.  40х40 ИМПАКТ IEK (36)</t>
  </si>
  <si>
    <t>131360</t>
  </si>
  <si>
    <t>Авт. выкл. NXM-125S/3Р 63A 25кА (R)</t>
  </si>
  <si>
    <t>844301</t>
  </si>
  <si>
    <t>Авт. выкл. NXM-125S/3Р 40A 25кА (R)</t>
  </si>
  <si>
    <t>844300</t>
  </si>
  <si>
    <t>Авт. выкл. NXM-125S/3Р 32A 25кА (R)</t>
  </si>
  <si>
    <t>mcb</t>
  </si>
  <si>
    <t>131369</t>
  </si>
  <si>
    <t>Авт. выкл. NXM-250S/3Р 250A 36кА (R)</t>
  </si>
  <si>
    <t>714-15126</t>
  </si>
  <si>
    <t>Щит мет. ЩРн-1-2 PR (395x310x220) IP54 (TS)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</si>
</sst>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Cambria"/>
      <family val="1"/>
      <charset val="204"/>
    </font>
    <font>
      <b/>
      <sz val="12"/>
      <color rgb="FFFFFFFF"/>
      <name val="Cambria"/>
      <family val="1"/>
      <charset val="204"/>
    </font>
    <font>
      <b/>
      <sz val="11"/>
      <color rgb="FFFFFFFF"/>
      <name val="Cambria"/>
      <family val="1"/>
      <charset val="204"/>
    </font>
    <font>
      <sz val="11"/>
      <color rgb="FF9C0006"/>
      <name val="Cambria"/>
      <family val="1"/>
      <charset val="204"/>
    </font>
    <font>
      <b/>
      <sz val="11"/>
      <name val="Cambria"/>
      <family val="1"/>
      <charset val="204"/>
    </font>
    <font>
      <b/>
      <sz val="13"/>
      <name val="Cambria"/>
      <family val="1"/>
      <charset val="204"/>
    </font>
    <font>
      <b/>
      <sz val="11"/>
      <color rgb="FFC00000"/>
      <name val="Cambria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FFF2CC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CC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5" fillId="0" borderId="0" xfId="0" applyFont="1"/>
    <xf numFmtId="0" fontId="0" fillId="0" borderId="1" xfId="0" applyBorder="1"/>
    <xf numFmtId="0" fontId="0" fillId="5" borderId="1" xfId="0" applyFill="1" applyBorder="1"/>
    <xf numFmtId="0" fontId="0" fillId="7" borderId="1" xfId="0" applyFill="1" applyBorder="1"/>
    <xf numFmtId="0" fontId="4" fillId="0" borderId="1" xfId="0" applyFont="1" applyBorder="1"/>
    <xf numFmtId="0" fontId="4" fillId="4" borderId="1" xfId="0" applyFont="1" applyFill="1" applyBorder="1"/>
    <xf numFmtId="0" fontId="0" fillId="8" borderId="1" xfId="0" applyFill="1" applyBorder="1"/>
    <xf numFmtId="0" fontId="5" fillId="8" borderId="1" xfId="0" applyFont="1" applyFill="1" applyBorder="1"/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4" borderId="2" xfId="0" applyFill="1" applyBorder="1"/>
    <xf numFmtId="0" fontId="0" fillId="5" borderId="2" xfId="0" applyFill="1" applyBorder="1"/>
    <xf numFmtId="0" fontId="5" fillId="0" borderId="2" xfId="0" applyFont="1" applyBorder="1"/>
    <xf numFmtId="0" fontId="0" fillId="8" borderId="2" xfId="0" applyFill="1" applyBorder="1" applyAlignment="1">
      <alignment vertical="center"/>
    </xf>
    <xf numFmtId="0" fontId="5" fillId="8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8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horizontal="center" vertical="center" wrapText="1"/>
    </xf>
    <xf numFmtId="3" fontId="0" fillId="4" borderId="1" xfId="0" applyNumberFormat="1" applyFill="1" applyBorder="1"/>
    <xf numFmtId="3" fontId="0" fillId="0" borderId="1" xfId="0" applyNumberFormat="1" applyBorder="1"/>
    <xf numFmtId="3" fontId="4" fillId="4" borderId="1" xfId="0" applyNumberFormat="1" applyFont="1" applyFill="1" applyBorder="1"/>
    <xf numFmtId="3" fontId="4" fillId="0" borderId="1" xfId="0" applyNumberFormat="1" applyFont="1" applyBorder="1"/>
    <xf numFmtId="3" fontId="0" fillId="0" borderId="0" xfId="0" applyNumberFormat="1"/>
    <xf numFmtId="3" fontId="3" fillId="3" borderId="2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vertical="center"/>
    </xf>
    <xf numFmtId="3" fontId="0" fillId="0" borderId="2" xfId="0" applyNumberFormat="1" applyBorder="1"/>
    <xf numFmtId="3" fontId="5" fillId="0" borderId="2" xfId="0" applyNumberFormat="1" applyFont="1" applyBorder="1"/>
    <xf numFmtId="3" fontId="0" fillId="8" borderId="1" xfId="0" applyNumberFormat="1" applyFill="1" applyBorder="1" applyAlignment="1">
      <alignment vertical="center"/>
    </xf>
    <xf numFmtId="3" fontId="5" fillId="0" borderId="1" xfId="0" applyNumberFormat="1" applyFont="1" applyBorder="1"/>
    <xf numFmtId="3" fontId="0" fillId="8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CE4D6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J227"/>
  <sheetViews>
    <sheetView showGridLines="0" zoomScale="90" zoomScaleNormal="90" workbookViewId="0">
      <selection activeCell="C24" sqref="C24"/>
    </sheetView>
  </sheetViews>
  <sheetFormatPr defaultColWidth="8.7265625" defaultRowHeight="14.5" x14ac:dyDescent="0.35"/>
  <cols>
    <col min="1" max="1" width="16" customWidth="1"/>
    <col min="2" max="6" width="15" customWidth="1"/>
    <col min="7" max="7" width="40" customWidth="1"/>
    <col min="8" max="9" width="15" customWidth="1"/>
  </cols>
  <sheetData>
    <row r="1" spans="1:7" ht="17.5" x14ac:dyDescent="0.35">
      <c r="A1" s="1" t="s">
        <v>0</v>
      </c>
    </row>
    <row r="3" spans="1:7" ht="15.5" x14ac:dyDescent="0.35">
      <c r="A3" s="2" t="s">
        <v>1</v>
      </c>
      <c r="B3" s="3"/>
      <c r="C3" s="3"/>
    </row>
    <row r="4" spans="1:7" x14ac:dyDescent="0.35">
      <c r="A4" s="4" t="s">
        <v>2</v>
      </c>
      <c r="B4" s="4" t="s">
        <v>3</v>
      </c>
      <c r="C4" s="4" t="s">
        <v>4</v>
      </c>
    </row>
    <row r="5" spans="1:7" x14ac:dyDescent="0.35">
      <c r="A5" t="s">
        <v>3</v>
      </c>
      <c r="B5" s="5">
        <v>1</v>
      </c>
    </row>
    <row r="6" spans="1:7" x14ac:dyDescent="0.35">
      <c r="A6" t="s">
        <v>5</v>
      </c>
      <c r="B6" s="5">
        <v>505</v>
      </c>
      <c r="C6" t="s">
        <v>6</v>
      </c>
    </row>
    <row r="7" spans="1:7" x14ac:dyDescent="0.35">
      <c r="A7" t="s">
        <v>7</v>
      </c>
      <c r="B7" s="5">
        <v>585</v>
      </c>
      <c r="C7" t="s">
        <v>6</v>
      </c>
    </row>
    <row r="8" spans="1:7" x14ac:dyDescent="0.35">
      <c r="A8" t="s">
        <v>8</v>
      </c>
      <c r="B8" s="5">
        <v>13.5</v>
      </c>
      <c r="C8" t="s">
        <v>6</v>
      </c>
    </row>
    <row r="10" spans="1:7" ht="15.5" x14ac:dyDescent="0.35">
      <c r="A10" s="2" t="s">
        <v>9</v>
      </c>
      <c r="B10" s="3"/>
      <c r="C10" s="3"/>
      <c r="D10" s="3"/>
      <c r="E10" s="3"/>
      <c r="F10" s="3"/>
      <c r="G10" s="3"/>
    </row>
    <row r="11" spans="1:7" x14ac:dyDescent="0.35">
      <c r="A11" s="4" t="s">
        <v>10</v>
      </c>
      <c r="B11" s="4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35">
      <c r="A12" t="s">
        <v>16</v>
      </c>
      <c r="B12" t="s">
        <v>7</v>
      </c>
      <c r="C12" s="5">
        <v>0.40500000000000003</v>
      </c>
      <c r="D12" s="5">
        <v>1</v>
      </c>
      <c r="E12">
        <f t="shared" ref="E12:E27" si="0">C12*D12</f>
        <v>0.40500000000000003</v>
      </c>
      <c r="F12" t="s">
        <v>17</v>
      </c>
      <c r="G12" t="s">
        <v>18</v>
      </c>
    </row>
    <row r="13" spans="1:7" x14ac:dyDescent="0.35">
      <c r="A13" t="s">
        <v>19</v>
      </c>
      <c r="B13" t="s">
        <v>7</v>
      </c>
      <c r="C13" s="5">
        <v>0.3105</v>
      </c>
      <c r="D13" s="5">
        <v>1</v>
      </c>
      <c r="E13">
        <f t="shared" si="0"/>
        <v>0.3105</v>
      </c>
      <c r="F13" t="s">
        <v>17</v>
      </c>
      <c r="G13" t="s">
        <v>20</v>
      </c>
    </row>
    <row r="14" spans="1:7" x14ac:dyDescent="0.35">
      <c r="A14" t="s">
        <v>21</v>
      </c>
      <c r="B14" t="s">
        <v>8</v>
      </c>
      <c r="C14" s="5">
        <v>0.6</v>
      </c>
      <c r="D14" s="5">
        <v>1</v>
      </c>
      <c r="E14">
        <f t="shared" si="0"/>
        <v>0.6</v>
      </c>
      <c r="F14" t="s">
        <v>17</v>
      </c>
    </row>
    <row r="15" spans="1:7" x14ac:dyDescent="0.35">
      <c r="A15" t="s">
        <v>22</v>
      </c>
      <c r="B15" t="s">
        <v>3</v>
      </c>
      <c r="C15" s="5">
        <v>0.6</v>
      </c>
      <c r="D15" s="5">
        <v>1</v>
      </c>
      <c r="E15">
        <f t="shared" si="0"/>
        <v>0.6</v>
      </c>
      <c r="F15" t="s">
        <v>17</v>
      </c>
      <c r="G15" t="s">
        <v>23</v>
      </c>
    </row>
    <row r="16" spans="1:7" x14ac:dyDescent="0.35">
      <c r="A16" t="s">
        <v>24</v>
      </c>
      <c r="B16" t="s">
        <v>3</v>
      </c>
      <c r="C16" s="5">
        <v>0.55000000000000004</v>
      </c>
      <c r="D16" s="5">
        <v>1</v>
      </c>
      <c r="E16">
        <f t="shared" si="0"/>
        <v>0.55000000000000004</v>
      </c>
      <c r="F16" t="s">
        <v>17</v>
      </c>
      <c r="G16" t="s">
        <v>25</v>
      </c>
    </row>
    <row r="17" spans="1:7" x14ac:dyDescent="0.35">
      <c r="A17" t="s">
        <v>26</v>
      </c>
      <c r="B17" t="s">
        <v>8</v>
      </c>
      <c r="C17" s="5">
        <v>0.5</v>
      </c>
      <c r="D17" s="5">
        <v>1</v>
      </c>
      <c r="E17">
        <f t="shared" si="0"/>
        <v>0.5</v>
      </c>
      <c r="F17" t="s">
        <v>17</v>
      </c>
      <c r="G17" t="s">
        <v>27</v>
      </c>
    </row>
    <row r="18" spans="1:7" x14ac:dyDescent="0.35">
      <c r="A18" t="s">
        <v>28</v>
      </c>
      <c r="B18" t="s">
        <v>3</v>
      </c>
      <c r="C18" s="5">
        <v>1</v>
      </c>
      <c r="D18" s="5">
        <v>1</v>
      </c>
      <c r="E18">
        <f t="shared" si="0"/>
        <v>1</v>
      </c>
      <c r="F18" t="s">
        <v>17</v>
      </c>
      <c r="G18" t="s">
        <v>29</v>
      </c>
    </row>
    <row r="19" spans="1:7" x14ac:dyDescent="0.35">
      <c r="A19" t="s">
        <v>30</v>
      </c>
      <c r="B19" t="s">
        <v>3</v>
      </c>
      <c r="C19" s="5">
        <v>0.67</v>
      </c>
      <c r="D19" s="5">
        <v>1</v>
      </c>
      <c r="E19">
        <f t="shared" si="0"/>
        <v>0.67</v>
      </c>
      <c r="F19" t="s">
        <v>17</v>
      </c>
    </row>
    <row r="20" spans="1:7" x14ac:dyDescent="0.35">
      <c r="A20" t="s">
        <v>31</v>
      </c>
      <c r="B20" t="s">
        <v>3</v>
      </c>
      <c r="C20" s="5">
        <v>1</v>
      </c>
      <c r="D20" s="5">
        <v>1</v>
      </c>
      <c r="E20">
        <f t="shared" si="0"/>
        <v>1</v>
      </c>
      <c r="F20" t="s">
        <v>17</v>
      </c>
    </row>
    <row r="21" spans="1:7" x14ac:dyDescent="0.35">
      <c r="A21" t="s">
        <v>32</v>
      </c>
      <c r="B21" t="s">
        <v>3</v>
      </c>
      <c r="C21" s="5">
        <v>1</v>
      </c>
      <c r="D21" s="5">
        <v>1</v>
      </c>
      <c r="E21">
        <f t="shared" si="0"/>
        <v>1</v>
      </c>
      <c r="F21" t="s">
        <v>17</v>
      </c>
    </row>
    <row r="22" spans="1:7" x14ac:dyDescent="0.35">
      <c r="A22" t="s">
        <v>33</v>
      </c>
      <c r="B22" t="s">
        <v>3</v>
      </c>
      <c r="C22" s="5">
        <v>0.6</v>
      </c>
      <c r="D22" s="5">
        <v>1</v>
      </c>
      <c r="E22">
        <f t="shared" si="0"/>
        <v>0.6</v>
      </c>
      <c r="F22" t="s">
        <v>17</v>
      </c>
      <c r="G22" t="s">
        <v>34</v>
      </c>
    </row>
    <row r="23" spans="1:7" x14ac:dyDescent="0.35">
      <c r="A23" t="s">
        <v>35</v>
      </c>
      <c r="B23" t="s">
        <v>3</v>
      </c>
      <c r="C23" s="5">
        <v>0.92</v>
      </c>
      <c r="D23" s="5">
        <v>1</v>
      </c>
      <c r="E23">
        <f t="shared" si="0"/>
        <v>0.92</v>
      </c>
      <c r="F23" t="s">
        <v>17</v>
      </c>
    </row>
    <row r="24" spans="1:7" x14ac:dyDescent="0.35">
      <c r="A24" t="s">
        <v>36</v>
      </c>
      <c r="B24" t="s">
        <v>3</v>
      </c>
      <c r="C24" s="5">
        <v>1</v>
      </c>
      <c r="D24" s="5">
        <v>1</v>
      </c>
      <c r="E24">
        <f t="shared" si="0"/>
        <v>1</v>
      </c>
      <c r="F24" t="s">
        <v>37</v>
      </c>
      <c r="G24" t="s">
        <v>38</v>
      </c>
    </row>
    <row r="25" spans="1:7" x14ac:dyDescent="0.35">
      <c r="A25" t="s">
        <v>39</v>
      </c>
      <c r="B25" t="s">
        <v>3</v>
      </c>
      <c r="C25" s="5">
        <v>1</v>
      </c>
      <c r="D25" s="5">
        <v>1</v>
      </c>
      <c r="E25">
        <f t="shared" si="0"/>
        <v>1</v>
      </c>
      <c r="F25" t="s">
        <v>37</v>
      </c>
      <c r="G25" t="s">
        <v>38</v>
      </c>
    </row>
    <row r="26" spans="1:7" x14ac:dyDescent="0.35">
      <c r="A26" t="s">
        <v>40</v>
      </c>
      <c r="B26" t="s">
        <v>3</v>
      </c>
      <c r="C26" s="5">
        <v>1</v>
      </c>
      <c r="D26" s="5">
        <v>1</v>
      </c>
      <c r="E26">
        <f t="shared" si="0"/>
        <v>1</v>
      </c>
      <c r="F26" t="s">
        <v>37</v>
      </c>
    </row>
    <row r="27" spans="1:7" x14ac:dyDescent="0.35">
      <c r="A27" t="s">
        <v>41</v>
      </c>
      <c r="B27" t="s">
        <v>3</v>
      </c>
      <c r="C27" s="5">
        <v>1</v>
      </c>
      <c r="D27" s="5">
        <v>1</v>
      </c>
      <c r="E27">
        <f t="shared" si="0"/>
        <v>1</v>
      </c>
      <c r="F27" t="s">
        <v>37</v>
      </c>
    </row>
    <row r="29" spans="1:7" ht="15.5" x14ac:dyDescent="0.35">
      <c r="A29" s="2" t="s">
        <v>42</v>
      </c>
      <c r="B29" s="3"/>
      <c r="C29" s="3"/>
      <c r="D29" s="3"/>
      <c r="E29" s="3"/>
      <c r="F29" s="3"/>
      <c r="G29" s="3"/>
    </row>
    <row r="30" spans="1:7" x14ac:dyDescent="0.35">
      <c r="A30" t="s">
        <v>43</v>
      </c>
      <c r="B30" s="5">
        <v>3500</v>
      </c>
      <c r="C30" t="s">
        <v>44</v>
      </c>
    </row>
    <row r="31" spans="1:7" x14ac:dyDescent="0.35">
      <c r="A31" t="s">
        <v>45</v>
      </c>
      <c r="B31">
        <f>B30/60</f>
        <v>58.333333333333336</v>
      </c>
    </row>
    <row r="32" spans="1:7" x14ac:dyDescent="0.35">
      <c r="A32" t="s">
        <v>46</v>
      </c>
      <c r="B32" s="5">
        <v>50</v>
      </c>
      <c r="C32" t="s">
        <v>47</v>
      </c>
    </row>
    <row r="33" spans="1:3" x14ac:dyDescent="0.35">
      <c r="A33" t="s">
        <v>48</v>
      </c>
      <c r="B33" s="5">
        <v>1</v>
      </c>
    </row>
    <row r="34" spans="1:3" x14ac:dyDescent="0.35">
      <c r="A34" t="s">
        <v>49</v>
      </c>
      <c r="B34" s="5">
        <v>1.1499999999999999</v>
      </c>
    </row>
    <row r="36" spans="1:3" ht="28" x14ac:dyDescent="0.35">
      <c r="A36" s="4" t="s">
        <v>50</v>
      </c>
      <c r="B36" s="4" t="s">
        <v>51</v>
      </c>
      <c r="C36" s="4" t="s">
        <v>52</v>
      </c>
    </row>
    <row r="37" spans="1:3" x14ac:dyDescent="0.35">
      <c r="A37" t="s">
        <v>53</v>
      </c>
      <c r="B37" s="5">
        <v>10</v>
      </c>
      <c r="C37" t="s">
        <v>54</v>
      </c>
    </row>
    <row r="38" spans="1:3" x14ac:dyDescent="0.35">
      <c r="A38" t="s">
        <v>55</v>
      </c>
      <c r="B38" s="5">
        <v>14</v>
      </c>
      <c r="C38" t="s">
        <v>56</v>
      </c>
    </row>
    <row r="39" spans="1:3" x14ac:dyDescent="0.35">
      <c r="A39" t="s">
        <v>57</v>
      </c>
      <c r="B39" s="5">
        <v>18</v>
      </c>
      <c r="C39" t="s">
        <v>58</v>
      </c>
    </row>
    <row r="40" spans="1:3" x14ac:dyDescent="0.35">
      <c r="A40" t="s">
        <v>59</v>
      </c>
      <c r="B40" s="5">
        <v>22</v>
      </c>
      <c r="C40" t="s">
        <v>60</v>
      </c>
    </row>
    <row r="41" spans="1:3" x14ac:dyDescent="0.35">
      <c r="A41" t="s">
        <v>61</v>
      </c>
      <c r="B41" s="5">
        <v>20</v>
      </c>
      <c r="C41" t="s">
        <v>62</v>
      </c>
    </row>
    <row r="42" spans="1:3" x14ac:dyDescent="0.35">
      <c r="A42" t="s">
        <v>63</v>
      </c>
      <c r="B42" s="5">
        <v>28</v>
      </c>
      <c r="C42" t="s">
        <v>64</v>
      </c>
    </row>
    <row r="43" spans="1:3" x14ac:dyDescent="0.35">
      <c r="A43" t="s">
        <v>65</v>
      </c>
      <c r="B43" s="5">
        <v>15</v>
      </c>
      <c r="C43" t="s">
        <v>66</v>
      </c>
    </row>
    <row r="44" spans="1:3" x14ac:dyDescent="0.35">
      <c r="A44" t="s">
        <v>67</v>
      </c>
      <c r="B44" s="5">
        <v>22</v>
      </c>
      <c r="C44" t="s">
        <v>68</v>
      </c>
    </row>
    <row r="45" spans="1:3" x14ac:dyDescent="0.35">
      <c r="A45" t="s">
        <v>69</v>
      </c>
      <c r="B45" s="5">
        <v>60</v>
      </c>
      <c r="C45" t="s">
        <v>70</v>
      </c>
    </row>
    <row r="46" spans="1:3" x14ac:dyDescent="0.35">
      <c r="A46" t="s">
        <v>71</v>
      </c>
      <c r="B46" s="5">
        <v>90</v>
      </c>
      <c r="C46" t="s">
        <v>72</v>
      </c>
    </row>
    <row r="47" spans="1:3" x14ac:dyDescent="0.35">
      <c r="A47" t="s">
        <v>73</v>
      </c>
      <c r="B47" s="5">
        <v>120</v>
      </c>
      <c r="C47" t="s">
        <v>74</v>
      </c>
    </row>
    <row r="48" spans="1:3" x14ac:dyDescent="0.35">
      <c r="A48" t="s">
        <v>75</v>
      </c>
      <c r="B48" s="5">
        <v>40</v>
      </c>
      <c r="C48" t="s">
        <v>76</v>
      </c>
    </row>
    <row r="49" spans="1:3" x14ac:dyDescent="0.35">
      <c r="A49" t="s">
        <v>77</v>
      </c>
      <c r="B49" s="5">
        <v>15</v>
      </c>
      <c r="C49" t="s">
        <v>78</v>
      </c>
    </row>
    <row r="50" spans="1:3" x14ac:dyDescent="0.35">
      <c r="A50" t="s">
        <v>79</v>
      </c>
      <c r="B50" s="5">
        <v>90</v>
      </c>
      <c r="C50" t="s">
        <v>80</v>
      </c>
    </row>
    <row r="51" spans="1:3" x14ac:dyDescent="0.35">
      <c r="A51" t="s">
        <v>81</v>
      </c>
      <c r="B51" s="5">
        <v>15</v>
      </c>
      <c r="C51" t="s">
        <v>82</v>
      </c>
    </row>
    <row r="52" spans="1:3" x14ac:dyDescent="0.35">
      <c r="A52" t="s">
        <v>83</v>
      </c>
      <c r="B52" s="5">
        <v>25</v>
      </c>
      <c r="C52" t="s">
        <v>84</v>
      </c>
    </row>
    <row r="53" spans="1:3" x14ac:dyDescent="0.35">
      <c r="A53" t="s">
        <v>85</v>
      </c>
      <c r="B53" s="5">
        <v>15</v>
      </c>
      <c r="C53" t="s">
        <v>86</v>
      </c>
    </row>
    <row r="54" spans="1:3" x14ac:dyDescent="0.35">
      <c r="A54" t="s">
        <v>87</v>
      </c>
      <c r="B54" s="5">
        <v>12</v>
      </c>
      <c r="C54" t="s">
        <v>88</v>
      </c>
    </row>
    <row r="55" spans="1:3" x14ac:dyDescent="0.35">
      <c r="A55" t="s">
        <v>89</v>
      </c>
      <c r="B55" s="5">
        <v>15</v>
      </c>
      <c r="C55" t="s">
        <v>90</v>
      </c>
    </row>
    <row r="56" spans="1:3" x14ac:dyDescent="0.35">
      <c r="A56" t="s">
        <v>91</v>
      </c>
      <c r="B56" s="5">
        <v>8</v>
      </c>
      <c r="C56" t="s">
        <v>92</v>
      </c>
    </row>
    <row r="57" spans="1:3" x14ac:dyDescent="0.35">
      <c r="A57" t="s">
        <v>93</v>
      </c>
      <c r="B57" s="5">
        <v>4</v>
      </c>
      <c r="C57" t="s">
        <v>94</v>
      </c>
    </row>
    <row r="58" spans="1:3" x14ac:dyDescent="0.35">
      <c r="A58" t="s">
        <v>95</v>
      </c>
      <c r="B58" s="5">
        <v>10</v>
      </c>
      <c r="C58" t="s">
        <v>96</v>
      </c>
    </row>
    <row r="59" spans="1:3" x14ac:dyDescent="0.35">
      <c r="A59" t="s">
        <v>97</v>
      </c>
      <c r="B59" s="5">
        <v>45</v>
      </c>
      <c r="C59" t="s">
        <v>98</v>
      </c>
    </row>
    <row r="60" spans="1:3" x14ac:dyDescent="0.35">
      <c r="A60" t="s">
        <v>99</v>
      </c>
      <c r="B60" s="5">
        <v>6</v>
      </c>
      <c r="C60" t="s">
        <v>100</v>
      </c>
    </row>
    <row r="61" spans="1:3" x14ac:dyDescent="0.35">
      <c r="A61" t="s">
        <v>101</v>
      </c>
      <c r="B61" s="5">
        <v>3</v>
      </c>
      <c r="C61" t="s">
        <v>102</v>
      </c>
    </row>
    <row r="62" spans="1:3" x14ac:dyDescent="0.35">
      <c r="A62" t="s">
        <v>103</v>
      </c>
      <c r="B62" s="5">
        <v>5</v>
      </c>
      <c r="C62" t="s">
        <v>104</v>
      </c>
    </row>
    <row r="63" spans="1:3" x14ac:dyDescent="0.35">
      <c r="A63" t="s">
        <v>105</v>
      </c>
      <c r="B63" s="5">
        <v>8</v>
      </c>
      <c r="C63" t="s">
        <v>106</v>
      </c>
    </row>
    <row r="64" spans="1:3" x14ac:dyDescent="0.35">
      <c r="A64" t="s">
        <v>107</v>
      </c>
      <c r="B64" s="5">
        <v>3</v>
      </c>
      <c r="C64" t="s">
        <v>108</v>
      </c>
    </row>
    <row r="65" spans="1:5" x14ac:dyDescent="0.35">
      <c r="A65" t="s">
        <v>109</v>
      </c>
      <c r="B65" s="5">
        <v>2</v>
      </c>
      <c r="C65" t="s">
        <v>110</v>
      </c>
    </row>
    <row r="66" spans="1:5" x14ac:dyDescent="0.35">
      <c r="A66" t="s">
        <v>111</v>
      </c>
      <c r="B66" s="5">
        <v>30</v>
      </c>
      <c r="C66" t="s">
        <v>112</v>
      </c>
    </row>
    <row r="67" spans="1:5" x14ac:dyDescent="0.35">
      <c r="A67" t="s">
        <v>113</v>
      </c>
      <c r="B67" s="5">
        <v>45</v>
      </c>
      <c r="C67" t="s">
        <v>114</v>
      </c>
    </row>
    <row r="68" spans="1:5" x14ac:dyDescent="0.35">
      <c r="A68" t="s">
        <v>115</v>
      </c>
      <c r="B68" s="5">
        <v>90</v>
      </c>
      <c r="C68" t="s">
        <v>116</v>
      </c>
    </row>
    <row r="69" spans="1:5" x14ac:dyDescent="0.35">
      <c r="A69" t="s">
        <v>117</v>
      </c>
      <c r="B69" s="5">
        <v>10</v>
      </c>
      <c r="C69" t="s">
        <v>118</v>
      </c>
    </row>
    <row r="70" spans="1:5" x14ac:dyDescent="0.35">
      <c r="A70" t="s">
        <v>119</v>
      </c>
      <c r="B70" s="5">
        <v>60</v>
      </c>
      <c r="C70" t="s">
        <v>120</v>
      </c>
    </row>
    <row r="71" spans="1:5" x14ac:dyDescent="0.35">
      <c r="A71" t="s">
        <v>121</v>
      </c>
      <c r="B71" s="5">
        <v>40</v>
      </c>
      <c r="C71" t="s">
        <v>122</v>
      </c>
    </row>
    <row r="72" spans="1:5" x14ac:dyDescent="0.35">
      <c r="A72" t="s">
        <v>123</v>
      </c>
      <c r="B72" s="5">
        <v>20</v>
      </c>
      <c r="C72" t="s">
        <v>124</v>
      </c>
    </row>
    <row r="74" spans="1:5" ht="15.5" x14ac:dyDescent="0.35">
      <c r="A74" s="2" t="s">
        <v>125</v>
      </c>
      <c r="B74" s="3"/>
      <c r="C74" s="3"/>
      <c r="D74" s="3"/>
      <c r="E74" s="3"/>
    </row>
    <row r="75" spans="1:5" x14ac:dyDescent="0.35">
      <c r="A75" s="4" t="s">
        <v>10</v>
      </c>
      <c r="B75" s="4" t="s">
        <v>126</v>
      </c>
      <c r="C75" s="4" t="s">
        <v>4</v>
      </c>
      <c r="D75" s="4" t="s">
        <v>127</v>
      </c>
      <c r="E75" s="4" t="s">
        <v>128</v>
      </c>
    </row>
    <row r="76" spans="1:5" x14ac:dyDescent="0.35">
      <c r="A76" t="s">
        <v>22</v>
      </c>
      <c r="B76" t="s">
        <v>129</v>
      </c>
      <c r="C76" t="s">
        <v>130</v>
      </c>
      <c r="D76">
        <v>0.6</v>
      </c>
      <c r="E76" t="s">
        <v>131</v>
      </c>
    </row>
    <row r="77" spans="1:5" x14ac:dyDescent="0.35">
      <c r="A77" t="s">
        <v>33</v>
      </c>
      <c r="B77" t="s">
        <v>132</v>
      </c>
      <c r="C77" t="s">
        <v>133</v>
      </c>
      <c r="D77">
        <v>2</v>
      </c>
      <c r="E77" t="s">
        <v>131</v>
      </c>
    </row>
    <row r="78" spans="1:5" x14ac:dyDescent="0.35">
      <c r="A78" t="s">
        <v>134</v>
      </c>
      <c r="B78" t="s">
        <v>135</v>
      </c>
      <c r="C78" t="s">
        <v>136</v>
      </c>
      <c r="E78" t="s">
        <v>137</v>
      </c>
    </row>
    <row r="79" spans="1:5" x14ac:dyDescent="0.35">
      <c r="A79" t="s">
        <v>16</v>
      </c>
      <c r="B79" t="s">
        <v>138</v>
      </c>
      <c r="C79" t="s">
        <v>139</v>
      </c>
      <c r="D79">
        <v>10.4</v>
      </c>
      <c r="E79" t="s">
        <v>131</v>
      </c>
    </row>
    <row r="81" spans="1:6" ht="15.5" x14ac:dyDescent="0.35">
      <c r="A81" s="2" t="s">
        <v>140</v>
      </c>
      <c r="B81" s="3"/>
      <c r="C81" s="3"/>
      <c r="D81" s="3"/>
      <c r="E81" s="3"/>
      <c r="F81" s="3"/>
    </row>
    <row r="82" spans="1:6" ht="28" x14ac:dyDescent="0.35">
      <c r="A82" s="4" t="s">
        <v>141</v>
      </c>
      <c r="B82" s="4" t="s">
        <v>142</v>
      </c>
      <c r="C82" s="4" t="s">
        <v>143</v>
      </c>
      <c r="D82" s="4" t="s">
        <v>128</v>
      </c>
      <c r="E82" s="4" t="s">
        <v>15</v>
      </c>
      <c r="F82" s="4" t="s">
        <v>144</v>
      </c>
    </row>
    <row r="83" spans="1:6" ht="72.5" x14ac:dyDescent="0.35">
      <c r="A83" s="6">
        <v>1</v>
      </c>
      <c r="B83" s="6" t="s">
        <v>145</v>
      </c>
      <c r="C83" s="6" t="s">
        <v>146</v>
      </c>
      <c r="D83" s="7" t="s">
        <v>147</v>
      </c>
      <c r="E83" s="6" t="s">
        <v>148</v>
      </c>
      <c r="F83" s="6" t="s">
        <v>149</v>
      </c>
    </row>
    <row r="84" spans="1:6" ht="101.5" x14ac:dyDescent="0.35">
      <c r="A84" s="6">
        <v>2</v>
      </c>
      <c r="B84" s="6" t="s">
        <v>145</v>
      </c>
      <c r="C84" s="6" t="s">
        <v>150</v>
      </c>
      <c r="D84" s="7" t="s">
        <v>151</v>
      </c>
      <c r="E84" s="6" t="s">
        <v>152</v>
      </c>
      <c r="F84" s="6" t="s">
        <v>153</v>
      </c>
    </row>
    <row r="85" spans="1:6" ht="145" x14ac:dyDescent="0.35">
      <c r="A85" s="6">
        <v>3</v>
      </c>
      <c r="B85" s="6" t="s">
        <v>145</v>
      </c>
      <c r="C85" s="6" t="s">
        <v>154</v>
      </c>
      <c r="D85" s="8" t="s">
        <v>155</v>
      </c>
      <c r="E85" s="6" t="s">
        <v>156</v>
      </c>
      <c r="F85" s="6" t="s">
        <v>157</v>
      </c>
    </row>
    <row r="86" spans="1:6" ht="72.5" x14ac:dyDescent="0.35">
      <c r="A86" s="6">
        <v>4</v>
      </c>
      <c r="B86" s="6" t="s">
        <v>145</v>
      </c>
      <c r="C86" s="6" t="s">
        <v>158</v>
      </c>
      <c r="D86" s="7" t="s">
        <v>147</v>
      </c>
      <c r="E86" s="6" t="s">
        <v>159</v>
      </c>
      <c r="F86" s="6" t="s">
        <v>160</v>
      </c>
    </row>
    <row r="87" spans="1:6" ht="58" x14ac:dyDescent="0.35">
      <c r="A87" s="6">
        <v>5</v>
      </c>
      <c r="B87" s="6" t="s">
        <v>145</v>
      </c>
      <c r="C87" s="6" t="s">
        <v>161</v>
      </c>
      <c r="D87" s="9" t="s">
        <v>162</v>
      </c>
      <c r="E87" s="6" t="s">
        <v>163</v>
      </c>
      <c r="F87" s="6" t="s">
        <v>164</v>
      </c>
    </row>
    <row r="88" spans="1:6" ht="72.5" x14ac:dyDescent="0.35">
      <c r="A88" s="6">
        <v>6</v>
      </c>
      <c r="B88" s="6" t="s">
        <v>145</v>
      </c>
      <c r="C88" s="6" t="s">
        <v>165</v>
      </c>
      <c r="D88" s="10" t="s">
        <v>166</v>
      </c>
      <c r="E88" s="6" t="s">
        <v>167</v>
      </c>
      <c r="F88" s="6" t="s">
        <v>168</v>
      </c>
    </row>
    <row r="89" spans="1:6" ht="87" x14ac:dyDescent="0.35">
      <c r="A89" s="6">
        <v>7</v>
      </c>
      <c r="B89" s="6" t="s">
        <v>145</v>
      </c>
      <c r="C89" s="6" t="s">
        <v>169</v>
      </c>
      <c r="D89" s="6" t="s">
        <v>170</v>
      </c>
      <c r="E89" s="6" t="s">
        <v>171</v>
      </c>
      <c r="F89" s="6" t="s">
        <v>172</v>
      </c>
    </row>
    <row r="90" spans="1:6" ht="58" x14ac:dyDescent="0.35">
      <c r="A90" s="6">
        <v>8</v>
      </c>
      <c r="B90" s="6" t="s">
        <v>145</v>
      </c>
      <c r="C90" s="6" t="s">
        <v>173</v>
      </c>
      <c r="D90" s="7" t="s">
        <v>147</v>
      </c>
      <c r="E90" s="6" t="s">
        <v>174</v>
      </c>
      <c r="F90" s="6" t="s">
        <v>172</v>
      </c>
    </row>
    <row r="91" spans="1:6" ht="58" x14ac:dyDescent="0.35">
      <c r="A91" s="6">
        <v>9</v>
      </c>
      <c r="B91" s="6" t="s">
        <v>175</v>
      </c>
      <c r="C91" s="6" t="s">
        <v>176</v>
      </c>
      <c r="D91" s="7" t="s">
        <v>147</v>
      </c>
      <c r="E91" s="6" t="s">
        <v>177</v>
      </c>
      <c r="F91" s="6" t="s">
        <v>149</v>
      </c>
    </row>
    <row r="92" spans="1:6" ht="87" x14ac:dyDescent="0.35">
      <c r="A92" s="6">
        <v>10</v>
      </c>
      <c r="B92" s="6" t="s">
        <v>175</v>
      </c>
      <c r="C92" s="6" t="s">
        <v>178</v>
      </c>
      <c r="D92" s="7" t="s">
        <v>151</v>
      </c>
      <c r="E92" s="6" t="s">
        <v>179</v>
      </c>
      <c r="F92" s="6" t="s">
        <v>180</v>
      </c>
    </row>
    <row r="93" spans="1:6" ht="72.5" x14ac:dyDescent="0.35">
      <c r="A93" s="6">
        <v>11</v>
      </c>
      <c r="B93" s="6" t="s">
        <v>175</v>
      </c>
      <c r="C93" s="6" t="s">
        <v>181</v>
      </c>
      <c r="D93" s="7" t="s">
        <v>151</v>
      </c>
      <c r="E93" s="6" t="s">
        <v>182</v>
      </c>
      <c r="F93" s="6" t="s">
        <v>183</v>
      </c>
    </row>
    <row r="94" spans="1:6" ht="43.5" x14ac:dyDescent="0.35">
      <c r="A94" s="6">
        <v>12</v>
      </c>
      <c r="B94" s="6" t="s">
        <v>175</v>
      </c>
      <c r="C94" s="6" t="s">
        <v>184</v>
      </c>
      <c r="D94" s="7" t="s">
        <v>151</v>
      </c>
      <c r="E94" s="6" t="s">
        <v>185</v>
      </c>
      <c r="F94" s="6" t="s">
        <v>183</v>
      </c>
    </row>
    <row r="95" spans="1:6" ht="58" x14ac:dyDescent="0.35">
      <c r="A95" s="6">
        <v>13</v>
      </c>
      <c r="B95" s="6" t="s">
        <v>175</v>
      </c>
      <c r="C95" s="6" t="s">
        <v>186</v>
      </c>
      <c r="D95" s="7" t="s">
        <v>147</v>
      </c>
      <c r="E95" s="6" t="s">
        <v>187</v>
      </c>
      <c r="F95" s="6" t="s">
        <v>172</v>
      </c>
    </row>
    <row r="96" spans="1:6" ht="72.5" x14ac:dyDescent="0.35">
      <c r="A96" s="6">
        <v>14</v>
      </c>
      <c r="B96" s="6" t="s">
        <v>175</v>
      </c>
      <c r="C96" s="6" t="s">
        <v>188</v>
      </c>
      <c r="D96" s="6" t="s">
        <v>170</v>
      </c>
      <c r="E96" s="6" t="s">
        <v>189</v>
      </c>
      <c r="F96" s="6" t="s">
        <v>172</v>
      </c>
    </row>
    <row r="97" spans="1:6" ht="87" x14ac:dyDescent="0.35">
      <c r="A97" s="6">
        <v>15</v>
      </c>
      <c r="B97" s="6" t="s">
        <v>175</v>
      </c>
      <c r="C97" s="6" t="s">
        <v>190</v>
      </c>
      <c r="D97" s="9" t="s">
        <v>162</v>
      </c>
      <c r="E97" s="6" t="s">
        <v>191</v>
      </c>
      <c r="F97" s="6" t="s">
        <v>164</v>
      </c>
    </row>
    <row r="98" spans="1:6" ht="72.5" x14ac:dyDescent="0.35">
      <c r="A98" s="6">
        <v>16</v>
      </c>
      <c r="B98" s="6" t="s">
        <v>175</v>
      </c>
      <c r="C98" s="6" t="s">
        <v>192</v>
      </c>
      <c r="D98" s="7" t="s">
        <v>147</v>
      </c>
      <c r="E98" s="6" t="s">
        <v>193</v>
      </c>
      <c r="F98" s="6" t="s">
        <v>172</v>
      </c>
    </row>
    <row r="99" spans="1:6" ht="87" x14ac:dyDescent="0.35">
      <c r="A99" s="6">
        <v>17</v>
      </c>
      <c r="B99" s="6" t="s">
        <v>194</v>
      </c>
      <c r="C99" s="6" t="s">
        <v>195</v>
      </c>
      <c r="D99" s="7" t="s">
        <v>147</v>
      </c>
      <c r="E99" s="6" t="s">
        <v>196</v>
      </c>
      <c r="F99" s="6" t="s">
        <v>180</v>
      </c>
    </row>
    <row r="100" spans="1:6" ht="101.5" x14ac:dyDescent="0.35">
      <c r="A100" s="6">
        <v>18</v>
      </c>
      <c r="B100" s="6" t="s">
        <v>194</v>
      </c>
      <c r="C100" s="6" t="s">
        <v>197</v>
      </c>
      <c r="D100" s="8" t="s">
        <v>155</v>
      </c>
      <c r="E100" s="6" t="s">
        <v>198</v>
      </c>
      <c r="F100" s="6" t="s">
        <v>172</v>
      </c>
    </row>
    <row r="101" spans="1:6" ht="130.5" x14ac:dyDescent="0.35">
      <c r="A101" s="6">
        <v>19</v>
      </c>
      <c r="B101" s="6" t="s">
        <v>199</v>
      </c>
      <c r="C101" s="6" t="s">
        <v>200</v>
      </c>
      <c r="D101" s="7" t="s">
        <v>147</v>
      </c>
      <c r="E101" s="6" t="s">
        <v>201</v>
      </c>
      <c r="F101" s="6" t="s">
        <v>202</v>
      </c>
    </row>
    <row r="102" spans="1:6" ht="87" x14ac:dyDescent="0.35">
      <c r="A102" s="6">
        <v>20</v>
      </c>
      <c r="B102" s="6" t="s">
        <v>199</v>
      </c>
      <c r="C102" s="6" t="s">
        <v>203</v>
      </c>
      <c r="D102" s="8" t="s">
        <v>155</v>
      </c>
      <c r="E102" s="6" t="s">
        <v>204</v>
      </c>
      <c r="F102" s="6" t="s">
        <v>205</v>
      </c>
    </row>
    <row r="103" spans="1:6" ht="72.5" x14ac:dyDescent="0.35">
      <c r="A103" s="6">
        <v>21</v>
      </c>
      <c r="B103" s="6" t="s">
        <v>199</v>
      </c>
      <c r="C103" s="6" t="s">
        <v>206</v>
      </c>
      <c r="D103" s="8" t="s">
        <v>155</v>
      </c>
      <c r="E103" s="6" t="s">
        <v>207</v>
      </c>
      <c r="F103" s="6" t="s">
        <v>208</v>
      </c>
    </row>
    <row r="104" spans="1:6" ht="116" x14ac:dyDescent="0.35">
      <c r="A104" s="6">
        <v>22</v>
      </c>
      <c r="B104" s="6" t="s">
        <v>199</v>
      </c>
      <c r="C104" s="6" t="s">
        <v>209</v>
      </c>
      <c r="D104" s="6" t="s">
        <v>210</v>
      </c>
      <c r="E104" s="6" t="s">
        <v>211</v>
      </c>
      <c r="F104" s="6" t="s">
        <v>172</v>
      </c>
    </row>
    <row r="110" spans="1:6" ht="15.5" x14ac:dyDescent="0.35">
      <c r="A110" s="2" t="s">
        <v>212</v>
      </c>
      <c r="B110" s="3"/>
      <c r="C110" s="3"/>
      <c r="D110" s="3"/>
    </row>
    <row r="111" spans="1:6" x14ac:dyDescent="0.35">
      <c r="A111" t="s">
        <v>213</v>
      </c>
      <c r="B111" s="5">
        <v>0.85</v>
      </c>
    </row>
    <row r="112" spans="1:6" x14ac:dyDescent="0.35">
      <c r="A112" t="s">
        <v>214</v>
      </c>
      <c r="B112" s="5">
        <v>1.1499999999999999</v>
      </c>
    </row>
    <row r="113" spans="1:2" x14ac:dyDescent="0.35">
      <c r="A113" t="s">
        <v>215</v>
      </c>
      <c r="B113" s="5">
        <v>1</v>
      </c>
    </row>
    <row r="114" spans="1:2" x14ac:dyDescent="0.35">
      <c r="A114" t="s">
        <v>216</v>
      </c>
      <c r="B114" s="5">
        <v>0.5</v>
      </c>
    </row>
    <row r="115" spans="1:2" x14ac:dyDescent="0.35">
      <c r="A115" t="s">
        <v>217</v>
      </c>
      <c r="B115" s="5">
        <v>0.3</v>
      </c>
    </row>
    <row r="116" spans="1:2" x14ac:dyDescent="0.35">
      <c r="A116" t="s">
        <v>218</v>
      </c>
      <c r="B116" s="5">
        <v>4</v>
      </c>
    </row>
    <row r="117" spans="1:2" x14ac:dyDescent="0.35">
      <c r="A117" t="s">
        <v>219</v>
      </c>
      <c r="B117" s="5">
        <v>1.1000000000000001</v>
      </c>
    </row>
    <row r="118" spans="1:2" x14ac:dyDescent="0.35">
      <c r="A118" t="s">
        <v>220</v>
      </c>
      <c r="B118" s="5">
        <v>1.2</v>
      </c>
    </row>
    <row r="119" spans="1:2" x14ac:dyDescent="0.35">
      <c r="A119" t="s">
        <v>221</v>
      </c>
      <c r="B119" s="5">
        <v>0.8</v>
      </c>
    </row>
    <row r="120" spans="1:2" x14ac:dyDescent="0.35">
      <c r="A120" t="s">
        <v>222</v>
      </c>
      <c r="B120" s="5">
        <v>1.1000000000000001</v>
      </c>
    </row>
    <row r="121" spans="1:2" x14ac:dyDescent="0.35">
      <c r="A121" t="s">
        <v>223</v>
      </c>
      <c r="B121" s="5">
        <v>1.1000000000000001</v>
      </c>
    </row>
    <row r="122" spans="1:2" x14ac:dyDescent="0.35">
      <c r="A122" t="s">
        <v>224</v>
      </c>
      <c r="B122" s="5">
        <v>1.1000000000000001</v>
      </c>
    </row>
    <row r="123" spans="1:2" x14ac:dyDescent="0.35">
      <c r="A123" t="s">
        <v>225</v>
      </c>
      <c r="B123" s="5">
        <v>12</v>
      </c>
    </row>
    <row r="124" spans="1:2" x14ac:dyDescent="0.35">
      <c r="A124" t="s">
        <v>226</v>
      </c>
      <c r="B124" s="5">
        <v>17.5</v>
      </c>
    </row>
    <row r="125" spans="1:2" x14ac:dyDescent="0.35">
      <c r="A125" t="s">
        <v>227</v>
      </c>
      <c r="B125" s="5">
        <v>150</v>
      </c>
    </row>
    <row r="126" spans="1:2" x14ac:dyDescent="0.35">
      <c r="A126" t="s">
        <v>228</v>
      </c>
      <c r="B126" s="5">
        <v>0.7</v>
      </c>
    </row>
    <row r="127" spans="1:2" x14ac:dyDescent="0.35">
      <c r="A127" t="s">
        <v>229</v>
      </c>
      <c r="B127" s="5">
        <v>0.2</v>
      </c>
    </row>
    <row r="128" spans="1:2" x14ac:dyDescent="0.35">
      <c r="A128" t="s">
        <v>230</v>
      </c>
      <c r="B128" s="5" t="s">
        <v>231</v>
      </c>
    </row>
    <row r="130" spans="1:5" ht="28" x14ac:dyDescent="0.35">
      <c r="A130" s="4" t="s">
        <v>142</v>
      </c>
      <c r="B130" s="4" t="s">
        <v>232</v>
      </c>
      <c r="C130" s="4" t="s">
        <v>233</v>
      </c>
      <c r="D130" s="4" t="s">
        <v>234</v>
      </c>
      <c r="E130" s="4" t="s">
        <v>235</v>
      </c>
    </row>
    <row r="131" spans="1:5" x14ac:dyDescent="0.35">
      <c r="A131" t="s">
        <v>236</v>
      </c>
      <c r="B131" s="5">
        <v>700</v>
      </c>
      <c r="C131" s="5">
        <v>300</v>
      </c>
      <c r="D131" s="5">
        <v>150</v>
      </c>
      <c r="E131" t="s">
        <v>237</v>
      </c>
    </row>
    <row r="132" spans="1:5" x14ac:dyDescent="0.35">
      <c r="A132" t="s">
        <v>238</v>
      </c>
      <c r="B132" s="5">
        <v>550</v>
      </c>
      <c r="C132" s="5">
        <v>320</v>
      </c>
      <c r="D132" s="5">
        <v>120</v>
      </c>
      <c r="E132" t="s">
        <v>237</v>
      </c>
    </row>
    <row r="134" spans="1:5" ht="15.5" x14ac:dyDescent="0.35">
      <c r="A134" s="2" t="s">
        <v>239</v>
      </c>
      <c r="B134" s="3"/>
      <c r="C134" s="3"/>
      <c r="D134" s="3"/>
    </row>
    <row r="135" spans="1:5" x14ac:dyDescent="0.35">
      <c r="A135" t="s">
        <v>240</v>
      </c>
      <c r="B135" s="5">
        <v>0.25</v>
      </c>
    </row>
    <row r="136" spans="1:5" x14ac:dyDescent="0.35">
      <c r="A136" t="s">
        <v>241</v>
      </c>
      <c r="B136" s="5">
        <v>0</v>
      </c>
    </row>
    <row r="137" spans="1:5" x14ac:dyDescent="0.35">
      <c r="A137" t="s">
        <v>242</v>
      </c>
      <c r="B137" s="5">
        <v>0.12</v>
      </c>
    </row>
    <row r="138" spans="1:5" x14ac:dyDescent="0.35">
      <c r="A138" t="s">
        <v>243</v>
      </c>
      <c r="B138" s="5">
        <v>30</v>
      </c>
    </row>
    <row r="139" spans="1:5" x14ac:dyDescent="0.35">
      <c r="A139" t="s">
        <v>244</v>
      </c>
      <c r="B139" s="5">
        <v>20</v>
      </c>
    </row>
    <row r="140" spans="1:5" x14ac:dyDescent="0.35">
      <c r="A140" t="s">
        <v>245</v>
      </c>
      <c r="B140" s="5" t="s">
        <v>246</v>
      </c>
    </row>
    <row r="141" spans="1:5" x14ac:dyDescent="0.35">
      <c r="A141" t="s">
        <v>247</v>
      </c>
      <c r="B141" s="5" t="s">
        <v>248</v>
      </c>
    </row>
    <row r="143" spans="1:5" ht="15.5" x14ac:dyDescent="0.35">
      <c r="A143" s="2" t="s">
        <v>249</v>
      </c>
      <c r="B143" s="3"/>
      <c r="C143" s="3"/>
      <c r="D143" s="3"/>
    </row>
    <row r="144" spans="1:5" x14ac:dyDescent="0.35">
      <c r="A144" t="s">
        <v>250</v>
      </c>
      <c r="B144" s="5">
        <v>14.45</v>
      </c>
      <c r="C144" t="s">
        <v>251</v>
      </c>
    </row>
    <row r="145" spans="1:10" x14ac:dyDescent="0.35">
      <c r="A145" t="s">
        <v>252</v>
      </c>
      <c r="B145" s="5">
        <v>8.1999999999999993</v>
      </c>
    </row>
    <row r="146" spans="1:10" x14ac:dyDescent="0.35">
      <c r="A146" t="s">
        <v>253</v>
      </c>
      <c r="B146">
        <f>INDEX(KUR_DEG,MATCH("USD",KUR_AD,0))</f>
        <v>505</v>
      </c>
    </row>
    <row r="147" spans="1:10" x14ac:dyDescent="0.35">
      <c r="A147" t="s">
        <v>254</v>
      </c>
      <c r="B147">
        <f>BAKIR_KG_USD*USD_KZT</f>
        <v>7297.25</v>
      </c>
    </row>
    <row r="148" spans="1:10" x14ac:dyDescent="0.35">
      <c r="A148" t="s">
        <v>255</v>
      </c>
      <c r="B148">
        <f>ALUM_KG_USD*USD_KZT</f>
        <v>4141</v>
      </c>
    </row>
    <row r="150" spans="1:10" ht="15.5" x14ac:dyDescent="0.35">
      <c r="A150" s="2" t="s">
        <v>256</v>
      </c>
      <c r="B150" s="3"/>
      <c r="C150" s="3"/>
      <c r="D150" s="3"/>
      <c r="E150" s="3"/>
      <c r="F150" s="3"/>
      <c r="G150" s="3"/>
      <c r="H150" s="3"/>
      <c r="I150" s="3"/>
      <c r="J150" s="3"/>
    </row>
    <row r="151" spans="1:10" x14ac:dyDescent="0.35">
      <c r="A151" s="4" t="s">
        <v>257</v>
      </c>
      <c r="B151" s="4" t="s">
        <v>258</v>
      </c>
      <c r="C151" s="4" t="s">
        <v>259</v>
      </c>
      <c r="D151" s="4" t="s">
        <v>260</v>
      </c>
      <c r="E151" s="4" t="s">
        <v>261</v>
      </c>
      <c r="F151" s="4" t="s">
        <v>262</v>
      </c>
      <c r="G151" s="4" t="s">
        <v>263</v>
      </c>
      <c r="H151" s="4" t="s">
        <v>264</v>
      </c>
      <c r="I151" s="4" t="s">
        <v>265</v>
      </c>
      <c r="J151" s="4" t="s">
        <v>266</v>
      </c>
    </row>
    <row r="152" spans="1:10" x14ac:dyDescent="0.35">
      <c r="A152" t="s">
        <v>267</v>
      </c>
      <c r="B152">
        <v>3</v>
      </c>
      <c r="C152">
        <v>15</v>
      </c>
      <c r="D152">
        <v>45</v>
      </c>
      <c r="E152">
        <v>0.4</v>
      </c>
      <c r="F152">
        <v>185</v>
      </c>
      <c r="G152">
        <v>315</v>
      </c>
      <c r="H152">
        <v>0.12</v>
      </c>
      <c r="I152">
        <v>120</v>
      </c>
      <c r="J152">
        <v>204</v>
      </c>
    </row>
    <row r="153" spans="1:10" x14ac:dyDescent="0.35">
      <c r="A153" t="s">
        <v>268</v>
      </c>
      <c r="B153">
        <v>3</v>
      </c>
      <c r="C153">
        <v>20</v>
      </c>
      <c r="D153">
        <v>60</v>
      </c>
      <c r="E153">
        <v>0.53</v>
      </c>
      <c r="F153">
        <v>245</v>
      </c>
      <c r="G153">
        <v>417</v>
      </c>
      <c r="H153">
        <v>0.16</v>
      </c>
      <c r="I153">
        <v>160</v>
      </c>
      <c r="J153">
        <v>272</v>
      </c>
    </row>
    <row r="154" spans="1:10" x14ac:dyDescent="0.35">
      <c r="A154" t="s">
        <v>269</v>
      </c>
      <c r="B154">
        <v>3</v>
      </c>
      <c r="C154">
        <v>25</v>
      </c>
      <c r="D154">
        <v>75</v>
      </c>
      <c r="E154">
        <v>0.66</v>
      </c>
      <c r="F154">
        <v>300</v>
      </c>
      <c r="G154">
        <v>510</v>
      </c>
      <c r="H154">
        <v>0.2</v>
      </c>
      <c r="I154">
        <v>195</v>
      </c>
      <c r="J154">
        <v>331</v>
      </c>
    </row>
    <row r="155" spans="1:10" x14ac:dyDescent="0.35">
      <c r="A155" t="s">
        <v>270</v>
      </c>
      <c r="B155">
        <v>3</v>
      </c>
      <c r="C155">
        <v>30</v>
      </c>
      <c r="D155">
        <v>90</v>
      </c>
      <c r="E155">
        <v>0.8</v>
      </c>
      <c r="F155">
        <v>350</v>
      </c>
      <c r="G155">
        <v>595</v>
      </c>
      <c r="H155">
        <v>0.24</v>
      </c>
      <c r="I155">
        <v>228</v>
      </c>
      <c r="J155">
        <v>388</v>
      </c>
    </row>
    <row r="156" spans="1:10" x14ac:dyDescent="0.35">
      <c r="A156" t="s">
        <v>271</v>
      </c>
      <c r="B156">
        <v>3</v>
      </c>
      <c r="C156">
        <v>40</v>
      </c>
      <c r="D156">
        <v>120</v>
      </c>
      <c r="E156">
        <v>1.06</v>
      </c>
      <c r="F156">
        <v>400</v>
      </c>
      <c r="G156">
        <v>680</v>
      </c>
      <c r="H156">
        <v>0.32</v>
      </c>
      <c r="I156">
        <v>260</v>
      </c>
      <c r="J156">
        <v>442</v>
      </c>
    </row>
    <row r="157" spans="1:10" x14ac:dyDescent="0.35">
      <c r="A157" t="s">
        <v>272</v>
      </c>
      <c r="B157">
        <v>3</v>
      </c>
      <c r="C157">
        <v>50</v>
      </c>
      <c r="D157">
        <v>150</v>
      </c>
      <c r="E157">
        <v>1.33</v>
      </c>
      <c r="F157">
        <v>450</v>
      </c>
      <c r="G157">
        <v>765</v>
      </c>
      <c r="H157">
        <v>0.4</v>
      </c>
      <c r="I157">
        <v>290</v>
      </c>
      <c r="J157">
        <v>493</v>
      </c>
    </row>
    <row r="158" spans="1:10" x14ac:dyDescent="0.35">
      <c r="A158" t="s">
        <v>273</v>
      </c>
      <c r="B158">
        <v>3</v>
      </c>
      <c r="C158">
        <v>60</v>
      </c>
      <c r="D158">
        <v>180</v>
      </c>
      <c r="E158">
        <v>1.6</v>
      </c>
      <c r="F158">
        <v>520</v>
      </c>
      <c r="G158">
        <v>884</v>
      </c>
      <c r="H158">
        <v>0.48</v>
      </c>
      <c r="I158">
        <v>335</v>
      </c>
      <c r="J158">
        <v>570</v>
      </c>
    </row>
    <row r="159" spans="1:10" x14ac:dyDescent="0.35">
      <c r="A159" t="s">
        <v>274</v>
      </c>
      <c r="B159">
        <v>3</v>
      </c>
      <c r="C159">
        <v>80</v>
      </c>
      <c r="D159">
        <v>240</v>
      </c>
      <c r="E159">
        <v>2.13</v>
      </c>
      <c r="F159">
        <v>600</v>
      </c>
      <c r="G159">
        <v>1020</v>
      </c>
      <c r="H159">
        <v>0.65</v>
      </c>
      <c r="I159">
        <v>390</v>
      </c>
      <c r="J159">
        <v>663</v>
      </c>
    </row>
    <row r="160" spans="1:10" x14ac:dyDescent="0.35">
      <c r="A160" t="s">
        <v>275</v>
      </c>
      <c r="B160">
        <v>3</v>
      </c>
      <c r="C160">
        <v>100</v>
      </c>
      <c r="D160">
        <v>300</v>
      </c>
      <c r="E160">
        <v>2.66</v>
      </c>
      <c r="F160">
        <v>700</v>
      </c>
      <c r="G160">
        <v>1190</v>
      </c>
      <c r="H160">
        <v>0.8</v>
      </c>
      <c r="I160">
        <v>455</v>
      </c>
      <c r="J160">
        <v>774</v>
      </c>
    </row>
    <row r="161" spans="1:10" x14ac:dyDescent="0.35">
      <c r="A161" t="s">
        <v>276</v>
      </c>
      <c r="B161">
        <v>4</v>
      </c>
      <c r="C161">
        <v>15</v>
      </c>
      <c r="D161">
        <v>60</v>
      </c>
      <c r="E161">
        <v>0.53</v>
      </c>
      <c r="F161">
        <v>240</v>
      </c>
      <c r="G161">
        <v>408</v>
      </c>
      <c r="H161">
        <v>0.16</v>
      </c>
      <c r="I161">
        <v>155</v>
      </c>
      <c r="J161">
        <v>264</v>
      </c>
    </row>
    <row r="162" spans="1:10" x14ac:dyDescent="0.35">
      <c r="A162" t="s">
        <v>277</v>
      </c>
      <c r="B162">
        <v>4</v>
      </c>
      <c r="C162">
        <v>20</v>
      </c>
      <c r="D162">
        <v>80</v>
      </c>
      <c r="E162">
        <v>0.71</v>
      </c>
      <c r="F162">
        <v>320</v>
      </c>
      <c r="G162">
        <v>544</v>
      </c>
      <c r="H162">
        <v>0.21</v>
      </c>
      <c r="I162">
        <v>205</v>
      </c>
      <c r="J162">
        <v>349</v>
      </c>
    </row>
    <row r="163" spans="1:10" x14ac:dyDescent="0.35">
      <c r="A163" t="s">
        <v>278</v>
      </c>
      <c r="B163">
        <v>4</v>
      </c>
      <c r="C163">
        <v>25</v>
      </c>
      <c r="D163">
        <v>100</v>
      </c>
      <c r="E163">
        <v>0.89</v>
      </c>
      <c r="F163">
        <v>375</v>
      </c>
      <c r="G163">
        <v>638</v>
      </c>
      <c r="H163">
        <v>0.27</v>
      </c>
      <c r="I163">
        <v>245</v>
      </c>
      <c r="J163">
        <v>417</v>
      </c>
    </row>
    <row r="164" spans="1:10" x14ac:dyDescent="0.35">
      <c r="A164" t="s">
        <v>279</v>
      </c>
      <c r="B164">
        <v>4</v>
      </c>
      <c r="C164">
        <v>30</v>
      </c>
      <c r="D164">
        <v>120</v>
      </c>
      <c r="E164">
        <v>1.06</v>
      </c>
      <c r="F164">
        <v>420</v>
      </c>
      <c r="G164">
        <v>714</v>
      </c>
      <c r="H164">
        <v>0.32</v>
      </c>
      <c r="I164">
        <v>280</v>
      </c>
      <c r="J164">
        <v>476</v>
      </c>
    </row>
    <row r="165" spans="1:10" x14ac:dyDescent="0.35">
      <c r="A165" t="s">
        <v>280</v>
      </c>
      <c r="B165">
        <v>4</v>
      </c>
      <c r="C165">
        <v>40</v>
      </c>
      <c r="D165">
        <v>160</v>
      </c>
      <c r="E165">
        <v>1.42</v>
      </c>
      <c r="F165">
        <v>480</v>
      </c>
      <c r="G165">
        <v>816</v>
      </c>
      <c r="H165">
        <v>0.43</v>
      </c>
      <c r="I165">
        <v>325</v>
      </c>
      <c r="J165">
        <v>553</v>
      </c>
    </row>
    <row r="166" spans="1:10" x14ac:dyDescent="0.35">
      <c r="A166" t="s">
        <v>281</v>
      </c>
      <c r="B166">
        <v>4</v>
      </c>
      <c r="C166">
        <v>50</v>
      </c>
      <c r="D166">
        <v>200</v>
      </c>
      <c r="E166">
        <v>1.77</v>
      </c>
      <c r="F166">
        <v>540</v>
      </c>
      <c r="G166">
        <v>918</v>
      </c>
      <c r="H166">
        <v>0.54</v>
      </c>
      <c r="I166">
        <v>365</v>
      </c>
      <c r="J166">
        <v>621</v>
      </c>
    </row>
    <row r="167" spans="1:10" x14ac:dyDescent="0.35">
      <c r="A167" t="s">
        <v>282</v>
      </c>
      <c r="B167">
        <v>4</v>
      </c>
      <c r="C167">
        <v>60</v>
      </c>
      <c r="D167">
        <v>240</v>
      </c>
      <c r="E167">
        <v>2.13</v>
      </c>
      <c r="F167">
        <v>610</v>
      </c>
      <c r="G167">
        <v>1037</v>
      </c>
      <c r="H167">
        <v>0.65</v>
      </c>
      <c r="I167">
        <v>410</v>
      </c>
      <c r="J167">
        <v>697</v>
      </c>
    </row>
    <row r="168" spans="1:10" x14ac:dyDescent="0.35">
      <c r="A168" t="s">
        <v>283</v>
      </c>
      <c r="B168">
        <v>4</v>
      </c>
      <c r="C168">
        <v>80</v>
      </c>
      <c r="D168">
        <v>320</v>
      </c>
      <c r="E168">
        <v>2.83</v>
      </c>
      <c r="F168">
        <v>690</v>
      </c>
      <c r="G168">
        <v>1173</v>
      </c>
      <c r="H168">
        <v>0.86</v>
      </c>
      <c r="I168">
        <v>460</v>
      </c>
      <c r="J168">
        <v>782</v>
      </c>
    </row>
    <row r="169" spans="1:10" x14ac:dyDescent="0.35">
      <c r="A169" t="s">
        <v>284</v>
      </c>
      <c r="B169">
        <v>4</v>
      </c>
      <c r="C169">
        <v>100</v>
      </c>
      <c r="D169">
        <v>400</v>
      </c>
      <c r="E169">
        <v>3.54</v>
      </c>
      <c r="F169">
        <v>770</v>
      </c>
      <c r="G169">
        <v>1309</v>
      </c>
      <c r="H169">
        <v>1.08</v>
      </c>
      <c r="I169">
        <v>520</v>
      </c>
      <c r="J169">
        <v>884</v>
      </c>
    </row>
    <row r="170" spans="1:10" x14ac:dyDescent="0.35">
      <c r="A170" t="s">
        <v>285</v>
      </c>
      <c r="B170">
        <v>5</v>
      </c>
      <c r="C170">
        <v>15</v>
      </c>
      <c r="D170">
        <v>75</v>
      </c>
      <c r="E170">
        <v>0.66</v>
      </c>
      <c r="F170">
        <v>275</v>
      </c>
      <c r="G170">
        <v>468</v>
      </c>
      <c r="H170">
        <v>0.2</v>
      </c>
      <c r="I170">
        <v>180</v>
      </c>
      <c r="J170">
        <v>306</v>
      </c>
    </row>
    <row r="171" spans="1:10" x14ac:dyDescent="0.35">
      <c r="A171" t="s">
        <v>286</v>
      </c>
      <c r="B171">
        <v>5</v>
      </c>
      <c r="C171">
        <v>20</v>
      </c>
      <c r="D171">
        <v>100</v>
      </c>
      <c r="E171">
        <v>0.89</v>
      </c>
      <c r="F171">
        <v>375</v>
      </c>
      <c r="G171">
        <v>638</v>
      </c>
      <c r="H171">
        <v>0.27</v>
      </c>
      <c r="I171">
        <v>245</v>
      </c>
      <c r="J171">
        <v>417</v>
      </c>
    </row>
    <row r="172" spans="1:10" x14ac:dyDescent="0.35">
      <c r="A172" t="s">
        <v>287</v>
      </c>
      <c r="B172">
        <v>5</v>
      </c>
      <c r="C172">
        <v>25</v>
      </c>
      <c r="D172">
        <v>125</v>
      </c>
      <c r="E172">
        <v>1.1100000000000001</v>
      </c>
      <c r="F172">
        <v>425</v>
      </c>
      <c r="G172">
        <v>723</v>
      </c>
      <c r="H172">
        <v>0.34</v>
      </c>
      <c r="I172">
        <v>275</v>
      </c>
      <c r="J172">
        <v>468</v>
      </c>
    </row>
    <row r="173" spans="1:10" x14ac:dyDescent="0.35">
      <c r="A173" t="s">
        <v>288</v>
      </c>
      <c r="B173">
        <v>5</v>
      </c>
      <c r="C173">
        <v>30</v>
      </c>
      <c r="D173">
        <v>150</v>
      </c>
      <c r="E173">
        <v>1.33</v>
      </c>
      <c r="F173">
        <v>450</v>
      </c>
      <c r="G173">
        <v>765</v>
      </c>
      <c r="H173">
        <v>0.4</v>
      </c>
      <c r="I173">
        <v>320</v>
      </c>
      <c r="J173">
        <v>544</v>
      </c>
    </row>
    <row r="174" spans="1:10" x14ac:dyDescent="0.35">
      <c r="A174" t="s">
        <v>289</v>
      </c>
      <c r="B174">
        <v>5</v>
      </c>
      <c r="C174">
        <v>40</v>
      </c>
      <c r="D174">
        <v>200</v>
      </c>
      <c r="E174">
        <v>1.77</v>
      </c>
      <c r="F174">
        <v>540</v>
      </c>
      <c r="G174">
        <v>918</v>
      </c>
      <c r="H174">
        <v>0.54</v>
      </c>
      <c r="I174">
        <v>365</v>
      </c>
      <c r="J174">
        <v>621</v>
      </c>
    </row>
    <row r="175" spans="1:10" x14ac:dyDescent="0.35">
      <c r="A175" t="s">
        <v>290</v>
      </c>
      <c r="B175">
        <v>5</v>
      </c>
      <c r="C175">
        <v>50</v>
      </c>
      <c r="D175">
        <v>250</v>
      </c>
      <c r="E175">
        <v>2.21</v>
      </c>
      <c r="F175">
        <v>600</v>
      </c>
      <c r="G175">
        <v>1020</v>
      </c>
      <c r="H175">
        <v>0.67</v>
      </c>
      <c r="I175">
        <v>400</v>
      </c>
      <c r="J175">
        <v>680</v>
      </c>
    </row>
    <row r="176" spans="1:10" x14ac:dyDescent="0.35">
      <c r="A176" t="s">
        <v>291</v>
      </c>
      <c r="B176">
        <v>5</v>
      </c>
      <c r="C176">
        <v>60</v>
      </c>
      <c r="D176">
        <v>300</v>
      </c>
      <c r="E176">
        <v>2.66</v>
      </c>
      <c r="F176">
        <v>675</v>
      </c>
      <c r="G176">
        <v>1148</v>
      </c>
      <c r="H176">
        <v>0.81</v>
      </c>
      <c r="I176">
        <v>440</v>
      </c>
      <c r="J176">
        <v>748</v>
      </c>
    </row>
    <row r="177" spans="1:10" x14ac:dyDescent="0.35">
      <c r="A177" t="s">
        <v>292</v>
      </c>
      <c r="B177">
        <v>5</v>
      </c>
      <c r="C177">
        <v>80</v>
      </c>
      <c r="D177">
        <v>400</v>
      </c>
      <c r="E177">
        <v>3.54</v>
      </c>
      <c r="F177">
        <v>740</v>
      </c>
      <c r="G177">
        <v>1258</v>
      </c>
      <c r="H177">
        <v>1.08</v>
      </c>
      <c r="I177">
        <v>500</v>
      </c>
      <c r="J177">
        <v>850</v>
      </c>
    </row>
    <row r="178" spans="1:10" x14ac:dyDescent="0.35">
      <c r="A178" t="s">
        <v>293</v>
      </c>
      <c r="B178">
        <v>5</v>
      </c>
      <c r="C178">
        <v>100</v>
      </c>
      <c r="D178">
        <v>500</v>
      </c>
      <c r="E178">
        <v>4.42</v>
      </c>
      <c r="F178">
        <v>850</v>
      </c>
      <c r="G178">
        <v>1445</v>
      </c>
      <c r="H178">
        <v>1.35</v>
      </c>
      <c r="I178">
        <v>565</v>
      </c>
      <c r="J178">
        <v>961</v>
      </c>
    </row>
    <row r="179" spans="1:10" x14ac:dyDescent="0.35">
      <c r="A179" t="s">
        <v>294</v>
      </c>
      <c r="B179">
        <v>6</v>
      </c>
      <c r="C179">
        <v>15</v>
      </c>
      <c r="D179">
        <v>90</v>
      </c>
      <c r="E179">
        <v>0.8</v>
      </c>
      <c r="F179">
        <v>320</v>
      </c>
      <c r="G179">
        <v>544</v>
      </c>
      <c r="H179">
        <v>0.24</v>
      </c>
      <c r="I179">
        <v>205</v>
      </c>
      <c r="J179">
        <v>349</v>
      </c>
    </row>
    <row r="180" spans="1:10" x14ac:dyDescent="0.35">
      <c r="A180" t="s">
        <v>295</v>
      </c>
      <c r="B180">
        <v>6</v>
      </c>
      <c r="C180">
        <v>20</v>
      </c>
      <c r="D180">
        <v>120</v>
      </c>
      <c r="E180">
        <v>1.06</v>
      </c>
      <c r="F180">
        <v>400</v>
      </c>
      <c r="G180">
        <v>680</v>
      </c>
      <c r="H180">
        <v>0.32</v>
      </c>
      <c r="I180">
        <v>260</v>
      </c>
      <c r="J180">
        <v>442</v>
      </c>
    </row>
    <row r="181" spans="1:10" x14ac:dyDescent="0.35">
      <c r="A181" t="s">
        <v>296</v>
      </c>
      <c r="B181">
        <v>6</v>
      </c>
      <c r="C181">
        <v>25</v>
      </c>
      <c r="D181">
        <v>150</v>
      </c>
      <c r="E181">
        <v>1.33</v>
      </c>
      <c r="F181">
        <v>450</v>
      </c>
      <c r="G181">
        <v>765</v>
      </c>
      <c r="H181">
        <v>0.4</v>
      </c>
      <c r="I181">
        <v>295</v>
      </c>
      <c r="J181">
        <v>502</v>
      </c>
    </row>
    <row r="182" spans="1:10" x14ac:dyDescent="0.35">
      <c r="A182" t="s">
        <v>297</v>
      </c>
      <c r="B182">
        <v>6</v>
      </c>
      <c r="C182">
        <v>30</v>
      </c>
      <c r="D182">
        <v>180</v>
      </c>
      <c r="E182">
        <v>1.6</v>
      </c>
      <c r="F182">
        <v>520</v>
      </c>
      <c r="G182">
        <v>884</v>
      </c>
      <c r="H182">
        <v>0.48</v>
      </c>
      <c r="I182">
        <v>335</v>
      </c>
      <c r="J182">
        <v>570</v>
      </c>
    </row>
    <row r="183" spans="1:10" x14ac:dyDescent="0.35">
      <c r="A183" t="s">
        <v>298</v>
      </c>
      <c r="B183">
        <v>6</v>
      </c>
      <c r="C183">
        <v>40</v>
      </c>
      <c r="D183">
        <v>240</v>
      </c>
      <c r="E183">
        <v>2.13</v>
      </c>
      <c r="F183">
        <v>600</v>
      </c>
      <c r="G183">
        <v>1020</v>
      </c>
      <c r="H183">
        <v>0.65</v>
      </c>
      <c r="I183">
        <v>390</v>
      </c>
      <c r="J183">
        <v>663</v>
      </c>
    </row>
    <row r="184" spans="1:10" x14ac:dyDescent="0.35">
      <c r="A184" t="s">
        <v>299</v>
      </c>
      <c r="B184">
        <v>6</v>
      </c>
      <c r="C184">
        <v>50</v>
      </c>
      <c r="D184">
        <v>300</v>
      </c>
      <c r="E184">
        <v>2.66</v>
      </c>
      <c r="F184">
        <v>675</v>
      </c>
      <c r="G184">
        <v>1148</v>
      </c>
      <c r="H184">
        <v>0.8</v>
      </c>
      <c r="I184">
        <v>440</v>
      </c>
      <c r="J184">
        <v>748</v>
      </c>
    </row>
    <row r="185" spans="1:10" x14ac:dyDescent="0.35">
      <c r="A185" t="s">
        <v>300</v>
      </c>
      <c r="B185">
        <v>6</v>
      </c>
      <c r="C185">
        <v>60</v>
      </c>
      <c r="D185">
        <v>360</v>
      </c>
      <c r="E185">
        <v>3.19</v>
      </c>
      <c r="F185">
        <v>750</v>
      </c>
      <c r="G185">
        <v>1275</v>
      </c>
      <c r="H185">
        <v>0.97</v>
      </c>
      <c r="I185">
        <v>485</v>
      </c>
      <c r="J185">
        <v>825</v>
      </c>
    </row>
    <row r="186" spans="1:10" x14ac:dyDescent="0.35">
      <c r="A186" t="s">
        <v>301</v>
      </c>
      <c r="B186">
        <v>6</v>
      </c>
      <c r="C186">
        <v>80</v>
      </c>
      <c r="D186">
        <v>480</v>
      </c>
      <c r="E186">
        <v>4.26</v>
      </c>
      <c r="F186">
        <v>830</v>
      </c>
      <c r="G186">
        <v>1411</v>
      </c>
      <c r="H186">
        <v>1.29</v>
      </c>
      <c r="I186">
        <v>530</v>
      </c>
      <c r="J186">
        <v>901</v>
      </c>
    </row>
    <row r="187" spans="1:10" x14ac:dyDescent="0.35">
      <c r="A187" t="s">
        <v>302</v>
      </c>
      <c r="B187">
        <v>6</v>
      </c>
      <c r="C187">
        <v>100</v>
      </c>
      <c r="D187">
        <v>600</v>
      </c>
      <c r="E187">
        <v>5.32</v>
      </c>
      <c r="F187">
        <v>900</v>
      </c>
      <c r="G187">
        <v>1530</v>
      </c>
      <c r="H187">
        <v>1.62</v>
      </c>
      <c r="I187">
        <v>590</v>
      </c>
      <c r="J187">
        <v>1003</v>
      </c>
    </row>
    <row r="188" spans="1:10" x14ac:dyDescent="0.35">
      <c r="A188" t="s">
        <v>303</v>
      </c>
      <c r="B188">
        <v>8</v>
      </c>
      <c r="C188">
        <v>15</v>
      </c>
      <c r="D188">
        <v>120</v>
      </c>
      <c r="E188">
        <v>1.06</v>
      </c>
      <c r="F188">
        <v>400</v>
      </c>
      <c r="G188">
        <v>680</v>
      </c>
      <c r="H188">
        <v>0.32</v>
      </c>
      <c r="I188">
        <v>260</v>
      </c>
      <c r="J188">
        <v>442</v>
      </c>
    </row>
    <row r="189" spans="1:10" x14ac:dyDescent="0.35">
      <c r="A189" t="s">
        <v>304</v>
      </c>
      <c r="B189">
        <v>8</v>
      </c>
      <c r="C189">
        <v>20</v>
      </c>
      <c r="D189">
        <v>160</v>
      </c>
      <c r="E189">
        <v>1.42</v>
      </c>
      <c r="F189">
        <v>480</v>
      </c>
      <c r="G189">
        <v>816</v>
      </c>
      <c r="H189">
        <v>0.43</v>
      </c>
      <c r="I189">
        <v>325</v>
      </c>
      <c r="J189">
        <v>553</v>
      </c>
    </row>
    <row r="190" spans="1:10" x14ac:dyDescent="0.35">
      <c r="A190" t="s">
        <v>305</v>
      </c>
      <c r="B190">
        <v>8</v>
      </c>
      <c r="C190">
        <v>25</v>
      </c>
      <c r="D190">
        <v>200</v>
      </c>
      <c r="E190">
        <v>1.77</v>
      </c>
      <c r="F190">
        <v>540</v>
      </c>
      <c r="G190">
        <v>918</v>
      </c>
      <c r="H190">
        <v>0.54</v>
      </c>
      <c r="I190">
        <v>365</v>
      </c>
      <c r="J190">
        <v>621</v>
      </c>
    </row>
    <row r="191" spans="1:10" x14ac:dyDescent="0.35">
      <c r="A191" t="s">
        <v>306</v>
      </c>
      <c r="B191">
        <v>8</v>
      </c>
      <c r="C191">
        <v>30</v>
      </c>
      <c r="D191">
        <v>240</v>
      </c>
      <c r="E191">
        <v>2.13</v>
      </c>
      <c r="F191">
        <v>600</v>
      </c>
      <c r="G191">
        <v>1020</v>
      </c>
      <c r="H191">
        <v>0.65</v>
      </c>
      <c r="I191">
        <v>390</v>
      </c>
      <c r="J191">
        <v>663</v>
      </c>
    </row>
    <row r="192" spans="1:10" x14ac:dyDescent="0.35">
      <c r="A192" t="s">
        <v>307</v>
      </c>
      <c r="B192">
        <v>8</v>
      </c>
      <c r="C192">
        <v>40</v>
      </c>
      <c r="D192">
        <v>320</v>
      </c>
      <c r="E192">
        <v>2.83</v>
      </c>
      <c r="F192">
        <v>690</v>
      </c>
      <c r="G192">
        <v>1173</v>
      </c>
      <c r="H192">
        <v>0.86</v>
      </c>
      <c r="I192">
        <v>460</v>
      </c>
      <c r="J192">
        <v>782</v>
      </c>
    </row>
    <row r="193" spans="1:10" x14ac:dyDescent="0.35">
      <c r="A193" t="s">
        <v>308</v>
      </c>
      <c r="B193">
        <v>8</v>
      </c>
      <c r="C193">
        <v>50</v>
      </c>
      <c r="D193">
        <v>400</v>
      </c>
      <c r="E193">
        <v>3.54</v>
      </c>
      <c r="F193">
        <v>770</v>
      </c>
      <c r="G193">
        <v>1309</v>
      </c>
      <c r="H193">
        <v>1.08</v>
      </c>
      <c r="I193">
        <v>520</v>
      </c>
      <c r="J193">
        <v>884</v>
      </c>
    </row>
    <row r="194" spans="1:10" x14ac:dyDescent="0.35">
      <c r="A194" t="s">
        <v>309</v>
      </c>
      <c r="B194">
        <v>8</v>
      </c>
      <c r="C194">
        <v>60</v>
      </c>
      <c r="D194">
        <v>480</v>
      </c>
      <c r="E194">
        <v>4.26</v>
      </c>
      <c r="F194">
        <v>830</v>
      </c>
      <c r="G194">
        <v>1411</v>
      </c>
      <c r="H194">
        <v>1.29</v>
      </c>
      <c r="I194">
        <v>565</v>
      </c>
      <c r="J194">
        <v>961</v>
      </c>
    </row>
    <row r="195" spans="1:10" x14ac:dyDescent="0.35">
      <c r="A195" t="s">
        <v>310</v>
      </c>
      <c r="B195">
        <v>8</v>
      </c>
      <c r="C195">
        <v>80</v>
      </c>
      <c r="D195">
        <v>640</v>
      </c>
      <c r="E195">
        <v>5.68</v>
      </c>
      <c r="F195">
        <v>900</v>
      </c>
      <c r="G195">
        <v>1530</v>
      </c>
      <c r="H195">
        <v>1.72</v>
      </c>
      <c r="I195">
        <v>620</v>
      </c>
      <c r="J195">
        <v>1054</v>
      </c>
    </row>
    <row r="196" spans="1:10" x14ac:dyDescent="0.35">
      <c r="A196" t="s">
        <v>311</v>
      </c>
      <c r="B196">
        <v>8</v>
      </c>
      <c r="C196">
        <v>100</v>
      </c>
      <c r="D196">
        <v>800</v>
      </c>
      <c r="E196">
        <v>7.1</v>
      </c>
      <c r="F196">
        <v>980</v>
      </c>
      <c r="G196">
        <v>1666</v>
      </c>
      <c r="H196">
        <v>2.15</v>
      </c>
      <c r="I196">
        <v>680</v>
      </c>
      <c r="J196">
        <v>1156</v>
      </c>
    </row>
    <row r="197" spans="1:10" x14ac:dyDescent="0.35">
      <c r="A197" t="s">
        <v>312</v>
      </c>
      <c r="B197">
        <v>10</v>
      </c>
      <c r="C197">
        <v>15</v>
      </c>
      <c r="D197">
        <v>150</v>
      </c>
      <c r="E197">
        <v>1.33</v>
      </c>
      <c r="F197">
        <v>450</v>
      </c>
      <c r="G197">
        <v>765</v>
      </c>
      <c r="H197">
        <v>0.4</v>
      </c>
      <c r="I197">
        <v>290</v>
      </c>
      <c r="J197">
        <v>493</v>
      </c>
    </row>
    <row r="198" spans="1:10" x14ac:dyDescent="0.35">
      <c r="A198" t="s">
        <v>313</v>
      </c>
      <c r="B198">
        <v>10</v>
      </c>
      <c r="C198">
        <v>20</v>
      </c>
      <c r="D198">
        <v>200</v>
      </c>
      <c r="E198">
        <v>1.77</v>
      </c>
      <c r="F198">
        <v>540</v>
      </c>
      <c r="G198">
        <v>918</v>
      </c>
      <c r="H198">
        <v>0.54</v>
      </c>
      <c r="I198">
        <v>365</v>
      </c>
      <c r="J198">
        <v>621</v>
      </c>
    </row>
    <row r="199" spans="1:10" x14ac:dyDescent="0.35">
      <c r="A199" t="s">
        <v>314</v>
      </c>
      <c r="B199">
        <v>10</v>
      </c>
      <c r="C199">
        <v>25</v>
      </c>
      <c r="D199">
        <v>250</v>
      </c>
      <c r="E199">
        <v>2.21</v>
      </c>
      <c r="F199">
        <v>600</v>
      </c>
      <c r="G199">
        <v>1020</v>
      </c>
      <c r="H199">
        <v>0.67</v>
      </c>
      <c r="I199">
        <v>400</v>
      </c>
      <c r="J199">
        <v>680</v>
      </c>
    </row>
    <row r="200" spans="1:10" x14ac:dyDescent="0.35">
      <c r="A200" t="s">
        <v>315</v>
      </c>
      <c r="B200">
        <v>10</v>
      </c>
      <c r="C200">
        <v>30</v>
      </c>
      <c r="D200">
        <v>300</v>
      </c>
      <c r="E200">
        <v>2.66</v>
      </c>
      <c r="F200">
        <v>675</v>
      </c>
      <c r="G200">
        <v>1148</v>
      </c>
      <c r="H200">
        <v>0.8</v>
      </c>
      <c r="I200">
        <v>440</v>
      </c>
      <c r="J200">
        <v>748</v>
      </c>
    </row>
    <row r="201" spans="1:10" x14ac:dyDescent="0.35">
      <c r="A201" t="s">
        <v>316</v>
      </c>
      <c r="B201">
        <v>10</v>
      </c>
      <c r="C201">
        <v>40</v>
      </c>
      <c r="D201">
        <v>400</v>
      </c>
      <c r="E201">
        <v>3.54</v>
      </c>
      <c r="F201">
        <v>740</v>
      </c>
      <c r="G201">
        <v>1258</v>
      </c>
      <c r="H201">
        <v>1.08</v>
      </c>
      <c r="I201">
        <v>500</v>
      </c>
      <c r="J201">
        <v>850</v>
      </c>
    </row>
    <row r="202" spans="1:10" x14ac:dyDescent="0.35">
      <c r="A202" t="s">
        <v>317</v>
      </c>
      <c r="B202">
        <v>10</v>
      </c>
      <c r="C202">
        <v>50</v>
      </c>
      <c r="D202">
        <v>500</v>
      </c>
      <c r="E202">
        <v>4.42</v>
      </c>
      <c r="F202">
        <v>850</v>
      </c>
      <c r="G202">
        <v>1445</v>
      </c>
      <c r="H202">
        <v>1.35</v>
      </c>
      <c r="I202">
        <v>565</v>
      </c>
      <c r="J202">
        <v>961</v>
      </c>
    </row>
    <row r="203" spans="1:10" x14ac:dyDescent="0.35">
      <c r="A203" t="s">
        <v>318</v>
      </c>
      <c r="B203">
        <v>10</v>
      </c>
      <c r="C203">
        <v>60</v>
      </c>
      <c r="D203">
        <v>600</v>
      </c>
      <c r="E203">
        <v>5.32</v>
      </c>
      <c r="F203">
        <v>900</v>
      </c>
      <c r="G203">
        <v>1530</v>
      </c>
      <c r="H203">
        <v>1.62</v>
      </c>
      <c r="I203">
        <v>590</v>
      </c>
      <c r="J203">
        <v>1003</v>
      </c>
    </row>
    <row r="204" spans="1:10" x14ac:dyDescent="0.35">
      <c r="A204" t="s">
        <v>319</v>
      </c>
      <c r="B204">
        <v>10</v>
      </c>
      <c r="C204">
        <v>80</v>
      </c>
      <c r="D204">
        <v>800</v>
      </c>
      <c r="E204">
        <v>7.1</v>
      </c>
      <c r="F204">
        <v>980</v>
      </c>
      <c r="G204">
        <v>1666</v>
      </c>
      <c r="H204">
        <v>2.15</v>
      </c>
      <c r="I204">
        <v>680</v>
      </c>
      <c r="J204">
        <v>1156</v>
      </c>
    </row>
    <row r="205" spans="1:10" x14ac:dyDescent="0.35">
      <c r="A205" t="s">
        <v>320</v>
      </c>
      <c r="B205">
        <v>10</v>
      </c>
      <c r="C205">
        <v>100</v>
      </c>
      <c r="D205">
        <v>1000</v>
      </c>
      <c r="E205">
        <v>8.8800000000000008</v>
      </c>
      <c r="F205">
        <v>1050</v>
      </c>
      <c r="G205">
        <v>1785</v>
      </c>
      <c r="H205">
        <v>2.7</v>
      </c>
      <c r="I205">
        <v>720</v>
      </c>
      <c r="J205">
        <v>1224</v>
      </c>
    </row>
    <row r="206" spans="1:10" x14ac:dyDescent="0.35">
      <c r="A206" t="s">
        <v>321</v>
      </c>
      <c r="B206">
        <v>12</v>
      </c>
      <c r="C206">
        <v>15</v>
      </c>
      <c r="D206">
        <v>180</v>
      </c>
      <c r="E206">
        <v>1.6</v>
      </c>
      <c r="F206">
        <v>520</v>
      </c>
      <c r="G206">
        <v>884</v>
      </c>
      <c r="H206">
        <v>0.48</v>
      </c>
      <c r="I206">
        <v>335</v>
      </c>
      <c r="J206">
        <v>570</v>
      </c>
    </row>
    <row r="207" spans="1:10" x14ac:dyDescent="0.35">
      <c r="A207" t="s">
        <v>322</v>
      </c>
      <c r="B207">
        <v>12</v>
      </c>
      <c r="C207">
        <v>20</v>
      </c>
      <c r="D207">
        <v>240</v>
      </c>
      <c r="E207">
        <v>2.13</v>
      </c>
      <c r="F207">
        <v>600</v>
      </c>
      <c r="G207">
        <v>1020</v>
      </c>
      <c r="H207">
        <v>0.65</v>
      </c>
      <c r="I207">
        <v>390</v>
      </c>
      <c r="J207">
        <v>663</v>
      </c>
    </row>
    <row r="208" spans="1:10" x14ac:dyDescent="0.35">
      <c r="A208" t="s">
        <v>323</v>
      </c>
      <c r="B208">
        <v>12</v>
      </c>
      <c r="C208">
        <v>25</v>
      </c>
      <c r="D208">
        <v>300</v>
      </c>
      <c r="E208">
        <v>2.66</v>
      </c>
      <c r="F208">
        <v>675</v>
      </c>
      <c r="G208">
        <v>1148</v>
      </c>
      <c r="H208">
        <v>0.8</v>
      </c>
      <c r="I208">
        <v>440</v>
      </c>
      <c r="J208">
        <v>748</v>
      </c>
    </row>
    <row r="209" spans="1:10" x14ac:dyDescent="0.35">
      <c r="A209" t="s">
        <v>324</v>
      </c>
      <c r="B209">
        <v>12</v>
      </c>
      <c r="C209">
        <v>30</v>
      </c>
      <c r="D209">
        <v>360</v>
      </c>
      <c r="E209">
        <v>3.19</v>
      </c>
      <c r="F209">
        <v>750</v>
      </c>
      <c r="G209">
        <v>1275</v>
      </c>
      <c r="H209">
        <v>0.97</v>
      </c>
      <c r="I209">
        <v>485</v>
      </c>
      <c r="J209">
        <v>825</v>
      </c>
    </row>
    <row r="210" spans="1:10" x14ac:dyDescent="0.35">
      <c r="A210" t="s">
        <v>325</v>
      </c>
      <c r="B210">
        <v>12</v>
      </c>
      <c r="C210">
        <v>40</v>
      </c>
      <c r="D210">
        <v>480</v>
      </c>
      <c r="E210">
        <v>4.26</v>
      </c>
      <c r="F210">
        <v>830</v>
      </c>
      <c r="G210">
        <v>1411</v>
      </c>
      <c r="H210">
        <v>1.29</v>
      </c>
      <c r="I210">
        <v>530</v>
      </c>
      <c r="J210">
        <v>901</v>
      </c>
    </row>
    <row r="211" spans="1:10" x14ac:dyDescent="0.35">
      <c r="A211" t="s">
        <v>326</v>
      </c>
      <c r="B211">
        <v>12</v>
      </c>
      <c r="C211">
        <v>50</v>
      </c>
      <c r="D211">
        <v>600</v>
      </c>
      <c r="E211">
        <v>5.32</v>
      </c>
      <c r="F211">
        <v>900</v>
      </c>
      <c r="G211">
        <v>1530</v>
      </c>
      <c r="H211">
        <v>1.62</v>
      </c>
      <c r="I211">
        <v>590</v>
      </c>
      <c r="J211">
        <v>1003</v>
      </c>
    </row>
    <row r="212" spans="1:10" x14ac:dyDescent="0.35">
      <c r="A212" t="s">
        <v>327</v>
      </c>
      <c r="B212">
        <v>12</v>
      </c>
      <c r="C212">
        <v>60</v>
      </c>
      <c r="D212">
        <v>720</v>
      </c>
      <c r="E212">
        <v>6.39</v>
      </c>
      <c r="F212">
        <v>970</v>
      </c>
      <c r="G212">
        <v>1649</v>
      </c>
      <c r="H212">
        <v>1.94</v>
      </c>
      <c r="I212">
        <v>630</v>
      </c>
      <c r="J212">
        <v>1071</v>
      </c>
    </row>
    <row r="213" spans="1:10" x14ac:dyDescent="0.35">
      <c r="A213" t="s">
        <v>328</v>
      </c>
      <c r="B213">
        <v>12</v>
      </c>
      <c r="C213">
        <v>80</v>
      </c>
      <c r="D213">
        <v>960</v>
      </c>
      <c r="E213">
        <v>8.52</v>
      </c>
      <c r="F213">
        <v>1030</v>
      </c>
      <c r="G213">
        <v>1751</v>
      </c>
      <c r="H213">
        <v>2.58</v>
      </c>
      <c r="I213">
        <v>680</v>
      </c>
      <c r="J213">
        <v>1156</v>
      </c>
    </row>
    <row r="214" spans="1:10" x14ac:dyDescent="0.35">
      <c r="A214" t="s">
        <v>329</v>
      </c>
      <c r="B214">
        <v>12</v>
      </c>
      <c r="C214">
        <v>100</v>
      </c>
      <c r="D214">
        <v>1200</v>
      </c>
      <c r="E214">
        <v>10.65</v>
      </c>
      <c r="F214">
        <v>1080</v>
      </c>
      <c r="G214">
        <v>1836</v>
      </c>
      <c r="H214">
        <v>3.24</v>
      </c>
      <c r="I214">
        <v>720</v>
      </c>
      <c r="J214">
        <v>1224</v>
      </c>
    </row>
    <row r="217" spans="1:10" x14ac:dyDescent="0.35">
      <c r="A217" s="11" t="s">
        <v>330</v>
      </c>
    </row>
    <row r="218" spans="1:10" x14ac:dyDescent="0.35">
      <c r="A218" t="s">
        <v>331</v>
      </c>
    </row>
    <row r="219" spans="1:10" x14ac:dyDescent="0.35">
      <c r="A219" t="s">
        <v>162</v>
      </c>
    </row>
    <row r="220" spans="1:10" x14ac:dyDescent="0.35">
      <c r="A220" t="s">
        <v>170</v>
      </c>
    </row>
    <row r="221" spans="1:10" x14ac:dyDescent="0.35">
      <c r="A221" t="s">
        <v>166</v>
      </c>
    </row>
    <row r="222" spans="1:10" x14ac:dyDescent="0.35">
      <c r="A222" t="s">
        <v>151</v>
      </c>
    </row>
    <row r="223" spans="1:10" x14ac:dyDescent="0.35">
      <c r="A223" t="s">
        <v>147</v>
      </c>
    </row>
    <row r="224" spans="1:10" x14ac:dyDescent="0.35">
      <c r="A224" t="s">
        <v>210</v>
      </c>
    </row>
    <row r="225" spans="1:1" x14ac:dyDescent="0.35">
      <c r="A225" t="s">
        <v>155</v>
      </c>
    </row>
    <row r="226" spans="1:1" x14ac:dyDescent="0.35">
      <c r="A226" t="s">
        <v>332</v>
      </c>
    </row>
    <row r="227" spans="1:1" x14ac:dyDescent="0.35">
      <c r="A227" t="s">
        <v>333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8F00"/>
  </sheetPr>
  <dimension ref="A1:R32"/>
  <sheetViews>
    <sheetView showGridLines="0" tabSelected="1" zoomScale="90" zoomScaleNormal="90" workbookViewId="0">
      <pane ySplit="1" topLeftCell="A2" activePane="bottomLeft" state="frozen"/>
      <selection pane="bottomLeft" activeCell="H1" sqref="H1:H1048576"/>
    </sheetView>
  </sheetViews>
  <sheetFormatPr defaultColWidth="8.7265625" defaultRowHeight="14.5" x14ac:dyDescent="0.35"/>
  <cols>
    <col min="1" max="1" width="6" customWidth="1"/>
    <col min="2" max="2" width="12" customWidth="1"/>
    <col min="3" max="3" width="16" customWidth="1"/>
    <col min="4" max="4" width="46" customWidth="1"/>
    <col min="5" max="6" width="12" style="37" customWidth="1"/>
    <col min="7" max="7" width="11" customWidth="1"/>
    <col min="8" max="8" width="13" style="37" customWidth="1"/>
    <col min="9" max="9" width="7" customWidth="1"/>
    <col min="10" max="10" width="11" customWidth="1"/>
    <col min="11" max="11" width="9" customWidth="1"/>
    <col min="12" max="12" width="10" customWidth="1"/>
    <col min="13" max="13" width="12" customWidth="1"/>
    <col min="14" max="14" width="14" customWidth="1"/>
    <col min="15" max="15" width="42" customWidth="1"/>
    <col min="16" max="16" width="16" customWidth="1"/>
    <col min="17" max="17" width="7" customWidth="1"/>
    <col min="18" max="18" width="22" customWidth="1"/>
  </cols>
  <sheetData>
    <row r="1" spans="1:18" ht="28" x14ac:dyDescent="0.35">
      <c r="A1" s="4" t="s">
        <v>334</v>
      </c>
      <c r="B1" s="4" t="s">
        <v>235</v>
      </c>
      <c r="C1" s="4" t="s">
        <v>335</v>
      </c>
      <c r="D1" s="4" t="s">
        <v>52</v>
      </c>
      <c r="E1" s="32" t="s">
        <v>336</v>
      </c>
      <c r="F1" s="32" t="s">
        <v>337</v>
      </c>
      <c r="G1" s="4" t="s">
        <v>338</v>
      </c>
      <c r="H1" s="32" t="s">
        <v>339</v>
      </c>
      <c r="I1" s="4" t="s">
        <v>2</v>
      </c>
      <c r="J1" s="4" t="s">
        <v>10</v>
      </c>
      <c r="K1" s="4" t="s">
        <v>340</v>
      </c>
      <c r="L1" s="4" t="s">
        <v>341</v>
      </c>
      <c r="M1" s="4" t="s">
        <v>342</v>
      </c>
      <c r="N1" s="4" t="s">
        <v>128</v>
      </c>
      <c r="O1" s="4" t="s">
        <v>15</v>
      </c>
      <c r="P1" s="4" t="s">
        <v>343</v>
      </c>
      <c r="Q1" s="4" t="s">
        <v>344</v>
      </c>
      <c r="R1" s="4" t="s">
        <v>345</v>
      </c>
    </row>
    <row r="2" spans="1:18" x14ac:dyDescent="0.35">
      <c r="A2" s="12">
        <v>1</v>
      </c>
      <c r="B2" s="12" t="s">
        <v>34</v>
      </c>
      <c r="C2" s="12" t="s">
        <v>568</v>
      </c>
      <c r="D2" s="12" t="s">
        <v>569</v>
      </c>
      <c r="E2" s="33">
        <v>130600</v>
      </c>
      <c r="F2" s="34">
        <f t="shared" ref="F2:F26" si="0">IF($E2="","",IF(INDEX(MARKA_TIP,MATCH($J2,MARKA_AD,0))="NET",$E2,$E2*INDEX(MARKA_KAT,MATCH($J2,MARKA_AD,0))*INDEX(KUR_DEG,MATCH($I2,KUR_AD,0))))</f>
        <v>78360</v>
      </c>
      <c r="G2" s="12">
        <f>SUMIF(BOM!$P:$P,$R2,BOM!$I:$I)</f>
        <v>1</v>
      </c>
      <c r="H2" s="34">
        <f t="shared" ref="H2:H32" si="1">IF($F2="","",$F2*$G2)</f>
        <v>78360</v>
      </c>
      <c r="I2" s="12" t="s">
        <v>3</v>
      </c>
      <c r="J2" s="12" t="s">
        <v>33</v>
      </c>
      <c r="K2" s="12">
        <f t="shared" ref="K2:K32" si="2">INDEX(MARKA_KAT,MATCH($J2,MARKA_AD,0))</f>
        <v>0.6</v>
      </c>
      <c r="L2" s="12" t="s">
        <v>346</v>
      </c>
      <c r="M2" s="12" t="s">
        <v>347</v>
      </c>
      <c r="N2" s="13" t="s">
        <v>147</v>
      </c>
      <c r="O2" s="12" t="s">
        <v>348</v>
      </c>
      <c r="P2" s="12" t="s">
        <v>145</v>
      </c>
      <c r="Q2" s="12">
        <v>0</v>
      </c>
      <c r="R2" s="12" t="s">
        <v>146</v>
      </c>
    </row>
    <row r="3" spans="1:18" x14ac:dyDescent="0.35">
      <c r="A3" s="12">
        <v>2</v>
      </c>
      <c r="B3" s="12" t="s">
        <v>567</v>
      </c>
      <c r="C3" s="12" t="s">
        <v>579</v>
      </c>
      <c r="D3" s="12" t="s">
        <v>580</v>
      </c>
      <c r="E3" s="33">
        <v>36869</v>
      </c>
      <c r="F3" s="34">
        <f t="shared" si="0"/>
        <v>22121.399999999998</v>
      </c>
      <c r="G3" s="12">
        <f>SUMIF(BOM!$P:$P,$R3,BOM!$I:$I)</f>
        <v>1</v>
      </c>
      <c r="H3" s="34">
        <f t="shared" si="1"/>
        <v>22121.399999999998</v>
      </c>
      <c r="I3" s="12" t="s">
        <v>3</v>
      </c>
      <c r="J3" s="12" t="s">
        <v>22</v>
      </c>
      <c r="K3" s="12">
        <f t="shared" si="2"/>
        <v>0.6</v>
      </c>
      <c r="L3" s="12" t="s">
        <v>346</v>
      </c>
      <c r="M3" s="12" t="s">
        <v>349</v>
      </c>
      <c r="N3" s="13" t="s">
        <v>151</v>
      </c>
      <c r="O3" s="12" t="s">
        <v>350</v>
      </c>
      <c r="P3" s="12" t="s">
        <v>145</v>
      </c>
      <c r="Q3" s="12">
        <v>0</v>
      </c>
      <c r="R3" s="12" t="s">
        <v>351</v>
      </c>
    </row>
    <row r="4" spans="1:18" x14ac:dyDescent="0.35">
      <c r="A4" s="12">
        <v>3</v>
      </c>
      <c r="B4" s="12" t="s">
        <v>567</v>
      </c>
      <c r="C4" s="12" t="s">
        <v>572</v>
      </c>
      <c r="D4" s="12" t="s">
        <v>573</v>
      </c>
      <c r="E4" s="33">
        <v>18263</v>
      </c>
      <c r="F4" s="34">
        <f t="shared" si="0"/>
        <v>10957.8</v>
      </c>
      <c r="G4" s="12">
        <f>SUMIF(BOM!$P:$P,$R4,BOM!$I:$I)</f>
        <v>4</v>
      </c>
      <c r="H4" s="34">
        <f t="shared" si="1"/>
        <v>43831.199999999997</v>
      </c>
      <c r="I4" s="12" t="s">
        <v>3</v>
      </c>
      <c r="J4" s="12" t="s">
        <v>22</v>
      </c>
      <c r="K4" s="12">
        <f t="shared" si="2"/>
        <v>0.6</v>
      </c>
      <c r="L4" s="12" t="s">
        <v>346</v>
      </c>
      <c r="M4" s="12" t="s">
        <v>349</v>
      </c>
      <c r="N4" s="12" t="s">
        <v>331</v>
      </c>
      <c r="O4" s="12"/>
      <c r="P4" s="12" t="s">
        <v>145</v>
      </c>
      <c r="Q4" s="12">
        <v>3</v>
      </c>
      <c r="R4" s="12" t="s">
        <v>353</v>
      </c>
    </row>
    <row r="5" spans="1:18" x14ac:dyDescent="0.35">
      <c r="A5" s="12">
        <v>4</v>
      </c>
      <c r="B5" s="12" t="s">
        <v>567</v>
      </c>
      <c r="C5" s="12" t="s">
        <v>574</v>
      </c>
      <c r="D5" s="12" t="s">
        <v>575</v>
      </c>
      <c r="E5" s="33">
        <v>20174</v>
      </c>
      <c r="F5" s="34">
        <f t="shared" si="0"/>
        <v>12104.4</v>
      </c>
      <c r="G5" s="12">
        <f>SUMIF(BOM!$P:$P,$R5,BOM!$I:$I)</f>
        <v>1</v>
      </c>
      <c r="H5" s="34">
        <f t="shared" si="1"/>
        <v>12104.4</v>
      </c>
      <c r="I5" s="12" t="s">
        <v>3</v>
      </c>
      <c r="J5" s="12" t="s">
        <v>22</v>
      </c>
      <c r="K5" s="12">
        <f t="shared" si="2"/>
        <v>0.6</v>
      </c>
      <c r="L5" s="12" t="s">
        <v>346</v>
      </c>
      <c r="M5" s="12" t="s">
        <v>349</v>
      </c>
      <c r="N5" s="12" t="s">
        <v>331</v>
      </c>
      <c r="O5" s="12"/>
      <c r="P5" s="12" t="s">
        <v>145</v>
      </c>
      <c r="Q5" s="12">
        <v>3</v>
      </c>
      <c r="R5" s="12" t="s">
        <v>354</v>
      </c>
    </row>
    <row r="6" spans="1:18" x14ac:dyDescent="0.35">
      <c r="A6" s="12">
        <v>5</v>
      </c>
      <c r="B6" s="12" t="s">
        <v>567</v>
      </c>
      <c r="C6" s="12" t="s">
        <v>576</v>
      </c>
      <c r="D6" s="12" t="s">
        <v>577</v>
      </c>
      <c r="E6" s="33">
        <v>19700</v>
      </c>
      <c r="F6" s="34">
        <f t="shared" si="0"/>
        <v>11820</v>
      </c>
      <c r="G6" s="12">
        <f>SUMIF(BOM!$P:$P,$R6,BOM!$I:$I)</f>
        <v>3</v>
      </c>
      <c r="H6" s="34">
        <f t="shared" si="1"/>
        <v>35460</v>
      </c>
      <c r="I6" s="12" t="s">
        <v>3</v>
      </c>
      <c r="J6" s="12" t="s">
        <v>22</v>
      </c>
      <c r="K6" s="12">
        <f t="shared" si="2"/>
        <v>0.6</v>
      </c>
      <c r="L6" s="12" t="s">
        <v>346</v>
      </c>
      <c r="M6" s="12" t="s">
        <v>349</v>
      </c>
      <c r="N6" s="12" t="s">
        <v>331</v>
      </c>
      <c r="O6" s="12"/>
      <c r="P6" s="12" t="s">
        <v>145</v>
      </c>
      <c r="Q6" s="12">
        <v>3</v>
      </c>
      <c r="R6" s="12" t="s">
        <v>355</v>
      </c>
    </row>
    <row r="7" spans="1:18" x14ac:dyDescent="0.35">
      <c r="A7" s="12">
        <v>6</v>
      </c>
      <c r="B7" s="12" t="s">
        <v>578</v>
      </c>
      <c r="C7" s="12" t="s">
        <v>356</v>
      </c>
      <c r="D7" s="12" t="s">
        <v>357</v>
      </c>
      <c r="E7" s="33">
        <v>5441</v>
      </c>
      <c r="F7" s="34">
        <f t="shared" si="0"/>
        <v>3264.6</v>
      </c>
      <c r="G7" s="12">
        <f>SUMIF(BOM!$P:$P,$R7,BOM!$I:$I)</f>
        <v>1</v>
      </c>
      <c r="H7" s="34">
        <f t="shared" si="1"/>
        <v>3264.6</v>
      </c>
      <c r="I7" s="12" t="s">
        <v>3</v>
      </c>
      <c r="J7" s="12" t="s">
        <v>22</v>
      </c>
      <c r="K7" s="12">
        <f t="shared" si="2"/>
        <v>0.6</v>
      </c>
      <c r="L7" s="12" t="s">
        <v>346</v>
      </c>
      <c r="M7" s="12" t="s">
        <v>349</v>
      </c>
      <c r="N7" s="12" t="s">
        <v>331</v>
      </c>
      <c r="O7" s="12"/>
      <c r="P7" s="12" t="s">
        <v>175</v>
      </c>
      <c r="Q7" s="12">
        <v>3</v>
      </c>
      <c r="R7" s="12" t="s">
        <v>358</v>
      </c>
    </row>
    <row r="8" spans="1:18" x14ac:dyDescent="0.35">
      <c r="A8" s="12">
        <v>7</v>
      </c>
      <c r="B8" s="12" t="s">
        <v>578</v>
      </c>
      <c r="C8" s="12" t="s">
        <v>359</v>
      </c>
      <c r="D8" s="12" t="s">
        <v>360</v>
      </c>
      <c r="E8" s="33">
        <v>1845</v>
      </c>
      <c r="F8" s="34">
        <f t="shared" si="0"/>
        <v>1107</v>
      </c>
      <c r="G8" s="12">
        <f>SUMIF(BOM!$P:$P,$R8,BOM!$I:$I)</f>
        <v>1</v>
      </c>
      <c r="H8" s="34">
        <f t="shared" si="1"/>
        <v>1107</v>
      </c>
      <c r="I8" s="12" t="s">
        <v>3</v>
      </c>
      <c r="J8" s="12" t="s">
        <v>22</v>
      </c>
      <c r="K8" s="12">
        <f t="shared" si="2"/>
        <v>0.6</v>
      </c>
      <c r="L8" s="12" t="s">
        <v>346</v>
      </c>
      <c r="M8" s="12" t="s">
        <v>349</v>
      </c>
      <c r="N8" s="13" t="s">
        <v>151</v>
      </c>
      <c r="O8" s="12" t="s">
        <v>361</v>
      </c>
      <c r="P8" s="12" t="s">
        <v>175</v>
      </c>
      <c r="Q8" s="12">
        <v>1</v>
      </c>
      <c r="R8" s="12" t="s">
        <v>362</v>
      </c>
    </row>
    <row r="9" spans="1:18" x14ac:dyDescent="0.35">
      <c r="A9" s="12">
        <v>8</v>
      </c>
      <c r="B9" s="12" t="s">
        <v>578</v>
      </c>
      <c r="C9" s="12" t="s">
        <v>363</v>
      </c>
      <c r="D9" s="12" t="s">
        <v>364</v>
      </c>
      <c r="E9" s="33">
        <v>5878</v>
      </c>
      <c r="F9" s="34">
        <f t="shared" si="0"/>
        <v>3526.7999999999997</v>
      </c>
      <c r="G9" s="12">
        <f>SUMIF(BOM!$P:$P,$R9,BOM!$I:$I)</f>
        <v>1</v>
      </c>
      <c r="H9" s="34">
        <f t="shared" si="1"/>
        <v>3526.7999999999997</v>
      </c>
      <c r="I9" s="12" t="s">
        <v>3</v>
      </c>
      <c r="J9" s="12" t="s">
        <v>22</v>
      </c>
      <c r="K9" s="12">
        <f t="shared" si="2"/>
        <v>0.6</v>
      </c>
      <c r="L9" s="12" t="s">
        <v>346</v>
      </c>
      <c r="M9" s="12" t="s">
        <v>349</v>
      </c>
      <c r="N9" s="13" t="s">
        <v>147</v>
      </c>
      <c r="O9" s="12" t="s">
        <v>365</v>
      </c>
      <c r="P9" s="12" t="s">
        <v>194</v>
      </c>
      <c r="Q9" s="12">
        <v>3</v>
      </c>
      <c r="R9" s="12" t="s">
        <v>195</v>
      </c>
    </row>
    <row r="10" spans="1:18" x14ac:dyDescent="0.35">
      <c r="A10" s="12">
        <v>9</v>
      </c>
      <c r="B10" s="12" t="s">
        <v>366</v>
      </c>
      <c r="C10" s="12" t="s">
        <v>367</v>
      </c>
      <c r="D10" s="12" t="s">
        <v>368</v>
      </c>
      <c r="E10" s="33">
        <v>5214</v>
      </c>
      <c r="F10" s="34">
        <f t="shared" si="0"/>
        <v>3128.4</v>
      </c>
      <c r="G10" s="12">
        <f>SUMIF(BOM!$P:$P,$R10,BOM!$I:$I)</f>
        <v>1</v>
      </c>
      <c r="H10" s="34">
        <f t="shared" si="1"/>
        <v>3128.4</v>
      </c>
      <c r="I10" s="12" t="s">
        <v>3</v>
      </c>
      <c r="J10" s="12" t="s">
        <v>22</v>
      </c>
      <c r="K10" s="12">
        <f t="shared" si="2"/>
        <v>0.6</v>
      </c>
      <c r="L10" s="12" t="s">
        <v>346</v>
      </c>
      <c r="M10" s="12" t="s">
        <v>349</v>
      </c>
      <c r="N10" s="13" t="s">
        <v>151</v>
      </c>
      <c r="O10" s="12" t="s">
        <v>369</v>
      </c>
      <c r="P10" s="12" t="s">
        <v>175</v>
      </c>
      <c r="Q10" s="12">
        <v>3</v>
      </c>
      <c r="R10" s="12" t="s">
        <v>370</v>
      </c>
    </row>
    <row r="11" spans="1:18" x14ac:dyDescent="0.35">
      <c r="A11" s="12">
        <v>10</v>
      </c>
      <c r="B11" s="12" t="s">
        <v>371</v>
      </c>
      <c r="C11" s="12" t="s">
        <v>372</v>
      </c>
      <c r="D11" s="12" t="s">
        <v>373</v>
      </c>
      <c r="E11" s="33">
        <v>4445</v>
      </c>
      <c r="F11" s="34">
        <f t="shared" si="0"/>
        <v>2667</v>
      </c>
      <c r="G11" s="12">
        <f>SUMIF(BOM!$P:$P,$R11,BOM!$I:$I)</f>
        <v>1</v>
      </c>
      <c r="H11" s="34">
        <f t="shared" si="1"/>
        <v>2667</v>
      </c>
      <c r="I11" s="12" t="s">
        <v>3</v>
      </c>
      <c r="J11" s="12" t="s">
        <v>22</v>
      </c>
      <c r="K11" s="12">
        <f t="shared" si="2"/>
        <v>0.6</v>
      </c>
      <c r="L11" s="12" t="s">
        <v>346</v>
      </c>
      <c r="M11" s="12" t="s">
        <v>349</v>
      </c>
      <c r="N11" s="13" t="s">
        <v>151</v>
      </c>
      <c r="O11" s="12" t="s">
        <v>374</v>
      </c>
      <c r="P11" s="12" t="s">
        <v>175</v>
      </c>
      <c r="Q11" s="12">
        <v>0</v>
      </c>
      <c r="R11" s="12" t="s">
        <v>375</v>
      </c>
    </row>
    <row r="12" spans="1:18" x14ac:dyDescent="0.35">
      <c r="A12" s="12">
        <v>11</v>
      </c>
      <c r="B12" s="12" t="s">
        <v>376</v>
      </c>
      <c r="C12" s="12" t="s">
        <v>377</v>
      </c>
      <c r="D12" s="12" t="s">
        <v>378</v>
      </c>
      <c r="E12" s="33">
        <v>1621</v>
      </c>
      <c r="F12" s="34">
        <f t="shared" si="0"/>
        <v>972.59999999999991</v>
      </c>
      <c r="G12" s="12">
        <f>SUMIF(BOM!$P:$P,$R12,BOM!$I:$I)</f>
        <v>1</v>
      </c>
      <c r="H12" s="34">
        <f t="shared" si="1"/>
        <v>972.59999999999991</v>
      </c>
      <c r="I12" s="12" t="s">
        <v>3</v>
      </c>
      <c r="J12" s="12" t="s">
        <v>22</v>
      </c>
      <c r="K12" s="12">
        <f t="shared" si="2"/>
        <v>0.6</v>
      </c>
      <c r="L12" s="12" t="s">
        <v>346</v>
      </c>
      <c r="M12" s="12" t="s">
        <v>349</v>
      </c>
      <c r="N12" s="12" t="s">
        <v>331</v>
      </c>
      <c r="O12" s="12"/>
      <c r="P12" s="12" t="s">
        <v>175</v>
      </c>
      <c r="Q12" s="12">
        <v>0</v>
      </c>
      <c r="R12" s="12" t="s">
        <v>379</v>
      </c>
    </row>
    <row r="13" spans="1:18" x14ac:dyDescent="0.35">
      <c r="A13" s="12">
        <v>12</v>
      </c>
      <c r="B13" s="12" t="s">
        <v>376</v>
      </c>
      <c r="C13" s="12" t="s">
        <v>380</v>
      </c>
      <c r="D13" s="12" t="s">
        <v>381</v>
      </c>
      <c r="E13" s="33">
        <v>1784</v>
      </c>
      <c r="F13" s="34">
        <f t="shared" si="0"/>
        <v>1070.3999999999999</v>
      </c>
      <c r="G13" s="12">
        <f>SUMIF(BOM!$P:$P,$R13,BOM!$I:$I)</f>
        <v>1</v>
      </c>
      <c r="H13" s="34">
        <f t="shared" si="1"/>
        <v>1070.3999999999999</v>
      </c>
      <c r="I13" s="12" t="s">
        <v>3</v>
      </c>
      <c r="J13" s="12" t="s">
        <v>22</v>
      </c>
      <c r="K13" s="12">
        <f t="shared" si="2"/>
        <v>0.6</v>
      </c>
      <c r="L13" s="12" t="s">
        <v>346</v>
      </c>
      <c r="M13" s="12" t="s">
        <v>349</v>
      </c>
      <c r="N13" s="12" t="s">
        <v>331</v>
      </c>
      <c r="O13" s="12"/>
      <c r="P13" s="12" t="s">
        <v>175</v>
      </c>
      <c r="Q13" s="12">
        <v>0</v>
      </c>
      <c r="R13" s="12" t="s">
        <v>382</v>
      </c>
    </row>
    <row r="14" spans="1:18" x14ac:dyDescent="0.35">
      <c r="A14" s="12">
        <v>13</v>
      </c>
      <c r="B14" s="12" t="s">
        <v>383</v>
      </c>
      <c r="C14" s="12" t="s">
        <v>384</v>
      </c>
      <c r="D14" s="12" t="s">
        <v>385</v>
      </c>
      <c r="E14" s="33">
        <v>571</v>
      </c>
      <c r="F14" s="34">
        <f t="shared" si="0"/>
        <v>342.59999999999997</v>
      </c>
      <c r="G14" s="12">
        <f>SUMIF(BOM!$P:$P,$R14,BOM!$I:$I)</f>
        <v>1</v>
      </c>
      <c r="H14" s="34">
        <f t="shared" si="1"/>
        <v>342.59999999999997</v>
      </c>
      <c r="I14" s="12" t="s">
        <v>3</v>
      </c>
      <c r="J14" s="12" t="s">
        <v>22</v>
      </c>
      <c r="K14" s="12">
        <f t="shared" si="2"/>
        <v>0.6</v>
      </c>
      <c r="L14" s="12" t="s">
        <v>346</v>
      </c>
      <c r="M14" s="12" t="s">
        <v>349</v>
      </c>
      <c r="N14" s="12" t="s">
        <v>331</v>
      </c>
      <c r="O14" s="12"/>
      <c r="P14" s="12" t="s">
        <v>175</v>
      </c>
      <c r="Q14" s="12">
        <v>0</v>
      </c>
      <c r="R14" s="12" t="s">
        <v>386</v>
      </c>
    </row>
    <row r="15" spans="1:18" x14ac:dyDescent="0.35">
      <c r="A15" s="12">
        <v>14</v>
      </c>
      <c r="B15" s="12" t="s">
        <v>376</v>
      </c>
      <c r="C15" s="12" t="s">
        <v>387</v>
      </c>
      <c r="D15" s="12" t="s">
        <v>388</v>
      </c>
      <c r="E15" s="33">
        <v>1836</v>
      </c>
      <c r="F15" s="34">
        <f t="shared" si="0"/>
        <v>1101.5999999999999</v>
      </c>
      <c r="G15" s="12">
        <f>SUMIF(BOM!$P:$P,$R15,BOM!$I:$I)</f>
        <v>2</v>
      </c>
      <c r="H15" s="34">
        <f t="shared" si="1"/>
        <v>2203.1999999999998</v>
      </c>
      <c r="I15" s="12" t="s">
        <v>3</v>
      </c>
      <c r="J15" s="12" t="s">
        <v>22</v>
      </c>
      <c r="K15" s="12">
        <f t="shared" si="2"/>
        <v>0.6</v>
      </c>
      <c r="L15" s="12" t="s">
        <v>346</v>
      </c>
      <c r="M15" s="12" t="s">
        <v>349</v>
      </c>
      <c r="N15" s="13" t="s">
        <v>147</v>
      </c>
      <c r="O15" s="12" t="s">
        <v>389</v>
      </c>
      <c r="P15" s="12" t="s">
        <v>175</v>
      </c>
      <c r="Q15" s="12">
        <v>0</v>
      </c>
      <c r="R15" s="12" t="s">
        <v>390</v>
      </c>
    </row>
    <row r="16" spans="1:18" x14ac:dyDescent="0.35">
      <c r="A16" s="12">
        <v>15</v>
      </c>
      <c r="B16" s="12" t="s">
        <v>391</v>
      </c>
      <c r="C16" s="12" t="s">
        <v>392</v>
      </c>
      <c r="D16" s="12" t="s">
        <v>393</v>
      </c>
      <c r="E16" s="33">
        <v>18847</v>
      </c>
      <c r="F16" s="34">
        <f t="shared" si="0"/>
        <v>11308.199999999999</v>
      </c>
      <c r="G16" s="12">
        <f>SUMIF(BOM!$P:$P,$R16,BOM!$I:$I)</f>
        <v>1</v>
      </c>
      <c r="H16" s="34">
        <f t="shared" si="1"/>
        <v>11308.199999999999</v>
      </c>
      <c r="I16" s="12" t="s">
        <v>3</v>
      </c>
      <c r="J16" s="12" t="s">
        <v>22</v>
      </c>
      <c r="K16" s="12">
        <f t="shared" si="2"/>
        <v>0.6</v>
      </c>
      <c r="L16" s="12" t="s">
        <v>346</v>
      </c>
      <c r="M16" s="12" t="s">
        <v>349</v>
      </c>
      <c r="N16" s="12" t="s">
        <v>331</v>
      </c>
      <c r="O16" s="12"/>
      <c r="P16" s="12" t="s">
        <v>175</v>
      </c>
      <c r="Q16" s="12">
        <v>4</v>
      </c>
      <c r="R16" s="12" t="s">
        <v>394</v>
      </c>
    </row>
    <row r="17" spans="1:18" x14ac:dyDescent="0.35">
      <c r="A17" s="12">
        <v>16</v>
      </c>
      <c r="B17" s="12" t="s">
        <v>391</v>
      </c>
      <c r="C17" s="12" t="s">
        <v>395</v>
      </c>
      <c r="D17" s="12" t="s">
        <v>396</v>
      </c>
      <c r="E17" s="33">
        <v>14264</v>
      </c>
      <c r="F17" s="34">
        <f t="shared" si="0"/>
        <v>14264</v>
      </c>
      <c r="G17" s="12">
        <f>SUMIF(BOM!$P:$P,$R17,BOM!$I:$I)</f>
        <v>1</v>
      </c>
      <c r="H17" s="34">
        <f t="shared" si="1"/>
        <v>14264</v>
      </c>
      <c r="I17" s="12" t="s">
        <v>3</v>
      </c>
      <c r="J17" s="12" t="s">
        <v>31</v>
      </c>
      <c r="K17" s="12">
        <f t="shared" si="2"/>
        <v>1</v>
      </c>
      <c r="L17" s="12" t="s">
        <v>346</v>
      </c>
      <c r="M17" s="12" t="s">
        <v>397</v>
      </c>
      <c r="N17" s="12" t="s">
        <v>170</v>
      </c>
      <c r="O17" s="12" t="s">
        <v>398</v>
      </c>
      <c r="P17" s="12" t="s">
        <v>175</v>
      </c>
      <c r="Q17" s="12">
        <v>2</v>
      </c>
      <c r="R17" s="12" t="s">
        <v>188</v>
      </c>
    </row>
    <row r="18" spans="1:18" x14ac:dyDescent="0.35">
      <c r="A18" s="12">
        <v>17</v>
      </c>
      <c r="B18" s="12" t="s">
        <v>399</v>
      </c>
      <c r="C18" s="12" t="s">
        <v>400</v>
      </c>
      <c r="D18" s="12" t="s">
        <v>401</v>
      </c>
      <c r="E18" s="33">
        <v>113</v>
      </c>
      <c r="F18" s="34">
        <f t="shared" si="0"/>
        <v>113</v>
      </c>
      <c r="G18" s="12">
        <f>SUMIF(BOM!$P:$P,$R18,BOM!$I:$I)</f>
        <v>14</v>
      </c>
      <c r="H18" s="34">
        <f t="shared" si="1"/>
        <v>1582</v>
      </c>
      <c r="I18" s="12" t="s">
        <v>3</v>
      </c>
      <c r="J18" s="12" t="s">
        <v>31</v>
      </c>
      <c r="K18" s="12">
        <f t="shared" si="2"/>
        <v>1</v>
      </c>
      <c r="L18" s="12" t="s">
        <v>346</v>
      </c>
      <c r="M18" s="12" t="s">
        <v>397</v>
      </c>
      <c r="N18" s="12" t="s">
        <v>331</v>
      </c>
      <c r="O18" s="12"/>
      <c r="P18" s="12" t="s">
        <v>402</v>
      </c>
      <c r="Q18" s="12">
        <v>0</v>
      </c>
      <c r="R18" s="12" t="s">
        <v>403</v>
      </c>
    </row>
    <row r="19" spans="1:18" x14ac:dyDescent="0.35">
      <c r="A19" s="12">
        <v>18</v>
      </c>
      <c r="B19" s="12" t="s">
        <v>404</v>
      </c>
      <c r="C19" s="12" t="s">
        <v>570</v>
      </c>
      <c r="D19" s="12" t="s">
        <v>571</v>
      </c>
      <c r="E19" s="33">
        <v>1634</v>
      </c>
      <c r="F19" s="34">
        <f t="shared" si="0"/>
        <v>1634</v>
      </c>
      <c r="G19" s="12">
        <f>SUMIF(BOM!$P:$P,$R19,BOM!$I:$I)</f>
        <v>0</v>
      </c>
      <c r="H19" s="34">
        <f t="shared" si="1"/>
        <v>0</v>
      </c>
      <c r="I19" s="12" t="s">
        <v>3</v>
      </c>
      <c r="J19" s="12" t="s">
        <v>31</v>
      </c>
      <c r="K19" s="12">
        <f t="shared" si="2"/>
        <v>1</v>
      </c>
      <c r="L19" s="12" t="s">
        <v>405</v>
      </c>
      <c r="M19" s="12" t="s">
        <v>397</v>
      </c>
      <c r="N19" s="14" t="s">
        <v>166</v>
      </c>
      <c r="O19" s="12" t="s">
        <v>406</v>
      </c>
      <c r="P19" s="12" t="s">
        <v>145</v>
      </c>
      <c r="Q19" s="12">
        <v>0</v>
      </c>
      <c r="R19" s="12" t="s">
        <v>407</v>
      </c>
    </row>
    <row r="20" spans="1:18" x14ac:dyDescent="0.35">
      <c r="A20" s="12">
        <v>20</v>
      </c>
      <c r="B20" s="12" t="s">
        <v>408</v>
      </c>
      <c r="C20" s="12" t="s">
        <v>409</v>
      </c>
      <c r="D20" s="12" t="s">
        <v>410</v>
      </c>
      <c r="E20" s="33">
        <v>3011</v>
      </c>
      <c r="F20" s="34">
        <f t="shared" si="0"/>
        <v>3011</v>
      </c>
      <c r="G20" s="12">
        <f>SUMIF(BOM!$P:$P,$R20,BOM!$I:$I)</f>
        <v>2</v>
      </c>
      <c r="H20" s="34">
        <f t="shared" si="1"/>
        <v>6022</v>
      </c>
      <c r="I20" s="12" t="s">
        <v>3</v>
      </c>
      <c r="J20" s="12" t="s">
        <v>31</v>
      </c>
      <c r="K20" s="12">
        <f t="shared" si="2"/>
        <v>1</v>
      </c>
      <c r="L20" s="12" t="s">
        <v>346</v>
      </c>
      <c r="M20" s="12" t="s">
        <v>397</v>
      </c>
      <c r="N20" s="12" t="s">
        <v>331</v>
      </c>
      <c r="O20" s="12"/>
      <c r="P20" s="12" t="s">
        <v>145</v>
      </c>
      <c r="Q20" s="12">
        <v>0</v>
      </c>
      <c r="R20" s="12" t="s">
        <v>411</v>
      </c>
    </row>
    <row r="21" spans="1:18" x14ac:dyDescent="0.35">
      <c r="A21" s="12">
        <v>21</v>
      </c>
      <c r="B21" s="12" t="s">
        <v>412</v>
      </c>
      <c r="C21" s="12" t="s">
        <v>413</v>
      </c>
      <c r="D21" s="12" t="s">
        <v>414</v>
      </c>
      <c r="E21" s="33">
        <v>903</v>
      </c>
      <c r="F21" s="34">
        <f t="shared" si="0"/>
        <v>903</v>
      </c>
      <c r="G21" s="12">
        <f>SUMIF(BOM!$P:$P,$R21,BOM!$I:$I)</f>
        <v>2</v>
      </c>
      <c r="H21" s="34">
        <f t="shared" si="1"/>
        <v>1806</v>
      </c>
      <c r="I21" s="12" t="s">
        <v>3</v>
      </c>
      <c r="J21" s="12" t="s">
        <v>31</v>
      </c>
      <c r="K21" s="12">
        <f t="shared" si="2"/>
        <v>1</v>
      </c>
      <c r="L21" s="12" t="s">
        <v>346</v>
      </c>
      <c r="M21" s="12" t="s">
        <v>397</v>
      </c>
      <c r="N21" s="12" t="s">
        <v>170</v>
      </c>
      <c r="O21" s="12" t="s">
        <v>415</v>
      </c>
      <c r="P21" s="12" t="s">
        <v>145</v>
      </c>
      <c r="Q21" s="12">
        <v>0</v>
      </c>
      <c r="R21" s="12" t="s">
        <v>416</v>
      </c>
    </row>
    <row r="22" spans="1:18" x14ac:dyDescent="0.35">
      <c r="A22" s="12">
        <v>22</v>
      </c>
      <c r="B22" s="12" t="s">
        <v>417</v>
      </c>
      <c r="C22" s="12" t="s">
        <v>418</v>
      </c>
      <c r="D22" s="12" t="s">
        <v>419</v>
      </c>
      <c r="E22" s="33">
        <v>557</v>
      </c>
      <c r="F22" s="34">
        <f t="shared" si="0"/>
        <v>557</v>
      </c>
      <c r="G22" s="12">
        <f>SUMIF(BOM!$P:$P,$R22,BOM!$I:$I)</f>
        <v>72</v>
      </c>
      <c r="H22" s="34">
        <f t="shared" si="1"/>
        <v>40104</v>
      </c>
      <c r="I22" s="12" t="s">
        <v>3</v>
      </c>
      <c r="J22" s="12" t="s">
        <v>31</v>
      </c>
      <c r="K22" s="12">
        <f t="shared" si="2"/>
        <v>1</v>
      </c>
      <c r="L22" s="12" t="s">
        <v>346</v>
      </c>
      <c r="M22" s="12" t="s">
        <v>397</v>
      </c>
      <c r="N22" s="12" t="s">
        <v>331</v>
      </c>
      <c r="O22" s="12"/>
      <c r="P22" s="12" t="s">
        <v>145</v>
      </c>
      <c r="Q22" s="12">
        <v>0</v>
      </c>
      <c r="R22" s="12" t="s">
        <v>173</v>
      </c>
    </row>
    <row r="23" spans="1:18" x14ac:dyDescent="0.35">
      <c r="A23" s="12">
        <v>23</v>
      </c>
      <c r="B23" s="12" t="s">
        <v>420</v>
      </c>
      <c r="C23" s="12" t="s">
        <v>421</v>
      </c>
      <c r="D23" s="12" t="s">
        <v>422</v>
      </c>
      <c r="E23" s="33">
        <v>387</v>
      </c>
      <c r="F23" s="34">
        <f t="shared" si="0"/>
        <v>387</v>
      </c>
      <c r="G23" s="12">
        <f>SUMIF(BOM!$P:$P,$R23,BOM!$I:$I)</f>
        <v>32</v>
      </c>
      <c r="H23" s="34">
        <f t="shared" si="1"/>
        <v>12384</v>
      </c>
      <c r="I23" s="12" t="s">
        <v>3</v>
      </c>
      <c r="J23" s="12" t="s">
        <v>31</v>
      </c>
      <c r="K23" s="12">
        <f t="shared" si="2"/>
        <v>1</v>
      </c>
      <c r="L23" s="12" t="s">
        <v>346</v>
      </c>
      <c r="M23" s="12" t="s">
        <v>397</v>
      </c>
      <c r="N23" s="13" t="s">
        <v>147</v>
      </c>
      <c r="O23" s="12" t="s">
        <v>423</v>
      </c>
      <c r="P23" s="12" t="s">
        <v>145</v>
      </c>
      <c r="Q23" s="12">
        <v>0</v>
      </c>
      <c r="R23" s="12" t="s">
        <v>424</v>
      </c>
    </row>
    <row r="24" spans="1:18" x14ac:dyDescent="0.35">
      <c r="A24" s="12">
        <v>24</v>
      </c>
      <c r="B24" s="12" t="s">
        <v>420</v>
      </c>
      <c r="C24" s="12" t="s">
        <v>425</v>
      </c>
      <c r="D24" s="12" t="s">
        <v>426</v>
      </c>
      <c r="E24" s="33">
        <v>2299</v>
      </c>
      <c r="F24" s="34">
        <f t="shared" si="0"/>
        <v>2299</v>
      </c>
      <c r="G24" s="12">
        <f>SUMIF(BOM!$P:$P,$R24,BOM!$I:$I)</f>
        <v>4</v>
      </c>
      <c r="H24" s="34">
        <f t="shared" si="1"/>
        <v>9196</v>
      </c>
      <c r="I24" s="12" t="s">
        <v>3</v>
      </c>
      <c r="J24" s="12" t="s">
        <v>31</v>
      </c>
      <c r="K24" s="12">
        <f t="shared" si="2"/>
        <v>1</v>
      </c>
      <c r="L24" s="12" t="s">
        <v>346</v>
      </c>
      <c r="M24" s="12" t="s">
        <v>397</v>
      </c>
      <c r="N24" s="13" t="s">
        <v>147</v>
      </c>
      <c r="O24" s="12" t="s">
        <v>427</v>
      </c>
      <c r="P24" s="12" t="s">
        <v>145</v>
      </c>
      <c r="Q24" s="12">
        <v>0</v>
      </c>
      <c r="R24" s="12" t="s">
        <v>428</v>
      </c>
    </row>
    <row r="25" spans="1:18" x14ac:dyDescent="0.35">
      <c r="A25" s="12">
        <v>25</v>
      </c>
      <c r="B25" s="12" t="s">
        <v>420</v>
      </c>
      <c r="C25" s="12" t="s">
        <v>429</v>
      </c>
      <c r="D25" s="12" t="s">
        <v>430</v>
      </c>
      <c r="E25" s="33">
        <v>428</v>
      </c>
      <c r="F25" s="34">
        <f t="shared" si="0"/>
        <v>428</v>
      </c>
      <c r="G25" s="12">
        <f>SUMIF(BOM!$P:$P,$R25,BOM!$I:$I)</f>
        <v>0.2</v>
      </c>
      <c r="H25" s="34">
        <f t="shared" si="1"/>
        <v>85.600000000000009</v>
      </c>
      <c r="I25" s="12" t="s">
        <v>3</v>
      </c>
      <c r="J25" s="12" t="s">
        <v>31</v>
      </c>
      <c r="K25" s="12">
        <f t="shared" si="2"/>
        <v>1</v>
      </c>
      <c r="L25" s="12" t="s">
        <v>431</v>
      </c>
      <c r="M25" s="12" t="s">
        <v>397</v>
      </c>
      <c r="N25" s="13" t="s">
        <v>147</v>
      </c>
      <c r="O25" s="12" t="s">
        <v>432</v>
      </c>
      <c r="P25" s="12" t="s">
        <v>175</v>
      </c>
      <c r="Q25" s="12">
        <v>0</v>
      </c>
      <c r="R25" s="12" t="s">
        <v>433</v>
      </c>
    </row>
    <row r="26" spans="1:18" x14ac:dyDescent="0.35">
      <c r="A26" s="12">
        <v>26</v>
      </c>
      <c r="B26" s="12" t="s">
        <v>34</v>
      </c>
      <c r="C26" s="12" t="s">
        <v>434</v>
      </c>
      <c r="D26" s="12" t="s">
        <v>435</v>
      </c>
      <c r="E26" s="33">
        <v>11400</v>
      </c>
      <c r="F26" s="34">
        <f t="shared" si="0"/>
        <v>6840</v>
      </c>
      <c r="G26" s="12">
        <f>SUMIF(BOM!$P:$P,$R26,BOM!$I:$I)</f>
        <v>1</v>
      </c>
      <c r="H26" s="34">
        <f t="shared" si="1"/>
        <v>6840</v>
      </c>
      <c r="I26" s="12" t="s">
        <v>3</v>
      </c>
      <c r="J26" s="12" t="s">
        <v>33</v>
      </c>
      <c r="K26" s="12">
        <f t="shared" si="2"/>
        <v>0.6</v>
      </c>
      <c r="L26" s="12" t="s">
        <v>346</v>
      </c>
      <c r="M26" s="12" t="s">
        <v>347</v>
      </c>
      <c r="N26" s="13" t="s">
        <v>147</v>
      </c>
      <c r="O26" s="12" t="s">
        <v>436</v>
      </c>
      <c r="P26" s="12" t="s">
        <v>175</v>
      </c>
      <c r="Q26" s="12">
        <v>0</v>
      </c>
      <c r="R26" s="12" t="s">
        <v>176</v>
      </c>
    </row>
    <row r="27" spans="1:18" x14ac:dyDescent="0.35">
      <c r="A27" s="12">
        <v>27</v>
      </c>
      <c r="B27" s="12" t="s">
        <v>412</v>
      </c>
      <c r="C27" s="12" t="s">
        <v>437</v>
      </c>
      <c r="D27" s="12" t="s">
        <v>438</v>
      </c>
      <c r="E27" s="34"/>
      <c r="F27" s="34">
        <f>INDEX(BARA_KGM,MATCH("3X25",BARA_ART,0))*BAKIR_KG_KZT</f>
        <v>4816.1850000000004</v>
      </c>
      <c r="G27" s="12">
        <f>SUMIF(BOM!$P:$P,$R27,BOM!$I:$I)</f>
        <v>3.1049999999999995</v>
      </c>
      <c r="H27" s="34">
        <f t="shared" si="1"/>
        <v>14954.254424999999</v>
      </c>
      <c r="I27" s="12" t="s">
        <v>3</v>
      </c>
      <c r="J27" s="12" t="s">
        <v>36</v>
      </c>
      <c r="K27" s="12">
        <f t="shared" si="2"/>
        <v>1</v>
      </c>
      <c r="L27" s="12" t="s">
        <v>405</v>
      </c>
      <c r="M27" s="12" t="s">
        <v>439</v>
      </c>
      <c r="N27" s="12" t="s">
        <v>331</v>
      </c>
      <c r="O27" s="12" t="s">
        <v>440</v>
      </c>
      <c r="P27" s="12" t="s">
        <v>145</v>
      </c>
      <c r="Q27" s="12">
        <v>0</v>
      </c>
      <c r="R27" s="12" t="s">
        <v>441</v>
      </c>
    </row>
    <row r="28" spans="1:18" x14ac:dyDescent="0.35">
      <c r="A28" s="15">
        <v>28</v>
      </c>
      <c r="B28" s="15" t="s">
        <v>442</v>
      </c>
      <c r="C28" s="15"/>
      <c r="D28" s="15" t="s">
        <v>443</v>
      </c>
      <c r="E28" s="35"/>
      <c r="F28" s="36" t="str">
        <f>IF($E28="","",IF(INDEX(MARKA_TIP,MATCH($J28,MARKA_AD,0))="NET",$E28,$E28*INDEX(MARKA_KAT,MATCH($J28,MARKA_AD,0))*INDEX(KUR_DEG,MATCH($I28,KUR_AD,0))))</f>
        <v/>
      </c>
      <c r="G28" s="15">
        <f>SUMIF(BOM!$P:$P,$R28,BOM!$I:$I)</f>
        <v>0</v>
      </c>
      <c r="H28" s="36" t="str">
        <f t="shared" si="1"/>
        <v/>
      </c>
      <c r="I28" s="15" t="s">
        <v>3</v>
      </c>
      <c r="J28" s="15" t="s">
        <v>31</v>
      </c>
      <c r="K28" s="15">
        <f t="shared" si="2"/>
        <v>1</v>
      </c>
      <c r="L28" s="15" t="s">
        <v>405</v>
      </c>
      <c r="M28" s="15" t="s">
        <v>172</v>
      </c>
      <c r="N28" s="15" t="s">
        <v>162</v>
      </c>
      <c r="O28" s="15" t="s">
        <v>444</v>
      </c>
      <c r="P28" s="15" t="s">
        <v>402</v>
      </c>
      <c r="Q28" s="15">
        <v>0</v>
      </c>
      <c r="R28" s="15" t="s">
        <v>161</v>
      </c>
    </row>
    <row r="29" spans="1:18" x14ac:dyDescent="0.35">
      <c r="A29" s="15">
        <v>29</v>
      </c>
      <c r="B29" s="15" t="s">
        <v>445</v>
      </c>
      <c r="C29" s="15"/>
      <c r="D29" s="15" t="s">
        <v>446</v>
      </c>
      <c r="E29" s="35">
        <v>90</v>
      </c>
      <c r="F29" s="36">
        <f>IF($E29="","",IF(INDEX(MARKA_TIP,MATCH($J29,MARKA_AD,0))="NET",$E29,$E29*INDEX(MARKA_KAT,MATCH($J29,MARKA_AD,0))*INDEX(KUR_DEG,MATCH($I29,KUR_AD,0))))</f>
        <v>90</v>
      </c>
      <c r="G29" s="15">
        <f>SUMIF(BOM!$P:$P,$R29,BOM!$I:$I)</f>
        <v>15</v>
      </c>
      <c r="H29" s="36">
        <f t="shared" si="1"/>
        <v>1350</v>
      </c>
      <c r="I29" s="15" t="s">
        <v>3</v>
      </c>
      <c r="J29" s="15" t="s">
        <v>31</v>
      </c>
      <c r="K29" s="15">
        <f t="shared" si="2"/>
        <v>1</v>
      </c>
      <c r="L29" s="15" t="s">
        <v>405</v>
      </c>
      <c r="M29" s="15" t="s">
        <v>172</v>
      </c>
      <c r="N29" s="15" t="s">
        <v>162</v>
      </c>
      <c r="O29" s="15" t="s">
        <v>447</v>
      </c>
      <c r="P29" s="15" t="s">
        <v>175</v>
      </c>
      <c r="Q29" s="15">
        <v>0</v>
      </c>
      <c r="R29" s="15" t="s">
        <v>190</v>
      </c>
    </row>
    <row r="30" spans="1:18" x14ac:dyDescent="0.35">
      <c r="A30" s="15">
        <v>30</v>
      </c>
      <c r="B30" s="15" t="s">
        <v>448</v>
      </c>
      <c r="C30" s="15"/>
      <c r="D30" s="15" t="s">
        <v>449</v>
      </c>
      <c r="E30" s="35"/>
      <c r="F30" s="36" t="str">
        <f>IF($E30="","",IF(INDEX(MARKA_TIP,MATCH($J30,MARKA_AD,0))="NET",$E30,$E30*INDEX(MARKA_KAT,MATCH($J30,MARKA_AD,0))*INDEX(KUR_DEG,MATCH($I30,KUR_AD,0))))</f>
        <v/>
      </c>
      <c r="G30" s="15">
        <f>SUMIF(BOM!$P:$P,$R30,BOM!$I:$I)</f>
        <v>2</v>
      </c>
      <c r="H30" s="36" t="str">
        <f t="shared" si="1"/>
        <v/>
      </c>
      <c r="I30" s="15" t="s">
        <v>3</v>
      </c>
      <c r="J30" s="15" t="s">
        <v>31</v>
      </c>
      <c r="K30" s="15">
        <f t="shared" si="2"/>
        <v>1</v>
      </c>
      <c r="L30" s="15" t="s">
        <v>450</v>
      </c>
      <c r="M30" s="15" t="s">
        <v>172</v>
      </c>
      <c r="N30" s="15" t="s">
        <v>162</v>
      </c>
      <c r="O30" s="15" t="s">
        <v>451</v>
      </c>
      <c r="P30" s="15" t="s">
        <v>452</v>
      </c>
      <c r="Q30" s="15">
        <v>0</v>
      </c>
      <c r="R30" s="15" t="s">
        <v>453</v>
      </c>
    </row>
    <row r="31" spans="1:18" x14ac:dyDescent="0.35">
      <c r="A31" s="12">
        <v>31</v>
      </c>
      <c r="B31" s="12" t="s">
        <v>454</v>
      </c>
      <c r="C31" s="12"/>
      <c r="D31" s="12" t="s">
        <v>455</v>
      </c>
      <c r="E31" s="34"/>
      <c r="F31" s="34">
        <f>ISCILIK_DK_UCRETI</f>
        <v>58.333333333333336</v>
      </c>
      <c r="G31" s="12">
        <f>SUMIF(BOM!$P:$P,$R31,BOM!$I:$I)</f>
        <v>918.2</v>
      </c>
      <c r="H31" s="34">
        <f t="shared" si="1"/>
        <v>53561.666666666672</v>
      </c>
      <c r="I31" s="12" t="s">
        <v>3</v>
      </c>
      <c r="J31" s="12" t="s">
        <v>41</v>
      </c>
      <c r="K31" s="12">
        <f t="shared" si="2"/>
        <v>1</v>
      </c>
      <c r="L31" s="12" t="s">
        <v>456</v>
      </c>
      <c r="M31" s="12" t="s">
        <v>457</v>
      </c>
      <c r="N31" s="12" t="s">
        <v>331</v>
      </c>
      <c r="O31" s="12"/>
      <c r="P31" s="12" t="s">
        <v>452</v>
      </c>
      <c r="Q31" s="12">
        <v>0</v>
      </c>
      <c r="R31" s="12" t="s">
        <v>458</v>
      </c>
    </row>
    <row r="32" spans="1:18" x14ac:dyDescent="0.35">
      <c r="A32" s="12">
        <v>32</v>
      </c>
      <c r="B32" s="12" t="s">
        <v>448</v>
      </c>
      <c r="C32" s="12"/>
      <c r="D32" s="12" t="s">
        <v>459</v>
      </c>
      <c r="E32" s="34"/>
      <c r="F32" s="34">
        <f>MONTAJ_SARF_DK_KZT</f>
        <v>50</v>
      </c>
      <c r="G32" s="12">
        <f>SUMIF(BOM!$P:$P,$R32,BOM!$I:$I)</f>
        <v>918.2</v>
      </c>
      <c r="H32" s="34">
        <f t="shared" si="1"/>
        <v>45910</v>
      </c>
      <c r="I32" s="12" t="s">
        <v>3</v>
      </c>
      <c r="J32" s="12" t="s">
        <v>41</v>
      </c>
      <c r="K32" s="12">
        <f t="shared" si="2"/>
        <v>1</v>
      </c>
      <c r="L32" s="12" t="s">
        <v>456</v>
      </c>
      <c r="M32" s="12" t="s">
        <v>457</v>
      </c>
      <c r="N32" s="12" t="s">
        <v>331</v>
      </c>
      <c r="O32" s="12"/>
      <c r="P32" s="12" t="s">
        <v>452</v>
      </c>
      <c r="Q32" s="12">
        <v>0</v>
      </c>
      <c r="R32" s="12" t="s">
        <v>460</v>
      </c>
    </row>
  </sheetData>
  <autoFilter ref="A1:R3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S48"/>
  <sheetViews>
    <sheetView showGridLines="0" zoomScale="90" zoomScaleNormal="90" workbookViewId="0">
      <pane ySplit="1" topLeftCell="A2" activePane="bottomLeft" state="frozen"/>
      <selection pane="bottomLeft" activeCell="F38" sqref="F38"/>
    </sheetView>
  </sheetViews>
  <sheetFormatPr defaultColWidth="8.7265625" defaultRowHeight="14.5" x14ac:dyDescent="0.35"/>
  <cols>
    <col min="1" max="1" width="6" customWidth="1"/>
    <col min="2" max="2" width="34" customWidth="1"/>
    <col min="3" max="3" width="12" customWidth="1"/>
    <col min="4" max="4" width="14" customWidth="1"/>
    <col min="5" max="5" width="57.26953125" customWidth="1"/>
    <col min="6" max="7" width="10" style="37" customWidth="1"/>
    <col min="8" max="8" width="11" style="37" customWidth="1"/>
    <col min="9" max="9" width="8" style="37" customWidth="1"/>
    <col min="10" max="10" width="9" customWidth="1"/>
    <col min="11" max="11" width="10" customWidth="1"/>
    <col min="12" max="12" width="11" customWidth="1"/>
    <col min="13" max="13" width="14" customWidth="1"/>
    <col min="14" max="14" width="44" customWidth="1"/>
    <col min="15" max="15" width="12" customWidth="1"/>
    <col min="16" max="16" width="22" customWidth="1"/>
    <col min="17" max="17" width="15" customWidth="1"/>
    <col min="18" max="18" width="10" customWidth="1"/>
    <col min="19" max="19" width="8" customWidth="1"/>
  </cols>
  <sheetData>
    <row r="1" spans="1:19" ht="45.75" customHeight="1" x14ac:dyDescent="0.35">
      <c r="A1" s="22" t="s">
        <v>461</v>
      </c>
      <c r="B1" s="22" t="s">
        <v>462</v>
      </c>
      <c r="C1" s="22" t="s">
        <v>463</v>
      </c>
      <c r="D1" s="22" t="s">
        <v>464</v>
      </c>
      <c r="E1" s="22" t="s">
        <v>465</v>
      </c>
      <c r="F1" s="38" t="s">
        <v>466</v>
      </c>
      <c r="G1" s="38" t="s">
        <v>467</v>
      </c>
      <c r="H1" s="38" t="s">
        <v>468</v>
      </c>
      <c r="I1" s="38" t="s">
        <v>469</v>
      </c>
      <c r="J1" s="22" t="s">
        <v>470</v>
      </c>
      <c r="K1" s="22" t="s">
        <v>471</v>
      </c>
      <c r="L1" s="22" t="s">
        <v>472</v>
      </c>
      <c r="M1" s="22" t="s">
        <v>128</v>
      </c>
      <c r="N1" s="22" t="s">
        <v>15</v>
      </c>
      <c r="O1" s="22" t="s">
        <v>342</v>
      </c>
      <c r="P1" s="22" t="s">
        <v>473</v>
      </c>
      <c r="Q1" s="22" t="s">
        <v>50</v>
      </c>
      <c r="R1" s="22" t="s">
        <v>474</v>
      </c>
      <c r="S1" s="22" t="s">
        <v>344</v>
      </c>
    </row>
    <row r="2" spans="1:19" s="29" customFormat="1" ht="33" customHeight="1" x14ac:dyDescent="0.35">
      <c r="A2" s="27"/>
      <c r="B2" s="28" t="s">
        <v>475</v>
      </c>
      <c r="C2" s="27"/>
      <c r="D2" s="27"/>
      <c r="E2" s="27" t="s">
        <v>475</v>
      </c>
      <c r="F2" s="39"/>
      <c r="G2" s="39"/>
      <c r="H2" s="39"/>
      <c r="I2" s="39">
        <v>1</v>
      </c>
      <c r="J2" s="27" t="s">
        <v>450</v>
      </c>
      <c r="K2" s="27"/>
      <c r="L2" s="27"/>
      <c r="M2" s="27"/>
      <c r="N2" s="27"/>
      <c r="O2" s="27"/>
      <c r="P2" s="27"/>
      <c r="Q2" s="27"/>
      <c r="R2" s="27"/>
      <c r="S2" s="27"/>
    </row>
    <row r="3" spans="1:19" x14ac:dyDescent="0.35">
      <c r="A3" s="23">
        <v>2</v>
      </c>
      <c r="B3" s="24" t="str">
        <f t="shared" ref="B3:B19" si="0">E3</f>
        <v>Мет.Корпус Щит (1600x600x400+10см база)</v>
      </c>
      <c r="C3" s="23" t="s">
        <v>34</v>
      </c>
      <c r="D3" s="23" t="str">
        <f t="shared" ref="D3:D19" si="1">IF($P3="","",INDEX(FIYAT_KOD,MATCH($P3,FIYAT_ART,0)))</f>
        <v>719-15437</v>
      </c>
      <c r="E3" s="23" t="str">
        <f>IF($P3="","",INDEX(FIYAT_ACK,MATCH($P3,FIYAT_ART,0)))</f>
        <v>Мет.Корпус Щит (1600x600x400+10см база)</v>
      </c>
      <c r="F3" s="40">
        <f t="shared" ref="F3:F19" si="2">IF($P3="","",INDEX(FIYAT_LISTE,MATCH($P3,FIYAT_ART,0)))</f>
        <v>130600</v>
      </c>
      <c r="G3" s="40">
        <f t="shared" ref="G3:G19" si="3">IF($P3="","",INDEX(FIYAT_NET,MATCH($P3,FIYAT_ART,0)))</f>
        <v>78360</v>
      </c>
      <c r="H3" s="40">
        <f t="shared" ref="H3:H19" si="4">IF(OR($G3="",$I3=""),"",$G3*$I3)</f>
        <v>78360</v>
      </c>
      <c r="I3" s="40">
        <v>1</v>
      </c>
      <c r="J3" s="23" t="s">
        <v>346</v>
      </c>
      <c r="K3" s="23" t="s">
        <v>33</v>
      </c>
      <c r="L3" s="23">
        <f t="shared" ref="L3:L19" si="5">IF($H3="","",$H3)</f>
        <v>78360</v>
      </c>
      <c r="M3" s="25" t="s">
        <v>147</v>
      </c>
      <c r="N3" s="23" t="s">
        <v>348</v>
      </c>
      <c r="O3" s="23" t="s">
        <v>347</v>
      </c>
      <c r="P3" s="23" t="s">
        <v>146</v>
      </c>
      <c r="Q3" s="23" t="s">
        <v>113</v>
      </c>
      <c r="R3" s="23">
        <f t="shared" ref="R3:R17" si="6">IF($I3="","",$I3*INDEX(NORM_DK,MATCH($Q3,NORM_AD,0)))</f>
        <v>45</v>
      </c>
      <c r="S3" s="23">
        <f t="shared" ref="S3:S19" si="7">IF($I3="","",$I3*INDEX(FIYAT_MODUL,MATCH($P3,FIYAT_ART,0)))</f>
        <v>0</v>
      </c>
    </row>
    <row r="4" spans="1:19" x14ac:dyDescent="0.35">
      <c r="A4" s="23">
        <v>3</v>
      </c>
      <c r="B4" s="24" t="str">
        <f t="shared" si="0"/>
        <v>Авт. выкл. NXM-250S/3Р 250A 36кА (R)</v>
      </c>
      <c r="C4" s="23" t="s">
        <v>567</v>
      </c>
      <c r="D4" s="23" t="s">
        <v>579</v>
      </c>
      <c r="E4" s="23" t="s">
        <v>580</v>
      </c>
      <c r="F4" s="40">
        <v>36869</v>
      </c>
      <c r="G4" s="40">
        <f t="shared" si="3"/>
        <v>22121.399999999998</v>
      </c>
      <c r="H4" s="40">
        <f t="shared" si="4"/>
        <v>22121.399999999998</v>
      </c>
      <c r="I4" s="40">
        <v>1</v>
      </c>
      <c r="J4" s="23" t="s">
        <v>346</v>
      </c>
      <c r="K4" s="23" t="s">
        <v>22</v>
      </c>
      <c r="L4" s="23">
        <f t="shared" si="5"/>
        <v>22121.399999999998</v>
      </c>
      <c r="M4" s="25" t="s">
        <v>151</v>
      </c>
      <c r="N4" s="23" t="s">
        <v>350</v>
      </c>
      <c r="O4" s="23" t="s">
        <v>349</v>
      </c>
      <c r="P4" s="23" t="s">
        <v>351</v>
      </c>
      <c r="Q4" s="23" t="s">
        <v>75</v>
      </c>
      <c r="R4" s="23">
        <f t="shared" si="6"/>
        <v>40</v>
      </c>
      <c r="S4" s="23">
        <f t="shared" si="7"/>
        <v>0</v>
      </c>
    </row>
    <row r="5" spans="1:19" x14ac:dyDescent="0.35">
      <c r="A5" s="23">
        <v>4</v>
      </c>
      <c r="B5" s="24" t="str">
        <f t="shared" si="0"/>
        <v>QF1,QF2,QF3,QF6 — Авт.выкл. NXB-63 3P 63A C</v>
      </c>
      <c r="C5" s="23" t="s">
        <v>352</v>
      </c>
      <c r="D5" s="23" t="str">
        <f t="shared" si="1"/>
        <v>131360</v>
      </c>
      <c r="E5" s="23" t="s">
        <v>476</v>
      </c>
      <c r="F5" s="40">
        <f t="shared" si="2"/>
        <v>18263</v>
      </c>
      <c r="G5" s="40">
        <f t="shared" si="3"/>
        <v>10957.8</v>
      </c>
      <c r="H5" s="40">
        <f t="shared" si="4"/>
        <v>43831.199999999997</v>
      </c>
      <c r="I5" s="40">
        <v>4</v>
      </c>
      <c r="J5" s="23" t="s">
        <v>346</v>
      </c>
      <c r="K5" s="23" t="s">
        <v>22</v>
      </c>
      <c r="L5" s="23">
        <f t="shared" si="5"/>
        <v>43831.199999999997</v>
      </c>
      <c r="M5" s="23" t="s">
        <v>331</v>
      </c>
      <c r="N5" s="23"/>
      <c r="O5" s="23" t="s">
        <v>349</v>
      </c>
      <c r="P5" s="23" t="s">
        <v>353</v>
      </c>
      <c r="Q5" s="23" t="s">
        <v>57</v>
      </c>
      <c r="R5" s="23">
        <f t="shared" si="6"/>
        <v>72</v>
      </c>
      <c r="S5" s="23">
        <f t="shared" si="7"/>
        <v>12</v>
      </c>
    </row>
    <row r="6" spans="1:19" x14ac:dyDescent="0.35">
      <c r="A6" s="23">
        <v>5</v>
      </c>
      <c r="B6" s="24" t="str">
        <f t="shared" si="0"/>
        <v>QF5 — Авт.выкл. NXB-63 3P 40A C</v>
      </c>
      <c r="C6" s="23" t="s">
        <v>352</v>
      </c>
      <c r="D6" s="23" t="str">
        <f t="shared" si="1"/>
        <v>844301</v>
      </c>
      <c r="E6" s="23" t="s">
        <v>477</v>
      </c>
      <c r="F6" s="40">
        <f t="shared" si="2"/>
        <v>20174</v>
      </c>
      <c r="G6" s="40">
        <f t="shared" si="3"/>
        <v>12104.4</v>
      </c>
      <c r="H6" s="40">
        <f t="shared" si="4"/>
        <v>12104.4</v>
      </c>
      <c r="I6" s="40">
        <v>1</v>
      </c>
      <c r="J6" s="23" t="s">
        <v>346</v>
      </c>
      <c r="K6" s="23" t="s">
        <v>22</v>
      </c>
      <c r="L6" s="23">
        <f t="shared" si="5"/>
        <v>12104.4</v>
      </c>
      <c r="M6" s="23" t="s">
        <v>331</v>
      </c>
      <c r="N6" s="23"/>
      <c r="O6" s="23" t="s">
        <v>349</v>
      </c>
      <c r="P6" s="23" t="s">
        <v>354</v>
      </c>
      <c r="Q6" s="23" t="s">
        <v>57</v>
      </c>
      <c r="R6" s="23">
        <f t="shared" si="6"/>
        <v>18</v>
      </c>
      <c r="S6" s="23">
        <f t="shared" si="7"/>
        <v>3</v>
      </c>
    </row>
    <row r="7" spans="1:19" x14ac:dyDescent="0.35">
      <c r="A7" s="23">
        <v>6</v>
      </c>
      <c r="B7" s="24" t="str">
        <f t="shared" si="0"/>
        <v>QF4,QF7,QF8 — Авт.выкл. NXB-63 3P 32A C</v>
      </c>
      <c r="C7" s="23" t="s">
        <v>352</v>
      </c>
      <c r="D7" s="23" t="str">
        <f t="shared" si="1"/>
        <v>844300</v>
      </c>
      <c r="E7" s="23" t="s">
        <v>478</v>
      </c>
      <c r="F7" s="40">
        <f t="shared" si="2"/>
        <v>19700</v>
      </c>
      <c r="G7" s="40">
        <f t="shared" si="3"/>
        <v>11820</v>
      </c>
      <c r="H7" s="40">
        <f t="shared" si="4"/>
        <v>35460</v>
      </c>
      <c r="I7" s="40">
        <v>3</v>
      </c>
      <c r="J7" s="23" t="s">
        <v>346</v>
      </c>
      <c r="K7" s="23" t="s">
        <v>22</v>
      </c>
      <c r="L7" s="23">
        <f t="shared" si="5"/>
        <v>35460</v>
      </c>
      <c r="M7" s="23" t="s">
        <v>331</v>
      </c>
      <c r="N7" s="23"/>
      <c r="O7" s="23" t="s">
        <v>349</v>
      </c>
      <c r="P7" s="23" t="s">
        <v>355</v>
      </c>
      <c r="Q7" s="23" t="s">
        <v>57</v>
      </c>
      <c r="R7" s="23">
        <f t="shared" si="6"/>
        <v>54</v>
      </c>
      <c r="S7" s="23">
        <f t="shared" si="7"/>
        <v>9</v>
      </c>
    </row>
    <row r="8" spans="1:19" x14ac:dyDescent="0.35">
      <c r="A8" s="23">
        <v>7</v>
      </c>
      <c r="B8" s="24" t="str">
        <f t="shared" si="0"/>
        <v>Bakır bara 3х25мм — L1,L2,L3 (faz)</v>
      </c>
      <c r="C8" s="23" t="s">
        <v>412</v>
      </c>
      <c r="D8" s="23" t="str">
        <f t="shared" si="1"/>
        <v>(hesap - katalog degil)</v>
      </c>
      <c r="E8" s="23" t="s">
        <v>479</v>
      </c>
      <c r="F8" s="40">
        <f t="shared" si="2"/>
        <v>0</v>
      </c>
      <c r="G8" s="40">
        <f t="shared" si="3"/>
        <v>4816.1850000000004</v>
      </c>
      <c r="H8" s="40">
        <f t="shared" si="4"/>
        <v>9969.5029500000001</v>
      </c>
      <c r="I8" s="40">
        <f>(SC1_GENISLIK_MM/1000-0.1)*3*BARA_FIRE</f>
        <v>2.0699999999999998</v>
      </c>
      <c r="J8" s="23" t="s">
        <v>405</v>
      </c>
      <c r="K8" s="23" t="s">
        <v>36</v>
      </c>
      <c r="L8" s="23">
        <f t="shared" si="5"/>
        <v>9969.5029500000001</v>
      </c>
      <c r="M8" s="23" t="s">
        <v>331</v>
      </c>
      <c r="N8" s="23" t="s">
        <v>480</v>
      </c>
      <c r="O8" s="23" t="s">
        <v>439</v>
      </c>
      <c r="P8" s="23" t="s">
        <v>441</v>
      </c>
      <c r="Q8" s="23" t="s">
        <v>97</v>
      </c>
      <c r="R8" s="23">
        <f t="shared" si="6"/>
        <v>93.149999999999991</v>
      </c>
      <c r="S8" s="23">
        <f t="shared" si="7"/>
        <v>0</v>
      </c>
    </row>
    <row r="9" spans="1:19" x14ac:dyDescent="0.35">
      <c r="A9" s="23">
        <v>8</v>
      </c>
      <c r="B9" s="24" t="str">
        <f t="shared" si="0"/>
        <v>Bakır bara 3х25мм — N (notr, ВРУ tam kesit)</v>
      </c>
      <c r="C9" s="23" t="s">
        <v>412</v>
      </c>
      <c r="D9" s="23" t="str">
        <f t="shared" si="1"/>
        <v>(hesap - katalog degil)</v>
      </c>
      <c r="E9" s="23" t="s">
        <v>481</v>
      </c>
      <c r="F9" s="40">
        <f t="shared" si="2"/>
        <v>0</v>
      </c>
      <c r="G9" s="40">
        <f t="shared" si="3"/>
        <v>4816.1850000000004</v>
      </c>
      <c r="H9" s="40">
        <f t="shared" si="4"/>
        <v>3323.1676499999999</v>
      </c>
      <c r="I9" s="40">
        <f>(SC1_GENISLIK_MM/1000-0.1)*BARA_N_ORANI*BARA_FIRE</f>
        <v>0.69</v>
      </c>
      <c r="J9" s="23" t="s">
        <v>405</v>
      </c>
      <c r="K9" s="23" t="s">
        <v>36</v>
      </c>
      <c r="L9" s="23">
        <f t="shared" si="5"/>
        <v>3323.1676499999999</v>
      </c>
      <c r="M9" s="23" t="s">
        <v>331</v>
      </c>
      <c r="N9" s="23" t="s">
        <v>482</v>
      </c>
      <c r="O9" s="23" t="s">
        <v>439</v>
      </c>
      <c r="P9" s="23" t="s">
        <v>441</v>
      </c>
      <c r="Q9" s="23" t="s">
        <v>97</v>
      </c>
      <c r="R9" s="23">
        <f t="shared" si="6"/>
        <v>31.049999999999997</v>
      </c>
      <c r="S9" s="23">
        <f t="shared" si="7"/>
        <v>0</v>
      </c>
    </row>
    <row r="10" spans="1:19" x14ac:dyDescent="0.35">
      <c r="A10" s="23">
        <v>9</v>
      </c>
      <c r="B10" s="24" t="str">
        <f t="shared" si="0"/>
        <v>Bakır bara 3х25мм — PE (topraklama, min 3x25)</v>
      </c>
      <c r="C10" s="23" t="s">
        <v>412</v>
      </c>
      <c r="D10" s="23" t="str">
        <f t="shared" si="1"/>
        <v>(hesap - katalog degil)</v>
      </c>
      <c r="E10" s="23" t="s">
        <v>483</v>
      </c>
      <c r="F10" s="40">
        <f t="shared" si="2"/>
        <v>0</v>
      </c>
      <c r="G10" s="40">
        <f t="shared" si="3"/>
        <v>4816.1850000000004</v>
      </c>
      <c r="H10" s="40">
        <f t="shared" si="4"/>
        <v>1661.5838249999999</v>
      </c>
      <c r="I10" s="40">
        <f>(SC1_GENISLIK_MM/1000-0.1)*BARA_PE_ORANI*BARA_FIRE</f>
        <v>0.34499999999999997</v>
      </c>
      <c r="J10" s="23" t="s">
        <v>405</v>
      </c>
      <c r="K10" s="23" t="s">
        <v>36</v>
      </c>
      <c r="L10" s="23">
        <f t="shared" si="5"/>
        <v>1661.5838249999999</v>
      </c>
      <c r="M10" s="23" t="s">
        <v>331</v>
      </c>
      <c r="N10" s="23" t="s">
        <v>484</v>
      </c>
      <c r="O10" s="23" t="s">
        <v>439</v>
      </c>
      <c r="P10" s="23" t="s">
        <v>441</v>
      </c>
      <c r="Q10" s="23" t="s">
        <v>97</v>
      </c>
      <c r="R10" s="23">
        <f t="shared" si="6"/>
        <v>15.524999999999999</v>
      </c>
      <c r="S10" s="23">
        <f t="shared" si="7"/>
        <v>0</v>
      </c>
    </row>
    <row r="11" spans="1:19" x14ac:dyDescent="0.35">
      <c r="A11" s="23">
        <v>10</v>
      </c>
      <c r="B11" s="24" t="str">
        <f t="shared" si="0"/>
        <v>Bara izolatoru ИШП 3P</v>
      </c>
      <c r="C11" s="23" t="s">
        <v>408</v>
      </c>
      <c r="D11" s="23" t="str">
        <f t="shared" si="1"/>
        <v>YIS42-3-200</v>
      </c>
      <c r="E11" s="23" t="s">
        <v>485</v>
      </c>
      <c r="F11" s="40">
        <f t="shared" si="2"/>
        <v>3011</v>
      </c>
      <c r="G11" s="40">
        <f t="shared" si="3"/>
        <v>3011</v>
      </c>
      <c r="H11" s="40">
        <f t="shared" si="4"/>
        <v>6022</v>
      </c>
      <c r="I11" s="40">
        <v>2</v>
      </c>
      <c r="J11" s="23" t="s">
        <v>346</v>
      </c>
      <c r="K11" s="23" t="s">
        <v>31</v>
      </c>
      <c r="L11" s="23">
        <f t="shared" si="5"/>
        <v>6022</v>
      </c>
      <c r="M11" s="23" t="s">
        <v>331</v>
      </c>
      <c r="N11" s="23"/>
      <c r="O11" s="23" t="s">
        <v>397</v>
      </c>
      <c r="P11" s="23" t="s">
        <v>411</v>
      </c>
      <c r="Q11" s="23" t="s">
        <v>99</v>
      </c>
      <c r="R11" s="23">
        <f t="shared" si="6"/>
        <v>12</v>
      </c>
      <c r="S11" s="23">
        <f t="shared" si="7"/>
        <v>0</v>
      </c>
    </row>
    <row r="12" spans="1:19" x14ac:dyDescent="0.35">
      <c r="A12" s="23">
        <v>11</v>
      </c>
      <c r="B12" s="24" t="str">
        <f t="shared" si="0"/>
        <v>Izoleli notr barasi (N)</v>
      </c>
      <c r="C12" s="23" t="s">
        <v>412</v>
      </c>
      <c r="D12" s="23" t="str">
        <f t="shared" si="1"/>
        <v>130200362</v>
      </c>
      <c r="E12" s="23" t="s">
        <v>486</v>
      </c>
      <c r="F12" s="40">
        <f t="shared" si="2"/>
        <v>903</v>
      </c>
      <c r="G12" s="40">
        <f t="shared" si="3"/>
        <v>903</v>
      </c>
      <c r="H12" s="40">
        <f t="shared" si="4"/>
        <v>903</v>
      </c>
      <c r="I12" s="40">
        <v>1</v>
      </c>
      <c r="J12" s="23" t="s">
        <v>346</v>
      </c>
      <c r="K12" s="23" t="s">
        <v>31</v>
      </c>
      <c r="L12" s="23">
        <f t="shared" si="5"/>
        <v>903</v>
      </c>
      <c r="M12" s="23" t="s">
        <v>170</v>
      </c>
      <c r="N12" s="23" t="s">
        <v>415</v>
      </c>
      <c r="O12" s="23" t="s">
        <v>397</v>
      </c>
      <c r="P12" s="23" t="s">
        <v>416</v>
      </c>
      <c r="Q12" s="23" t="s">
        <v>101</v>
      </c>
      <c r="R12" s="23">
        <f t="shared" si="6"/>
        <v>3</v>
      </c>
      <c r="S12" s="23">
        <f t="shared" si="7"/>
        <v>0</v>
      </c>
    </row>
    <row r="13" spans="1:19" x14ac:dyDescent="0.35">
      <c r="A13" s="23">
        <v>12</v>
      </c>
      <c r="B13" s="24" t="str">
        <f t="shared" si="0"/>
        <v>Topraklama barasi (PE / ГЗШ yerine)</v>
      </c>
      <c r="C13" s="23" t="s">
        <v>412</v>
      </c>
      <c r="D13" s="23" t="str">
        <f t="shared" si="1"/>
        <v>130200362</v>
      </c>
      <c r="E13" s="23" t="s">
        <v>487</v>
      </c>
      <c r="F13" s="40">
        <f t="shared" si="2"/>
        <v>903</v>
      </c>
      <c r="G13" s="40">
        <f t="shared" si="3"/>
        <v>903</v>
      </c>
      <c r="H13" s="40">
        <f t="shared" si="4"/>
        <v>903</v>
      </c>
      <c r="I13" s="40">
        <v>1</v>
      </c>
      <c r="J13" s="23" t="s">
        <v>346</v>
      </c>
      <c r="K13" s="23" t="s">
        <v>31</v>
      </c>
      <c r="L13" s="23">
        <f t="shared" si="5"/>
        <v>903</v>
      </c>
      <c r="M13" s="23" t="s">
        <v>170</v>
      </c>
      <c r="N13" s="23" t="s">
        <v>488</v>
      </c>
      <c r="O13" s="23" t="s">
        <v>397</v>
      </c>
      <c r="P13" s="23" t="s">
        <v>416</v>
      </c>
      <c r="Q13" s="23" t="s">
        <v>101</v>
      </c>
      <c r="R13" s="23">
        <f t="shared" si="6"/>
        <v>3</v>
      </c>
      <c r="S13" s="23">
        <f t="shared" si="7"/>
        <v>0</v>
      </c>
    </row>
    <row r="14" spans="1:19" x14ac:dyDescent="0.35">
      <c r="A14" s="23">
        <v>13</v>
      </c>
      <c r="B14" s="24" t="str">
        <f t="shared" si="0"/>
        <v>Комплект Болт+Шайба+Гайка M8x30мм</v>
      </c>
      <c r="C14" s="23" t="s">
        <v>417</v>
      </c>
      <c r="D14" s="23" t="str">
        <f t="shared" si="1"/>
        <v>3158640</v>
      </c>
      <c r="E14" s="23" t="str">
        <f>IF($P14="","",INDEX(FIYAT_ACK,MATCH($P14,FIYAT_ART,0)))</f>
        <v>Комплект Болт+Шайба+Гайка M8x30мм</v>
      </c>
      <c r="F14" s="40">
        <f t="shared" si="2"/>
        <v>557</v>
      </c>
      <c r="G14" s="40">
        <f t="shared" si="3"/>
        <v>557</v>
      </c>
      <c r="H14" s="40">
        <f t="shared" si="4"/>
        <v>40104</v>
      </c>
      <c r="I14" s="40">
        <v>72</v>
      </c>
      <c r="J14" s="23" t="s">
        <v>346</v>
      </c>
      <c r="K14" s="23" t="s">
        <v>31</v>
      </c>
      <c r="L14" s="23">
        <f t="shared" si="5"/>
        <v>40104</v>
      </c>
      <c r="M14" s="23" t="s">
        <v>331</v>
      </c>
      <c r="N14" s="23" t="s">
        <v>489</v>
      </c>
      <c r="O14" s="23" t="s">
        <v>397</v>
      </c>
      <c r="P14" s="23" t="s">
        <v>173</v>
      </c>
      <c r="Q14" s="23" t="s">
        <v>101</v>
      </c>
      <c r="R14" s="23">
        <f t="shared" si="6"/>
        <v>216</v>
      </c>
      <c r="S14" s="23">
        <f t="shared" si="7"/>
        <v>0</v>
      </c>
    </row>
    <row r="15" spans="1:19" x14ac:dyDescent="0.35">
      <c r="A15" s="23">
        <v>14</v>
      </c>
      <c r="B15" s="24" t="str">
        <f t="shared" si="0"/>
        <v>Kablo pabucu — cikis kablolari (25-70мм2, temsili)</v>
      </c>
      <c r="C15" s="23" t="s">
        <v>420</v>
      </c>
      <c r="D15" s="23" t="str">
        <f t="shared" si="1"/>
        <v>260100132</v>
      </c>
      <c r="E15" s="23" t="s">
        <v>490</v>
      </c>
      <c r="F15" s="40">
        <f t="shared" si="2"/>
        <v>387</v>
      </c>
      <c r="G15" s="40">
        <f t="shared" si="3"/>
        <v>387</v>
      </c>
      <c r="H15" s="40">
        <f t="shared" si="4"/>
        <v>12384</v>
      </c>
      <c r="I15" s="40">
        <v>32</v>
      </c>
      <c r="J15" s="23" t="s">
        <v>346</v>
      </c>
      <c r="K15" s="23" t="s">
        <v>31</v>
      </c>
      <c r="L15" s="23">
        <f t="shared" si="5"/>
        <v>12384</v>
      </c>
      <c r="M15" s="25" t="s">
        <v>147</v>
      </c>
      <c r="N15" s="23" t="s">
        <v>491</v>
      </c>
      <c r="O15" s="23" t="s">
        <v>397</v>
      </c>
      <c r="P15" s="23" t="s">
        <v>424</v>
      </c>
      <c r="Q15" s="23" t="s">
        <v>109</v>
      </c>
      <c r="R15" s="23">
        <f t="shared" si="6"/>
        <v>64</v>
      </c>
      <c r="S15" s="23">
        <f t="shared" si="7"/>
        <v>0</v>
      </c>
    </row>
    <row r="16" spans="1:19" x14ac:dyDescent="0.35">
      <c r="A16" s="23">
        <v>15</v>
      </c>
      <c r="B16" s="24" t="str">
        <f t="shared" si="0"/>
        <v>Kablo pabucu — giris kablosu (АВБбШв-4х120мм2)</v>
      </c>
      <c r="C16" s="23" t="s">
        <v>420</v>
      </c>
      <c r="D16" s="23" t="str">
        <f t="shared" si="1"/>
        <v>260100141</v>
      </c>
      <c r="E16" s="23" t="s">
        <v>492</v>
      </c>
      <c r="F16" s="40">
        <f t="shared" si="2"/>
        <v>2299</v>
      </c>
      <c r="G16" s="40">
        <f t="shared" si="3"/>
        <v>2299</v>
      </c>
      <c r="H16" s="40">
        <f t="shared" si="4"/>
        <v>9196</v>
      </c>
      <c r="I16" s="40">
        <v>4</v>
      </c>
      <c r="J16" s="23" t="s">
        <v>346</v>
      </c>
      <c r="K16" s="23" t="s">
        <v>31</v>
      </c>
      <c r="L16" s="23">
        <f t="shared" si="5"/>
        <v>9196</v>
      </c>
      <c r="M16" s="25" t="s">
        <v>147</v>
      </c>
      <c r="N16" s="23" t="s">
        <v>493</v>
      </c>
      <c r="O16" s="23" t="s">
        <v>397</v>
      </c>
      <c r="P16" s="23" t="s">
        <v>428</v>
      </c>
      <c r="Q16" s="23" t="s">
        <v>109</v>
      </c>
      <c r="R16" s="23">
        <f t="shared" si="6"/>
        <v>8</v>
      </c>
      <c r="S16" s="23">
        <f t="shared" si="7"/>
        <v>0</v>
      </c>
    </row>
    <row r="17" spans="1:19" x14ac:dyDescent="0.35">
      <c r="A17" s="23">
        <v>16</v>
      </c>
      <c r="B17" s="24" t="str">
        <f t="shared" si="0"/>
        <v>Yedek/test klemensi</v>
      </c>
      <c r="C17" s="23" t="s">
        <v>399</v>
      </c>
      <c r="D17" s="23" t="str">
        <f t="shared" si="1"/>
        <v>030300417</v>
      </c>
      <c r="E17" s="23" t="s">
        <v>494</v>
      </c>
      <c r="F17" s="40">
        <f t="shared" si="2"/>
        <v>113</v>
      </c>
      <c r="G17" s="40">
        <f t="shared" si="3"/>
        <v>113</v>
      </c>
      <c r="H17" s="40">
        <f t="shared" si="4"/>
        <v>452</v>
      </c>
      <c r="I17" s="40">
        <v>4</v>
      </c>
      <c r="J17" s="23" t="s">
        <v>346</v>
      </c>
      <c r="K17" s="23" t="s">
        <v>31</v>
      </c>
      <c r="L17" s="23">
        <f t="shared" si="5"/>
        <v>452</v>
      </c>
      <c r="M17" s="23" t="s">
        <v>331</v>
      </c>
      <c r="N17" s="23" t="s">
        <v>495</v>
      </c>
      <c r="O17" s="23" t="s">
        <v>397</v>
      </c>
      <c r="P17" s="23" t="s">
        <v>403</v>
      </c>
      <c r="Q17" s="23" t="s">
        <v>93</v>
      </c>
      <c r="R17" s="23">
        <f t="shared" si="6"/>
        <v>16</v>
      </c>
      <c r="S17" s="23">
        <f t="shared" si="7"/>
        <v>0</v>
      </c>
    </row>
    <row r="18" spans="1:19" x14ac:dyDescent="0.35">
      <c r="A18" s="23">
        <v>21</v>
      </c>
      <c r="B18" s="24" t="str">
        <f t="shared" si="0"/>
        <v>Iscilik — montaj+kablaj+test (dk bazli, KURALLAR BLOK3)</v>
      </c>
      <c r="C18" s="23" t="s">
        <v>454</v>
      </c>
      <c r="D18" s="23">
        <f t="shared" si="1"/>
        <v>0</v>
      </c>
      <c r="E18" s="23" t="s">
        <v>496</v>
      </c>
      <c r="F18" s="40">
        <f t="shared" si="2"/>
        <v>0</v>
      </c>
      <c r="G18" s="40">
        <f t="shared" si="3"/>
        <v>58.333333333333336</v>
      </c>
      <c r="H18" s="40">
        <f t="shared" si="4"/>
        <v>47290.833333333336</v>
      </c>
      <c r="I18" s="40">
        <f>ROUND((SUM(R3:R17)+INDEX(NORM_DK,MATCH("SABIT_HAZIRLIK",NORM_AD,0))+INDEX(NORM_DK,MATCH("SABIT_TEST",NORM_AD,0))+INDEX(NORM_DK,MATCH("SABIT_AMBALAJ",NORM_AD,0)))*ISCILIK_CARPANI,1)</f>
        <v>810.7</v>
      </c>
      <c r="J18" s="23" t="s">
        <v>456</v>
      </c>
      <c r="K18" s="23" t="s">
        <v>41</v>
      </c>
      <c r="L18" s="23">
        <f t="shared" si="5"/>
        <v>47290.833333333336</v>
      </c>
      <c r="M18" s="23" t="s">
        <v>331</v>
      </c>
      <c r="N18" s="23"/>
      <c r="O18" s="23" t="s">
        <v>457</v>
      </c>
      <c r="P18" s="23" t="s">
        <v>458</v>
      </c>
      <c r="Q18" s="23"/>
      <c r="R18" s="23">
        <v>0</v>
      </c>
      <c r="S18" s="23">
        <f t="shared" si="7"/>
        <v>0</v>
      </c>
    </row>
    <row r="19" spans="1:19" x14ac:dyDescent="0.35">
      <c r="A19" s="23">
        <v>22</v>
      </c>
      <c r="B19" s="24" t="str">
        <f t="shared" si="0"/>
        <v>Montaj sarf malzemesi (dk bazli)</v>
      </c>
      <c r="C19" s="23" t="s">
        <v>448</v>
      </c>
      <c r="D19" s="23">
        <f t="shared" si="1"/>
        <v>0</v>
      </c>
      <c r="E19" s="23" t="s">
        <v>497</v>
      </c>
      <c r="F19" s="40">
        <f t="shared" si="2"/>
        <v>0</v>
      </c>
      <c r="G19" s="40">
        <f t="shared" si="3"/>
        <v>50</v>
      </c>
      <c r="H19" s="40">
        <f t="shared" si="4"/>
        <v>40535</v>
      </c>
      <c r="I19" s="40">
        <f>I18</f>
        <v>810.7</v>
      </c>
      <c r="J19" s="23" t="s">
        <v>456</v>
      </c>
      <c r="K19" s="23" t="s">
        <v>41</v>
      </c>
      <c r="L19" s="23">
        <f t="shared" si="5"/>
        <v>40535</v>
      </c>
      <c r="M19" s="23" t="s">
        <v>331</v>
      </c>
      <c r="N19" s="23"/>
      <c r="O19" s="23" t="s">
        <v>457</v>
      </c>
      <c r="P19" s="23" t="s">
        <v>460</v>
      </c>
      <c r="Q19" s="23"/>
      <c r="R19" s="23">
        <v>0</v>
      </c>
      <c r="S19" s="23">
        <f t="shared" si="7"/>
        <v>0</v>
      </c>
    </row>
    <row r="20" spans="1:19" x14ac:dyDescent="0.35">
      <c r="A20" s="26"/>
      <c r="B20" s="26" t="s">
        <v>498</v>
      </c>
      <c r="C20" s="26"/>
      <c r="D20" s="26"/>
      <c r="E20" s="26"/>
      <c r="F20" s="41"/>
      <c r="G20" s="41"/>
      <c r="H20" s="41">
        <f>SUBTOTAL(9,H3:H19)</f>
        <v>364621.08775833325</v>
      </c>
      <c r="I20" s="41"/>
      <c r="J20" s="26"/>
      <c r="K20" s="26"/>
      <c r="L20" s="26">
        <f>SUBTOTAL(9,L3:L19)</f>
        <v>364621.08775833325</v>
      </c>
      <c r="M20" s="26"/>
      <c r="N20" s="26"/>
      <c r="O20" s="26"/>
      <c r="P20" s="26"/>
      <c r="Q20" s="26"/>
      <c r="R20" s="26"/>
      <c r="S20" s="26"/>
    </row>
    <row r="22" spans="1:19" s="29" customFormat="1" ht="42.75" customHeight="1" x14ac:dyDescent="0.35">
      <c r="A22" s="30"/>
      <c r="B22" s="31" t="s">
        <v>499</v>
      </c>
      <c r="C22" s="30"/>
      <c r="D22" s="30"/>
      <c r="E22" s="30" t="s">
        <v>499</v>
      </c>
      <c r="F22" s="42"/>
      <c r="G22" s="42"/>
      <c r="H22" s="42"/>
      <c r="I22" s="42">
        <v>1</v>
      </c>
      <c r="J22" s="30" t="s">
        <v>450</v>
      </c>
      <c r="K22" s="30"/>
      <c r="L22" s="30"/>
      <c r="M22" s="30"/>
      <c r="N22" s="30" t="s">
        <v>500</v>
      </c>
      <c r="O22" s="30"/>
      <c r="P22" s="30"/>
      <c r="Q22" s="30"/>
      <c r="R22" s="30"/>
      <c r="S22" s="30"/>
    </row>
    <row r="23" spans="1:19" x14ac:dyDescent="0.35">
      <c r="A23" s="12">
        <v>26</v>
      </c>
      <c r="B23" s="5" t="str">
        <f t="shared" ref="B23:B40" si="8">E23</f>
        <v>Щит мет. ЩРн-1-2 PR (395x310x220) IP54 (TS)</v>
      </c>
      <c r="C23" s="12" t="s">
        <v>34</v>
      </c>
      <c r="D23" s="12" t="s">
        <v>581</v>
      </c>
      <c r="E23" s="12" t="s">
        <v>582</v>
      </c>
      <c r="F23" s="34">
        <v>15275</v>
      </c>
      <c r="G23" s="34">
        <f t="shared" ref="G23:G40" si="9">IF($P23="","",INDEX(FIYAT_NET,MATCH($P23,FIYAT_ART,0)))</f>
        <v>6840</v>
      </c>
      <c r="H23" s="34">
        <f t="shared" ref="H23:H40" si="10">IF(OR($G23="",$I23=""),"",$G23*$I23)</f>
        <v>6840</v>
      </c>
      <c r="I23" s="34">
        <v>1</v>
      </c>
      <c r="J23" s="12" t="s">
        <v>346</v>
      </c>
      <c r="K23" s="12" t="s">
        <v>33</v>
      </c>
      <c r="L23" s="12">
        <f t="shared" ref="L23:L40" si="11">IF($H23="","",$H23)</f>
        <v>6840</v>
      </c>
      <c r="M23" s="13" t="s">
        <v>147</v>
      </c>
      <c r="N23" s="12" t="s">
        <v>436</v>
      </c>
      <c r="O23" s="12" t="s">
        <v>347</v>
      </c>
      <c r="P23" s="12" t="s">
        <v>176</v>
      </c>
      <c r="Q23" s="12" t="s">
        <v>111</v>
      </c>
      <c r="R23" s="12">
        <f t="shared" ref="R23:R35" si="12">IF($I23="","",$I23*INDEX(NORM_DK,MATCH($Q23,NORM_AD,0)))</f>
        <v>30</v>
      </c>
      <c r="S23" s="12">
        <f t="shared" ref="S23:S40" si="13">IF($I23="","",$I23*INDEX(FIYAT_MODUL,MATCH($P23,FIYAT_ART,0)))</f>
        <v>0</v>
      </c>
    </row>
    <row r="24" spans="1:19" x14ac:dyDescent="0.35">
      <c r="A24" s="12">
        <v>27</v>
      </c>
      <c r="B24" s="5" t="str">
        <f t="shared" si="8"/>
        <v>QF1 — Авт.выкл. 3P 6A C (giris)</v>
      </c>
      <c r="C24" s="12" t="s">
        <v>352</v>
      </c>
      <c r="D24" s="12" t="str">
        <f t="shared" ref="D24:D40" si="14">IF($P24="","",INDEX(FIYAT_KOD,MATCH($P24,FIYAT_ART,0)))</f>
        <v>814168</v>
      </c>
      <c r="E24" s="12" t="s">
        <v>501</v>
      </c>
      <c r="F24" s="34">
        <f t="shared" ref="F24:F40" si="15">IF($P24="","",INDEX(FIYAT_LISTE,MATCH($P24,FIYAT_ART,0)))</f>
        <v>5441</v>
      </c>
      <c r="G24" s="34">
        <f t="shared" si="9"/>
        <v>3264.6</v>
      </c>
      <c r="H24" s="34">
        <f t="shared" si="10"/>
        <v>3264.6</v>
      </c>
      <c r="I24" s="34">
        <v>1</v>
      </c>
      <c r="J24" s="12" t="s">
        <v>346</v>
      </c>
      <c r="K24" s="12" t="s">
        <v>22</v>
      </c>
      <c r="L24" s="12">
        <f t="shared" si="11"/>
        <v>3264.6</v>
      </c>
      <c r="M24" s="12" t="s">
        <v>331</v>
      </c>
      <c r="N24" s="12"/>
      <c r="O24" s="12" t="s">
        <v>349</v>
      </c>
      <c r="P24" s="12" t="s">
        <v>358</v>
      </c>
      <c r="Q24" s="12" t="s">
        <v>57</v>
      </c>
      <c r="R24" s="12">
        <f t="shared" si="12"/>
        <v>18</v>
      </c>
      <c r="S24" s="12">
        <f t="shared" si="13"/>
        <v>3</v>
      </c>
    </row>
    <row r="25" spans="1:19" x14ac:dyDescent="0.35">
      <c r="A25" s="12">
        <v>28</v>
      </c>
      <c r="B25" s="5" t="str">
        <f t="shared" si="8"/>
        <v>QF2 — Авт.выкл. 1P 1A C</v>
      </c>
      <c r="C25" s="12" t="s">
        <v>352</v>
      </c>
      <c r="D25" s="12" t="str">
        <f t="shared" si="14"/>
        <v>814008</v>
      </c>
      <c r="E25" s="12" t="s">
        <v>502</v>
      </c>
      <c r="F25" s="34">
        <f t="shared" si="15"/>
        <v>1845</v>
      </c>
      <c r="G25" s="34">
        <f t="shared" si="9"/>
        <v>1107</v>
      </c>
      <c r="H25" s="34">
        <f t="shared" si="10"/>
        <v>1107</v>
      </c>
      <c r="I25" s="34">
        <v>1</v>
      </c>
      <c r="J25" s="12" t="s">
        <v>346</v>
      </c>
      <c r="K25" s="12" t="s">
        <v>22</v>
      </c>
      <c r="L25" s="12">
        <f t="shared" si="11"/>
        <v>1107</v>
      </c>
      <c r="M25" s="13" t="s">
        <v>151</v>
      </c>
      <c r="N25" s="12" t="s">
        <v>361</v>
      </c>
      <c r="O25" s="12" t="s">
        <v>349</v>
      </c>
      <c r="P25" s="12" t="s">
        <v>362</v>
      </c>
      <c r="Q25" s="12" t="s">
        <v>53</v>
      </c>
      <c r="R25" s="12">
        <f t="shared" si="12"/>
        <v>10</v>
      </c>
      <c r="S25" s="12">
        <f t="shared" si="13"/>
        <v>1</v>
      </c>
    </row>
    <row r="26" spans="1:19" x14ac:dyDescent="0.35">
      <c r="A26" s="12">
        <v>29</v>
      </c>
      <c r="B26" s="5" t="str">
        <f t="shared" si="8"/>
        <v>KM1 — Контактор NXC-09 9A</v>
      </c>
      <c r="C26" s="12" t="s">
        <v>366</v>
      </c>
      <c r="D26" s="12" t="str">
        <f t="shared" si="14"/>
        <v>836704</v>
      </c>
      <c r="E26" s="12" t="s">
        <v>503</v>
      </c>
      <c r="F26" s="34">
        <f t="shared" si="15"/>
        <v>5214</v>
      </c>
      <c r="G26" s="34">
        <f t="shared" si="9"/>
        <v>3128.4</v>
      </c>
      <c r="H26" s="34">
        <f t="shared" si="10"/>
        <v>3128.4</v>
      </c>
      <c r="I26" s="34">
        <v>1</v>
      </c>
      <c r="J26" s="12" t="s">
        <v>346</v>
      </c>
      <c r="K26" s="12" t="s">
        <v>22</v>
      </c>
      <c r="L26" s="12">
        <f t="shared" si="11"/>
        <v>3128.4</v>
      </c>
      <c r="M26" s="13" t="s">
        <v>151</v>
      </c>
      <c r="N26" s="12" t="s">
        <v>369</v>
      </c>
      <c r="O26" s="12" t="s">
        <v>349</v>
      </c>
      <c r="P26" s="12" t="s">
        <v>370</v>
      </c>
      <c r="Q26" s="12" t="s">
        <v>83</v>
      </c>
      <c r="R26" s="12">
        <f t="shared" si="12"/>
        <v>25</v>
      </c>
      <c r="S26" s="12">
        <f t="shared" si="13"/>
        <v>3</v>
      </c>
    </row>
    <row r="27" spans="1:19" x14ac:dyDescent="0.35">
      <c r="A27" s="12">
        <v>30</v>
      </c>
      <c r="B27" s="5" t="str">
        <f t="shared" si="8"/>
        <v>KK1 — Тепловое реле NXR-12 4-6A</v>
      </c>
      <c r="C27" s="12" t="s">
        <v>371</v>
      </c>
      <c r="D27" s="12" t="str">
        <f t="shared" si="14"/>
        <v>837101</v>
      </c>
      <c r="E27" s="12" t="s">
        <v>504</v>
      </c>
      <c r="F27" s="34">
        <f t="shared" si="15"/>
        <v>4445</v>
      </c>
      <c r="G27" s="34">
        <f t="shared" si="9"/>
        <v>2667</v>
      </c>
      <c r="H27" s="34">
        <f t="shared" si="10"/>
        <v>2667</v>
      </c>
      <c r="I27" s="34">
        <v>1</v>
      </c>
      <c r="J27" s="12" t="s">
        <v>346</v>
      </c>
      <c r="K27" s="12" t="s">
        <v>22</v>
      </c>
      <c r="L27" s="12">
        <f t="shared" si="11"/>
        <v>2667</v>
      </c>
      <c r="M27" s="13" t="s">
        <v>151</v>
      </c>
      <c r="N27" s="12" t="s">
        <v>374</v>
      </c>
      <c r="O27" s="12" t="s">
        <v>349</v>
      </c>
      <c r="P27" s="12" t="s">
        <v>375</v>
      </c>
      <c r="Q27" s="12" t="s">
        <v>85</v>
      </c>
      <c r="R27" s="12">
        <f t="shared" si="12"/>
        <v>15</v>
      </c>
      <c r="S27" s="12">
        <f t="shared" si="13"/>
        <v>0</v>
      </c>
    </row>
    <row r="28" spans="1:19" x14ac:dyDescent="0.35">
      <c r="A28" s="12">
        <v>31</v>
      </c>
      <c r="B28" s="5" t="str">
        <f t="shared" si="8"/>
        <v>SB1 — Кнопка «Стоп» красная 1НЗ</v>
      </c>
      <c r="C28" s="12" t="s">
        <v>376</v>
      </c>
      <c r="D28" s="12" t="str">
        <f t="shared" si="14"/>
        <v>574843</v>
      </c>
      <c r="E28" s="12" t="s">
        <v>505</v>
      </c>
      <c r="F28" s="34">
        <f t="shared" si="15"/>
        <v>1621</v>
      </c>
      <c r="G28" s="34">
        <f t="shared" si="9"/>
        <v>972.59999999999991</v>
      </c>
      <c r="H28" s="34">
        <f t="shared" si="10"/>
        <v>972.59999999999991</v>
      </c>
      <c r="I28" s="34">
        <v>1</v>
      </c>
      <c r="J28" s="12" t="s">
        <v>346</v>
      </c>
      <c r="K28" s="12" t="s">
        <v>22</v>
      </c>
      <c r="L28" s="12">
        <f t="shared" si="11"/>
        <v>972.59999999999991</v>
      </c>
      <c r="M28" s="12" t="s">
        <v>331</v>
      </c>
      <c r="N28" s="12"/>
      <c r="O28" s="12" t="s">
        <v>349</v>
      </c>
      <c r="P28" s="12" t="s">
        <v>379</v>
      </c>
      <c r="Q28" s="12" t="s">
        <v>91</v>
      </c>
      <c r="R28" s="12">
        <f t="shared" si="12"/>
        <v>8</v>
      </c>
      <c r="S28" s="12">
        <f t="shared" si="13"/>
        <v>0</v>
      </c>
    </row>
    <row r="29" spans="1:19" x14ac:dyDescent="0.35">
      <c r="A29" s="12">
        <v>32</v>
      </c>
      <c r="B29" s="5" t="str">
        <f t="shared" si="8"/>
        <v>SB2 — Кнопка «Пуск» зеленая 1НЗ+1НО</v>
      </c>
      <c r="C29" s="12" t="s">
        <v>376</v>
      </c>
      <c r="D29" s="12" t="str">
        <f t="shared" si="14"/>
        <v>573763</v>
      </c>
      <c r="E29" s="12" t="s">
        <v>506</v>
      </c>
      <c r="F29" s="34">
        <f t="shared" si="15"/>
        <v>1784</v>
      </c>
      <c r="G29" s="34">
        <f t="shared" si="9"/>
        <v>1070.3999999999999</v>
      </c>
      <c r="H29" s="34">
        <f t="shared" si="10"/>
        <v>1070.3999999999999</v>
      </c>
      <c r="I29" s="34">
        <v>1</v>
      </c>
      <c r="J29" s="12" t="s">
        <v>346</v>
      </c>
      <c r="K29" s="12" t="s">
        <v>22</v>
      </c>
      <c r="L29" s="12">
        <f t="shared" si="11"/>
        <v>1070.3999999999999</v>
      </c>
      <c r="M29" s="12" t="s">
        <v>331</v>
      </c>
      <c r="N29" s="12"/>
      <c r="O29" s="12" t="s">
        <v>349</v>
      </c>
      <c r="P29" s="12" t="s">
        <v>382</v>
      </c>
      <c r="Q29" s="12" t="s">
        <v>91</v>
      </c>
      <c r="R29" s="12">
        <f t="shared" si="12"/>
        <v>8</v>
      </c>
      <c r="S29" s="12">
        <f t="shared" si="13"/>
        <v>0</v>
      </c>
    </row>
    <row r="30" spans="1:19" x14ac:dyDescent="0.35">
      <c r="A30" s="12">
        <v>33</v>
      </c>
      <c r="B30" s="5" t="str">
        <f t="shared" si="8"/>
        <v>HLR1 — Лампа сигнальная красная</v>
      </c>
      <c r="C30" s="12" t="s">
        <v>383</v>
      </c>
      <c r="D30" s="12" t="str">
        <f t="shared" si="14"/>
        <v>593075</v>
      </c>
      <c r="E30" s="12" t="s">
        <v>507</v>
      </c>
      <c r="F30" s="34">
        <f t="shared" si="15"/>
        <v>571</v>
      </c>
      <c r="G30" s="34">
        <f t="shared" si="9"/>
        <v>342.59999999999997</v>
      </c>
      <c r="H30" s="34">
        <f t="shared" si="10"/>
        <v>342.59999999999997</v>
      </c>
      <c r="I30" s="34">
        <v>1</v>
      </c>
      <c r="J30" s="12" t="s">
        <v>346</v>
      </c>
      <c r="K30" s="12" t="s">
        <v>22</v>
      </c>
      <c r="L30" s="12">
        <f t="shared" si="11"/>
        <v>342.59999999999997</v>
      </c>
      <c r="M30" s="12" t="s">
        <v>331</v>
      </c>
      <c r="N30" s="12"/>
      <c r="O30" s="12" t="s">
        <v>349</v>
      </c>
      <c r="P30" s="12" t="s">
        <v>386</v>
      </c>
      <c r="Q30" s="12" t="s">
        <v>91</v>
      </c>
      <c r="R30" s="12">
        <f t="shared" si="12"/>
        <v>8</v>
      </c>
      <c r="S30" s="12">
        <f t="shared" si="13"/>
        <v>0</v>
      </c>
    </row>
    <row r="31" spans="1:19" x14ac:dyDescent="0.35">
      <c r="A31" s="12">
        <v>34</v>
      </c>
      <c r="B31" s="5" t="str">
        <f t="shared" si="8"/>
        <v>SA1 — Переключатель «Местн-0-Дист» 3 полож.</v>
      </c>
      <c r="C31" s="12" t="s">
        <v>376</v>
      </c>
      <c r="D31" s="12" t="str">
        <f t="shared" si="14"/>
        <v>574849</v>
      </c>
      <c r="E31" s="12" t="s">
        <v>508</v>
      </c>
      <c r="F31" s="34">
        <f t="shared" si="15"/>
        <v>1836</v>
      </c>
      <c r="G31" s="34">
        <f t="shared" si="9"/>
        <v>1101.5999999999999</v>
      </c>
      <c r="H31" s="34">
        <f t="shared" si="10"/>
        <v>1101.5999999999999</v>
      </c>
      <c r="I31" s="34">
        <v>1</v>
      </c>
      <c r="J31" s="12" t="s">
        <v>346</v>
      </c>
      <c r="K31" s="12" t="s">
        <v>22</v>
      </c>
      <c r="L31" s="12">
        <f t="shared" si="11"/>
        <v>1101.5999999999999</v>
      </c>
      <c r="M31" s="13" t="s">
        <v>147</v>
      </c>
      <c r="N31" s="12" t="s">
        <v>389</v>
      </c>
      <c r="O31" s="12" t="s">
        <v>349</v>
      </c>
      <c r="P31" s="12" t="s">
        <v>390</v>
      </c>
      <c r="Q31" s="12" t="s">
        <v>91</v>
      </c>
      <c r="R31" s="12">
        <f t="shared" si="12"/>
        <v>8</v>
      </c>
      <c r="S31" s="12">
        <f t="shared" si="13"/>
        <v>0</v>
      </c>
    </row>
    <row r="32" spans="1:19" x14ac:dyDescent="0.35">
      <c r="A32" s="12">
        <v>35</v>
      </c>
      <c r="B32" s="5" t="str">
        <f t="shared" si="8"/>
        <v>SA2 — Переключатель «ПР-0-ФР» 3 полож.</v>
      </c>
      <c r="C32" s="12" t="s">
        <v>376</v>
      </c>
      <c r="D32" s="12" t="str">
        <f t="shared" si="14"/>
        <v>574849</v>
      </c>
      <c r="E32" s="12" t="s">
        <v>509</v>
      </c>
      <c r="F32" s="34">
        <f t="shared" si="15"/>
        <v>1836</v>
      </c>
      <c r="G32" s="34">
        <f t="shared" si="9"/>
        <v>1101.5999999999999</v>
      </c>
      <c r="H32" s="34">
        <f t="shared" si="10"/>
        <v>1101.5999999999999</v>
      </c>
      <c r="I32" s="34">
        <v>1</v>
      </c>
      <c r="J32" s="12" t="s">
        <v>346</v>
      </c>
      <c r="K32" s="12" t="s">
        <v>22</v>
      </c>
      <c r="L32" s="12">
        <f t="shared" si="11"/>
        <v>1101.5999999999999</v>
      </c>
      <c r="M32" s="13" t="s">
        <v>147</v>
      </c>
      <c r="N32" s="12" t="s">
        <v>389</v>
      </c>
      <c r="O32" s="12" t="s">
        <v>349</v>
      </c>
      <c r="P32" s="12" t="s">
        <v>390</v>
      </c>
      <c r="Q32" s="12" t="s">
        <v>91</v>
      </c>
      <c r="R32" s="12">
        <f t="shared" si="12"/>
        <v>8</v>
      </c>
      <c r="S32" s="12">
        <f t="shared" si="13"/>
        <v>0</v>
      </c>
    </row>
    <row r="33" spans="1:19" x14ac:dyDescent="0.35">
      <c r="A33" s="12">
        <v>36</v>
      </c>
      <c r="B33" s="5" t="str">
        <f t="shared" si="8"/>
        <v>KT1 — Таймер цифровой NKG3</v>
      </c>
      <c r="C33" s="12" t="s">
        <v>391</v>
      </c>
      <c r="D33" s="12" t="str">
        <f t="shared" si="14"/>
        <v>310024</v>
      </c>
      <c r="E33" s="12" t="s">
        <v>510</v>
      </c>
      <c r="F33" s="34">
        <f t="shared" si="15"/>
        <v>18847</v>
      </c>
      <c r="G33" s="34">
        <f t="shared" si="9"/>
        <v>11308.199999999999</v>
      </c>
      <c r="H33" s="34">
        <f t="shared" si="10"/>
        <v>11308.199999999999</v>
      </c>
      <c r="I33" s="34">
        <v>1</v>
      </c>
      <c r="J33" s="12" t="s">
        <v>346</v>
      </c>
      <c r="K33" s="12" t="s">
        <v>22</v>
      </c>
      <c r="L33" s="12">
        <f t="shared" si="11"/>
        <v>11308.199999999999</v>
      </c>
      <c r="M33" s="12" t="s">
        <v>331</v>
      </c>
      <c r="N33" s="12"/>
      <c r="O33" s="12" t="s">
        <v>349</v>
      </c>
      <c r="P33" s="12" t="s">
        <v>394</v>
      </c>
      <c r="Q33" s="12" t="s">
        <v>89</v>
      </c>
      <c r="R33" s="12">
        <f t="shared" si="12"/>
        <v>15</v>
      </c>
      <c r="S33" s="12">
        <f t="shared" si="13"/>
        <v>4</v>
      </c>
    </row>
    <row r="34" spans="1:19" x14ac:dyDescent="0.35">
      <c r="A34" s="12">
        <v>37</v>
      </c>
      <c r="B34" s="5" t="str">
        <f t="shared" si="8"/>
        <v>FR1+BL1 — Фотореле с выносным фотоэлементом</v>
      </c>
      <c r="C34" s="12" t="s">
        <v>391</v>
      </c>
      <c r="D34" s="12" t="str">
        <f t="shared" si="14"/>
        <v>130300434</v>
      </c>
      <c r="E34" s="12" t="s">
        <v>511</v>
      </c>
      <c r="F34" s="34">
        <f t="shared" si="15"/>
        <v>14264</v>
      </c>
      <c r="G34" s="34">
        <f t="shared" si="9"/>
        <v>14264</v>
      </c>
      <c r="H34" s="34">
        <f t="shared" si="10"/>
        <v>14264</v>
      </c>
      <c r="I34" s="34">
        <v>1</v>
      </c>
      <c r="J34" s="12" t="s">
        <v>346</v>
      </c>
      <c r="K34" s="12" t="s">
        <v>31</v>
      </c>
      <c r="L34" s="12">
        <f t="shared" si="11"/>
        <v>14264</v>
      </c>
      <c r="M34" s="12" t="s">
        <v>170</v>
      </c>
      <c r="N34" s="12" t="s">
        <v>398</v>
      </c>
      <c r="O34" s="12" t="s">
        <v>397</v>
      </c>
      <c r="P34" s="12" t="s">
        <v>188</v>
      </c>
      <c r="Q34" s="12" t="s">
        <v>87</v>
      </c>
      <c r="R34" s="12">
        <f t="shared" si="12"/>
        <v>12</v>
      </c>
      <c r="S34" s="12">
        <f t="shared" si="13"/>
        <v>2</v>
      </c>
    </row>
    <row r="35" spans="1:19" x14ac:dyDescent="0.35">
      <c r="A35" s="12">
        <v>38</v>
      </c>
      <c r="B35" s="5" t="str">
        <f t="shared" si="8"/>
        <v>Клемма проходная (0,08-2,5мм 32А)</v>
      </c>
      <c r="C35" s="12" t="s">
        <v>399</v>
      </c>
      <c r="D35" s="12" t="str">
        <f t="shared" si="14"/>
        <v>030300417</v>
      </c>
      <c r="E35" s="12" t="str">
        <f>IF($P35="","",INDEX(FIYAT_ACK,MATCH($P35,FIYAT_ART,0)))</f>
        <v>Клемма проходная (0,08-2,5мм 32А)</v>
      </c>
      <c r="F35" s="34">
        <f t="shared" si="15"/>
        <v>113</v>
      </c>
      <c r="G35" s="34">
        <f t="shared" si="9"/>
        <v>113</v>
      </c>
      <c r="H35" s="34">
        <f t="shared" si="10"/>
        <v>1130</v>
      </c>
      <c r="I35" s="34">
        <v>10</v>
      </c>
      <c r="J35" s="12" t="s">
        <v>346</v>
      </c>
      <c r="K35" s="12" t="s">
        <v>31</v>
      </c>
      <c r="L35" s="12">
        <f t="shared" si="11"/>
        <v>1130</v>
      </c>
      <c r="M35" s="12" t="s">
        <v>331</v>
      </c>
      <c r="N35" s="12" t="s">
        <v>512</v>
      </c>
      <c r="O35" s="12" t="s">
        <v>397</v>
      </c>
      <c r="P35" s="12" t="s">
        <v>403</v>
      </c>
      <c r="Q35" s="12" t="s">
        <v>93</v>
      </c>
      <c r="R35" s="12">
        <f t="shared" si="12"/>
        <v>40</v>
      </c>
      <c r="S35" s="12">
        <f t="shared" si="13"/>
        <v>0</v>
      </c>
    </row>
    <row r="36" spans="1:19" x14ac:dyDescent="0.35">
      <c r="A36" s="12">
        <v>39</v>
      </c>
      <c r="B36" s="5" t="str">
        <f t="shared" si="8"/>
        <v>Yuksuk НШВИ 1,5-8 (20 adet, 100'luk paketten)</v>
      </c>
      <c r="C36" s="12" t="s">
        <v>420</v>
      </c>
      <c r="D36" s="12" t="str">
        <f t="shared" si="14"/>
        <v>311100817</v>
      </c>
      <c r="E36" s="12" t="s">
        <v>513</v>
      </c>
      <c r="F36" s="34">
        <f t="shared" si="15"/>
        <v>428</v>
      </c>
      <c r="G36" s="34">
        <f t="shared" si="9"/>
        <v>428</v>
      </c>
      <c r="H36" s="34">
        <f t="shared" si="10"/>
        <v>85.600000000000009</v>
      </c>
      <c r="I36" s="34">
        <v>0.2</v>
      </c>
      <c r="J36" s="12" t="s">
        <v>431</v>
      </c>
      <c r="K36" s="12" t="s">
        <v>31</v>
      </c>
      <c r="L36" s="12">
        <f t="shared" si="11"/>
        <v>85.600000000000009</v>
      </c>
      <c r="M36" s="13" t="s">
        <v>147</v>
      </c>
      <c r="N36" s="12" t="s">
        <v>514</v>
      </c>
      <c r="O36" s="12" t="s">
        <v>397</v>
      </c>
      <c r="P36" s="12" t="s">
        <v>433</v>
      </c>
      <c r="Q36" s="12"/>
      <c r="R36" s="12">
        <v>0</v>
      </c>
      <c r="S36" s="12">
        <f t="shared" si="13"/>
        <v>0</v>
      </c>
    </row>
    <row r="37" spans="1:19" x14ac:dyDescent="0.35">
      <c r="A37" s="15">
        <v>41</v>
      </c>
      <c r="B37" s="16" t="str">
        <f t="shared" si="8"/>
        <v>ПуГВ 1х1,5 kumanda kablosu</v>
      </c>
      <c r="C37" s="15" t="s">
        <v>445</v>
      </c>
      <c r="D37" s="15">
        <f t="shared" si="14"/>
        <v>0</v>
      </c>
      <c r="E37" s="15" t="str">
        <f>IF($P37="","",INDEX(FIYAT_ACK,MATCH($P37,FIYAT_ART,0)))</f>
        <v>ПуГВ 1х1,5 kumanda kablosu</v>
      </c>
      <c r="F37" s="36">
        <v>45</v>
      </c>
      <c r="G37" s="36">
        <f t="shared" si="9"/>
        <v>90</v>
      </c>
      <c r="H37" s="36">
        <f t="shared" si="10"/>
        <v>1350</v>
      </c>
      <c r="I37" s="36">
        <v>15</v>
      </c>
      <c r="J37" s="15" t="s">
        <v>405</v>
      </c>
      <c r="K37" s="15" t="s">
        <v>31</v>
      </c>
      <c r="L37" s="15">
        <f t="shared" si="11"/>
        <v>1350</v>
      </c>
      <c r="M37" s="15" t="s">
        <v>162</v>
      </c>
      <c r="N37" s="15" t="s">
        <v>515</v>
      </c>
      <c r="O37" s="15" t="s">
        <v>172</v>
      </c>
      <c r="P37" s="15" t="s">
        <v>190</v>
      </c>
      <c r="Q37" s="15" t="s">
        <v>107</v>
      </c>
      <c r="R37" s="15">
        <f>IF($I37="","",$I37*INDEX(NORM_DK,MATCH($Q37,NORM_AD,0)))</f>
        <v>45</v>
      </c>
      <c r="S37" s="15">
        <f t="shared" si="13"/>
        <v>0</v>
      </c>
    </row>
    <row r="38" spans="1:19" x14ac:dyDescent="0.35">
      <c r="A38" s="15">
        <v>42</v>
      </c>
      <c r="B38" s="16" t="str">
        <f t="shared" si="8"/>
        <v>Montaj sarf malzemesi (vida, dubel, spiral, kablo bagi)</v>
      </c>
      <c r="C38" s="15" t="s">
        <v>448</v>
      </c>
      <c r="D38" s="15">
        <f t="shared" si="14"/>
        <v>0</v>
      </c>
      <c r="E38" s="15" t="str">
        <f>IF($P38="","",INDEX(FIYAT_ACK,MATCH($P38,FIYAT_ART,0)))</f>
        <v>Montaj sarf malzemesi (vida, dubel, spiral, kablo bagi)</v>
      </c>
      <c r="F38" s="36">
        <f t="shared" si="15"/>
        <v>0</v>
      </c>
      <c r="G38" s="36" t="str">
        <f t="shared" si="9"/>
        <v/>
      </c>
      <c r="H38" s="36" t="str">
        <f t="shared" si="10"/>
        <v/>
      </c>
      <c r="I38" s="36">
        <v>1</v>
      </c>
      <c r="J38" s="15" t="s">
        <v>450</v>
      </c>
      <c r="K38" s="15" t="s">
        <v>31</v>
      </c>
      <c r="L38" s="15" t="str">
        <f t="shared" si="11"/>
        <v/>
      </c>
      <c r="M38" s="15" t="s">
        <v>162</v>
      </c>
      <c r="N38" s="15" t="s">
        <v>451</v>
      </c>
      <c r="O38" s="15" t="s">
        <v>172</v>
      </c>
      <c r="P38" s="15" t="s">
        <v>453</v>
      </c>
      <c r="Q38" s="15"/>
      <c r="R38" s="15">
        <v>0</v>
      </c>
      <c r="S38" s="15">
        <f t="shared" si="13"/>
        <v>0</v>
      </c>
    </row>
    <row r="39" spans="1:19" x14ac:dyDescent="0.35">
      <c r="A39" s="12">
        <v>43</v>
      </c>
      <c r="B39" s="5" t="str">
        <f t="shared" si="8"/>
        <v>Iscilik — montaj+kablaj+test (dk bazli)</v>
      </c>
      <c r="C39" s="12" t="s">
        <v>454</v>
      </c>
      <c r="D39" s="12">
        <f t="shared" si="14"/>
        <v>0</v>
      </c>
      <c r="E39" s="12" t="s">
        <v>516</v>
      </c>
      <c r="F39" s="34">
        <f t="shared" si="15"/>
        <v>0</v>
      </c>
      <c r="G39" s="34">
        <f t="shared" si="9"/>
        <v>58.333333333333336</v>
      </c>
      <c r="H39" s="34">
        <f t="shared" si="10"/>
        <v>5395.8333333333339</v>
      </c>
      <c r="I39" s="34">
        <f>ROUND((SUM(R23:R38)+INDEX(NORM_DK,MATCH("SABIT_HAZIRLIK",NORM_AD,0))+INDEX(NORM_DK,MATCH("SABIT_TEST",NORM_AD,0))+INDEX(NORM_DK,MATCH("SABIT_AMBALAJ",NORM_AD,0)))*ISCILIK_CARPANI,1)/4</f>
        <v>92.5</v>
      </c>
      <c r="J39" s="12" t="s">
        <v>456</v>
      </c>
      <c r="K39" s="12" t="s">
        <v>41</v>
      </c>
      <c r="L39" s="12">
        <f t="shared" si="11"/>
        <v>5395.8333333333339</v>
      </c>
      <c r="M39" s="12" t="s">
        <v>331</v>
      </c>
      <c r="N39" s="12"/>
      <c r="O39" s="12" t="s">
        <v>457</v>
      </c>
      <c r="P39" s="12" t="s">
        <v>458</v>
      </c>
      <c r="Q39" s="12"/>
      <c r="R39" s="12">
        <v>0</v>
      </c>
      <c r="S39" s="12">
        <f t="shared" si="13"/>
        <v>0</v>
      </c>
    </row>
    <row r="40" spans="1:19" x14ac:dyDescent="0.35">
      <c r="A40" s="12">
        <v>44</v>
      </c>
      <c r="B40" s="5" t="str">
        <f t="shared" si="8"/>
        <v>Montaj sarf malzemesi (dk bazli)</v>
      </c>
      <c r="C40" s="12" t="s">
        <v>448</v>
      </c>
      <c r="D40" s="12">
        <f t="shared" si="14"/>
        <v>0</v>
      </c>
      <c r="E40" s="12" t="s">
        <v>497</v>
      </c>
      <c r="F40" s="34">
        <f t="shared" si="15"/>
        <v>0</v>
      </c>
      <c r="G40" s="34">
        <f t="shared" si="9"/>
        <v>50</v>
      </c>
      <c r="H40" s="34">
        <f t="shared" si="10"/>
        <v>4625</v>
      </c>
      <c r="I40" s="34">
        <f>I39</f>
        <v>92.5</v>
      </c>
      <c r="J40" s="12" t="s">
        <v>456</v>
      </c>
      <c r="K40" s="12" t="s">
        <v>41</v>
      </c>
      <c r="L40" s="12">
        <f t="shared" si="11"/>
        <v>4625</v>
      </c>
      <c r="M40" s="12" t="s">
        <v>331</v>
      </c>
      <c r="N40" s="12"/>
      <c r="O40" s="12" t="s">
        <v>457</v>
      </c>
      <c r="P40" s="12" t="s">
        <v>460</v>
      </c>
      <c r="Q40" s="12"/>
      <c r="R40" s="12">
        <v>0</v>
      </c>
      <c r="S40" s="12">
        <f t="shared" si="13"/>
        <v>0</v>
      </c>
    </row>
    <row r="41" spans="1:19" x14ac:dyDescent="0.35">
      <c r="A41" s="19"/>
      <c r="B41" s="19" t="s">
        <v>517</v>
      </c>
      <c r="C41" s="19"/>
      <c r="D41" s="19"/>
      <c r="E41" s="19"/>
      <c r="F41" s="43"/>
      <c r="G41" s="43"/>
      <c r="H41" s="43">
        <f>SUBTOTAL(9,H23:H40)</f>
        <v>59754.433333333327</v>
      </c>
      <c r="I41" s="43"/>
      <c r="J41" s="19"/>
      <c r="K41" s="19"/>
      <c r="L41" s="19">
        <f>SUBTOTAL(9,L23:L40)</f>
        <v>59754.433333333327</v>
      </c>
      <c r="M41" s="19"/>
      <c r="N41" s="19"/>
      <c r="O41" s="19"/>
      <c r="P41" s="19"/>
      <c r="Q41" s="19"/>
      <c r="R41" s="19"/>
      <c r="S41" s="19"/>
    </row>
    <row r="43" spans="1:19" x14ac:dyDescent="0.35">
      <c r="A43" s="17"/>
      <c r="B43" s="18" t="s">
        <v>518</v>
      </c>
      <c r="C43" s="17"/>
      <c r="D43" s="17"/>
      <c r="E43" s="17" t="s">
        <v>518</v>
      </c>
      <c r="F43" s="44"/>
      <c r="G43" s="44"/>
      <c r="H43" s="44"/>
      <c r="I43" s="44">
        <v>1</v>
      </c>
      <c r="J43" s="17" t="s">
        <v>450</v>
      </c>
      <c r="K43" s="17"/>
      <c r="L43" s="17"/>
      <c r="M43" s="17"/>
      <c r="N43" s="17" t="s">
        <v>519</v>
      </c>
      <c r="O43" s="17"/>
      <c r="P43" s="17"/>
      <c r="Q43" s="17"/>
      <c r="R43" s="17"/>
      <c r="S43" s="17"/>
    </row>
    <row r="44" spans="1:19" x14ac:dyDescent="0.35">
      <c r="A44" s="12">
        <v>48</v>
      </c>
      <c r="B44" s="5" t="str">
        <f>E44</f>
        <v>QF5 — mevcut ЩС/kuyu panosuna monte, ЯУО besleme hattini korur</v>
      </c>
      <c r="C44" s="12" t="s">
        <v>352</v>
      </c>
      <c r="D44" s="12" t="str">
        <f>IF($P44="","",INDEX(FIYAT_KOD,MATCH($P44,FIYAT_ART,0)))</f>
        <v>814169</v>
      </c>
      <c r="E44" s="12" t="s">
        <v>520</v>
      </c>
      <c r="F44" s="34">
        <f>IF($P44="","",INDEX(FIYAT_LISTE,MATCH($P44,FIYAT_ART,0)))</f>
        <v>5878</v>
      </c>
      <c r="G44" s="34">
        <f>IF($P44="","",INDEX(FIYAT_NET,MATCH($P44,FIYAT_ART,0)))</f>
        <v>3526.7999999999997</v>
      </c>
      <c r="H44" s="34">
        <f>IF(OR($G44="",$I44=""),"",$G44*$I44)</f>
        <v>3526.7999999999997</v>
      </c>
      <c r="I44" s="34">
        <v>1</v>
      </c>
      <c r="J44" s="12" t="s">
        <v>346</v>
      </c>
      <c r="K44" s="12" t="s">
        <v>22</v>
      </c>
      <c r="L44" s="12">
        <f>IF($H44="","",$H44)</f>
        <v>3526.7999999999997</v>
      </c>
      <c r="M44" s="13" t="s">
        <v>147</v>
      </c>
      <c r="N44" s="12" t="s">
        <v>521</v>
      </c>
      <c r="O44" s="12" t="s">
        <v>349</v>
      </c>
      <c r="P44" s="12" t="s">
        <v>195</v>
      </c>
      <c r="Q44" s="12" t="s">
        <v>57</v>
      </c>
      <c r="R44" s="12">
        <f>IF($I44="","",$I44*INDEX(NORM_DK,MATCH($Q44,NORM_AD,0)))</f>
        <v>18</v>
      </c>
      <c r="S44" s="12">
        <f>IF($I44="","",$I44*INDEX(FIYAT_MODUL,MATCH($P44,FIYAT_ART,0)))</f>
        <v>3</v>
      </c>
    </row>
    <row r="45" spans="1:19" x14ac:dyDescent="0.35">
      <c r="A45" s="15">
        <v>49</v>
      </c>
      <c r="B45" s="16" t="str">
        <f>E45</f>
        <v>Montaj sarf malzemesi (mevcut pano icine)</v>
      </c>
      <c r="C45" s="15" t="s">
        <v>448</v>
      </c>
      <c r="D45" s="15">
        <f>IF($P45="","",INDEX(FIYAT_KOD,MATCH($P45,FIYAT_ART,0)))</f>
        <v>0</v>
      </c>
      <c r="E45" s="15" t="s">
        <v>522</v>
      </c>
      <c r="F45" s="36">
        <f>IF($P45="","",INDEX(FIYAT_LISTE,MATCH($P45,FIYAT_ART,0)))</f>
        <v>0</v>
      </c>
      <c r="G45" s="36" t="str">
        <f>IF($P45="","",INDEX(FIYAT_NET,MATCH($P45,FIYAT_ART,0)))</f>
        <v/>
      </c>
      <c r="H45" s="36" t="str">
        <f>IF(OR($G45="",$I45=""),"",$G45*$I45)</f>
        <v/>
      </c>
      <c r="I45" s="36">
        <v>1</v>
      </c>
      <c r="J45" s="15" t="s">
        <v>450</v>
      </c>
      <c r="K45" s="15" t="s">
        <v>31</v>
      </c>
      <c r="L45" s="15" t="str">
        <f>IF($H45="","",$H45)</f>
        <v/>
      </c>
      <c r="M45" s="15" t="s">
        <v>162</v>
      </c>
      <c r="N45" s="15" t="s">
        <v>451</v>
      </c>
      <c r="O45" s="15" t="s">
        <v>172</v>
      </c>
      <c r="P45" s="15" t="s">
        <v>453</v>
      </c>
      <c r="Q45" s="15"/>
      <c r="R45" s="15">
        <v>0</v>
      </c>
      <c r="S45" s="15">
        <f>IF($I45="","",$I45*INDEX(FIYAT_MODUL,MATCH($P45,FIYAT_ART,0)))</f>
        <v>0</v>
      </c>
    </row>
    <row r="46" spans="1:19" x14ac:dyDescent="0.35">
      <c r="A46" s="12">
        <v>50</v>
      </c>
      <c r="B46" s="5" t="str">
        <f>E46</f>
        <v>Iscilik — mevcut panoya QF5 montaj+baglanti+test (tam pano montaji degil)</v>
      </c>
      <c r="C46" s="12" t="s">
        <v>454</v>
      </c>
      <c r="D46" s="12">
        <f>IF($P46="","",INDEX(FIYAT_KOD,MATCH($P46,FIYAT_ART,0)))</f>
        <v>0</v>
      </c>
      <c r="E46" s="12" t="s">
        <v>523</v>
      </c>
      <c r="F46" s="34">
        <f>IF($P46="","",INDEX(FIYAT_LISTE,MATCH($P46,FIYAT_ART,0)))</f>
        <v>0</v>
      </c>
      <c r="G46" s="34">
        <f>IF($P46="","",INDEX(FIYAT_NET,MATCH($P46,FIYAT_ART,0)))</f>
        <v>58.333333333333336</v>
      </c>
      <c r="H46" s="34">
        <f>IF(OR($G46="",$I46=""),"",$G46*$I46)</f>
        <v>875</v>
      </c>
      <c r="I46" s="34">
        <v>15</v>
      </c>
      <c r="J46" s="12" t="s">
        <v>456</v>
      </c>
      <c r="K46" s="12" t="s">
        <v>41</v>
      </c>
      <c r="L46" s="12">
        <f>IF($H46="","",$H46)</f>
        <v>875</v>
      </c>
      <c r="M46" s="12" t="s">
        <v>331</v>
      </c>
      <c r="N46" s="12" t="s">
        <v>524</v>
      </c>
      <c r="O46" s="12" t="s">
        <v>457</v>
      </c>
      <c r="P46" s="12" t="s">
        <v>458</v>
      </c>
      <c r="Q46" s="12"/>
      <c r="R46" s="12">
        <v>0</v>
      </c>
      <c r="S46" s="12">
        <f>IF($I46="","",$I46*INDEX(FIYAT_MODUL,MATCH($P46,FIYAT_ART,0)))</f>
        <v>0</v>
      </c>
    </row>
    <row r="47" spans="1:19" x14ac:dyDescent="0.35">
      <c r="A47" s="12">
        <v>51</v>
      </c>
      <c r="B47" s="5" t="str">
        <f>E47</f>
        <v>Montaj sarf malzemesi (dakika bazli)</v>
      </c>
      <c r="C47" s="12" t="s">
        <v>448</v>
      </c>
      <c r="D47" s="12">
        <f>IF($P47="","",INDEX(FIYAT_KOD,MATCH($P47,FIYAT_ART,0)))</f>
        <v>0</v>
      </c>
      <c r="E47" s="12" t="str">
        <f>IF($P47="","",INDEX(FIYAT_ACK,MATCH($P47,FIYAT_ART,0)))</f>
        <v>Montaj sarf malzemesi (dakika bazli)</v>
      </c>
      <c r="F47" s="34">
        <f>IF($P47="","",INDEX(FIYAT_LISTE,MATCH($P47,FIYAT_ART,0)))</f>
        <v>0</v>
      </c>
      <c r="G47" s="34">
        <f>IF($P47="","",INDEX(FIYAT_NET,MATCH($P47,FIYAT_ART,0)))</f>
        <v>50</v>
      </c>
      <c r="H47" s="34">
        <f>IF(OR($G47="",$I47=""),"",$G47*$I47)</f>
        <v>750</v>
      </c>
      <c r="I47" s="34">
        <f>I46</f>
        <v>15</v>
      </c>
      <c r="J47" s="12" t="s">
        <v>456</v>
      </c>
      <c r="K47" s="12" t="s">
        <v>41</v>
      </c>
      <c r="L47" s="12">
        <f>IF($H47="","",$H47)</f>
        <v>750</v>
      </c>
      <c r="M47" s="12" t="s">
        <v>331</v>
      </c>
      <c r="N47" s="12"/>
      <c r="O47" s="12" t="s">
        <v>457</v>
      </c>
      <c r="P47" s="12" t="s">
        <v>460</v>
      </c>
      <c r="Q47" s="12"/>
      <c r="R47" s="12">
        <v>0</v>
      </c>
      <c r="S47" s="12">
        <f>IF($I47="","",$I47*INDEX(FIYAT_MODUL,MATCH($P47,FIYAT_ART,0)))</f>
        <v>0</v>
      </c>
    </row>
    <row r="48" spans="1:19" x14ac:dyDescent="0.35">
      <c r="A48" s="19"/>
      <c r="B48" s="19" t="s">
        <v>525</v>
      </c>
      <c r="C48" s="19"/>
      <c r="D48" s="19"/>
      <c r="E48" s="19"/>
      <c r="F48" s="43"/>
      <c r="G48" s="43"/>
      <c r="H48" s="43">
        <f>SUBTOTAL(9,H44:H47)</f>
        <v>5151.7999999999993</v>
      </c>
      <c r="I48" s="43"/>
      <c r="J48" s="19"/>
      <c r="K48" s="19"/>
      <c r="L48" s="19">
        <f>SUBTOTAL(9,L44:L47)</f>
        <v>5151.7999999999993</v>
      </c>
      <c r="M48" s="19"/>
      <c r="N48" s="19"/>
      <c r="O48" s="19"/>
      <c r="P48" s="19"/>
      <c r="Q48" s="19"/>
      <c r="R48" s="19"/>
      <c r="S48" s="19"/>
    </row>
  </sheetData>
  <autoFilter ref="A1:S4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Q9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6" customWidth="1"/>
    <col min="2" max="2" width="30" customWidth="1"/>
    <col min="3" max="3" width="7" customWidth="1"/>
    <col min="4" max="4" width="13" customWidth="1"/>
    <col min="5" max="6" width="12" customWidth="1"/>
    <col min="7" max="7" width="14" customWidth="1"/>
    <col min="8" max="8" width="8" customWidth="1"/>
    <col min="9" max="9" width="9" customWidth="1"/>
    <col min="10" max="10" width="10" customWidth="1"/>
    <col min="11" max="11" width="9" customWidth="1"/>
    <col min="12" max="13" width="8" customWidth="1"/>
    <col min="14" max="14" width="13" customWidth="1"/>
    <col min="15" max="15" width="10" customWidth="1"/>
    <col min="16" max="16" width="8" customWidth="1"/>
    <col min="17" max="17" width="10" customWidth="1"/>
  </cols>
  <sheetData>
    <row r="1" spans="1:17" ht="28" x14ac:dyDescent="0.35">
      <c r="A1" s="4" t="s">
        <v>334</v>
      </c>
      <c r="B1" s="4" t="s">
        <v>142</v>
      </c>
      <c r="C1" s="4" t="s">
        <v>526</v>
      </c>
      <c r="D1" s="4" t="s">
        <v>527</v>
      </c>
      <c r="E1" s="4" t="s">
        <v>41</v>
      </c>
      <c r="F1" s="4" t="s">
        <v>341</v>
      </c>
      <c r="G1" s="4" t="s">
        <v>13</v>
      </c>
      <c r="H1" s="4" t="s">
        <v>344</v>
      </c>
      <c r="I1" s="4" t="s">
        <v>528</v>
      </c>
      <c r="J1" s="4" t="s">
        <v>529</v>
      </c>
      <c r="K1" s="4" t="s">
        <v>530</v>
      </c>
      <c r="L1" s="4" t="s">
        <v>531</v>
      </c>
      <c r="M1" s="4" t="s">
        <v>532</v>
      </c>
      <c r="N1" s="4" t="s">
        <v>533</v>
      </c>
      <c r="O1" s="4" t="s">
        <v>162</v>
      </c>
      <c r="P1" s="4" t="s">
        <v>170</v>
      </c>
      <c r="Q1" s="4" t="s">
        <v>147</v>
      </c>
    </row>
    <row r="2" spans="1:17" x14ac:dyDescent="0.35">
      <c r="A2" s="12">
        <v>1</v>
      </c>
      <c r="B2" s="12" t="s">
        <v>534</v>
      </c>
      <c r="C2" s="5">
        <v>1</v>
      </c>
      <c r="D2" s="12">
        <f>BOM!$L$20-E2</f>
        <v>317330.25442499993</v>
      </c>
      <c r="E2" s="12">
        <f>BOM!$L$18</f>
        <v>47290.833333333336</v>
      </c>
      <c r="F2" s="12">
        <f>D2+E2</f>
        <v>364621.08775833325</v>
      </c>
      <c r="G2" s="12">
        <f>F2*C2</f>
        <v>364621.08775833325</v>
      </c>
      <c r="H2" s="12">
        <f>SUM(BOM!$S$3:$S$17)</f>
        <v>24</v>
      </c>
      <c r="I2" s="12">
        <f>INT(SC1_GENISLIK_MM/MODUL_GENISLIK_MM)*INT(SC1_YUKSEKLIK_MM/SIRA_YUKSEKLIK_MM)*KORPUS_KULLANILABILIR_ORAN</f>
        <v>56</v>
      </c>
      <c r="J2" s="12">
        <f>IF(I2=0,"",H2/I2)</f>
        <v>0.42857142857142855</v>
      </c>
      <c r="K2" s="12">
        <f>IF(I2=0,"",1-J2)</f>
        <v>0.5714285714285714</v>
      </c>
      <c r="L2" s="12">
        <f>SUM(BOM!$I$8:$I$10)</f>
        <v>3.1049999999999995</v>
      </c>
      <c r="M2" s="12">
        <f>L2*INDEX(BARA_KGM,MATCH("3X25",BARA_ART,0))</f>
        <v>2.0492999999999997</v>
      </c>
      <c r="N2" s="12">
        <f>SUM(BOM!$L$8:$L$10)</f>
        <v>14954.254424999999</v>
      </c>
      <c r="O2" s="12">
        <f>COUNTIF(BOM!$M$3:$M$17,"FIYAT_YOK")</f>
        <v>0</v>
      </c>
      <c r="P2" s="12">
        <f>COUNTIF(BOM!$M$3:$M$17,"MUADIL")+COUNTIF(BOM!$M$3:$M$17,"MUADIL_ONAY")</f>
        <v>2</v>
      </c>
      <c r="Q2" s="12">
        <f>COUNTIF(BOM!$M$3:$M$17,"VARSAYIM")+COUNTIF(BOM!$M$3:$M$17,"CIHAZ_BELIRSIZ")</f>
        <v>4</v>
      </c>
    </row>
    <row r="3" spans="1:17" x14ac:dyDescent="0.35">
      <c r="A3" s="12">
        <v>2</v>
      </c>
      <c r="B3" s="12" t="s">
        <v>535</v>
      </c>
      <c r="C3" s="5">
        <v>10</v>
      </c>
      <c r="D3" s="12">
        <f>BOM!$L$41-E3</f>
        <v>54358.599999999991</v>
      </c>
      <c r="E3" s="12">
        <f>BOM!$L$39</f>
        <v>5395.8333333333339</v>
      </c>
      <c r="F3" s="12">
        <f>D3+E3</f>
        <v>59754.433333333327</v>
      </c>
      <c r="G3" s="12">
        <f>F3*C3</f>
        <v>597544.33333333326</v>
      </c>
      <c r="H3" s="12">
        <f>SUM(BOM!$S$23:$S$35)</f>
        <v>13</v>
      </c>
      <c r="I3" s="12">
        <f>INT(YAUO_GENISLIK_MM/MODUL_GENISLIK_MM)*INT(YAUO_YUKSEKLIK_MM/SIRA_YUKSEKLIK_MM)*KORPUS_KULLANILABILIR_ORAN</f>
        <v>43.4</v>
      </c>
      <c r="J3" s="12">
        <f>IF(I3=0,"",H3/I3)</f>
        <v>0.29953917050691248</v>
      </c>
      <c r="K3" s="12">
        <f>IF(I3=0,"",1-J3)</f>
        <v>0.70046082949308752</v>
      </c>
      <c r="L3" s="12"/>
      <c r="M3" s="12"/>
      <c r="N3" s="12"/>
      <c r="O3" s="12">
        <f>COUNTIF(BOM!$M$23:$M$38,"FIYAT_YOK")</f>
        <v>2</v>
      </c>
      <c r="P3" s="12">
        <f>COUNTIF(BOM!$M$23:$M$38,"MUADIL")+COUNTIF(BOM!$M$23:$M$38,"MUADIL_ONAY")</f>
        <v>1</v>
      </c>
      <c r="Q3" s="12">
        <f>COUNTIF(BOM!$M$23:$M$38,"VARSAYIM")+COUNTIF(BOM!$M$23:$M$38,"CIHAZ_BELIRSIZ")</f>
        <v>7</v>
      </c>
    </row>
    <row r="4" spans="1:17" x14ac:dyDescent="0.35">
      <c r="A4" s="12">
        <v>3</v>
      </c>
      <c r="B4" s="12" t="s">
        <v>536</v>
      </c>
      <c r="C4" s="5">
        <v>10</v>
      </c>
      <c r="D4" s="12">
        <f>BOM!$L$48-E4</f>
        <v>4276.7999999999993</v>
      </c>
      <c r="E4" s="12">
        <f>BOM!$L$46</f>
        <v>875</v>
      </c>
      <c r="F4" s="12">
        <f>D4+E4</f>
        <v>5151.7999999999993</v>
      </c>
      <c r="G4" s="12">
        <f>F4*C4</f>
        <v>51517.999999999993</v>
      </c>
      <c r="H4" s="12"/>
      <c r="I4" s="12"/>
      <c r="J4" s="12"/>
      <c r="K4" s="12"/>
      <c r="L4" s="12"/>
      <c r="M4" s="12"/>
      <c r="N4" s="12"/>
      <c r="O4" s="12">
        <f>COUNTIF(BOM!$M$44:$M$45,"FIYAT_YOK")</f>
        <v>1</v>
      </c>
      <c r="P4" s="12">
        <f>COUNTIF(BOM!$M$44:$M$45,"MUADIL")+COUNTIF(BOM!$M$44:$M$45,"MUADIL_ONAY")</f>
        <v>0</v>
      </c>
      <c r="Q4" s="12">
        <f>COUNTIF(BOM!$M$44:$M$45,"VARSAYIM")+COUNTIF(BOM!$M$44:$M$45,"CIHAZ_BELIRSIZ")</f>
        <v>1</v>
      </c>
    </row>
    <row r="6" spans="1:17" x14ac:dyDescent="0.35">
      <c r="B6" s="11" t="s">
        <v>537</v>
      </c>
      <c r="G6" s="11">
        <f>SUM(G2:G4)</f>
        <v>1013683.4210916664</v>
      </c>
      <c r="O6" s="11">
        <f>SUM(O2:O4)</f>
        <v>3</v>
      </c>
      <c r="P6" s="11">
        <f>SUM(P2:P4)</f>
        <v>3</v>
      </c>
      <c r="Q6" s="11">
        <f>SUM(Q2:Q4)</f>
        <v>12</v>
      </c>
    </row>
    <row r="8" spans="1:17" ht="16.5" x14ac:dyDescent="0.35">
      <c r="B8" s="11" t="s">
        <v>538</v>
      </c>
      <c r="C8" s="20" t="str">
        <f>IF(O6&gt;0,"TEKLİFE HAZIR DEĞİL",IF(P6+Q6&gt;0,"ŞARTLI","TEKLİFE HAZIR"))</f>
        <v>TEKLİFE HAZIR DEĞİL</v>
      </c>
    </row>
    <row r="9" spans="1:17" x14ac:dyDescent="0.35">
      <c r="B9" t="s">
        <v>539</v>
      </c>
      <c r="C9">
        <f>O6+P6+Q6</f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F24"/>
  <sheetViews>
    <sheetView showGridLines="0" zoomScale="90" zoomScaleNormal="90" workbookViewId="0"/>
  </sheetViews>
  <sheetFormatPr defaultColWidth="8.7265625" defaultRowHeight="14.5" x14ac:dyDescent="0.35"/>
  <cols>
    <col min="1" max="1" width="6" customWidth="1"/>
    <col min="2" max="2" width="46" customWidth="1"/>
    <col min="3" max="3" width="9" customWidth="1"/>
    <col min="4" max="4" width="10" customWidth="1"/>
    <col min="5" max="6" width="16" customWidth="1"/>
  </cols>
  <sheetData>
    <row r="1" spans="1:6" ht="17.5" x14ac:dyDescent="0.35">
      <c r="A1" s="1" t="s">
        <v>540</v>
      </c>
    </row>
    <row r="2" spans="1:6" x14ac:dyDescent="0.35">
      <c r="A2" s="21" t="str">
        <f>IF(COUNTIF(FIYAT!$N:$N,"FIYAT_YOK")&gt;0,"ТЕКЛИФ ЭКСИК — "&amp;COUNTIF(FIYAT!$N:$N,"FIYAT_YOK")&amp;" KALEM FİYATSIZ","")</f>
        <v>ТЕКЛИФ ЭКСИК — 3 KALEM FİYATSIZ</v>
      </c>
    </row>
    <row r="4" spans="1:6" x14ac:dyDescent="0.35">
      <c r="A4" s="11" t="s">
        <v>541</v>
      </c>
      <c r="B4" t="s">
        <v>542</v>
      </c>
    </row>
    <row r="5" spans="1:6" x14ac:dyDescent="0.35">
      <c r="A5" s="11" t="s">
        <v>543</v>
      </c>
      <c r="B5" t="s">
        <v>544</v>
      </c>
    </row>
    <row r="6" spans="1:6" x14ac:dyDescent="0.35">
      <c r="A6" s="11" t="s">
        <v>545</v>
      </c>
      <c r="B6" t="str">
        <f>TEKLIF_GECERLILIK&amp;" gün"</f>
        <v>30 gün</v>
      </c>
    </row>
    <row r="7" spans="1:6" x14ac:dyDescent="0.35">
      <c r="A7" s="11" t="s">
        <v>546</v>
      </c>
      <c r="B7" t="s">
        <v>547</v>
      </c>
    </row>
    <row r="8" spans="1:6" x14ac:dyDescent="0.35">
      <c r="A8" s="11" t="s">
        <v>548</v>
      </c>
      <c r="B8" t="s">
        <v>549</v>
      </c>
    </row>
    <row r="9" spans="1:6" x14ac:dyDescent="0.35">
      <c r="A9" s="11" t="s">
        <v>550</v>
      </c>
      <c r="B9" t="s">
        <v>3</v>
      </c>
    </row>
    <row r="11" spans="1:6" ht="28" x14ac:dyDescent="0.35">
      <c r="A11" s="4" t="s">
        <v>551</v>
      </c>
      <c r="B11" s="4" t="s">
        <v>552</v>
      </c>
      <c r="C11" s="4" t="s">
        <v>553</v>
      </c>
      <c r="D11" s="4" t="s">
        <v>470</v>
      </c>
      <c r="E11" s="4" t="s">
        <v>554</v>
      </c>
      <c r="F11" s="4" t="s">
        <v>555</v>
      </c>
    </row>
    <row r="12" spans="1:6" x14ac:dyDescent="0.35">
      <c r="A12" s="12">
        <v>1</v>
      </c>
      <c r="B12" s="12" t="s">
        <v>556</v>
      </c>
      <c r="C12" s="12">
        <f>OZET!C2</f>
        <v>1</v>
      </c>
      <c r="D12" s="12" t="s">
        <v>450</v>
      </c>
      <c r="E12" s="12">
        <f>IF(OZET!F2="","",OZET!F2*(1+KAR_ORANI))</f>
        <v>455776.35969791654</v>
      </c>
      <c r="F12" s="12">
        <f>$E12*$C12</f>
        <v>455776.35969791654</v>
      </c>
    </row>
    <row r="13" spans="1:6" x14ac:dyDescent="0.35">
      <c r="A13" s="12">
        <v>2</v>
      </c>
      <c r="B13" s="12" t="s">
        <v>557</v>
      </c>
      <c r="C13" s="12">
        <f>OZET!C3</f>
        <v>10</v>
      </c>
      <c r="D13" s="12" t="s">
        <v>450</v>
      </c>
      <c r="E13" s="12">
        <f>IF(OZET!F3="","",OZET!F3*(1+KAR_ORANI))</f>
        <v>74693.041666666657</v>
      </c>
      <c r="F13" s="12">
        <f>$E13*$C13</f>
        <v>746930.41666666651</v>
      </c>
    </row>
    <row r="14" spans="1:6" x14ac:dyDescent="0.35">
      <c r="A14" s="12">
        <v>3</v>
      </c>
      <c r="B14" s="12" t="s">
        <v>558</v>
      </c>
      <c r="C14" s="12">
        <f>OZET!C4</f>
        <v>10</v>
      </c>
      <c r="D14" s="12" t="s">
        <v>450</v>
      </c>
      <c r="E14" s="12">
        <f>IF(OZET!F4="","",OZET!F4*(1+KAR_ORANI))</f>
        <v>6439.7499999999991</v>
      </c>
      <c r="F14" s="12">
        <f>$E14*$C14</f>
        <v>64397.499999999993</v>
      </c>
    </row>
    <row r="16" spans="1:6" x14ac:dyDescent="0.35">
      <c r="B16" s="11" t="s">
        <v>559</v>
      </c>
      <c r="F16" s="11">
        <f>SUM(F12:F14)</f>
        <v>1267104.2763645831</v>
      </c>
    </row>
    <row r="17" spans="2:6" x14ac:dyDescent="0.35">
      <c r="B17" s="11" t="s">
        <v>560</v>
      </c>
      <c r="F17" s="11">
        <f>-F16*ISKONTO</f>
        <v>0</v>
      </c>
    </row>
    <row r="18" spans="2:6" x14ac:dyDescent="0.35">
      <c r="B18" s="11" t="s">
        <v>561</v>
      </c>
      <c r="F18" s="11">
        <f>F16+F17</f>
        <v>1267104.2763645831</v>
      </c>
    </row>
    <row r="19" spans="2:6" x14ac:dyDescent="0.35">
      <c r="B19" s="11" t="s">
        <v>562</v>
      </c>
      <c r="F19" s="11">
        <f>F18*NDS_ORANI</f>
        <v>152052.51316374997</v>
      </c>
    </row>
    <row r="20" spans="2:6" x14ac:dyDescent="0.35">
      <c r="B20" s="11" t="s">
        <v>563</v>
      </c>
      <c r="F20" s="11">
        <f>F18+F19</f>
        <v>1419156.7895283331</v>
      </c>
    </row>
    <row r="22" spans="2:6" x14ac:dyDescent="0.35">
      <c r="B22" s="11" t="s">
        <v>564</v>
      </c>
      <c r="F22" t="str">
        <f>URETIM_SURESI&amp;" iş günü"</f>
        <v>20 iş günü</v>
      </c>
    </row>
    <row r="23" spans="2:6" x14ac:dyDescent="0.35">
      <c r="B23" s="11" t="s">
        <v>565</v>
      </c>
      <c r="F23" t="str">
        <f>ODEME_SARTI</f>
        <v>50% avans, 50% teslimatta</v>
      </c>
    </row>
    <row r="24" spans="2:6" x14ac:dyDescent="0.35">
      <c r="B24" s="11" t="s">
        <v>566</v>
      </c>
      <c r="F24" t="str">
        <f>GARANTI</f>
        <v>12 ay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61</vt:i4>
      </vt:variant>
    </vt:vector>
  </HeadingPairs>
  <TitlesOfParts>
    <vt:vector size="66" baseType="lpstr">
      <vt:lpstr>KURALLAR</vt:lpstr>
      <vt:lpstr>FIYAT</vt:lpstr>
      <vt:lpstr>BOM</vt:lpstr>
      <vt:lpstr>OZET</vt:lpstr>
      <vt:lpstr>TEKLIF</vt:lpstr>
      <vt:lpstr>ALUM_KG_KZT</vt:lpstr>
      <vt:lpstr>ALUM_KG_USD</vt:lpstr>
      <vt:lpstr>BAKIR_KG_KZT</vt:lpstr>
      <vt:lpstr>BAKIR_KG_USD</vt:lpstr>
      <vt:lpstr>BARA_AL_A</vt:lpstr>
      <vt:lpstr>BARA_AL_KGM</vt:lpstr>
      <vt:lpstr>BARA_ART</vt:lpstr>
      <vt:lpstr>BARA_BOY_M</vt:lpstr>
      <vt:lpstr>BARA_CU_A</vt:lpstr>
      <vt:lpstr>BARA_DERATING</vt:lpstr>
      <vt:lpstr>BARA_FIRE</vt:lpstr>
      <vt:lpstr>BARA_KGM</vt:lpstr>
      <vt:lpstr>BARA_KOPRU_M</vt:lpstr>
      <vt:lpstr>BARA_N_ORANI</vt:lpstr>
      <vt:lpstr>BARA_PE_ORANI</vt:lpstr>
      <vt:lpstr>BARA_TABLO</vt:lpstr>
      <vt:lpstr>DINRAY_FIRE</vt:lpstr>
      <vt:lpstr>DURUM_LIST</vt:lpstr>
      <vt:lpstr>FIYAT_ACK</vt:lpstr>
      <vt:lpstr>FIYAT_ART</vt:lpstr>
      <vt:lpstr>FIYAT_KOD</vt:lpstr>
      <vt:lpstr>FIYAT_LISTE</vt:lpstr>
      <vt:lpstr>FIYAT_MARKA</vt:lpstr>
      <vt:lpstr>FIYAT_MODUL</vt:lpstr>
      <vt:lpstr>FIYAT_NET</vt:lpstr>
      <vt:lpstr>GARANTI</vt:lpstr>
      <vt:lpstr>ISCILIK_CARPANI</vt:lpstr>
      <vt:lpstr>ISCILIK_DK_UCRETI</vt:lpstr>
      <vt:lpstr>ISCILIK_SAAT_UCRETI</vt:lpstr>
      <vt:lpstr>ISKONTO</vt:lpstr>
      <vt:lpstr>KABLO_FIRE</vt:lpstr>
      <vt:lpstr>KABLO_M_MCCB</vt:lpstr>
      <vt:lpstr>KABLO_M_MODULER</vt:lpstr>
      <vt:lpstr>KANAL_FIRE</vt:lpstr>
      <vt:lpstr>KAR_ORANI</vt:lpstr>
      <vt:lpstr>KLEMENS_YEDEK</vt:lpstr>
      <vt:lpstr>KORPUS_KULLANILABILIR_ORAN</vt:lpstr>
      <vt:lpstr>KORPUS_YEDEK_ORANI</vt:lpstr>
      <vt:lpstr>KUR_AD</vt:lpstr>
      <vt:lpstr>KUR_DEG</vt:lpstr>
      <vt:lpstr>MARKA_AD</vt:lpstr>
      <vt:lpstr>MARKA_KAT</vt:lpstr>
      <vt:lpstr>MARKA_PARA</vt:lpstr>
      <vt:lpstr>MARKA_TIP</vt:lpstr>
      <vt:lpstr>MODUL_GENISLIK_MM</vt:lpstr>
      <vt:lpstr>MONTAJ_SARF_DK_KZT</vt:lpstr>
      <vt:lpstr>NDS_ORANI</vt:lpstr>
      <vt:lpstr>NORM_AD</vt:lpstr>
      <vt:lpstr>NORM_DK</vt:lpstr>
      <vt:lpstr>ODEME_SARTI</vt:lpstr>
      <vt:lpstr>SC1_DERINLIK_MM</vt:lpstr>
      <vt:lpstr>SC1_GENISLIK_MM</vt:lpstr>
      <vt:lpstr>SC1_YUKSEKLIK_MM</vt:lpstr>
      <vt:lpstr>SIRA_YUKSEKLIK_MM</vt:lpstr>
      <vt:lpstr>TARAK_MOD_ADET</vt:lpstr>
      <vt:lpstr>TEKLIF_GECERLILIK</vt:lpstr>
      <vt:lpstr>URETIM_SURESI</vt:lpstr>
      <vt:lpstr>USD_KZT</vt:lpstr>
      <vt:lpstr>YAUO_DERINLIK_MM</vt:lpstr>
      <vt:lpstr>YAUO_GENISLIK_MM</vt:lpstr>
      <vt:lpstr>YAUO_YUKSEKLIK_MM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2026-09-14T09:51:01Z</dcterms:created>
  <dcterms:modified xsi:type="dcterms:W3CDTF">2026-09-16T18:15:43Z</dcterms:modified>
  <dc:language>en-US</dc:language>
</cp:coreProperties>
</file>