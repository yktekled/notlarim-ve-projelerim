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1 aktau ondasun jetibay\"/>
    </mc:Choice>
  </mc:AlternateContent>
  <xr:revisionPtr revIDLastSave="0" documentId="13_ncr:1_{4A9FD027-AF0B-433B-BE2F-F1CF8963B55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Sayfa1!$A$1:$J$71</definedName>
    <definedName name="_xlnm._FilterDatabase" localSheetId="1" hidden="1">Sayfa2!$A$1:$J$10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2" l="1"/>
  <c r="K22" i="2" s="1"/>
  <c r="K23" i="2" s="1"/>
  <c r="D5" i="3"/>
  <c r="D6" i="3"/>
  <c r="D7" i="3"/>
  <c r="D8" i="3"/>
  <c r="D9" i="3"/>
  <c r="D10" i="3"/>
  <c r="D2" i="3"/>
  <c r="C10" i="3"/>
  <c r="C3" i="3"/>
  <c r="D3" i="3" s="1"/>
  <c r="C5" i="3"/>
  <c r="C6" i="3"/>
  <c r="C2" i="3"/>
  <c r="K3" i="3"/>
  <c r="K4" i="3"/>
  <c r="C4" i="3" s="1"/>
  <c r="D4" i="3" s="1"/>
  <c r="K5" i="3"/>
  <c r="K6" i="3"/>
  <c r="K7" i="3"/>
  <c r="K8" i="3"/>
  <c r="K9" i="3"/>
  <c r="K10" i="3"/>
  <c r="K2" i="3"/>
  <c r="F20" i="2"/>
  <c r="G20" i="2" s="1"/>
  <c r="F66" i="2" l="1"/>
  <c r="G66" i="2" s="1"/>
  <c r="F67" i="2"/>
  <c r="G67" i="2" s="1"/>
  <c r="F68" i="2"/>
  <c r="G68" i="2" s="1"/>
  <c r="F61" i="2"/>
  <c r="G61" i="2" s="1"/>
  <c r="F62" i="2"/>
  <c r="G62" i="2" s="1"/>
  <c r="F64" i="2"/>
  <c r="G64" i="2" s="1"/>
  <c r="F60" i="2"/>
  <c r="G60" i="2" s="1"/>
  <c r="F58" i="2"/>
  <c r="G58" i="2" s="1"/>
  <c r="H70" i="2"/>
  <c r="G70" i="2"/>
  <c r="E69" i="2"/>
  <c r="F69" i="2" s="1"/>
  <c r="G69" i="2" s="1"/>
  <c r="F65" i="2"/>
  <c r="G65" i="2" s="1"/>
  <c r="F63" i="2"/>
  <c r="G63" i="2" s="1"/>
  <c r="F59" i="2"/>
  <c r="G59" i="2" s="1"/>
  <c r="K57" i="2"/>
  <c r="K58" i="2" s="1"/>
  <c r="K59" i="2" s="1"/>
  <c r="K61" i="2" s="1"/>
  <c r="F57" i="2"/>
  <c r="G57" i="2" s="1"/>
  <c r="A56" i="2"/>
  <c r="A57" i="2" s="1"/>
  <c r="A58" i="2" s="1"/>
  <c r="A59" i="2" s="1"/>
  <c r="A61" i="2" s="1"/>
  <c r="K47" i="2"/>
  <c r="K48" i="2" s="1"/>
  <c r="K49" i="2" s="1"/>
  <c r="K50" i="2" s="1"/>
  <c r="K51" i="2" s="1"/>
  <c r="K52" i="2" s="1"/>
  <c r="K36" i="2"/>
  <c r="K37" i="2" s="1"/>
  <c r="K38" i="2" s="1"/>
  <c r="K39" i="2" s="1"/>
  <c r="K40" i="2" s="1"/>
  <c r="K41" i="2" s="1"/>
  <c r="K42" i="2" s="1"/>
  <c r="K43" i="2" s="1"/>
  <c r="K44" i="2" s="1"/>
  <c r="K45" i="2" s="1"/>
  <c r="K25" i="2"/>
  <c r="K26" i="2" s="1"/>
  <c r="K27" i="2" s="1"/>
  <c r="K28" i="2" s="1"/>
  <c r="K29" i="2" s="1"/>
  <c r="K30" i="2" s="1"/>
  <c r="K31" i="2" s="1"/>
  <c r="K32" i="2" s="1"/>
  <c r="K33" i="2" s="1"/>
  <c r="K34" i="2" s="1"/>
  <c r="K16" i="2"/>
  <c r="K17" i="2" s="1"/>
  <c r="K18" i="2" s="1"/>
  <c r="K19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H22" i="2"/>
  <c r="G22" i="2"/>
  <c r="E21" i="2" s="1"/>
  <c r="F21" i="2" s="1"/>
  <c r="G21" i="2" s="1"/>
  <c r="F19" i="2"/>
  <c r="G19" i="2" s="1"/>
  <c r="F18" i="2"/>
  <c r="G18" i="2" s="1"/>
  <c r="F17" i="2"/>
  <c r="G17" i="2" s="1"/>
  <c r="F16" i="2"/>
  <c r="G16" i="2" s="1"/>
  <c r="A15" i="2"/>
  <c r="A16" i="2" s="1"/>
  <c r="A17" i="2" s="1"/>
  <c r="A18" i="2" s="1"/>
  <c r="A19" i="2" s="1"/>
  <c r="A55" i="2"/>
  <c r="A54" i="2"/>
  <c r="F49" i="2"/>
  <c r="G49" i="2" s="1"/>
  <c r="F48" i="2"/>
  <c r="G48" i="2" s="1"/>
  <c r="H51" i="2"/>
  <c r="G51" i="2"/>
  <c r="E50" i="2" s="1"/>
  <c r="F50" i="2" s="1"/>
  <c r="G50" i="2" s="1"/>
  <c r="F47" i="2"/>
  <c r="G47" i="2" s="1"/>
  <c r="A46" i="2"/>
  <c r="A47" i="2" s="1"/>
  <c r="A48" i="2" s="1"/>
  <c r="A49" i="2" s="1"/>
  <c r="A50" i="2" s="1"/>
  <c r="A51" i="2" s="1"/>
  <c r="A52" i="2" s="1"/>
  <c r="F38" i="2"/>
  <c r="G38" i="2" s="1"/>
  <c r="F37" i="2"/>
  <c r="G37" i="2" s="1"/>
  <c r="F41" i="2"/>
  <c r="G41" i="2" s="1"/>
  <c r="H44" i="2"/>
  <c r="G44" i="2"/>
  <c r="E43" i="2" s="1"/>
  <c r="F43" i="2" s="1"/>
  <c r="G43" i="2" s="1"/>
  <c r="F42" i="2"/>
  <c r="G42" i="2" s="1"/>
  <c r="F40" i="2"/>
  <c r="G40" i="2" s="1"/>
  <c r="F39" i="2"/>
  <c r="G39" i="2" s="1"/>
  <c r="F36" i="2"/>
  <c r="G36" i="2" s="1"/>
  <c r="A35" i="2"/>
  <c r="A36" i="2" s="1"/>
  <c r="A37" i="2" s="1"/>
  <c r="A38" i="2" s="1"/>
  <c r="A39" i="2" s="1"/>
  <c r="A40" i="2" s="1"/>
  <c r="A41" i="2" s="1"/>
  <c r="A42" i="2" s="1"/>
  <c r="F29" i="2"/>
  <c r="G29" i="2" s="1"/>
  <c r="H33" i="2"/>
  <c r="G33" i="2"/>
  <c r="E32" i="2" s="1"/>
  <c r="F32" i="2" s="1"/>
  <c r="G32" i="2" s="1"/>
  <c r="F31" i="2"/>
  <c r="G31" i="2" s="1"/>
  <c r="F30" i="2"/>
  <c r="G30" i="2" s="1"/>
  <c r="F28" i="2"/>
  <c r="G28" i="2" s="1"/>
  <c r="F27" i="2"/>
  <c r="G27" i="2" s="1"/>
  <c r="F26" i="2"/>
  <c r="G26" i="2" s="1"/>
  <c r="F25" i="2"/>
  <c r="G25" i="2" s="1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F11" i="2"/>
  <c r="G11" i="2" s="1"/>
  <c r="F10" i="2"/>
  <c r="G10" i="2" s="1"/>
  <c r="F9" i="2"/>
  <c r="G9" i="2" s="1"/>
  <c r="F8" i="2"/>
  <c r="G8" i="2" s="1"/>
  <c r="F7" i="2"/>
  <c r="G7" i="2" s="1"/>
  <c r="G13" i="2"/>
  <c r="H13" i="2"/>
  <c r="F3" i="2"/>
  <c r="A53" i="2"/>
  <c r="F4" i="2"/>
  <c r="G4" i="2" s="1"/>
  <c r="F5" i="2"/>
  <c r="G5" i="2" s="1"/>
  <c r="F6" i="2"/>
  <c r="G6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K20" i="2" l="1"/>
  <c r="A21" i="2"/>
  <c r="A22" i="2" s="1"/>
  <c r="A23" i="2" s="1"/>
  <c r="A20" i="2"/>
  <c r="K60" i="2"/>
  <c r="A60" i="2"/>
  <c r="G71" i="2"/>
  <c r="G23" i="2"/>
  <c r="A43" i="2"/>
  <c r="A44" i="2" s="1"/>
  <c r="A45" i="2" s="1"/>
  <c r="G52" i="2"/>
  <c r="G45" i="2"/>
  <c r="G34" i="2"/>
  <c r="E12" i="2"/>
  <c r="F12" i="2" s="1"/>
  <c r="G3" i="2"/>
  <c r="K62" i="2" l="1"/>
  <c r="K63" i="2"/>
  <c r="A63" i="2"/>
  <c r="A62" i="2"/>
  <c r="K66" i="2" l="1"/>
  <c r="K64" i="2"/>
  <c r="K67" i="2" s="1"/>
  <c r="K65" i="2"/>
  <c r="K68" i="2" s="1"/>
  <c r="K69" i="2" s="1"/>
  <c r="K70" i="2" s="1"/>
  <c r="K71" i="2" s="1"/>
  <c r="A64" i="2"/>
  <c r="A67" i="2" s="1"/>
  <c r="A65" i="2"/>
  <c r="A68" i="2" s="1"/>
  <c r="A69" i="2" s="1"/>
  <c r="A70" i="2" s="1"/>
  <c r="A71" i="2" s="1"/>
  <c r="A66" i="2"/>
  <c r="G12" i="2" l="1"/>
  <c r="G14" i="2" l="1"/>
</calcChain>
</file>

<file path=xl/sharedStrings.xml><?xml version="1.0" encoding="utf-8"?>
<sst xmlns="http://schemas.openxmlformats.org/spreadsheetml/2006/main" count="368" uniqueCount="107">
  <si>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</si>
  <si>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</si>
  <si>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</si>
  <si>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</si>
  <si>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</si>
  <si>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</si>
  <si>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</si>
  <si>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</si>
  <si>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</si>
  <si>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</si>
  <si>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</si>
  <si>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</si>
  <si>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</si>
  <si>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</si>
  <si>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</si>
  <si>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</si>
  <si>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</si>
  <si>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</si>
  <si>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</si>
  <si>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</si>
  <si>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</si>
  <si>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</si>
  <si>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</si>
  <si>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</si>
  <si>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296833</t>
  </si>
  <si>
    <t>Авт. выкл. NXB-63S 3P 63А 4.5kA х-ка C (R)</t>
  </si>
  <si>
    <t>pys</t>
  </si>
  <si>
    <t>mccb</t>
  </si>
  <si>
    <t>ats</t>
  </si>
  <si>
    <t>296826</t>
  </si>
  <si>
    <t>Авт. выкл. NXB-63S 3P 10А 4.5kA х-ка C (R)</t>
  </si>
  <si>
    <t>296712</t>
  </si>
  <si>
    <t>Авт. выкл. NXB-63S 1P 25А 4.5kA х-ка C (R)</t>
  </si>
  <si>
    <t>814989</t>
  </si>
  <si>
    <t>Независимый расцепитель SHT-X1 AC230V/400V для NXB-63 (R)</t>
  </si>
  <si>
    <t>rn</t>
  </si>
  <si>
    <t>contactor</t>
  </si>
  <si>
    <t>296827</t>
  </si>
  <si>
    <t>Авт. выкл. NXB-63S 3P 16А 4.5kA х-ка C (R)</t>
  </si>
  <si>
    <t>296710</t>
  </si>
  <si>
    <t>Авт. выкл. NXB-63S 1P 16А 4.5kA х-ка C (R)</t>
  </si>
  <si>
    <t>uzo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</si>
  <si>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</si>
  <si>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</si>
  <si>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</si>
  <si>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</si>
  <si>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</si>
  <si>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ШС-1 (ПР11-3116-21УЗ)</t>
  </si>
  <si>
    <t>131369</t>
  </si>
  <si>
    <t>Авт. выкл. NXM-250S/3Р 250A 36кА (R)</t>
  </si>
  <si>
    <t>816139</t>
  </si>
  <si>
    <t>Авт. выкл. NXB-125 3P 80A 10кА х-ка C (R)</t>
  </si>
  <si>
    <t>296831</t>
  </si>
  <si>
    <t>Авт. выкл. NXB-63S 3P 40А 4.5kA х-ка C (R)</t>
  </si>
  <si>
    <t>296825</t>
  </si>
  <si>
    <t>Авт. выкл. NXB-63S 3P 6А 4.5kA х-ка C (R)</t>
  </si>
  <si>
    <t>280721</t>
  </si>
  <si>
    <t>УЗО NXL-63 6kA 1P+N 25A 30mA AC (R)</t>
  </si>
  <si>
    <t>280720</t>
  </si>
  <si>
    <t>УЗО NXL-63 6kA 1P+N 16A 30mA AC (R)</t>
  </si>
  <si>
    <t>ШР-1</t>
  </si>
  <si>
    <t>ЩРВ</t>
  </si>
  <si>
    <t>ЩO</t>
  </si>
  <si>
    <t>button</t>
  </si>
  <si>
    <t>ПМЛ-1220</t>
  </si>
  <si>
    <t>Я1(ЯРП-111М-311-100А)</t>
  </si>
  <si>
    <t>ЯР2(ЯРВ-100)</t>
  </si>
  <si>
    <t>АВР-3-400-2-У</t>
  </si>
  <si>
    <t>256811</t>
  </si>
  <si>
    <t>Устройство автоматического ввода резерва NXZM-400S/3B 400A (R)</t>
  </si>
  <si>
    <t>Source</t>
  </si>
  <si>
    <t>Эобд и Эосв</t>
  </si>
  <si>
    <t>ЭС</t>
  </si>
  <si>
    <t>256089</t>
  </si>
  <si>
    <t>Контактор модульный NCH8-25/40 25A 4НО AC220/230В 50Гц (R)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</si>
  <si>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</si>
  <si>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</si>
  <si>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</si>
  <si>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</si>
  <si>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574855</t>
  </si>
  <si>
    <t>Переключатель NP2-BG33, 3 положения с фиксацией, 2НО IP40</t>
  </si>
  <si>
    <t>perekluchatel</t>
  </si>
  <si>
    <t>fotorele</t>
  </si>
  <si>
    <t>fr-din-1-25</t>
  </si>
  <si>
    <t>ШНО (ЯУО9601-3474УХЛ4)</t>
  </si>
  <si>
    <t>310024</t>
  </si>
  <si>
    <t>Таймер электронный NKG3 AC230В (R)</t>
  </si>
  <si>
    <t>timer</t>
  </si>
  <si>
    <t>837119</t>
  </si>
  <si>
    <t>Тепловое реле NXR-25 17-25A (R)</t>
  </si>
  <si>
    <t>rele</t>
  </si>
  <si>
    <t>719-15562</t>
  </si>
  <si>
    <t>Мет. Корпус ЩМП- 6 (1200х750х300) IP54</t>
  </si>
  <si>
    <t>714-15010</t>
  </si>
  <si>
    <t>Pano met.ShRn-24 b/o (398х312х120)S/U 36 IP31 (TS)</t>
  </si>
  <si>
    <t>719-15430</t>
  </si>
  <si>
    <t>Мет.Корпус ЩМП-2 (500x400x220)  IP31</t>
  </si>
  <si>
    <t>714-15005</t>
  </si>
  <si>
    <t>Pano met.ShRn-12 b/o (313х268х120)S/U 36 IP31 (TS)</t>
  </si>
  <si>
    <t>719-154</t>
  </si>
  <si>
    <t>Мет.Корпус ЩМП-400ats (1200x800x400) IP31</t>
  </si>
  <si>
    <t>malz</t>
  </si>
  <si>
    <t>tms</t>
  </si>
  <si>
    <t>131364</t>
  </si>
  <si>
    <t>Авт. выкл. NXM-160S/3Р 160A 36кА (R)</t>
  </si>
  <si>
    <t>714-15115</t>
  </si>
  <si>
    <t>Щит мет. ЩРн-6-2 PR (1200x750x300) IP31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</si>
</sst>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71"/>
  <sheetViews>
    <sheetView tabSelected="1" zoomScale="115" zoomScaleNormal="115" workbookViewId="0">
      <pane ySplit="1" topLeftCell="A2" activePane="bottomLeft" state="frozen"/>
      <selection pane="bottomLeft" activeCell="L34" sqref="L34"/>
    </sheetView>
  </sheetViews>
  <sheetFormatPr defaultRowHeight="22.5" customHeight="1" x14ac:dyDescent="0.25"/>
  <cols>
    <col min="1" max="1" width="23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  <col min="11" max="11" width="14.42578125" customWidth="1"/>
    <col min="12" max="12" width="15.7109375" bestFit="1" customWidth="1"/>
  </cols>
  <sheetData>
    <row r="1" spans="1:12" ht="4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4" t="s">
        <v>70</v>
      </c>
      <c r="L1" s="3" t="s">
        <v>101</v>
      </c>
    </row>
    <row r="2" spans="1:12" ht="22.5" customHeight="1" x14ac:dyDescent="0.25">
      <c r="A2" s="5" t="str">
        <f>D2</f>
        <v>ШС-1 (ПР11-3116-21УЗ)</v>
      </c>
      <c r="B2" s="6"/>
      <c r="C2" s="7"/>
      <c r="D2" s="6" t="s">
        <v>47</v>
      </c>
      <c r="E2" s="8"/>
      <c r="F2" s="8"/>
      <c r="G2" s="9"/>
      <c r="H2" s="10">
        <v>1</v>
      </c>
      <c r="I2" s="11" t="s">
        <v>7</v>
      </c>
      <c r="J2" s="6" t="s">
        <v>9</v>
      </c>
      <c r="K2" s="6" t="s">
        <v>71</v>
      </c>
      <c r="L2" s="9"/>
    </row>
    <row r="3" spans="1:12" ht="22.5" customHeight="1" x14ac:dyDescent="0.25">
      <c r="A3" s="12" t="str">
        <f>A2</f>
        <v>ШС-1 (ПР11-3116-21УЗ)</v>
      </c>
      <c r="B3" s="13" t="s">
        <v>8</v>
      </c>
      <c r="C3" s="14" t="s">
        <v>91</v>
      </c>
      <c r="D3" s="12" t="s">
        <v>92</v>
      </c>
      <c r="E3" s="13">
        <v>65570</v>
      </c>
      <c r="F3" s="15">
        <f>E3*0.6</f>
        <v>39342</v>
      </c>
      <c r="G3" s="15">
        <f>H3*F3</f>
        <v>39342</v>
      </c>
      <c r="H3" s="16">
        <v>1</v>
      </c>
      <c r="I3" s="17" t="s">
        <v>13</v>
      </c>
      <c r="J3" s="13" t="s">
        <v>16</v>
      </c>
      <c r="K3" s="12" t="str">
        <f>K2</f>
        <v>Эобд и Эосв</v>
      </c>
      <c r="L3" s="15">
        <v>39342</v>
      </c>
    </row>
    <row r="4" spans="1:12" ht="22.5" customHeight="1" x14ac:dyDescent="0.25">
      <c r="A4" s="12" t="str">
        <f t="shared" ref="A4:A14" si="0">A3</f>
        <v>ШС-1 (ПР11-3116-21УЗ)</v>
      </c>
      <c r="B4" s="13" t="s">
        <v>27</v>
      </c>
      <c r="C4" s="14" t="s">
        <v>48</v>
      </c>
      <c r="D4" s="12" t="s">
        <v>49</v>
      </c>
      <c r="E4" s="13">
        <v>36869</v>
      </c>
      <c r="F4" s="15">
        <f t="shared" ref="F4" si="1">E4*0.6</f>
        <v>22121.399999999998</v>
      </c>
      <c r="G4" s="15">
        <f t="shared" ref="G4" si="2">F4*H4</f>
        <v>22121.399999999998</v>
      </c>
      <c r="H4" s="16">
        <v>1</v>
      </c>
      <c r="I4" s="17" t="s">
        <v>13</v>
      </c>
      <c r="J4" s="13" t="s">
        <v>17</v>
      </c>
      <c r="K4" s="12" t="str">
        <f t="shared" ref="K4:K14" si="3">K3</f>
        <v>Эобд и Эосв</v>
      </c>
      <c r="L4" s="15">
        <v>22121.399999999998</v>
      </c>
    </row>
    <row r="5" spans="1:12" ht="22.5" customHeight="1" x14ac:dyDescent="0.25">
      <c r="A5" s="12" t="str">
        <f t="shared" si="0"/>
        <v>ШС-1 (ПР11-3116-21УЗ)</v>
      </c>
      <c r="B5" s="13" t="s">
        <v>12</v>
      </c>
      <c r="C5" s="14" t="s">
        <v>50</v>
      </c>
      <c r="D5" s="12" t="s">
        <v>51</v>
      </c>
      <c r="E5" s="13">
        <v>10949</v>
      </c>
      <c r="F5" s="15">
        <f t="shared" ref="F5" si="4">E5*0.6</f>
        <v>6569.4</v>
      </c>
      <c r="G5" s="15">
        <f t="shared" ref="G5" si="5">F5*H5</f>
        <v>13138.8</v>
      </c>
      <c r="H5" s="16">
        <v>2</v>
      </c>
      <c r="I5" s="17" t="s">
        <v>13</v>
      </c>
      <c r="J5" s="13" t="s">
        <v>17</v>
      </c>
      <c r="K5" s="12" t="str">
        <f t="shared" si="3"/>
        <v>Эобд и Эосв</v>
      </c>
      <c r="L5" s="15">
        <v>13138.8</v>
      </c>
    </row>
    <row r="6" spans="1:12" ht="22.5" customHeight="1" x14ac:dyDescent="0.25">
      <c r="A6" s="12" t="str">
        <f t="shared" si="0"/>
        <v>ШС-1 (ПР11-3116-21УЗ)</v>
      </c>
      <c r="B6" s="13" t="s">
        <v>12</v>
      </c>
      <c r="C6" s="14" t="s">
        <v>24</v>
      </c>
      <c r="D6" s="12" t="s">
        <v>25</v>
      </c>
      <c r="E6" s="13">
        <v>3641</v>
      </c>
      <c r="F6" s="15">
        <f>E6*0.6</f>
        <v>2184.6</v>
      </c>
      <c r="G6" s="15">
        <f>F6*H6</f>
        <v>2184.6</v>
      </c>
      <c r="H6" s="16">
        <v>1</v>
      </c>
      <c r="I6" s="17" t="s">
        <v>13</v>
      </c>
      <c r="J6" s="13" t="s">
        <v>17</v>
      </c>
      <c r="K6" s="12" t="str">
        <f t="shared" si="3"/>
        <v>Эобд и Эосв</v>
      </c>
      <c r="L6" s="15">
        <v>2184.6</v>
      </c>
    </row>
    <row r="7" spans="1:12" ht="22.5" customHeight="1" x14ac:dyDescent="0.25">
      <c r="A7" s="12" t="str">
        <f t="shared" si="0"/>
        <v>ШС-1 (ПР11-3116-21УЗ)</v>
      </c>
      <c r="B7" s="13" t="s">
        <v>12</v>
      </c>
      <c r="C7" s="14" t="s">
        <v>52</v>
      </c>
      <c r="D7" s="12" t="s">
        <v>53</v>
      </c>
      <c r="E7" s="13">
        <v>2807</v>
      </c>
      <c r="F7" s="15">
        <f t="shared" ref="F7" si="6">E7*0.6</f>
        <v>1684.2</v>
      </c>
      <c r="G7" s="15">
        <f t="shared" ref="G7" si="7">F7*H7</f>
        <v>5052.6000000000004</v>
      </c>
      <c r="H7" s="16">
        <v>3</v>
      </c>
      <c r="I7" s="17" t="s">
        <v>13</v>
      </c>
      <c r="J7" s="13" t="s">
        <v>17</v>
      </c>
      <c r="K7" s="12" t="str">
        <f t="shared" si="3"/>
        <v>Эобд и Эосв</v>
      </c>
      <c r="L7" s="15">
        <v>5052.6000000000004</v>
      </c>
    </row>
    <row r="8" spans="1:12" ht="22.5" customHeight="1" x14ac:dyDescent="0.25">
      <c r="A8" s="12" t="str">
        <f t="shared" si="0"/>
        <v>ШС-1 (ПР11-3116-21УЗ)</v>
      </c>
      <c r="B8" s="13" t="s">
        <v>12</v>
      </c>
      <c r="C8" s="14" t="s">
        <v>22</v>
      </c>
      <c r="D8" s="12" t="s">
        <v>23</v>
      </c>
      <c r="E8" s="13">
        <v>2429</v>
      </c>
      <c r="F8" s="15">
        <f>E8*0.6</f>
        <v>1457.3999999999999</v>
      </c>
      <c r="G8" s="15">
        <f>F8*H8</f>
        <v>1457.3999999999999</v>
      </c>
      <c r="H8" s="16">
        <v>1</v>
      </c>
      <c r="I8" s="17" t="s">
        <v>13</v>
      </c>
      <c r="J8" s="13" t="s">
        <v>17</v>
      </c>
      <c r="K8" s="12" t="str">
        <f t="shared" si="3"/>
        <v>Эобд и Эосв</v>
      </c>
      <c r="L8" s="15">
        <v>1457.3999999999999</v>
      </c>
    </row>
    <row r="9" spans="1:12" ht="22.5" customHeight="1" x14ac:dyDescent="0.25">
      <c r="A9" s="12" t="str">
        <f t="shared" si="0"/>
        <v>ШС-1 (ПР11-3116-21УЗ)</v>
      </c>
      <c r="B9" s="13" t="s">
        <v>12</v>
      </c>
      <c r="C9" s="14" t="s">
        <v>37</v>
      </c>
      <c r="D9" s="12" t="s">
        <v>38</v>
      </c>
      <c r="E9" s="13">
        <v>2337</v>
      </c>
      <c r="F9" s="15">
        <f t="shared" ref="F9" si="8">E9*0.6</f>
        <v>1402.2</v>
      </c>
      <c r="G9" s="15">
        <f t="shared" ref="G9" si="9">F9*H9</f>
        <v>2804.4</v>
      </c>
      <c r="H9" s="16">
        <v>2</v>
      </c>
      <c r="I9" s="17" t="s">
        <v>13</v>
      </c>
      <c r="J9" s="13" t="s">
        <v>17</v>
      </c>
      <c r="K9" s="12" t="str">
        <f t="shared" si="3"/>
        <v>Эобд и Эосв</v>
      </c>
      <c r="L9" s="15">
        <v>2804.4</v>
      </c>
    </row>
    <row r="10" spans="1:12" ht="22.5" customHeight="1" x14ac:dyDescent="0.25">
      <c r="A10" s="12" t="str">
        <f t="shared" si="0"/>
        <v>ШС-1 (ПР11-3116-21УЗ)</v>
      </c>
      <c r="B10" s="13" t="s">
        <v>12</v>
      </c>
      <c r="C10" s="14" t="s">
        <v>54</v>
      </c>
      <c r="D10" s="12" t="s">
        <v>55</v>
      </c>
      <c r="E10" s="13">
        <v>2873</v>
      </c>
      <c r="F10" s="15">
        <f>E10*0.6</f>
        <v>1723.8</v>
      </c>
      <c r="G10" s="15">
        <f>F10*H10</f>
        <v>3447.6</v>
      </c>
      <c r="H10" s="16">
        <v>2</v>
      </c>
      <c r="I10" s="17" t="s">
        <v>13</v>
      </c>
      <c r="J10" s="13" t="s">
        <v>17</v>
      </c>
      <c r="K10" s="12" t="str">
        <f t="shared" si="3"/>
        <v>Эобд и Эосв</v>
      </c>
      <c r="L10" s="15">
        <v>3447.6</v>
      </c>
    </row>
    <row r="11" spans="1:12" ht="22.5" customHeight="1" x14ac:dyDescent="0.25">
      <c r="A11" s="12" t="str">
        <f t="shared" si="0"/>
        <v>ШС-1 (ПР11-3116-21УЗ)</v>
      </c>
      <c r="B11" s="13" t="s">
        <v>12</v>
      </c>
      <c r="C11" s="14" t="s">
        <v>18</v>
      </c>
      <c r="D11" s="12" t="s">
        <v>19</v>
      </c>
      <c r="E11" s="13">
        <v>783</v>
      </c>
      <c r="F11" s="15">
        <f>E11*0.6</f>
        <v>469.79999999999995</v>
      </c>
      <c r="G11" s="15">
        <f>F11*H11</f>
        <v>939.59999999999991</v>
      </c>
      <c r="H11" s="16">
        <v>2</v>
      </c>
      <c r="I11" s="17" t="s">
        <v>13</v>
      </c>
      <c r="J11" s="13" t="s">
        <v>17</v>
      </c>
      <c r="K11" s="12" t="str">
        <f t="shared" si="3"/>
        <v>Эобд и Эосв</v>
      </c>
      <c r="L11" s="15">
        <v>939.59999999999991</v>
      </c>
    </row>
    <row r="12" spans="1:12" ht="22.5" customHeight="1" x14ac:dyDescent="0.25">
      <c r="A12" s="12" t="str">
        <f t="shared" si="0"/>
        <v>ШС-1 (ПР11-3116-21УЗ)</v>
      </c>
      <c r="B12" s="12" t="s">
        <v>10</v>
      </c>
      <c r="C12" s="18" t="s">
        <v>10</v>
      </c>
      <c r="D12" s="12" t="s">
        <v>10</v>
      </c>
      <c r="E12" s="12">
        <f ca="1">OFFSET(E12,1,2)</f>
        <v>36000</v>
      </c>
      <c r="F12" s="15">
        <f ca="1">E12</f>
        <v>36000</v>
      </c>
      <c r="G12" s="15">
        <f t="shared" ref="G12" ca="1" si="10">F12*H12</f>
        <v>36000</v>
      </c>
      <c r="H12" s="12">
        <v>1</v>
      </c>
      <c r="I12" s="12" t="s">
        <v>13</v>
      </c>
      <c r="J12" s="12" t="s">
        <v>10</v>
      </c>
      <c r="K12" s="12" t="str">
        <f t="shared" si="3"/>
        <v>Эобд и Эосв</v>
      </c>
      <c r="L12" s="15">
        <v>36000</v>
      </c>
    </row>
    <row r="13" spans="1:12" ht="22.5" customHeight="1" x14ac:dyDescent="0.25">
      <c r="A13" s="12" t="str">
        <f t="shared" si="0"/>
        <v>ШС-1 (ПР11-3116-21УЗ)</v>
      </c>
      <c r="B13" s="12" t="s">
        <v>11</v>
      </c>
      <c r="C13" s="18" t="s">
        <v>11</v>
      </c>
      <c r="D13" s="12" t="s">
        <v>11</v>
      </c>
      <c r="E13" s="12">
        <v>6</v>
      </c>
      <c r="F13" s="15">
        <v>100</v>
      </c>
      <c r="G13" s="15">
        <f>60*E13*F13</f>
        <v>36000</v>
      </c>
      <c r="H13" s="12">
        <f>60*E13</f>
        <v>360</v>
      </c>
      <c r="I13" s="12" t="s">
        <v>13</v>
      </c>
      <c r="J13" s="12" t="s">
        <v>11</v>
      </c>
      <c r="K13" s="12" t="str">
        <f t="shared" si="3"/>
        <v>Эобд и Эосв</v>
      </c>
      <c r="L13" s="15">
        <v>36000</v>
      </c>
    </row>
    <row r="14" spans="1:12" ht="22.5" customHeight="1" x14ac:dyDescent="0.25">
      <c r="A14" s="12" t="str">
        <f t="shared" si="0"/>
        <v>ШС-1 (ПР11-3116-21УЗ)</v>
      </c>
      <c r="B14" s="19"/>
      <c r="C14" s="20"/>
      <c r="D14" s="21"/>
      <c r="E14" s="23"/>
      <c r="F14" s="25"/>
      <c r="G14" s="24">
        <f ca="1">SUM(G3:G13)</f>
        <v>162488.40000000002</v>
      </c>
      <c r="H14" s="20"/>
      <c r="I14" s="22"/>
      <c r="J14" s="20"/>
      <c r="K14" s="12" t="str">
        <f t="shared" si="3"/>
        <v>Эобд и Эосв</v>
      </c>
      <c r="L14" s="24">
        <v>162488.40000000002</v>
      </c>
    </row>
    <row r="15" spans="1:12" ht="22.5" customHeight="1" x14ac:dyDescent="0.25">
      <c r="A15" s="5" t="str">
        <f>D15</f>
        <v>АВР-3-400-2-У</v>
      </c>
      <c r="B15" s="6"/>
      <c r="C15" s="7"/>
      <c r="D15" s="6" t="s">
        <v>67</v>
      </c>
      <c r="E15" s="8"/>
      <c r="F15" s="8"/>
      <c r="G15" s="9"/>
      <c r="H15" s="10">
        <v>1</v>
      </c>
      <c r="I15" s="11" t="s">
        <v>7</v>
      </c>
      <c r="J15" s="6" t="s">
        <v>9</v>
      </c>
      <c r="K15" s="6" t="s">
        <v>71</v>
      </c>
      <c r="L15" s="9"/>
    </row>
    <row r="16" spans="1:12" ht="22.5" customHeight="1" x14ac:dyDescent="0.25">
      <c r="A16" s="12" t="str">
        <f>A15</f>
        <v>АВР-3-400-2-У</v>
      </c>
      <c r="B16" s="13" t="s">
        <v>8</v>
      </c>
      <c r="C16" s="14" t="s">
        <v>99</v>
      </c>
      <c r="D16" s="12" t="s">
        <v>100</v>
      </c>
      <c r="E16" s="13">
        <v>130000</v>
      </c>
      <c r="F16" s="15">
        <f t="shared" ref="F16:F20" si="11">E16*0.6</f>
        <v>78000</v>
      </c>
      <c r="G16" s="15">
        <f>H16*F16</f>
        <v>78000</v>
      </c>
      <c r="H16" s="16">
        <v>1</v>
      </c>
      <c r="I16" s="17" t="s">
        <v>13</v>
      </c>
      <c r="J16" s="13" t="s">
        <v>16</v>
      </c>
      <c r="K16" s="12" t="str">
        <f>K15</f>
        <v>Эобд и Эосв</v>
      </c>
      <c r="L16" s="15">
        <v>78000</v>
      </c>
    </row>
    <row r="17" spans="1:12" ht="22.5" customHeight="1" x14ac:dyDescent="0.25">
      <c r="A17" s="12" t="str">
        <f t="shared" ref="A17:A23" si="12">A16</f>
        <v>АВР-3-400-2-У</v>
      </c>
      <c r="B17" s="13" t="s">
        <v>28</v>
      </c>
      <c r="C17" s="26" t="s">
        <v>68</v>
      </c>
      <c r="D17" s="12" t="s">
        <v>69</v>
      </c>
      <c r="E17" s="27">
        <v>579699</v>
      </c>
      <c r="F17" s="15">
        <f t="shared" si="11"/>
        <v>347819.39999999997</v>
      </c>
      <c r="G17" s="15">
        <f>F17*H17</f>
        <v>347819.39999999997</v>
      </c>
      <c r="H17" s="16">
        <v>1</v>
      </c>
      <c r="I17" s="17" t="s">
        <v>13</v>
      </c>
      <c r="J17" s="13" t="s">
        <v>17</v>
      </c>
      <c r="K17" s="12" t="str">
        <f t="shared" ref="K17:K23" si="13">K16</f>
        <v>Эобд и Эосв</v>
      </c>
      <c r="L17" s="15">
        <v>347819.39999999997</v>
      </c>
    </row>
    <row r="18" spans="1:12" ht="22.5" customHeight="1" x14ac:dyDescent="0.25">
      <c r="A18" s="12" t="str">
        <f t="shared" si="12"/>
        <v>АВР-3-400-2-У</v>
      </c>
      <c r="B18" s="13" t="s">
        <v>46</v>
      </c>
      <c r="C18" s="26" t="s">
        <v>42</v>
      </c>
      <c r="D18" s="12" t="s">
        <v>43</v>
      </c>
      <c r="E18" s="27">
        <v>589</v>
      </c>
      <c r="F18" s="15">
        <f t="shared" si="11"/>
        <v>353.4</v>
      </c>
      <c r="G18" s="15">
        <f>F18*H18</f>
        <v>706.8</v>
      </c>
      <c r="H18" s="16">
        <v>2</v>
      </c>
      <c r="I18" s="17" t="s">
        <v>13</v>
      </c>
      <c r="J18" s="13" t="s">
        <v>17</v>
      </c>
      <c r="K18" s="12" t="str">
        <f t="shared" si="13"/>
        <v>Эобд и Эосв</v>
      </c>
      <c r="L18" s="15">
        <v>706.8</v>
      </c>
    </row>
    <row r="19" spans="1:12" ht="22.5" customHeight="1" x14ac:dyDescent="0.25">
      <c r="A19" s="12" t="str">
        <f t="shared" si="12"/>
        <v>АВР-3-400-2-У</v>
      </c>
      <c r="B19" s="13" t="s">
        <v>46</v>
      </c>
      <c r="C19" s="26" t="s">
        <v>44</v>
      </c>
      <c r="D19" s="12" t="s">
        <v>45</v>
      </c>
      <c r="E19" s="27">
        <v>571</v>
      </c>
      <c r="F19" s="15">
        <f t="shared" si="11"/>
        <v>342.59999999999997</v>
      </c>
      <c r="G19" s="15">
        <f>F19*H19</f>
        <v>685.19999999999993</v>
      </c>
      <c r="H19" s="16">
        <v>2</v>
      </c>
      <c r="I19" s="17" t="s">
        <v>13</v>
      </c>
      <c r="J19" s="13" t="s">
        <v>17</v>
      </c>
      <c r="K19" s="12" t="str">
        <f t="shared" si="13"/>
        <v>Эобд и Эосв</v>
      </c>
      <c r="L19" s="15">
        <v>685.19999999999993</v>
      </c>
    </row>
    <row r="20" spans="1:12" ht="22.5" customHeight="1" x14ac:dyDescent="0.25">
      <c r="A20" s="12" t="str">
        <f t="shared" si="12"/>
        <v>АВР-3-400-2-У</v>
      </c>
      <c r="B20" s="13" t="s">
        <v>12</v>
      </c>
      <c r="C20" s="14" t="s">
        <v>20</v>
      </c>
      <c r="D20" s="12" t="s">
        <v>21</v>
      </c>
      <c r="E20" s="13">
        <v>975</v>
      </c>
      <c r="F20" s="15">
        <f t="shared" si="11"/>
        <v>585</v>
      </c>
      <c r="G20" s="15">
        <f t="shared" ref="G20" si="14">F20*H20</f>
        <v>585</v>
      </c>
      <c r="H20" s="16">
        <v>1</v>
      </c>
      <c r="I20" s="17" t="s">
        <v>13</v>
      </c>
      <c r="J20" s="13" t="s">
        <v>17</v>
      </c>
      <c r="K20" s="12" t="str">
        <f t="shared" si="13"/>
        <v>Эобд и Эосв</v>
      </c>
      <c r="L20" s="15">
        <v>585</v>
      </c>
    </row>
    <row r="21" spans="1:12" ht="22.5" customHeight="1" x14ac:dyDescent="0.25">
      <c r="A21" s="12" t="str">
        <f>A19</f>
        <v>АВР-3-400-2-У</v>
      </c>
      <c r="B21" s="12" t="s">
        <v>10</v>
      </c>
      <c r="C21" s="18" t="s">
        <v>10</v>
      </c>
      <c r="D21" s="12" t="s">
        <v>10</v>
      </c>
      <c r="E21" s="12">
        <f ca="1">OFFSET(E21,1,2)</f>
        <v>42000</v>
      </c>
      <c r="F21" s="15">
        <f ca="1">E21</f>
        <v>42000</v>
      </c>
      <c r="G21" s="15">
        <f t="shared" ref="G21" ca="1" si="15">F21*H21</f>
        <v>42000</v>
      </c>
      <c r="H21" s="12">
        <v>1</v>
      </c>
      <c r="I21" s="12" t="s">
        <v>13</v>
      </c>
      <c r="J21" s="12" t="s">
        <v>10</v>
      </c>
      <c r="K21" s="12" t="str">
        <f t="shared" si="13"/>
        <v>Эобд и Эосв</v>
      </c>
      <c r="L21" s="15">
        <v>42000</v>
      </c>
    </row>
    <row r="22" spans="1:12" ht="22.5" customHeight="1" x14ac:dyDescent="0.25">
      <c r="A22" s="12" t="str">
        <f t="shared" si="12"/>
        <v>АВР-3-400-2-У</v>
      </c>
      <c r="B22" s="12" t="s">
        <v>11</v>
      </c>
      <c r="C22" s="18" t="s">
        <v>11</v>
      </c>
      <c r="D22" s="12" t="s">
        <v>11</v>
      </c>
      <c r="E22" s="12">
        <v>7</v>
      </c>
      <c r="F22" s="15">
        <v>100</v>
      </c>
      <c r="G22" s="15">
        <f>60*E22*F22</f>
        <v>42000</v>
      </c>
      <c r="H22" s="12">
        <f>60*E22</f>
        <v>420</v>
      </c>
      <c r="I22" s="12" t="s">
        <v>13</v>
      </c>
      <c r="J22" s="12" t="s">
        <v>11</v>
      </c>
      <c r="K22" s="12" t="str">
        <f t="shared" si="13"/>
        <v>Эобд и Эосв</v>
      </c>
      <c r="L22" s="15">
        <v>42000</v>
      </c>
    </row>
    <row r="23" spans="1:12" ht="22.5" customHeight="1" x14ac:dyDescent="0.25">
      <c r="A23" s="12" t="str">
        <f t="shared" si="12"/>
        <v>АВР-3-400-2-У</v>
      </c>
      <c r="B23" s="19"/>
      <c r="C23" s="20"/>
      <c r="D23" s="21"/>
      <c r="E23" s="23"/>
      <c r="F23" s="25"/>
      <c r="G23" s="24">
        <f ca="1">SUM(G16:G22)</f>
        <v>511796.39999999997</v>
      </c>
      <c r="H23" s="20"/>
      <c r="I23" s="22"/>
      <c r="J23" s="20"/>
      <c r="K23" s="12" t="str">
        <f t="shared" si="13"/>
        <v>Эобд и Эосв</v>
      </c>
      <c r="L23" s="24">
        <v>511796.4</v>
      </c>
    </row>
    <row r="24" spans="1:12" ht="22.5" customHeight="1" x14ac:dyDescent="0.25">
      <c r="A24" s="5" t="str">
        <f>D24</f>
        <v>ШР-1</v>
      </c>
      <c r="B24" s="6"/>
      <c r="C24" s="7"/>
      <c r="D24" s="6" t="s">
        <v>60</v>
      </c>
      <c r="E24" s="8"/>
      <c r="F24" s="8"/>
      <c r="G24" s="9"/>
      <c r="H24" s="10">
        <v>1</v>
      </c>
      <c r="I24" s="11" t="s">
        <v>7</v>
      </c>
      <c r="J24" s="6" t="s">
        <v>9</v>
      </c>
      <c r="K24" s="6" t="s">
        <v>71</v>
      </c>
      <c r="L24" s="9"/>
    </row>
    <row r="25" spans="1:12" ht="22.5" customHeight="1" x14ac:dyDescent="0.25">
      <c r="A25" s="12" t="str">
        <f>A24</f>
        <v>ШР-1</v>
      </c>
      <c r="B25" s="13" t="s">
        <v>8</v>
      </c>
      <c r="C25" s="14" t="s">
        <v>105</v>
      </c>
      <c r="D25" s="12" t="s">
        <v>106</v>
      </c>
      <c r="E25" s="13">
        <v>72795</v>
      </c>
      <c r="F25" s="15">
        <f>E25*0.6</f>
        <v>43677</v>
      </c>
      <c r="G25" s="15">
        <f>H25*F25</f>
        <v>43677</v>
      </c>
      <c r="H25" s="16">
        <v>1</v>
      </c>
      <c r="I25" s="17" t="s">
        <v>13</v>
      </c>
      <c r="J25" s="13" t="s">
        <v>16</v>
      </c>
      <c r="K25" s="12" t="str">
        <f>K24</f>
        <v>Эобд и Эосв</v>
      </c>
      <c r="L25" s="15">
        <v>43677</v>
      </c>
    </row>
    <row r="26" spans="1:12" ht="22.5" customHeight="1" x14ac:dyDescent="0.25">
      <c r="A26" s="12" t="str">
        <f t="shared" ref="A26:A34" si="16">A25</f>
        <v>ШР-1</v>
      </c>
      <c r="B26" s="13" t="s">
        <v>102</v>
      </c>
      <c r="C26" s="14" t="s">
        <v>103</v>
      </c>
      <c r="D26" s="12" t="s">
        <v>104</v>
      </c>
      <c r="E26" s="13">
        <v>27169</v>
      </c>
      <c r="F26" s="15">
        <f t="shared" ref="F26" si="17">E26*0.6</f>
        <v>16301.4</v>
      </c>
      <c r="G26" s="15">
        <f t="shared" ref="G26" si="18">F26*H26</f>
        <v>16301.4</v>
      </c>
      <c r="H26" s="16">
        <v>1</v>
      </c>
      <c r="I26" s="17" t="s">
        <v>13</v>
      </c>
      <c r="J26" s="13" t="s">
        <v>17</v>
      </c>
      <c r="K26" s="12" t="str">
        <f t="shared" ref="K26:K34" si="19">K25</f>
        <v>Эобд и Эосв</v>
      </c>
      <c r="L26" s="15">
        <v>16301.4</v>
      </c>
    </row>
    <row r="27" spans="1:12" ht="22.5" customHeight="1" x14ac:dyDescent="0.25">
      <c r="A27" s="12" t="str">
        <f t="shared" si="16"/>
        <v>ШР-1</v>
      </c>
      <c r="B27" s="13" t="s">
        <v>41</v>
      </c>
      <c r="C27" s="14" t="s">
        <v>56</v>
      </c>
      <c r="D27" s="12" t="s">
        <v>57</v>
      </c>
      <c r="E27" s="13">
        <v>7422</v>
      </c>
      <c r="F27" s="15">
        <f>E27*0.6</f>
        <v>4453.2</v>
      </c>
      <c r="G27" s="15">
        <f>F27*H27</f>
        <v>4453.2</v>
      </c>
      <c r="H27" s="16">
        <v>1</v>
      </c>
      <c r="I27" s="17" t="s">
        <v>13</v>
      </c>
      <c r="J27" s="13" t="s">
        <v>17</v>
      </c>
      <c r="K27" s="12" t="str">
        <f t="shared" si="19"/>
        <v>Эобд и Эосв</v>
      </c>
      <c r="L27" s="15">
        <v>4453.2</v>
      </c>
    </row>
    <row r="28" spans="1:12" ht="22.5" customHeight="1" x14ac:dyDescent="0.25">
      <c r="A28" s="12" t="str">
        <f t="shared" si="16"/>
        <v>ШР-1</v>
      </c>
      <c r="B28" s="13" t="s">
        <v>41</v>
      </c>
      <c r="C28" s="14" t="s">
        <v>58</v>
      </c>
      <c r="D28" s="12" t="s">
        <v>59</v>
      </c>
      <c r="E28" s="13">
        <v>7566</v>
      </c>
      <c r="F28" s="15">
        <f t="shared" ref="F28" si="20">E28*0.6</f>
        <v>4539.5999999999995</v>
      </c>
      <c r="G28" s="15">
        <f t="shared" ref="G28" si="21">F28*H28</f>
        <v>72633.599999999991</v>
      </c>
      <c r="H28" s="16">
        <v>16</v>
      </c>
      <c r="I28" s="17" t="s">
        <v>13</v>
      </c>
      <c r="J28" s="13" t="s">
        <v>17</v>
      </c>
      <c r="K28" s="12" t="str">
        <f t="shared" si="19"/>
        <v>Эобд и Эосв</v>
      </c>
      <c r="L28" s="15">
        <v>72633.599999999991</v>
      </c>
    </row>
    <row r="29" spans="1:12" ht="22.5" customHeight="1" x14ac:dyDescent="0.25">
      <c r="A29" s="12" t="str">
        <f t="shared" si="16"/>
        <v>ШР-1</v>
      </c>
      <c r="B29" s="13" t="s">
        <v>12</v>
      </c>
      <c r="C29" s="14" t="s">
        <v>22</v>
      </c>
      <c r="D29" s="12" t="s">
        <v>23</v>
      </c>
      <c r="E29" s="13">
        <v>2429</v>
      </c>
      <c r="F29" s="15">
        <f>E29*0.6</f>
        <v>1457.3999999999999</v>
      </c>
      <c r="G29" s="15">
        <f>F29*H29</f>
        <v>11659.199999999999</v>
      </c>
      <c r="H29" s="16">
        <v>8</v>
      </c>
      <c r="I29" s="17" t="s">
        <v>13</v>
      </c>
      <c r="J29" s="13" t="s">
        <v>17</v>
      </c>
      <c r="K29" s="12" t="str">
        <f t="shared" si="19"/>
        <v>Эобд и Эосв</v>
      </c>
      <c r="L29" s="15">
        <v>11659.199999999999</v>
      </c>
    </row>
    <row r="30" spans="1:12" ht="22.5" customHeight="1" x14ac:dyDescent="0.25">
      <c r="A30" s="12" t="str">
        <f t="shared" si="16"/>
        <v>ШР-1</v>
      </c>
      <c r="B30" s="13" t="s">
        <v>12</v>
      </c>
      <c r="C30" s="14" t="s">
        <v>31</v>
      </c>
      <c r="D30" s="12" t="s">
        <v>32</v>
      </c>
      <c r="E30" s="13">
        <v>800</v>
      </c>
      <c r="F30" s="15">
        <f>E30*0.6</f>
        <v>480</v>
      </c>
      <c r="G30" s="15">
        <f>F30*H30</f>
        <v>480</v>
      </c>
      <c r="H30" s="16">
        <v>1</v>
      </c>
      <c r="I30" s="17" t="s">
        <v>13</v>
      </c>
      <c r="J30" s="13" t="s">
        <v>17</v>
      </c>
      <c r="K30" s="12" t="str">
        <f t="shared" si="19"/>
        <v>Эобд и Эосв</v>
      </c>
      <c r="L30" s="15">
        <v>480</v>
      </c>
    </row>
    <row r="31" spans="1:12" ht="22.5" customHeight="1" x14ac:dyDescent="0.25">
      <c r="A31" s="12" t="str">
        <f t="shared" si="16"/>
        <v>ШР-1</v>
      </c>
      <c r="B31" s="13" t="s">
        <v>12</v>
      </c>
      <c r="C31" s="14" t="s">
        <v>39</v>
      </c>
      <c r="D31" s="12" t="s">
        <v>40</v>
      </c>
      <c r="E31" s="13">
        <v>783</v>
      </c>
      <c r="F31" s="15">
        <f t="shared" ref="F31" si="22">E31*0.6</f>
        <v>469.79999999999995</v>
      </c>
      <c r="G31" s="15">
        <f t="shared" ref="G31" si="23">F31*H31</f>
        <v>469.79999999999995</v>
      </c>
      <c r="H31" s="16">
        <v>1</v>
      </c>
      <c r="I31" s="17" t="s">
        <v>13</v>
      </c>
      <c r="J31" s="13" t="s">
        <v>17</v>
      </c>
      <c r="K31" s="12" t="str">
        <f t="shared" si="19"/>
        <v>Эобд и Эосв</v>
      </c>
      <c r="L31" s="15">
        <v>469.79999999999995</v>
      </c>
    </row>
    <row r="32" spans="1:12" ht="22.5" customHeight="1" x14ac:dyDescent="0.25">
      <c r="A32" s="12" t="str">
        <f t="shared" si="16"/>
        <v>ШР-1</v>
      </c>
      <c r="B32" s="12" t="s">
        <v>10</v>
      </c>
      <c r="C32" s="18" t="s">
        <v>10</v>
      </c>
      <c r="D32" s="12" t="s">
        <v>10</v>
      </c>
      <c r="E32" s="12">
        <f ca="1">OFFSET(E32,1,2)</f>
        <v>18000</v>
      </c>
      <c r="F32" s="15">
        <f ca="1">E32</f>
        <v>18000</v>
      </c>
      <c r="G32" s="15">
        <f t="shared" ref="G32" ca="1" si="24">F32*H32</f>
        <v>18000</v>
      </c>
      <c r="H32" s="12">
        <v>1</v>
      </c>
      <c r="I32" s="12" t="s">
        <v>13</v>
      </c>
      <c r="J32" s="12" t="s">
        <v>10</v>
      </c>
      <c r="K32" s="12" t="str">
        <f t="shared" si="19"/>
        <v>Эобд и Эосв</v>
      </c>
      <c r="L32" s="15">
        <v>18000</v>
      </c>
    </row>
    <row r="33" spans="1:12" ht="22.5" customHeight="1" x14ac:dyDescent="0.25">
      <c r="A33" s="12" t="str">
        <f t="shared" si="16"/>
        <v>ШР-1</v>
      </c>
      <c r="B33" s="12" t="s">
        <v>11</v>
      </c>
      <c r="C33" s="18" t="s">
        <v>11</v>
      </c>
      <c r="D33" s="12" t="s">
        <v>11</v>
      </c>
      <c r="E33" s="12">
        <v>3</v>
      </c>
      <c r="F33" s="15">
        <v>100</v>
      </c>
      <c r="G33" s="15">
        <f>60*E33*F33</f>
        <v>18000</v>
      </c>
      <c r="H33" s="12">
        <f>60*E33</f>
        <v>180</v>
      </c>
      <c r="I33" s="12" t="s">
        <v>13</v>
      </c>
      <c r="J33" s="12" t="s">
        <v>11</v>
      </c>
      <c r="K33" s="12" t="str">
        <f t="shared" si="19"/>
        <v>Эобд и Эосв</v>
      </c>
      <c r="L33" s="15">
        <v>18000</v>
      </c>
    </row>
    <row r="34" spans="1:12" ht="22.5" customHeight="1" x14ac:dyDescent="0.25">
      <c r="A34" s="12" t="str">
        <f t="shared" si="16"/>
        <v>ШР-1</v>
      </c>
      <c r="B34" s="19"/>
      <c r="C34" s="20"/>
      <c r="D34" s="21"/>
      <c r="E34" s="23"/>
      <c r="F34" s="25"/>
      <c r="G34" s="24">
        <f ca="1">SUM(G25:G33)</f>
        <v>185674.19999999998</v>
      </c>
      <c r="H34" s="20"/>
      <c r="I34" s="22"/>
      <c r="J34" s="20"/>
      <c r="K34" s="12" t="str">
        <f t="shared" si="19"/>
        <v>Эобд и Эосв</v>
      </c>
      <c r="L34" s="24">
        <v>185674.19999999998</v>
      </c>
    </row>
    <row r="35" spans="1:12" ht="22.5" customHeight="1" x14ac:dyDescent="0.25">
      <c r="A35" s="5" t="str">
        <f>D35</f>
        <v>ЩРВ</v>
      </c>
      <c r="B35" s="6"/>
      <c r="C35" s="7"/>
      <c r="D35" s="6" t="s">
        <v>61</v>
      </c>
      <c r="E35" s="8"/>
      <c r="F35" s="8"/>
      <c r="G35" s="9"/>
      <c r="H35" s="10">
        <v>1</v>
      </c>
      <c r="I35" s="11" t="s">
        <v>7</v>
      </c>
      <c r="J35" s="6" t="s">
        <v>9</v>
      </c>
      <c r="K35" s="6" t="s">
        <v>71</v>
      </c>
      <c r="L35" s="9"/>
    </row>
    <row r="36" spans="1:12" ht="22.5" customHeight="1" x14ac:dyDescent="0.25">
      <c r="A36" s="12" t="str">
        <f>A35</f>
        <v>ЩРВ</v>
      </c>
      <c r="B36" s="13" t="s">
        <v>8</v>
      </c>
      <c r="C36" s="14" t="s">
        <v>93</v>
      </c>
      <c r="D36" s="12" t="s">
        <v>94</v>
      </c>
      <c r="E36" s="13">
        <v>13410</v>
      </c>
      <c r="F36" s="15">
        <f>E36*0.6</f>
        <v>8046</v>
      </c>
      <c r="G36" s="15">
        <f>H36*F36</f>
        <v>8046</v>
      </c>
      <c r="H36" s="16">
        <v>1</v>
      </c>
      <c r="I36" s="17" t="s">
        <v>13</v>
      </c>
      <c r="J36" s="13" t="s">
        <v>16</v>
      </c>
      <c r="K36" s="12" t="str">
        <f>K35</f>
        <v>Эобд и Эосв</v>
      </c>
      <c r="L36" s="15">
        <v>8046</v>
      </c>
    </row>
    <row r="37" spans="1:12" ht="22.5" customHeight="1" x14ac:dyDescent="0.25">
      <c r="A37" s="12" t="str">
        <f t="shared" ref="A37:A45" si="25">A36</f>
        <v>ЩРВ</v>
      </c>
      <c r="B37" s="13" t="s">
        <v>12</v>
      </c>
      <c r="C37" s="14" t="s">
        <v>24</v>
      </c>
      <c r="D37" s="12" t="s">
        <v>25</v>
      </c>
      <c r="E37" s="13">
        <v>3641</v>
      </c>
      <c r="F37" s="15">
        <f>E37*0.6</f>
        <v>2184.6</v>
      </c>
      <c r="G37" s="15">
        <f>F37*H37</f>
        <v>2184.6</v>
      </c>
      <c r="H37" s="16">
        <v>1</v>
      </c>
      <c r="I37" s="17" t="s">
        <v>13</v>
      </c>
      <c r="J37" s="13" t="s">
        <v>17</v>
      </c>
      <c r="K37" s="12" t="str">
        <f t="shared" ref="K37:K45" si="26">K36</f>
        <v>Эобд и Эосв</v>
      </c>
      <c r="L37" s="15">
        <v>2184.6</v>
      </c>
    </row>
    <row r="38" spans="1:12" ht="22.5" customHeight="1" x14ac:dyDescent="0.25">
      <c r="A38" s="12" t="str">
        <f t="shared" si="25"/>
        <v>ЩРВ</v>
      </c>
      <c r="B38" s="13" t="s">
        <v>12</v>
      </c>
      <c r="C38" s="14" t="s">
        <v>52</v>
      </c>
      <c r="D38" s="12" t="s">
        <v>53</v>
      </c>
      <c r="E38" s="13">
        <v>2807</v>
      </c>
      <c r="F38" s="15">
        <f t="shared" ref="F38" si="27">E38*0.6</f>
        <v>1684.2</v>
      </c>
      <c r="G38" s="15">
        <f t="shared" ref="G38" si="28">F38*H38</f>
        <v>1684.2</v>
      </c>
      <c r="H38" s="16">
        <v>1</v>
      </c>
      <c r="I38" s="17" t="s">
        <v>13</v>
      </c>
      <c r="J38" s="13" t="s">
        <v>17</v>
      </c>
      <c r="K38" s="12" t="str">
        <f t="shared" si="26"/>
        <v>Эобд и Эосв</v>
      </c>
      <c r="L38" s="15">
        <v>1684.2</v>
      </c>
    </row>
    <row r="39" spans="1:12" ht="22.5" customHeight="1" x14ac:dyDescent="0.25">
      <c r="A39" s="12" t="str">
        <f t="shared" si="25"/>
        <v>ЩРВ</v>
      </c>
      <c r="B39" s="13" t="s">
        <v>41</v>
      </c>
      <c r="C39" s="14" t="s">
        <v>58</v>
      </c>
      <c r="D39" s="12" t="s">
        <v>59</v>
      </c>
      <c r="E39" s="13">
        <v>7566</v>
      </c>
      <c r="F39" s="15">
        <f t="shared" ref="F39" si="29">E39*0.6</f>
        <v>4539.5999999999995</v>
      </c>
      <c r="G39" s="15">
        <f t="shared" ref="G39" si="30">F39*H39</f>
        <v>4539.5999999999995</v>
      </c>
      <c r="H39" s="16">
        <v>1</v>
      </c>
      <c r="I39" s="17" t="s">
        <v>13</v>
      </c>
      <c r="J39" s="13" t="s">
        <v>17</v>
      </c>
      <c r="K39" s="12" t="str">
        <f t="shared" si="26"/>
        <v>Эобд и Эосв</v>
      </c>
      <c r="L39" s="15">
        <v>4539.5999999999995</v>
      </c>
    </row>
    <row r="40" spans="1:12" ht="22.5" customHeight="1" x14ac:dyDescent="0.25">
      <c r="A40" s="12" t="str">
        <f t="shared" si="25"/>
        <v>ЩРВ</v>
      </c>
      <c r="B40" s="13" t="s">
        <v>35</v>
      </c>
      <c r="C40" s="14" t="s">
        <v>33</v>
      </c>
      <c r="D40" s="12" t="s">
        <v>34</v>
      </c>
      <c r="E40" s="13">
        <v>5354</v>
      </c>
      <c r="F40" s="15">
        <f>E40*0.6</f>
        <v>3212.4</v>
      </c>
      <c r="G40" s="15">
        <f>F40*H40</f>
        <v>3212.4</v>
      </c>
      <c r="H40" s="16">
        <v>1</v>
      </c>
      <c r="I40" s="17" t="s">
        <v>13</v>
      </c>
      <c r="J40" s="13" t="s">
        <v>17</v>
      </c>
      <c r="K40" s="12" t="str">
        <f t="shared" si="26"/>
        <v>Эобд и Эосв</v>
      </c>
      <c r="L40" s="15">
        <v>3212.4</v>
      </c>
    </row>
    <row r="41" spans="1:12" ht="22.5" customHeight="1" x14ac:dyDescent="0.25">
      <c r="A41" s="12" t="str">
        <f t="shared" si="25"/>
        <v>ЩРВ</v>
      </c>
      <c r="B41" s="13" t="s">
        <v>12</v>
      </c>
      <c r="C41" s="14" t="s">
        <v>54</v>
      </c>
      <c r="D41" s="12" t="s">
        <v>55</v>
      </c>
      <c r="E41" s="13">
        <v>2873</v>
      </c>
      <c r="F41" s="15">
        <f>E41*0.6</f>
        <v>1723.8</v>
      </c>
      <c r="G41" s="15">
        <f>F41*H41</f>
        <v>5171.3999999999996</v>
      </c>
      <c r="H41" s="16">
        <v>3</v>
      </c>
      <c r="I41" s="17" t="s">
        <v>13</v>
      </c>
      <c r="J41" s="13" t="s">
        <v>17</v>
      </c>
      <c r="K41" s="12" t="str">
        <f t="shared" si="26"/>
        <v>Эобд и Эосв</v>
      </c>
      <c r="L41" s="15">
        <v>5171.3999999999996</v>
      </c>
    </row>
    <row r="42" spans="1:12" ht="22.5" customHeight="1" x14ac:dyDescent="0.25">
      <c r="A42" s="12" t="str">
        <f t="shared" si="25"/>
        <v>ЩРВ</v>
      </c>
      <c r="B42" s="13" t="s">
        <v>12</v>
      </c>
      <c r="C42" s="14" t="s">
        <v>39</v>
      </c>
      <c r="D42" s="12" t="s">
        <v>40</v>
      </c>
      <c r="E42" s="13">
        <v>783</v>
      </c>
      <c r="F42" s="15">
        <f t="shared" ref="F42" si="31">E42*0.6</f>
        <v>469.79999999999995</v>
      </c>
      <c r="G42" s="15">
        <f t="shared" ref="G42:G43" si="32">F42*H42</f>
        <v>469.79999999999995</v>
      </c>
      <c r="H42" s="16">
        <v>1</v>
      </c>
      <c r="I42" s="17" t="s">
        <v>13</v>
      </c>
      <c r="J42" s="13" t="s">
        <v>17</v>
      </c>
      <c r="K42" s="12" t="str">
        <f t="shared" si="26"/>
        <v>Эобд и Эосв</v>
      </c>
      <c r="L42" s="15">
        <v>469.79999999999995</v>
      </c>
    </row>
    <row r="43" spans="1:12" ht="22.5" customHeight="1" x14ac:dyDescent="0.25">
      <c r="A43" s="12" t="str">
        <f>A42</f>
        <v>ЩРВ</v>
      </c>
      <c r="B43" s="12" t="s">
        <v>10</v>
      </c>
      <c r="C43" s="18" t="s">
        <v>10</v>
      </c>
      <c r="D43" s="12" t="s">
        <v>10</v>
      </c>
      <c r="E43" s="12">
        <f ca="1">OFFSET(E43,1,2)</f>
        <v>12000</v>
      </c>
      <c r="F43" s="15">
        <f ca="1">E43</f>
        <v>12000</v>
      </c>
      <c r="G43" s="15">
        <f t="shared" ca="1" si="32"/>
        <v>12000</v>
      </c>
      <c r="H43" s="12">
        <v>1</v>
      </c>
      <c r="I43" s="12" t="s">
        <v>13</v>
      </c>
      <c r="J43" s="12" t="s">
        <v>10</v>
      </c>
      <c r="K43" s="12" t="str">
        <f t="shared" si="26"/>
        <v>Эобд и Эосв</v>
      </c>
      <c r="L43" s="15">
        <v>12000</v>
      </c>
    </row>
    <row r="44" spans="1:12" ht="22.5" customHeight="1" x14ac:dyDescent="0.25">
      <c r="A44" s="12" t="str">
        <f t="shared" si="25"/>
        <v>ЩРВ</v>
      </c>
      <c r="B44" s="12" t="s">
        <v>11</v>
      </c>
      <c r="C44" s="18" t="s">
        <v>11</v>
      </c>
      <c r="D44" s="12" t="s">
        <v>11</v>
      </c>
      <c r="E44" s="12">
        <v>2</v>
      </c>
      <c r="F44" s="15">
        <v>100</v>
      </c>
      <c r="G44" s="15">
        <f>60*E44*F44</f>
        <v>12000</v>
      </c>
      <c r="H44" s="12">
        <f>60*E44</f>
        <v>120</v>
      </c>
      <c r="I44" s="12" t="s">
        <v>13</v>
      </c>
      <c r="J44" s="12" t="s">
        <v>11</v>
      </c>
      <c r="K44" s="12" t="str">
        <f t="shared" si="26"/>
        <v>Эобд и Эосв</v>
      </c>
      <c r="L44" s="15">
        <v>12000</v>
      </c>
    </row>
    <row r="45" spans="1:12" ht="22.5" customHeight="1" x14ac:dyDescent="0.25">
      <c r="A45" s="12" t="str">
        <f t="shared" si="25"/>
        <v>ЩРВ</v>
      </c>
      <c r="B45" s="19"/>
      <c r="C45" s="20"/>
      <c r="D45" s="21"/>
      <c r="E45" s="23"/>
      <c r="F45" s="25"/>
      <c r="G45" s="24">
        <f ca="1">SUM(G36:G44)</f>
        <v>49308</v>
      </c>
      <c r="H45" s="20"/>
      <c r="I45" s="22"/>
      <c r="J45" s="20"/>
      <c r="K45" s="12" t="str">
        <f t="shared" si="26"/>
        <v>Эобд и Эосв</v>
      </c>
      <c r="L45" s="24">
        <v>49308</v>
      </c>
    </row>
    <row r="46" spans="1:12" ht="22.5" customHeight="1" x14ac:dyDescent="0.25">
      <c r="A46" s="5" t="str">
        <f>D46</f>
        <v>ЩO</v>
      </c>
      <c r="B46" s="6"/>
      <c r="C46" s="7"/>
      <c r="D46" s="6" t="s">
        <v>62</v>
      </c>
      <c r="E46" s="8"/>
      <c r="F46" s="8"/>
      <c r="G46" s="9"/>
      <c r="H46" s="10">
        <v>1</v>
      </c>
      <c r="I46" s="11" t="s">
        <v>7</v>
      </c>
      <c r="J46" s="6" t="s">
        <v>9</v>
      </c>
      <c r="K46" s="6" t="s">
        <v>71</v>
      </c>
      <c r="L46" s="9"/>
    </row>
    <row r="47" spans="1:12" ht="22.5" customHeight="1" x14ac:dyDescent="0.25">
      <c r="A47" s="12" t="str">
        <f>A46</f>
        <v>ЩO</v>
      </c>
      <c r="B47" s="13" t="s">
        <v>8</v>
      </c>
      <c r="C47" s="14" t="s">
        <v>97</v>
      </c>
      <c r="D47" s="12" t="s">
        <v>98</v>
      </c>
      <c r="E47" s="13">
        <v>10270</v>
      </c>
      <c r="F47" s="15">
        <f>E47*0.6</f>
        <v>6162</v>
      </c>
      <c r="G47" s="15">
        <f>H47*F47</f>
        <v>6162</v>
      </c>
      <c r="H47" s="16">
        <v>1</v>
      </c>
      <c r="I47" s="17" t="s">
        <v>13</v>
      </c>
      <c r="J47" s="13" t="s">
        <v>16</v>
      </c>
      <c r="K47" s="12" t="str">
        <f>K46</f>
        <v>Эобд и Эосв</v>
      </c>
      <c r="L47" s="15">
        <v>6162</v>
      </c>
    </row>
    <row r="48" spans="1:12" ht="22.5" customHeight="1" x14ac:dyDescent="0.25">
      <c r="A48" s="12" t="str">
        <f t="shared" ref="A48:A52" si="33">A47</f>
        <v>ЩO</v>
      </c>
      <c r="B48" s="13" t="s">
        <v>12</v>
      </c>
      <c r="C48" s="14" t="s">
        <v>37</v>
      </c>
      <c r="D48" s="12" t="s">
        <v>38</v>
      </c>
      <c r="E48" s="13">
        <v>2337</v>
      </c>
      <c r="F48" s="15">
        <f t="shared" ref="F48" si="34">E48*0.6</f>
        <v>1402.2</v>
      </c>
      <c r="G48" s="15">
        <f t="shared" ref="G48" si="35">F48*H48</f>
        <v>1402.2</v>
      </c>
      <c r="H48" s="16">
        <v>1</v>
      </c>
      <c r="I48" s="17" t="s">
        <v>13</v>
      </c>
      <c r="J48" s="13" t="s">
        <v>17</v>
      </c>
      <c r="K48" s="12" t="str">
        <f t="shared" ref="K48:K52" si="36">K47</f>
        <v>Эобд и Эосв</v>
      </c>
      <c r="L48" s="15">
        <v>1402.2</v>
      </c>
    </row>
    <row r="49" spans="1:12" ht="22.5" customHeight="1" x14ac:dyDescent="0.25">
      <c r="A49" s="12" t="str">
        <f t="shared" si="33"/>
        <v>ЩO</v>
      </c>
      <c r="B49" s="13" t="s">
        <v>12</v>
      </c>
      <c r="C49" s="14" t="s">
        <v>18</v>
      </c>
      <c r="D49" s="12" t="s">
        <v>19</v>
      </c>
      <c r="E49" s="13">
        <v>783</v>
      </c>
      <c r="F49" s="15">
        <f>E49*0.6</f>
        <v>469.79999999999995</v>
      </c>
      <c r="G49" s="15">
        <f>F49*H49</f>
        <v>2818.7999999999997</v>
      </c>
      <c r="H49" s="16">
        <v>6</v>
      </c>
      <c r="I49" s="17" t="s">
        <v>13</v>
      </c>
      <c r="J49" s="13" t="s">
        <v>17</v>
      </c>
      <c r="K49" s="12" t="str">
        <f t="shared" si="36"/>
        <v>Эобд и Эосв</v>
      </c>
      <c r="L49" s="15">
        <v>2818.7999999999997</v>
      </c>
    </row>
    <row r="50" spans="1:12" ht="22.5" customHeight="1" x14ac:dyDescent="0.25">
      <c r="A50" s="12" t="str">
        <f t="shared" si="33"/>
        <v>ЩO</v>
      </c>
      <c r="B50" s="12" t="s">
        <v>10</v>
      </c>
      <c r="C50" s="18" t="s">
        <v>10</v>
      </c>
      <c r="D50" s="12" t="s">
        <v>10</v>
      </c>
      <c r="E50" s="12">
        <f ca="1">OFFSET(E50,1,2)</f>
        <v>4200</v>
      </c>
      <c r="F50" s="15">
        <f ca="1">E50</f>
        <v>4200</v>
      </c>
      <c r="G50" s="15">
        <f t="shared" ref="G50" ca="1" si="37">F50*H50</f>
        <v>4200</v>
      </c>
      <c r="H50" s="12">
        <v>1</v>
      </c>
      <c r="I50" s="12" t="s">
        <v>13</v>
      </c>
      <c r="J50" s="12" t="s">
        <v>10</v>
      </c>
      <c r="K50" s="12" t="str">
        <f t="shared" si="36"/>
        <v>Эобд и Эосв</v>
      </c>
      <c r="L50" s="15">
        <v>4200</v>
      </c>
    </row>
    <row r="51" spans="1:12" ht="22.5" customHeight="1" x14ac:dyDescent="0.25">
      <c r="A51" s="12" t="str">
        <f t="shared" si="33"/>
        <v>ЩO</v>
      </c>
      <c r="B51" s="12" t="s">
        <v>11</v>
      </c>
      <c r="C51" s="18" t="s">
        <v>11</v>
      </c>
      <c r="D51" s="12" t="s">
        <v>11</v>
      </c>
      <c r="E51" s="12">
        <v>0.7</v>
      </c>
      <c r="F51" s="15">
        <v>100</v>
      </c>
      <c r="G51" s="15">
        <f>60*E51*F51</f>
        <v>4200</v>
      </c>
      <c r="H51" s="12">
        <f>60*E51</f>
        <v>42</v>
      </c>
      <c r="I51" s="12" t="s">
        <v>13</v>
      </c>
      <c r="J51" s="12" t="s">
        <v>11</v>
      </c>
      <c r="K51" s="12" t="str">
        <f t="shared" si="36"/>
        <v>Эобд и Эосв</v>
      </c>
      <c r="L51" s="15">
        <v>4200</v>
      </c>
    </row>
    <row r="52" spans="1:12" ht="22.5" customHeight="1" x14ac:dyDescent="0.25">
      <c r="A52" s="12" t="str">
        <f t="shared" si="33"/>
        <v>ЩO</v>
      </c>
      <c r="B52" s="19"/>
      <c r="C52" s="20"/>
      <c r="D52" s="21"/>
      <c r="E52" s="23"/>
      <c r="F52" s="25"/>
      <c r="G52" s="24">
        <f ca="1">SUM(G47:G51)</f>
        <v>18783</v>
      </c>
      <c r="H52" s="20"/>
      <c r="I52" s="22"/>
      <c r="J52" s="20"/>
      <c r="K52" s="12" t="str">
        <f t="shared" si="36"/>
        <v>Эобд и Эосв</v>
      </c>
      <c r="L52" s="24">
        <v>18783</v>
      </c>
    </row>
    <row r="53" spans="1:12" ht="22.5" customHeight="1" x14ac:dyDescent="0.25">
      <c r="A53" s="5" t="str">
        <f>D53</f>
        <v>ПМЛ-1220</v>
      </c>
      <c r="B53" s="6"/>
      <c r="C53" s="7"/>
      <c r="D53" s="6" t="s">
        <v>64</v>
      </c>
      <c r="E53" s="8">
        <v>16500</v>
      </c>
      <c r="F53" s="8"/>
      <c r="G53" s="9"/>
      <c r="H53" s="10">
        <v>3</v>
      </c>
      <c r="I53" s="11" t="s">
        <v>7</v>
      </c>
      <c r="J53" s="6" t="s">
        <v>9</v>
      </c>
      <c r="K53" s="6" t="s">
        <v>71</v>
      </c>
      <c r="L53" s="9"/>
    </row>
    <row r="54" spans="1:12" ht="22.5" customHeight="1" x14ac:dyDescent="0.25">
      <c r="A54" s="5" t="str">
        <f>D54</f>
        <v>Я1(ЯРП-111М-311-100А)</v>
      </c>
      <c r="B54" s="6"/>
      <c r="C54" s="7"/>
      <c r="D54" s="6" t="s">
        <v>65</v>
      </c>
      <c r="E54" s="8">
        <v>46000</v>
      </c>
      <c r="F54" s="8"/>
      <c r="G54" s="9"/>
      <c r="H54" s="10">
        <v>1</v>
      </c>
      <c r="I54" s="11" t="s">
        <v>7</v>
      </c>
      <c r="J54" s="6" t="s">
        <v>9</v>
      </c>
      <c r="K54" s="6" t="s">
        <v>71</v>
      </c>
      <c r="L54" s="9"/>
    </row>
    <row r="55" spans="1:12" ht="22.5" customHeight="1" x14ac:dyDescent="0.25">
      <c r="A55" s="5" t="str">
        <f>D55</f>
        <v>ЯР2(ЯРВ-100)</v>
      </c>
      <c r="B55" s="6"/>
      <c r="C55" s="7"/>
      <c r="D55" s="6" t="s">
        <v>66</v>
      </c>
      <c r="E55" s="8">
        <v>48000</v>
      </c>
      <c r="F55" s="8"/>
      <c r="G55" s="9"/>
      <c r="H55" s="10">
        <v>1</v>
      </c>
      <c r="I55" s="11" t="s">
        <v>7</v>
      </c>
      <c r="J55" s="6" t="s">
        <v>9</v>
      </c>
      <c r="K55" s="6" t="s">
        <v>71</v>
      </c>
      <c r="L55" s="9"/>
    </row>
    <row r="56" spans="1:12" ht="22.5" customHeight="1" x14ac:dyDescent="0.25">
      <c r="A56" s="5" t="str">
        <f>D56</f>
        <v>ШНО (ЯУО9601-3474УХЛ4)</v>
      </c>
      <c r="B56" s="6"/>
      <c r="C56" s="7"/>
      <c r="D56" s="6" t="s">
        <v>84</v>
      </c>
      <c r="E56" s="8"/>
      <c r="F56" s="8"/>
      <c r="G56" s="9"/>
      <c r="H56" s="10">
        <v>1</v>
      </c>
      <c r="I56" s="11" t="s">
        <v>7</v>
      </c>
      <c r="J56" s="6" t="s">
        <v>9</v>
      </c>
      <c r="K56" s="6" t="s">
        <v>72</v>
      </c>
      <c r="L56" s="9"/>
    </row>
    <row r="57" spans="1:12" ht="22.5" customHeight="1" x14ac:dyDescent="0.25">
      <c r="A57" s="12" t="str">
        <f>A56</f>
        <v>ШНО (ЯУО9601-3474УХЛ4)</v>
      </c>
      <c r="B57" s="13" t="s">
        <v>8</v>
      </c>
      <c r="C57" s="14" t="s">
        <v>95</v>
      </c>
      <c r="D57" s="12" t="s">
        <v>96</v>
      </c>
      <c r="E57" s="13">
        <v>10305</v>
      </c>
      <c r="F57" s="15">
        <f>E57*0.6</f>
        <v>6183</v>
      </c>
      <c r="G57" s="15">
        <f>H57*F57</f>
        <v>6183</v>
      </c>
      <c r="H57" s="16">
        <v>1</v>
      </c>
      <c r="I57" s="17" t="s">
        <v>13</v>
      </c>
      <c r="J57" s="13" t="s">
        <v>16</v>
      </c>
      <c r="K57" s="12" t="str">
        <f>K56</f>
        <v>ЭС</v>
      </c>
      <c r="L57" s="15">
        <v>6183</v>
      </c>
    </row>
    <row r="58" spans="1:12" ht="22.5" customHeight="1" x14ac:dyDescent="0.25">
      <c r="A58" s="12" t="str">
        <f t="shared" ref="A58" si="38">A57</f>
        <v>ШНО (ЯУО9601-3474УХЛ4)</v>
      </c>
      <c r="B58" s="13" t="s">
        <v>12</v>
      </c>
      <c r="C58" s="14" t="s">
        <v>22</v>
      </c>
      <c r="D58" s="12" t="s">
        <v>23</v>
      </c>
      <c r="E58" s="13">
        <v>2429</v>
      </c>
      <c r="F58" s="15">
        <f>E58*0.6</f>
        <v>1457.3999999999999</v>
      </c>
      <c r="G58" s="15">
        <f>F58*H58</f>
        <v>1457.3999999999999</v>
      </c>
      <c r="H58" s="16">
        <v>1</v>
      </c>
      <c r="I58" s="17" t="s">
        <v>13</v>
      </c>
      <c r="J58" s="13" t="s">
        <v>17</v>
      </c>
      <c r="K58" s="12" t="str">
        <f t="shared" ref="K58" si="39">K57</f>
        <v>ЭС</v>
      </c>
      <c r="L58" s="15">
        <v>1457.3999999999999</v>
      </c>
    </row>
    <row r="59" spans="1:12" ht="22.5" customHeight="1" x14ac:dyDescent="0.25">
      <c r="A59" s="12" t="str">
        <f t="shared" ref="A59:A60" si="40">A58</f>
        <v>ШНО (ЯУО9601-3474УХЛ4)</v>
      </c>
      <c r="B59" s="13" t="s">
        <v>36</v>
      </c>
      <c r="C59" s="14" t="s">
        <v>73</v>
      </c>
      <c r="D59" s="12" t="s">
        <v>74</v>
      </c>
      <c r="E59" s="13">
        <v>12145</v>
      </c>
      <c r="F59" s="15">
        <f t="shared" ref="F59:F62" si="41">E59*0.6</f>
        <v>7287</v>
      </c>
      <c r="G59" s="15">
        <f t="shared" ref="G59:G60" si="42">F59*H59</f>
        <v>7287</v>
      </c>
      <c r="H59" s="16">
        <v>1</v>
      </c>
      <c r="I59" s="17" t="s">
        <v>13</v>
      </c>
      <c r="J59" s="13" t="s">
        <v>17</v>
      </c>
      <c r="K59" s="12" t="str">
        <f t="shared" ref="K59:K71" si="43">K58</f>
        <v>ЭС</v>
      </c>
      <c r="L59" s="15">
        <v>7287</v>
      </c>
    </row>
    <row r="60" spans="1:12" ht="22.5" customHeight="1" x14ac:dyDescent="0.25">
      <c r="A60" s="12" t="str">
        <f t="shared" si="40"/>
        <v>ШНО (ЯУО9601-3474УХЛ4)</v>
      </c>
      <c r="B60" s="13" t="s">
        <v>12</v>
      </c>
      <c r="C60" s="14" t="s">
        <v>29</v>
      </c>
      <c r="D60" s="12" t="s">
        <v>30</v>
      </c>
      <c r="E60" s="13">
        <v>2447</v>
      </c>
      <c r="F60" s="15">
        <f t="shared" si="41"/>
        <v>1468.2</v>
      </c>
      <c r="G60" s="15">
        <f t="shared" si="42"/>
        <v>4404.6000000000004</v>
      </c>
      <c r="H60" s="16">
        <v>3</v>
      </c>
      <c r="I60" s="17" t="s">
        <v>13</v>
      </c>
      <c r="J60" s="13" t="s">
        <v>17</v>
      </c>
      <c r="K60" s="12" t="str">
        <f t="shared" si="43"/>
        <v>ЭС</v>
      </c>
      <c r="L60" s="15">
        <v>4404.6000000000004</v>
      </c>
    </row>
    <row r="61" spans="1:12" ht="22.5" customHeight="1" x14ac:dyDescent="0.25">
      <c r="A61" s="12" t="str">
        <f>A59</f>
        <v>ШНО (ЯУО9601-3474УХЛ4)</v>
      </c>
      <c r="B61" s="13" t="s">
        <v>81</v>
      </c>
      <c r="C61" s="26" t="s">
        <v>79</v>
      </c>
      <c r="D61" s="12" t="s">
        <v>80</v>
      </c>
      <c r="E61" s="27">
        <v>2449</v>
      </c>
      <c r="F61" s="15">
        <f t="shared" ref="F61" si="44">E61*0.6</f>
        <v>1469.3999999999999</v>
      </c>
      <c r="G61" s="15">
        <f t="shared" ref="G61:G67" si="45">F61*H61</f>
        <v>1469.3999999999999</v>
      </c>
      <c r="H61" s="16">
        <v>1</v>
      </c>
      <c r="I61" s="17" t="s">
        <v>13</v>
      </c>
      <c r="J61" s="13" t="s">
        <v>17</v>
      </c>
      <c r="K61" s="12" t="str">
        <f>K59</f>
        <v>ЭС</v>
      </c>
      <c r="L61" s="15">
        <v>1469.3999999999999</v>
      </c>
    </row>
    <row r="62" spans="1:12" ht="22.5" customHeight="1" x14ac:dyDescent="0.25">
      <c r="A62" s="12" t="str">
        <f>A60</f>
        <v>ШНО (ЯУО9601-3474УХЛ4)</v>
      </c>
      <c r="B62" s="13" t="s">
        <v>46</v>
      </c>
      <c r="C62" s="26" t="s">
        <v>42</v>
      </c>
      <c r="D62" s="12" t="s">
        <v>43</v>
      </c>
      <c r="E62" s="27">
        <v>589</v>
      </c>
      <c r="F62" s="15">
        <f t="shared" si="41"/>
        <v>353.4</v>
      </c>
      <c r="G62" s="15">
        <f t="shared" si="45"/>
        <v>353.4</v>
      </c>
      <c r="H62" s="16">
        <v>1</v>
      </c>
      <c r="I62" s="17" t="s">
        <v>13</v>
      </c>
      <c r="J62" s="13" t="s">
        <v>17</v>
      </c>
      <c r="K62" s="12" t="str">
        <f>K60</f>
        <v>ЭС</v>
      </c>
      <c r="L62" s="15">
        <v>353.4</v>
      </c>
    </row>
    <row r="63" spans="1:12" ht="22.5" customHeight="1" x14ac:dyDescent="0.25">
      <c r="A63" s="12" t="str">
        <f>A60</f>
        <v>ШНО (ЯУО9601-3474УХЛ4)</v>
      </c>
      <c r="B63" s="13" t="s">
        <v>63</v>
      </c>
      <c r="C63" s="14" t="s">
        <v>75</v>
      </c>
      <c r="D63" s="12" t="s">
        <v>76</v>
      </c>
      <c r="E63" s="13">
        <v>689</v>
      </c>
      <c r="F63" s="15">
        <f>E63*0.6</f>
        <v>413.4</v>
      </c>
      <c r="G63" s="15">
        <f t="shared" si="45"/>
        <v>413.4</v>
      </c>
      <c r="H63" s="16">
        <v>1</v>
      </c>
      <c r="I63" s="17" t="s">
        <v>13</v>
      </c>
      <c r="J63" s="13" t="s">
        <v>17</v>
      </c>
      <c r="K63" s="12" t="str">
        <f>K60</f>
        <v>ЭС</v>
      </c>
      <c r="L63" s="15">
        <v>413.4</v>
      </c>
    </row>
    <row r="64" spans="1:12" ht="22.5" customHeight="1" x14ac:dyDescent="0.25">
      <c r="A64" s="12" t="str">
        <f t="shared" ref="A64" si="46">A63</f>
        <v>ШНО (ЯУО9601-3474УХЛ4)</v>
      </c>
      <c r="B64" s="13" t="s">
        <v>63</v>
      </c>
      <c r="C64" s="14" t="s">
        <v>77</v>
      </c>
      <c r="D64" s="12" t="s">
        <v>78</v>
      </c>
      <c r="E64" s="13">
        <v>689</v>
      </c>
      <c r="F64" s="15">
        <f>E64*0.6</f>
        <v>413.4</v>
      </c>
      <c r="G64" s="15">
        <f t="shared" si="45"/>
        <v>413.4</v>
      </c>
      <c r="H64" s="16">
        <v>1</v>
      </c>
      <c r="I64" s="17" t="s">
        <v>13</v>
      </c>
      <c r="J64" s="13" t="s">
        <v>17</v>
      </c>
      <c r="K64" s="12" t="str">
        <f t="shared" ref="K64" si="47">K63</f>
        <v>ЭС</v>
      </c>
      <c r="L64" s="15">
        <v>413.4</v>
      </c>
    </row>
    <row r="65" spans="1:12" ht="22.5" customHeight="1" x14ac:dyDescent="0.25">
      <c r="A65" s="12" t="str">
        <f>A63</f>
        <v>ШНО (ЯУО9601-3474УХЛ4)</v>
      </c>
      <c r="B65" s="13" t="s">
        <v>12</v>
      </c>
      <c r="C65" s="14" t="s">
        <v>20</v>
      </c>
      <c r="D65" s="12" t="s">
        <v>21</v>
      </c>
      <c r="E65" s="13">
        <v>975</v>
      </c>
      <c r="F65" s="15">
        <f>E65*0.6</f>
        <v>585</v>
      </c>
      <c r="G65" s="15">
        <f t="shared" si="45"/>
        <v>585</v>
      </c>
      <c r="H65" s="16">
        <v>1</v>
      </c>
      <c r="I65" s="17" t="s">
        <v>13</v>
      </c>
      <c r="J65" s="13" t="s">
        <v>17</v>
      </c>
      <c r="K65" s="12" t="str">
        <f>K63</f>
        <v>ЭС</v>
      </c>
      <c r="L65" s="15">
        <v>585</v>
      </c>
    </row>
    <row r="66" spans="1:12" ht="22.5" customHeight="1" x14ac:dyDescent="0.25">
      <c r="A66" s="12" t="str">
        <f>A63</f>
        <v>ШНО (ЯУО9601-3474УХЛ4)</v>
      </c>
      <c r="B66" s="13" t="s">
        <v>90</v>
      </c>
      <c r="C66" s="14" t="s">
        <v>88</v>
      </c>
      <c r="D66" s="12" t="s">
        <v>89</v>
      </c>
      <c r="E66" s="13">
        <v>4250</v>
      </c>
      <c r="F66" s="15">
        <f>E66*0.6</f>
        <v>2550</v>
      </c>
      <c r="G66" s="15">
        <f t="shared" si="45"/>
        <v>2550</v>
      </c>
      <c r="H66" s="16">
        <v>1</v>
      </c>
      <c r="I66" s="17" t="s">
        <v>13</v>
      </c>
      <c r="J66" s="13" t="s">
        <v>17</v>
      </c>
      <c r="K66" s="12" t="str">
        <f>K63</f>
        <v>ЭС</v>
      </c>
      <c r="L66" s="15">
        <v>2550</v>
      </c>
    </row>
    <row r="67" spans="1:12" ht="22.5" customHeight="1" x14ac:dyDescent="0.25">
      <c r="A67" s="12" t="str">
        <f>A64</f>
        <v>ШНО (ЯУО9601-3474УХЛ4)</v>
      </c>
      <c r="B67" s="13" t="s">
        <v>87</v>
      </c>
      <c r="C67" s="14" t="s">
        <v>85</v>
      </c>
      <c r="D67" s="12" t="s">
        <v>86</v>
      </c>
      <c r="E67" s="13">
        <v>18847</v>
      </c>
      <c r="F67" s="15">
        <f>E67*0.6</f>
        <v>11308.199999999999</v>
      </c>
      <c r="G67" s="15">
        <f t="shared" si="45"/>
        <v>11308.199999999999</v>
      </c>
      <c r="H67" s="16">
        <v>1</v>
      </c>
      <c r="I67" s="17" t="s">
        <v>13</v>
      </c>
      <c r="J67" s="13" t="s">
        <v>17</v>
      </c>
      <c r="K67" s="12" t="str">
        <f>K64</f>
        <v>ЭС</v>
      </c>
      <c r="L67" s="15">
        <v>11308.199999999999</v>
      </c>
    </row>
    <row r="68" spans="1:12" ht="22.5" customHeight="1" x14ac:dyDescent="0.25">
      <c r="A68" s="12" t="str">
        <f>A65</f>
        <v>ШНО (ЯУО9601-3474УХЛ4)</v>
      </c>
      <c r="B68" s="13" t="s">
        <v>82</v>
      </c>
      <c r="C68" s="14"/>
      <c r="D68" s="12" t="s">
        <v>83</v>
      </c>
      <c r="E68" s="13">
        <v>15000</v>
      </c>
      <c r="F68" s="15">
        <f>E68</f>
        <v>15000</v>
      </c>
      <c r="G68" s="15">
        <f t="shared" ref="G68:G69" si="48">F68*H68</f>
        <v>15000</v>
      </c>
      <c r="H68" s="16">
        <v>1</v>
      </c>
      <c r="I68" s="17" t="s">
        <v>13</v>
      </c>
      <c r="J68" s="13" t="s">
        <v>26</v>
      </c>
      <c r="K68" s="12" t="str">
        <f>K65</f>
        <v>ЭС</v>
      </c>
      <c r="L68" s="15">
        <v>15000</v>
      </c>
    </row>
    <row r="69" spans="1:12" ht="22.5" customHeight="1" x14ac:dyDescent="0.25">
      <c r="A69" s="12" t="str">
        <f>A68</f>
        <v>ШНО (ЯУО9601-3474УХЛ4)</v>
      </c>
      <c r="B69" s="12" t="s">
        <v>10</v>
      </c>
      <c r="C69" s="18" t="s">
        <v>10</v>
      </c>
      <c r="D69" s="12" t="s">
        <v>10</v>
      </c>
      <c r="E69" s="12">
        <f ca="1">OFFSET(E69,1,2)</f>
        <v>12000</v>
      </c>
      <c r="F69" s="15">
        <f ca="1">E69</f>
        <v>12000</v>
      </c>
      <c r="G69" s="15">
        <f t="shared" ca="1" si="48"/>
        <v>12000</v>
      </c>
      <c r="H69" s="12">
        <v>1</v>
      </c>
      <c r="I69" s="12" t="s">
        <v>13</v>
      </c>
      <c r="J69" s="12" t="s">
        <v>10</v>
      </c>
      <c r="K69" s="12" t="str">
        <f t="shared" si="43"/>
        <v>ЭС</v>
      </c>
      <c r="L69" s="15">
        <v>12000</v>
      </c>
    </row>
    <row r="70" spans="1:12" ht="22.5" customHeight="1" x14ac:dyDescent="0.25">
      <c r="A70" s="12" t="str">
        <f t="shared" ref="A70:A71" si="49">A69</f>
        <v>ШНО (ЯУО9601-3474УХЛ4)</v>
      </c>
      <c r="B70" s="12" t="s">
        <v>11</v>
      </c>
      <c r="C70" s="18" t="s">
        <v>11</v>
      </c>
      <c r="D70" s="12" t="s">
        <v>11</v>
      </c>
      <c r="E70" s="12">
        <v>2</v>
      </c>
      <c r="F70" s="15">
        <v>100</v>
      </c>
      <c r="G70" s="15">
        <f>60*E70*F70</f>
        <v>12000</v>
      </c>
      <c r="H70" s="12">
        <f>60*E70</f>
        <v>120</v>
      </c>
      <c r="I70" s="12" t="s">
        <v>13</v>
      </c>
      <c r="J70" s="12" t="s">
        <v>11</v>
      </c>
      <c r="K70" s="12" t="str">
        <f t="shared" si="43"/>
        <v>ЭС</v>
      </c>
      <c r="L70" s="15">
        <v>12000</v>
      </c>
    </row>
    <row r="71" spans="1:12" ht="22.5" customHeight="1" x14ac:dyDescent="0.25">
      <c r="A71" s="12" t="str">
        <f t="shared" si="49"/>
        <v>ШНО (ЯУО9601-3474УХЛ4)</v>
      </c>
      <c r="B71" s="19"/>
      <c r="C71" s="20"/>
      <c r="D71" s="21"/>
      <c r="E71" s="23"/>
      <c r="F71" s="25"/>
      <c r="G71" s="24">
        <f ca="1">SUM(G57:G70)</f>
        <v>75424.800000000003</v>
      </c>
      <c r="H71" s="20"/>
      <c r="I71" s="22"/>
      <c r="J71" s="20"/>
      <c r="K71" s="12" t="str">
        <f t="shared" si="43"/>
        <v>ЭС</v>
      </c>
      <c r="L71" s="24">
        <v>75424.800000000003</v>
      </c>
    </row>
  </sheetData>
  <autoFilter ref="A1:J71" xr:uid="{0E2C231C-0991-4FBE-BD8E-9CD4D9BF51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07FC-38CD-42C7-B5CE-CA4E43F7336C}">
  <dimension ref="A1:K10"/>
  <sheetViews>
    <sheetView workbookViewId="0">
      <selection activeCell="Q6" sqref="Q6:Q7"/>
    </sheetView>
  </sheetViews>
  <sheetFormatPr defaultRowHeight="15" x14ac:dyDescent="0.25"/>
  <cols>
    <col min="2" max="2" width="51.140625" customWidth="1"/>
    <col min="3" max="3" width="17.42578125" customWidth="1"/>
  </cols>
  <sheetData>
    <row r="1" spans="1:11" ht="38.25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s="4" t="s">
        <v>70</v>
      </c>
      <c r="J1" s="3" t="s">
        <v>101</v>
      </c>
      <c r="K1">
        <v>2.2999999999999998</v>
      </c>
    </row>
    <row r="2" spans="1:11" ht="25.5" x14ac:dyDescent="0.25">
      <c r="A2" s="7"/>
      <c r="B2" s="6" t="s">
        <v>47</v>
      </c>
      <c r="C2" s="8">
        <f>ROUNDUP(K2,-3)</f>
        <v>374000</v>
      </c>
      <c r="D2" s="8">
        <f>0.7*C2</f>
        <v>261799.99999999997</v>
      </c>
      <c r="E2" s="9"/>
      <c r="F2" s="10">
        <v>1</v>
      </c>
      <c r="G2" s="11" t="s">
        <v>7</v>
      </c>
      <c r="H2" s="6" t="s">
        <v>9</v>
      </c>
      <c r="I2" s="6" t="s">
        <v>71</v>
      </c>
      <c r="J2" s="24">
        <v>162488.40000000002</v>
      </c>
      <c r="K2">
        <f>2.3*J2</f>
        <v>373723.32</v>
      </c>
    </row>
    <row r="3" spans="1:11" ht="25.5" x14ac:dyDescent="0.25">
      <c r="A3" s="7"/>
      <c r="B3" s="6" t="s">
        <v>67</v>
      </c>
      <c r="C3" s="8">
        <f t="shared" ref="C3:C6" si="0">ROUNDUP(K3,-3)</f>
        <v>1178000</v>
      </c>
      <c r="D3" s="8">
        <f t="shared" ref="D3:D10" si="1">0.7*C3</f>
        <v>824600</v>
      </c>
      <c r="E3" s="9"/>
      <c r="F3" s="10">
        <v>1</v>
      </c>
      <c r="G3" s="11" t="s">
        <v>7</v>
      </c>
      <c r="H3" s="6" t="s">
        <v>9</v>
      </c>
      <c r="I3" s="6" t="s">
        <v>71</v>
      </c>
      <c r="J3" s="24">
        <v>511796.39999999997</v>
      </c>
      <c r="K3">
        <f t="shared" ref="K3:K10" si="2">2.3*J3</f>
        <v>1177131.7199999997</v>
      </c>
    </row>
    <row r="4" spans="1:11" ht="25.5" x14ac:dyDescent="0.25">
      <c r="A4" s="7"/>
      <c r="B4" s="6" t="s">
        <v>60</v>
      </c>
      <c r="C4" s="8">
        <f t="shared" si="0"/>
        <v>428000</v>
      </c>
      <c r="D4" s="8">
        <f t="shared" si="1"/>
        <v>299600</v>
      </c>
      <c r="E4" s="9"/>
      <c r="F4" s="10">
        <v>1</v>
      </c>
      <c r="G4" s="11" t="s">
        <v>7</v>
      </c>
      <c r="H4" s="6" t="s">
        <v>9</v>
      </c>
      <c r="I4" s="6" t="s">
        <v>71</v>
      </c>
      <c r="J4" s="24">
        <v>185674.19999999998</v>
      </c>
      <c r="K4">
        <f t="shared" si="2"/>
        <v>427050.65999999992</v>
      </c>
    </row>
    <row r="5" spans="1:11" ht="25.5" x14ac:dyDescent="0.25">
      <c r="A5" s="7"/>
      <c r="B5" s="6" t="s">
        <v>61</v>
      </c>
      <c r="C5" s="8">
        <f t="shared" si="0"/>
        <v>114000</v>
      </c>
      <c r="D5" s="8">
        <f t="shared" si="1"/>
        <v>79800</v>
      </c>
      <c r="E5" s="9"/>
      <c r="F5" s="10">
        <v>1</v>
      </c>
      <c r="G5" s="11" t="s">
        <v>7</v>
      </c>
      <c r="H5" s="6" t="s">
        <v>9</v>
      </c>
      <c r="I5" s="6" t="s">
        <v>71</v>
      </c>
      <c r="J5" s="24">
        <v>49308</v>
      </c>
      <c r="K5">
        <f t="shared" si="2"/>
        <v>113408.4</v>
      </c>
    </row>
    <row r="6" spans="1:11" ht="25.5" x14ac:dyDescent="0.25">
      <c r="A6" s="7"/>
      <c r="B6" s="6" t="s">
        <v>62</v>
      </c>
      <c r="C6" s="8">
        <f t="shared" si="0"/>
        <v>44000</v>
      </c>
      <c r="D6" s="8">
        <f t="shared" si="1"/>
        <v>30799.999999999996</v>
      </c>
      <c r="E6" s="9"/>
      <c r="F6" s="10">
        <v>1</v>
      </c>
      <c r="G6" s="11" t="s">
        <v>7</v>
      </c>
      <c r="H6" s="6" t="s">
        <v>9</v>
      </c>
      <c r="I6" s="6" t="s">
        <v>71</v>
      </c>
      <c r="J6" s="24">
        <v>18783</v>
      </c>
      <c r="K6">
        <f t="shared" si="2"/>
        <v>43200.899999999994</v>
      </c>
    </row>
    <row r="7" spans="1:11" ht="25.5" x14ac:dyDescent="0.25">
      <c r="A7" s="7"/>
      <c r="B7" s="6" t="s">
        <v>64</v>
      </c>
      <c r="C7" s="8">
        <v>23500</v>
      </c>
      <c r="D7" s="8">
        <f t="shared" si="1"/>
        <v>16450</v>
      </c>
      <c r="E7" s="9"/>
      <c r="F7" s="10">
        <v>3</v>
      </c>
      <c r="G7" s="11" t="s">
        <v>7</v>
      </c>
      <c r="H7" s="6" t="s">
        <v>9</v>
      </c>
      <c r="I7" s="6" t="s">
        <v>71</v>
      </c>
      <c r="J7" s="9"/>
      <c r="K7">
        <f t="shared" si="2"/>
        <v>0</v>
      </c>
    </row>
    <row r="8" spans="1:11" ht="25.5" x14ac:dyDescent="0.25">
      <c r="A8" s="7"/>
      <c r="B8" s="6" t="s">
        <v>65</v>
      </c>
      <c r="C8" s="8">
        <v>66000</v>
      </c>
      <c r="D8" s="8">
        <f t="shared" si="1"/>
        <v>46200</v>
      </c>
      <c r="E8" s="9"/>
      <c r="F8" s="10">
        <v>1</v>
      </c>
      <c r="G8" s="11" t="s">
        <v>7</v>
      </c>
      <c r="H8" s="6" t="s">
        <v>9</v>
      </c>
      <c r="I8" s="6" t="s">
        <v>71</v>
      </c>
      <c r="J8" s="9"/>
      <c r="K8">
        <f t="shared" si="2"/>
        <v>0</v>
      </c>
    </row>
    <row r="9" spans="1:11" ht="25.5" x14ac:dyDescent="0.25">
      <c r="A9" s="7"/>
      <c r="B9" s="6" t="s">
        <v>66</v>
      </c>
      <c r="C9" s="8">
        <v>68000</v>
      </c>
      <c r="D9" s="8">
        <f t="shared" si="1"/>
        <v>47600</v>
      </c>
      <c r="E9" s="9"/>
      <c r="F9" s="10">
        <v>1</v>
      </c>
      <c r="G9" s="11" t="s">
        <v>7</v>
      </c>
      <c r="H9" s="6" t="s">
        <v>9</v>
      </c>
      <c r="I9" s="6" t="s">
        <v>71</v>
      </c>
      <c r="J9" s="9"/>
      <c r="K9">
        <f t="shared" si="2"/>
        <v>0</v>
      </c>
    </row>
    <row r="10" spans="1:11" x14ac:dyDescent="0.25">
      <c r="A10" s="7"/>
      <c r="B10" s="6" t="s">
        <v>84</v>
      </c>
      <c r="C10" s="8">
        <f t="shared" ref="C10" si="3">ROUNDUP(K10,-3)</f>
        <v>174000</v>
      </c>
      <c r="D10" s="8">
        <f t="shared" si="1"/>
        <v>121799.99999999999</v>
      </c>
      <c r="E10" s="9"/>
      <c r="F10" s="10">
        <v>1</v>
      </c>
      <c r="G10" s="11" t="s">
        <v>7</v>
      </c>
      <c r="H10" s="6" t="s">
        <v>9</v>
      </c>
      <c r="I10" s="6" t="s">
        <v>72</v>
      </c>
      <c r="J10" s="24">
        <v>75424.800000000003</v>
      </c>
      <c r="K10">
        <f t="shared" si="2"/>
        <v>173477.03999999998</v>
      </c>
    </row>
  </sheetData>
  <autoFilter ref="A1:J10" xr:uid="{F65A07FC-38CD-42C7-B5CE-CA4E43F73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2026-09-02T13:26:46Z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