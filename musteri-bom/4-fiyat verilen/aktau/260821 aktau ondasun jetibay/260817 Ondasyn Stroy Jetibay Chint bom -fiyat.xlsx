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21 aktau ondasun jetibay\"/>
    </mc:Choice>
  </mc:AlternateContent>
  <xr:revisionPtr revIDLastSave="0" documentId="13_ncr:1_{90880213-0879-454B-9F89-AF2B211CFA9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2" sheetId="3" r:id="rId1"/>
  </sheets>
  <definedNames>
    <definedName name="_xlnm._FilterDatabase" localSheetId="0">Sayfa2!$A$1:$H$10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2" i="3"/>
  <c r="H11" i="3"/>
</calcChain>
</file>

<file path=xl/sharedStrings.xml><?xml version="1.0" encoding="utf-8"?>
<sst xmlns="http://schemas.openxmlformats.org/spreadsheetml/2006/main" count="44" uniqueCount="21">
  <si>
    <t>Артикул</t>
  </si>
  <si>
    <t>Цена,тг</t>
  </si>
  <si>
    <t>Ед.изм</t>
  </si>
  <si>
    <t>завод из готовитель</t>
  </si>
  <si>
    <t>СУММ.</t>
  </si>
  <si>
    <t>комплект</t>
  </si>
  <si>
    <t>TEKSAN</t>
  </si>
  <si>
    <t>Номенклатура</t>
  </si>
  <si>
    <t>Кол- во</t>
  </si>
  <si>
    <t>ШС-1 (ПР11-3116-21УЗ)</t>
  </si>
  <si>
    <t>ШР-1</t>
  </si>
  <si>
    <t>ЩРВ</t>
  </si>
  <si>
    <t>ЩO</t>
  </si>
  <si>
    <t>ПМЛ-1220</t>
  </si>
  <si>
    <t>Я1(ЯРП-111М-311-100А)</t>
  </si>
  <si>
    <t>ЯР2(ЯРВ-100)</t>
  </si>
  <si>
    <t>АВР-3-400-2-У</t>
  </si>
  <si>
    <t>Source</t>
  </si>
  <si>
    <t>Эобд и Эосв</t>
  </si>
  <si>
    <t>ЭС</t>
  </si>
  <si>
    <t>ШНО (ЯУО9601-3474УХЛ4)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</si>
</sst>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6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 applyProtection="1">
      <alignment horizontal="center" vertical="center" wrapText="1"/>
    </xf>
    <xf numFmtId="0" fontId="6" fillId="3" borderId="1" xfId="1" applyNumberFormat="1" applyFont="1" applyFill="1" applyBorder="1" applyAlignment="1" applyProtection="1">
      <alignment horizontal="center" vertical="center"/>
    </xf>
    <xf numFmtId="165" fontId="6" fillId="3" borderId="1" xfId="1" applyNumberFormat="1" applyFont="1" applyFill="1" applyBorder="1" applyAlignment="1" applyProtection="1">
      <alignment horizontal="center" vertical="center" wrapText="1"/>
    </xf>
    <xf numFmtId="3" fontId="6" fillId="2" borderId="1" xfId="1" applyNumberFormat="1" applyFont="1" applyFill="1" applyBorder="1" applyAlignment="1" applyProtection="1">
      <alignment horizontal="center" vertical="center" wrapText="1"/>
    </xf>
    <xf numFmtId="3" fontId="6" fillId="3" borderId="1" xfId="1" applyNumberFormat="1" applyFont="1" applyFill="1" applyBorder="1" applyAlignment="1" applyProtection="1">
      <alignment horizontal="center" vertical="center"/>
    </xf>
    <xf numFmtId="3" fontId="0" fillId="0" borderId="0" xfId="0" applyNumberFormat="1"/>
    <xf numFmtId="3" fontId="7" fillId="4" borderId="0" xfId="0" applyNumberFormat="1" applyFont="1" applyFill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07FC-38CD-42C7-B5CE-CA4E43F7336C}">
  <dimension ref="A1:H11"/>
  <sheetViews>
    <sheetView tabSelected="1" workbookViewId="0">
      <selection activeCell="J11" sqref="J11"/>
    </sheetView>
  </sheetViews>
  <sheetFormatPr defaultRowHeight="15" x14ac:dyDescent="0.25"/>
  <cols>
    <col min="2" max="2" width="51.140625" customWidth="1"/>
    <col min="7" max="7" width="12.140625" style="10" customWidth="1"/>
    <col min="8" max="8" width="17" style="10" customWidth="1"/>
  </cols>
  <sheetData>
    <row r="1" spans="1:8" ht="38.25" x14ac:dyDescent="0.25">
      <c r="A1" s="2" t="s">
        <v>0</v>
      </c>
      <c r="B1" s="1" t="s">
        <v>7</v>
      </c>
      <c r="C1" s="3" t="s">
        <v>8</v>
      </c>
      <c r="D1" s="3" t="s">
        <v>2</v>
      </c>
      <c r="E1" s="3" t="s">
        <v>3</v>
      </c>
      <c r="F1" s="3" t="s">
        <v>17</v>
      </c>
      <c r="G1" s="2" t="s">
        <v>1</v>
      </c>
      <c r="H1" s="8" t="s">
        <v>4</v>
      </c>
    </row>
    <row r="2" spans="1:8" ht="25.5" x14ac:dyDescent="0.25">
      <c r="A2" s="5"/>
      <c r="B2" s="4" t="s">
        <v>9</v>
      </c>
      <c r="C2" s="6">
        <v>1</v>
      </c>
      <c r="D2" s="7" t="s">
        <v>5</v>
      </c>
      <c r="E2" s="4" t="s">
        <v>6</v>
      </c>
      <c r="F2" s="4" t="s">
        <v>18</v>
      </c>
      <c r="G2" s="9">
        <v>374000</v>
      </c>
      <c r="H2" s="5">
        <f>G2*C2</f>
        <v>374000</v>
      </c>
    </row>
    <row r="3" spans="1:8" ht="25.5" x14ac:dyDescent="0.25">
      <c r="A3" s="5"/>
      <c r="B3" s="4" t="s">
        <v>16</v>
      </c>
      <c r="C3" s="6">
        <v>1</v>
      </c>
      <c r="D3" s="7" t="s">
        <v>5</v>
      </c>
      <c r="E3" s="4" t="s">
        <v>6</v>
      </c>
      <c r="F3" s="4" t="s">
        <v>18</v>
      </c>
      <c r="G3" s="9">
        <v>1178000</v>
      </c>
      <c r="H3" s="5">
        <f t="shared" ref="H3:H10" si="0">G3*C3</f>
        <v>1178000</v>
      </c>
    </row>
    <row r="4" spans="1:8" ht="25.5" x14ac:dyDescent="0.25">
      <c r="A4" s="5"/>
      <c r="B4" s="4" t="s">
        <v>10</v>
      </c>
      <c r="C4" s="6">
        <v>1</v>
      </c>
      <c r="D4" s="7" t="s">
        <v>5</v>
      </c>
      <c r="E4" s="4" t="s">
        <v>6</v>
      </c>
      <c r="F4" s="4" t="s">
        <v>18</v>
      </c>
      <c r="G4" s="9">
        <v>428000</v>
      </c>
      <c r="H4" s="5">
        <f t="shared" si="0"/>
        <v>428000</v>
      </c>
    </row>
    <row r="5" spans="1:8" ht="25.5" x14ac:dyDescent="0.25">
      <c r="A5" s="5"/>
      <c r="B5" s="4" t="s">
        <v>11</v>
      </c>
      <c r="C5" s="6">
        <v>1</v>
      </c>
      <c r="D5" s="7" t="s">
        <v>5</v>
      </c>
      <c r="E5" s="4" t="s">
        <v>6</v>
      </c>
      <c r="F5" s="4" t="s">
        <v>18</v>
      </c>
      <c r="G5" s="9">
        <v>114000</v>
      </c>
      <c r="H5" s="5">
        <f t="shared" si="0"/>
        <v>114000</v>
      </c>
    </row>
    <row r="6" spans="1:8" ht="25.5" x14ac:dyDescent="0.25">
      <c r="A6" s="5"/>
      <c r="B6" s="4" t="s">
        <v>12</v>
      </c>
      <c r="C6" s="6">
        <v>1</v>
      </c>
      <c r="D6" s="7" t="s">
        <v>5</v>
      </c>
      <c r="E6" s="4" t="s">
        <v>6</v>
      </c>
      <c r="F6" s="4" t="s">
        <v>18</v>
      </c>
      <c r="G6" s="9">
        <v>44000</v>
      </c>
      <c r="H6" s="5">
        <f t="shared" si="0"/>
        <v>44000</v>
      </c>
    </row>
    <row r="7" spans="1:8" ht="25.5" x14ac:dyDescent="0.25">
      <c r="A7" s="5"/>
      <c r="B7" s="4" t="s">
        <v>13</v>
      </c>
      <c r="C7" s="6">
        <v>3</v>
      </c>
      <c r="D7" s="7" t="s">
        <v>5</v>
      </c>
      <c r="E7" s="4" t="s">
        <v>6</v>
      </c>
      <c r="F7" s="4" t="s">
        <v>18</v>
      </c>
      <c r="G7" s="9">
        <v>70500</v>
      </c>
      <c r="H7" s="5">
        <f t="shared" si="0"/>
        <v>211500</v>
      </c>
    </row>
    <row r="8" spans="1:8" ht="25.5" x14ac:dyDescent="0.25">
      <c r="A8" s="5"/>
      <c r="B8" s="4" t="s">
        <v>14</v>
      </c>
      <c r="C8" s="6">
        <v>1</v>
      </c>
      <c r="D8" s="7" t="s">
        <v>5</v>
      </c>
      <c r="E8" s="4" t="s">
        <v>6</v>
      </c>
      <c r="F8" s="4" t="s">
        <v>18</v>
      </c>
      <c r="G8" s="9">
        <v>66000</v>
      </c>
      <c r="H8" s="5">
        <f t="shared" si="0"/>
        <v>66000</v>
      </c>
    </row>
    <row r="9" spans="1:8" ht="25.5" x14ac:dyDescent="0.25">
      <c r="A9" s="5"/>
      <c r="B9" s="4" t="s">
        <v>15</v>
      </c>
      <c r="C9" s="6">
        <v>1</v>
      </c>
      <c r="D9" s="7" t="s">
        <v>5</v>
      </c>
      <c r="E9" s="4" t="s">
        <v>6</v>
      </c>
      <c r="F9" s="4" t="s">
        <v>18</v>
      </c>
      <c r="G9" s="9">
        <v>68000</v>
      </c>
      <c r="H9" s="5">
        <f t="shared" si="0"/>
        <v>68000</v>
      </c>
    </row>
    <row r="10" spans="1:8" x14ac:dyDescent="0.25">
      <c r="A10" s="5"/>
      <c r="B10" s="4" t="s">
        <v>20</v>
      </c>
      <c r="C10" s="6">
        <v>1</v>
      </c>
      <c r="D10" s="7" t="s">
        <v>5</v>
      </c>
      <c r="E10" s="4" t="s">
        <v>6</v>
      </c>
      <c r="F10" s="4" t="s">
        <v>19</v>
      </c>
      <c r="G10" s="9">
        <v>174000</v>
      </c>
      <c r="H10" s="5">
        <f t="shared" si="0"/>
        <v>174000</v>
      </c>
    </row>
    <row r="11" spans="1:8" ht="21" x14ac:dyDescent="0.35">
      <c r="H11" s="11">
        <f>SUM(H2:H10)</f>
        <v>2657500</v>
      </c>
    </row>
  </sheetData>
  <autoFilter ref="A1:H10" xr:uid="{F65A07FC-38CD-42C7-B5CE-CA4E43F733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Sayfa2</vt:lpstr>
      <vt:lpstr>Sayfa2!_VeritabaniniFiltrele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2026-08-25T05:29:31Z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