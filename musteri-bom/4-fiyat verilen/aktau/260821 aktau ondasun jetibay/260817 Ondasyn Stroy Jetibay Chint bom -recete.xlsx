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'ım\2-calisilan\proje\260821 aktau ondasun jetibay\"/>
    </mc:Choice>
  </mc:AlternateContent>
  <xr:revisionPtr revIDLastSave="0" documentId="13_ncr:1_{65AF10C8-E8AE-40F8-A0B9-8F29BB299E8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ayfa1" sheetId="2" r:id="rId1"/>
  </sheets>
  <definedNames>
    <definedName name="_xlnm._FilterDatabase" localSheetId="0" hidden="1">Sayfa1!$A$1:$F$71</definedName>
    <definedName name="sayac">Sayfa1!#REF!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7" i="2" l="1"/>
  <c r="G58" i="2" s="1"/>
  <c r="G59" i="2" s="1"/>
  <c r="G61" i="2" s="1"/>
  <c r="A56" i="2"/>
  <c r="A57" i="2" s="1"/>
  <c r="A58" i="2" s="1"/>
  <c r="A59" i="2" s="1"/>
  <c r="A61" i="2" s="1"/>
  <c r="G47" i="2"/>
  <c r="G48" i="2" s="1"/>
  <c r="G49" i="2" s="1"/>
  <c r="G50" i="2" s="1"/>
  <c r="G51" i="2" s="1"/>
  <c r="G52" i="2" s="1"/>
  <c r="G36" i="2"/>
  <c r="G37" i="2" s="1"/>
  <c r="G38" i="2" s="1"/>
  <c r="G39" i="2" s="1"/>
  <c r="G40" i="2" s="1"/>
  <c r="G41" i="2" s="1"/>
  <c r="G42" i="2" s="1"/>
  <c r="G43" i="2" s="1"/>
  <c r="G44" i="2" s="1"/>
  <c r="G45" i="2" s="1"/>
  <c r="G25" i="2"/>
  <c r="G26" i="2" s="1"/>
  <c r="G27" i="2" s="1"/>
  <c r="G28" i="2" s="1"/>
  <c r="G29" i="2" s="1"/>
  <c r="G30" i="2" s="1"/>
  <c r="G31" i="2" s="1"/>
  <c r="G32" i="2" s="1"/>
  <c r="G33" i="2" s="1"/>
  <c r="G34" i="2" s="1"/>
  <c r="G16" i="2"/>
  <c r="G17" i="2" s="1"/>
  <c r="G18" i="2" s="1"/>
  <c r="G19" i="2" s="1"/>
  <c r="G3" i="2"/>
  <c r="G4" i="2" s="1"/>
  <c r="G5" i="2" s="1"/>
  <c r="G6" i="2" s="1"/>
  <c r="G7" i="2" s="1"/>
  <c r="G8" i="2" s="1"/>
  <c r="G9" i="2" s="1"/>
  <c r="G10" i="2" s="1"/>
  <c r="G11" i="2" s="1"/>
  <c r="G12" i="2" s="1"/>
  <c r="G13" i="2" s="1"/>
  <c r="G14" i="2" s="1"/>
  <c r="A15" i="2"/>
  <c r="A16" i="2" s="1"/>
  <c r="A17" i="2" s="1"/>
  <c r="A18" i="2" s="1"/>
  <c r="A19" i="2" s="1"/>
  <c r="A55" i="2"/>
  <c r="A54" i="2"/>
  <c r="A46" i="2"/>
  <c r="A47" i="2" s="1"/>
  <c r="A48" i="2" s="1"/>
  <c r="A49" i="2" s="1"/>
  <c r="A50" i="2" s="1"/>
  <c r="A51" i="2" s="1"/>
  <c r="A52" i="2" s="1"/>
  <c r="A35" i="2"/>
  <c r="A36" i="2" s="1"/>
  <c r="A37" i="2" s="1"/>
  <c r="A38" i="2" s="1"/>
  <c r="A39" i="2" s="1"/>
  <c r="A40" i="2" s="1"/>
  <c r="A41" i="2" s="1"/>
  <c r="A42" i="2" s="1"/>
  <c r="A24" i="2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53" i="2"/>
  <c r="A2" i="2"/>
  <c r="A3" i="2" s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G20" i="2" l="1"/>
  <c r="G21" i="2" s="1"/>
  <c r="G22" i="2" s="1"/>
  <c r="G23" i="2" s="1"/>
  <c r="A21" i="2"/>
  <c r="A22" i="2" s="1"/>
  <c r="A23" i="2" s="1"/>
  <c r="A20" i="2"/>
  <c r="G60" i="2"/>
  <c r="A60" i="2"/>
  <c r="A43" i="2"/>
  <c r="A44" i="2" s="1"/>
  <c r="A45" i="2" s="1"/>
  <c r="G62" i="2" l="1"/>
  <c r="G63" i="2"/>
  <c r="A63" i="2"/>
  <c r="A62" i="2"/>
  <c r="G66" i="2" l="1"/>
  <c r="G64" i="2"/>
  <c r="G67" i="2" s="1"/>
  <c r="G65" i="2"/>
  <c r="G68" i="2" s="1"/>
  <c r="G69" i="2" s="1"/>
  <c r="G70" i="2" s="1"/>
  <c r="G71" i="2" s="1"/>
  <c r="A64" i="2"/>
  <c r="A67" i="2" s="1"/>
  <c r="A65" i="2"/>
  <c r="A68" i="2" s="1"/>
  <c r="A69" i="2" s="1"/>
  <c r="A70" i="2" s="1"/>
  <c r="A71" i="2" s="1"/>
  <c r="A66" i="2"/>
</calcChain>
</file>

<file path=xl/sharedStrings.xml><?xml version="1.0" encoding="utf-8"?>
<sst xmlns="http://schemas.openxmlformats.org/spreadsheetml/2006/main" count="317" uniqueCount="102">
  <si>
    <t>malzeme</t>
  </si>
  <si>
    <t>Артикул</t>
  </si>
  <si>
    <t>Наименование</t>
  </si>
  <si>
    <t>Ед.изм</t>
  </si>
  <si>
    <t>завод из готовитель</t>
  </si>
  <si>
    <t>комплект</t>
  </si>
  <si>
    <t>korpus</t>
  </si>
  <si>
    <t>TEKSAN</t>
  </si>
  <si>
    <t>монтажный материал</t>
  </si>
  <si>
    <t>монтажная работа</t>
  </si>
  <si>
    <t>oto</t>
  </si>
  <si>
    <t xml:space="preserve"> ШТ. </t>
  </si>
  <si>
    <t>Номенклатура</t>
  </si>
  <si>
    <t>teksan f</t>
  </si>
  <si>
    <t>chint</t>
  </si>
  <si>
    <t>296709</t>
  </si>
  <si>
    <t>Авт. выкл. NXB-63S 1P 10А 4.5kA х-ка C (R)</t>
  </si>
  <si>
    <t>296708</t>
  </si>
  <si>
    <t>Авт. выкл. NXB-63S 1P 6А 4.5kA х-ка C (R)</t>
  </si>
  <si>
    <t>296829</t>
  </si>
  <si>
    <t>Авт. выкл. NXB-63S 3P 25А 4.5kA х-ка C (R)</t>
  </si>
  <si>
    <t>296833</t>
  </si>
  <si>
    <t>Авт. выкл. NXB-63S 3P 63А 4.5kA х-ка C (R)</t>
  </si>
  <si>
    <t>pys</t>
  </si>
  <si>
    <t>mccb</t>
  </si>
  <si>
    <t>ats</t>
  </si>
  <si>
    <t>296826</t>
  </si>
  <si>
    <t>Авт. выкл. NXB-63S 3P 10А 4.5kA х-ка C (R)</t>
  </si>
  <si>
    <t>296712</t>
  </si>
  <si>
    <t>Авт. выкл. NXB-63S 1P 25А 4.5kA х-ка C (R)</t>
  </si>
  <si>
    <t>814989</t>
  </si>
  <si>
    <t>Независимый расцепитель SHT-X1 AC230V/400V для NXB-63 (R)</t>
  </si>
  <si>
    <t>rn</t>
  </si>
  <si>
    <t>contactor</t>
  </si>
  <si>
    <t>296827</t>
  </si>
  <si>
    <t>Авт. выкл. NXB-63S 3P 16А 4.5kA х-ка C (R)</t>
  </si>
  <si>
    <t>296710</t>
  </si>
  <si>
    <t>Авт. выкл. NXB-63S 1P 16А 4.5kA х-ка C (R)</t>
  </si>
  <si>
    <t>uzo</t>
  </si>
  <si>
    <t>593077</t>
  </si>
  <si>
    <t>Индикатор ND16-22D/2 зеленый AC/DC230В (R)</t>
  </si>
  <si>
    <t>593075</t>
  </si>
  <si>
    <t>Индикатор ND16-22D/2 красный AC/DC230В (R)</t>
  </si>
  <si>
    <t>indicator</t>
  </si>
  <si>
    <t>ШС-1 (ПР11-3116-21УЗ)</t>
  </si>
  <si>
    <t>131369</t>
  </si>
  <si>
    <t>Авт. выкл. NXM-250S/3Р 250A 36кА (R)</t>
  </si>
  <si>
    <t>816139</t>
  </si>
  <si>
    <t>Авт. выкл. NXB-125 3P 80A 10кА х-ка C (R)</t>
  </si>
  <si>
    <t>296831</t>
  </si>
  <si>
    <t>Авт. выкл. NXB-63S 3P 40А 4.5kA х-ка C (R)</t>
  </si>
  <si>
    <t>296825</t>
  </si>
  <si>
    <t>Авт. выкл. NXB-63S 3P 6А 4.5kA х-ка C (R)</t>
  </si>
  <si>
    <t>280721</t>
  </si>
  <si>
    <t>УЗО NXL-63 6kA 1P+N 25A 30mA AC (R)</t>
  </si>
  <si>
    <t>280720</t>
  </si>
  <si>
    <t>УЗО NXL-63 6kA 1P+N 16A 30mA AC (R)</t>
  </si>
  <si>
    <t>ШР-1</t>
  </si>
  <si>
    <t>ЩРВ</t>
  </si>
  <si>
    <t>ЩO</t>
  </si>
  <si>
    <t>button</t>
  </si>
  <si>
    <t>ПМЛ-1220</t>
  </si>
  <si>
    <t>Я1(ЯРП-111М-311-100А)</t>
  </si>
  <si>
    <t>ЯР2(ЯРВ-100)</t>
  </si>
  <si>
    <t>АВР-3-400-2-У</t>
  </si>
  <si>
    <t>256811</t>
  </si>
  <si>
    <t>Устройство автоматического ввода резерва NXZM-400S/3B 400A (R)</t>
  </si>
  <si>
    <t>Source</t>
  </si>
  <si>
    <t>Эобд и Эосв</t>
  </si>
  <si>
    <t>ЭС</t>
  </si>
  <si>
    <t>256089</t>
  </si>
  <si>
    <t>Контактор модульный NCH8-25/40 25A 4НО AC220/230В 50Гц (R)</t>
  </si>
  <si>
    <t>574816</t>
  </si>
  <si>
    <t>Кнопка управления NP2-EA31 без подсветки зеленая 1НО IP40</t>
  </si>
  <si>
    <t>574817</t>
  </si>
  <si>
    <t>Кнопка управления NP2-EA42 без подсветки красная 1НЗ IP40</t>
  </si>
  <si>
    <t>574855</t>
  </si>
  <si>
    <t>Переключатель NP2-BG33, 3 положения с фиксацией, 2НО IP40</t>
  </si>
  <si>
    <t>perekluchatel</t>
  </si>
  <si>
    <t>fotorele</t>
  </si>
  <si>
    <t>fr-din-1-25</t>
  </si>
  <si>
    <t>ШНО (ЯУО9601-3474УХЛ4)</t>
  </si>
  <si>
    <t>310024</t>
  </si>
  <si>
    <t>Таймер электронный NKG3 AC230В (R)</t>
  </si>
  <si>
    <t>timer</t>
  </si>
  <si>
    <t>837119</t>
  </si>
  <si>
    <t>Тепловое реле NXR-25 17-25A (R)</t>
  </si>
  <si>
    <t>rele</t>
  </si>
  <si>
    <t>719-15562</t>
  </si>
  <si>
    <t>Мет. Корпус ЩМП- 6 (1200х750х300) IP54</t>
  </si>
  <si>
    <t>714-15010</t>
  </si>
  <si>
    <t>Pano met.ShRn-24 b/o (398х312х120)S/U 36 IP31 (TS)</t>
  </si>
  <si>
    <t>719-15430</t>
  </si>
  <si>
    <t>Мет.Корпус ЩМП-2 (500x400x220)  IP31</t>
  </si>
  <si>
    <t>714-15005</t>
  </si>
  <si>
    <t>Pano met.ShRn-12 b/o (313х268х120)S/U 36 IP31 (TS)</t>
  </si>
  <si>
    <t>719-154</t>
  </si>
  <si>
    <t>Мет.Корпус ЩМП-400ats (1200x800x400) IP31</t>
  </si>
  <si>
    <t>714-15115</t>
  </si>
  <si>
    <t>Щит мет. ЩРн-6-2 PR (1200x750x300) IP31 (TS)</t>
  </si>
  <si>
    <t>131364</t>
  </si>
  <si>
    <t>Авт. выкл. NXM-160S/3Р 160A 36кА (R)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</si>
</sst>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\-??_-;_-@_-"/>
    <numFmt numFmtId="165" formatCode="_-* #,##0_-;\-* #,##0_-;_-* \-??_-;_-@_-"/>
  </numFmts>
  <fonts count="12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color theme="1"/>
      <name val="Calibri"/>
      <family val="2"/>
      <scheme val="minor"/>
    </font>
    <font>
      <sz val="9"/>
      <name val="Calibri"/>
      <family val="2"/>
      <charset val="204"/>
      <scheme val="minor"/>
    </font>
    <font>
      <b/>
      <sz val="9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  <fill>
      <patternFill patternType="solid">
        <fgColor theme="0"/>
        <bgColor rgb="FFFFFF99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rgb="FF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164" fontId="4" fillId="0" borderId="0" applyBorder="0" applyProtection="0"/>
    <xf numFmtId="0" fontId="3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18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0" fontId="6" fillId="2" borderId="1" xfId="1" applyNumberFormat="1" applyFont="1" applyFill="1" applyBorder="1" applyAlignment="1" applyProtection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3" fontId="6" fillId="6" borderId="1" xfId="1" applyNumberFormat="1" applyFont="1" applyFill="1" applyBorder="1" applyAlignment="1" applyProtection="1">
      <alignment horizontal="center" vertical="center" wrapText="1"/>
    </xf>
    <xf numFmtId="165" fontId="6" fillId="6" borderId="1" xfId="1" applyNumberFormat="1" applyFont="1" applyFill="1" applyBorder="1" applyAlignment="1" applyProtection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3" fontId="6" fillId="4" borderId="1" xfId="1" applyNumberFormat="1" applyFont="1" applyFill="1" applyBorder="1" applyAlignment="1" applyProtection="1">
      <alignment horizontal="center" vertical="center" wrapText="1"/>
    </xf>
    <xf numFmtId="165" fontId="6" fillId="4" borderId="1" xfId="1" applyNumberFormat="1" applyFont="1" applyFill="1" applyBorder="1" applyAlignment="1" applyProtection="1">
      <alignment horizontal="center" vertical="center" wrapText="1"/>
    </xf>
    <xf numFmtId="3" fontId="6" fillId="4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1" fontId="10" fillId="0" borderId="1" xfId="0" quotePrefix="1" applyNumberFormat="1" applyFont="1" applyBorder="1" applyAlignment="1">
      <alignment horizontal="center" vertical="center"/>
    </xf>
    <xf numFmtId="165" fontId="11" fillId="4" borderId="1" xfId="1" applyNumberFormat="1" applyFont="1" applyFill="1" applyBorder="1" applyAlignment="1" applyProtection="1">
      <alignment horizontal="center" vertical="center" wrapText="1"/>
    </xf>
    <xf numFmtId="0" fontId="6" fillId="4" borderId="1" xfId="1" applyNumberFormat="1" applyFont="1" applyFill="1" applyBorder="1" applyAlignment="1" applyProtection="1">
      <alignment horizontal="center" vertical="center" wrapText="1"/>
    </xf>
  </cellXfs>
  <cellStyles count="7">
    <cellStyle name="Normal" xfId="0" builtinId="0"/>
    <cellStyle name="Normal 2" xfId="4" xr:uid="{58983704-5E2B-4916-A376-1020AEBA7112}"/>
    <cellStyle name="Virgül" xfId="1" builtinId="3"/>
    <cellStyle name="Обычный 2" xfId="2" xr:uid="{9F91089A-2C01-471B-9845-EF702ED3C33C}"/>
    <cellStyle name="Обычный 2 2" xfId="3" xr:uid="{E01E0257-FF99-4AF9-B452-D8F88D301A3A}"/>
    <cellStyle name="Обычный 2 2 2" xfId="6" xr:uid="{F7C7FA61-46D9-4882-A799-DFAFF2386462}"/>
    <cellStyle name="Обычный 2 3" xfId="5" xr:uid="{CD09FCFD-EFD6-4824-A0CB-AF049C27D85C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C231C-0991-4FBE-BD8E-9CD4D9BF51D9}">
  <dimension ref="A1:G71"/>
  <sheetViews>
    <sheetView tabSelected="1" zoomScale="115" zoomScaleNormal="115" workbookViewId="0">
      <pane ySplit="1" topLeftCell="A17" activePane="bottomLeft" state="frozen"/>
      <selection pane="bottomLeft" activeCell="K20" sqref="K20"/>
    </sheetView>
  </sheetViews>
  <sheetFormatPr defaultRowHeight="22.5" customHeight="1" x14ac:dyDescent="0.25"/>
  <cols>
    <col min="1" max="1" width="23.42578125" customWidth="1"/>
    <col min="3" max="3" width="9.28515625" bestFit="1" customWidth="1"/>
    <col min="4" max="4" width="72.42578125" customWidth="1"/>
    <col min="7" max="7" width="14.42578125" customWidth="1"/>
  </cols>
  <sheetData>
    <row r="1" spans="1:7" ht="45" customHeight="1" x14ac:dyDescent="0.25">
      <c r="A1" s="1" t="s">
        <v>2</v>
      </c>
      <c r="B1" s="1" t="s">
        <v>0</v>
      </c>
      <c r="C1" s="2" t="s">
        <v>1</v>
      </c>
      <c r="D1" s="1" t="s">
        <v>12</v>
      </c>
      <c r="E1" s="3" t="s">
        <v>3</v>
      </c>
      <c r="F1" s="3" t="s">
        <v>4</v>
      </c>
      <c r="G1" s="3" t="s">
        <v>67</v>
      </c>
    </row>
    <row r="2" spans="1:7" ht="22.5" customHeight="1" x14ac:dyDescent="0.25">
      <c r="A2" s="4" t="str">
        <f>D2</f>
        <v>ШС-1 (ПР11-3116-21УЗ)</v>
      </c>
      <c r="B2" s="5"/>
      <c r="C2" s="6"/>
      <c r="D2" s="5" t="s">
        <v>44</v>
      </c>
      <c r="E2" s="7" t="s">
        <v>5</v>
      </c>
      <c r="F2" s="5" t="s">
        <v>7</v>
      </c>
      <c r="G2" s="5" t="s">
        <v>68</v>
      </c>
    </row>
    <row r="3" spans="1:7" ht="22.5" customHeight="1" x14ac:dyDescent="0.25">
      <c r="A3" s="8" t="str">
        <f>A2</f>
        <v>ШС-1 (ПР11-3116-21УЗ)</v>
      </c>
      <c r="B3" s="9" t="s">
        <v>6</v>
      </c>
      <c r="C3" s="10" t="s">
        <v>88</v>
      </c>
      <c r="D3" s="8" t="s">
        <v>89</v>
      </c>
      <c r="E3" s="11" t="s">
        <v>11</v>
      </c>
      <c r="F3" s="9" t="s">
        <v>13</v>
      </c>
      <c r="G3" s="8" t="str">
        <f>G2</f>
        <v>Эобд и Эосв</v>
      </c>
    </row>
    <row r="4" spans="1:7" ht="22.5" customHeight="1" x14ac:dyDescent="0.25">
      <c r="A4" s="8" t="str">
        <f t="shared" ref="A4:A14" si="0">A3</f>
        <v>ШС-1 (ПР11-3116-21УЗ)</v>
      </c>
      <c r="B4" s="9" t="s">
        <v>24</v>
      </c>
      <c r="C4" s="10" t="s">
        <v>45</v>
      </c>
      <c r="D4" s="8" t="s">
        <v>46</v>
      </c>
      <c r="E4" s="11" t="s">
        <v>11</v>
      </c>
      <c r="F4" s="9" t="s">
        <v>14</v>
      </c>
      <c r="G4" s="8" t="str">
        <f t="shared" ref="G4:G14" si="1">G3</f>
        <v>Эобд и Эосв</v>
      </c>
    </row>
    <row r="5" spans="1:7" ht="22.5" customHeight="1" x14ac:dyDescent="0.25">
      <c r="A5" s="8" t="str">
        <f t="shared" si="0"/>
        <v>ШС-1 (ПР11-3116-21УЗ)</v>
      </c>
      <c r="B5" s="9" t="s">
        <v>10</v>
      </c>
      <c r="C5" s="10" t="s">
        <v>47</v>
      </c>
      <c r="D5" s="8" t="s">
        <v>48</v>
      </c>
      <c r="E5" s="11" t="s">
        <v>11</v>
      </c>
      <c r="F5" s="9" t="s">
        <v>14</v>
      </c>
      <c r="G5" s="8" t="str">
        <f t="shared" si="1"/>
        <v>Эобд и Эосв</v>
      </c>
    </row>
    <row r="6" spans="1:7" ht="22.5" customHeight="1" x14ac:dyDescent="0.25">
      <c r="A6" s="8" t="str">
        <f t="shared" si="0"/>
        <v>ШС-1 (ПР11-3116-21УЗ)</v>
      </c>
      <c r="B6" s="9" t="s">
        <v>10</v>
      </c>
      <c r="C6" s="10" t="s">
        <v>21</v>
      </c>
      <c r="D6" s="8" t="s">
        <v>22</v>
      </c>
      <c r="E6" s="11" t="s">
        <v>11</v>
      </c>
      <c r="F6" s="9" t="s">
        <v>14</v>
      </c>
      <c r="G6" s="8" t="str">
        <f t="shared" si="1"/>
        <v>Эобд и Эосв</v>
      </c>
    </row>
    <row r="7" spans="1:7" ht="22.5" customHeight="1" x14ac:dyDescent="0.25">
      <c r="A7" s="8" t="str">
        <f t="shared" si="0"/>
        <v>ШС-1 (ПР11-3116-21УЗ)</v>
      </c>
      <c r="B7" s="9" t="s">
        <v>10</v>
      </c>
      <c r="C7" s="10" t="s">
        <v>49</v>
      </c>
      <c r="D7" s="8" t="s">
        <v>50</v>
      </c>
      <c r="E7" s="11" t="s">
        <v>11</v>
      </c>
      <c r="F7" s="9" t="s">
        <v>14</v>
      </c>
      <c r="G7" s="8" t="str">
        <f t="shared" si="1"/>
        <v>Эобд и Эосв</v>
      </c>
    </row>
    <row r="8" spans="1:7" ht="22.5" customHeight="1" x14ac:dyDescent="0.25">
      <c r="A8" s="8" t="str">
        <f t="shared" si="0"/>
        <v>ШС-1 (ПР11-3116-21УЗ)</v>
      </c>
      <c r="B8" s="9" t="s">
        <v>10</v>
      </c>
      <c r="C8" s="10" t="s">
        <v>19</v>
      </c>
      <c r="D8" s="8" t="s">
        <v>20</v>
      </c>
      <c r="E8" s="11" t="s">
        <v>11</v>
      </c>
      <c r="F8" s="9" t="s">
        <v>14</v>
      </c>
      <c r="G8" s="8" t="str">
        <f t="shared" si="1"/>
        <v>Эобд и Эосв</v>
      </c>
    </row>
    <row r="9" spans="1:7" ht="22.5" customHeight="1" x14ac:dyDescent="0.25">
      <c r="A9" s="8" t="str">
        <f t="shared" si="0"/>
        <v>ШС-1 (ПР11-3116-21УЗ)</v>
      </c>
      <c r="B9" s="9" t="s">
        <v>10</v>
      </c>
      <c r="C9" s="10" t="s">
        <v>34</v>
      </c>
      <c r="D9" s="8" t="s">
        <v>35</v>
      </c>
      <c r="E9" s="11" t="s">
        <v>11</v>
      </c>
      <c r="F9" s="9" t="s">
        <v>14</v>
      </c>
      <c r="G9" s="8" t="str">
        <f t="shared" si="1"/>
        <v>Эобд и Эосв</v>
      </c>
    </row>
    <row r="10" spans="1:7" ht="22.5" customHeight="1" x14ac:dyDescent="0.25">
      <c r="A10" s="8" t="str">
        <f t="shared" si="0"/>
        <v>ШС-1 (ПР11-3116-21УЗ)</v>
      </c>
      <c r="B10" s="9" t="s">
        <v>10</v>
      </c>
      <c r="C10" s="10" t="s">
        <v>51</v>
      </c>
      <c r="D10" s="8" t="s">
        <v>52</v>
      </c>
      <c r="E10" s="11" t="s">
        <v>11</v>
      </c>
      <c r="F10" s="9" t="s">
        <v>14</v>
      </c>
      <c r="G10" s="8" t="str">
        <f t="shared" si="1"/>
        <v>Эобд и Эосв</v>
      </c>
    </row>
    <row r="11" spans="1:7" ht="22.5" customHeight="1" x14ac:dyDescent="0.25">
      <c r="A11" s="8" t="str">
        <f t="shared" si="0"/>
        <v>ШС-1 (ПР11-3116-21УЗ)</v>
      </c>
      <c r="B11" s="9" t="s">
        <v>10</v>
      </c>
      <c r="C11" s="10" t="s">
        <v>15</v>
      </c>
      <c r="D11" s="8" t="s">
        <v>16</v>
      </c>
      <c r="E11" s="11" t="s">
        <v>11</v>
      </c>
      <c r="F11" s="9" t="s">
        <v>14</v>
      </c>
      <c r="G11" s="8" t="str">
        <f t="shared" si="1"/>
        <v>Эобд и Эосв</v>
      </c>
    </row>
    <row r="12" spans="1:7" ht="22.5" customHeight="1" x14ac:dyDescent="0.25">
      <c r="A12" s="8" t="str">
        <f t="shared" si="0"/>
        <v>ШС-1 (ПР11-3116-21УЗ)</v>
      </c>
      <c r="B12" s="8" t="s">
        <v>8</v>
      </c>
      <c r="C12" s="12" t="s">
        <v>8</v>
      </c>
      <c r="D12" s="8" t="s">
        <v>8</v>
      </c>
      <c r="E12" s="8" t="s">
        <v>11</v>
      </c>
      <c r="F12" s="8" t="s">
        <v>8</v>
      </c>
      <c r="G12" s="8" t="str">
        <f t="shared" si="1"/>
        <v>Эобд и Эосв</v>
      </c>
    </row>
    <row r="13" spans="1:7" ht="22.5" customHeight="1" x14ac:dyDescent="0.25">
      <c r="A13" s="8" t="str">
        <f t="shared" si="0"/>
        <v>ШС-1 (ПР11-3116-21УЗ)</v>
      </c>
      <c r="B13" s="8" t="s">
        <v>9</v>
      </c>
      <c r="C13" s="12" t="s">
        <v>9</v>
      </c>
      <c r="D13" s="8" t="s">
        <v>9</v>
      </c>
      <c r="E13" s="8" t="s">
        <v>11</v>
      </c>
      <c r="F13" s="8" t="s">
        <v>9</v>
      </c>
      <c r="G13" s="8" t="str">
        <f t="shared" si="1"/>
        <v>Эобд и Эосв</v>
      </c>
    </row>
    <row r="14" spans="1:7" ht="22.5" customHeight="1" x14ac:dyDescent="0.25">
      <c r="A14" s="8" t="str">
        <f t="shared" si="0"/>
        <v>ШС-1 (ПР11-3116-21УЗ)</v>
      </c>
      <c r="B14" s="13"/>
      <c r="C14" s="14"/>
      <c r="D14" s="15"/>
      <c r="E14" s="16"/>
      <c r="F14" s="14"/>
      <c r="G14" s="8" t="str">
        <f t="shared" si="1"/>
        <v>Эобд и Эосв</v>
      </c>
    </row>
    <row r="15" spans="1:7" ht="22.5" customHeight="1" x14ac:dyDescent="0.25">
      <c r="A15" s="4" t="str">
        <f>D15</f>
        <v>АВР-3-400-2-У</v>
      </c>
      <c r="B15" s="5"/>
      <c r="C15" s="6"/>
      <c r="D15" s="5" t="s">
        <v>64</v>
      </c>
      <c r="E15" s="7" t="s">
        <v>5</v>
      </c>
      <c r="F15" s="5" t="s">
        <v>7</v>
      </c>
      <c r="G15" s="5" t="s">
        <v>68</v>
      </c>
    </row>
    <row r="16" spans="1:7" ht="22.5" customHeight="1" x14ac:dyDescent="0.25">
      <c r="A16" s="8" t="str">
        <f>A15</f>
        <v>АВР-3-400-2-У</v>
      </c>
      <c r="B16" s="9" t="s">
        <v>6</v>
      </c>
      <c r="C16" s="10" t="s">
        <v>96</v>
      </c>
      <c r="D16" s="8" t="s">
        <v>97</v>
      </c>
      <c r="E16" s="11" t="s">
        <v>11</v>
      </c>
      <c r="F16" s="9" t="s">
        <v>13</v>
      </c>
      <c r="G16" s="8" t="str">
        <f>G15</f>
        <v>Эобд и Эосв</v>
      </c>
    </row>
    <row r="17" spans="1:7" ht="22.5" customHeight="1" x14ac:dyDescent="0.25">
      <c r="A17" s="8" t="str">
        <f t="shared" ref="A17:A23" si="2">A16</f>
        <v>АВР-3-400-2-У</v>
      </c>
      <c r="B17" s="9" t="s">
        <v>25</v>
      </c>
      <c r="C17" s="17" t="s">
        <v>65</v>
      </c>
      <c r="D17" s="8" t="s">
        <v>66</v>
      </c>
      <c r="E17" s="11" t="s">
        <v>11</v>
      </c>
      <c r="F17" s="9" t="s">
        <v>14</v>
      </c>
      <c r="G17" s="8" t="str">
        <f t="shared" ref="G17:G23" si="3">G16</f>
        <v>Эобд и Эосв</v>
      </c>
    </row>
    <row r="18" spans="1:7" ht="22.5" customHeight="1" x14ac:dyDescent="0.25">
      <c r="A18" s="8" t="str">
        <f t="shared" si="2"/>
        <v>АВР-3-400-2-У</v>
      </c>
      <c r="B18" s="9" t="s">
        <v>43</v>
      </c>
      <c r="C18" s="17" t="s">
        <v>39</v>
      </c>
      <c r="D18" s="8" t="s">
        <v>40</v>
      </c>
      <c r="E18" s="11" t="s">
        <v>11</v>
      </c>
      <c r="F18" s="9" t="s">
        <v>14</v>
      </c>
      <c r="G18" s="8" t="str">
        <f t="shared" si="3"/>
        <v>Эобд и Эосв</v>
      </c>
    </row>
    <row r="19" spans="1:7" ht="22.5" customHeight="1" x14ac:dyDescent="0.25">
      <c r="A19" s="8" t="str">
        <f t="shared" si="2"/>
        <v>АВР-3-400-2-У</v>
      </c>
      <c r="B19" s="9" t="s">
        <v>43</v>
      </c>
      <c r="C19" s="17" t="s">
        <v>41</v>
      </c>
      <c r="D19" s="8" t="s">
        <v>42</v>
      </c>
      <c r="E19" s="11" t="s">
        <v>11</v>
      </c>
      <c r="F19" s="9" t="s">
        <v>14</v>
      </c>
      <c r="G19" s="8" t="str">
        <f t="shared" si="3"/>
        <v>Эобд и Эосв</v>
      </c>
    </row>
    <row r="20" spans="1:7" ht="22.5" customHeight="1" x14ac:dyDescent="0.25">
      <c r="A20" s="8" t="str">
        <f t="shared" si="2"/>
        <v>АВР-3-400-2-У</v>
      </c>
      <c r="B20" s="9" t="s">
        <v>10</v>
      </c>
      <c r="C20" s="10" t="s">
        <v>17</v>
      </c>
      <c r="D20" s="8" t="s">
        <v>18</v>
      </c>
      <c r="E20" s="11" t="s">
        <v>11</v>
      </c>
      <c r="F20" s="9" t="s">
        <v>14</v>
      </c>
      <c r="G20" s="8" t="str">
        <f t="shared" si="3"/>
        <v>Эобд и Эосв</v>
      </c>
    </row>
    <row r="21" spans="1:7" ht="22.5" customHeight="1" x14ac:dyDescent="0.25">
      <c r="A21" s="8" t="str">
        <f>A19</f>
        <v>АВР-3-400-2-У</v>
      </c>
      <c r="B21" s="8" t="s">
        <v>8</v>
      </c>
      <c r="C21" s="12" t="s">
        <v>8</v>
      </c>
      <c r="D21" s="8" t="s">
        <v>8</v>
      </c>
      <c r="E21" s="8" t="s">
        <v>11</v>
      </c>
      <c r="F21" s="8" t="s">
        <v>8</v>
      </c>
      <c r="G21" s="8" t="str">
        <f t="shared" si="3"/>
        <v>Эобд и Эосв</v>
      </c>
    </row>
    <row r="22" spans="1:7" ht="22.5" customHeight="1" x14ac:dyDescent="0.25">
      <c r="A22" s="8" t="str">
        <f t="shared" si="2"/>
        <v>АВР-3-400-2-У</v>
      </c>
      <c r="B22" s="8" t="s">
        <v>9</v>
      </c>
      <c r="C22" s="12" t="s">
        <v>9</v>
      </c>
      <c r="D22" s="8" t="s">
        <v>9</v>
      </c>
      <c r="E22" s="8" t="s">
        <v>11</v>
      </c>
      <c r="F22" s="8" t="s">
        <v>9</v>
      </c>
      <c r="G22" s="8" t="str">
        <f t="shared" si="3"/>
        <v>Эобд и Эосв</v>
      </c>
    </row>
    <row r="23" spans="1:7" ht="22.5" customHeight="1" x14ac:dyDescent="0.25">
      <c r="A23" s="8" t="str">
        <f t="shared" si="2"/>
        <v>АВР-3-400-2-У</v>
      </c>
      <c r="B23" s="13"/>
      <c r="C23" s="14"/>
      <c r="D23" s="15"/>
      <c r="E23" s="16"/>
      <c r="F23" s="14"/>
      <c r="G23" s="8" t="str">
        <f t="shared" si="3"/>
        <v>Эобд и Эосв</v>
      </c>
    </row>
    <row r="24" spans="1:7" ht="22.5" customHeight="1" x14ac:dyDescent="0.25">
      <c r="A24" s="4" t="str">
        <f>D24</f>
        <v>ШР-1</v>
      </c>
      <c r="B24" s="5"/>
      <c r="C24" s="6"/>
      <c r="D24" s="5" t="s">
        <v>57</v>
      </c>
      <c r="E24" s="7" t="s">
        <v>5</v>
      </c>
      <c r="F24" s="5" t="s">
        <v>7</v>
      </c>
      <c r="G24" s="5" t="s">
        <v>68</v>
      </c>
    </row>
    <row r="25" spans="1:7" ht="22.5" customHeight="1" x14ac:dyDescent="0.25">
      <c r="A25" s="8" t="str">
        <f>A24</f>
        <v>ШР-1</v>
      </c>
      <c r="B25" s="9" t="s">
        <v>6</v>
      </c>
      <c r="C25" s="10" t="s">
        <v>98</v>
      </c>
      <c r="D25" s="8" t="s">
        <v>99</v>
      </c>
      <c r="E25" s="11" t="s">
        <v>11</v>
      </c>
      <c r="F25" s="9" t="s">
        <v>13</v>
      </c>
      <c r="G25" s="8" t="str">
        <f>G24</f>
        <v>Эобд и Эосв</v>
      </c>
    </row>
    <row r="26" spans="1:7" ht="22.5" customHeight="1" x14ac:dyDescent="0.25">
      <c r="A26" s="8" t="str">
        <f t="shared" ref="A26:A34" si="4">A25</f>
        <v>ШР-1</v>
      </c>
      <c r="B26" s="9" t="s">
        <v>10</v>
      </c>
      <c r="C26" s="10" t="s">
        <v>100</v>
      </c>
      <c r="D26" s="8" t="s">
        <v>101</v>
      </c>
      <c r="E26" s="11" t="s">
        <v>11</v>
      </c>
      <c r="F26" s="9" t="s">
        <v>14</v>
      </c>
      <c r="G26" s="8" t="str">
        <f t="shared" ref="G26:G34" si="5">G25</f>
        <v>Эобд и Эосв</v>
      </c>
    </row>
    <row r="27" spans="1:7" ht="22.5" customHeight="1" x14ac:dyDescent="0.25">
      <c r="A27" s="8" t="str">
        <f t="shared" si="4"/>
        <v>ШР-1</v>
      </c>
      <c r="B27" s="9" t="s">
        <v>38</v>
      </c>
      <c r="C27" s="10" t="s">
        <v>53</v>
      </c>
      <c r="D27" s="8" t="s">
        <v>54</v>
      </c>
      <c r="E27" s="11" t="s">
        <v>11</v>
      </c>
      <c r="F27" s="9" t="s">
        <v>14</v>
      </c>
      <c r="G27" s="8" t="str">
        <f t="shared" si="5"/>
        <v>Эобд и Эосв</v>
      </c>
    </row>
    <row r="28" spans="1:7" ht="22.5" customHeight="1" x14ac:dyDescent="0.25">
      <c r="A28" s="8" t="str">
        <f t="shared" si="4"/>
        <v>ШР-1</v>
      </c>
      <c r="B28" s="9" t="s">
        <v>38</v>
      </c>
      <c r="C28" s="10" t="s">
        <v>55</v>
      </c>
      <c r="D28" s="8" t="s">
        <v>56</v>
      </c>
      <c r="E28" s="11" t="s">
        <v>11</v>
      </c>
      <c r="F28" s="9" t="s">
        <v>14</v>
      </c>
      <c r="G28" s="8" t="str">
        <f t="shared" si="5"/>
        <v>Эобд и Эосв</v>
      </c>
    </row>
    <row r="29" spans="1:7" ht="22.5" customHeight="1" x14ac:dyDescent="0.25">
      <c r="A29" s="8" t="str">
        <f t="shared" si="4"/>
        <v>ШР-1</v>
      </c>
      <c r="B29" s="9" t="s">
        <v>10</v>
      </c>
      <c r="C29" s="10" t="s">
        <v>19</v>
      </c>
      <c r="D29" s="8" t="s">
        <v>20</v>
      </c>
      <c r="E29" s="11" t="s">
        <v>11</v>
      </c>
      <c r="F29" s="9" t="s">
        <v>14</v>
      </c>
      <c r="G29" s="8" t="str">
        <f t="shared" si="5"/>
        <v>Эобд и Эосв</v>
      </c>
    </row>
    <row r="30" spans="1:7" ht="22.5" customHeight="1" x14ac:dyDescent="0.25">
      <c r="A30" s="8" t="str">
        <f t="shared" si="4"/>
        <v>ШР-1</v>
      </c>
      <c r="B30" s="9" t="s">
        <v>10</v>
      </c>
      <c r="C30" s="10" t="s">
        <v>28</v>
      </c>
      <c r="D30" s="8" t="s">
        <v>29</v>
      </c>
      <c r="E30" s="11" t="s">
        <v>11</v>
      </c>
      <c r="F30" s="9" t="s">
        <v>14</v>
      </c>
      <c r="G30" s="8" t="str">
        <f t="shared" si="5"/>
        <v>Эобд и Эосв</v>
      </c>
    </row>
    <row r="31" spans="1:7" ht="22.5" customHeight="1" x14ac:dyDescent="0.25">
      <c r="A31" s="8" t="str">
        <f t="shared" si="4"/>
        <v>ШР-1</v>
      </c>
      <c r="B31" s="9" t="s">
        <v>10</v>
      </c>
      <c r="C31" s="10" t="s">
        <v>36</v>
      </c>
      <c r="D31" s="8" t="s">
        <v>37</v>
      </c>
      <c r="E31" s="11" t="s">
        <v>11</v>
      </c>
      <c r="F31" s="9" t="s">
        <v>14</v>
      </c>
      <c r="G31" s="8" t="str">
        <f t="shared" si="5"/>
        <v>Эобд и Эосв</v>
      </c>
    </row>
    <row r="32" spans="1:7" ht="22.5" customHeight="1" x14ac:dyDescent="0.25">
      <c r="A32" s="8" t="str">
        <f t="shared" si="4"/>
        <v>ШР-1</v>
      </c>
      <c r="B32" s="8" t="s">
        <v>8</v>
      </c>
      <c r="C32" s="12" t="s">
        <v>8</v>
      </c>
      <c r="D32" s="8" t="s">
        <v>8</v>
      </c>
      <c r="E32" s="8" t="s">
        <v>11</v>
      </c>
      <c r="F32" s="8" t="s">
        <v>8</v>
      </c>
      <c r="G32" s="8" t="str">
        <f t="shared" si="5"/>
        <v>Эобд и Эосв</v>
      </c>
    </row>
    <row r="33" spans="1:7" ht="22.5" customHeight="1" x14ac:dyDescent="0.25">
      <c r="A33" s="8" t="str">
        <f t="shared" si="4"/>
        <v>ШР-1</v>
      </c>
      <c r="B33" s="8" t="s">
        <v>9</v>
      </c>
      <c r="C33" s="12" t="s">
        <v>9</v>
      </c>
      <c r="D33" s="8" t="s">
        <v>9</v>
      </c>
      <c r="E33" s="8" t="s">
        <v>11</v>
      </c>
      <c r="F33" s="8" t="s">
        <v>9</v>
      </c>
      <c r="G33" s="8" t="str">
        <f t="shared" si="5"/>
        <v>Эобд и Эосв</v>
      </c>
    </row>
    <row r="34" spans="1:7" ht="22.5" customHeight="1" x14ac:dyDescent="0.25">
      <c r="A34" s="8" t="str">
        <f t="shared" si="4"/>
        <v>ШР-1</v>
      </c>
      <c r="B34" s="13"/>
      <c r="C34" s="14"/>
      <c r="D34" s="15"/>
      <c r="E34" s="16"/>
      <c r="F34" s="14"/>
      <c r="G34" s="8" t="str">
        <f t="shared" si="5"/>
        <v>Эобд и Эосв</v>
      </c>
    </row>
    <row r="35" spans="1:7" ht="22.5" customHeight="1" x14ac:dyDescent="0.25">
      <c r="A35" s="4" t="str">
        <f>D35</f>
        <v>ЩРВ</v>
      </c>
      <c r="B35" s="5"/>
      <c r="C35" s="6"/>
      <c r="D35" s="5" t="s">
        <v>58</v>
      </c>
      <c r="E35" s="7" t="s">
        <v>5</v>
      </c>
      <c r="F35" s="5" t="s">
        <v>7</v>
      </c>
      <c r="G35" s="5" t="s">
        <v>68</v>
      </c>
    </row>
    <row r="36" spans="1:7" ht="22.5" customHeight="1" x14ac:dyDescent="0.25">
      <c r="A36" s="8" t="str">
        <f>A35</f>
        <v>ЩРВ</v>
      </c>
      <c r="B36" s="9" t="s">
        <v>6</v>
      </c>
      <c r="C36" s="10" t="s">
        <v>90</v>
      </c>
      <c r="D36" s="8" t="s">
        <v>91</v>
      </c>
      <c r="E36" s="11" t="s">
        <v>11</v>
      </c>
      <c r="F36" s="9" t="s">
        <v>13</v>
      </c>
      <c r="G36" s="8" t="str">
        <f>G35</f>
        <v>Эобд и Эосв</v>
      </c>
    </row>
    <row r="37" spans="1:7" ht="22.5" customHeight="1" x14ac:dyDescent="0.25">
      <c r="A37" s="8" t="str">
        <f t="shared" ref="A37:A45" si="6">A36</f>
        <v>ЩРВ</v>
      </c>
      <c r="B37" s="9" t="s">
        <v>10</v>
      </c>
      <c r="C37" s="10" t="s">
        <v>21</v>
      </c>
      <c r="D37" s="8" t="s">
        <v>22</v>
      </c>
      <c r="E37" s="11" t="s">
        <v>11</v>
      </c>
      <c r="F37" s="9" t="s">
        <v>14</v>
      </c>
      <c r="G37" s="8" t="str">
        <f t="shared" ref="G37:G45" si="7">G36</f>
        <v>Эобд и Эосв</v>
      </c>
    </row>
    <row r="38" spans="1:7" ht="22.5" customHeight="1" x14ac:dyDescent="0.25">
      <c r="A38" s="8" t="str">
        <f t="shared" si="6"/>
        <v>ЩРВ</v>
      </c>
      <c r="B38" s="9" t="s">
        <v>10</v>
      </c>
      <c r="C38" s="10" t="s">
        <v>49</v>
      </c>
      <c r="D38" s="8" t="s">
        <v>50</v>
      </c>
      <c r="E38" s="11" t="s">
        <v>11</v>
      </c>
      <c r="F38" s="9" t="s">
        <v>14</v>
      </c>
      <c r="G38" s="8" t="str">
        <f t="shared" si="7"/>
        <v>Эобд и Эосв</v>
      </c>
    </row>
    <row r="39" spans="1:7" ht="22.5" customHeight="1" x14ac:dyDescent="0.25">
      <c r="A39" s="8" t="str">
        <f t="shared" si="6"/>
        <v>ЩРВ</v>
      </c>
      <c r="B39" s="9" t="s">
        <v>38</v>
      </c>
      <c r="C39" s="10" t="s">
        <v>55</v>
      </c>
      <c r="D39" s="8" t="s">
        <v>56</v>
      </c>
      <c r="E39" s="11" t="s">
        <v>11</v>
      </c>
      <c r="F39" s="9" t="s">
        <v>14</v>
      </c>
      <c r="G39" s="8" t="str">
        <f t="shared" si="7"/>
        <v>Эобд и Эосв</v>
      </c>
    </row>
    <row r="40" spans="1:7" ht="22.5" customHeight="1" x14ac:dyDescent="0.25">
      <c r="A40" s="8" t="str">
        <f t="shared" si="6"/>
        <v>ЩРВ</v>
      </c>
      <c r="B40" s="9" t="s">
        <v>32</v>
      </c>
      <c r="C40" s="10" t="s">
        <v>30</v>
      </c>
      <c r="D40" s="8" t="s">
        <v>31</v>
      </c>
      <c r="E40" s="11" t="s">
        <v>11</v>
      </c>
      <c r="F40" s="9" t="s">
        <v>14</v>
      </c>
      <c r="G40" s="8" t="str">
        <f t="shared" si="7"/>
        <v>Эобд и Эосв</v>
      </c>
    </row>
    <row r="41" spans="1:7" ht="22.5" customHeight="1" x14ac:dyDescent="0.25">
      <c r="A41" s="8" t="str">
        <f t="shared" si="6"/>
        <v>ЩРВ</v>
      </c>
      <c r="B41" s="9" t="s">
        <v>10</v>
      </c>
      <c r="C41" s="10" t="s">
        <v>51</v>
      </c>
      <c r="D41" s="8" t="s">
        <v>52</v>
      </c>
      <c r="E41" s="11" t="s">
        <v>11</v>
      </c>
      <c r="F41" s="9" t="s">
        <v>14</v>
      </c>
      <c r="G41" s="8" t="str">
        <f t="shared" si="7"/>
        <v>Эобд и Эосв</v>
      </c>
    </row>
    <row r="42" spans="1:7" ht="22.5" customHeight="1" x14ac:dyDescent="0.25">
      <c r="A42" s="8" t="str">
        <f t="shared" si="6"/>
        <v>ЩРВ</v>
      </c>
      <c r="B42" s="9" t="s">
        <v>10</v>
      </c>
      <c r="C42" s="10" t="s">
        <v>36</v>
      </c>
      <c r="D42" s="8" t="s">
        <v>37</v>
      </c>
      <c r="E42" s="11" t="s">
        <v>11</v>
      </c>
      <c r="F42" s="9" t="s">
        <v>14</v>
      </c>
      <c r="G42" s="8" t="str">
        <f t="shared" si="7"/>
        <v>Эобд и Эосв</v>
      </c>
    </row>
    <row r="43" spans="1:7" ht="22.5" customHeight="1" x14ac:dyDescent="0.25">
      <c r="A43" s="8" t="str">
        <f>A42</f>
        <v>ЩРВ</v>
      </c>
      <c r="B43" s="8" t="s">
        <v>8</v>
      </c>
      <c r="C43" s="12" t="s">
        <v>8</v>
      </c>
      <c r="D43" s="8" t="s">
        <v>8</v>
      </c>
      <c r="E43" s="8" t="s">
        <v>11</v>
      </c>
      <c r="F43" s="8" t="s">
        <v>8</v>
      </c>
      <c r="G43" s="8" t="str">
        <f t="shared" si="7"/>
        <v>Эобд и Эосв</v>
      </c>
    </row>
    <row r="44" spans="1:7" ht="22.5" customHeight="1" x14ac:dyDescent="0.25">
      <c r="A44" s="8" t="str">
        <f t="shared" si="6"/>
        <v>ЩРВ</v>
      </c>
      <c r="B44" s="8" t="s">
        <v>9</v>
      </c>
      <c r="C44" s="12" t="s">
        <v>9</v>
      </c>
      <c r="D44" s="8" t="s">
        <v>9</v>
      </c>
      <c r="E44" s="8" t="s">
        <v>11</v>
      </c>
      <c r="F44" s="8" t="s">
        <v>9</v>
      </c>
      <c r="G44" s="8" t="str">
        <f t="shared" si="7"/>
        <v>Эобд и Эосв</v>
      </c>
    </row>
    <row r="45" spans="1:7" ht="22.5" customHeight="1" x14ac:dyDescent="0.25">
      <c r="A45" s="8" t="str">
        <f t="shared" si="6"/>
        <v>ЩРВ</v>
      </c>
      <c r="B45" s="13"/>
      <c r="C45" s="14"/>
      <c r="D45" s="15"/>
      <c r="E45" s="16"/>
      <c r="F45" s="14"/>
      <c r="G45" s="8" t="str">
        <f t="shared" si="7"/>
        <v>Эобд и Эосв</v>
      </c>
    </row>
    <row r="46" spans="1:7" ht="22.5" customHeight="1" x14ac:dyDescent="0.25">
      <c r="A46" s="4" t="str">
        <f>D46</f>
        <v>ЩO</v>
      </c>
      <c r="B46" s="5"/>
      <c r="C46" s="6"/>
      <c r="D46" s="5" t="s">
        <v>59</v>
      </c>
      <c r="E46" s="7" t="s">
        <v>5</v>
      </c>
      <c r="F46" s="5" t="s">
        <v>7</v>
      </c>
      <c r="G46" s="5" t="s">
        <v>68</v>
      </c>
    </row>
    <row r="47" spans="1:7" ht="22.5" customHeight="1" x14ac:dyDescent="0.25">
      <c r="A47" s="8" t="str">
        <f>A46</f>
        <v>ЩO</v>
      </c>
      <c r="B47" s="9" t="s">
        <v>6</v>
      </c>
      <c r="C47" s="10" t="s">
        <v>94</v>
      </c>
      <c r="D47" s="8" t="s">
        <v>95</v>
      </c>
      <c r="E47" s="11" t="s">
        <v>11</v>
      </c>
      <c r="F47" s="9" t="s">
        <v>13</v>
      </c>
      <c r="G47" s="8" t="str">
        <f>G46</f>
        <v>Эобд и Эосв</v>
      </c>
    </row>
    <row r="48" spans="1:7" ht="22.5" customHeight="1" x14ac:dyDescent="0.25">
      <c r="A48" s="8" t="str">
        <f t="shared" ref="A48:A52" si="8">A47</f>
        <v>ЩO</v>
      </c>
      <c r="B48" s="9" t="s">
        <v>10</v>
      </c>
      <c r="C48" s="10" t="s">
        <v>34</v>
      </c>
      <c r="D48" s="8" t="s">
        <v>35</v>
      </c>
      <c r="E48" s="11" t="s">
        <v>11</v>
      </c>
      <c r="F48" s="9" t="s">
        <v>14</v>
      </c>
      <c r="G48" s="8" t="str">
        <f t="shared" ref="G48:G52" si="9">G47</f>
        <v>Эобд и Эосв</v>
      </c>
    </row>
    <row r="49" spans="1:7" ht="22.5" customHeight="1" x14ac:dyDescent="0.25">
      <c r="A49" s="8" t="str">
        <f t="shared" si="8"/>
        <v>ЩO</v>
      </c>
      <c r="B49" s="9" t="s">
        <v>10</v>
      </c>
      <c r="C49" s="10" t="s">
        <v>15</v>
      </c>
      <c r="D49" s="8" t="s">
        <v>16</v>
      </c>
      <c r="E49" s="11" t="s">
        <v>11</v>
      </c>
      <c r="F49" s="9" t="s">
        <v>14</v>
      </c>
      <c r="G49" s="8" t="str">
        <f t="shared" si="9"/>
        <v>Эобд и Эосв</v>
      </c>
    </row>
    <row r="50" spans="1:7" ht="22.5" customHeight="1" x14ac:dyDescent="0.25">
      <c r="A50" s="8" t="str">
        <f t="shared" si="8"/>
        <v>ЩO</v>
      </c>
      <c r="B50" s="8" t="s">
        <v>8</v>
      </c>
      <c r="C50" s="12" t="s">
        <v>8</v>
      </c>
      <c r="D50" s="8" t="s">
        <v>8</v>
      </c>
      <c r="E50" s="8" t="s">
        <v>11</v>
      </c>
      <c r="F50" s="8" t="s">
        <v>8</v>
      </c>
      <c r="G50" s="8" t="str">
        <f t="shared" si="9"/>
        <v>Эобд и Эосв</v>
      </c>
    </row>
    <row r="51" spans="1:7" ht="22.5" customHeight="1" x14ac:dyDescent="0.25">
      <c r="A51" s="8" t="str">
        <f t="shared" si="8"/>
        <v>ЩO</v>
      </c>
      <c r="B51" s="8" t="s">
        <v>9</v>
      </c>
      <c r="C51" s="12" t="s">
        <v>9</v>
      </c>
      <c r="D51" s="8" t="s">
        <v>9</v>
      </c>
      <c r="E51" s="8" t="s">
        <v>11</v>
      </c>
      <c r="F51" s="8" t="s">
        <v>9</v>
      </c>
      <c r="G51" s="8" t="str">
        <f t="shared" si="9"/>
        <v>Эобд и Эосв</v>
      </c>
    </row>
    <row r="52" spans="1:7" ht="22.5" customHeight="1" x14ac:dyDescent="0.25">
      <c r="A52" s="8" t="str">
        <f t="shared" si="8"/>
        <v>ЩO</v>
      </c>
      <c r="B52" s="13"/>
      <c r="C52" s="14"/>
      <c r="D52" s="15"/>
      <c r="E52" s="16"/>
      <c r="F52" s="14"/>
      <c r="G52" s="8" t="str">
        <f t="shared" si="9"/>
        <v>Эобд и Эосв</v>
      </c>
    </row>
    <row r="53" spans="1:7" ht="22.5" customHeight="1" x14ac:dyDescent="0.25">
      <c r="A53" s="4" t="str">
        <f>D53</f>
        <v>ПМЛ-1220</v>
      </c>
      <c r="B53" s="5"/>
      <c r="C53" s="6"/>
      <c r="D53" s="5" t="s">
        <v>61</v>
      </c>
      <c r="E53" s="7" t="s">
        <v>5</v>
      </c>
      <c r="F53" s="5" t="s">
        <v>7</v>
      </c>
      <c r="G53" s="5" t="s">
        <v>68</v>
      </c>
    </row>
    <row r="54" spans="1:7" ht="22.5" customHeight="1" x14ac:dyDescent="0.25">
      <c r="A54" s="4" t="str">
        <f>D54</f>
        <v>Я1(ЯРП-111М-311-100А)</v>
      </c>
      <c r="B54" s="5"/>
      <c r="C54" s="6"/>
      <c r="D54" s="5" t="s">
        <v>62</v>
      </c>
      <c r="E54" s="7" t="s">
        <v>5</v>
      </c>
      <c r="F54" s="5" t="s">
        <v>7</v>
      </c>
      <c r="G54" s="5" t="s">
        <v>68</v>
      </c>
    </row>
    <row r="55" spans="1:7" ht="22.5" customHeight="1" x14ac:dyDescent="0.25">
      <c r="A55" s="4" t="str">
        <f>D55</f>
        <v>ЯР2(ЯРВ-100)</v>
      </c>
      <c r="B55" s="5"/>
      <c r="C55" s="6"/>
      <c r="D55" s="5" t="s">
        <v>63</v>
      </c>
      <c r="E55" s="7" t="s">
        <v>5</v>
      </c>
      <c r="F55" s="5" t="s">
        <v>7</v>
      </c>
      <c r="G55" s="5" t="s">
        <v>68</v>
      </c>
    </row>
    <row r="56" spans="1:7" ht="22.5" customHeight="1" x14ac:dyDescent="0.25">
      <c r="A56" s="4" t="str">
        <f>D56</f>
        <v>ШНО (ЯУО9601-3474УХЛ4)</v>
      </c>
      <c r="B56" s="5"/>
      <c r="C56" s="6"/>
      <c r="D56" s="5" t="s">
        <v>81</v>
      </c>
      <c r="E56" s="7" t="s">
        <v>5</v>
      </c>
      <c r="F56" s="5" t="s">
        <v>7</v>
      </c>
      <c r="G56" s="5" t="s">
        <v>69</v>
      </c>
    </row>
    <row r="57" spans="1:7" ht="22.5" customHeight="1" x14ac:dyDescent="0.25">
      <c r="A57" s="8" t="str">
        <f>A56</f>
        <v>ШНО (ЯУО9601-3474УХЛ4)</v>
      </c>
      <c r="B57" s="9" t="s">
        <v>6</v>
      </c>
      <c r="C57" s="10" t="s">
        <v>92</v>
      </c>
      <c r="D57" s="8" t="s">
        <v>93</v>
      </c>
      <c r="E57" s="11" t="s">
        <v>11</v>
      </c>
      <c r="F57" s="9" t="s">
        <v>13</v>
      </c>
      <c r="G57" s="8" t="str">
        <f>G56</f>
        <v>ЭС</v>
      </c>
    </row>
    <row r="58" spans="1:7" ht="22.5" customHeight="1" x14ac:dyDescent="0.25">
      <c r="A58" s="8" t="str">
        <f t="shared" ref="A58" si="10">A57</f>
        <v>ШНО (ЯУО9601-3474УХЛ4)</v>
      </c>
      <c r="B58" s="9" t="s">
        <v>10</v>
      </c>
      <c r="C58" s="10" t="s">
        <v>19</v>
      </c>
      <c r="D58" s="8" t="s">
        <v>20</v>
      </c>
      <c r="E58" s="11" t="s">
        <v>11</v>
      </c>
      <c r="F58" s="9" t="s">
        <v>14</v>
      </c>
      <c r="G58" s="8" t="str">
        <f t="shared" ref="G58" si="11">G57</f>
        <v>ЭС</v>
      </c>
    </row>
    <row r="59" spans="1:7" ht="22.5" customHeight="1" x14ac:dyDescent="0.25">
      <c r="A59" s="8" t="str">
        <f t="shared" ref="A59:A60" si="12">A58</f>
        <v>ШНО (ЯУО9601-3474УХЛ4)</v>
      </c>
      <c r="B59" s="9" t="s">
        <v>33</v>
      </c>
      <c r="C59" s="10" t="s">
        <v>70</v>
      </c>
      <c r="D59" s="8" t="s">
        <v>71</v>
      </c>
      <c r="E59" s="11" t="s">
        <v>11</v>
      </c>
      <c r="F59" s="9" t="s">
        <v>14</v>
      </c>
      <c r="G59" s="8" t="str">
        <f t="shared" ref="G59:G71" si="13">G58</f>
        <v>ЭС</v>
      </c>
    </row>
    <row r="60" spans="1:7" ht="22.5" customHeight="1" x14ac:dyDescent="0.25">
      <c r="A60" s="8" t="str">
        <f t="shared" si="12"/>
        <v>ШНО (ЯУО9601-3474УХЛ4)</v>
      </c>
      <c r="B60" s="9" t="s">
        <v>10</v>
      </c>
      <c r="C60" s="10" t="s">
        <v>26</v>
      </c>
      <c r="D60" s="8" t="s">
        <v>27</v>
      </c>
      <c r="E60" s="11" t="s">
        <v>11</v>
      </c>
      <c r="F60" s="9" t="s">
        <v>14</v>
      </c>
      <c r="G60" s="8" t="str">
        <f t="shared" si="13"/>
        <v>ЭС</v>
      </c>
    </row>
    <row r="61" spans="1:7" ht="22.5" customHeight="1" x14ac:dyDescent="0.25">
      <c r="A61" s="8" t="str">
        <f>A59</f>
        <v>ШНО (ЯУО9601-3474УХЛ4)</v>
      </c>
      <c r="B61" s="9" t="s">
        <v>78</v>
      </c>
      <c r="C61" s="17" t="s">
        <v>76</v>
      </c>
      <c r="D61" s="8" t="s">
        <v>77</v>
      </c>
      <c r="E61" s="11" t="s">
        <v>11</v>
      </c>
      <c r="F61" s="9" t="s">
        <v>14</v>
      </c>
      <c r="G61" s="8" t="str">
        <f>G59</f>
        <v>ЭС</v>
      </c>
    </row>
    <row r="62" spans="1:7" ht="22.5" customHeight="1" x14ac:dyDescent="0.25">
      <c r="A62" s="8" t="str">
        <f>A60</f>
        <v>ШНО (ЯУО9601-3474УХЛ4)</v>
      </c>
      <c r="B62" s="9" t="s">
        <v>43</v>
      </c>
      <c r="C62" s="17" t="s">
        <v>39</v>
      </c>
      <c r="D62" s="8" t="s">
        <v>40</v>
      </c>
      <c r="E62" s="11" t="s">
        <v>11</v>
      </c>
      <c r="F62" s="9" t="s">
        <v>14</v>
      </c>
      <c r="G62" s="8" t="str">
        <f>G60</f>
        <v>ЭС</v>
      </c>
    </row>
    <row r="63" spans="1:7" ht="22.5" customHeight="1" x14ac:dyDescent="0.25">
      <c r="A63" s="8" t="str">
        <f>A60</f>
        <v>ШНО (ЯУО9601-3474УХЛ4)</v>
      </c>
      <c r="B63" s="9" t="s">
        <v>60</v>
      </c>
      <c r="C63" s="10" t="s">
        <v>72</v>
      </c>
      <c r="D63" s="8" t="s">
        <v>73</v>
      </c>
      <c r="E63" s="11" t="s">
        <v>11</v>
      </c>
      <c r="F63" s="9" t="s">
        <v>14</v>
      </c>
      <c r="G63" s="8" t="str">
        <f>G60</f>
        <v>ЭС</v>
      </c>
    </row>
    <row r="64" spans="1:7" ht="22.5" customHeight="1" x14ac:dyDescent="0.25">
      <c r="A64" s="8" t="str">
        <f t="shared" ref="A64" si="14">A63</f>
        <v>ШНО (ЯУО9601-3474УХЛ4)</v>
      </c>
      <c r="B64" s="9" t="s">
        <v>60</v>
      </c>
      <c r="C64" s="10" t="s">
        <v>74</v>
      </c>
      <c r="D64" s="8" t="s">
        <v>75</v>
      </c>
      <c r="E64" s="11" t="s">
        <v>11</v>
      </c>
      <c r="F64" s="9" t="s">
        <v>14</v>
      </c>
      <c r="G64" s="8" t="str">
        <f t="shared" ref="G64" si="15">G63</f>
        <v>ЭС</v>
      </c>
    </row>
    <row r="65" spans="1:7" ht="22.5" customHeight="1" x14ac:dyDescent="0.25">
      <c r="A65" s="8" t="str">
        <f>A63</f>
        <v>ШНО (ЯУО9601-3474УХЛ4)</v>
      </c>
      <c r="B65" s="9" t="s">
        <v>10</v>
      </c>
      <c r="C65" s="10" t="s">
        <v>17</v>
      </c>
      <c r="D65" s="8" t="s">
        <v>18</v>
      </c>
      <c r="E65" s="11" t="s">
        <v>11</v>
      </c>
      <c r="F65" s="9" t="s">
        <v>14</v>
      </c>
      <c r="G65" s="8" t="str">
        <f>G63</f>
        <v>ЭС</v>
      </c>
    </row>
    <row r="66" spans="1:7" ht="22.5" customHeight="1" x14ac:dyDescent="0.25">
      <c r="A66" s="8" t="str">
        <f>A63</f>
        <v>ШНО (ЯУО9601-3474УХЛ4)</v>
      </c>
      <c r="B66" s="9" t="s">
        <v>87</v>
      </c>
      <c r="C66" s="10" t="s">
        <v>85</v>
      </c>
      <c r="D66" s="8" t="s">
        <v>86</v>
      </c>
      <c r="E66" s="11" t="s">
        <v>11</v>
      </c>
      <c r="F66" s="9" t="s">
        <v>14</v>
      </c>
      <c r="G66" s="8" t="str">
        <f>G63</f>
        <v>ЭС</v>
      </c>
    </row>
    <row r="67" spans="1:7" ht="22.5" customHeight="1" x14ac:dyDescent="0.25">
      <c r="A67" s="8" t="str">
        <f>A64</f>
        <v>ШНО (ЯУО9601-3474УХЛ4)</v>
      </c>
      <c r="B67" s="9" t="s">
        <v>84</v>
      </c>
      <c r="C67" s="10" t="s">
        <v>82</v>
      </c>
      <c r="D67" s="8" t="s">
        <v>83</v>
      </c>
      <c r="E67" s="11" t="s">
        <v>11</v>
      </c>
      <c r="F67" s="9" t="s">
        <v>14</v>
      </c>
      <c r="G67" s="8" t="str">
        <f>G64</f>
        <v>ЭС</v>
      </c>
    </row>
    <row r="68" spans="1:7" ht="22.5" customHeight="1" x14ac:dyDescent="0.25">
      <c r="A68" s="8" t="str">
        <f>A65</f>
        <v>ШНО (ЯУО9601-3474УХЛ4)</v>
      </c>
      <c r="B68" s="9" t="s">
        <v>79</v>
      </c>
      <c r="C68" s="10"/>
      <c r="D68" s="8" t="s">
        <v>80</v>
      </c>
      <c r="E68" s="11" t="s">
        <v>11</v>
      </c>
      <c r="F68" s="9" t="s">
        <v>23</v>
      </c>
      <c r="G68" s="8" t="str">
        <f>G65</f>
        <v>ЭС</v>
      </c>
    </row>
    <row r="69" spans="1:7" ht="22.5" customHeight="1" x14ac:dyDescent="0.25">
      <c r="A69" s="8" t="str">
        <f>A68</f>
        <v>ШНО (ЯУО9601-3474УХЛ4)</v>
      </c>
      <c r="B69" s="8" t="s">
        <v>8</v>
      </c>
      <c r="C69" s="12" t="s">
        <v>8</v>
      </c>
      <c r="D69" s="8" t="s">
        <v>8</v>
      </c>
      <c r="E69" s="8" t="s">
        <v>11</v>
      </c>
      <c r="F69" s="8" t="s">
        <v>8</v>
      </c>
      <c r="G69" s="8" t="str">
        <f t="shared" si="13"/>
        <v>ЭС</v>
      </c>
    </row>
    <row r="70" spans="1:7" ht="22.5" customHeight="1" x14ac:dyDescent="0.25">
      <c r="A70" s="8" t="str">
        <f t="shared" ref="A70:A71" si="16">A69</f>
        <v>ШНО (ЯУО9601-3474УХЛ4)</v>
      </c>
      <c r="B70" s="8" t="s">
        <v>9</v>
      </c>
      <c r="C70" s="12" t="s">
        <v>9</v>
      </c>
      <c r="D70" s="8" t="s">
        <v>9</v>
      </c>
      <c r="E70" s="8" t="s">
        <v>11</v>
      </c>
      <c r="F70" s="8" t="s">
        <v>9</v>
      </c>
      <c r="G70" s="8" t="str">
        <f t="shared" si="13"/>
        <v>ЭС</v>
      </c>
    </row>
    <row r="71" spans="1:7" ht="22.5" customHeight="1" x14ac:dyDescent="0.25">
      <c r="A71" s="8" t="str">
        <f t="shared" si="16"/>
        <v>ШНО (ЯУО9601-3474УХЛ4)</v>
      </c>
      <c r="B71" s="13"/>
      <c r="C71" s="14"/>
      <c r="D71" s="15"/>
      <c r="E71" s="16"/>
      <c r="F71" s="14"/>
      <c r="G71" s="8" t="str">
        <f t="shared" si="13"/>
        <v>ЭС</v>
      </c>
    </row>
  </sheetData>
  <autoFilter ref="A1:F71" xr:uid="{0E2C231C-0991-4FBE-BD8E-9CD4D9BF51D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YUSUF KAPLAN</cp:lastModifiedBy>
  <cp:revision>3</cp:revision>
  <dcterms:created xsi:type="dcterms:W3CDTF">2015-06-05T18:19:34Z</dcterms:created>
  <dcterms:modified xsi:type="dcterms:W3CDTF">2026-08-25T05:26:54Z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