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8 akt konus as kurulus ayndinlatma panosu\"/>
    </mc:Choice>
  </mc:AlternateContent>
  <xr:revisionPtr revIDLastSave="0" documentId="13_ncr:1_{38F4E1ED-81A9-41B9-8243-68F2C6FBB5D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RA_DERATING">#REF!</definedName>
    <definedName name="BARA_ESIK_A">#REF!</definedName>
    <definedName name="BARA_FIRE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ECERLILIK">#REF!</definedName>
    <definedName name="GUN_SAAT">#REF!</definedName>
    <definedName name="ICERIK_AD">#REF!</definedName>
    <definedName name="ICERIK_IZI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TEKLIF!$A$1:$F$17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4" l="1"/>
  <c r="F11" i="4"/>
  <c r="F9" i="4" l="1"/>
  <c r="F10" i="4" l="1"/>
</calcChain>
</file>

<file path=xl/sharedStrings.xml><?xml version="1.0" encoding="utf-8"?>
<sst xmlns="http://schemas.openxmlformats.org/spreadsheetml/2006/main" count="21" uniqueCount="20">
  <si>
    <t>Наименование</t>
  </si>
  <si>
    <t>Ед.изм</t>
  </si>
  <si>
    <t>ЩО (260918 aktau kons as)</t>
  </si>
  <si>
    <t>Aktau Kons AS kuruluş aydınlatma panosu</t>
  </si>
  <si>
    <t>YSF HICH</t>
  </si>
  <si>
    <t>НДС</t>
  </si>
  <si>
    <t>Заказчик:</t>
  </si>
  <si>
    <t>Объект:</t>
  </si>
  <si>
    <t>№</t>
  </si>
  <si>
    <t>Кол-во</t>
  </si>
  <si>
    <t>Сумма, тг (без НДС)</t>
  </si>
  <si>
    <t>компл.</t>
  </si>
  <si>
    <t>Итого с НДС</t>
  </si>
  <si>
    <t>Срок изготовления:</t>
  </si>
  <si>
    <t>Условия оплаты:</t>
  </si>
  <si>
    <t>Срок действия, дн.:</t>
  </si>
  <si>
    <t>As kurulus</t>
  </si>
  <si>
    <t>КОММЕРЧЕСКОЕ ПРЕДЛОЖЕНИЕ № 9890900001 от 00.mm.2026</t>
  </si>
  <si>
    <t>Цена за ед., тг (с НДС)</t>
  </si>
  <si>
    <t>15 rab. 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</si>
</sst>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vertical="center" wrapText="1"/>
    </xf>
    <xf numFmtId="3" fontId="1" fillId="0" borderId="1" xfId="0" applyNumberFormat="1" applyFont="1" applyBorder="1"/>
    <xf numFmtId="9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zoomScaleNormal="100" workbookViewId="0">
      <selection activeCell="K19" sqref="K19"/>
    </sheetView>
  </sheetViews>
  <sheetFormatPr defaultColWidth="8.7109375" defaultRowHeight="15" x14ac:dyDescent="0.25"/>
  <cols>
    <col min="1" max="1" width="26" customWidth="1"/>
    <col min="2" max="2" width="60" customWidth="1"/>
    <col min="3" max="4" width="8" customWidth="1"/>
    <col min="5" max="5" width="16" customWidth="1"/>
    <col min="6" max="6" width="18" customWidth="1"/>
  </cols>
  <sheetData>
    <row r="1" spans="1:6" ht="15.75" x14ac:dyDescent="0.25">
      <c r="A1" s="4" t="s">
        <v>4</v>
      </c>
    </row>
    <row r="3" spans="1:6" ht="15.75" x14ac:dyDescent="0.25">
      <c r="A3" s="4" t="s">
        <v>17</v>
      </c>
    </row>
    <row r="5" spans="1:6" x14ac:dyDescent="0.25">
      <c r="A5" s="2" t="s">
        <v>6</v>
      </c>
      <c r="B5" s="3" t="s">
        <v>16</v>
      </c>
    </row>
    <row r="6" spans="1:6" x14ac:dyDescent="0.25">
      <c r="A6" s="2" t="s">
        <v>7</v>
      </c>
      <c r="B6" s="3" t="s">
        <v>3</v>
      </c>
    </row>
    <row r="8" spans="1:6" ht="25.5" x14ac:dyDescent="0.25">
      <c r="A8" s="5" t="s">
        <v>8</v>
      </c>
      <c r="B8" s="5" t="s">
        <v>0</v>
      </c>
      <c r="C8" s="5" t="s">
        <v>9</v>
      </c>
      <c r="D8" s="5" t="s">
        <v>1</v>
      </c>
      <c r="E8" s="5" t="s">
        <v>18</v>
      </c>
      <c r="F8" s="5" t="s">
        <v>10</v>
      </c>
    </row>
    <row r="9" spans="1:6" s="11" customFormat="1" ht="33" customHeight="1" x14ac:dyDescent="0.25">
      <c r="A9" s="8">
        <v>1</v>
      </c>
      <c r="B9" s="9" t="s">
        <v>2</v>
      </c>
      <c r="C9" s="8">
        <v>1</v>
      </c>
      <c r="D9" s="9" t="s">
        <v>11</v>
      </c>
      <c r="E9" s="10">
        <v>848735</v>
      </c>
      <c r="F9" s="10">
        <f>IF(E9="","",C9*E9)</f>
        <v>848735</v>
      </c>
    </row>
    <row r="10" spans="1:6" x14ac:dyDescent="0.25">
      <c r="E10" s="1" t="s">
        <v>12</v>
      </c>
      <c r="F10" s="6">
        <f>SUM(F9:F9)</f>
        <v>848735</v>
      </c>
    </row>
    <row r="11" spans="1:6" x14ac:dyDescent="0.25">
      <c r="E11" s="1" t="s">
        <v>5</v>
      </c>
      <c r="F11" s="6">
        <f>F10*0.16</f>
        <v>135797.6</v>
      </c>
    </row>
    <row r="12" spans="1:6" x14ac:dyDescent="0.25">
      <c r="E12" s="1" t="s">
        <v>12</v>
      </c>
      <c r="F12" s="6">
        <f>F10</f>
        <v>848735</v>
      </c>
    </row>
    <row r="14" spans="1:6" x14ac:dyDescent="0.25">
      <c r="A14" s="2" t="s">
        <v>13</v>
      </c>
      <c r="C14" s="3" t="s">
        <v>19</v>
      </c>
    </row>
    <row r="15" spans="1:6" x14ac:dyDescent="0.25">
      <c r="A15" s="2" t="s">
        <v>14</v>
      </c>
      <c r="C15" s="7">
        <v>1</v>
      </c>
    </row>
    <row r="16" spans="1:6" x14ac:dyDescent="0.25">
      <c r="A16" s="2" t="s">
        <v>15</v>
      </c>
      <c r="C16" s="3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2026-09-18T04:21:22Z</dcterms:created>
  <dcterms:modified xsi:type="dcterms:W3CDTF">2026-09-18T08:32:10Z</dcterms:modified>
  <dc:language>en-US</dc:language>
</cp:coreProperties>
</file>